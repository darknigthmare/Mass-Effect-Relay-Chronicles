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5baa7d6a9f4046" /></Relationships>
</file>

<file path=xl/workbook.xml><?xml version="1.0" encoding="utf-8"?>
<x:workbook xmlns:x="http://schemas.openxmlformats.org/spreadsheetml/2006/main">
  <x:sheets>
    <x:sheet xmlns:r="http://schemas.openxmlformats.org/officeDocument/2006/relationships" name="Dashboard" sheetId="1" r:id="R2b0efae42ae94676"/>
    <x:sheet xmlns:r="http://schemas.openxmlformats.org/officeDocument/2006/relationships" name="Personnages" sheetId="2" r:id="R48cdcd4f5d3b4ccc"/>
    <x:sheet xmlns:r="http://schemas.openxmlformats.org/officeDocument/2006/relationships" name="PNJ" sheetId="3" r:id="R3368a6d3d8024b79"/>
    <x:sheet xmlns:r="http://schemas.openxmlformats.org/officeDocument/2006/relationships" name="Especes_factions" sheetId="4" r:id="R101a12f2a40d47de"/>
    <x:sheet xmlns:r="http://schemas.openxmlformats.org/officeDocument/2006/relationships" name="Mondes" sheetId="5" r:id="R64175587be124403"/>
    <x:sheet xmlns:r="http://schemas.openxmlformats.org/officeDocument/2006/relationships" name="Zones" sheetId="6" r:id="R01ba0b4242b64e92"/>
    <x:sheet xmlns:r="http://schemas.openxmlformats.org/officeDocument/2006/relationships" name="Liaisons" sheetId="7" r:id="R627b8daa9a954a54"/>
    <x:sheet xmlns:r="http://schemas.openxmlformats.org/officeDocument/2006/relationships" name="Decors" sheetId="8" r:id="Rf1650c680b524ea2"/>
    <x:sheet xmlns:r="http://schemas.openxmlformats.org/officeDocument/2006/relationships" name="Props" sheetId="9" r:id="R4125f3abdf1a49da"/>
    <x:sheet xmlns:r="http://schemas.openxmlformats.org/officeDocument/2006/relationships" name="Ennemis_boss" sheetId="10" r:id="R61594383c11347c3"/>
    <x:sheet xmlns:r="http://schemas.openxmlformats.org/officeDocument/2006/relationships" name="Missions" sheetId="11" r:id="R842f63c1c12b459b"/>
    <x:sheet xmlns:r="http://schemas.openxmlformats.org/officeDocument/2006/relationships" name="Secondaires_DLC" sheetId="12" r:id="R27083878e49a443a"/>
    <x:sheet xmlns:r="http://schemas.openxmlformats.org/officeDocument/2006/relationships" name="Choix_relations" sheetId="13" r:id="Rabeed4cf47de47d0"/>
    <x:sheet xmlns:r="http://schemas.openxmlformats.org/officeDocument/2006/relationships" name="Dialogues" sheetId="14" r:id="R55933612d11c4292"/>
    <x:sheet xmlns:r="http://schemas.openxmlformats.org/officeDocument/2006/relationships" name="Cinematiques" sheetId="15" r:id="Rb23247be2d5b4765"/>
    <x:sheet xmlns:r="http://schemas.openxmlformats.org/officeDocument/2006/relationships" name="Armes" sheetId="16" r:id="Rc5b29e56f9d74a48"/>
    <x:sheet xmlns:r="http://schemas.openxmlformats.org/officeDocument/2006/relationships" name="Armures_equipement" sheetId="17" r:id="Ra4cf35d12f1d442e"/>
    <x:sheet xmlns:r="http://schemas.openxmlformats.org/officeDocument/2006/relationships" name="Pouvoirs" sheetId="18" r:id="Rc8ddfac93f1f4d3c"/>
    <x:sheet xmlns:r="http://schemas.openxmlformats.org/officeDocument/2006/relationships" name="Movesets_allies" sheetId="19" r:id="Race7cfe7210f466b"/>
    <x:sheet xmlns:r="http://schemas.openxmlformats.org/officeDocument/2006/relationships" name="Movesets_ennemis" sheetId="20" r:id="Rcc2122968a19404a"/>
    <x:sheet xmlns:r="http://schemas.openxmlformats.org/officeDocument/2006/relationships" name="Animations" sheetId="21" r:id="R78393cf4d0534de2"/>
    <x:sheet xmlns:r="http://schemas.openxmlformats.org/officeDocument/2006/relationships" name="Sprites" sheetId="22" r:id="R7895cd4f751241a9"/>
    <x:sheet xmlns:r="http://schemas.openxmlformats.org/officeDocument/2006/relationships" name="VFX" sheetId="23" r:id="R92e163a7e4bb40ee"/>
    <x:sheet xmlns:r="http://schemas.openxmlformats.org/officeDocument/2006/relationships" name="Audio" sheetId="24" r:id="R9cc08570432944b4"/>
    <x:sheet xmlns:r="http://schemas.openxmlformats.org/officeDocument/2006/relationships" name="UI_systemes" sheetId="25" r:id="Rbe15f62bcbe34ef6"/>
    <x:sheet xmlns:r="http://schemas.openxmlformats.org/officeDocument/2006/relationships" name="QA" sheetId="26" r:id="Rd42b9b4bdc7f434f"/>
    <x:sheet xmlns:r="http://schemas.openxmlformats.org/officeDocument/2006/relationships" name="Continuite" sheetId="27" r:id="R504cbe8fbafc44ed"/>
    <x:sheet xmlns:r="http://schemas.openxmlformats.org/officeDocument/2006/relationships" name="Guide" sheetId="28" r:id="R1c9d84f7c5bf4f2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8">
    <x:font>
      <x:sz val="11"/>
      <x:name val="Carlito"/>
    </x:font>
    <x:font>
      <x:sz val="10"/>
      <x:color rgb="FF183044"/>
      <x:name val="Arial"/>
    </x:font>
    <x:font>
      <x:b/>
      <x:sz val="14"/>
      <x:color rgb="FF102438"/>
      <x:name val="Arial"/>
    </x:font>
    <x:font>
      <x:i/>
      <x:sz val="10"/>
      <x:color rgb="FF4A6374"/>
      <x:name val="Arial"/>
    </x:font>
    <x:font>
      <x:sz val="10"/>
      <x:color rgb="FF557283"/>
      <x:name val="Arial"/>
    </x:font>
    <x:font>
      <x:b/>
      <x:sz val="10"/>
      <x:color rgb="FFFFFFFF"/>
      <x:name val="Arial"/>
    </x:font>
    <x:font>
      <x:b/>
      <x:sz val="14"/>
      <x:color rgb="FF087F8C"/>
      <x:name val="Arial"/>
    </x:font>
    <x:font>
      <x:i/>
      <x:sz val="10"/>
      <x:color rgb="FF183044"/>
      <x:name val="Arial"/>
    </x:font>
  </x:fonts>
  <x:fills count="6">
    <x:fill>
      <x:patternFill patternType="none"/>
    </x:fill>
    <x:fill>
      <x:patternFill patternType="gray125"/>
    </x:fill>
    <x:fill>
      <x:patternFill patternType="solid">
        <x:fgColor rgb="FFF8FBFC"/>
      </x:patternFill>
    </x:fill>
    <x:fill>
      <x:patternFill patternType="solid">
        <x:fgColor rgb="FFFFF0C7"/>
      </x:patternFill>
    </x:fill>
    <x:fill>
      <x:patternFill patternType="solid">
        <x:fgColor rgb="FF102438"/>
      </x:patternFill>
    </x:fill>
    <x:fill>
      <x:patternFill patternType="solid">
        <x:fgColor rgb="FFEDF5F7"/>
      </x:patternFill>
    </x:fill>
  </x:fills>
  <x:borders count="5">
    <x:border>
      <x:left/>
      <x:right/>
      <x:top/>
      <x:bottom/>
      <x:diagonal/>
    </x:border>
    <x:border>
      <x:left/>
      <x:right/>
      <x:top/>
      <x:bottom style="thin">
        <x:color rgb="FF087F8C"/>
      </x:bottom>
      <x:diagonal/>
    </x:border>
    <x:border>
      <x:left/>
      <x:right style="thin">
        <x:color rgb="FFFFFFFF"/>
      </x:right>
      <x:top/>
      <x:bottom style="thin">
        <x:color rgb="FF087F8C"/>
      </x:bottom>
      <x:diagonal/>
    </x:border>
    <x:border>
      <x:left style="thin">
        <x:color rgb="FFFFFFFF"/>
      </x:left>
      <x:right style="thin">
        <x:color rgb="FFFFFFFF"/>
      </x:right>
      <x:top/>
      <x:bottom style="thin">
        <x:color rgb="FF087F8C"/>
      </x:bottom>
      <x:diagonal/>
    </x:border>
    <x:border>
      <x:left style="thin">
        <x:color rgb="FFFFFFFF"/>
      </x:left>
      <x:right/>
      <x:top/>
      <x:bottom style="thin">
        <x:color rgb="FF087F8C"/>
      </x:bottom>
      <x:diagonal/>
    </x:border>
  </x:borders>
  <x:cellStyleXfs count="1">
    <x:xf numFmtId="0" fontId="0" fillId="0" borderId="0"/>
  </x:cellStyleXfs>
  <x:cellXfs count="4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4"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2"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2" xfId="0" applyNumberFormat="1" applyFont="1" applyFill="1" applyBorder="1" applyAlignment="1">
      <x:alignment vertical="center"/>
    </x:xf>
    <x:xf numFmtId="0" fontId="5" fillId="4" borderId="3" xfId="0" applyNumberFormat="1" applyFont="1" applyFill="1" applyBorder="1" applyAlignment="1">
      <x:alignment vertical="center"/>
    </x:xf>
    <x:xf numFmtId="0" fontId="5" fillId="4" borderId="4" xfId="0" applyNumberFormat="1" applyFont="1" applyFill="1" applyBorder="1" applyAlignment="1">
      <x:alignment vertical="center"/>
    </x:xf>
    <x:xf numFmtId="0" fontId="5" fillId="4" borderId="2"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4" borderId="0" xfId="0" applyNumberFormat="1" applyFont="1" applyFill="1" applyBorder="1" applyAlignment="1">
      <x:alignment vertical="center"/>
    </x:xf>
    <x:xf numFmtId="200" fontId="1" fillId="5"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0" fontId="5" fillId="4" borderId="0"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top" wrapText="1"/>
    </x:xf>
  </x:cellXfs>
  <x:cellStyles count="1">
    <x:cellStyle name="Normal" xfId="0"/>
  </x:cellStyles>
  <x:dxfs count="104">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s>
</x:styleSheet>
</file>

<file path=xl/_rels/workbook.xml.rels>&#65279;<?xml version="1.0" encoding="utf-8"?><Relationships xmlns="http://schemas.openxmlformats.org/package/2006/relationships"><Relationship Type="http://schemas.openxmlformats.org/officeDocument/2006/relationships/styles" Target="/xl/styles.xml" Id="R6029e8b8f385408b" /><Relationship Type="http://schemas.openxmlformats.org/officeDocument/2006/relationships/theme" Target="/xl/theme/theme1.xml" Id="R51c17c50b9ee481a" /><Relationship Type="http://schemas.openxmlformats.org/officeDocument/2006/relationships/sharedStrings" Target="/xl/sharedStrings.xml" Id="Rb33a7f2defbf4cb8" /><Relationship Type="http://schemas.openxmlformats.org/officeDocument/2006/relationships/worksheet" Target="/xl/worksheets/sheet1.xml" Id="R2b0efae42ae94676" /><Relationship Type="http://schemas.openxmlformats.org/officeDocument/2006/relationships/worksheet" Target="/xl/worksheets/sheet2.xml" Id="R48cdcd4f5d3b4ccc" /><Relationship Type="http://schemas.openxmlformats.org/officeDocument/2006/relationships/worksheet" Target="/xl/worksheets/sheet3.xml" Id="R3368a6d3d8024b79" /><Relationship Type="http://schemas.openxmlformats.org/officeDocument/2006/relationships/worksheet" Target="/xl/worksheets/sheet4.xml" Id="R101a12f2a40d47de" /><Relationship Type="http://schemas.openxmlformats.org/officeDocument/2006/relationships/worksheet" Target="/xl/worksheets/sheet5.xml" Id="R64175587be124403" /><Relationship Type="http://schemas.openxmlformats.org/officeDocument/2006/relationships/worksheet" Target="/xl/worksheets/sheet6.xml" Id="R01ba0b4242b64e92" /><Relationship Type="http://schemas.openxmlformats.org/officeDocument/2006/relationships/worksheet" Target="/xl/worksheets/sheet7.xml" Id="R627b8daa9a954a54" /><Relationship Type="http://schemas.openxmlformats.org/officeDocument/2006/relationships/worksheet" Target="/xl/worksheets/sheet8.xml" Id="Rf1650c680b524ea2" /><Relationship Type="http://schemas.openxmlformats.org/officeDocument/2006/relationships/worksheet" Target="/xl/worksheets/sheet9.xml" Id="R4125f3abdf1a49da" /><Relationship Type="http://schemas.openxmlformats.org/officeDocument/2006/relationships/worksheet" Target="/xl/worksheets/sheet10.xml" Id="R61594383c11347c3" /><Relationship Type="http://schemas.openxmlformats.org/officeDocument/2006/relationships/worksheet" Target="/xl/worksheets/sheet11.xml" Id="R842f63c1c12b459b" /><Relationship Type="http://schemas.openxmlformats.org/officeDocument/2006/relationships/worksheet" Target="/xl/worksheets/sheet12.xml" Id="R27083878e49a443a" /><Relationship Type="http://schemas.openxmlformats.org/officeDocument/2006/relationships/worksheet" Target="/xl/worksheets/sheet13.xml" Id="Rabeed4cf47de47d0" /><Relationship Type="http://schemas.openxmlformats.org/officeDocument/2006/relationships/worksheet" Target="/xl/worksheets/sheet14.xml" Id="R55933612d11c4292" /><Relationship Type="http://schemas.openxmlformats.org/officeDocument/2006/relationships/worksheet" Target="/xl/worksheets/sheet15.xml" Id="Rb23247be2d5b4765" /><Relationship Type="http://schemas.openxmlformats.org/officeDocument/2006/relationships/worksheet" Target="/xl/worksheets/sheet16.xml" Id="Rc5b29e56f9d74a48" /><Relationship Type="http://schemas.openxmlformats.org/officeDocument/2006/relationships/worksheet" Target="/xl/worksheets/sheet17.xml" Id="Ra4cf35d12f1d442e" /><Relationship Type="http://schemas.openxmlformats.org/officeDocument/2006/relationships/worksheet" Target="/xl/worksheets/sheet18.xml" Id="Rc8ddfac93f1f4d3c" /><Relationship Type="http://schemas.openxmlformats.org/officeDocument/2006/relationships/worksheet" Target="/xl/worksheets/sheet19.xml" Id="Race7cfe7210f466b" /><Relationship Type="http://schemas.openxmlformats.org/officeDocument/2006/relationships/worksheet" Target="/xl/worksheets/sheet20.xml" Id="Rcc2122968a19404a" /><Relationship Type="http://schemas.openxmlformats.org/officeDocument/2006/relationships/worksheet" Target="/xl/worksheets/sheet21.xml" Id="R78393cf4d0534de2" /><Relationship Type="http://schemas.openxmlformats.org/officeDocument/2006/relationships/worksheet" Target="/xl/worksheets/sheet22.xml" Id="R7895cd4f751241a9" /><Relationship Type="http://schemas.openxmlformats.org/officeDocument/2006/relationships/worksheet" Target="/xl/worksheets/sheet23.xml" Id="R92e163a7e4bb40ee" /><Relationship Type="http://schemas.openxmlformats.org/officeDocument/2006/relationships/worksheet" Target="/xl/worksheets/sheet24.xml" Id="R9cc08570432944b4" /><Relationship Type="http://schemas.openxmlformats.org/officeDocument/2006/relationships/worksheet" Target="/xl/worksheets/sheet25.xml" Id="Rbe15f62bcbe34ef6" /><Relationship Type="http://schemas.openxmlformats.org/officeDocument/2006/relationships/worksheet" Target="/xl/worksheets/sheet26.xml" Id="Rd42b9b4bdc7f434f" /><Relationship Type="http://schemas.openxmlformats.org/officeDocument/2006/relationships/worksheet" Target="/xl/worksheets/sheet27.xml" Id="R504cbe8fbafc44ed" /><Relationship Type="http://schemas.openxmlformats.org/officeDocument/2006/relationships/worksheet" Target="/xl/worksheets/sheet28.xml" Id="R1c9d84f7c5bf4f21" /></Relationships>
</file>

<file path=xl/tables/table1.xml><?xml version="1.0" encoding="utf-8"?>
<x:table xmlns:x="http://schemas.openxmlformats.org/spreadsheetml/2006/main" id="1" name="ME3_characters" displayName="ME3_characters" ref="A6:S26" headerRowCount="1" totalsRowCount="0" totalsRowShown="0">
  <x:autoFilter ref="A6:S2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xml><?xml version="1.0" encoding="utf-8"?>
<x:table xmlns:x="http://schemas.openxmlformats.org/spreadsheetml/2006/main" id="2" name="ME3_npcs" displayName="ME3_npcs" ref="A6:S52" headerRowCount="1" totalsRowCount="0" totalsRowShown="0">
  <x:autoFilter ref="A6:S5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3.xml><?xml version="1.0" encoding="utf-8"?>
<x:table xmlns:x="http://schemas.openxmlformats.org/spreadsheetml/2006/main" id="3" name="ME3_lore" displayName="ME3_lore" ref="A6:S22" headerRowCount="1" totalsRowCount="0" totalsRowShown="0">
  <x:autoFilter ref="A6:S2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4.xml><?xml version="1.0" encoding="utf-8"?>
<x:table xmlns:x="http://schemas.openxmlformats.org/spreadsheetml/2006/main" id="4" name="ME3_worlds" displayName="ME3_worlds" ref="A6:S26" headerRowCount="1" totalsRowCount="0" totalsRowShown="0">
  <x:autoFilter ref="A6:S2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5.xml><?xml version="1.0" encoding="utf-8"?>
<x:table xmlns:x="http://schemas.openxmlformats.org/spreadsheetml/2006/main" id="5" name="ME3_zones" displayName="ME3_zones" ref="A6:S55" headerRowCount="1" totalsRowCount="0" totalsRowShown="0">
  <x:autoFilter ref="A6:S55"/>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6.xml><?xml version="1.0" encoding="utf-8"?>
<x:table xmlns:x="http://schemas.openxmlformats.org/spreadsheetml/2006/main" id="6" name="ME3_links" displayName="ME3_links" ref="A6:S20" headerRowCount="1" totalsRowCount="0" totalsRowShown="0">
  <x:autoFilter ref="A6:S2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7.xml><?xml version="1.0" encoding="utf-8"?>
<x:table xmlns:x="http://schemas.openxmlformats.org/spreadsheetml/2006/main" id="7" name="ME3_scenery" displayName="ME3_scenery" ref="A6:S22" headerRowCount="1" totalsRowCount="0" totalsRowShown="0">
  <x:autoFilter ref="A6:S2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8.xml><?xml version="1.0" encoding="utf-8"?>
<x:table xmlns:x="http://schemas.openxmlformats.org/spreadsheetml/2006/main" id="8" name="ME3_props" displayName="ME3_props" ref="A6:S23" headerRowCount="1" totalsRowCount="0" totalsRowShown="0">
  <x:autoFilter ref="A6:S2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9.xml><?xml version="1.0" encoding="utf-8"?>
<x:table xmlns:x="http://schemas.openxmlformats.org/spreadsheetml/2006/main" id="9" name="ME3_enemies" displayName="ME3_enemies" ref="A6:S45" headerRowCount="1" totalsRowCount="0" totalsRowShown="0">
  <x:autoFilter ref="A6:S45"/>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0.xml><?xml version="1.0" encoding="utf-8"?>
<x:table xmlns:x="http://schemas.openxmlformats.org/spreadsheetml/2006/main" id="10" name="ME3_main_quests" displayName="ME3_main_quests" ref="A6:S38" headerRowCount="1" totalsRowCount="0" totalsRowShown="0">
  <x:autoFilter ref="A6:S3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1.xml><?xml version="1.0" encoding="utf-8"?>
<x:table xmlns:x="http://schemas.openxmlformats.org/spreadsheetml/2006/main" id="11" name="ME3_side_quests" displayName="ME3_side_quests" ref="A6:S74" headerRowCount="1" totalsRowCount="0" totalsRowShown="0">
  <x:autoFilter ref="A6:S7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2.xml><?xml version="1.0" encoding="utf-8"?>
<x:table xmlns:x="http://schemas.openxmlformats.org/spreadsheetml/2006/main" id="12" name="ME3_choices" displayName="ME3_choices" ref="A6:S36" headerRowCount="1" totalsRowCount="0" totalsRowShown="0">
  <x:autoFilter ref="A6:S3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3.xml><?xml version="1.0" encoding="utf-8"?>
<x:table xmlns:x="http://schemas.openxmlformats.org/spreadsheetml/2006/main" id="13" name="ME3_dialogues" displayName="ME3_dialogues" ref="A6:S19" headerRowCount="1" totalsRowCount="0" totalsRowShown="0">
  <x:autoFilter ref="A6:S1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4.xml><?xml version="1.0" encoding="utf-8"?>
<x:table xmlns:x="http://schemas.openxmlformats.org/spreadsheetml/2006/main" id="14" name="ME3_cinematics" displayName="ME3_cinematics" ref="A6:S18" headerRowCount="1" totalsRowCount="0" totalsRowShown="0">
  <x:autoFilter ref="A6:S1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5.xml><?xml version="1.0" encoding="utf-8"?>
<x:table xmlns:x="http://schemas.openxmlformats.org/spreadsheetml/2006/main" id="15" name="ME3_weapons" displayName="ME3_weapons" ref="A6:S57" headerRowCount="1" totalsRowCount="0" totalsRowShown="0">
  <x:autoFilter ref="A6:S5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6.xml><?xml version="1.0" encoding="utf-8"?>
<x:table xmlns:x="http://schemas.openxmlformats.org/spreadsheetml/2006/main" id="16" name="ME3_equipment" displayName="ME3_equipment" ref="A6:S28" headerRowCount="1" totalsRowCount="0" totalsRowShown="0">
  <x:autoFilter ref="A6:S2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7.xml><?xml version="1.0" encoding="utf-8"?>
<x:table xmlns:x="http://schemas.openxmlformats.org/spreadsheetml/2006/main" id="17" name="ME3_powers" displayName="ME3_powers" ref="A6:S54" headerRowCount="1" totalsRowCount="0" totalsRowShown="0">
  <x:autoFilter ref="A6:S5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8.xml><?xml version="1.0" encoding="utf-8"?>
<x:table xmlns:x="http://schemas.openxmlformats.org/spreadsheetml/2006/main" id="18" name="ME3_ally_moves" displayName="ME3_ally_moves" ref="A6:S24" headerRowCount="1" totalsRowCount="0" totalsRowShown="0">
  <x:autoFilter ref="A6:S2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9.xml><?xml version="1.0" encoding="utf-8"?>
<x:table xmlns:x="http://schemas.openxmlformats.org/spreadsheetml/2006/main" id="19" name="ME3_enemy_moves" displayName="ME3_enemy_moves" ref="A6:S45" headerRowCount="1" totalsRowCount="0" totalsRowShown="0">
  <x:autoFilter ref="A6:S45"/>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0.xml><?xml version="1.0" encoding="utf-8"?>
<x:table xmlns:x="http://schemas.openxmlformats.org/spreadsheetml/2006/main" id="20" name="ME3_animations" displayName="ME3_animations" ref="A6:S23" headerRowCount="1" totalsRowCount="0" totalsRowShown="0">
  <x:autoFilter ref="A6:S2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1.xml><?xml version="1.0" encoding="utf-8"?>
<x:table xmlns:x="http://schemas.openxmlformats.org/spreadsheetml/2006/main" id="21" name="ME3_sprites" displayName="ME3_sprites" ref="A6:S65" headerRowCount="1" totalsRowCount="0" totalsRowShown="0">
  <x:autoFilter ref="A6:S65"/>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2.xml><?xml version="1.0" encoding="utf-8"?>
<x:table xmlns:x="http://schemas.openxmlformats.org/spreadsheetml/2006/main" id="22" name="ME3_vfx" displayName="ME3_vfx" ref="A6:S21" headerRowCount="1" totalsRowCount="0" totalsRowShown="0">
  <x:autoFilter ref="A6:S2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3.xml><?xml version="1.0" encoding="utf-8"?>
<x:table xmlns:x="http://schemas.openxmlformats.org/spreadsheetml/2006/main" id="23" name="ME3_audio" displayName="ME3_audio" ref="A6:S18" headerRowCount="1" totalsRowCount="0" totalsRowShown="0">
  <x:autoFilter ref="A6:S1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4.xml><?xml version="1.0" encoding="utf-8"?>
<x:table xmlns:x="http://schemas.openxmlformats.org/spreadsheetml/2006/main" id="24" name="ME3_systems" displayName="ME3_systems" ref="A6:S32" headerRowCount="1" totalsRowCount="0" totalsRowShown="0">
  <x:autoFilter ref="A6:S3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5.xml><?xml version="1.0" encoding="utf-8"?>
<x:table xmlns:x="http://schemas.openxmlformats.org/spreadsheetml/2006/main" id="25" name="ME3_qa" displayName="ME3_qa" ref="A6:S29" headerRowCount="1" totalsRowCount="0" totalsRowShown="0">
  <x:autoFilter ref="A6:S2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6.xml><?xml version="1.0" encoding="utf-8"?>
<x:table xmlns:x="http://schemas.openxmlformats.org/spreadsheetml/2006/main" id="26" name="ME3_continuity" displayName="ME3_continuity" ref="A6:S20" headerRowCount="1" totalsRowCount="0" totalsRowShown="0">
  <x:autoFilter ref="A6:S2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b70dd6c38354ac7" /></Relationships>
</file>

<file path=xl/worksheets/_rels/sheet3.xml.rels>&#65279;<?xml version="1.0" encoding="utf-8"?><Relationships xmlns="http://schemas.openxmlformats.org/package/2006/relationships"><Relationship Type="http://schemas.openxmlformats.org/officeDocument/2006/relationships/table" Target="/xl/tables/table2.xml" Id="Rd2ae490c10a84340" /></Relationships>
</file>

<file path=xl/worksheets/_rels/sheet4.xml.rels>&#65279;<?xml version="1.0" encoding="utf-8"?><Relationships xmlns="http://schemas.openxmlformats.org/package/2006/relationships"><Relationship Type="http://schemas.openxmlformats.org/officeDocument/2006/relationships/table" Target="/xl/tables/table3.xml" Id="R5cc1a764cf394b6a" /></Relationships>
</file>

<file path=xl/worksheets/_rels/sheet5.xml.rels>&#65279;<?xml version="1.0" encoding="utf-8"?><Relationships xmlns="http://schemas.openxmlformats.org/package/2006/relationships"><Relationship Type="http://schemas.openxmlformats.org/officeDocument/2006/relationships/table" Target="/xl/tables/table4.xml" Id="Rc2bde4f318214a70" /></Relationships>
</file>

<file path=xl/worksheets/_rels/sheet6.xml.rels>&#65279;<?xml version="1.0" encoding="utf-8"?><Relationships xmlns="http://schemas.openxmlformats.org/package/2006/relationships"><Relationship Type="http://schemas.openxmlformats.org/officeDocument/2006/relationships/table" Target="/xl/tables/table5.xml" Id="Re3dfc9bf8f394382" /></Relationships>
</file>

<file path=xl/worksheets/_rels/sheet7.xml.rels>&#65279;<?xml version="1.0" encoding="utf-8"?><Relationships xmlns="http://schemas.openxmlformats.org/package/2006/relationships"><Relationship Type="http://schemas.openxmlformats.org/officeDocument/2006/relationships/table" Target="/xl/tables/table6.xml" Id="Rc3e3016fd9324bf2" /></Relationships>
</file>

<file path=xl/worksheets/_rels/sheet8.xml.rels>&#65279;<?xml version="1.0" encoding="utf-8"?><Relationships xmlns="http://schemas.openxmlformats.org/package/2006/relationships"><Relationship Type="http://schemas.openxmlformats.org/officeDocument/2006/relationships/table" Target="/xl/tables/table7.xml" Id="R9e5d04ef5fea4b81" /></Relationships>
</file>

<file path=xl/worksheets/_rels/sheet9.xml.rels>&#65279;<?xml version="1.0" encoding="utf-8"?><Relationships xmlns="http://schemas.openxmlformats.org/package/2006/relationships"><Relationship Type="http://schemas.openxmlformats.org/officeDocument/2006/relationships/table" Target="/xl/tables/table8.xml" Id="Rff996e34755b4ee0" /></Relationships>
</file>

<file path=xl/worksheets/_rels/sheet10.xml.rels>&#65279;<?xml version="1.0" encoding="utf-8"?><Relationships xmlns="http://schemas.openxmlformats.org/package/2006/relationships"><Relationship Type="http://schemas.openxmlformats.org/officeDocument/2006/relationships/table" Target="/xl/tables/table9.xml" Id="Rbca064caf31e40f9" /></Relationships>
</file>

<file path=xl/worksheets/_rels/sheet11.xml.rels>&#65279;<?xml version="1.0" encoding="utf-8"?><Relationships xmlns="http://schemas.openxmlformats.org/package/2006/relationships"><Relationship Type="http://schemas.openxmlformats.org/officeDocument/2006/relationships/table" Target="/xl/tables/table10.xml" Id="Rbc97b77c40154cf2" /></Relationships>
</file>

<file path=xl/worksheets/_rels/sheet12.xml.rels>&#65279;<?xml version="1.0" encoding="utf-8"?><Relationships xmlns="http://schemas.openxmlformats.org/package/2006/relationships"><Relationship Type="http://schemas.openxmlformats.org/officeDocument/2006/relationships/table" Target="/xl/tables/table11.xml" Id="Rff15d7ef68d3482d" /></Relationships>
</file>

<file path=xl/worksheets/_rels/sheet13.xml.rels>&#65279;<?xml version="1.0" encoding="utf-8"?><Relationships xmlns="http://schemas.openxmlformats.org/package/2006/relationships"><Relationship Type="http://schemas.openxmlformats.org/officeDocument/2006/relationships/table" Target="/xl/tables/table12.xml" Id="R70491b88e60a43cf" /></Relationships>
</file>

<file path=xl/worksheets/_rels/sheet14.xml.rels>&#65279;<?xml version="1.0" encoding="utf-8"?><Relationships xmlns="http://schemas.openxmlformats.org/package/2006/relationships"><Relationship Type="http://schemas.openxmlformats.org/officeDocument/2006/relationships/table" Target="/xl/tables/table13.xml" Id="R895ae93c3ba14f77" /></Relationships>
</file>

<file path=xl/worksheets/_rels/sheet15.xml.rels>&#65279;<?xml version="1.0" encoding="utf-8"?><Relationships xmlns="http://schemas.openxmlformats.org/package/2006/relationships"><Relationship Type="http://schemas.openxmlformats.org/officeDocument/2006/relationships/table" Target="/xl/tables/table14.xml" Id="R838b76fc6971467e" /></Relationships>
</file>

<file path=xl/worksheets/_rels/sheet16.xml.rels>&#65279;<?xml version="1.0" encoding="utf-8"?><Relationships xmlns="http://schemas.openxmlformats.org/package/2006/relationships"><Relationship Type="http://schemas.openxmlformats.org/officeDocument/2006/relationships/table" Target="/xl/tables/table15.xml" Id="Rca25fd15462d4f6b" /></Relationships>
</file>

<file path=xl/worksheets/_rels/sheet17.xml.rels>&#65279;<?xml version="1.0" encoding="utf-8"?><Relationships xmlns="http://schemas.openxmlformats.org/package/2006/relationships"><Relationship Type="http://schemas.openxmlformats.org/officeDocument/2006/relationships/table" Target="/xl/tables/table16.xml" Id="R57df6ac97c294bc7" /></Relationships>
</file>

<file path=xl/worksheets/_rels/sheet18.xml.rels>&#65279;<?xml version="1.0" encoding="utf-8"?><Relationships xmlns="http://schemas.openxmlformats.org/package/2006/relationships"><Relationship Type="http://schemas.openxmlformats.org/officeDocument/2006/relationships/table" Target="/xl/tables/table17.xml" Id="R2117a740064141b2" /></Relationships>
</file>

<file path=xl/worksheets/_rels/sheet19.xml.rels>&#65279;<?xml version="1.0" encoding="utf-8"?><Relationships xmlns="http://schemas.openxmlformats.org/package/2006/relationships"><Relationship Type="http://schemas.openxmlformats.org/officeDocument/2006/relationships/table" Target="/xl/tables/table18.xml" Id="Rfe2545043f9847ce" /></Relationships>
</file>

<file path=xl/worksheets/_rels/sheet20.xml.rels>&#65279;<?xml version="1.0" encoding="utf-8"?><Relationships xmlns="http://schemas.openxmlformats.org/package/2006/relationships"><Relationship Type="http://schemas.openxmlformats.org/officeDocument/2006/relationships/table" Target="/xl/tables/table19.xml" Id="R0362f00f673b41bb" /></Relationships>
</file>

<file path=xl/worksheets/_rels/sheet21.xml.rels>&#65279;<?xml version="1.0" encoding="utf-8"?><Relationships xmlns="http://schemas.openxmlformats.org/package/2006/relationships"><Relationship Type="http://schemas.openxmlformats.org/officeDocument/2006/relationships/table" Target="/xl/tables/table20.xml" Id="R2f82d1e81692410d" /></Relationships>
</file>

<file path=xl/worksheets/_rels/sheet22.xml.rels>&#65279;<?xml version="1.0" encoding="utf-8"?><Relationships xmlns="http://schemas.openxmlformats.org/package/2006/relationships"><Relationship Type="http://schemas.openxmlformats.org/officeDocument/2006/relationships/table" Target="/xl/tables/table21.xml" Id="R20e36dfa89634471" /></Relationships>
</file>

<file path=xl/worksheets/_rels/sheet23.xml.rels>&#65279;<?xml version="1.0" encoding="utf-8"?><Relationships xmlns="http://schemas.openxmlformats.org/package/2006/relationships"><Relationship Type="http://schemas.openxmlformats.org/officeDocument/2006/relationships/table" Target="/xl/tables/table22.xml" Id="R152002aeeab84bb8" /></Relationships>
</file>

<file path=xl/worksheets/_rels/sheet24.xml.rels>&#65279;<?xml version="1.0" encoding="utf-8"?><Relationships xmlns="http://schemas.openxmlformats.org/package/2006/relationships"><Relationship Type="http://schemas.openxmlformats.org/officeDocument/2006/relationships/table" Target="/xl/tables/table23.xml" Id="Raf3f3c2ef5734b53" /></Relationships>
</file>

<file path=xl/worksheets/_rels/sheet25.xml.rels>&#65279;<?xml version="1.0" encoding="utf-8"?><Relationships xmlns="http://schemas.openxmlformats.org/package/2006/relationships"><Relationship Type="http://schemas.openxmlformats.org/officeDocument/2006/relationships/table" Target="/xl/tables/table24.xml" Id="R77dd9a30e3244e5f" /></Relationships>
</file>

<file path=xl/worksheets/_rels/sheet26.xml.rels>&#65279;<?xml version="1.0" encoding="utf-8"?><Relationships xmlns="http://schemas.openxmlformats.org/package/2006/relationships"><Relationship Type="http://schemas.openxmlformats.org/officeDocument/2006/relationships/table" Target="/xl/tables/table25.xml" Id="R6b898db09a634bc4" /></Relationships>
</file>

<file path=xl/worksheets/_rels/sheet27.xml.rels>&#65279;<?xml version="1.0" encoding="utf-8"?><Relationships xmlns="http://schemas.openxmlformats.org/package/2006/relationships"><Relationship Type="http://schemas.openxmlformats.org/officeDocument/2006/relationships/table" Target="/xl/tables/table26.xml" Id="Rc7f1d4475edb4fd6" /></Relationships>
</file>

<file path=xl/worksheets/sheet1.xml><?xml version="1.0" encoding="utf-8"?>
<x:worksheet xmlns:x="http://schemas.openxmlformats.org/spreadsheetml/2006/main">
  <x:sheetPr>
    <x:tabColor rgb="FF102438"/>
  </x:sheetPr>
  <x:sheetViews>
    <x:sheetView showGridLines="0" workbookViewId="0"/>
  </x:sheetViews>
  <x:sheetFormatPr defaultRowHeight="15"/>
  <x:cols>
    <x:col min="1" max="1" width="28" hidden="0" customWidth="1"/>
    <x:col min="2" max="2" width="12" hidden="0" customWidth="1"/>
    <x:col min="3" max="3" width="13" hidden="0" customWidth="1"/>
    <x:col min="4" max="4" width="13" hidden="0" customWidth="1"/>
    <x:col min="5" max="5" width="13" hidden="0" customWidth="1"/>
    <x:col min="6" max="6" width="13" hidden="0" customWidth="1"/>
    <x:col min="7" max="7" width="14" hidden="0" customWidth="1"/>
    <x:col min="8" max="8" width="15" hidden="0" customWidth="1"/>
    <x:col min="9" max="9" width="16" hidden="0" customWidth="1"/>
    <x:col min="10" max="10" width="17" hidden="0" customWidth="1"/>
    <x:col min="11" max="11" width="17" hidden="0" customWidth="1"/>
    <x:col min="12" max="12" width="17" hidden="0" customWidth="1"/>
    <x:col min="13" max="13" width="14" hidden="0" customWidth="1"/>
  </x:cols>
  <x:sheetData>
    <x:row r="1" ht="22" customHeight="1">
      <x:c r="A1" s="2"/>
      <x:c r="B1" s="2"/>
      <x:c r="C1" s="2"/>
      <x:c r="D1" s="2"/>
      <x:c r="E1" s="2"/>
      <x:c r="F1" s="2"/>
      <x:c r="G1" s="2"/>
      <x:c r="H1" s="2"/>
      <x:c r="I1" s="2"/>
      <x:c r="J1" s="2"/>
      <x:c r="K1" s="2"/>
      <x:c r="L1" s="2"/>
      <x:c r="M1" s="2"/>
    </x:row>
    <x:row r="2" ht="22" customHeight="1">
      <x:c r="A2" s="3" t="str">
        <x:v>Mass Effect 3</x:v>
      </x:c>
      <x:c r="B2" s="2"/>
      <x:c r="C2" s="2"/>
      <x:c r="D2" s="2"/>
      <x:c r="E2" s="2"/>
      <x:c r="F2" s="2"/>
      <x:c r="G2" s="2"/>
      <x:c r="H2" s="2"/>
      <x:c r="I2" s="2"/>
      <x:c r="J2" s="2"/>
      <x:c r="K2" s="2"/>
      <x:c r="L2" s="2"/>
      <x:c r="M2" s="2"/>
    </x:row>
    <x:row r="3" ht="22" customHeight="1">
      <x:c r="A3" s="4" t="str">
        <x:v>Catalogue de production. Statuts et références calculés depuis les fiches.</x:v>
      </x:c>
      <x:c r="B3" s="2"/>
      <x:c r="C3" s="2"/>
      <x:c r="D3" s="2"/>
      <x:c r="E3" s="2"/>
      <x:c r="F3" s="2"/>
      <x:c r="G3" s="2"/>
      <x:c r="H3" s="2"/>
      <x:c r="I3" s="2"/>
      <x:c r="J3" s="2"/>
      <x:c r="K3" s="2"/>
      <x:c r="L3" s="2"/>
      <x:c r="M3" s="2"/>
    </x:row>
    <x:row r="4" ht="22" customHeight="1">
      <x:c r="A4" s="5"/>
      <x:c r="B4" s="5"/>
      <x:c r="C4" s="5"/>
      <x:c r="D4" s="5"/>
      <x:c r="E4" s="5"/>
      <x:c r="F4" s="5"/>
      <x:c r="G4" s="5"/>
      <x:c r="H4" s="5"/>
      <x:c r="I4" s="5"/>
      <x:c r="J4" s="5"/>
      <x:c r="K4" s="5"/>
      <x:c r="L4" s="5"/>
      <x:c r="M4" s="5"/>
    </x:row>
    <x:row r="5" ht="22" customHeight="1">
      <x:c r="A5" s="2" t="str">
        <x:v>Fiches suivies</x:v>
      </x:c>
      <x:c r="B5" s="33" t="n">
        <x:f>SUM(B10:B35)</x:f>
        <x:v>736</x:v>
      </x:c>
      <x:c r="C5" s="2"/>
      <x:c r="D5" s="2" t="str">
        <x:v>Intégrés</x:v>
      </x:c>
      <x:c r="E5" s="33" t="n">
        <x:f>SUM(E10:F35)</x:f>
        <x:v>0</x:v>
      </x:c>
      <x:c r="F5" s="2"/>
      <x:c r="G5" s="2" t="str">
        <x:v>À vérifier</x:v>
      </x:c>
      <x:c r="H5" s="33" t="n">
        <x:f>SUM(H10:H35)</x:f>
        <x:v>0</x:v>
      </x:c>
      <x:c r="I5" s="2"/>
      <x:c r="J5" s="2" t="str">
        <x:v>Extrapolations</x:v>
      </x:c>
      <x:c r="K5" s="33" t="n">
        <x:f>SUM(I10:I35)</x:f>
        <x:v>290</x:v>
      </x:c>
      <x:c r="L5" s="2"/>
      <x:c r="M5" s="2"/>
    </x:row>
    <x:row r="6" ht="22" customHeight="1">
      <x:c r="A6" s="2"/>
      <x:c r="B6" s="2"/>
      <x:c r="C6" s="2"/>
      <x:c r="D6" s="2"/>
      <x:c r="E6" s="2"/>
      <x:c r="F6" s="2"/>
      <x:c r="G6" s="2"/>
      <x:c r="H6" s="2"/>
      <x:c r="I6" s="2"/>
      <x:c r="J6" s="2"/>
      <x:c r="K6" s="2"/>
      <x:c r="L6" s="2"/>
      <x:c r="M6" s="2"/>
    </x:row>
    <x:row r="7" ht="22" customHeight="1">
      <x:c r="A7" s="34" t="str">
        <x:v>Défini = spécification. Établi = référence documentée. Les colonnes d’adaptation restent des propositions.</x:v>
      </x:c>
      <x:c r="B7" s="2"/>
      <x:c r="C7" s="2"/>
      <x:c r="D7" s="2"/>
      <x:c r="E7" s="2"/>
      <x:c r="F7" s="2"/>
      <x:c r="G7" s="2"/>
      <x:c r="H7" s="2"/>
      <x:c r="I7" s="2"/>
      <x:c r="J7" s="2"/>
      <x:c r="K7" s="2"/>
      <x:c r="L7" s="2"/>
      <x:c r="M7" s="2"/>
    </x:row>
    <x:row r="8" ht="22" customHeight="1">
      <x:c r="A8" s="2"/>
      <x:c r="B8" s="2"/>
      <x:c r="C8" s="2"/>
      <x:c r="D8" s="2"/>
      <x:c r="E8" s="2"/>
      <x:c r="F8" s="2"/>
      <x:c r="G8" s="2"/>
      <x:c r="H8" s="2"/>
      <x:c r="I8" s="2"/>
      <x:c r="J8" s="2"/>
      <x:c r="K8" s="2"/>
      <x:c r="L8" s="2"/>
      <x:c r="M8" s="2"/>
    </x:row>
    <x:row r="9" ht="34" customHeight="1">
      <x:c r="A9" s="30" t="str">
        <x:v>Domaine</x:v>
      </x:c>
      <x:c r="B9" s="31" t="str">
        <x:v>Total</x:v>
      </x:c>
      <x:c r="C9" s="31" t="str">
        <x:v>Défini</x:v>
      </x:c>
      <x:c r="D9" s="31" t="str">
        <x:v>Prototype</x:v>
      </x:c>
      <x:c r="E9" s="31" t="str">
        <x:v>Intégré</x:v>
      </x:c>
      <x:c r="F9" s="31" t="str">
        <x:v>Validé</x:v>
      </x:c>
      <x:c r="G9" s="31" t="str">
        <x:v>Établi</x:v>
      </x:c>
      <x:c r="H9" s="31" t="str">
        <x:v>À vérifier</x:v>
      </x:c>
      <x:c r="I9" s="31" t="str">
        <x:v>Extrapolation</x:v>
      </x:c>
      <x:c r="J9" s="31" t="str">
        <x:v>Coupé attesté</x:v>
      </x:c>
      <x:c r="K9" s="31" t="str">
        <x:v>Concept abandonné</x:v>
      </x:c>
      <x:c r="L9" s="31" t="str">
        <x:v>Allégation écartée</x:v>
      </x:c>
      <x:c r="M9" s="32" t="str">
        <x:v>Priorité P0</x:v>
      </x:c>
    </x:row>
    <x:row r="10" ht="22" customHeight="1">
      <x:c r="A10" s="35" t="str">
        <x:v>Personnages</x:v>
      </x:c>
      <x:c r="B10" s="39" t="n">
        <x:f>COUNTA('Personnages'!$A$7:$A$26)</x:f>
        <x:v>20</x:v>
      </x:c>
      <x:c r="C10" s="39" t="n">
        <x:f>COUNTIFS('Personnages'!$C$7:$C$26,"Défini")</x:f>
        <x:v>20</x:v>
      </x:c>
      <x:c r="D10" s="39" t="n">
        <x:f>COUNTIFS('Personnages'!$C$7:$C$26,"Prototype")</x:f>
        <x:v>0</x:v>
      </x:c>
      <x:c r="E10" s="39" t="n">
        <x:f>COUNTIFS('Personnages'!$C$7:$C$26,"Intégré")</x:f>
        <x:v>0</x:v>
      </x:c>
      <x:c r="F10" s="39" t="n">
        <x:f>COUNTIFS('Personnages'!$C$7:$C$26,"Validé")</x:f>
        <x:v>0</x:v>
      </x:c>
      <x:c r="G10" s="39" t="n">
        <x:f>COUNTIFS('Personnages'!$D$7:$D$26,"Établi")</x:f>
        <x:v>20</x:v>
      </x:c>
      <x:c r="H10" s="39" t="n">
        <x:f>COUNTIFS('Personnages'!$D$7:$D$26,"À vérifier")</x:f>
        <x:v>0</x:v>
      </x:c>
      <x:c r="I10" s="39" t="n">
        <x:f>COUNTIFS('Personnages'!$D$7:$D$26,"Extrapolation")</x:f>
        <x:v>0</x:v>
      </x:c>
      <x:c r="J10" s="39" t="n">
        <x:f>COUNTIFS('Personnages'!$D$7:$D$26,"Coupé attesté")</x:f>
        <x:v>0</x:v>
      </x:c>
      <x:c r="K10" s="39" t="n">
        <x:f>COUNTIFS('Personnages'!$D$7:$D$26,"Concept abandonné")</x:f>
        <x:v>0</x:v>
      </x:c>
      <x:c r="L10" s="39" t="n">
        <x:f>COUNTIFS('Personnages'!$D$7:$D$26,"Allégation écartée")</x:f>
        <x:v>0</x:v>
      </x:c>
      <x:c r="M10" s="39" t="n">
        <x:f>COUNTIFS('Personnages'!$E$7:$E$26,"P0")</x:f>
        <x:v>0</x:v>
      </x:c>
    </x:row>
    <x:row r="11" ht="22" customHeight="1">
      <x:c r="A11" s="2" t="str">
        <x:v>PNJ</x:v>
      </x:c>
      <x:c r="B11" s="40" t="n">
        <x:f>COUNTA('PNJ'!$A$7:$A$52)</x:f>
        <x:v>46</x:v>
      </x:c>
      <x:c r="C11" s="40" t="n">
        <x:f>COUNTIFS('PNJ'!$C$7:$C$52,"Défini")</x:f>
        <x:v>46</x:v>
      </x:c>
      <x:c r="D11" s="40" t="n">
        <x:f>COUNTIFS('PNJ'!$C$7:$C$52,"Prototype")</x:f>
        <x:v>0</x:v>
      </x:c>
      <x:c r="E11" s="40" t="n">
        <x:f>COUNTIFS('PNJ'!$C$7:$C$52,"Intégré")</x:f>
        <x:v>0</x:v>
      </x:c>
      <x:c r="F11" s="40" t="n">
        <x:f>COUNTIFS('PNJ'!$C$7:$C$52,"Validé")</x:f>
        <x:v>0</x:v>
      </x:c>
      <x:c r="G11" s="40" t="n">
        <x:f>COUNTIFS('PNJ'!$D$7:$D$52,"Établi")</x:f>
        <x:v>46</x:v>
      </x:c>
      <x:c r="H11" s="40" t="n">
        <x:f>COUNTIFS('PNJ'!$D$7:$D$52,"À vérifier")</x:f>
        <x:v>0</x:v>
      </x:c>
      <x:c r="I11" s="40" t="n">
        <x:f>COUNTIFS('PNJ'!$D$7:$D$52,"Extrapolation")</x:f>
        <x:v>0</x:v>
      </x:c>
      <x:c r="J11" s="40" t="n">
        <x:f>COUNTIFS('PNJ'!$D$7:$D$52,"Coupé attesté")</x:f>
        <x:v>0</x:v>
      </x:c>
      <x:c r="K11" s="40" t="n">
        <x:f>COUNTIFS('PNJ'!$D$7:$D$52,"Concept abandonné")</x:f>
        <x:v>0</x:v>
      </x:c>
      <x:c r="L11" s="40" t="n">
        <x:f>COUNTIFS('PNJ'!$D$7:$D$52,"Allégation écartée")</x:f>
        <x:v>0</x:v>
      </x:c>
      <x:c r="M11" s="40" t="n">
        <x:f>COUNTIFS('PNJ'!$E$7:$E$52,"P0")</x:f>
        <x:v>0</x:v>
      </x:c>
    </x:row>
    <x:row r="12" ht="22" customHeight="1">
      <x:c r="A12" s="35" t="str">
        <x:v>Espèces et factions</x:v>
      </x:c>
      <x:c r="B12" s="39" t="n">
        <x:f>COUNTA('Especes_factions'!$A$7:$A$22)</x:f>
        <x:v>16</x:v>
      </x:c>
      <x:c r="C12" s="39" t="n">
        <x:f>COUNTIFS('Especes_factions'!$C$7:$C$22,"Défini")</x:f>
        <x:v>16</x:v>
      </x:c>
      <x:c r="D12" s="39" t="n">
        <x:f>COUNTIFS('Especes_factions'!$C$7:$C$22,"Prototype")</x:f>
        <x:v>0</x:v>
      </x:c>
      <x:c r="E12" s="39" t="n">
        <x:f>COUNTIFS('Especes_factions'!$C$7:$C$22,"Intégré")</x:f>
        <x:v>0</x:v>
      </x:c>
      <x:c r="F12" s="39" t="n">
        <x:f>COUNTIFS('Especes_factions'!$C$7:$C$22,"Validé")</x:f>
        <x:v>0</x:v>
      </x:c>
      <x:c r="G12" s="39" t="n">
        <x:f>COUNTIFS('Especes_factions'!$D$7:$D$22,"Établi")</x:f>
        <x:v>16</x:v>
      </x:c>
      <x:c r="H12" s="39" t="n">
        <x:f>COUNTIFS('Especes_factions'!$D$7:$D$22,"À vérifier")</x:f>
        <x:v>0</x:v>
      </x:c>
      <x:c r="I12" s="39" t="n">
        <x:f>COUNTIFS('Especes_factions'!$D$7:$D$22,"Extrapolation")</x:f>
        <x:v>0</x:v>
      </x:c>
      <x:c r="J12" s="39" t="n">
        <x:f>COUNTIFS('Especes_factions'!$D$7:$D$22,"Coupé attesté")</x:f>
        <x:v>0</x:v>
      </x:c>
      <x:c r="K12" s="39" t="n">
        <x:f>COUNTIFS('Especes_factions'!$D$7:$D$22,"Concept abandonné")</x:f>
        <x:v>0</x:v>
      </x:c>
      <x:c r="L12" s="39" t="n">
        <x:f>COUNTIFS('Especes_factions'!$D$7:$D$22,"Allégation écartée")</x:f>
        <x:v>0</x:v>
      </x:c>
      <x:c r="M12" s="39" t="n">
        <x:f>COUNTIFS('Especes_factions'!$E$7:$E$22,"P0")</x:f>
        <x:v>0</x:v>
      </x:c>
    </x:row>
    <x:row r="13" ht="22" customHeight="1">
      <x:c r="A13" s="2" t="str">
        <x:v>Mondes</x:v>
      </x:c>
      <x:c r="B13" s="40" t="n">
        <x:f>COUNTA('Mondes'!$A$7:$A$26)</x:f>
        <x:v>20</x:v>
      </x:c>
      <x:c r="C13" s="40" t="n">
        <x:f>COUNTIFS('Mondes'!$C$7:$C$26,"Défini")</x:f>
        <x:v>20</x:v>
      </x:c>
      <x:c r="D13" s="40" t="n">
        <x:f>COUNTIFS('Mondes'!$C$7:$C$26,"Prototype")</x:f>
        <x:v>0</x:v>
      </x:c>
      <x:c r="E13" s="40" t="n">
        <x:f>COUNTIFS('Mondes'!$C$7:$C$26,"Intégré")</x:f>
        <x:v>0</x:v>
      </x:c>
      <x:c r="F13" s="40" t="n">
        <x:f>COUNTIFS('Mondes'!$C$7:$C$26,"Validé")</x:f>
        <x:v>0</x:v>
      </x:c>
      <x:c r="G13" s="40" t="n">
        <x:f>COUNTIFS('Mondes'!$D$7:$D$26,"Établi")</x:f>
        <x:v>20</x:v>
      </x:c>
      <x:c r="H13" s="40" t="n">
        <x:f>COUNTIFS('Mondes'!$D$7:$D$26,"À vérifier")</x:f>
        <x:v>0</x:v>
      </x:c>
      <x:c r="I13" s="40" t="n">
        <x:f>COUNTIFS('Mondes'!$D$7:$D$26,"Extrapolation")</x:f>
        <x:v>0</x:v>
      </x:c>
      <x:c r="J13" s="40" t="n">
        <x:f>COUNTIFS('Mondes'!$D$7:$D$26,"Coupé attesté")</x:f>
        <x:v>0</x:v>
      </x:c>
      <x:c r="K13" s="40" t="n">
        <x:f>COUNTIFS('Mondes'!$D$7:$D$26,"Concept abandonné")</x:f>
        <x:v>0</x:v>
      </x:c>
      <x:c r="L13" s="40" t="n">
        <x:f>COUNTIFS('Mondes'!$D$7:$D$26,"Allégation écartée")</x:f>
        <x:v>0</x:v>
      </x:c>
      <x:c r="M13" s="40" t="n">
        <x:f>COUNTIFS('Mondes'!$E$7:$E$26,"P0")</x:f>
        <x:v>0</x:v>
      </x:c>
    </x:row>
    <x:row r="14" ht="22" customHeight="1">
      <x:c r="A14" s="35" t="str">
        <x:v>Zones</x:v>
      </x:c>
      <x:c r="B14" s="39" t="n">
        <x:f>COUNTA('Zones'!$A$7:$A$55)</x:f>
        <x:v>49</x:v>
      </x:c>
      <x:c r="C14" s="39" t="n">
        <x:f>COUNTIFS('Zones'!$C$7:$C$55,"Défini")</x:f>
        <x:v>49</x:v>
      </x:c>
      <x:c r="D14" s="39" t="n">
        <x:f>COUNTIFS('Zones'!$C$7:$C$55,"Prototype")</x:f>
        <x:v>0</x:v>
      </x:c>
      <x:c r="E14" s="39" t="n">
        <x:f>COUNTIFS('Zones'!$C$7:$C$55,"Intégré")</x:f>
        <x:v>0</x:v>
      </x:c>
      <x:c r="F14" s="39" t="n">
        <x:f>COUNTIFS('Zones'!$C$7:$C$55,"Validé")</x:f>
        <x:v>0</x:v>
      </x:c>
      <x:c r="G14" s="39" t="n">
        <x:f>COUNTIFS('Zones'!$D$7:$D$55,"Établi")</x:f>
        <x:v>49</x:v>
      </x:c>
      <x:c r="H14" s="39" t="n">
        <x:f>COUNTIFS('Zones'!$D$7:$D$55,"À vérifier")</x:f>
        <x:v>0</x:v>
      </x:c>
      <x:c r="I14" s="39" t="n">
        <x:f>COUNTIFS('Zones'!$D$7:$D$55,"Extrapolation")</x:f>
        <x:v>0</x:v>
      </x:c>
      <x:c r="J14" s="39" t="n">
        <x:f>COUNTIFS('Zones'!$D$7:$D$55,"Coupé attesté")</x:f>
        <x:v>0</x:v>
      </x:c>
      <x:c r="K14" s="39" t="n">
        <x:f>COUNTIFS('Zones'!$D$7:$D$55,"Concept abandonné")</x:f>
        <x:v>0</x:v>
      </x:c>
      <x:c r="L14" s="39" t="n">
        <x:f>COUNTIFS('Zones'!$D$7:$D$55,"Allégation écartée")</x:f>
        <x:v>0</x:v>
      </x:c>
      <x:c r="M14" s="39" t="n">
        <x:f>COUNTIFS('Zones'!$E$7:$E$55,"P0")</x:f>
        <x:v>0</x:v>
      </x:c>
    </x:row>
    <x:row r="15" ht="22" customHeight="1">
      <x:c r="A15" s="2" t="str">
        <x:v>Liaisons</x:v>
      </x:c>
      <x:c r="B15" s="40" t="n">
        <x:f>COUNTA('Liaisons'!$A$7:$A$20)</x:f>
        <x:v>14</x:v>
      </x:c>
      <x:c r="C15" s="40" t="n">
        <x:f>COUNTIFS('Liaisons'!$C$7:$C$20,"Défini")</x:f>
        <x:v>14</x:v>
      </x:c>
      <x:c r="D15" s="40" t="n">
        <x:f>COUNTIFS('Liaisons'!$C$7:$C$20,"Prototype")</x:f>
        <x:v>0</x:v>
      </x:c>
      <x:c r="E15" s="40" t="n">
        <x:f>COUNTIFS('Liaisons'!$C$7:$C$20,"Intégré")</x:f>
        <x:v>0</x:v>
      </x:c>
      <x:c r="F15" s="40" t="n">
        <x:f>COUNTIFS('Liaisons'!$C$7:$C$20,"Validé")</x:f>
        <x:v>0</x:v>
      </x:c>
      <x:c r="G15" s="40" t="n">
        <x:f>COUNTIFS('Liaisons'!$D$7:$D$20,"Établi")</x:f>
        <x:v>0</x:v>
      </x:c>
      <x:c r="H15" s="40" t="n">
        <x:f>COUNTIFS('Liaisons'!$D$7:$D$20,"À vérifier")</x:f>
        <x:v>0</x:v>
      </x:c>
      <x:c r="I15" s="40" t="n">
        <x:f>COUNTIFS('Liaisons'!$D$7:$D$20,"Extrapolation")</x:f>
        <x:v>14</x:v>
      </x:c>
      <x:c r="J15" s="40" t="n">
        <x:f>COUNTIFS('Liaisons'!$D$7:$D$20,"Coupé attesté")</x:f>
        <x:v>0</x:v>
      </x:c>
      <x:c r="K15" s="40" t="n">
        <x:f>COUNTIFS('Liaisons'!$D$7:$D$20,"Concept abandonné")</x:f>
        <x:v>0</x:v>
      </x:c>
      <x:c r="L15" s="40" t="n">
        <x:f>COUNTIFS('Liaisons'!$D$7:$D$20,"Allégation écartée")</x:f>
        <x:v>0</x:v>
      </x:c>
      <x:c r="M15" s="40" t="n">
        <x:f>COUNTIFS('Liaisons'!$E$7:$E$20,"P0")</x:f>
        <x:v>0</x:v>
      </x:c>
    </x:row>
    <x:row r="16" ht="22" customHeight="1">
      <x:c r="A16" s="35" t="str">
        <x:v>Décors</x:v>
      </x:c>
      <x:c r="B16" s="39" t="n">
        <x:f>COUNTA('Decors'!$A$7:$A$22)</x:f>
        <x:v>16</x:v>
      </x:c>
      <x:c r="C16" s="39" t="n">
        <x:f>COUNTIFS('Decors'!$C$7:$C$22,"Défini")</x:f>
        <x:v>16</x:v>
      </x:c>
      <x:c r="D16" s="39" t="n">
        <x:f>COUNTIFS('Decors'!$C$7:$C$22,"Prototype")</x:f>
        <x:v>0</x:v>
      </x:c>
      <x:c r="E16" s="39" t="n">
        <x:f>COUNTIFS('Decors'!$C$7:$C$22,"Intégré")</x:f>
        <x:v>0</x:v>
      </x:c>
      <x:c r="F16" s="39" t="n">
        <x:f>COUNTIFS('Decors'!$C$7:$C$22,"Validé")</x:f>
        <x:v>0</x:v>
      </x:c>
      <x:c r="G16" s="39" t="n">
        <x:f>COUNTIFS('Decors'!$D$7:$D$22,"Établi")</x:f>
        <x:v>0</x:v>
      </x:c>
      <x:c r="H16" s="39" t="n">
        <x:f>COUNTIFS('Decors'!$D$7:$D$22,"À vérifier")</x:f>
        <x:v>0</x:v>
      </x:c>
      <x:c r="I16" s="39" t="n">
        <x:f>COUNTIFS('Decors'!$D$7:$D$22,"Extrapolation")</x:f>
        <x:v>16</x:v>
      </x:c>
      <x:c r="J16" s="39" t="n">
        <x:f>COUNTIFS('Decors'!$D$7:$D$22,"Coupé attesté")</x:f>
        <x:v>0</x:v>
      </x:c>
      <x:c r="K16" s="39" t="n">
        <x:f>COUNTIFS('Decors'!$D$7:$D$22,"Concept abandonné")</x:f>
        <x:v>0</x:v>
      </x:c>
      <x:c r="L16" s="39" t="n">
        <x:f>COUNTIFS('Decors'!$D$7:$D$22,"Allégation écartée")</x:f>
        <x:v>0</x:v>
      </x:c>
      <x:c r="M16" s="39" t="n">
        <x:f>COUNTIFS('Decors'!$E$7:$E$22,"P0")</x:f>
        <x:v>0</x:v>
      </x:c>
    </x:row>
    <x:row r="17" ht="22" customHeight="1">
      <x:c r="A17" s="2" t="str">
        <x:v>Props</x:v>
      </x:c>
      <x:c r="B17" s="40" t="n">
        <x:f>COUNTA('Props'!$A$7:$A$23)</x:f>
        <x:v>17</x:v>
      </x:c>
      <x:c r="C17" s="40" t="n">
        <x:f>COUNTIFS('Props'!$C$7:$C$23,"Défini")</x:f>
        <x:v>17</x:v>
      </x:c>
      <x:c r="D17" s="40" t="n">
        <x:f>COUNTIFS('Props'!$C$7:$C$23,"Prototype")</x:f>
        <x:v>0</x:v>
      </x:c>
      <x:c r="E17" s="40" t="n">
        <x:f>COUNTIFS('Props'!$C$7:$C$23,"Intégré")</x:f>
        <x:v>0</x:v>
      </x:c>
      <x:c r="F17" s="40" t="n">
        <x:f>COUNTIFS('Props'!$C$7:$C$23,"Validé")</x:f>
        <x:v>0</x:v>
      </x:c>
      <x:c r="G17" s="40" t="n">
        <x:f>COUNTIFS('Props'!$D$7:$D$23,"Établi")</x:f>
        <x:v>0</x:v>
      </x:c>
      <x:c r="H17" s="40" t="n">
        <x:f>COUNTIFS('Props'!$D$7:$D$23,"À vérifier")</x:f>
        <x:v>0</x:v>
      </x:c>
      <x:c r="I17" s="40" t="n">
        <x:f>COUNTIFS('Props'!$D$7:$D$23,"Extrapolation")</x:f>
        <x:v>17</x:v>
      </x:c>
      <x:c r="J17" s="40" t="n">
        <x:f>COUNTIFS('Props'!$D$7:$D$23,"Coupé attesté")</x:f>
        <x:v>0</x:v>
      </x:c>
      <x:c r="K17" s="40" t="n">
        <x:f>COUNTIFS('Props'!$D$7:$D$23,"Concept abandonné")</x:f>
        <x:v>0</x:v>
      </x:c>
      <x:c r="L17" s="40" t="n">
        <x:f>COUNTIFS('Props'!$D$7:$D$23,"Allégation écartée")</x:f>
        <x:v>0</x:v>
      </x:c>
      <x:c r="M17" s="40" t="n">
        <x:f>COUNTIFS('Props'!$E$7:$E$23,"P0")</x:f>
        <x:v>0</x:v>
      </x:c>
    </x:row>
    <x:row r="18" ht="22" customHeight="1">
      <x:c r="A18" s="35" t="str">
        <x:v>Ennemis et boss</x:v>
      </x:c>
      <x:c r="B18" s="39" t="n">
        <x:f>COUNTA('Ennemis_boss'!$A$7:$A$45)</x:f>
        <x:v>39</x:v>
      </x:c>
      <x:c r="C18" s="39" t="n">
        <x:f>COUNTIFS('Ennemis_boss'!$C$7:$C$45,"Défini")</x:f>
        <x:v>39</x:v>
      </x:c>
      <x:c r="D18" s="39" t="n">
        <x:f>COUNTIFS('Ennemis_boss'!$C$7:$C$45,"Prototype")</x:f>
        <x:v>0</x:v>
      </x:c>
      <x:c r="E18" s="39" t="n">
        <x:f>COUNTIFS('Ennemis_boss'!$C$7:$C$45,"Intégré")</x:f>
        <x:v>0</x:v>
      </x:c>
      <x:c r="F18" s="39" t="n">
        <x:f>COUNTIFS('Ennemis_boss'!$C$7:$C$45,"Validé")</x:f>
        <x:v>0</x:v>
      </x:c>
      <x:c r="G18" s="39" t="n">
        <x:f>COUNTIFS('Ennemis_boss'!$D$7:$D$45,"Établi")</x:f>
        <x:v>39</x:v>
      </x:c>
      <x:c r="H18" s="39" t="n">
        <x:f>COUNTIFS('Ennemis_boss'!$D$7:$D$45,"À vérifier")</x:f>
        <x:v>0</x:v>
      </x:c>
      <x:c r="I18" s="39" t="n">
        <x:f>COUNTIFS('Ennemis_boss'!$D$7:$D$45,"Extrapolation")</x:f>
        <x:v>0</x:v>
      </x:c>
      <x:c r="J18" s="39" t="n">
        <x:f>COUNTIFS('Ennemis_boss'!$D$7:$D$45,"Coupé attesté")</x:f>
        <x:v>0</x:v>
      </x:c>
      <x:c r="K18" s="39" t="n">
        <x:f>COUNTIFS('Ennemis_boss'!$D$7:$D$45,"Concept abandonné")</x:f>
        <x:v>0</x:v>
      </x:c>
      <x:c r="L18" s="39" t="n">
        <x:f>COUNTIFS('Ennemis_boss'!$D$7:$D$45,"Allégation écartée")</x:f>
        <x:v>0</x:v>
      </x:c>
      <x:c r="M18" s="39" t="n">
        <x:f>COUNTIFS('Ennemis_boss'!$E$7:$E$45,"P0")</x:f>
        <x:v>0</x:v>
      </x:c>
    </x:row>
    <x:row r="19" ht="22" customHeight="1">
      <x:c r="A19" s="2" t="str">
        <x:v>Missions</x:v>
      </x:c>
      <x:c r="B19" s="40" t="n">
        <x:f>COUNTA('Missions'!$A$7:$A$38)</x:f>
        <x:v>32</x:v>
      </x:c>
      <x:c r="C19" s="40" t="n">
        <x:f>COUNTIFS('Missions'!$C$7:$C$38,"Défini")</x:f>
        <x:v>32</x:v>
      </x:c>
      <x:c r="D19" s="40" t="n">
        <x:f>COUNTIFS('Missions'!$C$7:$C$38,"Prototype")</x:f>
        <x:v>0</x:v>
      </x:c>
      <x:c r="E19" s="40" t="n">
        <x:f>COUNTIFS('Missions'!$C$7:$C$38,"Intégré")</x:f>
        <x:v>0</x:v>
      </x:c>
      <x:c r="F19" s="40" t="n">
        <x:f>COUNTIFS('Missions'!$C$7:$C$38,"Validé")</x:f>
        <x:v>0</x:v>
      </x:c>
      <x:c r="G19" s="40" t="n">
        <x:f>COUNTIFS('Missions'!$D$7:$D$38,"Établi")</x:f>
        <x:v>32</x:v>
      </x:c>
      <x:c r="H19" s="40" t="n">
        <x:f>COUNTIFS('Missions'!$D$7:$D$38,"À vérifier")</x:f>
        <x:v>0</x:v>
      </x:c>
      <x:c r="I19" s="40" t="n">
        <x:f>COUNTIFS('Missions'!$D$7:$D$38,"Extrapolation")</x:f>
        <x:v>0</x:v>
      </x:c>
      <x:c r="J19" s="40" t="n">
        <x:f>COUNTIFS('Missions'!$D$7:$D$38,"Coupé attesté")</x:f>
        <x:v>0</x:v>
      </x:c>
      <x:c r="K19" s="40" t="n">
        <x:f>COUNTIFS('Missions'!$D$7:$D$38,"Concept abandonné")</x:f>
        <x:v>0</x:v>
      </x:c>
      <x:c r="L19" s="40" t="n">
        <x:f>COUNTIFS('Missions'!$D$7:$D$38,"Allégation écartée")</x:f>
        <x:v>0</x:v>
      </x:c>
      <x:c r="M19" s="40" t="n">
        <x:f>COUNTIFS('Missions'!$E$7:$E$38,"P0")</x:f>
        <x:v>32</x:v>
      </x:c>
    </x:row>
    <x:row r="20" ht="22" customHeight="1">
      <x:c r="A20" s="35" t="str">
        <x:v>Secondaires et DLC</x:v>
      </x:c>
      <x:c r="B20" s="39" t="n">
        <x:f>COUNTA('Secondaires_DLC'!$A$7:$A$74)</x:f>
        <x:v>68</x:v>
      </x:c>
      <x:c r="C20" s="39" t="n">
        <x:f>COUNTIFS('Secondaires_DLC'!$C$7:$C$74,"Défini")</x:f>
        <x:v>68</x:v>
      </x:c>
      <x:c r="D20" s="39" t="n">
        <x:f>COUNTIFS('Secondaires_DLC'!$C$7:$C$74,"Prototype")</x:f>
        <x:v>0</x:v>
      </x:c>
      <x:c r="E20" s="39" t="n">
        <x:f>COUNTIFS('Secondaires_DLC'!$C$7:$C$74,"Intégré")</x:f>
        <x:v>0</x:v>
      </x:c>
      <x:c r="F20" s="39" t="n">
        <x:f>COUNTIFS('Secondaires_DLC'!$C$7:$C$74,"Validé")</x:f>
        <x:v>0</x:v>
      </x:c>
      <x:c r="G20" s="39" t="n">
        <x:f>COUNTIFS('Secondaires_DLC'!$D$7:$D$74,"Établi")</x:f>
        <x:v>68</x:v>
      </x:c>
      <x:c r="H20" s="39" t="n">
        <x:f>COUNTIFS('Secondaires_DLC'!$D$7:$D$74,"À vérifier")</x:f>
        <x:v>0</x:v>
      </x:c>
      <x:c r="I20" s="39" t="n">
        <x:f>COUNTIFS('Secondaires_DLC'!$D$7:$D$74,"Extrapolation")</x:f>
        <x:v>0</x:v>
      </x:c>
      <x:c r="J20" s="39" t="n">
        <x:f>COUNTIFS('Secondaires_DLC'!$D$7:$D$74,"Coupé attesté")</x:f>
        <x:v>0</x:v>
      </x:c>
      <x:c r="K20" s="39" t="n">
        <x:f>COUNTIFS('Secondaires_DLC'!$D$7:$D$74,"Concept abandonné")</x:f>
        <x:v>0</x:v>
      </x:c>
      <x:c r="L20" s="39" t="n">
        <x:f>COUNTIFS('Secondaires_DLC'!$D$7:$D$74,"Allégation écartée")</x:f>
        <x:v>0</x:v>
      </x:c>
      <x:c r="M20" s="39" t="n">
        <x:f>COUNTIFS('Secondaires_DLC'!$E$7:$E$74,"P0")</x:f>
        <x:v>0</x:v>
      </x:c>
    </x:row>
    <x:row r="21" ht="22" customHeight="1">
      <x:c r="A21" s="2" t="str">
        <x:v>Choix et relations</x:v>
      </x:c>
      <x:c r="B21" s="40" t="n">
        <x:f>COUNTA('Choix_relations'!$A$7:$A$36)</x:f>
        <x:v>30</x:v>
      </x:c>
      <x:c r="C21" s="40" t="n">
        <x:f>COUNTIFS('Choix_relations'!$C$7:$C$36,"Défini")</x:f>
        <x:v>30</x:v>
      </x:c>
      <x:c r="D21" s="40" t="n">
        <x:f>COUNTIFS('Choix_relations'!$C$7:$C$36,"Prototype")</x:f>
        <x:v>0</x:v>
      </x:c>
      <x:c r="E21" s="40" t="n">
        <x:f>COUNTIFS('Choix_relations'!$C$7:$C$36,"Intégré")</x:f>
        <x:v>0</x:v>
      </x:c>
      <x:c r="F21" s="40" t="n">
        <x:f>COUNTIFS('Choix_relations'!$C$7:$C$36,"Validé")</x:f>
        <x:v>0</x:v>
      </x:c>
      <x:c r="G21" s="40" t="n">
        <x:f>COUNTIFS('Choix_relations'!$D$7:$D$36,"Établi")</x:f>
        <x:v>30</x:v>
      </x:c>
      <x:c r="H21" s="40" t="n">
        <x:f>COUNTIFS('Choix_relations'!$D$7:$D$36,"À vérifier")</x:f>
        <x:v>0</x:v>
      </x:c>
      <x:c r="I21" s="40" t="n">
        <x:f>COUNTIFS('Choix_relations'!$D$7:$D$36,"Extrapolation")</x:f>
        <x:v>0</x:v>
      </x:c>
      <x:c r="J21" s="40" t="n">
        <x:f>COUNTIFS('Choix_relations'!$D$7:$D$36,"Coupé attesté")</x:f>
        <x:v>0</x:v>
      </x:c>
      <x:c r="K21" s="40" t="n">
        <x:f>COUNTIFS('Choix_relations'!$D$7:$D$36,"Concept abandonné")</x:f>
        <x:v>0</x:v>
      </x:c>
      <x:c r="L21" s="40" t="n">
        <x:f>COUNTIFS('Choix_relations'!$D$7:$D$36,"Allégation écartée")</x:f>
        <x:v>0</x:v>
      </x:c>
      <x:c r="M21" s="40" t="n">
        <x:f>COUNTIFS('Choix_relations'!$E$7:$E$36,"P0")</x:f>
        <x:v>0</x:v>
      </x:c>
    </x:row>
    <x:row r="22" ht="22" customHeight="1">
      <x:c r="A22" s="35" t="str">
        <x:v>Dialogues</x:v>
      </x:c>
      <x:c r="B22" s="39" t="n">
        <x:f>COUNTA('Dialogues'!$A$7:$A$19)</x:f>
        <x:v>13</x:v>
      </x:c>
      <x:c r="C22" s="39" t="n">
        <x:f>COUNTIFS('Dialogues'!$C$7:$C$19,"Défini")</x:f>
        <x:v>13</x:v>
      </x:c>
      <x:c r="D22" s="39" t="n">
        <x:f>COUNTIFS('Dialogues'!$C$7:$C$19,"Prototype")</x:f>
        <x:v>0</x:v>
      </x:c>
      <x:c r="E22" s="39" t="n">
        <x:f>COUNTIFS('Dialogues'!$C$7:$C$19,"Intégré")</x:f>
        <x:v>0</x:v>
      </x:c>
      <x:c r="F22" s="39" t="n">
        <x:f>COUNTIFS('Dialogues'!$C$7:$C$19,"Validé")</x:f>
        <x:v>0</x:v>
      </x:c>
      <x:c r="G22" s="39" t="n">
        <x:f>COUNTIFS('Dialogues'!$D$7:$D$19,"Établi")</x:f>
        <x:v>0</x:v>
      </x:c>
      <x:c r="H22" s="39" t="n">
        <x:f>COUNTIFS('Dialogues'!$D$7:$D$19,"À vérifier")</x:f>
        <x:v>0</x:v>
      </x:c>
      <x:c r="I22" s="39" t="n">
        <x:f>COUNTIFS('Dialogues'!$D$7:$D$19,"Extrapolation")</x:f>
        <x:v>13</x:v>
      </x:c>
      <x:c r="J22" s="39" t="n">
        <x:f>COUNTIFS('Dialogues'!$D$7:$D$19,"Coupé attesté")</x:f>
        <x:v>0</x:v>
      </x:c>
      <x:c r="K22" s="39" t="n">
        <x:f>COUNTIFS('Dialogues'!$D$7:$D$19,"Concept abandonné")</x:f>
        <x:v>0</x:v>
      </x:c>
      <x:c r="L22" s="39" t="n">
        <x:f>COUNTIFS('Dialogues'!$D$7:$D$19,"Allégation écartée")</x:f>
        <x:v>0</x:v>
      </x:c>
      <x:c r="M22" s="39" t="n">
        <x:f>COUNTIFS('Dialogues'!$E$7:$E$19,"P0")</x:f>
        <x:v>0</x:v>
      </x:c>
    </x:row>
    <x:row r="23" ht="22" customHeight="1">
      <x:c r="A23" s="2" t="str">
        <x:v>Cinématiques</x:v>
      </x:c>
      <x:c r="B23" s="40" t="n">
        <x:f>COUNTA('Cinematiques'!$A$7:$A$18)</x:f>
        <x:v>12</x:v>
      </x:c>
      <x:c r="C23" s="40" t="n">
        <x:f>COUNTIFS('Cinematiques'!$C$7:$C$18,"Défini")</x:f>
        <x:v>12</x:v>
      </x:c>
      <x:c r="D23" s="40" t="n">
        <x:f>COUNTIFS('Cinematiques'!$C$7:$C$18,"Prototype")</x:f>
        <x:v>0</x:v>
      </x:c>
      <x:c r="E23" s="40" t="n">
        <x:f>COUNTIFS('Cinematiques'!$C$7:$C$18,"Intégré")</x:f>
        <x:v>0</x:v>
      </x:c>
      <x:c r="F23" s="40" t="n">
        <x:f>COUNTIFS('Cinematiques'!$C$7:$C$18,"Validé")</x:f>
        <x:v>0</x:v>
      </x:c>
      <x:c r="G23" s="40" t="n">
        <x:f>COUNTIFS('Cinematiques'!$D$7:$D$18,"Établi")</x:f>
        <x:v>0</x:v>
      </x:c>
      <x:c r="H23" s="40" t="n">
        <x:f>COUNTIFS('Cinematiques'!$D$7:$D$18,"À vérifier")</x:f>
        <x:v>0</x:v>
      </x:c>
      <x:c r="I23" s="40" t="n">
        <x:f>COUNTIFS('Cinematiques'!$D$7:$D$18,"Extrapolation")</x:f>
        <x:v>12</x:v>
      </x:c>
      <x:c r="J23" s="40" t="n">
        <x:f>COUNTIFS('Cinematiques'!$D$7:$D$18,"Coupé attesté")</x:f>
        <x:v>0</x:v>
      </x:c>
      <x:c r="K23" s="40" t="n">
        <x:f>COUNTIFS('Cinematiques'!$D$7:$D$18,"Concept abandonné")</x:f>
        <x:v>0</x:v>
      </x:c>
      <x:c r="L23" s="40" t="n">
        <x:f>COUNTIFS('Cinematiques'!$D$7:$D$18,"Allégation écartée")</x:f>
        <x:v>0</x:v>
      </x:c>
      <x:c r="M23" s="40" t="n">
        <x:f>COUNTIFS('Cinematiques'!$E$7:$E$18,"P0")</x:f>
        <x:v>0</x:v>
      </x:c>
    </x:row>
    <x:row r="24" ht="22" customHeight="1">
      <x:c r="A24" s="35" t="str">
        <x:v>Armes</x:v>
      </x:c>
      <x:c r="B24" s="39" t="n">
        <x:f>COUNTA('Armes'!$A$7:$A$57)</x:f>
        <x:v>51</x:v>
      </x:c>
      <x:c r="C24" s="39" t="n">
        <x:f>COUNTIFS('Armes'!$C$7:$C$57,"Défini")</x:f>
        <x:v>51</x:v>
      </x:c>
      <x:c r="D24" s="39" t="n">
        <x:f>COUNTIFS('Armes'!$C$7:$C$57,"Prototype")</x:f>
        <x:v>0</x:v>
      </x:c>
      <x:c r="E24" s="39" t="n">
        <x:f>COUNTIFS('Armes'!$C$7:$C$57,"Intégré")</x:f>
        <x:v>0</x:v>
      </x:c>
      <x:c r="F24" s="39" t="n">
        <x:f>COUNTIFS('Armes'!$C$7:$C$57,"Validé")</x:f>
        <x:v>0</x:v>
      </x:c>
      <x:c r="G24" s="39" t="n">
        <x:f>COUNTIFS('Armes'!$D$7:$D$57,"Établi")</x:f>
        <x:v>51</x:v>
      </x:c>
      <x:c r="H24" s="39" t="n">
        <x:f>COUNTIFS('Armes'!$D$7:$D$57,"À vérifier")</x:f>
        <x:v>0</x:v>
      </x:c>
      <x:c r="I24" s="39" t="n">
        <x:f>COUNTIFS('Armes'!$D$7:$D$57,"Extrapolation")</x:f>
        <x:v>0</x:v>
      </x:c>
      <x:c r="J24" s="39" t="n">
        <x:f>COUNTIFS('Armes'!$D$7:$D$57,"Coupé attesté")</x:f>
        <x:v>0</x:v>
      </x:c>
      <x:c r="K24" s="39" t="n">
        <x:f>COUNTIFS('Armes'!$D$7:$D$57,"Concept abandonné")</x:f>
        <x:v>0</x:v>
      </x:c>
      <x:c r="L24" s="39" t="n">
        <x:f>COUNTIFS('Armes'!$D$7:$D$57,"Allégation écartée")</x:f>
        <x:v>0</x:v>
      </x:c>
      <x:c r="M24" s="39" t="n">
        <x:f>COUNTIFS('Armes'!$E$7:$E$57,"P0")</x:f>
        <x:v>0</x:v>
      </x:c>
    </x:row>
    <x:row r="25" ht="22" customHeight="1">
      <x:c r="A25" s="2" t="str">
        <x:v>Armures et équipement</x:v>
      </x:c>
      <x:c r="B25" s="40" t="n">
        <x:f>COUNTA('Armures_equipement'!$A$7:$A$28)</x:f>
        <x:v>22</x:v>
      </x:c>
      <x:c r="C25" s="40" t="n">
        <x:f>COUNTIFS('Armures_equipement'!$C$7:$C$28,"Défini")</x:f>
        <x:v>22</x:v>
      </x:c>
      <x:c r="D25" s="40" t="n">
        <x:f>COUNTIFS('Armures_equipement'!$C$7:$C$28,"Prototype")</x:f>
        <x:v>0</x:v>
      </x:c>
      <x:c r="E25" s="40" t="n">
        <x:f>COUNTIFS('Armures_equipement'!$C$7:$C$28,"Intégré")</x:f>
        <x:v>0</x:v>
      </x:c>
      <x:c r="F25" s="40" t="n">
        <x:f>COUNTIFS('Armures_equipement'!$C$7:$C$28,"Validé")</x:f>
        <x:v>0</x:v>
      </x:c>
      <x:c r="G25" s="40" t="n">
        <x:f>COUNTIFS('Armures_equipement'!$D$7:$D$28,"Établi")</x:f>
        <x:v>22</x:v>
      </x:c>
      <x:c r="H25" s="40" t="n">
        <x:f>COUNTIFS('Armures_equipement'!$D$7:$D$28,"À vérifier")</x:f>
        <x:v>0</x:v>
      </x:c>
      <x:c r="I25" s="40" t="n">
        <x:f>COUNTIFS('Armures_equipement'!$D$7:$D$28,"Extrapolation")</x:f>
        <x:v>0</x:v>
      </x:c>
      <x:c r="J25" s="40" t="n">
        <x:f>COUNTIFS('Armures_equipement'!$D$7:$D$28,"Coupé attesté")</x:f>
        <x:v>0</x:v>
      </x:c>
      <x:c r="K25" s="40" t="n">
        <x:f>COUNTIFS('Armures_equipement'!$D$7:$D$28,"Concept abandonné")</x:f>
        <x:v>0</x:v>
      </x:c>
      <x:c r="L25" s="40" t="n">
        <x:f>COUNTIFS('Armures_equipement'!$D$7:$D$28,"Allégation écartée")</x:f>
        <x:v>0</x:v>
      </x:c>
      <x:c r="M25" s="40" t="n">
        <x:f>COUNTIFS('Armures_equipement'!$E$7:$E$28,"P0")</x:f>
        <x:v>0</x:v>
      </x:c>
    </x:row>
    <x:row r="26" ht="22" customHeight="1">
      <x:c r="A26" s="35" t="str">
        <x:v>Pouvoirs</x:v>
      </x:c>
      <x:c r="B26" s="39" t="n">
        <x:f>COUNTA('Pouvoirs'!$A$7:$A$54)</x:f>
        <x:v>48</x:v>
      </x:c>
      <x:c r="C26" s="39" t="n">
        <x:f>COUNTIFS('Pouvoirs'!$C$7:$C$54,"Défini")</x:f>
        <x:v>48</x:v>
      </x:c>
      <x:c r="D26" s="39" t="n">
        <x:f>COUNTIFS('Pouvoirs'!$C$7:$C$54,"Prototype")</x:f>
        <x:v>0</x:v>
      </x:c>
      <x:c r="E26" s="39" t="n">
        <x:f>COUNTIFS('Pouvoirs'!$C$7:$C$54,"Intégré")</x:f>
        <x:v>0</x:v>
      </x:c>
      <x:c r="F26" s="39" t="n">
        <x:f>COUNTIFS('Pouvoirs'!$C$7:$C$54,"Validé")</x:f>
        <x:v>0</x:v>
      </x:c>
      <x:c r="G26" s="39" t="n">
        <x:f>COUNTIFS('Pouvoirs'!$D$7:$D$54,"Établi")</x:f>
        <x:v>48</x:v>
      </x:c>
      <x:c r="H26" s="39" t="n">
        <x:f>COUNTIFS('Pouvoirs'!$D$7:$D$54,"À vérifier")</x:f>
        <x:v>0</x:v>
      </x:c>
      <x:c r="I26" s="39" t="n">
        <x:f>COUNTIFS('Pouvoirs'!$D$7:$D$54,"Extrapolation")</x:f>
        <x:v>0</x:v>
      </x:c>
      <x:c r="J26" s="39" t="n">
        <x:f>COUNTIFS('Pouvoirs'!$D$7:$D$54,"Coupé attesté")</x:f>
        <x:v>0</x:v>
      </x:c>
      <x:c r="K26" s="39" t="n">
        <x:f>COUNTIFS('Pouvoirs'!$D$7:$D$54,"Concept abandonné")</x:f>
        <x:v>0</x:v>
      </x:c>
      <x:c r="L26" s="39" t="n">
        <x:f>COUNTIFS('Pouvoirs'!$D$7:$D$54,"Allégation écartée")</x:f>
        <x:v>0</x:v>
      </x:c>
      <x:c r="M26" s="39" t="n">
        <x:f>COUNTIFS('Pouvoirs'!$E$7:$E$54,"P0")</x:f>
        <x:v>0</x:v>
      </x:c>
    </x:row>
    <x:row r="27" ht="22" customHeight="1">
      <x:c r="A27" s="2" t="str">
        <x:v>Movesets alliés</x:v>
      </x:c>
      <x:c r="B27" s="40" t="n">
        <x:f>COUNTA('Movesets_allies'!$A$7:$A$24)</x:f>
        <x:v>18</x:v>
      </x:c>
      <x:c r="C27" s="40" t="n">
        <x:f>COUNTIFS('Movesets_allies'!$C$7:$C$24,"Défini")</x:f>
        <x:v>18</x:v>
      </x:c>
      <x:c r="D27" s="40" t="n">
        <x:f>COUNTIFS('Movesets_allies'!$C$7:$C$24,"Prototype")</x:f>
        <x:v>0</x:v>
      </x:c>
      <x:c r="E27" s="40" t="n">
        <x:f>COUNTIFS('Movesets_allies'!$C$7:$C$24,"Intégré")</x:f>
        <x:v>0</x:v>
      </x:c>
      <x:c r="F27" s="40" t="n">
        <x:f>COUNTIFS('Movesets_allies'!$C$7:$C$24,"Validé")</x:f>
        <x:v>0</x:v>
      </x:c>
      <x:c r="G27" s="40" t="n">
        <x:f>COUNTIFS('Movesets_allies'!$D$7:$D$24,"Établi")</x:f>
        <x:v>0</x:v>
      </x:c>
      <x:c r="H27" s="40" t="n">
        <x:f>COUNTIFS('Movesets_allies'!$D$7:$D$24,"À vérifier")</x:f>
        <x:v>0</x:v>
      </x:c>
      <x:c r="I27" s="40" t="n">
        <x:f>COUNTIFS('Movesets_allies'!$D$7:$D$24,"Extrapolation")</x:f>
        <x:v>18</x:v>
      </x:c>
      <x:c r="J27" s="40" t="n">
        <x:f>COUNTIFS('Movesets_allies'!$D$7:$D$24,"Coupé attesté")</x:f>
        <x:v>0</x:v>
      </x:c>
      <x:c r="K27" s="40" t="n">
        <x:f>COUNTIFS('Movesets_allies'!$D$7:$D$24,"Concept abandonné")</x:f>
        <x:v>0</x:v>
      </x:c>
      <x:c r="L27" s="40" t="n">
        <x:f>COUNTIFS('Movesets_allies'!$D$7:$D$24,"Allégation écartée")</x:f>
        <x:v>0</x:v>
      </x:c>
      <x:c r="M27" s="40" t="n">
        <x:f>COUNTIFS('Movesets_allies'!$E$7:$E$24,"P0")</x:f>
        <x:v>0</x:v>
      </x:c>
    </x:row>
    <x:row r="28" ht="22" customHeight="1">
      <x:c r="A28" s="35" t="str">
        <x:v>Movesets ennemis</x:v>
      </x:c>
      <x:c r="B28" s="39" t="n">
        <x:f>COUNTA('Movesets_ennemis'!$A$7:$A$45)</x:f>
        <x:v>39</x:v>
      </x:c>
      <x:c r="C28" s="39" t="n">
        <x:f>COUNTIFS('Movesets_ennemis'!$C$7:$C$45,"Défini")</x:f>
        <x:v>39</x:v>
      </x:c>
      <x:c r="D28" s="39" t="n">
        <x:f>COUNTIFS('Movesets_ennemis'!$C$7:$C$45,"Prototype")</x:f>
        <x:v>0</x:v>
      </x:c>
      <x:c r="E28" s="39" t="n">
        <x:f>COUNTIFS('Movesets_ennemis'!$C$7:$C$45,"Intégré")</x:f>
        <x:v>0</x:v>
      </x:c>
      <x:c r="F28" s="39" t="n">
        <x:f>COUNTIFS('Movesets_ennemis'!$C$7:$C$45,"Validé")</x:f>
        <x:v>0</x:v>
      </x:c>
      <x:c r="G28" s="39" t="n">
        <x:f>COUNTIFS('Movesets_ennemis'!$D$7:$D$45,"Établi")</x:f>
        <x:v>0</x:v>
      </x:c>
      <x:c r="H28" s="39" t="n">
        <x:f>COUNTIFS('Movesets_ennemis'!$D$7:$D$45,"À vérifier")</x:f>
        <x:v>0</x:v>
      </x:c>
      <x:c r="I28" s="39" t="n">
        <x:f>COUNTIFS('Movesets_ennemis'!$D$7:$D$45,"Extrapolation")</x:f>
        <x:v>39</x:v>
      </x:c>
      <x:c r="J28" s="39" t="n">
        <x:f>COUNTIFS('Movesets_ennemis'!$D$7:$D$45,"Coupé attesté")</x:f>
        <x:v>0</x:v>
      </x:c>
      <x:c r="K28" s="39" t="n">
        <x:f>COUNTIFS('Movesets_ennemis'!$D$7:$D$45,"Concept abandonné")</x:f>
        <x:v>0</x:v>
      </x:c>
      <x:c r="L28" s="39" t="n">
        <x:f>COUNTIFS('Movesets_ennemis'!$D$7:$D$45,"Allégation écartée")</x:f>
        <x:v>0</x:v>
      </x:c>
      <x:c r="M28" s="39" t="n">
        <x:f>COUNTIFS('Movesets_ennemis'!$E$7:$E$45,"P0")</x:f>
        <x:v>0</x:v>
      </x:c>
    </x:row>
    <x:row r="29" ht="22" customHeight="1">
      <x:c r="A29" s="2" t="str">
        <x:v>Animations</x:v>
      </x:c>
      <x:c r="B29" s="40" t="n">
        <x:f>COUNTA('Animations'!$A$7:$A$23)</x:f>
        <x:v>17</x:v>
      </x:c>
      <x:c r="C29" s="40" t="n">
        <x:f>COUNTIFS('Animations'!$C$7:$C$23,"Défini")</x:f>
        <x:v>17</x:v>
      </x:c>
      <x:c r="D29" s="40" t="n">
        <x:f>COUNTIFS('Animations'!$C$7:$C$23,"Prototype")</x:f>
        <x:v>0</x:v>
      </x:c>
      <x:c r="E29" s="40" t="n">
        <x:f>COUNTIFS('Animations'!$C$7:$C$23,"Intégré")</x:f>
        <x:v>0</x:v>
      </x:c>
      <x:c r="F29" s="40" t="n">
        <x:f>COUNTIFS('Animations'!$C$7:$C$23,"Validé")</x:f>
        <x:v>0</x:v>
      </x:c>
      <x:c r="G29" s="40" t="n">
        <x:f>COUNTIFS('Animations'!$D$7:$D$23,"Établi")</x:f>
        <x:v>0</x:v>
      </x:c>
      <x:c r="H29" s="40" t="n">
        <x:f>COUNTIFS('Animations'!$D$7:$D$23,"À vérifier")</x:f>
        <x:v>0</x:v>
      </x:c>
      <x:c r="I29" s="40" t="n">
        <x:f>COUNTIFS('Animations'!$D$7:$D$23,"Extrapolation")</x:f>
        <x:v>17</x:v>
      </x:c>
      <x:c r="J29" s="40" t="n">
        <x:f>COUNTIFS('Animations'!$D$7:$D$23,"Coupé attesté")</x:f>
        <x:v>0</x:v>
      </x:c>
      <x:c r="K29" s="40" t="n">
        <x:f>COUNTIFS('Animations'!$D$7:$D$23,"Concept abandonné")</x:f>
        <x:v>0</x:v>
      </x:c>
      <x:c r="L29" s="40" t="n">
        <x:f>COUNTIFS('Animations'!$D$7:$D$23,"Allégation écartée")</x:f>
        <x:v>0</x:v>
      </x:c>
      <x:c r="M29" s="40" t="n">
        <x:f>COUNTIFS('Animations'!$E$7:$E$23,"P0")</x:f>
        <x:v>0</x:v>
      </x:c>
    </x:row>
    <x:row r="30" ht="22" customHeight="1">
      <x:c r="A30" s="35" t="str">
        <x:v>Sprites</x:v>
      </x:c>
      <x:c r="B30" s="39" t="n">
        <x:f>COUNTA('Sprites'!$A$7:$A$65)</x:f>
        <x:v>59</x:v>
      </x:c>
      <x:c r="C30" s="39" t="n">
        <x:f>COUNTIFS('Sprites'!$C$7:$C$65,"Défini")</x:f>
        <x:v>59</x:v>
      </x:c>
      <x:c r="D30" s="39" t="n">
        <x:f>COUNTIFS('Sprites'!$C$7:$C$65,"Prototype")</x:f>
        <x:v>0</x:v>
      </x:c>
      <x:c r="E30" s="39" t="n">
        <x:f>COUNTIFS('Sprites'!$C$7:$C$65,"Intégré")</x:f>
        <x:v>0</x:v>
      </x:c>
      <x:c r="F30" s="39" t="n">
        <x:f>COUNTIFS('Sprites'!$C$7:$C$65,"Validé")</x:f>
        <x:v>0</x:v>
      </x:c>
      <x:c r="G30" s="39" t="n">
        <x:f>COUNTIFS('Sprites'!$D$7:$D$65,"Établi")</x:f>
        <x:v>0</x:v>
      </x:c>
      <x:c r="H30" s="39" t="n">
        <x:f>COUNTIFS('Sprites'!$D$7:$D$65,"À vérifier")</x:f>
        <x:v>0</x:v>
      </x:c>
      <x:c r="I30" s="39" t="n">
        <x:f>COUNTIFS('Sprites'!$D$7:$D$65,"Extrapolation")</x:f>
        <x:v>59</x:v>
      </x:c>
      <x:c r="J30" s="39" t="n">
        <x:f>COUNTIFS('Sprites'!$D$7:$D$65,"Coupé attesté")</x:f>
        <x:v>0</x:v>
      </x:c>
      <x:c r="K30" s="39" t="n">
        <x:f>COUNTIFS('Sprites'!$D$7:$D$65,"Concept abandonné")</x:f>
        <x:v>0</x:v>
      </x:c>
      <x:c r="L30" s="39" t="n">
        <x:f>COUNTIFS('Sprites'!$D$7:$D$65,"Allégation écartée")</x:f>
        <x:v>0</x:v>
      </x:c>
      <x:c r="M30" s="39" t="n">
        <x:f>COUNTIFS('Sprites'!$E$7:$E$65,"P0")</x:f>
        <x:v>0</x:v>
      </x:c>
    </x:row>
    <x:row r="31" ht="22" customHeight="1">
      <x:c r="A31" s="2" t="str">
        <x:v>VFX</x:v>
      </x:c>
      <x:c r="B31" s="40" t="n">
        <x:f>COUNTA('VFX'!$A$7:$A$21)</x:f>
        <x:v>15</x:v>
      </x:c>
      <x:c r="C31" s="40" t="n">
        <x:f>COUNTIFS('VFX'!$C$7:$C$21,"Défini")</x:f>
        <x:v>15</x:v>
      </x:c>
      <x:c r="D31" s="40" t="n">
        <x:f>COUNTIFS('VFX'!$C$7:$C$21,"Prototype")</x:f>
        <x:v>0</x:v>
      </x:c>
      <x:c r="E31" s="40" t="n">
        <x:f>COUNTIFS('VFX'!$C$7:$C$21,"Intégré")</x:f>
        <x:v>0</x:v>
      </x:c>
      <x:c r="F31" s="40" t="n">
        <x:f>COUNTIFS('VFX'!$C$7:$C$21,"Validé")</x:f>
        <x:v>0</x:v>
      </x:c>
      <x:c r="G31" s="40" t="n">
        <x:f>COUNTIFS('VFX'!$D$7:$D$21,"Établi")</x:f>
        <x:v>0</x:v>
      </x:c>
      <x:c r="H31" s="40" t="n">
        <x:f>COUNTIFS('VFX'!$D$7:$D$21,"À vérifier")</x:f>
        <x:v>0</x:v>
      </x:c>
      <x:c r="I31" s="40" t="n">
        <x:f>COUNTIFS('VFX'!$D$7:$D$21,"Extrapolation")</x:f>
        <x:v>15</x:v>
      </x:c>
      <x:c r="J31" s="40" t="n">
        <x:f>COUNTIFS('VFX'!$D$7:$D$21,"Coupé attesté")</x:f>
        <x:v>0</x:v>
      </x:c>
      <x:c r="K31" s="40" t="n">
        <x:f>COUNTIFS('VFX'!$D$7:$D$21,"Concept abandonné")</x:f>
        <x:v>0</x:v>
      </x:c>
      <x:c r="L31" s="40" t="n">
        <x:f>COUNTIFS('VFX'!$D$7:$D$21,"Allégation écartée")</x:f>
        <x:v>0</x:v>
      </x:c>
      <x:c r="M31" s="40" t="n">
        <x:f>COUNTIFS('VFX'!$E$7:$E$21,"P0")</x:f>
        <x:v>0</x:v>
      </x:c>
    </x:row>
    <x:row r="32" ht="22" customHeight="1">
      <x:c r="A32" s="35" t="str">
        <x:v>Audio</x:v>
      </x:c>
      <x:c r="B32" s="39" t="n">
        <x:f>COUNTA('Audio'!$A$7:$A$18)</x:f>
        <x:v>12</x:v>
      </x:c>
      <x:c r="C32" s="39" t="n">
        <x:f>COUNTIFS('Audio'!$C$7:$C$18,"Défini")</x:f>
        <x:v>12</x:v>
      </x:c>
      <x:c r="D32" s="39" t="n">
        <x:f>COUNTIFS('Audio'!$C$7:$C$18,"Prototype")</x:f>
        <x:v>0</x:v>
      </x:c>
      <x:c r="E32" s="39" t="n">
        <x:f>COUNTIFS('Audio'!$C$7:$C$18,"Intégré")</x:f>
        <x:v>0</x:v>
      </x:c>
      <x:c r="F32" s="39" t="n">
        <x:f>COUNTIFS('Audio'!$C$7:$C$18,"Validé")</x:f>
        <x:v>0</x:v>
      </x:c>
      <x:c r="G32" s="39" t="n">
        <x:f>COUNTIFS('Audio'!$D$7:$D$18,"Établi")</x:f>
        <x:v>0</x:v>
      </x:c>
      <x:c r="H32" s="39" t="n">
        <x:f>COUNTIFS('Audio'!$D$7:$D$18,"À vérifier")</x:f>
        <x:v>0</x:v>
      </x:c>
      <x:c r="I32" s="39" t="n">
        <x:f>COUNTIFS('Audio'!$D$7:$D$18,"Extrapolation")</x:f>
        <x:v>12</x:v>
      </x:c>
      <x:c r="J32" s="39" t="n">
        <x:f>COUNTIFS('Audio'!$D$7:$D$18,"Coupé attesté")</x:f>
        <x:v>0</x:v>
      </x:c>
      <x:c r="K32" s="39" t="n">
        <x:f>COUNTIFS('Audio'!$D$7:$D$18,"Concept abandonné")</x:f>
        <x:v>0</x:v>
      </x:c>
      <x:c r="L32" s="39" t="n">
        <x:f>COUNTIFS('Audio'!$D$7:$D$18,"Allégation écartée")</x:f>
        <x:v>0</x:v>
      </x:c>
      <x:c r="M32" s="39" t="n">
        <x:f>COUNTIFS('Audio'!$E$7:$E$18,"P0")</x:f>
        <x:v>0</x:v>
      </x:c>
    </x:row>
    <x:row r="33" ht="22" customHeight="1">
      <x:c r="A33" s="2" t="str">
        <x:v>Systèmes et UI</x:v>
      </x:c>
      <x:c r="B33" s="40" t="n">
        <x:f>COUNTA('UI_systemes'!$A$7:$A$32)</x:f>
        <x:v>26</x:v>
      </x:c>
      <x:c r="C33" s="40" t="n">
        <x:f>COUNTIFS('UI_systemes'!$C$7:$C$32,"Défini")</x:f>
        <x:v>26</x:v>
      </x:c>
      <x:c r="D33" s="40" t="n">
        <x:f>COUNTIFS('UI_systemes'!$C$7:$C$32,"Prototype")</x:f>
        <x:v>0</x:v>
      </x:c>
      <x:c r="E33" s="40" t="n">
        <x:f>COUNTIFS('UI_systemes'!$C$7:$C$32,"Intégré")</x:f>
        <x:v>0</x:v>
      </x:c>
      <x:c r="F33" s="40" t="n">
        <x:f>COUNTIFS('UI_systemes'!$C$7:$C$32,"Validé")</x:f>
        <x:v>0</x:v>
      </x:c>
      <x:c r="G33" s="40" t="n">
        <x:f>COUNTIFS('UI_systemes'!$D$7:$D$32,"Établi")</x:f>
        <x:v>5</x:v>
      </x:c>
      <x:c r="H33" s="40" t="n">
        <x:f>COUNTIFS('UI_systemes'!$D$7:$D$32,"À vérifier")</x:f>
        <x:v>0</x:v>
      </x:c>
      <x:c r="I33" s="40" t="n">
        <x:f>COUNTIFS('UI_systemes'!$D$7:$D$32,"Extrapolation")</x:f>
        <x:v>21</x:v>
      </x:c>
      <x:c r="J33" s="40" t="n">
        <x:f>COUNTIFS('UI_systemes'!$D$7:$D$32,"Coupé attesté")</x:f>
        <x:v>0</x:v>
      </x:c>
      <x:c r="K33" s="40" t="n">
        <x:f>COUNTIFS('UI_systemes'!$D$7:$D$32,"Concept abandonné")</x:f>
        <x:v>0</x:v>
      </x:c>
      <x:c r="L33" s="40" t="n">
        <x:f>COUNTIFS('UI_systemes'!$D$7:$D$32,"Allégation écartée")</x:f>
        <x:v>0</x:v>
      </x:c>
      <x:c r="M33" s="40" t="n">
        <x:f>COUNTIFS('UI_systemes'!$E$7:$E$32,"P0")</x:f>
        <x:v>0</x:v>
      </x:c>
    </x:row>
    <x:row r="34" ht="22" customHeight="1">
      <x:c r="A34" s="35" t="str">
        <x:v>QA</x:v>
      </x:c>
      <x:c r="B34" s="39" t="n">
        <x:f>COUNTA('QA'!$A$7:$A$29)</x:f>
        <x:v>23</x:v>
      </x:c>
      <x:c r="C34" s="39" t="n">
        <x:f>COUNTIFS('QA'!$C$7:$C$29,"Défini")</x:f>
        <x:v>23</x:v>
      </x:c>
      <x:c r="D34" s="39" t="n">
        <x:f>COUNTIFS('QA'!$C$7:$C$29,"Prototype")</x:f>
        <x:v>0</x:v>
      </x:c>
      <x:c r="E34" s="39" t="n">
        <x:f>COUNTIFS('QA'!$C$7:$C$29,"Intégré")</x:f>
        <x:v>0</x:v>
      </x:c>
      <x:c r="F34" s="39" t="n">
        <x:f>COUNTIFS('QA'!$C$7:$C$29,"Validé")</x:f>
        <x:v>0</x:v>
      </x:c>
      <x:c r="G34" s="39" t="n">
        <x:f>COUNTIFS('QA'!$D$7:$D$29,"Établi")</x:f>
        <x:v>0</x:v>
      </x:c>
      <x:c r="H34" s="39" t="n">
        <x:f>COUNTIFS('QA'!$D$7:$D$29,"À vérifier")</x:f>
        <x:v>0</x:v>
      </x:c>
      <x:c r="I34" s="39" t="n">
        <x:f>COUNTIFS('QA'!$D$7:$D$29,"Extrapolation")</x:f>
        <x:v>23</x:v>
      </x:c>
      <x:c r="J34" s="39" t="n">
        <x:f>COUNTIFS('QA'!$D$7:$D$29,"Coupé attesté")</x:f>
        <x:v>0</x:v>
      </x:c>
      <x:c r="K34" s="39" t="n">
        <x:f>COUNTIFS('QA'!$D$7:$D$29,"Concept abandonné")</x:f>
        <x:v>0</x:v>
      </x:c>
      <x:c r="L34" s="39" t="n">
        <x:f>COUNTIFS('QA'!$D$7:$D$29,"Allégation écartée")</x:f>
        <x:v>0</x:v>
      </x:c>
      <x:c r="M34" s="39" t="n">
        <x:f>COUNTIFS('QA'!$E$7:$E$29,"P0")</x:f>
        <x:v>0</x:v>
      </x:c>
    </x:row>
    <x:row r="35" ht="22" customHeight="1">
      <x:c r="A35" s="2" t="str">
        <x:v>Continuité</x:v>
      </x:c>
      <x:c r="B35" s="40" t="n">
        <x:f>COUNTA('Continuite'!$A$7:$A$20)</x:f>
        <x:v>14</x:v>
      </x:c>
      <x:c r="C35" s="40" t="n">
        <x:f>COUNTIFS('Continuite'!$C$7:$C$20,"Défini")</x:f>
        <x:v>14</x:v>
      </x:c>
      <x:c r="D35" s="40" t="n">
        <x:f>COUNTIFS('Continuite'!$C$7:$C$20,"Prototype")</x:f>
        <x:v>0</x:v>
      </x:c>
      <x:c r="E35" s="40" t="n">
        <x:f>COUNTIFS('Continuite'!$C$7:$C$20,"Intégré")</x:f>
        <x:v>0</x:v>
      </x:c>
      <x:c r="F35" s="40" t="n">
        <x:f>COUNTIFS('Continuite'!$C$7:$C$20,"Validé")</x:f>
        <x:v>0</x:v>
      </x:c>
      <x:c r="G35" s="40" t="n">
        <x:f>COUNTIFS('Continuite'!$D$7:$D$20,"Établi")</x:f>
        <x:v>0</x:v>
      </x:c>
      <x:c r="H35" s="40" t="n">
        <x:f>COUNTIFS('Continuite'!$D$7:$D$20,"À vérifier")</x:f>
        <x:v>0</x:v>
      </x:c>
      <x:c r="I35" s="40" t="n">
        <x:f>COUNTIFS('Continuite'!$D$7:$D$20,"Extrapolation")</x:f>
        <x:v>14</x:v>
      </x:c>
      <x:c r="J35" s="40" t="n">
        <x:f>COUNTIFS('Continuite'!$D$7:$D$20,"Coupé attesté")</x:f>
        <x:v>0</x:v>
      </x:c>
      <x:c r="K35" s="40" t="n">
        <x:f>COUNTIFS('Continuite'!$D$7:$D$20,"Concept abandonné")</x:f>
        <x:v>0</x:v>
      </x:c>
      <x:c r="L35" s="40" t="n">
        <x:f>COUNTIFS('Continuite'!$D$7:$D$20,"Allégation écartée")</x:f>
        <x:v>0</x:v>
      </x:c>
      <x:c r="M35" s="40" t="n">
        <x:f>COUNTIFS('Continuite'!$E$7:$E$20,"P0")</x:f>
        <x:v>0</x:v>
      </x:c>
    </x:row>
    <x:row r="36" ht="22" customHeight="1">
      <x:c r="A36" s="2"/>
      <x:c r="B36" s="40"/>
      <x:c r="C36" s="40"/>
      <x:c r="D36" s="40"/>
      <x:c r="E36" s="40"/>
      <x:c r="F36" s="40"/>
      <x:c r="G36" s="40"/>
      <x:c r="H36" s="40"/>
      <x:c r="I36" s="40"/>
      <x:c r="J36" s="40"/>
      <x:c r="K36" s="40"/>
      <x:c r="L36" s="40"/>
      <x:c r="M36" s="40"/>
    </x:row>
    <x:row r="37" ht="28" customHeight="1">
      <x:c r="A37" s="23" t="str">
        <x:v>TOTAL</x:v>
      </x:c>
      <x:c r="B37" s="41" t="n">
        <x:f>SUM(B10:B35)</x:f>
        <x:v>736</x:v>
      </x:c>
      <x:c r="C37" s="41" t="n">
        <x:f>SUM(C10:C35)</x:f>
        <x:v>736</x:v>
      </x:c>
      <x:c r="D37" s="41" t="n">
        <x:f>SUM(D10:D35)</x:f>
        <x:v>0</x:v>
      </x:c>
      <x:c r="E37" s="41" t="n">
        <x:f>SUM(E10:E35)</x:f>
        <x:v>0</x:v>
      </x:c>
      <x:c r="F37" s="41" t="n">
        <x:f>SUM(F10:F35)</x:f>
        <x:v>0</x:v>
      </x:c>
      <x:c r="G37" s="41" t="n">
        <x:f>SUM(G10:G35)</x:f>
        <x:v>446</x:v>
      </x:c>
      <x:c r="H37" s="41" t="n">
        <x:f>SUM(H10:H35)</x:f>
        <x:v>0</x:v>
      </x:c>
      <x:c r="I37" s="41" t="n">
        <x:f>SUM(I10:I35)</x:f>
        <x:v>290</x:v>
      </x:c>
      <x:c r="J37" s="41" t="n">
        <x:f>SUM(J10:J35)</x:f>
        <x:v>0</x:v>
      </x:c>
      <x:c r="K37" s="41" t="n">
        <x:f>SUM(K10:K35)</x:f>
        <x:v>0</x:v>
      </x:c>
      <x:c r="L37" s="41" t="n">
        <x:f>SUM(L10:L35)</x:f>
        <x:v>0</x:v>
      </x:c>
      <x:c r="M37" s="41" t="n">
        <x:f>SUM(M10:M35)</x:f>
        <x:v>32</x:v>
      </x:c>
    </x:row>
    <x:row r="38" ht="22" customHeight="1">
      <x:c r="A38" s="2"/>
      <x:c r="B38" s="2"/>
      <x:c r="C38" s="2"/>
      <x:c r="D38" s="2"/>
      <x:c r="E38" s="2"/>
      <x:c r="F38" s="2"/>
      <x:c r="G38" s="2"/>
      <x:c r="H38" s="2"/>
      <x:c r="I38" s="2"/>
      <x:c r="J38" s="2"/>
      <x:c r="K38" s="2"/>
      <x:c r="L38" s="2"/>
      <x:c r="M38" s="2"/>
    </x:row>
    <x:row r="39" ht="22" customHeight="1">
      <x:c r="A39" s="2" t="str">
        <x:v>Les compteurs mesurent les fiches présentes, pas un pourcentage d’exhaustivité ou de réalisation.</x:v>
      </x:c>
      <x:c r="B39" s="2"/>
      <x:c r="C39" s="2"/>
      <x:c r="D39" s="2"/>
      <x:c r="E39" s="2"/>
      <x:c r="F39" s="2"/>
      <x:c r="G39" s="2"/>
      <x:c r="H39" s="2"/>
      <x:c r="I39" s="2"/>
      <x:c r="J39" s="2"/>
      <x:c r="K39" s="2"/>
      <x:c r="L39" s="2"/>
      <x:c r="M39" s="2"/>
    </x:row>
    <x:row r="40" ht="22" customHeight="1">
      <x:c r="A40" s="2"/>
      <x:c r="B40" s="2"/>
      <x:c r="C40" s="2"/>
      <x:c r="D40" s="2"/>
      <x:c r="E40" s="2"/>
      <x:c r="F40" s="2"/>
      <x:c r="G40" s="2"/>
      <x:c r="H40" s="2"/>
      <x:c r="I40" s="2"/>
      <x:c r="J40" s="2"/>
      <x:c r="K40" s="2"/>
      <x:c r="L40" s="2"/>
      <x:c r="M40" s="2"/>
    </x:row>
    <x:row r="41" ht="22" customHeight="1">
      <x:c r="A41" s="2" t="str">
        <x:v>Périmètre, sources, incertitudes et méthode de suivi : voir Guide.</x:v>
      </x:c>
      <x:c r="B41" s="2"/>
      <x:c r="C41" s="2"/>
      <x:c r="D41" s="2"/>
      <x:c r="E41" s="2"/>
      <x:c r="F41" s="2"/>
      <x:c r="G41" s="2"/>
      <x:c r="H41" s="2"/>
      <x:c r="I41" s="2"/>
      <x:c r="J41" s="2"/>
      <x:c r="K41" s="2"/>
      <x:c r="L41" s="2"/>
      <x:c r="M41" s="2"/>
    </x:row>
    <x:row r="42" ht="22" customHeight="1">
      <x:c r="A42" s="2"/>
      <x:c r="B42" s="2"/>
      <x:c r="C42" s="2"/>
      <x:c r="D42" s="2"/>
      <x:c r="E42" s="2"/>
      <x:c r="F42" s="2"/>
      <x:c r="G42" s="2"/>
      <x:c r="H42" s="2"/>
      <x:c r="I42" s="2"/>
      <x:c r="J42" s="2"/>
      <x:c r="K42" s="2"/>
      <x:c r="L42" s="2"/>
      <x:c r="M42"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Personnages</x:v>
      </x:c>
      <x:c r="B2" s="2"/>
      <x:c r="C2" s="2"/>
      <x:c r="D2" s="2"/>
      <x:c r="E2" s="2"/>
      <x:c r="F2" s="2"/>
      <x:c r="G2" s="2"/>
      <x:c r="H2" s="2"/>
      <x:c r="I2" s="2"/>
      <x:c r="J2" s="2"/>
      <x:c r="K2" s="2"/>
      <x:c r="L2" s="2"/>
      <x:c r="M2" s="2"/>
      <x:c r="N2" s="2"/>
      <x:c r="O2" s="2"/>
      <x:c r="P2" s="2"/>
      <x:c r="Q2" s="2"/>
      <x:c r="R2" s="2"/>
      <x:c r="S2" s="2"/>
    </x:row>
    <x:row r="3" ht="22" customHeight="1">
      <x:c r="A3" s="4" t="str">
        <x:v>Mass Effect 3 — Identités et fonctions dans l’œuvre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ME3-CHR-SHEPARD</x:v>
      </x:c>
      <x:c r="B7" s="9" t="str">
        <x:v>Commandant Shepard</x:v>
      </x:c>
      <x:c r="C7" s="15" t="str">
        <x:v>Défini</x:v>
      </x:c>
      <x:c r="D7" s="16" t="str">
        <x:v>Établi</x:v>
      </x:c>
      <x:c r="E7" s="16" t="str">
        <x:v>P1</x:v>
      </x:c>
      <x:c r="F7" s="9" t="str">
        <x:v>Protagoniste de ME3.</x:v>
      </x:c>
      <x:c r="G7" s="9" t="str">
        <x:v>Commandant ATB : distribuer son temps entre action armée, pouvoirs et ordre d’équipe ; aucune classe définitive imposée par le catalogue.</x:v>
      </x:c>
      <x:c r="H7" s="9" t="str">
        <x:v>Commandant ATB : distribuer son temps entre action armée, pouvoirs et ordre d’équipe ; aucune classe définitive imposée par le catalogue.</x:v>
      </x:c>
      <x:c r="I7" s="9" t="str">
        <x:v>Armure N7, personnalisation et cicatrices importées.</x:v>
      </x:c>
      <x:c r="J7" s="9" t="str">
        <x:v>Prévoir attente, orientation et réaction au contexte ; conserver les repères décrits dans la silhouette pendant les changements de direction. Les mouvements sont des créations du fan game.</x:v>
      </x:c>
      <x:c r="K7" s="9" t="str">
        <x:v>Créer des bruitages et ambiances originaux adaptés au livrable ; sous-titrer les indices utiles et proposer un réglage indépendant des effets. Aucune extraction audio demandée.</x:v>
      </x:c>
      <x:c r="L7" s="9" t="str">
        <x:v>Prévu : fiche de données me3/characters/shepard ; rattacher les ressources et états cités à cet identifiant. Aucun fichier de jeu créé par ce catalogue.</x:v>
      </x:c>
      <x:c r="M7" s="9" t="str"/>
      <x:c r="N7" s="9" t="str">
        <x:v>Le livrable « Commandant Shepard » possède une scène ou un scénario de contrôle ; ses règles proposées, ses conditions et ses retours visuels sont vérifiables séparément.</x:v>
      </x:c>
      <x:c r="O7" s="9" t="str"/>
      <x:c r="P7" s="9" t="str">
        <x:v>Commandant Shepard</x:v>
      </x:c>
      <x:c r="Q7" s="9" t="str">
        <x:v>ME3-SRC-EA-LE</x:v>
      </x:c>
      <x:c r="R7" s="20" t="str">
        <x:v>https://www.ea.com/fr/games/mass-effect/mass-effect-legendary-edition</x:v>
      </x:c>
      <x:c r="S7" s="20" t="str">
        <x:v>Spécification à réaliser. Les champs adaptation, gameplay, visual, animation, audio et implementation décrivent le fan game ; ils ne donnent pas des caractéristiques officielles de l’œuvre.</x:v>
      </x:c>
    </x:row>
    <x:row r="8" ht="68" customHeight="1">
      <x:c r="A8" s="19" t="str">
        <x:v>ME3-CHR-JAMES</x:v>
      </x:c>
      <x:c r="B8" s="7" t="str">
        <x:v>James Vega</x:v>
      </x:c>
      <x:c r="C8" s="15" t="str">
        <x:v>Défini</x:v>
      </x:c>
      <x:c r="D8" s="17" t="str">
        <x:v>Établi</x:v>
      </x:c>
      <x:c r="E8" s="17" t="str">
        <x:v>P1</x:v>
      </x:c>
      <x:c r="F8" s="7" t="str">
        <x:v>Équipier humain de la campagne.</x:v>
      </x:c>
      <x:c r="G8" s="7" t="str">
        <x:v>Point d’appui défensif : Fortification, grenade et Carnage pour protéger les équipiers fragiles.</x:v>
      </x:c>
      <x:c r="H8" s="7" t="str">
        <x:v>Point d’appui défensif : Fortification, grenade et Carnage pour protéger les équipiers fragiles.</x:v>
      </x:c>
      <x:c r="I8" s="7" t="str">
        <x:v>Carrure massive, coupe courte et armure Alliance.</x:v>
      </x:c>
      <x:c r="J8" s="7" t="str">
        <x:v>Prévoir attente, orientation et réaction au contexte ; conserver les repères décrits dans la silhouette pendant les changements de direction. Les mouvements sont des créations du fan game.</x:v>
      </x:c>
      <x:c r="K8" s="7" t="str">
        <x:v>Créer des bruitages et ambiances originaux adaptés au livrable ; sous-titrer les indices utiles et proposer un réglage indépendant des effets. Aucune extraction audio demandée.</x:v>
      </x:c>
      <x:c r="L8" s="7" t="str">
        <x:v>Prévu : fiche de données me3/characters/james ; rattacher les ressources et états cités à cet identifiant. Aucun fichier de jeu créé par ce catalogue.</x:v>
      </x:c>
      <x:c r="M8" s="7" t="str"/>
      <x:c r="N8" s="7" t="str">
        <x:v>Le livrable « James Vega » possède une scène ou un scénario de contrôle ; ses règles proposées, ses conditions et ses retours visuels sont vérifiables séparément.</x:v>
      </x:c>
      <x:c r="O8" s="7" t="str"/>
      <x:c r="P8" s="7" t="str">
        <x:v>James Vega</x:v>
      </x:c>
      <x:c r="Q8" s="7" t="str">
        <x:v>ME3-SRC-SQUAD</x:v>
      </x:c>
      <x:c r="R8" s="21" t="str">
        <x:v>https://masseffect.fandom.com/wiki/Squad_Members_Guide_%28Mass_Effect_3%29</x:v>
      </x:c>
      <x:c r="S8" s="21" t="str">
        <x:v>Spécification à réaliser. Les champs adaptation, gameplay, visual, animation, audio et implementation décrivent le fan game ; ils ne donnent pas des caractéristiques officielles de l’œuvre.</x:v>
      </x:c>
    </x:row>
    <x:row r="9" ht="68" customHeight="1">
      <x:c r="A9" s="18" t="str">
        <x:v>ME3-CHR-LIARA</x:v>
      </x:c>
      <x:c r="B9" s="9" t="str">
        <x:v>Liara T’Soni</x:v>
      </x:c>
      <x:c r="C9" s="15" t="str">
        <x:v>Défini</x:v>
      </x:c>
      <x:c r="D9" s="16" t="str">
        <x:v>Établi</x:v>
      </x:c>
      <x:c r="E9" s="16" t="str">
        <x:v>P1</x:v>
      </x:c>
      <x:c r="F9" s="9" t="str">
        <x:v>Équipière biotique de la campagne.</x:v>
      </x:c>
      <x:c r="G9" s="9" t="str">
        <x:v>Contrôle par Singularity et Stasis, préparation de détonations puis repli ; faible résistance proposée compensée par son contrôle.</x:v>
      </x:c>
      <x:c r="H9" s="9" t="str">
        <x:v>Contrôle par Singularity et Stasis, préparation de détonations puis repli ; faible résistance proposée compensée par son contrôle.</x:v>
      </x:c>
      <x:c r="I9" s="9" t="str">
        <x:v>Armure claire, bleu asari, tenue de Courtier hors combat.</x:v>
      </x:c>
      <x:c r="J9" s="9" t="str">
        <x:v>Prévoir attente, orientation et réaction au contexte ; conserver les repères décrits dans la silhouette pendant les changements de direction. Les mouvements sont des créations du fan game.</x:v>
      </x:c>
      <x:c r="K9" s="9" t="str">
        <x:v>Créer des bruitages et ambiances originaux adaptés au livrable ; sous-titrer les indices utiles et proposer un réglage indépendant des effets. Aucune extraction audio demandée.</x:v>
      </x:c>
      <x:c r="L9" s="9" t="str">
        <x:v>Prévu : fiche de données me3/characters/liara ; rattacher les ressources et états cités à cet identifiant. Aucun fichier de jeu créé par ce catalogue.</x:v>
      </x:c>
      <x:c r="M9" s="9" t="str"/>
      <x:c r="N9" s="9" t="str">
        <x:v>Le livrable « Liara T’Soni » possède une scène ou un scénario de contrôle ; ses règles proposées, ses conditions et ses retours visuels sont vérifiables séparément.</x:v>
      </x:c>
      <x:c r="O9" s="9" t="str"/>
      <x:c r="P9" s="9" t="str">
        <x:v>Liara T’Soni</x:v>
      </x:c>
      <x:c r="Q9" s="9" t="str">
        <x:v>ME3-SRC-SQUAD</x:v>
      </x:c>
      <x:c r="R9" s="20" t="str">
        <x:v>https://masseffect.fandom.com/wiki/Squad_Members_Guide_%28Mass_Effect_3%29</x:v>
      </x:c>
      <x:c r="S9" s="20" t="str">
        <x:v>Spécification à réaliser. Les champs adaptation, gameplay, visual, animation, audio et implementation décrivent le fan game ; ils ne donnent pas des caractéristiques officielles de l’œuvre.</x:v>
      </x:c>
    </x:row>
    <x:row r="10" ht="68" customHeight="1">
      <x:c r="A10" s="19" t="str">
        <x:v>ME3-CHR-GARRUS</x:v>
      </x:c>
      <x:c r="B10" s="7" t="str">
        <x:v>Garrus Vakarian</x:v>
      </x:c>
      <x:c r="C10" s="15" t="str">
        <x:v>Défini</x:v>
      </x:c>
      <x:c r="D10" s="17" t="str">
        <x:v>Établi</x:v>
      </x:c>
      <x:c r="E10" s="17" t="str">
        <x:v>P1</x:v>
      </x:c>
      <x:c r="F10" s="7" t="str">
        <x:v>Équipier s’il a survécu à ME2.</x:v>
      </x:c>
      <x:c r="G10" s="7" t="str">
        <x:v>Tireur préparant Overload et mine de proximité ; ordre de tir sur cible fragilisée.</x:v>
      </x:c>
      <x:c r="H10" s="7" t="str">
        <x:v>Tireur préparant Overload et mine de proximité ; ordre de tir sur cible fragilisée.</x:v>
      </x:c>
      <x:c r="I10" s="7" t="str">
        <x:v>Armure bleue marquée et viseur asymétrique.</x:v>
      </x:c>
      <x:c r="J10" s="7" t="str">
        <x:v>Prévoir attente, orientation et réaction au contexte ; conserver les repères décrits dans la silhouette pendant les changements de direction. Les mouvements sont des créations du fan game.</x:v>
      </x:c>
      <x:c r="K10" s="7" t="str">
        <x:v>Créer des bruitages et ambiances originaux adaptés au livrable ; sous-titrer les indices utiles et proposer un réglage indépendant des effets. Aucune extraction audio demandée.</x:v>
      </x:c>
      <x:c r="L10" s="7" t="str">
        <x:v>Prévu : fiche de données me3/characters/garrus ; rattacher les ressources et états cités à cet identifiant. Aucun fichier de jeu créé par ce catalogue.</x:v>
      </x:c>
      <x:c r="M10" s="7" t="str">
        <x:v>Survie ME2 requise.</x:v>
      </x:c>
      <x:c r="N10" s="7" t="str">
        <x:v>Le livrable « Garrus Vakarian » possède une scène ou un scénario de contrôle ; ses règles proposées, ses conditions et ses retours visuels sont vérifiables séparément.</x:v>
      </x:c>
      <x:c r="O10" s="7" t="str"/>
      <x:c r="P10" s="7" t="str">
        <x:v>Garrus Vakarian</x:v>
      </x:c>
      <x:c r="Q10" s="7" t="str">
        <x:v>ME3-SRC-SQUAD</x:v>
      </x:c>
      <x:c r="R10" s="21" t="str">
        <x:v>https://masseffect.fandom.com/wiki/Squad_Members_Guide_%28Mass_Effect_3%29</x:v>
      </x:c>
      <x:c r="S10" s="21" t="str">
        <x:v>Spécification à réaliser. Les champs adaptation, gameplay, visual, animation, audio et implementation décrivent le fan game ; ils ne donnent pas des caractéristiques officielles de l’œuvre.</x:v>
      </x:c>
    </x:row>
    <x:row r="11" ht="68" customHeight="1">
      <x:c r="A11" s="18" t="str">
        <x:v>ME3-CHR-EDI</x:v>
      </x:c>
      <x:c r="B11" s="9" t="str">
        <x:v>EDI — corps synthétique</x:v>
      </x:c>
      <x:c r="C11" s="15" t="str">
        <x:v>Défini</x:v>
      </x:c>
      <x:c r="D11" s="16" t="str">
        <x:v>Établi</x:v>
      </x:c>
      <x:c r="E11" s="16" t="str">
        <x:v>P1</x:v>
      </x:c>
      <x:c r="F11" s="9" t="str">
        <x:v>EDI devient équipière de terrain.</x:v>
      </x:c>
      <x:c r="G11" s="9" t="str">
        <x:v>Ingénieure utilisant Incinerate, Overload, Decoy et Defense Matrix ; silhouette du leurre distincte.</x:v>
      </x:c>
      <x:c r="H11" s="9" t="str">
        <x:v>Ingénieure utilisant Incinerate, Overload, Decoy et Defense Matrix ; silhouette du leurre distincte.</x:v>
      </x:c>
      <x:c r="I11" s="9" t="str">
        <x:v>Corps synthétique argenté et segments noirs.</x:v>
      </x:c>
      <x:c r="J11" s="9" t="str">
        <x:v>Prévoir attente, orientation et réaction au contexte ; conserver les repères décrits dans la silhouette pendant les changements de direction. Les mouvements sont des créations du fan game.</x:v>
      </x:c>
      <x:c r="K11" s="9" t="str">
        <x:v>Créer des bruitages et ambiances originaux adaptés au livrable ; sous-titrer les indices utiles et proposer un réglage indépendant des effets. Aucune extraction audio demandée.</x:v>
      </x:c>
      <x:c r="L11" s="9" t="str">
        <x:v>Prévu : fiche de données me3/characters/edi ; rattacher les ressources et états cités à cet identifiant. Aucun fichier de jeu créé par ce catalogue.</x:v>
      </x:c>
      <x:c r="M11" s="9" t="str"/>
      <x:c r="N11" s="9" t="str">
        <x:v>Le livrable « EDI — corps synthétique » possède une scène ou un scénario de contrôle ; ses règles proposées, ses conditions et ses retours visuels sont vérifiables séparément.</x:v>
      </x:c>
      <x:c r="O11" s="9" t="str"/>
      <x:c r="P11" s="9" t="str">
        <x:v>EDI — corps synthétique</x:v>
      </x:c>
      <x:c r="Q11" s="9" t="str">
        <x:v>ME3-SRC-SQUAD</x:v>
      </x:c>
      <x:c r="R11" s="20" t="str">
        <x:v>https://masseffect.fandom.com/wiki/Squad_Members_Guide_%28Mass_Effect_3%29</x:v>
      </x:c>
      <x:c r="S11" s="20" t="str">
        <x:v>Spécification à réaliser. Les champs adaptation, gameplay, visual, animation, audio et implementation décrivent le fan game ; ils ne donnent pas des caractéristiques officielles de l’œuvre.</x:v>
      </x:c>
    </x:row>
    <x:row r="12" ht="68" customHeight="1">
      <x:c r="A12" s="19" t="str">
        <x:v>ME3-CHR-JAVIK</x:v>
      </x:c>
      <x:c r="B12" s="7" t="str">
        <x:v>Javik</x:v>
      </x:c>
      <x:c r="C12" s="15" t="str">
        <x:v>Défini</x:v>
      </x:c>
      <x:c r="D12" s="17" t="str">
        <x:v>Établi</x:v>
      </x:c>
      <x:c r="E12" s="17" t="str">
        <x:v>P1</x:v>
      </x:c>
      <x:c r="F12" s="7" t="str">
        <x:v>Prothéen recruté via From Ashes.</x:v>
      </x:c>
      <x:c r="G12" s="7" t="str">
        <x:v>Contrôle offensif par Dark Channel, Slam et Lift Grenade ; identité de vétéran dans les poses.</x:v>
      </x:c>
      <x:c r="H12" s="7" t="str">
        <x:v>Contrôle offensif par Dark Channel, Slam et Lift Grenade ; identité de vétéran dans les poses.</x:v>
      </x:c>
      <x:c r="I12" s="7" t="str">
        <x:v>Carapace prothéenne, yeux multiples et armure rouge sombre.</x:v>
      </x:c>
      <x:c r="J12" s="7" t="str">
        <x:v>Prévoir attente, orientation et réaction au contexte ; conserver les repères décrits dans la silhouette pendant les changements de direction. Les mouvements sont des créations du fan game.</x:v>
      </x:c>
      <x:c r="K12" s="7" t="str">
        <x:v>Créer des bruitages et ambiances originaux adaptés au livrable ; sous-titrer les indices utiles et proposer un réglage indépendant des effets. Aucune extraction audio demandée.</x:v>
      </x:c>
      <x:c r="L12" s="7" t="str">
        <x:v>Prévu : fiche de données me3/characters/javik ; rattacher les ressources et états cités à cet identifiant. Aucun fichier de jeu créé par ce catalogue.</x:v>
      </x:c>
      <x:c r="M12" s="7" t="str">
        <x:v>DLC / Legendary.</x:v>
      </x:c>
      <x:c r="N12" s="7" t="str">
        <x:v>Le livrable « Javik » possède une scène ou un scénario de contrôle ; ses règles proposées, ses conditions et ses retours visuels sont vérifiables séparément.</x:v>
      </x:c>
      <x:c r="O12" s="7" t="str"/>
      <x:c r="P12" s="7" t="str">
        <x:v>Javik</x:v>
      </x:c>
      <x:c r="Q12" s="7" t="str">
        <x:v>ME3-SRC-SQUAD, ME3-SRC-EA-ASHES</x:v>
      </x:c>
      <x:c r="R12" s="21" t="str">
        <x:v>https://masseffect.fandom.com/wiki/Squad_Members_Guide_%28Mass_Effect_3%29
https://www.ea.com/fr-fr/games/mass-effect/mass-effect-3-from-ashes</x:v>
      </x:c>
      <x:c r="S12" s="21" t="str">
        <x:v>Spécification à réaliser. Les champs adaptation, gameplay, visual, animation, audio et implementation décrivent le fan game ; ils ne donnent pas des caractéristiques officielles de l’œuvre.</x:v>
      </x:c>
    </x:row>
    <x:row r="13" ht="68" customHeight="1">
      <x:c r="A13" s="18" t="str">
        <x:v>ME3-CHR-ASHLEY</x:v>
      </x:c>
      <x:c r="B13" s="9" t="str">
        <x:v>Ashley Williams</x:v>
      </x:c>
      <x:c r="C13" s="15" t="str">
        <x:v>Défini</x:v>
      </x:c>
      <x:c r="D13" s="16" t="str">
        <x:v>Établi</x:v>
      </x:c>
      <x:c r="E13" s="16" t="str">
        <x:v>P1</x:v>
      </x:c>
      <x:c r="F13" s="9" t="str">
        <x:v>Équipière possible, survivante de Virmire.</x:v>
      </x:c>
      <x:c r="G13" s="9" t="str">
        <x:v>Soldate de précision : Marksman et munitions disruptives ; scène de confiance conditionne son retour.</x:v>
      </x:c>
      <x:c r="H13" s="9" t="str">
        <x:v>Soldate de précision : Marksman et munitions disruptives ; scène de confiance conditionne son retour.</x:v>
      </x:c>
      <x:c r="I13" s="9" t="str">
        <x:v>Armure Alliance bleue, silhouette humaine et cheveux propres au modèle.</x:v>
      </x:c>
      <x:c r="J13" s="9" t="str">
        <x:v>Prévoir attente, orientation et réaction au contexte ; conserver les repères décrits dans la silhouette pendant les changements de direction. Les mouvements sont des créations du fan game.</x:v>
      </x:c>
      <x:c r="K13" s="9" t="str">
        <x:v>Créer des bruitages et ambiances originaux adaptés au livrable ; sous-titrer les indices utiles et proposer un réglage indépendant des effets. Aucune extraction audio demandée.</x:v>
      </x:c>
      <x:c r="L13" s="9" t="str">
        <x:v>Prévu : fiche de données me3/characters/ashley ; rattacher les ressources et états cités à cet identifiant. Aucun fichier de jeu créé par ce catalogue.</x:v>
      </x:c>
      <x:c r="M13" s="9" t="str">
        <x:v>Exclusive de Kaidan ; autres conditions narratives.</x:v>
      </x:c>
      <x:c r="N13" s="9" t="str">
        <x:v>Le livrable « Ashley Williams » possède une scène ou un scénario de contrôle ; ses règles proposées, ses conditions et ses retours visuels sont vérifiables séparément.</x:v>
      </x:c>
      <x:c r="O13" s="9" t="str"/>
      <x:c r="P13" s="9" t="str">
        <x:v>Ashley Williams</x:v>
      </x:c>
      <x:c r="Q13" s="9" t="str">
        <x:v>ME3-SRC-SQUAD</x:v>
      </x:c>
      <x:c r="R13" s="20" t="str">
        <x:v>https://masseffect.fandom.com/wiki/Squad_Members_Guide_%28Mass_Effect_3%29</x:v>
      </x:c>
      <x:c r="S13" s="20" t="str">
        <x:v>Spécification à réaliser. Les champs adaptation, gameplay, visual, animation, audio et implementation décrivent le fan game ; ils ne donnent pas des caractéristiques officielles de l’œuvre.</x:v>
      </x:c>
    </x:row>
    <x:row r="14" ht="68" customHeight="1">
      <x:c r="A14" s="19" t="str">
        <x:v>ME3-CHR-KAIDAN</x:v>
      </x:c>
      <x:c r="B14" s="7" t="str">
        <x:v>Kaidan Alenko</x:v>
      </x:c>
      <x:c r="C14" s="15" t="str">
        <x:v>Défini</x:v>
      </x:c>
      <x:c r="D14" s="17" t="str">
        <x:v>Établi</x:v>
      </x:c>
      <x:c r="E14" s="17" t="str">
        <x:v>P1</x:v>
      </x:c>
      <x:c r="F14" s="7" t="str">
        <x:v>Équipier possible, survivant de Virmire.</x:v>
      </x:c>
      <x:c r="G14" s="7" t="str">
        <x:v>Hybride biotique/tech : Reave, Barrier, Overload et Cryo Blast pour alterner soutien et détonation.</x:v>
      </x:c>
      <x:c r="H14" s="7" t="str">
        <x:v>Hybride biotique/tech : Reave, Barrier, Overload et Cryo Blast pour alterner soutien et détonation.</x:v>
      </x:c>
      <x:c r="I14" s="7" t="str">
        <x:v>Armure Alliance et posture contenue.</x:v>
      </x:c>
      <x:c r="J14" s="7" t="str">
        <x:v>Prévoir attente, orientation et réaction au contexte ; conserver les repères décrits dans la silhouette pendant les changements de direction. Les mouvements sont des créations du fan game.</x:v>
      </x:c>
      <x:c r="K14" s="7" t="str">
        <x:v>Créer des bruitages et ambiances originaux adaptés au livrable ; sous-titrer les indices utiles et proposer un réglage indépendant des effets. Aucune extraction audio demandée.</x:v>
      </x:c>
      <x:c r="L14" s="7" t="str">
        <x:v>Prévu : fiche de données me3/characters/kaidan ; rattacher les ressources et états cités à cet identifiant. Aucun fichier de jeu créé par ce catalogue.</x:v>
      </x:c>
      <x:c r="M14" s="7" t="str">
        <x:v>Exclusif d’Ashley ; autres conditions narratives.</x:v>
      </x:c>
      <x:c r="N14" s="7" t="str">
        <x:v>Le livrable « Kaidan Alenko » possède une scène ou un scénario de contrôle ; ses règles proposées, ses conditions et ses retours visuels sont vérifiables séparément.</x:v>
      </x:c>
      <x:c r="O14" s="7" t="str"/>
      <x:c r="P14" s="7" t="str">
        <x:v>Kaidan Alenko</x:v>
      </x:c>
      <x:c r="Q14" s="7" t="str">
        <x:v>ME3-SRC-SQUAD</x:v>
      </x:c>
      <x:c r="R14" s="21" t="str">
        <x:v>https://masseffect.fandom.com/wiki/Squad_Members_Guide_%28Mass_Effect_3%29</x:v>
      </x:c>
      <x:c r="S14" s="21" t="str">
        <x:v>Spécification à réaliser. Les champs adaptation, gameplay, visual, animation, audio et implementation décrivent le fan game ; ils ne donnent pas des caractéristiques officielles de l’œuvre.</x:v>
      </x:c>
    </x:row>
    <x:row r="15" ht="68" customHeight="1">
      <x:c r="A15" s="18" t="str">
        <x:v>ME3-CHR-TALI</x:v>
      </x:c>
      <x:c r="B15" s="9" t="str">
        <x:v>Tali’Zorah vas Normandy</x:v>
      </x:c>
      <x:c r="C15" s="15" t="str">
        <x:v>Défini</x:v>
      </x:c>
      <x:c r="D15" s="16" t="str">
        <x:v>Établi</x:v>
      </x:c>
      <x:c r="E15" s="16" t="str">
        <x:v>P1</x:v>
      </x:c>
      <x:c r="F15" s="9" t="str">
        <x:v>Équipière dépendant de ME2 et Rannoch.</x:v>
      </x:c>
      <x:c r="G15" s="9" t="str">
        <x:v>Contrôle synthétique et maintien de bouclier ; séparer drone offensif et drone défensif.</x:v>
      </x:c>
      <x:c r="H15" s="9" t="str">
        <x:v>Contrôle synthétique et maintien de bouclier ; séparer drone offensif et drone défensif.</x:v>
      </x:c>
      <x:c r="I15" s="9" t="str">
        <x:v>Capuche violette, visière et tenue quariène.</x:v>
      </x:c>
      <x:c r="J15" s="9" t="str">
        <x:v>Prévoir attente, orientation et réaction au contexte ; conserver les repères décrits dans la silhouette pendant les changements de direction. Les mouvements sont des créations du fan game.</x:v>
      </x:c>
      <x:c r="K15" s="9" t="str">
        <x:v>Créer des bruitages et ambiances originaux adaptés au livrable ; sous-titrer les indices utiles et proposer un réglage indépendant des effets. Aucune extraction audio demandée.</x:v>
      </x:c>
      <x:c r="L15" s="9" t="str">
        <x:v>Prévu : fiche de données me3/characters/tali ; rattacher les ressources et états cités à cet identifiant. Aucun fichier de jeu créé par ce catalogue.</x:v>
      </x:c>
      <x:c r="M15" s="9" t="str">
        <x:v>Survie et dénouement Rannoch conditionnels.</x:v>
      </x:c>
      <x:c r="N15" s="9" t="str">
        <x:v>Le livrable « Tali’Zorah vas Normandy » possède une scène ou un scénario de contrôle ; ses règles proposées, ses conditions et ses retours visuels sont vérifiables séparément.</x:v>
      </x:c>
      <x:c r="O15" s="9" t="str"/>
      <x:c r="P15" s="9" t="str">
        <x:v>Tali’Zorah vas Normandy</x:v>
      </x:c>
      <x:c r="Q15" s="9" t="str">
        <x:v>ME3-SRC-SQUAD</x:v>
      </x:c>
      <x:c r="R15" s="20" t="str">
        <x:v>https://masseffect.fandom.com/wiki/Squad_Members_Guide_%28Mass_Effect_3%29</x:v>
      </x:c>
      <x:c r="S15" s="20" t="str">
        <x:v>Spécification à réaliser. Les champs adaptation, gameplay, visual, animation, audio et implementation décrivent le fan game ; ils ne donnent pas des caractéristiques officielles de l’œuvre.</x:v>
      </x:c>
    </x:row>
    <x:row r="16" ht="68" customHeight="1">
      <x:c r="A16" s="19" t="str">
        <x:v>ME3-CHR-ANDERSON</x:v>
      </x:c>
      <x:c r="B16" s="7" t="str">
        <x:v>David Anderson — temporaire</x:v>
      </x:c>
      <x:c r="C16" s="15" t="str">
        <x:v>Défini</x:v>
      </x:c>
      <x:c r="D16" s="17" t="str">
        <x:v>Établi</x:v>
      </x:c>
      <x:c r="E16" s="17" t="str">
        <x:v>P1</x:v>
      </x:c>
      <x:c r="F16" s="7" t="str">
        <x:v>Accompagne le prologue terrestre.</x:v>
      </x:c>
      <x:c r="G16" s="7" t="str">
        <x:v>Guide de déplacement et de tir ; ne pas garder son slot disponible après l’évacuation.</x:v>
      </x:c>
      <x:c r="H16" s="7" t="str">
        <x:v>Guide de déplacement et de tir ; ne pas garder son slot disponible après l’évacuation.</x:v>
      </x:c>
      <x:c r="I16" s="7" t="str">
        <x:v>Uniforme Alliance et arme de poing.</x:v>
      </x:c>
      <x:c r="J16" s="7" t="str">
        <x:v>Prévoir attente, orientation et réaction au contexte ; conserver les repères décrits dans la silhouette pendant les changements de direction. Les mouvements sont des créations du fan game.</x:v>
      </x:c>
      <x:c r="K16" s="7" t="str">
        <x:v>Créer des bruitages et ambiances originaux adaptés au livrable ; sous-titrer les indices utiles et proposer un réglage indépendant des effets. Aucune extraction audio demandée.</x:v>
      </x:c>
      <x:c r="L16" s="7" t="str">
        <x:v>Prévu : fiche de données me3/characters/anderson ; rattacher les ressources et états cités à cet identifiant. Aucun fichier de jeu créé par ce catalogue.</x:v>
      </x:c>
      <x:c r="M16" s="7" t="str">
        <x:v>Prologue seulement.</x:v>
      </x:c>
      <x:c r="N16" s="7" t="str">
        <x:v>Le livrable « David Anderson — temporaire » possède une scène ou un scénario de contrôle ; ses règles proposées, ses conditions et ses retours visuels sont vérifiables séparément.</x:v>
      </x:c>
      <x:c r="O16" s="7" t="str"/>
      <x:c r="P16" s="7" t="str">
        <x:v>David Anderson — temporaire</x:v>
      </x:c>
      <x:c r="Q16" s="7" t="str">
        <x:v>ME3-SRC-SQUAD</x:v>
      </x:c>
      <x:c r="R16" s="21" t="str">
        <x:v>https://masseffect.fandom.com/wiki/Squad_Members_Guide_%28Mass_Effect_3%29</x:v>
      </x:c>
      <x:c r="S16" s="21" t="str">
        <x:v>Spécification à réaliser. Les champs adaptation, gameplay, visual, animation, audio et implementation décrivent le fan game ; ils ne donnent pas des caractéristiques officielles de l’œuvre.</x:v>
      </x:c>
    </x:row>
    <x:row r="17" ht="68" customHeight="1">
      <x:c r="A17" s="18" t="str">
        <x:v>ME3-CHR-ARIA</x:v>
      </x:c>
      <x:c r="B17" s="9" t="str">
        <x:v>Aria T’Loak — Omega</x:v>
      </x:c>
      <x:c r="C17" s="15" t="str">
        <x:v>Défini</x:v>
      </x:c>
      <x:c r="D17" s="16" t="str">
        <x:v>Établi</x:v>
      </x:c>
      <x:c r="E17" s="16" t="str">
        <x:v>P1</x:v>
      </x:c>
      <x:c r="F17" s="9" t="str">
        <x:v>Équipière spécifique à l’extension.</x:v>
      </x:c>
      <x:c r="G17" s="9" t="str">
        <x:v>Biotique agressive avec Flare, Lash, Reave et Carnage ; équilibrer longue préparation et forte zone.</x:v>
      </x:c>
      <x:c r="H17" s="9" t="str">
        <x:v>Biotique agressive avec Flare, Lash, Reave et Carnage ; équilibrer longue préparation et forte zone.</x:v>
      </x:c>
      <x:c r="I17" s="9" t="str">
        <x:v>Asari violette et tenue de commandement noire.</x:v>
      </x:c>
      <x:c r="J17" s="9" t="str">
        <x:v>Prévoir attente, orientation et réaction au contexte ; conserver les repères décrits dans la silhouette pendant les changements de direction. Les mouvements sont des créations du fan game.</x:v>
      </x:c>
      <x:c r="K17" s="9" t="str">
        <x:v>Créer des bruitages et ambiances originaux adaptés au livrable ; sous-titrer les indices utiles et proposer un réglage indépendant des effets. Aucune extraction audio demandée.</x:v>
      </x:c>
      <x:c r="L17" s="9" t="str">
        <x:v>Prévu : fiche de données me3/characters/aria ; rattacher les ressources et états cités à cet identifiant. Aucun fichier de jeu créé par ce catalogue.</x:v>
      </x:c>
      <x:c r="M17" s="9" t="str">
        <x:v>Omega seulement.</x:v>
      </x:c>
      <x:c r="N17" s="9" t="str">
        <x:v>Le livrable « Aria T’Loak — Omega » possède une scène ou un scénario de contrôle ; ses règles proposées, ses conditions et ses retours visuels sont vérifiables séparément.</x:v>
      </x:c>
      <x:c r="O17" s="9" t="str"/>
      <x:c r="P17" s="9" t="str">
        <x:v>Aria T’Loak — Omega</x:v>
      </x:c>
      <x:c r="Q17" s="9" t="str">
        <x:v>ME3-SRC-SQUAD</x:v>
      </x:c>
      <x:c r="R17" s="20" t="str">
        <x:v>https://masseffect.fandom.com/wiki/Squad_Members_Guide_%28Mass_Effect_3%29</x:v>
      </x:c>
      <x:c r="S17" s="20" t="str">
        <x:v>Spécification à réaliser. Les champs adaptation, gameplay, visual, animation, audio et implementation décrivent le fan game ; ils ne donnent pas des caractéristiques officielles de l’œuvre.</x:v>
      </x:c>
    </x:row>
    <x:row r="18" ht="68" customHeight="1">
      <x:c r="A18" s="19" t="str">
        <x:v>ME3-CHR-NYREEN</x:v>
      </x:c>
      <x:c r="B18" s="7" t="str">
        <x:v>Nyreen Kandros — Omega</x:v>
      </x:c>
      <x:c r="C18" s="15" t="str">
        <x:v>Défini</x:v>
      </x:c>
      <x:c r="D18" s="17" t="str">
        <x:v>Établi</x:v>
      </x:c>
      <x:c r="E18" s="17" t="str">
        <x:v>P1</x:v>
      </x:c>
      <x:c r="F18" s="7" t="str">
        <x:v>Équipière temporaire d’Omega.</x:v>
      </x:c>
      <x:c r="G18" s="7" t="str">
        <x:v>Protection biotique et compétences tech ; rôle de secours à distance lisible.</x:v>
      </x:c>
      <x:c r="H18" s="7" t="str">
        <x:v>Protection biotique et compétences tech ; rôle de secours à distance lisible.</x:v>
      </x:c>
      <x:c r="I18" s="7" t="str">
        <x:v>Turienne, armure tactique et marque faciale.</x:v>
      </x:c>
      <x:c r="J18" s="7" t="str">
        <x:v>Prévoir attente, orientation et réaction au contexte ; conserver les repères décrits dans la silhouette pendant les changements de direction. Les mouvements sont des créations du fan game.</x:v>
      </x:c>
      <x:c r="K18" s="7" t="str">
        <x:v>Créer des bruitages et ambiances originaux adaptés au livrable ; sous-titrer les indices utiles et proposer un réglage indépendant des effets. Aucune extraction audio demandée.</x:v>
      </x:c>
      <x:c r="L18" s="7" t="str">
        <x:v>Prévu : fiche de données me3/characters/nyreen ; rattacher les ressources et états cités à cet identifiant. Aucun fichier de jeu créé par ce catalogue.</x:v>
      </x:c>
      <x:c r="M18" s="7" t="str">
        <x:v>Omega seulement.</x:v>
      </x:c>
      <x:c r="N18" s="7" t="str">
        <x:v>Le livrable « Nyreen Kandros — Omega » possède une scène ou un scénario de contrôle ; ses règles proposées, ses conditions et ses retours visuels sont vérifiables séparément.</x:v>
      </x:c>
      <x:c r="O18" s="7" t="str"/>
      <x:c r="P18" s="7" t="str">
        <x:v>Nyreen Kandros — Omega</x:v>
      </x:c>
      <x:c r="Q18" s="7" t="str">
        <x:v>ME3-SRC-SQUAD</x:v>
      </x:c>
      <x:c r="R18" s="21" t="str">
        <x:v>https://masseffect.fandom.com/wiki/Squad_Members_Guide_%28Mass_Effect_3%29</x:v>
      </x:c>
      <x:c r="S18" s="21" t="str">
        <x:v>Spécification à réaliser. Les champs adaptation, gameplay, visual, animation, audio et implementation décrivent le fan game ; ils ne donnent pas des caractéristiques officielles de l’œuvre.</x:v>
      </x:c>
    </x:row>
    <x:row r="19" ht="68" customHeight="1">
      <x:c r="A19" s="18" t="str">
        <x:v>ME3-CHR-WREX</x:v>
      </x:c>
      <x:c r="B19" s="9" t="str">
        <x:v>Urdnot Wrex — Citadel</x:v>
      </x:c>
      <x:c r="C19" s="15" t="str">
        <x:v>Défini</x:v>
      </x:c>
      <x:c r="D19" s="16" t="str">
        <x:v>Établi</x:v>
      </x:c>
      <x:c r="E19" s="16" t="str">
        <x:v>P1</x:v>
      </x:c>
      <x:c r="F19" s="9" t="str">
        <x:v>Wrex peut combattre dans Citadel.</x:v>
      </x:c>
      <x:c r="G19" s="9" t="str">
        <x:v>Krogan de mêlée avec Carnage et soutien ; rendre les consommables de Stimulant Pack distincts des grenades dans l’adaptation.</x:v>
      </x:c>
      <x:c r="H19" s="9" t="str">
        <x:v>Krogan de mêlée avec Carnage et soutien ; rendre les consommables de Stimulant Pack distincts des grenades dans l’adaptation.</x:v>
      </x:c>
      <x:c r="I19" s="9" t="str">
        <x:v>Grande carapace rouge et armure lourde.</x:v>
      </x:c>
      <x:c r="J19" s="9" t="str">
        <x:v>Prévoir attente, orientation et réaction au contexte ; conserver les repères décrits dans la silhouette pendant les changements de direction. Les mouvements sont des créations du fan game.</x:v>
      </x:c>
      <x:c r="K19" s="9" t="str">
        <x:v>Créer des bruitages et ambiances originaux adaptés au livrable ; sous-titrer les indices utiles et proposer un réglage indépendant des effets. Aucune extraction audio demandée.</x:v>
      </x:c>
      <x:c r="L19" s="9" t="str">
        <x:v>Prévu : fiche de données me3/characters/wrex ; rattacher les ressources et états cités à cet identifiant. Aucun fichier de jeu créé par ce catalogue.</x:v>
      </x:c>
      <x:c r="M19" s="9" t="str">
        <x:v>Vivant ; extension Citadel uniquement hors arène.</x:v>
      </x:c>
      <x:c r="N19" s="9" t="str">
        <x:v>Le livrable « Urdnot Wrex — Citadel » possède une scène ou un scénario de contrôle ; ses règles proposées, ses conditions et ses retours visuels sont vérifiables séparément.</x:v>
      </x:c>
      <x:c r="O19" s="9" t="str"/>
      <x:c r="P19" s="9" t="str">
        <x:v>Urdnot Wrex — Citadel</x:v>
      </x:c>
      <x:c r="Q19" s="9" t="str">
        <x:v>ME3-SRC-SQUAD</x:v>
      </x:c>
      <x:c r="R19" s="20" t="str">
        <x:v>https://masseffect.fandom.com/wiki/Squad_Members_Guide_%28Mass_Effect_3%29</x:v>
      </x:c>
      <x:c r="S19" s="20" t="str">
        <x:v>Spécification à réaliser. Les champs adaptation, gameplay, visual, animation, audio et implementation décrivent le fan game ; ils ne donnent pas des caractéristiques officielles de l’œuvre.</x:v>
      </x:c>
    </x:row>
    <x:row r="20" ht="68" customHeight="1">
      <x:c r="A20" s="19" t="str">
        <x:v>ME3-CHR-ARENA-GRUNT</x:v>
      </x:c>
      <x:c r="B20" s="7" t="str">
        <x:v>Grunt — Armax uniquement</x:v>
      </x:c>
      <x:c r="C20" s="15" t="str">
        <x:v>Défini</x:v>
      </x:c>
      <x:c r="D20" s="17" t="str">
        <x:v>Établi</x:v>
      </x:c>
      <x:c r="E20" s="17" t="str">
        <x:v>P1</x:v>
      </x:c>
      <x:c r="F20" s="7" t="str">
        <x:v>Équipier du simulateur si vivant.</x:v>
      </x:c>
      <x:c r="G20" s="7" t="str">
        <x:v>Importer sa résistance et ses armes dans les règles d’arène ; interdire son sélectionneur en mission de campagne.</x:v>
      </x:c>
      <x:c r="H20" s="7" t="str">
        <x:v>Importer sa résistance et ses armes dans les règles d’arène ; interdire son sélectionneur en mission de campagne.</x:v>
      </x:c>
      <x:c r="I20" s="7" t="str">
        <x:v>Carapace claire et armure krogan.</x:v>
      </x:c>
      <x:c r="J20" s="7" t="str">
        <x:v>Prévoir attente, orientation et réaction au contexte ; conserver les repères décrits dans la silhouette pendant les changements de direction. Les mouvements sont des créations du fan game.</x:v>
      </x:c>
      <x:c r="K20" s="7" t="str">
        <x:v>Créer des bruitages et ambiances originaux adaptés au livrable ; sous-titrer les indices utiles et proposer un réglage indépendant des effets. Aucune extraction audio demandée.</x:v>
      </x:c>
      <x:c r="L20" s="7" t="str">
        <x:v>Prévu : fiche de données me3/characters/arena-grunt ; rattacher les ressources et états cités à cet identifiant. Aucun fichier de jeu créé par ce catalogue.</x:v>
      </x:c>
      <x:c r="M20" s="7" t="str">
        <x:v>Simulateur Armax ; survie requise.</x:v>
      </x:c>
      <x:c r="N20" s="7" t="str">
        <x:v>Le livrable « Grunt — Armax uniquement » possède une scène ou un scénario de contrôle ; ses règles proposées, ses conditions et ses retours visuels sont vérifiables séparément.</x:v>
      </x:c>
      <x:c r="O20" s="7" t="str"/>
      <x:c r="P20" s="7" t="str">
        <x:v>Grunt — Armax uniquement</x:v>
      </x:c>
      <x:c r="Q20" s="7" t="str">
        <x:v>ME3-SRC-SQUAD</x:v>
      </x:c>
      <x:c r="R20" s="21" t="str">
        <x:v>https://masseffect.fandom.com/wiki/Squad_Members_Guide_%28Mass_Effect_3%29</x:v>
      </x:c>
      <x:c r="S20" s="21" t="str">
        <x:v>Spécification à réaliser. Les champs adaptation, gameplay, visual, animation, audio et implementation décrivent le fan game ; ils ne donnent pas des caractéristiques officielles de l’œuvre.</x:v>
      </x:c>
    </x:row>
    <x:row r="21" ht="68" customHeight="1">
      <x:c r="A21" s="18" t="str">
        <x:v>ME3-CHR-ARENA-JACK</x:v>
      </x:c>
      <x:c r="B21" s="9" t="str">
        <x:v>Jack — Armax uniquement</x:v>
      </x:c>
      <x:c r="C21" s="15" t="str">
        <x:v>Défini</x:v>
      </x:c>
      <x:c r="D21" s="16" t="str">
        <x:v>Établi</x:v>
      </x:c>
      <x:c r="E21" s="16" t="str">
        <x:v>P1</x:v>
      </x:c>
      <x:c r="F21" s="9" t="str">
        <x:v>Équipière du simulateur si vivante.</x:v>
      </x:c>
      <x:c r="G21" s="9" t="str">
        <x:v>Version biotique de contrôle dans arène ; apparence d’instructrice et variante combat distinctes.</x:v>
      </x:c>
      <x:c r="H21" s="9" t="str">
        <x:v>Version biotique de contrôle dans arène ; apparence d’instructrice et variante combat distinctes.</x:v>
      </x:c>
      <x:c r="I21" s="9" t="str">
        <x:v>Tatouages, tenue ME3 et coupe propre à ME3.</x:v>
      </x:c>
      <x:c r="J21" s="9" t="str">
        <x:v>Prévoir attente, orientation et réaction au contexte ; conserver les repères décrits dans la silhouette pendant les changements de direction. Les mouvements sont des créations du fan game.</x:v>
      </x:c>
      <x:c r="K21" s="9" t="str">
        <x:v>Créer des bruitages et ambiances originaux adaptés au livrable ; sous-titrer les indices utiles et proposer un réglage indépendant des effets. Aucune extraction audio demandée.</x:v>
      </x:c>
      <x:c r="L21" s="9" t="str">
        <x:v>Prévu : fiche de données me3/characters/arena-jack ; rattacher les ressources et états cités à cet identifiant. Aucun fichier de jeu créé par ce catalogue.</x:v>
      </x:c>
      <x:c r="M21" s="9" t="str">
        <x:v>Simulateur Armax ; survie requise.</x:v>
      </x:c>
      <x:c r="N21" s="9" t="str">
        <x:v>Le livrable « Jack — Armax uniquement » possède une scène ou un scénario de contrôle ; ses règles proposées, ses conditions et ses retours visuels sont vérifiables séparément.</x:v>
      </x:c>
      <x:c r="O21" s="9" t="str"/>
      <x:c r="P21" s="9" t="str">
        <x:v>Jack — Armax uniquement</x:v>
      </x:c>
      <x:c r="Q21" s="9" t="str">
        <x:v>ME3-SRC-SQUAD</x:v>
      </x:c>
      <x:c r="R21" s="20" t="str">
        <x:v>https://masseffect.fandom.com/wiki/Squad_Members_Guide_%28Mass_Effect_3%29</x:v>
      </x:c>
      <x:c r="S21" s="20" t="str">
        <x:v>Spécification à réaliser. Les champs adaptation, gameplay, visual, animation, audio et implementation décrivent le fan game ; ils ne donnent pas des caractéristiques officielles de l’œuvre.</x:v>
      </x:c>
    </x:row>
    <x:row r="22" ht="68" customHeight="1">
      <x:c r="A22" s="19" t="str">
        <x:v>ME3-CHR-ARENA-JACOB</x:v>
      </x:c>
      <x:c r="B22" s="7" t="str">
        <x:v>Jacob Taylor — Armax uniquement</x:v>
      </x:c>
      <x:c r="C22" s="15" t="str">
        <x:v>Défini</x:v>
      </x:c>
      <x:c r="D22" s="17" t="str">
        <x:v>Établi</x:v>
      </x:c>
      <x:c r="E22" s="17" t="str">
        <x:v>P1</x:v>
      </x:c>
      <x:c r="F22" s="7" t="str">
        <x:v>Équipier du simulateur si vivant.</x:v>
      </x:c>
      <x:c r="G22" s="7" t="str">
        <x:v>Rôle shotgun/biotique repris dans une table de simulation ; aucune réintégration au Normandy actif.</x:v>
      </x:c>
      <x:c r="H22" s="7" t="str">
        <x:v>Rôle shotgun/biotique repris dans une table de simulation ; aucune réintégration au Normandy actif.</x:v>
      </x:c>
      <x:c r="I22" s="7" t="str">
        <x:v>Tenue de combat d’ex-Cerberus.</x:v>
      </x:c>
      <x:c r="J22" s="7" t="str">
        <x:v>Prévoir attente, orientation et réaction au contexte ; conserver les repères décrits dans la silhouette pendant les changements de direction. Les mouvements sont des créations du fan game.</x:v>
      </x:c>
      <x:c r="K22" s="7" t="str">
        <x:v>Créer des bruitages et ambiances originaux adaptés au livrable ; sous-titrer les indices utiles et proposer un réglage indépendant des effets. Aucune extraction audio demandée.</x:v>
      </x:c>
      <x:c r="L22" s="7" t="str">
        <x:v>Prévu : fiche de données me3/characters/arena-jacob ; rattacher les ressources et états cités à cet identifiant. Aucun fichier de jeu créé par ce catalogue.</x:v>
      </x:c>
      <x:c r="M22" s="7" t="str">
        <x:v>Simulateur Armax ; survie requise.</x:v>
      </x:c>
      <x:c r="N22" s="7" t="str">
        <x:v>Le livrable « Jacob Taylor — Armax uniquement » possède une scène ou un scénario de contrôle ; ses règles proposées, ses conditions et ses retours visuels sont vérifiables séparément.</x:v>
      </x:c>
      <x:c r="O22" s="7" t="str"/>
      <x:c r="P22" s="7" t="str">
        <x:v>Jacob Taylor — Armax uniquement</x:v>
      </x:c>
      <x:c r="Q22" s="7" t="str">
        <x:v>ME3-SRC-SQUAD</x:v>
      </x:c>
      <x:c r="R22" s="21" t="str">
        <x:v>https://masseffect.fandom.com/wiki/Squad_Members_Guide_%28Mass_Effect_3%29</x:v>
      </x:c>
      <x:c r="S22" s="21" t="str">
        <x:v>Spécification à réaliser. Les champs adaptation, gameplay, visual, animation, audio et implementation décrivent le fan game ; ils ne donnent pas des caractéristiques officielles de l’œuvre.</x:v>
      </x:c>
    </x:row>
    <x:row r="23" ht="68" customHeight="1">
      <x:c r="A23" s="18" t="str">
        <x:v>ME3-CHR-ARENA-KASUMI</x:v>
      </x:c>
      <x:c r="B23" s="9" t="str">
        <x:v>Kasumi Goto — Armax uniquement</x:v>
      </x:c>
      <x:c r="C23" s="15" t="str">
        <x:v>Défini</x:v>
      </x:c>
      <x:c r="D23" s="16" t="str">
        <x:v>Établi</x:v>
      </x:c>
      <x:c r="E23" s="16" t="str">
        <x:v>P1</x:v>
      </x:c>
      <x:c r="F23" s="9" t="str">
        <x:v>Équipière du simulateur si vivante.</x:v>
      </x:c>
      <x:c r="G23" s="9" t="str">
        <x:v>Tactical Cloak et Decoy donnent une niche de diversion ; ne pas recopier automatiquement Shadow Strike de ME2.</x:v>
      </x:c>
      <x:c r="H23" s="9" t="str">
        <x:v>Tactical Cloak et Decoy donnent une niche de diversion ; ne pas recopier automatiquement Shadow Strike de ME2.</x:v>
      </x:c>
      <x:c r="I23" s="9" t="str">
        <x:v>Capuche et couleurs de tenue connues.</x:v>
      </x:c>
      <x:c r="J23" s="9" t="str">
        <x:v>Prévoir attente, orientation et réaction au contexte ; conserver les repères décrits dans la silhouette pendant les changements de direction. Les mouvements sont des créations du fan game.</x:v>
      </x:c>
      <x:c r="K23" s="9" t="str">
        <x:v>Créer des bruitages et ambiances originaux adaptés au livrable ; sous-titrer les indices utiles et proposer un réglage indépendant des effets. Aucune extraction audio demandée.</x:v>
      </x:c>
      <x:c r="L23" s="9" t="str">
        <x:v>Prévu : fiche de données me3/characters/arena-kasumi ; rattacher les ressources et états cités à cet identifiant. Aucun fichier de jeu créé par ce catalogue.</x:v>
      </x:c>
      <x:c r="M23" s="9" t="str">
        <x:v>Simulateur Armax ; survie requise.</x:v>
      </x:c>
      <x:c r="N23" s="9" t="str">
        <x:v>Le livrable « Kasumi Goto — Armax uniquement » possède une scène ou un scénario de contrôle ; ses règles proposées, ses conditions et ses retours visuels sont vérifiables séparément.</x:v>
      </x:c>
      <x:c r="O23" s="9" t="str"/>
      <x:c r="P23" s="9" t="str">
        <x:v>Kasumi Goto — Armax uniquement</x:v>
      </x:c>
      <x:c r="Q23" s="9" t="str">
        <x:v>ME3-SRC-SQUAD</x:v>
      </x:c>
      <x:c r="R23" s="20" t="str">
        <x:v>https://masseffect.fandom.com/wiki/Squad_Members_Guide_%28Mass_Effect_3%29</x:v>
      </x:c>
      <x:c r="S23" s="20" t="str">
        <x:v>Spécification à réaliser. Les champs adaptation, gameplay, visual, animation, audio et implementation décrivent le fan game ; ils ne donnent pas des caractéristiques officielles de l’œuvre.</x:v>
      </x:c>
    </x:row>
    <x:row r="24" ht="68" customHeight="1">
      <x:c r="A24" s="19" t="str">
        <x:v>ME3-CHR-ARENA-MIRANDA</x:v>
      </x:c>
      <x:c r="B24" s="7" t="str">
        <x:v>Miranda Lawson — Armax uniquement</x:v>
      </x:c>
      <x:c r="C24" s="15" t="str">
        <x:v>Défini</x:v>
      </x:c>
      <x:c r="D24" s="17" t="str">
        <x:v>Établi</x:v>
      </x:c>
      <x:c r="E24" s="17" t="str">
        <x:v>P1</x:v>
      </x:c>
      <x:c r="F24" s="7" t="str">
        <x:v>Équipière du simulateur si vivante.</x:v>
      </x:c>
      <x:c r="G24" s="7" t="str">
        <x:v>Hybride Overload/Warp et autres pouvoirs propres à sa version Armax ; données séparées du personnage de ME2.</x:v>
      </x:c>
      <x:c r="H24" s="7" t="str">
        <x:v>Hybride Overload/Warp et autres pouvoirs propres à sa version Armax ; données séparées du personnage de ME2.</x:v>
      </x:c>
      <x:c r="I24" s="7" t="str">
        <x:v>Combinaison claire et noire.</x:v>
      </x:c>
      <x:c r="J24" s="7" t="str">
        <x:v>Prévoir attente, orientation et réaction au contexte ; conserver les repères décrits dans la silhouette pendant les changements de direction. Les mouvements sont des créations du fan game.</x:v>
      </x:c>
      <x:c r="K24" s="7" t="str">
        <x:v>Créer des bruitages et ambiances originaux adaptés au livrable ; sous-titrer les indices utiles et proposer un réglage indépendant des effets. Aucune extraction audio demandée.</x:v>
      </x:c>
      <x:c r="L24" s="7" t="str">
        <x:v>Prévu : fiche de données me3/characters/arena-miranda ; rattacher les ressources et états cités à cet identifiant. Aucun fichier de jeu créé par ce catalogue.</x:v>
      </x:c>
      <x:c r="M24" s="7" t="str">
        <x:v>Simulateur Armax ; survie requise.</x:v>
      </x:c>
      <x:c r="N24" s="7" t="str">
        <x:v>Le livrable « Miranda Lawson — Armax uniquement » possède une scène ou un scénario de contrôle ; ses règles proposées, ses conditions et ses retours visuels sont vérifiables séparément.</x:v>
      </x:c>
      <x:c r="O24" s="7" t="str"/>
      <x:c r="P24" s="7" t="str">
        <x:v>Miranda Lawson — Armax uniquement</x:v>
      </x:c>
      <x:c r="Q24" s="7" t="str">
        <x:v>ME3-SRC-SQUAD</x:v>
      </x:c>
      <x:c r="R24" s="21" t="str">
        <x:v>https://masseffect.fandom.com/wiki/Squad_Members_Guide_%28Mass_Effect_3%29</x:v>
      </x:c>
      <x:c r="S24" s="21" t="str">
        <x:v>Spécification à réaliser. Les champs adaptation, gameplay, visual, animation, audio et implementation décrivent le fan game ; ils ne donnent pas des caractéristiques officielles de l’œuvre.</x:v>
      </x:c>
    </x:row>
    <x:row r="25" ht="68" customHeight="1">
      <x:c r="A25" s="18" t="str">
        <x:v>ME3-CHR-ARENA-SAMARA</x:v>
      </x:c>
      <x:c r="B25" s="9" t="str">
        <x:v>Samara — Armax uniquement</x:v>
      </x:c>
      <x:c r="C25" s="15" t="str">
        <x:v>Défini</x:v>
      </x:c>
      <x:c r="D25" s="16" t="str">
        <x:v>Établi</x:v>
      </x:c>
      <x:c r="E25" s="16" t="str">
        <x:v>P1</x:v>
      </x:c>
      <x:c r="F25" s="9" t="str">
        <x:v>Équipière du simulateur si vivante.</x:v>
      </x:c>
      <x:c r="G25" s="9" t="str">
        <x:v>Combinaisons biotiques à distance ; verrou de disponibilité après l’arc du monastère.</x:v>
      </x:c>
      <x:c r="H25" s="9" t="str">
        <x:v>Combinaisons biotiques à distance ; verrou de disponibilité après l’arc du monastère.</x:v>
      </x:c>
      <x:c r="I25" s="9" t="str">
        <x:v>Armure rouge et posture droite.</x:v>
      </x:c>
      <x:c r="J25" s="9" t="str">
        <x:v>Prévoir attente, orientation et réaction au contexte ; conserver les repères décrits dans la silhouette pendant les changements de direction. Les mouvements sont des créations du fan game.</x:v>
      </x:c>
      <x:c r="K25" s="9" t="str">
        <x:v>Créer des bruitages et ambiances originaux adaptés au livrable ; sous-titrer les indices utiles et proposer un réglage indépendant des effets. Aucune extraction audio demandée.</x:v>
      </x:c>
      <x:c r="L25" s="9" t="str">
        <x:v>Prévu : fiche de données me3/characters/arena-samara ; rattacher les ressources et états cités à cet identifiant. Aucun fichier de jeu créé par ce catalogue.</x:v>
      </x:c>
      <x:c r="M25" s="9" t="str">
        <x:v>Simulateur Armax ; survie requise.</x:v>
      </x:c>
      <x:c r="N25" s="9" t="str">
        <x:v>Le livrable « Samara — Armax uniquement » possède une scène ou un scénario de contrôle ; ses règles proposées, ses conditions et ses retours visuels sont vérifiables séparément.</x:v>
      </x:c>
      <x:c r="O25" s="9" t="str"/>
      <x:c r="P25" s="9" t="str">
        <x:v>Samara — Armax uniquement</x:v>
      </x:c>
      <x:c r="Q25" s="9" t="str">
        <x:v>ME3-SRC-SQUAD</x:v>
      </x:c>
      <x:c r="R25" s="20" t="str">
        <x:v>https://masseffect.fandom.com/wiki/Squad_Members_Guide_%28Mass_Effect_3%29</x:v>
      </x:c>
      <x:c r="S25" s="20" t="str">
        <x:v>Spécification à réaliser. Les champs adaptation, gameplay, visual, animation, audio et implementation décrivent le fan game ; ils ne donnent pas des caractéristiques officielles de l’œuvre.</x:v>
      </x:c>
    </x:row>
    <x:row r="26" ht="68" customHeight="1">
      <x:c r="A26" s="19" t="str">
        <x:v>ME3-CHR-ARENA-ZAEED</x:v>
      </x:c>
      <x:c r="B26" s="7" t="str">
        <x:v>Zaeed Massani — Armax uniquement</x:v>
      </x:c>
      <x:c r="C26" s="15" t="str">
        <x:v>Défini</x:v>
      </x:c>
      <x:c r="D26" s="17" t="str">
        <x:v>Établi</x:v>
      </x:c>
      <x:c r="E26" s="17" t="str">
        <x:v>P1</x:v>
      </x:c>
      <x:c r="F26" s="7" t="str">
        <x:v>Équipier du simulateur si vivant.</x:v>
      </x:c>
      <x:c r="G26" s="7" t="str">
        <x:v>Suppression et grenades incendiaires ; approche offensive propre à la simulation.</x:v>
      </x:c>
      <x:c r="H26" s="7" t="str">
        <x:v>Suppression et grenades incendiaires ; approche offensive propre à la simulation.</x:v>
      </x:c>
      <x:c r="I26" s="7" t="str">
        <x:v>Armure usée et visage marqué.</x:v>
      </x:c>
      <x:c r="J26" s="7" t="str">
        <x:v>Prévoir attente, orientation et réaction au contexte ; conserver les repères décrits dans la silhouette pendant les changements de direction. Les mouvements sont des créations du fan game.</x:v>
      </x:c>
      <x:c r="K26" s="7" t="str">
        <x:v>Créer des bruitages et ambiances originaux adaptés au livrable ; sous-titrer les indices utiles et proposer un réglage indépendant des effets. Aucune extraction audio demandée.</x:v>
      </x:c>
      <x:c r="L26" s="7" t="str">
        <x:v>Prévu : fiche de données me3/characters/arena-zaeed ; rattacher les ressources et états cités à cet identifiant. Aucun fichier de jeu créé par ce catalogue.</x:v>
      </x:c>
      <x:c r="M26" s="7" t="str">
        <x:v>Simulateur Armax ; survie requise.</x:v>
      </x:c>
      <x:c r="N26" s="7" t="str">
        <x:v>Le livrable « Zaeed Massani — Armax uniquement » possède une scène ou un scénario de contrôle ; ses règles proposées, ses conditions et ses retours visuels sont vérifiables séparément.</x:v>
      </x:c>
      <x:c r="O26" s="7" t="str"/>
      <x:c r="P26" s="7" t="str">
        <x:v>Zaeed Massani — Armax uniquement</x:v>
      </x:c>
      <x:c r="Q26" s="7" t="str">
        <x:v>ME3-SRC-SQUAD</x:v>
      </x:c>
      <x:c r="R26" s="21" t="str">
        <x:v>https://masseffect.fandom.com/wiki/Squad_Members_Guide_%28Mass_Effect_3%29</x:v>
      </x:c>
      <x:c r="S26" s="21" t="str">
        <x:v>Spécification à réaliser. Les champs adaptation, gameplay, visual, animation, audio et implementation décrivent le fan game ; ils ne donnent pas des caractéristiques officielles de l’œuvre.</x:v>
      </x:c>
    </x:row>
  </x:sheetData>
  <x:conditionalFormatting sqref="D7:D26">
    <x:cfRule type="cellIs" dxfId="0" priority="1" operator="equal">
      <x:formula>"À vérifier"</x:formula>
    </x:cfRule>
    <x:cfRule type="cellIs" dxfId="1" priority="2" operator="equal">
      <x:formula>"Extrapolation"</x:formula>
    </x:cfRule>
  </x:conditionalFormatting>
  <x:conditionalFormatting sqref="C7:C26">
    <x:cfRule type="cellIs" dxfId="2" priority="3" operator="equal">
      <x:formula>"Validé"</x:formula>
    </x:cfRule>
  </x:conditionalFormatting>
  <x:conditionalFormatting sqref="E7:E26">
    <x:cfRule type="cellIs" dxfId="3" priority="4" operator="equal">
      <x:formula>"P0"</x:formula>
    </x:cfRule>
  </x:conditionalFormatting>
  <x:dataValidations count="3">
    <x:dataValidation type="list" sqref="C7:C26">
      <x:formula1>"Défini,Prototype,Intégré,Validé"</x:formula1>
    </x:dataValidation>
    <x:dataValidation type="list" sqref="D7:D26">
      <x:formula1>"Établi,À vérifier,Extrapolation,Coupé attesté,Concept abandonné,Allégation écartée"</x:formula1>
    </x:dataValidation>
    <x:dataValidation type="list" sqref="E7:E26">
      <x:formula1>"P0,P1,P2"</x:formula1>
    </x:dataValidation>
  </x:dataValidations>
  <x:pageMargins left="0.7" right="0.7" top="0.75" bottom="0.75" header="0.3" footer="0.3"/>
  <x:tableParts count="1">
    <x:tablePart xmlns:r="http://schemas.openxmlformats.org/officeDocument/2006/relationships" r:id="Reb70dd6c38354ac7"/>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1"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PNJ</x:v>
      </x:c>
      <x:c r="B2" s="2"/>
      <x:c r="C2" s="2"/>
      <x:c r="D2" s="2"/>
      <x:c r="E2" s="2"/>
      <x:c r="F2" s="2"/>
      <x:c r="G2" s="2"/>
      <x:c r="H2" s="2"/>
      <x:c r="I2" s="2"/>
      <x:c r="J2" s="2"/>
      <x:c r="K2" s="2"/>
      <x:c r="L2" s="2"/>
      <x:c r="M2" s="2"/>
      <x:c r="N2" s="2"/>
      <x:c r="O2" s="2"/>
      <x:c r="P2" s="2"/>
      <x:c r="Q2" s="2"/>
      <x:c r="R2" s="2"/>
      <x:c r="S2" s="2"/>
    </x:row>
    <x:row r="3" ht="22" customHeight="1">
      <x:c r="A3" s="4" t="str">
        <x:v>Mass Effect 3 — Personnages de rencontre et services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ME3-NPC-HACKETT</x:v>
      </x:c>
      <x:c r="B7" s="9" t="str">
        <x:v>Amiral Hackett</x:v>
      </x:c>
      <x:c r="C7" s="15" t="str">
        <x:v>Défini</x:v>
      </x:c>
      <x:c r="D7" s="16" t="str">
        <x:v>Établi</x:v>
      </x:c>
      <x:c r="E7" s="16" t="str">
        <x:v>P1</x:v>
      </x:c>
      <x:c r="F7" s="9" t="str">
        <x:v>Coordonne l’effort allié.</x:v>
      </x:c>
      <x:c r="G7" s="9" t="str">
        <x:v>Briefings de ressources de guerre avec provenance de chaque contribution ; évite les discours répétés après collecte minime.</x:v>
      </x:c>
      <x:c r="H7" s="9" t="str">
        <x:v>Briefings de ressources de guerre avec provenance de chaque contribution ; évite les discours répétés après collecte minime.</x:v>
      </x:c>
      <x:c r="I7" s="9" t="str">
        <x:v>Hologramme Alliance, uniforme et visage marqué.</x:v>
      </x:c>
      <x:c r="J7" s="9" t="str">
        <x:v>Prévoir attente, orientation et réaction au contexte ; conserver les repères décrits dans la silhouette pendant les changements de direction. Les mouvements sont des créations du fan game.</x:v>
      </x:c>
      <x:c r="K7" s="9" t="str">
        <x:v>Créer des bruitages et ambiances originaux adaptés au livrable ; sous-titrer les indices utiles et proposer un réglage indépendant des effets. Aucune extraction audio demandée.</x:v>
      </x:c>
      <x:c r="L7" s="9" t="str">
        <x:v>Prévu : fiche de données me3/npcs/hackett ; rattacher les ressources et états cités à cet identifiant. Aucun fichier de jeu créé par ce catalogue.</x:v>
      </x:c>
      <x:c r="M7" s="9" t="str"/>
      <x:c r="N7" s="9" t="str">
        <x:v>Le livrable « Amiral Hackett » possède une scène ou un scénario de contrôle ; ses règles proposées, ses conditions et ses retours visuels sont vérifiables séparément.</x:v>
      </x:c>
      <x:c r="O7" s="9" t="str"/>
      <x:c r="P7" s="9" t="str">
        <x:v>Amiral Hackett</x:v>
      </x:c>
      <x:c r="Q7" s="9" t="str">
        <x:v>ME3-SRC-GUIDE</x:v>
      </x:c>
      <x:c r="R7" s="20" t="str">
        <x:v>https://masseffect.fandom.com/wiki/Mass_Effect_3_Guide</x:v>
      </x:c>
      <x:c r="S7" s="20" t="str">
        <x:v>Spécification à réaliser. Les champs adaptation, gameplay, visual, animation, audio et implementation décrivent le fan game ; ils ne donnent pas des caractéristiques officielles de l’œuvre.</x:v>
      </x:c>
    </x:row>
    <x:row r="8" ht="68" customHeight="1">
      <x:c r="A8" s="19" t="str">
        <x:v>ME3-NPC-JOKER</x:v>
      </x:c>
      <x:c r="B8" s="7" t="str">
        <x:v>Jeff « Joker » Moreau</x:v>
      </x:c>
      <x:c r="C8" s="15" t="str">
        <x:v>Défini</x:v>
      </x:c>
      <x:c r="D8" s="17" t="str">
        <x:v>Établi</x:v>
      </x:c>
      <x:c r="E8" s="17" t="str">
        <x:v>P1</x:v>
      </x:c>
      <x:c r="F8" s="7" t="str">
        <x:v>Pilote du Normandy.</x:v>
      </x:c>
      <x:c r="G8" s="7" t="str">
        <x:v>Scènes de relation avec EDI et retours de mission ; placement à la passerelle pour repère constant.</x:v>
      </x:c>
      <x:c r="H8" s="7" t="str">
        <x:v>Scènes de relation avec EDI et retours de mission ; placement à la passerelle pour repère constant.</x:v>
      </x:c>
      <x:c r="I8" s="7" t="str">
        <x:v>Casquette et posture assise.</x:v>
      </x:c>
      <x:c r="J8" s="7" t="str">
        <x:v>Prévoir attente, orientation et réaction au contexte ; conserver les repères décrits dans la silhouette pendant les changements de direction. Les mouvements sont des créations du fan game.</x:v>
      </x:c>
      <x:c r="K8" s="7" t="str">
        <x:v>Créer des bruitages et ambiances originaux adaptés au livrable ; sous-titrer les indices utiles et proposer un réglage indépendant des effets. Aucune extraction audio demandée.</x:v>
      </x:c>
      <x:c r="L8" s="7" t="str">
        <x:v>Prévu : fiche de données me3/npcs/joker ; rattacher les ressources et états cités à cet identifiant. Aucun fichier de jeu créé par ce catalogue.</x:v>
      </x:c>
      <x:c r="M8" s="7" t="str"/>
      <x:c r="N8" s="7" t="str">
        <x:v>Le livrable « Jeff « Joker » Moreau » possède une scène ou un scénario de contrôle ; ses règles proposées, ses conditions et ses retours visuels sont vérifiables séparément.</x:v>
      </x:c>
      <x:c r="O8" s="7" t="str"/>
      <x:c r="P8" s="7" t="str">
        <x:v>Jeff « Joker » Moreau</x:v>
      </x:c>
      <x:c r="Q8" s="7" t="str">
        <x:v>ME3-SRC-CHAR</x:v>
      </x:c>
      <x:c r="R8" s="21" t="str">
        <x:v>https://masseffect.fandom.com/wiki/Characters/Mass_Effect_3</x:v>
      </x:c>
      <x:c r="S8" s="21" t="str">
        <x:v>Spécification à réaliser. Les champs adaptation, gameplay, visual, animation, audio et implementation décrivent le fan game ; ils ne donnent pas des caractéristiques officielles de l’œuvre.</x:v>
      </x:c>
    </x:row>
    <x:row r="9" ht="68" customHeight="1">
      <x:c r="A9" s="18" t="str">
        <x:v>ME3-NPC-TRAYNOR</x:v>
      </x:c>
      <x:c r="B9" s="9" t="str">
        <x:v>Samantha Traynor</x:v>
      </x:c>
      <x:c r="C9" s="15" t="str">
        <x:v>Défini</x:v>
      </x:c>
      <x:c r="D9" s="16" t="str">
        <x:v>Établi</x:v>
      </x:c>
      <x:c r="E9" s="16" t="str">
        <x:v>P1</x:v>
      </x:c>
      <x:c r="F9" s="9" t="str">
        <x:v>Spécialiste des communications.</x:v>
      </x:c>
      <x:c r="G9" s="9" t="str">
        <x:v>Relais d’alertes et missions avec file consultable ; distinguer invitation personnelle et ordre urgent.</x:v>
      </x:c>
      <x:c r="H9" s="9" t="str">
        <x:v>Relais d’alertes et missions avec file consultable ; distinguer invitation personnelle et ordre urgent.</x:v>
      </x:c>
      <x:c r="I9" s="9" t="str">
        <x:v>Uniforme Alliance et console CIC.</x:v>
      </x:c>
      <x:c r="J9" s="9" t="str">
        <x:v>Prévoir attente, orientation et réaction au contexte ; conserver les repères décrits dans la silhouette pendant les changements de direction. Les mouvements sont des créations du fan game.</x:v>
      </x:c>
      <x:c r="K9" s="9" t="str">
        <x:v>Créer des bruitages et ambiances originaux adaptés au livrable ; sous-titrer les indices utiles et proposer un réglage indépendant des effets. Aucune extraction audio demandée.</x:v>
      </x:c>
      <x:c r="L9" s="9" t="str">
        <x:v>Prévu : fiche de données me3/npcs/traynor ; rattacher les ressources et états cités à cet identifiant. Aucun fichier de jeu créé par ce catalogue.</x:v>
      </x:c>
      <x:c r="M9" s="9" t="str"/>
      <x:c r="N9" s="9" t="str">
        <x:v>Le livrable « Samantha Traynor » possède une scène ou un scénario de contrôle ; ses règles proposées, ses conditions et ses retours visuels sont vérifiables séparément.</x:v>
      </x:c>
      <x:c r="O9" s="9" t="str"/>
      <x:c r="P9" s="9" t="str">
        <x:v>Samantha Traynor</x:v>
      </x:c>
      <x:c r="Q9" s="9" t="str">
        <x:v>ME3-SRC-CHAR, ME3-SRC-GUIDE</x:v>
      </x:c>
      <x:c r="R9" s="20" t="str">
        <x:v>https://masseffect.fandom.com/wiki/Characters/Mass_Effect_3
https://masseffect.fandom.com/wiki/Mass_Effect_3_Guide</x:v>
      </x:c>
      <x:c r="S9" s="20" t="str">
        <x:v>Spécification à réaliser. Les champs adaptation, gameplay, visual, animation, audio et implementation décrivent le fan game ; ils ne donnent pas des caractéristiques officielles de l’œuvre.</x:v>
      </x:c>
    </x:row>
    <x:row r="10" ht="68" customHeight="1">
      <x:c r="A10" s="19" t="str">
        <x:v>ME3-NPC-CORTEZ</x:v>
      </x:c>
      <x:c r="B10" s="7" t="str">
        <x:v>Steve Cortez</x:v>
      </x:c>
      <x:c r="C10" s="15" t="str">
        <x:v>Défini</x:v>
      </x:c>
      <x:c r="D10" s="17" t="str">
        <x:v>Établi</x:v>
      </x:c>
      <x:c r="E10" s="17" t="str">
        <x:v>P1</x:v>
      </x:c>
      <x:c r="F10" s="7" t="str">
        <x:v>Pilote de navette du Normandy.</x:v>
      </x:c>
      <x:c r="G10" s="7" t="str">
        <x:v>Déplacements vers missions et arc personnel ; les conversations changent selon deuil et soutien, pas selon score de pilotage inventé.</x:v>
      </x:c>
      <x:c r="H10" s="7" t="str">
        <x:v>Déplacements vers missions et arc personnel ; les conversations changent selon deuil et soutien, pas selon score de pilotage inventé.</x:v>
      </x:c>
      <x:c r="I10" s="7" t="str">
        <x:v>Tenue de pilote et hangar Kodiak.</x:v>
      </x:c>
      <x:c r="J10" s="7" t="str">
        <x:v>Prévoir attente, orientation et réaction au contexte ; conserver les repères décrits dans la silhouette pendant les changements de direction. Les mouvements sont des créations du fan game.</x:v>
      </x:c>
      <x:c r="K10" s="7" t="str">
        <x:v>Créer des bruitages et ambiances originaux adaptés au livrable ; sous-titrer les indices utiles et proposer un réglage indépendant des effets. Aucune extraction audio demandée.</x:v>
      </x:c>
      <x:c r="L10" s="7" t="str">
        <x:v>Prévu : fiche de données me3/npcs/cortez ; rattacher les ressources et états cités à cet identifiant. Aucun fichier de jeu créé par ce catalogue.</x:v>
      </x:c>
      <x:c r="M10" s="7" t="str"/>
      <x:c r="N10" s="7" t="str">
        <x:v>Le livrable « Steve Cortez » possède une scène ou un scénario de contrôle ; ses règles proposées, ses conditions et ses retours visuels sont vérifiables séparément.</x:v>
      </x:c>
      <x:c r="O10" s="7" t="str"/>
      <x:c r="P10" s="7" t="str">
        <x:v>Steve Cortez</x:v>
      </x:c>
      <x:c r="Q10" s="7" t="str">
        <x:v>ME3-SRC-CHAR</x:v>
      </x:c>
      <x:c r="R10" s="21" t="str">
        <x:v>https://masseffect.fandom.com/wiki/Characters/Mass_Effect_3</x:v>
      </x:c>
      <x:c r="S10" s="21" t="str">
        <x:v>Spécification à réaliser. Les champs adaptation, gameplay, visual, animation, audio et implementation décrivent le fan game ; ils ne donnent pas des caractéristiques officielles de l’œuvre.</x:v>
      </x:c>
    </x:row>
    <x:row r="11" ht="68" customHeight="1">
      <x:c r="A11" s="18" t="str">
        <x:v>ME3-NPC-CHAKWAS</x:v>
      </x:c>
      <x:c r="B11" s="9" t="str">
        <x:v>Karin Chakwas</x:v>
      </x:c>
      <x:c r="C11" s="15" t="str">
        <x:v>Défini</x:v>
      </x:c>
      <x:c r="D11" s="16" t="str">
        <x:v>Établi</x:v>
      </x:c>
      <x:c r="E11" s="16" t="str">
        <x:v>P1</x:v>
      </x:c>
      <x:c r="F11" s="9" t="str">
        <x:v>Médecin pouvant rejoindre le Normandy.</x:v>
      </x:c>
      <x:c r="G11" s="9" t="str">
        <x:v>Choix de médecin et dialogues d’après-guerre ; emplacement infirmerie unique.</x:v>
      </x:c>
      <x:c r="H11" s="9" t="str">
        <x:v>Choix de médecin et dialogues d’après-guerre ; emplacement infirmerie unique.</x:v>
      </x:c>
      <x:c r="I11" s="9" t="str">
        <x:v>Blouse et geste de soin.</x:v>
      </x:c>
      <x:c r="J11" s="9" t="str">
        <x:v>Prévoir attente, orientation et réaction au contexte ; conserver les repères décrits dans la silhouette pendant les changements de direction. Les mouvements sont des créations du fan game.</x:v>
      </x:c>
      <x:c r="K11" s="9" t="str">
        <x:v>Créer des bruitages et ambiances originaux adaptés au livrable ; sous-titrer les indices utiles et proposer un réglage indépendant des effets. Aucune extraction audio demandée.</x:v>
      </x:c>
      <x:c r="L11" s="9" t="str">
        <x:v>Prévu : fiche de données me3/npcs/chakwas ; rattacher les ressources et états cités à cet identifiant. Aucun fichier de jeu créé par ce catalogue.</x:v>
      </x:c>
      <x:c r="M11" s="9" t="str">
        <x:v>Disponibilité et invitation conditionnelles.</x:v>
      </x:c>
      <x:c r="N11" s="9" t="str">
        <x:v>Le livrable « Karin Chakwas » possède une scène ou un scénario de contrôle ; ses règles proposées, ses conditions et ses retours visuels sont vérifiables séparément.</x:v>
      </x:c>
      <x:c r="O11" s="9" t="str"/>
      <x:c r="P11" s="9" t="str">
        <x:v>Karin Chakwas</x:v>
      </x:c>
      <x:c r="Q11" s="9" t="str">
        <x:v>ME3-SRC-HUERTA</x:v>
      </x:c>
      <x:c r="R11" s="20" t="str">
        <x:v>https://masseffect.fandom.com/wiki/Huerta_Memorial_Hospital</x:v>
      </x:c>
      <x:c r="S11" s="20" t="str">
        <x:v>Spécification à réaliser. Les champs adaptation, gameplay, visual, animation, audio et implementation décrivent le fan game ; ils ne donnent pas des caractéristiques officielles de l’œuvre.</x:v>
      </x:c>
    </x:row>
    <x:row r="12" ht="68" customHeight="1">
      <x:c r="A12" s="19" t="str">
        <x:v>ME3-NPC-MICHEL</x:v>
      </x:c>
      <x:c r="B12" s="7" t="str">
        <x:v>Chloe Michel</x:v>
      </x:c>
      <x:c r="C12" s="15" t="str">
        <x:v>Défini</x:v>
      </x:c>
      <x:c r="D12" s="17" t="str">
        <x:v>Établi</x:v>
      </x:c>
      <x:c r="E12" s="17" t="str">
        <x:v>P1</x:v>
      </x:c>
      <x:c r="F12" s="7" t="str">
        <x:v>Médecin de l’hôpital.</x:v>
      </x:c>
      <x:c r="G12" s="7" t="str">
        <x:v>Alternative de personnel médical ; état du médecin recruté distinct des objets achetés.</x:v>
      </x:c>
      <x:c r="H12" s="7" t="str">
        <x:v>Alternative de personnel médical ; état du médecin recruté distinct des objets achetés.</x:v>
      </x:c>
      <x:c r="I12" s="7" t="str">
        <x:v>Blouse, cheveux roux et bureau de clinique.</x:v>
      </x:c>
      <x:c r="J12" s="7" t="str">
        <x:v>Prévoir attente, orientation et réaction au contexte ; conserver les repères décrits dans la silhouette pendant les changements de direction. Les mouvements sont des créations du fan game.</x:v>
      </x:c>
      <x:c r="K12" s="7" t="str">
        <x:v>Créer des bruitages et ambiances originaux adaptés au livrable ; sous-titrer les indices utiles et proposer un réglage indépendant des effets. Aucune extraction audio demandée.</x:v>
      </x:c>
      <x:c r="L12" s="7" t="str">
        <x:v>Prévu : fiche de données me3/npcs/michel ; rattacher les ressources et états cités à cet identifiant. Aucun fichier de jeu créé par ce catalogue.</x:v>
      </x:c>
      <x:c r="M12" s="7" t="str">
        <x:v>Ne pas afficher simultanément deux responsables au même poste.</x:v>
      </x:c>
      <x:c r="N12" s="7" t="str">
        <x:v>Le livrable « Chloe Michel » possède une scène ou un scénario de contrôle ; ses règles proposées, ses conditions et ses retours visuels sont vérifiables séparément.</x:v>
      </x:c>
      <x:c r="O12" s="7" t="str"/>
      <x:c r="P12" s="7" t="str">
        <x:v>Chloe Michel</x:v>
      </x:c>
      <x:c r="Q12" s="7" t="str">
        <x:v>ME3-SRC-HUERTA</x:v>
      </x:c>
      <x:c r="R12" s="21" t="str">
        <x:v>https://masseffect.fandom.com/wiki/Huerta_Memorial_Hospital</x:v>
      </x:c>
      <x:c r="S12" s="21" t="str">
        <x:v>Spécification à réaliser. Les champs adaptation, gameplay, visual, animation, audio et implementation décrivent le fan game ; ils ne donnent pas des caractéristiques officielles de l’œuvre.</x:v>
      </x:c>
    </x:row>
    <x:row r="13" ht="68" customHeight="1">
      <x:c r="A13" s="18" t="str">
        <x:v>ME3-NPC-KELLY</x:v>
      </x:c>
      <x:c r="B13" s="9" t="str">
        <x:v>Kelly Chambers</x:v>
      </x:c>
      <x:c r="C13" s="15" t="str">
        <x:v>Défini</x:v>
      </x:c>
      <x:c r="D13" s="16" t="str">
        <x:v>Établi</x:v>
      </x:c>
      <x:c r="E13" s="16" t="str">
        <x:v>P1</x:v>
      </x:c>
      <x:c r="F13" s="9" t="str">
        <x:v>Ancienne membre de l’équipage.</x:v>
      </x:c>
      <x:c r="G13" s="9" t="str">
        <x:v>Retrouvailles sur Citadelle avec conséquences conditionnelles ; aucune disponibilité garantie après coup d’État.</x:v>
      </x:c>
      <x:c r="H13" s="9" t="str">
        <x:v>Retrouvailles sur Citadelle avec conséquences conditionnelles ; aucune disponibilité garantie après coup d’État.</x:v>
      </x:c>
      <x:c r="I13" s="9" t="str">
        <x:v>Tenue civile et secteur de réfugiés.</x:v>
      </x:c>
      <x:c r="J13" s="9" t="str">
        <x:v>Prévoir attente, orientation et réaction au contexte ; conserver les repères décrits dans la silhouette pendant les changements de direction. Les mouvements sont des créations du fan game.</x:v>
      </x:c>
      <x:c r="K13" s="9" t="str">
        <x:v>Créer des bruitages et ambiances originaux adaptés au livrable ; sous-titrer les indices utiles et proposer un réglage indépendant des effets. Aucune extraction audio demandée.</x:v>
      </x:c>
      <x:c r="L13" s="9" t="str">
        <x:v>Prévu : fiche de données me3/npcs/kelly ; rattacher les ressources et états cités à cet identifiant. Aucun fichier de jeu créé par ce catalogue.</x:v>
      </x:c>
      <x:c r="M13" s="9" t="str">
        <x:v>Survie ME2 requise.</x:v>
      </x:c>
      <x:c r="N13" s="9" t="str">
        <x:v>Le livrable « Kelly Chambers » possède une scène ou un scénario de contrôle ; ses règles proposées, ses conditions et ses retours visuels sont vérifiables séparément.</x:v>
      </x:c>
      <x:c r="O13" s="9" t="str"/>
      <x:c r="P13" s="9" t="str">
        <x:v>Kelly Chambers</x:v>
      </x:c>
      <x:c r="Q13" s="9" t="str">
        <x:v>ME3-SRC-CHAR</x:v>
      </x:c>
      <x:c r="R13" s="20" t="str">
        <x:v>https://masseffect.fandom.com/wiki/Characters/Mass_Effect_3</x:v>
      </x:c>
      <x:c r="S13" s="20" t="str">
        <x:v>Spécification à réaliser. Les champs adaptation, gameplay, visual, animation, audio et implementation décrivent le fan game ; ils ne donnent pas des caractéristiques officielles de l’œuvre.</x:v>
      </x:c>
    </x:row>
    <x:row r="14" ht="68" customHeight="1">
      <x:c r="A14" s="19" t="str">
        <x:v>ME3-NPC-ADAMS</x:v>
      </x:c>
      <x:c r="B14" s="7" t="str">
        <x:v>Gregory Adams</x:v>
      </x:c>
      <x:c r="C14" s="15" t="str">
        <x:v>Défini</x:v>
      </x:c>
      <x:c r="D14" s="17" t="str">
        <x:v>Établi</x:v>
      </x:c>
      <x:c r="E14" s="17" t="str">
        <x:v>P1</x:v>
      </x:c>
      <x:c r="F14" s="7" t="str">
        <x:v>Ingénieur du Normandy.</x:v>
      </x:c>
      <x:c r="G14" s="7" t="str">
        <x:v>Point de service de la pièce GX12 ; dialogues coordonnés aux retours de Kenneth/Gabriella.</x:v>
      </x:c>
      <x:c r="H14" s="7" t="str">
        <x:v>Point de service de la pièce GX12 ; dialogues coordonnés aux retours de Kenneth/Gabriella.</x:v>
      </x:c>
      <x:c r="I14" s="7" t="str">
        <x:v>Uniforme technique et poste moteur.</x:v>
      </x:c>
      <x:c r="J14" s="7" t="str">
        <x:v>Prévoir attente, orientation et réaction au contexte ; conserver les repères décrits dans la silhouette pendant les changements de direction. Les mouvements sont des créations du fan game.</x:v>
      </x:c>
      <x:c r="K14" s="7" t="str">
        <x:v>Créer des bruitages et ambiances originaux adaptés au livrable ; sous-titrer les indices utiles et proposer un réglage indépendant des effets. Aucune extraction audio demandée.</x:v>
      </x:c>
      <x:c r="L14" s="7" t="str">
        <x:v>Prévu : fiche de données me3/npcs/adams ; rattacher les ressources et états cités à cet identifiant. Aucun fichier de jeu créé par ce catalogue.</x:v>
      </x:c>
      <x:c r="M14" s="7" t="str"/>
      <x:c r="N14" s="7" t="str">
        <x:v>Le livrable « Gregory Adams » possède une scène ou un scénario de contrôle ; ses règles proposées, ses conditions et ses retours visuels sont vérifiables séparément.</x:v>
      </x:c>
      <x:c r="O14" s="7" t="str"/>
      <x:c r="P14" s="7" t="str">
        <x:v>Gregory Adams</x:v>
      </x:c>
      <x:c r="Q14" s="7" t="str">
        <x:v>ME3-SRC-CITADEL</x:v>
      </x:c>
      <x:c r="R14" s="21" t="str">
        <x:v>https://masseffect.fandom.com/wiki/Citadel</x:v>
      </x:c>
      <x:c r="S14" s="21" t="str">
        <x:v>Spécification à réaliser. Les champs adaptation, gameplay, visual, animation, audio et implementation décrivent le fan game ; ils ne donnent pas des caractéristiques officielles de l’œuvre.</x:v>
      </x:c>
    </x:row>
    <x:row r="15" ht="68" customHeight="1">
      <x:c r="A15" s="18" t="str">
        <x:v>ME3-NPC-ALLERS</x:v>
      </x:c>
      <x:c r="B15" s="9" t="str">
        <x:v>Diana Allers</x:v>
      </x:c>
      <x:c r="C15" s="15" t="str">
        <x:v>Défini</x:v>
      </x:c>
      <x:c r="D15" s="16" t="str">
        <x:v>Établi</x:v>
      </x:c>
      <x:c r="E15" s="16" t="str">
        <x:v>P1</x:v>
      </x:c>
      <x:c r="F15" s="9" t="str">
        <x:v>Journaliste pouvant embarquer.</x:v>
      </x:c>
      <x:c r="G15" s="9" t="str">
        <x:v>Interviews originales à fenêtres de campagne ; l’invitation et la présence restent facultatives.</x:v>
      </x:c>
      <x:c r="H15" s="9" t="str">
        <x:v>Interviews originales à fenêtres de campagne ; l’invitation et la présence restent facultatives.</x:v>
      </x:c>
      <x:c r="I15" s="9" t="str">
        <x:v>Tenue civile de journaliste et zone de reportages.</x:v>
      </x:c>
      <x:c r="J15" s="9" t="str">
        <x:v>Prévoir attente, orientation et réaction au contexte ; conserver les repères décrits dans la silhouette pendant les changements de direction. Les mouvements sont des créations du fan game.</x:v>
      </x:c>
      <x:c r="K15" s="9" t="str">
        <x:v>Créer des bruitages et ambiances originaux adaptés au livrable ; sous-titrer les indices utiles et proposer un réglage indépendant des effets. Aucune extraction audio demandée.</x:v>
      </x:c>
      <x:c r="L15" s="9" t="str">
        <x:v>Prévu : fiche de données me3/npcs/allers ; rattacher les ressources et états cités à cet identifiant. Aucun fichier de jeu créé par ce catalogue.</x:v>
      </x:c>
      <x:c r="M15" s="9" t="str"/>
      <x:c r="N15" s="9" t="str">
        <x:v>Le livrable « Diana Allers » possède une scène ou un scénario de contrôle ; ses règles proposées, ses conditions et ses retours visuels sont vérifiables séparément.</x:v>
      </x:c>
      <x:c r="O15" s="9" t="str"/>
      <x:c r="P15" s="9" t="str">
        <x:v>Diana Allers</x:v>
      </x:c>
      <x:c r="Q15" s="9" t="str">
        <x:v>ME3-SRC-CHAR</x:v>
      </x:c>
      <x:c r="R15" s="20" t="str">
        <x:v>https://masseffect.fandom.com/wiki/Characters/Mass_Effect_3</x:v>
      </x:c>
      <x:c r="S15" s="20" t="str">
        <x:v>Spécification à réaliser. Les champs adaptation, gameplay, visual, animation, audio et implementation décrivent le fan game ; ils ne donnent pas des caractéristiques officielles de l’œuvre.</x:v>
      </x:c>
    </x:row>
    <x:row r="16" ht="68" customHeight="1">
      <x:c r="A16" s="19" t="str">
        <x:v>ME3-NPC-UDINA</x:v>
      </x:c>
      <x:c r="B16" s="7" t="str">
        <x:v>Donnel Udina</x:v>
      </x:c>
      <x:c r="C16" s="15" t="str">
        <x:v>Défini</x:v>
      </x:c>
      <x:c r="D16" s="17" t="str">
        <x:v>Établi</x:v>
      </x:c>
      <x:c r="E16" s="17" t="str">
        <x:v>P1</x:v>
      </x:c>
      <x:c r="F16" s="7" t="str">
        <x:v>Responsable politique de l’arc Citadelle.</x:v>
      </x:c>
      <x:c r="G16" s="7" t="str">
        <x:v>Scènes de Conseil puis de coup d’État ; l’UI ne révèle pas l’issue avant découverte.</x:v>
      </x:c>
      <x:c r="H16" s="7" t="str">
        <x:v>Scènes de Conseil puis de coup d’État ; l’UI ne révèle pas l’issue avant découverte.</x:v>
      </x:c>
      <x:c r="I16" s="7" t="str">
        <x:v>Costume sombre et bureau d’ambassade.</x:v>
      </x:c>
      <x:c r="J16" s="7" t="str">
        <x:v>Prévoir attente, orientation et réaction au contexte ; conserver les repères décrits dans la silhouette pendant les changements de direction. Les mouvements sont des créations du fan game.</x:v>
      </x:c>
      <x:c r="K16" s="7" t="str">
        <x:v>Créer des bruitages et ambiances originaux adaptés au livrable ; sous-titrer les indices utiles et proposer un réglage indépendant des effets. Aucune extraction audio demandée.</x:v>
      </x:c>
      <x:c r="L16" s="7" t="str">
        <x:v>Prévu : fiche de données me3/npcs/udina ; rattacher les ressources et états cités à cet identifiant. Aucun fichier de jeu créé par ce catalogue.</x:v>
      </x:c>
      <x:c r="M16" s="7" t="str"/>
      <x:c r="N16" s="7" t="str">
        <x:v>Le livrable « Donnel Udina » possède une scène ou un scénario de contrôle ; ses règles proposées, ses conditions et ses retours visuels sont vérifiables séparément.</x:v>
      </x:c>
      <x:c r="O16" s="7" t="str"/>
      <x:c r="P16" s="7" t="str">
        <x:v>Donnel Udina</x:v>
      </x:c>
      <x:c r="Q16" s="7" t="str">
        <x:v>ME3-SRC-CITADEL2</x:v>
      </x:c>
      <x:c r="R16" s="21" t="str">
        <x:v>https://masseffect.fandom.com/wiki/Priority%3A_The_Citadel_II</x:v>
      </x:c>
      <x:c r="S16" s="21" t="str">
        <x:v>Spécification à réaliser. Les champs adaptation, gameplay, visual, animation, audio et implementation décrivent le fan game ; ils ne donnent pas des caractéristiques officielles de l’œuvre.</x:v>
      </x:c>
    </x:row>
    <x:row r="17" ht="68" customHeight="1">
      <x:c r="A17" s="18" t="str">
        <x:v>ME3-NPC-BAILEY</x:v>
      </x:c>
      <x:c r="B17" s="9" t="str">
        <x:v>Commandant Bailey</x:v>
      </x:c>
      <x:c r="C17" s="15" t="str">
        <x:v>Défini</x:v>
      </x:c>
      <x:c r="D17" s="16" t="str">
        <x:v>Établi</x:v>
      </x:c>
      <x:c r="E17" s="16" t="str">
        <x:v>P1</x:v>
      </x:c>
      <x:c r="F17" s="9" t="str">
        <x:v>Responsable C-Sec.</x:v>
      </x:c>
      <x:c r="G17" s="9" t="str">
        <x:v>Guide des enquêtes de Citadelle ; reprendre ses contacts sans devoir quitter le hub entre chaque dialogue.</x:v>
      </x:c>
      <x:c r="H17" s="9" t="str">
        <x:v>Guide des enquêtes de Citadelle ; reprendre ses contacts sans devoir quitter le hub entre chaque dialogue.</x:v>
      </x:c>
      <x:c r="I17" s="9" t="str">
        <x:v>Uniforme C-Sec et bureau.</x:v>
      </x:c>
      <x:c r="J17" s="9" t="str">
        <x:v>Prévoir attente, orientation et réaction au contexte ; conserver les repères décrits dans la silhouette pendant les changements de direction. Les mouvements sont des créations du fan game.</x:v>
      </x:c>
      <x:c r="K17" s="9" t="str">
        <x:v>Créer des bruitages et ambiances originaux adaptés au livrable ; sous-titrer les indices utiles et proposer un réglage indépendant des effets. Aucune extraction audio demandée.</x:v>
      </x:c>
      <x:c r="L17" s="9" t="str">
        <x:v>Prévu : fiche de données me3/npcs/bailey ; rattacher les ressources et états cités à cet identifiant. Aucun fichier de jeu créé par ce catalogue.</x:v>
      </x:c>
      <x:c r="M17" s="9" t="str"/>
      <x:c r="N17" s="9" t="str">
        <x:v>Le livrable « Commandant Bailey » possède une scène ou un scénario de contrôle ; ses règles proposées, ses conditions et ses retours visuels sont vérifiables séparément.</x:v>
      </x:c>
      <x:c r="O17" s="9" t="str"/>
      <x:c r="P17" s="9" t="str">
        <x:v>Commandant Bailey</x:v>
      </x:c>
      <x:c r="Q17" s="9" t="str">
        <x:v>ME3-SRC-CITADEL</x:v>
      </x:c>
      <x:c r="R17" s="20" t="str">
        <x:v>https://masseffect.fandom.com/wiki/Citadel</x:v>
      </x:c>
      <x:c r="S17" s="20" t="str">
        <x:v>Spécification à réaliser. Les champs adaptation, gameplay, visual, animation, audio et implementation décrivent le fan game ; ils ne donnent pas des caractéristiques officielles de l’œuvre.</x:v>
      </x:c>
    </x:row>
    <x:row r="18" ht="68" customHeight="1">
      <x:c r="A18" s="19" t="str">
        <x:v>ME3-NPC-VICTUS</x:v>
      </x:c>
      <x:c r="B18" s="7" t="str">
        <x:v>Primarque Adrien Victus</x:v>
      </x:c>
      <x:c r="C18" s="15" t="str">
        <x:v>Défini</x:v>
      </x:c>
      <x:c r="D18" s="17" t="str">
        <x:v>Établi</x:v>
      </x:c>
      <x:c r="E18" s="17" t="str">
        <x:v>P1</x:v>
      </x:c>
      <x:c r="F18" s="7" t="str">
        <x:v>Dirigeant turien recherché sur Menae.</x:v>
      </x:c>
      <x:c r="G18" s="7" t="str">
        <x:v>Conversations de sommet et de peloton distinctes ; état de son fils après la bombe.</x:v>
      </x:c>
      <x:c r="H18" s="7" t="str">
        <x:v>Conversations de sommet et de peloton distinctes ; état de son fils après la bombe.</x:v>
      </x:c>
      <x:c r="I18" s="7" t="str">
        <x:v>Armure turienne de commandement.</x:v>
      </x:c>
      <x:c r="J18" s="7" t="str">
        <x:v>Prévoir attente, orientation et réaction au contexte ; conserver les repères décrits dans la silhouette pendant les changements de direction. Les mouvements sont des créations du fan game.</x:v>
      </x:c>
      <x:c r="K18" s="7" t="str">
        <x:v>Créer des bruitages et ambiances originaux adaptés au livrable ; sous-titrer les indices utiles et proposer un réglage indépendant des effets. Aucune extraction audio demandée.</x:v>
      </x:c>
      <x:c r="L18" s="7" t="str">
        <x:v>Prévu : fiche de données me3/npcs/victus ; rattacher les ressources et états cités à cet identifiant. Aucun fichier de jeu créé par ce catalogue.</x:v>
      </x:c>
      <x:c r="M18" s="7" t="str">
        <x:v>Arc Palaven/Tuchanka.</x:v>
      </x:c>
      <x:c r="N18" s="7" t="str">
        <x:v>Le livrable « Primarque Adrien Victus » possède une scène ou un scénario de contrôle ; ses règles proposées, ses conditions et ses retours visuels sont vérifiables séparément.</x:v>
      </x:c>
      <x:c r="O18" s="7" t="str"/>
      <x:c r="P18" s="7" t="str">
        <x:v>Primarque Adrien Victus</x:v>
      </x:c>
      <x:c r="Q18" s="7" t="str">
        <x:v>ME3-SRC-GUIDE, ME3-SRC-PLATOON</x:v>
      </x:c>
      <x:c r="R18" s="21" t="str">
        <x:v>https://masseffect.fandom.com/wiki/Mass_Effect_3_Guide
https://masseffect.fandom.com/wiki/Tuchanka%3A_Turian_Platoon</x:v>
      </x:c>
      <x:c r="S18" s="21" t="str">
        <x:v>Spécification à réaliser. Les champs adaptation, gameplay, visual, animation, audio et implementation décrivent le fan game ; ils ne donnent pas des caractéristiques officielles de l’œuvre.</x:v>
      </x:c>
    </x:row>
    <x:row r="19" ht="68" customHeight="1">
      <x:c r="A19" s="18" t="str">
        <x:v>ME3-NPC-TARQUIN</x:v>
      </x:c>
      <x:c r="B19" s="9" t="str">
        <x:v>Tarquin Victus</x:v>
      </x:c>
      <x:c r="C19" s="15" t="str">
        <x:v>Défini</x:v>
      </x:c>
      <x:c r="D19" s="16" t="str">
        <x:v>Établi</x:v>
      </x:c>
      <x:c r="E19" s="16" t="str">
        <x:v>P1</x:v>
      </x:c>
      <x:c r="F19" s="9" t="str">
        <x:v>Officier de la mission de bombe.</x:v>
      </x:c>
      <x:c r="G19" s="9" t="str">
        <x:v>PNJ d’objectif à défendre pendant désamorçage ; fin narrative indépendante de l’animation de santé d’escorte.</x:v>
      </x:c>
      <x:c r="H19" s="9" t="str">
        <x:v>PNJ d’objectif à défendre pendant désamorçage ; fin narrative indépendante de l’animation de santé d’escorte.</x:v>
      </x:c>
      <x:c r="I19" s="9" t="str">
        <x:v>Turien en armure près du dispositif.</x:v>
      </x:c>
      <x:c r="J19" s="9" t="str">
        <x:v>Prévoir attente, orientation et réaction au contexte ; conserver les repères décrits dans la silhouette pendant les changements de direction. Les mouvements sont des créations du fan game.</x:v>
      </x:c>
      <x:c r="K19" s="9" t="str">
        <x:v>Créer des bruitages et ambiances originaux adaptés au livrable ; sous-titrer les indices utiles et proposer un réglage indépendant des effets. Aucune extraction audio demandée.</x:v>
      </x:c>
      <x:c r="L19" s="9" t="str">
        <x:v>Prévu : fiche de données me3/npcs/tarquin ; rattacher les ressources et états cités à cet identifiant. Aucun fichier de jeu créé par ce catalogue.</x:v>
      </x:c>
      <x:c r="M19" s="9" t="str">
        <x:v>Arc Tuchanka.</x:v>
      </x:c>
      <x:c r="N19" s="9" t="str">
        <x:v>Le livrable « Tarquin Victus » possède une scène ou un scénario de contrôle ; ses règles proposées, ses conditions et ses retours visuels sont vérifiables séparément.</x:v>
      </x:c>
      <x:c r="O19" s="9" t="str"/>
      <x:c r="P19" s="9" t="str">
        <x:v>Tarquin Victus</x:v>
      </x:c>
      <x:c r="Q19" s="9" t="str">
        <x:v>ME3-SRC-BOMB</x:v>
      </x:c>
      <x:c r="R19" s="20" t="str">
        <x:v>https://masseffect.fandom.com/wiki/Tuchanka%3A_Bomb</x:v>
      </x:c>
      <x:c r="S19" s="20" t="str">
        <x:v>Spécification à réaliser. Les champs adaptation, gameplay, visual, animation, audio et implementation décrivent le fan game ; ils ne donnent pas des caractéristiques officielles de l’œuvre.</x:v>
      </x:c>
    </x:row>
    <x:row r="20" ht="68" customHeight="1">
      <x:c r="A20" s="19" t="str">
        <x:v>ME3-NPC-WREAV</x:v>
      </x:c>
      <x:c r="B20" s="7" t="str">
        <x:v>Urdnot Wreav</x:v>
      </x:c>
      <x:c r="C20" s="15" t="str">
        <x:v>Défini</x:v>
      </x:c>
      <x:c r="D20" s="17" t="str">
        <x:v>Établi</x:v>
      </x:c>
      <x:c r="E20" s="17" t="str">
        <x:v>P1</x:v>
      </x:c>
      <x:c r="F20" s="7" t="str">
        <x:v>Alternative au dirigeant krogan Wrex.</x:v>
      </x:c>
      <x:c r="G20" s="7" t="str">
        <x:v>Sous-graphe politique conditionnel ; ses intérêts ne sont pas des répliques de remplacement de Wrex.</x:v>
      </x:c>
      <x:c r="H20" s="7" t="str">
        <x:v>Sous-graphe politique conditionnel ; ses intérêts ne sont pas des répliques de remplacement de Wrex.</x:v>
      </x:c>
      <x:c r="I20" s="7" t="str">
        <x:v>Krogan massif et armure distincte.</x:v>
      </x:c>
      <x:c r="J20" s="7" t="str">
        <x:v>Prévoir attente, orientation et réaction au contexte ; conserver les repères décrits dans la silhouette pendant les changements de direction. Les mouvements sont des créations du fan game.</x:v>
      </x:c>
      <x:c r="K20" s="7" t="str">
        <x:v>Créer des bruitages et ambiances originaux adaptés au livrable ; sous-titrer les indices utiles et proposer un réglage indépendant des effets. Aucune extraction audio demandée.</x:v>
      </x:c>
      <x:c r="L20" s="7" t="str">
        <x:v>Prévu : fiche de données me3/npcs/wreav ; rattacher les ressources et états cités à cet identifiant. Aucun fichier de jeu créé par ce catalogue.</x:v>
      </x:c>
      <x:c r="M20" s="7" t="str">
        <x:v>État importé de Wrex.</x:v>
      </x:c>
      <x:c r="N20" s="7" t="str">
        <x:v>Le livrable « Urdnot Wreav » possède une scène ou un scénario de contrôle ; ses règles proposées, ses conditions et ses retours visuels sont vérifiables séparément.</x:v>
      </x:c>
      <x:c r="O20" s="7" t="str"/>
      <x:c r="P20" s="7" t="str">
        <x:v>Urdnot Wreav</x:v>
      </x:c>
      <x:c r="Q20" s="7" t="str">
        <x:v>ME3-SRC-TUCH</x:v>
      </x:c>
      <x:c r="R20" s="21" t="str">
        <x:v>https://masseffect.fandom.com/wiki/Priority%3A_Tuchanka</x:v>
      </x:c>
      <x:c r="S20" s="21" t="str">
        <x:v>Spécification à réaliser. Les champs adaptation, gameplay, visual, animation, audio et implementation décrivent le fan game ; ils ne donnent pas des caractéristiques officielles de l’œuvre.</x:v>
      </x:c>
    </x:row>
    <x:row r="21" ht="68" customHeight="1">
      <x:c r="A21" s="18" t="str">
        <x:v>ME3-NPC-EVE</x:v>
      </x:c>
      <x:c r="B21" s="9" t="str">
        <x:v>Bakara / Eve</x:v>
      </x:c>
      <x:c r="C21" s="15" t="str">
        <x:v>Défini</x:v>
      </x:c>
      <x:c r="D21" s="16" t="str">
        <x:v>Établi</x:v>
      </x:c>
      <x:c r="E21" s="16" t="str">
        <x:v>P1</x:v>
      </x:c>
      <x:c r="F21" s="9" t="str">
        <x:v>Krogan soignée pendant l’arc du génophage.</x:v>
      </x:c>
      <x:c r="G21" s="9" t="str">
        <x:v>PNJ d’escorte et interlocutrice politique ; éviter de la réduire à une ressource de guerre.</x:v>
      </x:c>
      <x:c r="H21" s="9" t="str">
        <x:v>PNJ d’escorte et interlocutrice politique ; éviter de la réduire à une ressource de guerre.</x:v>
      </x:c>
      <x:c r="I21" s="9" t="str">
        <x:v>Voile krogan, tenue cérémonielle et posture digne.</x:v>
      </x:c>
      <x:c r="J21" s="9" t="str">
        <x:v>Prévoir attente, orientation et réaction au contexte ; conserver les repères décrits dans la silhouette pendant les changements de direction. Les mouvements sont des créations du fan game.</x:v>
      </x:c>
      <x:c r="K21" s="9" t="str">
        <x:v>Créer des bruitages et ambiances originaux adaptés au livrable ; sous-titrer les indices utiles et proposer un réglage indépendant des effets. Aucune extraction audio demandée.</x:v>
      </x:c>
      <x:c r="L21" s="9" t="str">
        <x:v>Prévu : fiche de données me3/npcs/eve ; rattacher les ressources et états cités à cet identifiant. Aucun fichier de jeu créé par ce catalogue.</x:v>
      </x:c>
      <x:c r="M21" s="9" t="str">
        <x:v>Survie dépend de l’arc et des données importées.</x:v>
      </x:c>
      <x:c r="N21" s="9" t="str">
        <x:v>Le livrable « Bakara / Eve » possède une scène ou un scénario de contrôle ; ses règles proposées, ses conditions et ses retours visuels sont vérifiables séparément.</x:v>
      </x:c>
      <x:c r="O21" s="9" t="str"/>
      <x:c r="P21" s="9" t="str">
        <x:v>Bakara / Eve</x:v>
      </x:c>
      <x:c r="Q21" s="9" t="str">
        <x:v>ME3-SRC-TUCH</x:v>
      </x:c>
      <x:c r="R21" s="20" t="str">
        <x:v>https://masseffect.fandom.com/wiki/Priority%3A_Tuchanka</x:v>
      </x:c>
      <x:c r="S21" s="20" t="str">
        <x:v>Spécification à réaliser. Les champs adaptation, gameplay, visual, animation, audio et implementation décrivent le fan game ; ils ne donnent pas des caractéristiques officielles de l’œuvre.</x:v>
      </x:c>
    </x:row>
    <x:row r="22" ht="68" customHeight="1">
      <x:c r="A22" s="19" t="str">
        <x:v>ME3-NPC-MORDIN</x:v>
      </x:c>
      <x:c r="B22" s="7" t="str">
        <x:v>Mordin Solus</x:v>
      </x:c>
      <x:c r="C22" s="15" t="str">
        <x:v>Défini</x:v>
      </x:c>
      <x:c r="D22" s="17" t="str">
        <x:v>Établi</x:v>
      </x:c>
      <x:c r="E22" s="17" t="str">
        <x:v>P1</x:v>
      </x:c>
      <x:c r="F22" s="7" t="str">
        <x:v>Peut préparer le remède.</x:v>
      </x:c>
      <x:c r="G22" s="7" t="str">
        <x:v>Scientifique de mission, non équipier général ; gérer sa présence et ses issues au Shroud.</x:v>
      </x:c>
      <x:c r="H22" s="7" t="str">
        <x:v>Scientifique de mission, non équipier général ; gérer sa présence et ses issues au Shroud.</x:v>
      </x:c>
      <x:c r="I22" s="7" t="str">
        <x:v>Tenue médicale et omni-outil.</x:v>
      </x:c>
      <x:c r="J22" s="7" t="str">
        <x:v>Prévoir attente, orientation et réaction au contexte ; conserver les repères décrits dans la silhouette pendant les changements de direction. Les mouvements sont des créations du fan game.</x:v>
      </x:c>
      <x:c r="K22" s="7" t="str">
        <x:v>Créer des bruitages et ambiances originaux adaptés au livrable ; sous-titrer les indices utiles et proposer un réglage indépendant des effets. Aucune extraction audio demandée.</x:v>
      </x:c>
      <x:c r="L22" s="7" t="str">
        <x:v>Prévu : fiche de données me3/npcs/mordin ; rattacher les ressources et états cités à cet identifiant. Aucun fichier de jeu créé par ce catalogue.</x:v>
      </x:c>
      <x:c r="M22" s="7" t="str">
        <x:v>Survie ME2.</x:v>
      </x:c>
      <x:c r="N22" s="7" t="str">
        <x:v>Le livrable « Mordin Solus » possède une scène ou un scénario de contrôle ; ses règles proposées, ses conditions et ses retours visuels sont vérifiables séparément.</x:v>
      </x:c>
      <x:c r="O22" s="7" t="str"/>
      <x:c r="P22" s="7" t="str">
        <x:v>Mordin Solus</x:v>
      </x:c>
      <x:c r="Q22" s="7" t="str">
        <x:v>ME3-SRC-TUCH</x:v>
      </x:c>
      <x:c r="R22" s="21" t="str">
        <x:v>https://masseffect.fandom.com/wiki/Priority%3A_Tuchanka</x:v>
      </x:c>
      <x:c r="S22" s="21" t="str">
        <x:v>Spécification à réaliser. Les champs adaptation, gameplay, visual, animation, audio et implementation décrivent le fan game ; ils ne donnent pas des caractéristiques officielles de l’œuvre.</x:v>
      </x:c>
    </x:row>
    <x:row r="23" ht="68" customHeight="1">
      <x:c r="A23" s="18" t="str">
        <x:v>ME3-NPC-WIKS</x:v>
      </x:c>
      <x:c r="B23" s="9" t="str">
        <x:v>Padok Wiks</x:v>
      </x:c>
      <x:c r="C23" s="15" t="str">
        <x:v>Défini</x:v>
      </x:c>
      <x:c r="D23" s="16" t="str">
        <x:v>Établi</x:v>
      </x:c>
      <x:c r="E23" s="16" t="str">
        <x:v>P1</x:v>
      </x:c>
      <x:c r="F23" s="9" t="str">
        <x:v>Peut remplacer Mordin dans l’arc.</x:v>
      </x:c>
      <x:c r="G23" s="9" t="str">
        <x:v>Écrire une branche propre au scientifique ; motivations et épilogue séparés de Mordin.</x:v>
      </x:c>
      <x:c r="H23" s="9" t="str">
        <x:v>Écrire une branche propre au scientifique ; motivations et épilogue séparés de Mordin.</x:v>
      </x:c>
      <x:c r="I23" s="9" t="str">
        <x:v>Salarien et équipement STG.</x:v>
      </x:c>
      <x:c r="J23" s="9" t="str">
        <x:v>Prévoir attente, orientation et réaction au contexte ; conserver les repères décrits dans la silhouette pendant les changements de direction. Les mouvements sont des créations du fan game.</x:v>
      </x:c>
      <x:c r="K23" s="9" t="str">
        <x:v>Créer des bruitages et ambiances originaux adaptés au livrable ; sous-titrer les indices utiles et proposer un réglage indépendant des effets. Aucune extraction audio demandée.</x:v>
      </x:c>
      <x:c r="L23" s="9" t="str">
        <x:v>Prévu : fiche de données me3/npcs/wiks ; rattacher les ressources et états cités à cet identifiant. Aucun fichier de jeu créé par ce catalogue.</x:v>
      </x:c>
      <x:c r="M23" s="9" t="str">
        <x:v>Cas d’absence de Mordin.</x:v>
      </x:c>
      <x:c r="N23" s="9" t="str">
        <x:v>Le livrable « Padok Wiks » possède une scène ou un scénario de contrôle ; ses règles proposées, ses conditions et ses retours visuels sont vérifiables séparément.</x:v>
      </x:c>
      <x:c r="O23" s="9" t="str"/>
      <x:c r="P23" s="9" t="str">
        <x:v>Padok Wiks</x:v>
      </x:c>
      <x:c r="Q23" s="9" t="str">
        <x:v>ME3-SRC-TUCH</x:v>
      </x:c>
      <x:c r="R23" s="20" t="str">
        <x:v>https://masseffect.fandom.com/wiki/Priority%3A_Tuchanka</x:v>
      </x:c>
      <x:c r="S23" s="20" t="str">
        <x:v>Spécification à réaliser. Les champs adaptation, gameplay, visual, animation, audio et implementation décrivent le fan game ; ils ne donnent pas des caractéristiques officielles de l’œuvre.</x:v>
      </x:c>
    </x:row>
    <x:row r="24" ht="68" customHeight="1">
      <x:c r="A24" s="19" t="str">
        <x:v>ME3-NPC-DALATRASS</x:v>
      </x:c>
      <x:c r="B24" s="7" t="str">
        <x:v>Dalatrasse Linron</x:v>
      </x:c>
      <x:c r="C24" s="15" t="str">
        <x:v>Défini</x:v>
      </x:c>
      <x:c r="D24" s="17" t="str">
        <x:v>Établi</x:v>
      </x:c>
      <x:c r="E24" s="17" t="str">
        <x:v>P1</x:v>
      </x:c>
      <x:c r="F24" s="7" t="str">
        <x:v>Propose le sabotage du remède.</x:v>
      </x:c>
      <x:c r="G24" s="7" t="str">
        <x:v>Entretien politique présentant son offre ; conserver l’accord et la révélation comme états distincts.</x:v>
      </x:c>
      <x:c r="H24" s="7" t="str">
        <x:v>Entretien politique présentant son offre ; conserver l’accord et la révélation comme états distincts.</x:v>
      </x:c>
      <x:c r="I24" s="7" t="str">
        <x:v>Hologramme galarien et tenue politique.</x:v>
      </x:c>
      <x:c r="J24" s="7" t="str">
        <x:v>Prévoir attente, orientation et réaction au contexte ; conserver les repères décrits dans la silhouette pendant les changements de direction. Les mouvements sont des créations du fan game.</x:v>
      </x:c>
      <x:c r="K24" s="7" t="str">
        <x:v>Créer des bruitages et ambiances originaux adaptés au livrable ; sous-titrer les indices utiles et proposer un réglage indépendant des effets. Aucune extraction audio demandée.</x:v>
      </x:c>
      <x:c r="L24" s="7" t="str">
        <x:v>Prévu : fiche de données me3/npcs/dalatrass ; rattacher les ressources et états cités à cet identifiant. Aucun fichier de jeu créé par ce catalogue.</x:v>
      </x:c>
      <x:c r="M24" s="7" t="str"/>
      <x:c r="N24" s="7" t="str">
        <x:v>Le livrable « Dalatrasse Linron » possède une scène ou un scénario de contrôle ; ses règles proposées, ses conditions et ses retours visuels sont vérifiables séparément.</x:v>
      </x:c>
      <x:c r="O24" s="7" t="str"/>
      <x:c r="P24" s="7" t="str">
        <x:v>Dalatrasse Linron</x:v>
      </x:c>
      <x:c r="Q24" s="7" t="str">
        <x:v>ME3-SRC-TUCH</x:v>
      </x:c>
      <x:c r="R24" s="21" t="str">
        <x:v>https://masseffect.fandom.com/wiki/Priority%3A_Tuchanka</x:v>
      </x:c>
      <x:c r="S24" s="21" t="str">
        <x:v>Spécification à réaliser. Les champs adaptation, gameplay, visual, animation, audio et implementation décrivent le fan game ; ils ne donnent pas des caractéristiques officielles de l’œuvre.</x:v>
      </x:c>
    </x:row>
    <x:row r="25" ht="68" customHeight="1">
      <x:c r="A25" s="18" t="str">
        <x:v>ME3-NPC-KIRRAHE</x:v>
      </x:c>
      <x:c r="B25" s="9" t="str">
        <x:v>Major Kirrahe</x:v>
      </x:c>
      <x:c r="C25" s="15" t="str">
        <x:v>Défini</x:v>
      </x:c>
      <x:c r="D25" s="16" t="str">
        <x:v>Établi</x:v>
      </x:c>
      <x:c r="E25" s="16" t="str">
        <x:v>P1</x:v>
      </x:c>
      <x:c r="F25" s="9" t="str">
        <x:v>Personnage conditionnel de l’arc galarien.</x:v>
      </x:c>
      <x:c r="G25" s="9" t="str">
        <x:v>Apparition selon import ; ne pas le rendre immortel pour remplacer une autre absence.</x:v>
      </x:c>
      <x:c r="H25" s="9" t="str">
        <x:v>Apparition selon import ; ne pas le rendre immortel pour remplacer une autre absence.</x:v>
      </x:c>
      <x:c r="I25" s="9" t="str">
        <x:v>Armure STG.</x:v>
      </x:c>
      <x:c r="J25" s="9" t="str">
        <x:v>Prévoir attente, orientation et réaction au contexte ; conserver les repères décrits dans la silhouette pendant les changements de direction. Les mouvements sont des créations du fan game.</x:v>
      </x:c>
      <x:c r="K25" s="9" t="str">
        <x:v>Créer des bruitages et ambiances originaux adaptés au livrable ; sous-titrer les indices utiles et proposer un réglage indépendant des effets. Aucune extraction audio demandée.</x:v>
      </x:c>
      <x:c r="L25" s="9" t="str">
        <x:v>Prévu : fiche de données me3/npcs/kirrahe ; rattacher les ressources et états cités à cet identifiant. Aucun fichier de jeu créé par ce catalogue.</x:v>
      </x:c>
      <x:c r="M25" s="9" t="str">
        <x:v>État ME1 et progression ME3 à vérifier.</x:v>
      </x:c>
      <x:c r="N25" s="9" t="str">
        <x:v>Le livrable « Major Kirrahe » possède une scène ou un scénario de contrôle ; ses règles proposées, ses conditions et ses retours visuels sont vérifiables séparément.</x:v>
      </x:c>
      <x:c r="O25" s="9" t="str"/>
      <x:c r="P25" s="9" t="str">
        <x:v>Major Kirrahe</x:v>
      </x:c>
      <x:c r="Q25" s="9" t="str">
        <x:v>ME3-SRC-CITADEL2</x:v>
      </x:c>
      <x:c r="R25" s="20" t="str">
        <x:v>https://masseffect.fandom.com/wiki/Priority%3A_The_Citadel_II</x:v>
      </x:c>
      <x:c r="S25" s="20" t="str">
        <x:v>Spécification à réaliser. Les champs adaptation, gameplay, visual, animation, audio et implementation décrivent le fan game ; ils ne donnent pas des caractéristiques officielles de l’œuvre.</x:v>
      </x:c>
    </x:row>
    <x:row r="26" ht="68" customHeight="1">
      <x:c r="A26" s="19" t="str">
        <x:v>ME3-NPC-THANE</x:v>
      </x:c>
      <x:c r="B26" s="7" t="str">
        <x:v>Thane Krios</x:v>
      </x:c>
      <x:c r="C26" s="15" t="str">
        <x:v>Défini</x:v>
      </x:c>
      <x:c r="D26" s="17" t="str">
        <x:v>Établi</x:v>
      </x:c>
      <x:c r="E26" s="17" t="str">
        <x:v>P1</x:v>
      </x:c>
      <x:c r="F26" s="7" t="str">
        <x:v>Personnage conditionnel à l’hôpital.</x:v>
      </x:c>
      <x:c r="G26" s="7" t="str">
        <x:v>Dialogue de retrouvailles puis scène de coup d’État ; rôle narratif, non compagnon de campagne.</x:v>
      </x:c>
      <x:c r="H26" s="7" t="str">
        <x:v>Dialogue de retrouvailles puis scène de coup d’État ; rôle narratif, non compagnon de campagne.</x:v>
      </x:c>
      <x:c r="I26" s="7" t="str">
        <x:v>Manteau sombre, écailles vertes et souffle posé.</x:v>
      </x:c>
      <x:c r="J26" s="7" t="str">
        <x:v>Prévoir attente, orientation et réaction au contexte ; conserver les repères décrits dans la silhouette pendant les changements de direction. Les mouvements sont des créations du fan game.</x:v>
      </x:c>
      <x:c r="K26" s="7" t="str">
        <x:v>Créer des bruitages et ambiances originaux adaptés au livrable ; sous-titrer les indices utiles et proposer un réglage indépendant des effets. Aucune extraction audio demandée.</x:v>
      </x:c>
      <x:c r="L26" s="7" t="str">
        <x:v>Prévu : fiche de données me3/npcs/thane ; rattacher les ressources et états cités à cet identifiant. Aucun fichier de jeu créé par ce catalogue.</x:v>
      </x:c>
      <x:c r="M26" s="7" t="str">
        <x:v>Survie ME2.</x:v>
      </x:c>
      <x:c r="N26" s="7" t="str">
        <x:v>Le livrable « Thane Krios » possède une scène ou un scénario de contrôle ; ses règles proposées, ses conditions et ses retours visuels sont vérifiables séparément.</x:v>
      </x:c>
      <x:c r="O26" s="7" t="str"/>
      <x:c r="P26" s="7" t="str">
        <x:v>Thane Krios</x:v>
      </x:c>
      <x:c r="Q26" s="7" t="str">
        <x:v>ME3-SRC-HUERTA, ME3-SRC-CITADEL2</x:v>
      </x:c>
      <x:c r="R26" s="21" t="str">
        <x:v>https://masseffect.fandom.com/wiki/Huerta_Memorial_Hospital
https://masseffect.fandom.com/wiki/Priority%3A_The_Citadel_II</x:v>
      </x:c>
      <x:c r="S26" s="21" t="str">
        <x:v>Spécification à réaliser. Les champs adaptation, gameplay, visual, animation, audio et implementation décrivent le fan game ; ils ne donnent pas des caractéristiques officielles de l’œuvre.</x:v>
      </x:c>
    </x:row>
    <x:row r="27" ht="68" customHeight="1">
      <x:c r="A27" s="18" t="str">
        <x:v>ME3-NPC-KOLYAT</x:v>
      </x:c>
      <x:c r="B27" s="9" t="str">
        <x:v>Kolyat Krios</x:v>
      </x:c>
      <x:c r="C27" s="15" t="str">
        <x:v>Défini</x:v>
      </x:c>
      <x:c r="D27" s="16" t="str">
        <x:v>Établi</x:v>
      </x:c>
      <x:c r="E27" s="16" t="str">
        <x:v>P1</x:v>
      </x:c>
      <x:c r="F27" s="9" t="str">
        <x:v>Apparaît dans l’arc de Thane.</x:v>
      </x:c>
      <x:c r="G27" s="9" t="str">
        <x:v>Scène familiale conditionnée aux événements ; interaction calme après mission.</x:v>
      </x:c>
      <x:c r="H27" s="9" t="str">
        <x:v>Scène familiale conditionnée aux événements ; interaction calme après mission.</x:v>
      </x:c>
      <x:c r="I27" s="9" t="str">
        <x:v>Drell jeune dans l’hôpital.</x:v>
      </x:c>
      <x:c r="J27" s="9" t="str">
        <x:v>Prévoir attente, orientation et réaction au contexte ; conserver les repères décrits dans la silhouette pendant les changements de direction. Les mouvements sont des créations du fan game.</x:v>
      </x:c>
      <x:c r="K27" s="9" t="str">
        <x:v>Créer des bruitages et ambiances originaux adaptés au livrable ; sous-titrer les indices utiles et proposer un réglage indépendant des effets. Aucune extraction audio demandée.</x:v>
      </x:c>
      <x:c r="L27" s="9" t="str">
        <x:v>Prévu : fiche de données me3/npcs/kolyat ; rattacher les ressources et états cités à cet identifiant. Aucun fichier de jeu créé par ce catalogue.</x:v>
      </x:c>
      <x:c r="M27" s="9" t="str">
        <x:v>Ne pas exiger à tort la réussite de sa mission ME2.</x:v>
      </x:c>
      <x:c r="N27" s="9" t="str">
        <x:v>Le livrable « Kolyat Krios » possède une scène ou un scénario de contrôle ; ses règles proposées, ses conditions et ses retours visuels sont vérifiables séparément.</x:v>
      </x:c>
      <x:c r="O27" s="9" t="str"/>
      <x:c r="P27" s="9" t="str">
        <x:v>Kolyat Krios</x:v>
      </x:c>
      <x:c r="Q27" s="9" t="str">
        <x:v>ME3-SRC-CITADEL2</x:v>
      </x:c>
      <x:c r="R27" s="20" t="str">
        <x:v>https://masseffect.fandom.com/wiki/Priority%3A_The_Citadel_II</x:v>
      </x:c>
      <x:c r="S27" s="20" t="str">
        <x:v>Spécification à réaliser. Les champs adaptation, gameplay, visual, animation, audio et implementation décrivent le fan game ; ils ne donnent pas des caractéristiques officielles de l’œuvre.</x:v>
      </x:c>
    </x:row>
    <x:row r="28" ht="68" customHeight="1">
      <x:c r="A28" s="19" t="str">
        <x:v>ME3-NPC-JACK</x:v>
      </x:c>
      <x:c r="B28" s="7" t="str">
        <x:v>Jack — instructrice</x:v>
      </x:c>
      <x:c r="C28" s="15" t="str">
        <x:v>Défini</x:v>
      </x:c>
      <x:c r="D28" s="17" t="str">
        <x:v>Établi</x:v>
      </x:c>
      <x:c r="E28" s="17" t="str">
        <x:v>P1</x:v>
      </x:c>
      <x:c r="F28" s="7" t="str">
        <x:v>Peut être retrouvée à Grissom.</x:v>
      </x:c>
      <x:c r="G28" s="7" t="str">
        <x:v>Coordination des élèves et débriefing ; état d’instructrice séparé du personnage de simulation.</x:v>
      </x:c>
      <x:c r="H28" s="7" t="str">
        <x:v>Coordination des élèves et débriefing ; état d’instructrice séparé du personnage de simulation.</x:v>
      </x:c>
      <x:c r="I28" s="7" t="str">
        <x:v>Tatouages, vêtement ME3 et tenue de terrain.</x:v>
      </x:c>
      <x:c r="J28" s="7" t="str">
        <x:v>Prévoir attente, orientation et réaction au contexte ; conserver les repères décrits dans la silhouette pendant les changements de direction. Les mouvements sont des créations du fan game.</x:v>
      </x:c>
      <x:c r="K28" s="7" t="str">
        <x:v>Créer des bruitages et ambiances originaux adaptés au livrable ; sous-titrer les indices utiles et proposer un réglage indépendant des effets. Aucune extraction audio demandée.</x:v>
      </x:c>
      <x:c r="L28" s="7" t="str">
        <x:v>Prévu : fiche de données me3/npcs/jack ; rattacher les ressources et états cités à cet identifiant. Aucun fichier de jeu créé par ce catalogue.</x:v>
      </x:c>
      <x:c r="M28" s="7" t="str">
        <x:v>Survie ME2 et délai de sauvetage.</x:v>
      </x:c>
      <x:c r="N28" s="7" t="str">
        <x:v>Le livrable « Jack — instructrice » possède une scène ou un scénario de contrôle ; ses règles proposées, ses conditions et ses retours visuels sont vérifiables séparément.</x:v>
      </x:c>
      <x:c r="O28" s="7" t="str"/>
      <x:c r="P28" s="7" t="str">
        <x:v>Jack — instructrice</x:v>
      </x:c>
      <x:c r="Q28" s="7" t="str">
        <x:v>ME3-SRC-GRISSOM</x:v>
      </x:c>
      <x:c r="R28" s="21" t="str">
        <x:v>https://masseffect.fandom.com/wiki/Grissom_Academy%3A_Emergency_Evacuation</x:v>
      </x:c>
      <x:c r="S28" s="21" t="str">
        <x:v>Spécification à réaliser. Les champs adaptation, gameplay, visual, animation, audio et implementation décrivent le fan game ; ils ne donnent pas des caractéristiques officielles de l’œuvre.</x:v>
      </x:c>
    </x:row>
    <x:row r="29" ht="68" customHeight="1">
      <x:c r="A29" s="18" t="str">
        <x:v>ME3-NPC-SANDERS</x:v>
      </x:c>
      <x:c r="B29" s="9" t="str">
        <x:v>Kahlee Sanders</x:v>
      </x:c>
      <x:c r="C29" s="15" t="str">
        <x:v>Défini</x:v>
      </x:c>
      <x:c r="D29" s="16" t="str">
        <x:v>Établi</x:v>
      </x:c>
      <x:c r="E29" s="16" t="str">
        <x:v>P1</x:v>
      </x:c>
      <x:c r="F29" s="9" t="str">
        <x:v>Contact de l’Académie Grissom.</x:v>
      </x:c>
      <x:c r="G29" s="9" t="str">
        <x:v>Guide d’évacuation donnant le nombre de groupes sécurisés ; pas de rôle de combattante inventé comme établi.</x:v>
      </x:c>
      <x:c r="H29" s="9" t="str">
        <x:v>Guide d’évacuation donnant le nombre de groupes sécurisés ; pas de rôle de combattante inventé comme établi.</x:v>
      </x:c>
      <x:c r="I29" s="9" t="str">
        <x:v>Tenue d’école et salle de communication.</x:v>
      </x:c>
      <x:c r="J29" s="9" t="str">
        <x:v>Prévoir attente, orientation et réaction au contexte ; conserver les repères décrits dans la silhouette pendant les changements de direction. Les mouvements sont des créations du fan game.</x:v>
      </x:c>
      <x:c r="K29" s="9" t="str">
        <x:v>Créer des bruitages et ambiances originaux adaptés au livrable ; sous-titrer les indices utiles et proposer un réglage indépendant des effets. Aucune extraction audio demandée.</x:v>
      </x:c>
      <x:c r="L29" s="9" t="str">
        <x:v>Prévu : fiche de données me3/npcs/sanders ; rattacher les ressources et états cités à cet identifiant. Aucun fichier de jeu créé par ce catalogue.</x:v>
      </x:c>
      <x:c r="M29" s="9" t="str"/>
      <x:c r="N29" s="9" t="str">
        <x:v>Le livrable « Kahlee Sanders » possède une scène ou un scénario de contrôle ; ses règles proposées, ses conditions et ses retours visuels sont vérifiables séparément.</x:v>
      </x:c>
      <x:c r="O29" s="9" t="str"/>
      <x:c r="P29" s="9" t="str">
        <x:v>Kahlee Sanders</x:v>
      </x:c>
      <x:c r="Q29" s="9" t="str">
        <x:v>ME3-SRC-GRISSOM</x:v>
      </x:c>
      <x:c r="R29" s="20" t="str">
        <x:v>https://masseffect.fandom.com/wiki/Grissom_Academy%3A_Emergency_Evacuation</x:v>
      </x:c>
      <x:c r="S29" s="20" t="str">
        <x:v>Spécification à réaliser. Les champs adaptation, gameplay, visual, animation, audio et implementation décrivent le fan game ; ils ne donnent pas des caractéristiques officielles de l’œuvre.</x:v>
      </x:c>
    </x:row>
    <x:row r="30" ht="68" customHeight="1">
      <x:c r="A30" s="19" t="str">
        <x:v>ME3-NPC-DAVID</x:v>
      </x:c>
      <x:c r="B30" s="7" t="str">
        <x:v>David Archer</x:v>
      </x:c>
      <x:c r="C30" s="15" t="str">
        <x:v>Défini</x:v>
      </x:c>
      <x:c r="D30" s="17" t="str">
        <x:v>Établi</x:v>
      </x:c>
      <x:c r="E30" s="17" t="str">
        <x:v>P1</x:v>
      </x:c>
      <x:c r="F30" s="7" t="str">
        <x:v>Peut apparaître à Grissom.</x:v>
      </x:c>
      <x:c r="G30" s="7" t="str">
        <x:v>Dialogue de continuité d’Overlord ; aucun exposé gratuit des violences subies.</x:v>
      </x:c>
      <x:c r="H30" s="7" t="str">
        <x:v>Dialogue de continuité d’Overlord ; aucun exposé gratuit des violences subies.</x:v>
      </x:c>
      <x:c r="I30" s="7" t="str">
        <x:v>Étudiant dans un espace de recherche.</x:v>
      </x:c>
      <x:c r="J30" s="7" t="str">
        <x:v>Prévoir attente, orientation et réaction au contexte ; conserver les repères décrits dans la silhouette pendant les changements de direction. Les mouvements sont des créations du fan game.</x:v>
      </x:c>
      <x:c r="K30" s="7" t="str">
        <x:v>Créer des bruitages et ambiances originaux adaptés au livrable ; sous-titrer les indices utiles et proposer un réglage indépendant des effets. Aucune extraction audio demandée.</x:v>
      </x:c>
      <x:c r="L30" s="7" t="str">
        <x:v>Prévu : fiche de données me3/npcs/david ; rattacher les ressources et états cités à cet identifiant. Aucun fichier de jeu créé par ce catalogue.</x:v>
      </x:c>
      <x:c r="M30" s="7" t="str">
        <x:v>Sauvé dans ME2 et mission Grissom accessible.</x:v>
      </x:c>
      <x:c r="N30" s="7" t="str">
        <x:v>Le livrable « David Archer » possède une scène ou un scénario de contrôle ; ses règles proposées, ses conditions et ses retours visuels sont vérifiables séparément.</x:v>
      </x:c>
      <x:c r="O30" s="7" t="str"/>
      <x:c r="P30" s="7" t="str">
        <x:v>David Archer</x:v>
      </x:c>
      <x:c r="Q30" s="7" t="str">
        <x:v>ME3-SRC-ARRAE, ME3-SRC-GRISSOM</x:v>
      </x:c>
      <x:c r="R30" s="21" t="str">
        <x:v>https://masseffect.fandom.com/wiki/Arrae%3A_Ex-Cerberus_Scientists
https://masseffect.fandom.com/wiki/Grissom_Academy%3A_Emergency_Evacuation</x:v>
      </x:c>
      <x:c r="S30" s="21" t="str">
        <x:v>Spécification à réaliser. Les champs adaptation, gameplay, visual, animation, audio et implementation décrivent le fan game ; ils ne donnent pas des caractéristiques officielles de l’œuvre.</x:v>
      </x:c>
    </x:row>
    <x:row r="31" ht="68" customHeight="1">
      <x:c r="A31" s="18" t="str">
        <x:v>ME3-NPC-BRYNN</x:v>
      </x:c>
      <x:c r="B31" s="9" t="str">
        <x:v>Brynn Cole</x:v>
      </x:c>
      <x:c r="C31" s="15" t="str">
        <x:v>Défini</x:v>
      </x:c>
      <x:c r="D31" s="16" t="str">
        <x:v>Établi</x:v>
      </x:c>
      <x:c r="E31" s="16" t="str">
        <x:v>P1</x:v>
      </x:c>
      <x:c r="F31" s="9" t="str">
        <x:v>Scientifique à évacuer d’Arrae.</x:v>
      </x:c>
      <x:c r="G31" s="9" t="str">
        <x:v>Coordonne les civils et Jacob ; priorités d’extraction lisibles dans l’arène.</x:v>
      </x:c>
      <x:c r="H31" s="9" t="str">
        <x:v>Coordonne les civils et Jacob ; priorités d’extraction lisibles dans l’arène.</x:v>
      </x:c>
      <x:c r="I31" s="9" t="str">
        <x:v>Blouse et station de communication.</x:v>
      </x:c>
      <x:c r="J31" s="9" t="str">
        <x:v>Prévoir attente, orientation et réaction au contexte ; conserver les repères décrits dans la silhouette pendant les changements de direction. Les mouvements sont des créations du fan game.</x:v>
      </x:c>
      <x:c r="K31" s="9" t="str">
        <x:v>Créer des bruitages et ambiances originaux adaptés au livrable ; sous-titrer les indices utiles et proposer un réglage indépendant des effets. Aucune extraction audio demandée.</x:v>
      </x:c>
      <x:c r="L31" s="9" t="str">
        <x:v>Prévu : fiche de données me3/npcs/brynn ; rattacher les ressources et états cités à cet identifiant. Aucun fichier de jeu créé par ce catalogue.</x:v>
      </x:c>
      <x:c r="M31" s="9" t="str"/>
      <x:c r="N31" s="9" t="str">
        <x:v>Le livrable « Brynn Cole » possède une scène ou un scénario de contrôle ; ses règles proposées, ses conditions et ses retours visuels sont vérifiables séparément.</x:v>
      </x:c>
      <x:c r="O31" s="9" t="str"/>
      <x:c r="P31" s="9" t="str">
        <x:v>Brynn Cole</x:v>
      </x:c>
      <x:c r="Q31" s="9" t="str">
        <x:v>ME3-SRC-ARRAE</x:v>
      </x:c>
      <x:c r="R31" s="20" t="str">
        <x:v>https://masseffect.fandom.com/wiki/Arrae%3A_Ex-Cerberus_Scientists</x:v>
      </x:c>
      <x:c r="S31" s="20" t="str">
        <x:v>Spécification à réaliser. Les champs adaptation, gameplay, visual, animation, audio et implementation décrivent le fan game ; ils ne donnent pas des caractéristiques officielles de l’œuvre.</x:v>
      </x:c>
    </x:row>
    <x:row r="32" ht="68" customHeight="1">
      <x:c r="A32" s="19" t="str">
        <x:v>ME3-NPC-JACOB</x:v>
      </x:c>
      <x:c r="B32" s="7" t="str">
        <x:v>Jacob Taylor — rescapés</x:v>
      </x:c>
      <x:c r="C32" s="15" t="str">
        <x:v>Défini</x:v>
      </x:c>
      <x:c r="D32" s="17" t="str">
        <x:v>Établi</x:v>
      </x:c>
      <x:c r="E32" s="17" t="str">
        <x:v>P1</x:v>
      </x:c>
      <x:c r="F32" s="7" t="str">
        <x:v>Peut protéger les scientifiques.</x:v>
      </x:c>
      <x:c r="G32" s="7" t="str">
        <x:v>Retrouvailles et appui local ; son éventuelle relation ME2 est traitée séparément.</x:v>
      </x:c>
      <x:c r="H32" s="7" t="str">
        <x:v>Retrouvailles et appui local ; son éventuelle relation ME2 est traitée séparément.</x:v>
      </x:c>
      <x:c r="I32" s="7" t="str">
        <x:v>Armure d’ex-Cerberus et blessure.</x:v>
      </x:c>
      <x:c r="J32" s="7" t="str">
        <x:v>Prévoir attente, orientation et réaction au contexte ; conserver les repères décrits dans la silhouette pendant les changements de direction. Les mouvements sont des créations du fan game.</x:v>
      </x:c>
      <x:c r="K32" s="7" t="str">
        <x:v>Créer des bruitages et ambiances originaux adaptés au livrable ; sous-titrer les indices utiles et proposer un réglage indépendant des effets. Aucune extraction audio demandée.</x:v>
      </x:c>
      <x:c r="L32" s="7" t="str">
        <x:v>Prévu : fiche de données me3/npcs/jacob ; rattacher les ressources et états cités à cet identifiant. Aucun fichier de jeu créé par ce catalogue.</x:v>
      </x:c>
      <x:c r="M32" s="7" t="str">
        <x:v>Survie ME2.</x:v>
      </x:c>
      <x:c r="N32" s="7" t="str">
        <x:v>Le livrable « Jacob Taylor — rescapés » possède une scène ou un scénario de contrôle ; ses règles proposées, ses conditions et ses retours visuels sont vérifiables séparément.</x:v>
      </x:c>
      <x:c r="O32" s="7" t="str"/>
      <x:c r="P32" s="7" t="str">
        <x:v>Jacob Taylor — rescapés</x:v>
      </x:c>
      <x:c r="Q32" s="7" t="str">
        <x:v>ME3-SRC-ARRAE</x:v>
      </x:c>
      <x:c r="R32" s="21" t="str">
        <x:v>https://masseffect.fandom.com/wiki/Arrae%3A_Ex-Cerberus_Scientists</x:v>
      </x:c>
      <x:c r="S32" s="21" t="str">
        <x:v>Spécification à réaliser. Les champs adaptation, gameplay, visual, animation, audio et implementation décrivent le fan game ; ils ne donnent pas des caractéristiques officielles de l’œuvre.</x:v>
      </x:c>
    </x:row>
    <x:row r="33" ht="68" customHeight="1">
      <x:c r="A33" s="18" t="str">
        <x:v>ME3-NPC-GAVIN</x:v>
      </x:c>
      <x:c r="B33" s="9" t="str">
        <x:v>Gavin Archer</x:v>
      </x:c>
      <x:c r="C33" s="15" t="str">
        <x:v>Défini</x:v>
      </x:c>
      <x:c r="D33" s="16" t="str">
        <x:v>Établi</x:v>
      </x:c>
      <x:c r="E33" s="16" t="str">
        <x:v>P1</x:v>
      </x:c>
      <x:c r="F33" s="9" t="str">
        <x:v>Peut être rencontré à Arrae.</x:v>
      </x:c>
      <x:c r="G33" s="9" t="str">
        <x:v>Dialogue de conséquence avec conditions distinctes selon David et Grissom ; ne pas utiliser un unique booléen de pardon.</x:v>
      </x:c>
      <x:c r="H33" s="9" t="str">
        <x:v>Dialogue de conséquence avec conditions distinctes selon David et Grissom ; ne pas utiliser un unique booléen de pardon.</x:v>
      </x:c>
      <x:c r="I33" s="9" t="str">
        <x:v>Tenue de laboratoire usée.</x:v>
      </x:c>
      <x:c r="J33" s="9" t="str">
        <x:v>Prévoir attente, orientation et réaction au contexte ; conserver les repères décrits dans la silhouette pendant les changements de direction. Les mouvements sont des créations du fan game.</x:v>
      </x:c>
      <x:c r="K33" s="9" t="str">
        <x:v>Créer des bruitages et ambiances originaux adaptés au livrable ; sous-titrer les indices utiles et proposer un réglage indépendant des effets. Aucune extraction audio demandée.</x:v>
      </x:c>
      <x:c r="L33" s="9" t="str">
        <x:v>Prévu : fiche de données me3/npcs/gavin ; rattacher les ressources et états cités à cet identifiant. Aucun fichier de jeu créé par ce catalogue.</x:v>
      </x:c>
      <x:c r="M33" s="9" t="str">
        <x:v>Project Overlord importé.</x:v>
      </x:c>
      <x:c r="N33" s="9" t="str">
        <x:v>Le livrable « Gavin Archer » possède une scène ou un scénario de contrôle ; ses règles proposées, ses conditions et ses retours visuels sont vérifiables séparément.</x:v>
      </x:c>
      <x:c r="O33" s="9" t="str"/>
      <x:c r="P33" s="9" t="str">
        <x:v>Gavin Archer</x:v>
      </x:c>
      <x:c r="Q33" s="9" t="str">
        <x:v>ME3-SRC-ARRAE</x:v>
      </x:c>
      <x:c r="R33" s="20" t="str">
        <x:v>https://masseffect.fandom.com/wiki/Arrae%3A_Ex-Cerberus_Scientists</x:v>
      </x:c>
      <x:c r="S33" s="20" t="str">
        <x:v>Spécification à réaliser. Les champs adaptation, gameplay, visual, animation, audio et implementation décrivent le fan game ; ils ne donnent pas des caractéristiques officielles de l’œuvre.</x:v>
      </x:c>
    </x:row>
    <x:row r="34" ht="68" customHeight="1">
      <x:c r="A34" s="19" t="str">
        <x:v>ME3-NPC-SAMARA</x:v>
      </x:c>
      <x:c r="B34" s="7" t="str">
        <x:v>Samara — monastère</x:v>
      </x:c>
      <x:c r="C34" s="15" t="str">
        <x:v>Défini</x:v>
      </x:c>
      <x:c r="D34" s="17" t="str">
        <x:v>Établi</x:v>
      </x:c>
      <x:c r="E34" s="17" t="str">
        <x:v>P1</x:v>
      </x:c>
      <x:c r="F34" s="7" t="str">
        <x:v>Peut apparaître au monastère.</x:v>
      </x:c>
      <x:c r="G34" s="7" t="str">
        <x:v>Retrouvailles familiales et dilemme du code ; fenêtre d’intervention adaptée accessible.</x:v>
      </x:c>
      <x:c r="H34" s="7" t="str">
        <x:v>Retrouvailles familiales et dilemme du code ; fenêtre d’intervention adaptée accessible.</x:v>
      </x:c>
      <x:c r="I34" s="7" t="str">
        <x:v>Armure rouge dans un décor austère.</x:v>
      </x:c>
      <x:c r="J34" s="7" t="str">
        <x:v>Prévoir attente, orientation et réaction au contexte ; conserver les repères décrits dans la silhouette pendant les changements de direction. Les mouvements sont des créations du fan game.</x:v>
      </x:c>
      <x:c r="K34" s="7" t="str">
        <x:v>Créer des bruitages et ambiances originaux adaptés au livrable ; sous-titrer les indices utiles et proposer un réglage indépendant des effets. Aucune extraction audio demandée.</x:v>
      </x:c>
      <x:c r="L34" s="7" t="str">
        <x:v>Prévu : fiche de données me3/npcs/samara ; rattacher les ressources et états cités à cet identifiant. Aucun fichier de jeu créé par ce catalogue.</x:v>
      </x:c>
      <x:c r="M34" s="7" t="str">
        <x:v>Survie ME2 et choix Samara/Morinth.</x:v>
      </x:c>
      <x:c r="N34" s="7" t="str">
        <x:v>Le livrable « Samara — monastère » possède une scène ou un scénario de contrôle ; ses règles proposées, ses conditions et ses retours visuels sont vérifiables séparément.</x:v>
      </x:c>
      <x:c r="O34" s="7" t="str"/>
      <x:c r="P34" s="7" t="str">
        <x:v>Samara — monastère</x:v>
      </x:c>
      <x:c r="Q34" s="7" t="str">
        <x:v>ME3-SRC-KALLINI</x:v>
      </x:c>
      <x:c r="R34" s="21" t="str">
        <x:v>https://masseffect.fandom.com/wiki/Kallini%3A_Ardat-Yakshi_Monastery</x:v>
      </x:c>
      <x:c r="S34" s="21" t="str">
        <x:v>Spécification à réaliser. Les champs adaptation, gameplay, visual, animation, audio et implementation décrivent le fan game ; ils ne donnent pas des caractéristiques officielles de l’œuvre.</x:v>
      </x:c>
    </x:row>
    <x:row r="35" ht="68" customHeight="1">
      <x:c r="A35" s="18" t="str">
        <x:v>ME3-NPC-FALERE</x:v>
      </x:c>
      <x:c r="B35" s="9" t="str">
        <x:v>Falere</x:v>
      </x:c>
      <x:c r="C35" s="15" t="str">
        <x:v>Défini</x:v>
      </x:c>
      <x:c r="D35" s="16" t="str">
        <x:v>Établi</x:v>
      </x:c>
      <x:c r="E35" s="16" t="str">
        <x:v>P1</x:v>
      </x:c>
      <x:c r="F35" s="9" t="str">
        <x:v>Sœur de Rila au monastère.</x:v>
      </x:c>
      <x:c r="G35" s="9" t="str">
        <x:v>PNJ de recherche puis résolution ; protéger son autonomie narrative dans les choix finaux.</x:v>
      </x:c>
      <x:c r="H35" s="9" t="str">
        <x:v>PNJ de recherche puis résolution ; protéger son autonomie narrative dans les choix finaux.</x:v>
      </x:c>
      <x:c r="I35" s="9" t="str">
        <x:v>Asari en tenue monastique.</x:v>
      </x:c>
      <x:c r="J35" s="9" t="str">
        <x:v>Prévoir attente, orientation et réaction au contexte ; conserver les repères décrits dans la silhouette pendant les changements de direction. Les mouvements sont des créations du fan game.</x:v>
      </x:c>
      <x:c r="K35" s="9" t="str">
        <x:v>Créer des bruitages et ambiances originaux adaptés au livrable ; sous-titrer les indices utiles et proposer un réglage indépendant des effets. Aucune extraction audio demandée.</x:v>
      </x:c>
      <x:c r="L35" s="9" t="str">
        <x:v>Prévu : fiche de données me3/npcs/falere ; rattacher les ressources et états cités à cet identifiant. Aucun fichier de jeu créé par ce catalogue.</x:v>
      </x:c>
      <x:c r="M35" s="9" t="str"/>
      <x:c r="N35" s="9" t="str">
        <x:v>Le livrable « Falere » possède une scène ou un scénario de contrôle ; ses règles proposées, ses conditions et ses retours visuels sont vérifiables séparément.</x:v>
      </x:c>
      <x:c r="O35" s="9" t="str"/>
      <x:c r="P35" s="9" t="str">
        <x:v>Falere</x:v>
      </x:c>
      <x:c r="Q35" s="9" t="str">
        <x:v>ME3-SRC-KALLINI</x:v>
      </x:c>
      <x:c r="R35" s="20" t="str">
        <x:v>https://masseffect.fandom.com/wiki/Kallini%3A_Ardat-Yakshi_Monastery</x:v>
      </x:c>
      <x:c r="S35" s="20" t="str">
        <x:v>Spécification à réaliser. Les champs adaptation, gameplay, visual, animation, audio et implementation décrivent le fan game ; ils ne donnent pas des caractéristiques officielles de l’œuvre.</x:v>
      </x:c>
    </x:row>
    <x:row r="36" ht="68" customHeight="1">
      <x:c r="A36" s="19" t="str">
        <x:v>ME3-NPC-RILA</x:v>
      </x:c>
      <x:c r="B36" s="7" t="str">
        <x:v>Rila</x:v>
      </x:c>
      <x:c r="C36" s="15" t="str">
        <x:v>Défini</x:v>
      </x:c>
      <x:c r="D36" s="17" t="str">
        <x:v>Établi</x:v>
      </x:c>
      <x:c r="E36" s="17" t="str">
        <x:v>P1</x:v>
      </x:c>
      <x:c r="F36" s="7" t="str">
        <x:v>Sœur recherchée dans le grand hall.</x:v>
      </x:c>
      <x:c r="G36" s="7" t="str">
        <x:v>Scène de sauvetage et sacrifice ; l’animation reste narrative, aucune quête de loot associée.</x:v>
      </x:c>
      <x:c r="H36" s="7" t="str">
        <x:v>Scène de sauvetage et sacrifice ; l’animation reste narrative, aucune quête de loot associée.</x:v>
      </x:c>
      <x:c r="I36" s="7" t="str">
        <x:v>Asari affaiblie près du dispositif.</x:v>
      </x:c>
      <x:c r="J36" s="7" t="str">
        <x:v>Prévoir attente, orientation et réaction au contexte ; conserver les repères décrits dans la silhouette pendant les changements de direction. Les mouvements sont des créations du fan game.</x:v>
      </x:c>
      <x:c r="K36" s="7" t="str">
        <x:v>Créer des bruitages et ambiances originaux adaptés au livrable ; sous-titrer les indices utiles et proposer un réglage indépendant des effets. Aucune extraction audio demandée.</x:v>
      </x:c>
      <x:c r="L36" s="7" t="str">
        <x:v>Prévu : fiche de données me3/npcs/rila ; rattacher les ressources et états cités à cet identifiant. Aucun fichier de jeu créé par ce catalogue.</x:v>
      </x:c>
      <x:c r="M36" s="7" t="str"/>
      <x:c r="N36" s="7" t="str">
        <x:v>Le livrable « Rila » possède une scène ou un scénario de contrôle ; ses règles proposées, ses conditions et ses retours visuels sont vérifiables séparément.</x:v>
      </x:c>
      <x:c r="O36" s="7" t="str"/>
      <x:c r="P36" s="7" t="str">
        <x:v>Rila</x:v>
      </x:c>
      <x:c r="Q36" s="7" t="str">
        <x:v>ME3-SRC-KALLINI</x:v>
      </x:c>
      <x:c r="R36" s="21" t="str">
        <x:v>https://masseffect.fandom.com/wiki/Kallini%3A_Ardat-Yakshi_Monastery</x:v>
      </x:c>
      <x:c r="S36" s="21" t="str">
        <x:v>Spécification à réaliser. Les champs adaptation, gameplay, visual, animation, audio et implementation décrivent le fan game ; ils ne donnent pas des caractéristiques officielles de l’œuvre.</x:v>
      </x:c>
    </x:row>
    <x:row r="37" ht="68" customHeight="1">
      <x:c r="A37" s="18" t="str">
        <x:v>ME3-NPC-LEGION</x:v>
      </x:c>
      <x:c r="B37" s="9" t="str">
        <x:v>Legion / VI geth</x:v>
      </x:c>
      <x:c r="C37" s="15" t="str">
        <x:v>Défini</x:v>
      </x:c>
      <x:c r="D37" s="16" t="str">
        <x:v>Établi</x:v>
      </x:c>
      <x:c r="E37" s="16" t="str">
        <x:v>P1</x:v>
      </x:c>
      <x:c r="F37" s="9" t="str">
        <x:v>Intervient dans l’arc de Rannoch.</x:v>
      </x:c>
      <x:c r="G37" s="9" t="str">
        <x:v>Identité Legion ou substitut VI selon import ; le codex et les conditions de paix lisent cette différence.</x:v>
      </x:c>
      <x:c r="H37" s="9" t="str">
        <x:v>Identité Legion ou substitut VI selon import ; le codex et les conditions de paix lisent cette différence.</x:v>
      </x:c>
      <x:c r="I37" s="9" t="str">
        <x:v>Châssis geth et optique.</x:v>
      </x:c>
      <x:c r="J37" s="9" t="str">
        <x:v>Prévoir attente, orientation et réaction au contexte ; conserver les repères décrits dans la silhouette pendant les changements de direction. Les mouvements sont des créations du fan game.</x:v>
      </x:c>
      <x:c r="K37" s="9" t="str">
        <x:v>Créer des bruitages et ambiances originaux adaptés au livrable ; sous-titrer les indices utiles et proposer un réglage indépendant des effets. Aucune extraction audio demandée.</x:v>
      </x:c>
      <x:c r="L37" s="9" t="str">
        <x:v>Prévu : fiche de données me3/npcs/legion ; rattacher les ressources et états cités à cet identifiant. Aucun fichier de jeu créé par ce catalogue.</x:v>
      </x:c>
      <x:c r="M37" s="9" t="str">
        <x:v>Survie et activation de ME2.</x:v>
      </x:c>
      <x:c r="N37" s="9" t="str">
        <x:v>Le livrable « Legion / VI geth » possède une scène ou un scénario de contrôle ; ses règles proposées, ses conditions et ses retours visuels sont vérifiables séparément.</x:v>
      </x:c>
      <x:c r="O37" s="9" t="str"/>
      <x:c r="P37" s="9" t="str">
        <x:v>Legion / VI geth</x:v>
      </x:c>
      <x:c r="Q37" s="9" t="str">
        <x:v>ME3-SRC-RANNOCH, ME3-SRC-FIGHTERS</x:v>
      </x:c>
      <x:c r="R37" s="20" t="str">
        <x:v>https://masseffect.fandom.com/wiki/Priority%3A_Rannoch
https://masseffect.fandom.com/wiki/Rannoch%3A_Geth_Fighter_Squadrons</x:v>
      </x:c>
      <x:c r="S37" s="20" t="str">
        <x:v>Spécification à réaliser. Les champs adaptation, gameplay, visual, animation, audio et implementation décrivent le fan game ; ils ne donnent pas des caractéristiques officielles de l’œuvre.</x:v>
      </x:c>
    </x:row>
    <x:row r="38" ht="68" customHeight="1">
      <x:c r="A38" s="19" t="str">
        <x:v>ME3-NPC-RAAN</x:v>
      </x:c>
      <x:c r="B38" s="7" t="str">
        <x:v>Shala’Raan</x:v>
      </x:c>
      <x:c r="C38" s="15" t="str">
        <x:v>Défini</x:v>
      </x:c>
      <x:c r="D38" s="17" t="str">
        <x:v>Établi</x:v>
      </x:c>
      <x:c r="E38" s="17" t="str">
        <x:v>P1</x:v>
      </x:c>
      <x:c r="F38" s="7" t="str">
        <x:v>Amirale de l’arc quarian.</x:v>
      </x:c>
      <x:c r="G38" s="7" t="str">
        <x:v>Interlocutrice de commandement ; disponibilité alternative si Tali absente.</x:v>
      </x:c>
      <x:c r="H38" s="7" t="str">
        <x:v>Interlocutrice de commandement ; disponibilité alternative si Tali absente.</x:v>
      </x:c>
      <x:c r="I38" s="7" t="str">
        <x:v>Tenue d’amirale quariène.</x:v>
      </x:c>
      <x:c r="J38" s="7" t="str">
        <x:v>Prévoir attente, orientation et réaction au contexte ; conserver les repères décrits dans la silhouette pendant les changements de direction. Les mouvements sont des créations du fan game.</x:v>
      </x:c>
      <x:c r="K38" s="7" t="str">
        <x:v>Créer des bruitages et ambiances originaux adaptés au livrable ; sous-titrer les indices utiles et proposer un réglage indépendant des effets. Aucune extraction audio demandée.</x:v>
      </x:c>
      <x:c r="L38" s="7" t="str">
        <x:v>Prévu : fiche de données me3/npcs/raan ; rattacher les ressources et états cités à cet identifiant. Aucun fichier de jeu créé par ce catalogue.</x:v>
      </x:c>
      <x:c r="M38" s="7" t="str"/>
      <x:c r="N38" s="7" t="str">
        <x:v>Le livrable « Shala’Raan » possède une scène ou un scénario de contrôle ; ses règles proposées, ses conditions et ses retours visuels sont vérifiables séparément.</x:v>
      </x:c>
      <x:c r="O38" s="7" t="str"/>
      <x:c r="P38" s="7" t="str">
        <x:v>Shala’Raan</x:v>
      </x:c>
      <x:c r="Q38" s="7" t="str">
        <x:v>ME3-SRC-RANNOCH</x:v>
      </x:c>
      <x:c r="R38" s="21" t="str">
        <x:v>https://masseffect.fandom.com/wiki/Priority%3A_Rannoch</x:v>
      </x:c>
      <x:c r="S38" s="21" t="str">
        <x:v>Spécification à réaliser. Les champs adaptation, gameplay, visual, animation, audio et implementation décrivent le fan game ; ils ne donnent pas des caractéristiques officielles de l’œuvre.</x:v>
      </x:c>
    </x:row>
    <x:row r="39" ht="68" customHeight="1">
      <x:c r="A39" s="18" t="str">
        <x:v>ME3-NPC-KORIS</x:v>
      </x:c>
      <x:c r="B39" s="9" t="str">
        <x:v>Zaal’Koris</x:v>
      </x:c>
      <x:c r="C39" s="15" t="str">
        <x:v>Défini</x:v>
      </x:c>
      <x:c r="D39" s="16" t="str">
        <x:v>Établi</x:v>
      </x:c>
      <x:c r="E39" s="16" t="str">
        <x:v>P1</x:v>
      </x:c>
      <x:c r="F39" s="9" t="str">
        <x:v>Amiral à secourir sur Rannoch.</x:v>
      </x:c>
      <x:c r="G39" s="9" t="str">
        <x:v>Choix d’évacuation entre chef et équipe ; état de survie séparé de réussite du site.</x:v>
      </x:c>
      <x:c r="H39" s="9" t="str">
        <x:v>Choix d’évacuation entre chef et équipe ; état de survie séparé de réussite du site.</x:v>
      </x:c>
      <x:c r="I39" s="9" t="str">
        <x:v>Combinaison quariène et balise.</x:v>
      </x:c>
      <x:c r="J39" s="9" t="str">
        <x:v>Prévoir attente, orientation et réaction au contexte ; conserver les repères décrits dans la silhouette pendant les changements de direction. Les mouvements sont des créations du fan game.</x:v>
      </x:c>
      <x:c r="K39" s="9" t="str">
        <x:v>Créer des bruitages et ambiances originaux adaptés au livrable ; sous-titrer les indices utiles et proposer un réglage indépendant des effets. Aucune extraction audio demandée.</x:v>
      </x:c>
      <x:c r="L39" s="9" t="str">
        <x:v>Prévu : fiche de données me3/npcs/koris ; rattacher les ressources et états cités à cet identifiant. Aucun fichier de jeu créé par ce catalogue.</x:v>
      </x:c>
      <x:c r="M39" s="9" t="str"/>
      <x:c r="N39" s="9" t="str">
        <x:v>Le livrable « Zaal’Koris » possède une scène ou un scénario de contrôle ; ses règles proposées, ses conditions et ses retours visuels sont vérifiables séparément.</x:v>
      </x:c>
      <x:c r="O39" s="9" t="str"/>
      <x:c r="P39" s="9" t="str">
        <x:v>Zaal’Koris</x:v>
      </x:c>
      <x:c r="Q39" s="9" t="str">
        <x:v>ME3-SRC-RANNOCH</x:v>
      </x:c>
      <x:c r="R39" s="20" t="str">
        <x:v>https://masseffect.fandom.com/wiki/Priority%3A_Rannoch</x:v>
      </x:c>
      <x:c r="S39" s="20" t="str">
        <x:v>Spécification à réaliser. Les champs adaptation, gameplay, visual, animation, audio et implementation décrivent le fan game ; ils ne donnent pas des caractéristiques officielles de l’œuvre.</x:v>
      </x:c>
    </x:row>
    <x:row r="40" ht="68" customHeight="1">
      <x:c r="A40" s="19" t="str">
        <x:v>ME3-NPC-GERREL</x:v>
      </x:c>
      <x:c r="B40" s="7" t="str">
        <x:v>Han’Gerrel</x:v>
      </x:c>
      <x:c r="C40" s="15" t="str">
        <x:v>Défini</x:v>
      </x:c>
      <x:c r="D40" s="17" t="str">
        <x:v>Établi</x:v>
      </x:c>
      <x:c r="E40" s="17" t="str">
        <x:v>P1</x:v>
      </x:c>
      <x:c r="F40" s="7" t="str">
        <x:v>Amiral quarian de guerre.</x:v>
      </x:c>
      <x:c r="G40" s="7" t="str">
        <x:v>Débriefing du cuirassé et décision de flotte ; opposition verbale sans bonus caché obligatoire.</x:v>
      </x:c>
      <x:c r="H40" s="7" t="str">
        <x:v>Débriefing du cuirassé et décision de flotte ; opposition verbale sans bonus caché obligatoire.</x:v>
      </x:c>
      <x:c r="I40" s="7" t="str">
        <x:v>Armure quariène militaire.</x:v>
      </x:c>
      <x:c r="J40" s="7" t="str">
        <x:v>Prévoir attente, orientation et réaction au contexte ; conserver les repères décrits dans la silhouette pendant les changements de direction. Les mouvements sont des créations du fan game.</x:v>
      </x:c>
      <x:c r="K40" s="7" t="str">
        <x:v>Créer des bruitages et ambiances originaux adaptés au livrable ; sous-titrer les indices utiles et proposer un réglage indépendant des effets. Aucune extraction audio demandée.</x:v>
      </x:c>
      <x:c r="L40" s="7" t="str">
        <x:v>Prévu : fiche de données me3/npcs/gerrel ; rattacher les ressources et états cités à cet identifiant. Aucun fichier de jeu créé par ce catalogue.</x:v>
      </x:c>
      <x:c r="M40" s="7" t="str"/>
      <x:c r="N40" s="7" t="str">
        <x:v>Le livrable « Han’Gerrel » possède une scène ou un scénario de contrôle ; ses règles proposées, ses conditions et ses retours visuels sont vérifiables séparément.</x:v>
      </x:c>
      <x:c r="O40" s="7" t="str"/>
      <x:c r="P40" s="7" t="str">
        <x:v>Han’Gerrel</x:v>
      </x:c>
      <x:c r="Q40" s="7" t="str">
        <x:v>ME3-SRC-RANNOCH</x:v>
      </x:c>
      <x:c r="R40" s="21" t="str">
        <x:v>https://masseffect.fandom.com/wiki/Priority%3A_Rannoch</x:v>
      </x:c>
      <x:c r="S40" s="21" t="str">
        <x:v>Spécification à réaliser. Les champs adaptation, gameplay, visual, animation, audio et implementation décrivent le fan game ; ils ne donnent pas des caractéristiques officielles de l’œuvre.</x:v>
      </x:c>
    </x:row>
    <x:row r="41" ht="68" customHeight="1">
      <x:c r="A41" s="18" t="str">
        <x:v>ME3-NPC-XEN</x:v>
      </x:c>
      <x:c r="B41" s="9" t="str">
        <x:v>Daro’Xen</x:v>
      </x:c>
      <x:c r="C41" s="15" t="str">
        <x:v>Défini</x:v>
      </x:c>
      <x:c r="D41" s="16" t="str">
        <x:v>Établi</x:v>
      </x:c>
      <x:c r="E41" s="16" t="str">
        <x:v>P1</x:v>
      </x:c>
      <x:c r="F41" s="9" t="str">
        <x:v>Amirale quariène.</x:v>
      </x:c>
      <x:c r="G41" s="9" t="str">
        <x:v>Point de vue technologique ; contributions de flotte distinctes du dialogue personnel.</x:v>
      </x:c>
      <x:c r="H41" s="9" t="str">
        <x:v>Point de vue technologique ; contributions de flotte distinctes du dialogue personnel.</x:v>
      </x:c>
      <x:c r="I41" s="9" t="str">
        <x:v>Capuche claire et instrumentation.</x:v>
      </x:c>
      <x:c r="J41" s="9" t="str">
        <x:v>Prévoir attente, orientation et réaction au contexte ; conserver les repères décrits dans la silhouette pendant les changements de direction. Les mouvements sont des créations du fan game.</x:v>
      </x:c>
      <x:c r="K41" s="9" t="str">
        <x:v>Créer des bruitages et ambiances originaux adaptés au livrable ; sous-titrer les indices utiles et proposer un réglage indépendant des effets. Aucune extraction audio demandée.</x:v>
      </x:c>
      <x:c r="L41" s="9" t="str">
        <x:v>Prévu : fiche de données me3/npcs/xen ; rattacher les ressources et états cités à cet identifiant. Aucun fichier de jeu créé par ce catalogue.</x:v>
      </x:c>
      <x:c r="M41" s="9" t="str"/>
      <x:c r="N41" s="9" t="str">
        <x:v>Le livrable « Daro’Xen » possède une scène ou un scénario de contrôle ; ses règles proposées, ses conditions et ses retours visuels sont vérifiables séparément.</x:v>
      </x:c>
      <x:c r="O41" s="9" t="str"/>
      <x:c r="P41" s="9" t="str">
        <x:v>Daro’Xen</x:v>
      </x:c>
      <x:c r="Q41" s="9" t="str">
        <x:v>ME3-SRC-RANNOCH</x:v>
      </x:c>
      <x:c r="R41" s="20" t="str">
        <x:v>https://masseffect.fandom.com/wiki/Priority%3A_Rannoch</x:v>
      </x:c>
      <x:c r="S41" s="20" t="str">
        <x:v>Spécification à réaliser. Les champs adaptation, gameplay, visual, animation, audio et implementation décrivent le fan game ; ils ne donnent pas des caractéristiques officielles de l’œuvre.</x:v>
      </x:c>
    </x:row>
    <x:row r="42" ht="68" customHeight="1">
      <x:c r="A42" s="19" t="str">
        <x:v>ME3-NPC-MIRANDA</x:v>
      </x:c>
      <x:c r="B42" s="7" t="str">
        <x:v>Miranda Lawson — Sanctuary</x:v>
      </x:c>
      <x:c r="C42" s="15" t="str">
        <x:v>Défini</x:v>
      </x:c>
      <x:c r="D42" s="17" t="str">
        <x:v>Établi</x:v>
      </x:c>
      <x:c r="E42" s="17" t="str">
        <x:v>P1</x:v>
      </x:c>
      <x:c r="F42" s="7" t="str">
        <x:v>Poursuit Oriana si elle a survécu.</x:v>
      </x:c>
      <x:c r="G42" s="7" t="str">
        <x:v>Chaîne de rencontres et avertissement avant Horizon ; notifications non perdues si joueur explore.</x:v>
      </x:c>
      <x:c r="H42" s="7" t="str">
        <x:v>Chaîne de rencontres et avertissement avant Horizon ; notifications non perdues si joueur explore.</x:v>
      </x:c>
      <x:c r="I42" s="7" t="str">
        <x:v>Combinaison et rendez-vous discrets.</x:v>
      </x:c>
      <x:c r="J42" s="7" t="str">
        <x:v>Prévoir attente, orientation et réaction au contexte ; conserver les repères décrits dans la silhouette pendant les changements de direction. Les mouvements sont des créations du fan game.</x:v>
      </x:c>
      <x:c r="K42" s="7" t="str">
        <x:v>Créer des bruitages et ambiances originaux adaptés au livrable ; sous-titrer les indices utiles et proposer un réglage indépendant des effets. Aucune extraction audio demandée.</x:v>
      </x:c>
      <x:c r="L42" s="7" t="str">
        <x:v>Prévu : fiche de données me3/npcs/miranda ; rattacher les ressources et états cités à cet identifiant. Aucun fichier de jeu créé par ce catalogue.</x:v>
      </x:c>
      <x:c r="M42" s="7" t="str">
        <x:v>Conditions de survie nombreuses à tester.</x:v>
      </x:c>
      <x:c r="N42" s="7" t="str">
        <x:v>Le livrable « Miranda Lawson — Sanctuary » possède une scène ou un scénario de contrôle ; ses règles proposées, ses conditions et ses retours visuels sont vérifiables séparément.</x:v>
      </x:c>
      <x:c r="O42" s="7" t="str"/>
      <x:c r="P42" s="7" t="str">
        <x:v>Miranda Lawson — Sanctuary</x:v>
      </x:c>
      <x:c r="Q42" s="7" t="str">
        <x:v>ME3-SRC-HORIZON</x:v>
      </x:c>
      <x:c r="R42" s="21" t="str">
        <x:v>https://masseffect.fandom.com/wiki/Priority%3A_Horizon</x:v>
      </x:c>
      <x:c r="S42" s="21" t="str">
        <x:v>Spécification à réaliser. Les champs adaptation, gameplay, visual, animation, audio et implementation décrivent le fan game ; ils ne donnent pas des caractéristiques officielles de l’œuvre.</x:v>
      </x:c>
    </x:row>
    <x:row r="43" ht="68" customHeight="1">
      <x:c r="A43" s="18" t="str">
        <x:v>ME3-NPC-HENRY</x:v>
      </x:c>
      <x:c r="B43" s="9" t="str">
        <x:v>Henry Lawson</x:v>
      </x:c>
      <x:c r="C43" s="15" t="str">
        <x:v>Défini</x:v>
      </x:c>
      <x:c r="D43" s="16" t="str">
        <x:v>Établi</x:v>
      </x:c>
      <x:c r="E43" s="16" t="str">
        <x:v>P1</x:v>
      </x:c>
      <x:c r="F43" s="9" t="str">
        <x:v>Dirige les expériences de Sanctuary.</x:v>
      </x:c>
      <x:c r="G43" s="9" t="str">
        <x:v>Confrontation avec otage ; ne pas transformer un choix de dialogue en combat de boss séparé.</x:v>
      </x:c>
      <x:c r="H43" s="9" t="str">
        <x:v>Confrontation avec otage ; ne pas transformer un choix de dialogue en combat de boss séparé.</x:v>
      </x:c>
      <x:c r="I43" s="9" t="str">
        <x:v>Costume clair, laboratoire et Oriana.</x:v>
      </x:c>
      <x:c r="J43" s="9" t="str">
        <x:v>Prévoir attente, orientation et réaction au contexte ; conserver les repères décrits dans la silhouette pendant les changements de direction. Les mouvements sont des créations du fan game.</x:v>
      </x:c>
      <x:c r="K43" s="9" t="str">
        <x:v>Créer des bruitages et ambiances originaux adaptés au livrable ; sous-titrer les indices utiles et proposer un réglage indépendant des effets. Aucune extraction audio demandée.</x:v>
      </x:c>
      <x:c r="L43" s="9" t="str">
        <x:v>Prévu : fiche de données me3/npcs/henry ; rattacher les ressources et états cités à cet identifiant. Aucun fichier de jeu créé par ce catalogue.</x:v>
      </x:c>
      <x:c r="M43" s="9" t="str"/>
      <x:c r="N43" s="9" t="str">
        <x:v>Le livrable « Henry Lawson » possède une scène ou un scénario de contrôle ; ses règles proposées, ses conditions et ses retours visuels sont vérifiables séparément.</x:v>
      </x:c>
      <x:c r="O43" s="9" t="str"/>
      <x:c r="P43" s="9" t="str">
        <x:v>Henry Lawson</x:v>
      </x:c>
      <x:c r="Q43" s="9" t="str">
        <x:v>ME3-SRC-HORIZON</x:v>
      </x:c>
      <x:c r="R43" s="20" t="str">
        <x:v>https://masseffect.fandom.com/wiki/Priority%3A_Horizon</x:v>
      </x:c>
      <x:c r="S43" s="20" t="str">
        <x:v>Spécification à réaliser. Les champs adaptation, gameplay, visual, animation, audio et implementation décrivent le fan game ; ils ne donnent pas des caractéristiques officielles de l’œuvre.</x:v>
      </x:c>
    </x:row>
    <x:row r="44" ht="68" customHeight="1">
      <x:c r="A44" s="19" t="str">
        <x:v>ME3-NPC-ORIANA</x:v>
      </x:c>
      <x:c r="B44" s="7" t="str">
        <x:v>Oriana Lawson</x:v>
      </x:c>
      <x:c r="C44" s="15" t="str">
        <x:v>Défini</x:v>
      </x:c>
      <x:c r="D44" s="17" t="str">
        <x:v>Établi</x:v>
      </x:c>
      <x:c r="E44" s="17" t="str">
        <x:v>P1</x:v>
      </x:c>
      <x:c r="F44" s="7" t="str">
        <x:v>Se trouve au centre de l’arc Sanctuary.</x:v>
      </x:c>
      <x:c r="G44" s="7" t="str">
        <x:v>Préserver son message si Miranda est absente ; identifiant distinct d’une simple quête de sauvetage.</x:v>
      </x:c>
      <x:c r="H44" s="7" t="str">
        <x:v>Préserver son message si Miranda est absente ; identifiant distinct d’une simple quête de sauvetage.</x:v>
      </x:c>
      <x:c r="I44" s="7" t="str">
        <x:v>Tenue civile et environnement de laboratoire.</x:v>
      </x:c>
      <x:c r="J44" s="7" t="str">
        <x:v>Prévoir attente, orientation et réaction au contexte ; conserver les repères décrits dans la silhouette pendant les changements de direction. Les mouvements sont des créations du fan game.</x:v>
      </x:c>
      <x:c r="K44" s="7" t="str">
        <x:v>Créer des bruitages et ambiances originaux adaptés au livrable ; sous-titrer les indices utiles et proposer un réglage indépendant des effets. Aucune extraction audio demandée.</x:v>
      </x:c>
      <x:c r="L44" s="7" t="str">
        <x:v>Prévu : fiche de données me3/npcs/oriana ; rattacher les ressources et états cités à cet identifiant. Aucun fichier de jeu créé par ce catalogue.</x:v>
      </x:c>
      <x:c r="M44" s="7" t="str"/>
      <x:c r="N44" s="7" t="str">
        <x:v>Le livrable « Oriana Lawson » possède une scène ou un scénario de contrôle ; ses règles proposées, ses conditions et ses retours visuels sont vérifiables séparément.</x:v>
      </x:c>
      <x:c r="O44" s="7" t="str"/>
      <x:c r="P44" s="7" t="str">
        <x:v>Oriana Lawson</x:v>
      </x:c>
      <x:c r="Q44" s="7" t="str">
        <x:v>ME3-SRC-HORIZON</x:v>
      </x:c>
      <x:c r="R44" s="21" t="str">
        <x:v>https://masseffect.fandom.com/wiki/Priority%3A_Horizon</x:v>
      </x:c>
      <x:c r="S44" s="21" t="str">
        <x:v>Spécification à réaliser. Les champs adaptation, gameplay, visual, animation, audio et implementation décrivent le fan game ; ils ne donnent pas des caractéristiques officielles de l’œuvre.</x:v>
      </x:c>
    </x:row>
    <x:row r="45" ht="68" customHeight="1">
      <x:c r="A45" s="18" t="str">
        <x:v>ME3-NPC-ILLUSIVE</x:v>
      </x:c>
      <x:c r="B45" s="9" t="str">
        <x:v>L’Homme Trouble</x:v>
      </x:c>
      <x:c r="C45" s="15" t="str">
        <x:v>Défini</x:v>
      </x:c>
      <x:c r="D45" s="16" t="str">
        <x:v>Établi</x:v>
      </x:c>
      <x:c r="E45" s="16" t="str">
        <x:v>P1</x:v>
      </x:c>
      <x:c r="F45" s="9" t="str">
        <x:v>Dirige Cerberus et intervient au final.</x:v>
      </x:c>
      <x:c r="G45" s="9" t="str">
        <x:v>Conversations idéologiques à étapes ; conserver les traces des réponses importantes sans seuil caché inventé.</x:v>
      </x:c>
      <x:c r="H45" s="9" t="str">
        <x:v>Conversations idéologiques à étapes ; conserver les traces des réponses importantes sans seuil caché inventé.</x:v>
      </x:c>
      <x:c r="I45" s="9" t="str">
        <x:v>Siège, implants visibles et éclairage froid.</x:v>
      </x:c>
      <x:c r="J45" s="9" t="str">
        <x:v>Prévoir attente, orientation et réaction au contexte ; conserver les repères décrits dans la silhouette pendant les changements de direction. Les mouvements sont des créations du fan game.</x:v>
      </x:c>
      <x:c r="K45" s="9" t="str">
        <x:v>Créer des bruitages et ambiances originaux adaptés au livrable ; sous-titrer les indices utiles et proposer un réglage indépendant des effets. Aucune extraction audio demandée.</x:v>
      </x:c>
      <x:c r="L45" s="9" t="str">
        <x:v>Prévu : fiche de données me3/npcs/illusive ; rattacher les ressources et états cités à cet identifiant. Aucun fichier de jeu créé par ce catalogue.</x:v>
      </x:c>
      <x:c r="M45" s="9" t="str"/>
      <x:c r="N45" s="9" t="str">
        <x:v>Le livrable « L’Homme Trouble » possède une scène ou un scénario de contrôle ; ses règles proposées, ses conditions et ses retours visuels sont vérifiables séparément.</x:v>
      </x:c>
      <x:c r="O45" s="9" t="str"/>
      <x:c r="P45" s="9" t="str">
        <x:v>L’Homme Trouble</x:v>
      </x:c>
      <x:c r="Q45" s="9" t="str">
        <x:v>ME3-SRC-HQ, ME3-SRC-EARTH</x:v>
      </x:c>
      <x:c r="R45" s="20" t="str">
        <x:v>https://masseffect.fandom.com/wiki/Priority%3A_Cerberus_Headquarters
https://masseffect.fandom.com/wiki/Priority%3A_Earth</x:v>
      </x:c>
      <x:c r="S45" s="20" t="str">
        <x:v>Spécification à réaliser. Les champs adaptation, gameplay, visual, animation, audio et implementation décrivent le fan game ; ils ne donnent pas des caractéristiques officielles de l’œuvre.</x:v>
      </x:c>
    </x:row>
    <x:row r="46" ht="68" customHeight="1">
      <x:c r="A46" s="19" t="str">
        <x:v>ME3-NPC-KAI</x:v>
      </x:c>
      <x:c r="B46" s="7" t="str">
        <x:v>Kai Leng</x:v>
      </x:c>
      <x:c r="C46" s="15" t="str">
        <x:v>Défini</x:v>
      </x:c>
      <x:c r="D46" s="17" t="str">
        <x:v>Établi</x:v>
      </x:c>
      <x:c r="E46" s="17" t="str">
        <x:v>P1</x:v>
      </x:c>
      <x:c r="F46" s="7" t="str">
        <x:v>Antagoniste Cerberus.</x:v>
      </x:c>
      <x:c r="G46" s="7" t="str">
        <x:v>Trois contextes narratifs séparés ; ses scènes ne doivent pas annoncer une victoire jouable quand l’issue est imposée.</x:v>
      </x:c>
      <x:c r="H46" s="7" t="str">
        <x:v>Trois contextes narratifs séparés ; ses scènes ne doivent pas annoncer une victoire jouable quand l’issue est imposée.</x:v>
      </x:c>
      <x:c r="I46" s="7" t="str">
        <x:v>Armure noire, masque et lame.</x:v>
      </x:c>
      <x:c r="J46" s="7" t="str">
        <x:v>Prévoir attente, orientation et réaction au contexte ; conserver les repères décrits dans la silhouette pendant les changements de direction. Les mouvements sont des créations du fan game.</x:v>
      </x:c>
      <x:c r="K46" s="7" t="str">
        <x:v>Créer des bruitages et ambiances originaux adaptés au livrable ; sous-titrer les indices utiles et proposer un réglage indépendant des effets. Aucune extraction audio demandée.</x:v>
      </x:c>
      <x:c r="L46" s="7" t="str">
        <x:v>Prévu : fiche de données me3/npcs/kai ; rattacher les ressources et états cités à cet identifiant. Aucun fichier de jeu créé par ce catalogue.</x:v>
      </x:c>
      <x:c r="M46" s="7" t="str"/>
      <x:c r="N46" s="7" t="str">
        <x:v>Le livrable « Kai Leng » possède une scène ou un scénario de contrôle ; ses règles proposées, ses conditions et ses retours visuels sont vérifiables séparément.</x:v>
      </x:c>
      <x:c r="O46" s="7" t="str"/>
      <x:c r="P46" s="7" t="str">
        <x:v>Kai Leng</x:v>
      </x:c>
      <x:c r="Q46" s="7" t="str">
        <x:v>ME3-SRC-KAI</x:v>
      </x:c>
      <x:c r="R46" s="21" t="str">
        <x:v>https://masseffect.fandom.com/wiki/Kai_Leng_%28enemy%29</x:v>
      </x:c>
      <x:c r="S46" s="21" t="str">
        <x:v>Spécification à réaliser. Les champs adaptation, gameplay, visual, animation, audio et implementation décrivent le fan game ; ils ne donnent pas des caractéristiques officielles de l’œuvre.</x:v>
      </x:c>
    </x:row>
    <x:row r="47" ht="68" customHeight="1">
      <x:c r="A47" s="18" t="str">
        <x:v>ME3-NPC-VENDETTA</x:v>
      </x:c>
      <x:c r="B47" s="9" t="str">
        <x:v>Vendetta</x:v>
      </x:c>
      <x:c r="C47" s="15" t="str">
        <x:v>Défini</x:v>
      </x:c>
      <x:c r="D47" s="16" t="str">
        <x:v>Établi</x:v>
      </x:c>
      <x:c r="E47" s="16" t="str">
        <x:v>P1</x:v>
      </x:c>
      <x:c r="F47" s="9" t="str">
        <x:v>VI prothéenne du temple.</x:v>
      </x:c>
      <x:c r="G47" s="9" t="str">
        <x:v>Exposition du Catalyseur et de l’histoire ; source de connaissance limitée aux données révélées.</x:v>
      </x:c>
      <x:c r="H47" s="9" t="str">
        <x:v>Exposition du Catalyseur et de l’histoire ; source de connaissance limitée aux données révélées.</x:v>
      </x:c>
      <x:c r="I47" s="9" t="str">
        <x:v>Hologramme prothéen bleu.</x:v>
      </x:c>
      <x:c r="J47" s="9" t="str">
        <x:v>Prévoir attente, orientation et réaction au contexte ; conserver les repères décrits dans la silhouette pendant les changements de direction. Les mouvements sont des créations du fan game.</x:v>
      </x:c>
      <x:c r="K47" s="9" t="str">
        <x:v>Créer des bruitages et ambiances originaux adaptés au livrable ; sous-titrer les indices utiles et proposer un réglage indépendant des effets. Aucune extraction audio demandée.</x:v>
      </x:c>
      <x:c r="L47" s="9" t="str">
        <x:v>Prévu : fiche de données me3/npcs/vendetta ; rattacher les ressources et états cités à cet identifiant. Aucun fichier de jeu créé par ce catalogue.</x:v>
      </x:c>
      <x:c r="M47" s="9" t="str"/>
      <x:c r="N47" s="9" t="str">
        <x:v>Le livrable « Vendetta » possède une scène ou un scénario de contrôle ; ses règles proposées, ses conditions et ses retours visuels sont vérifiables séparément.</x:v>
      </x:c>
      <x:c r="O47" s="9" t="str"/>
      <x:c r="P47" s="9" t="str">
        <x:v>Vendetta</x:v>
      </x:c>
      <x:c r="Q47" s="9" t="str">
        <x:v>ME3-SRC-THESSIA</x:v>
      </x:c>
      <x:c r="R47" s="20" t="str">
        <x:v>https://masseffect.fandom.com/wiki/Priority%3A_Thessia</x:v>
      </x:c>
      <x:c r="S47" s="20" t="str">
        <x:v>Spécification à réaliser. Les champs adaptation, gameplay, visual, animation, audio et implementation décrivent le fan game ; ils ne donnent pas des caractéristiques officielles de l’œuvre.</x:v>
      </x:c>
    </x:row>
    <x:row r="48" ht="68" customHeight="1">
      <x:c r="A48" s="19" t="str">
        <x:v>ME3-NPC-BRYSON</x:v>
      </x:c>
      <x:c r="B48" s="7" t="str">
        <x:v>Garret Bryson</x:v>
      </x:c>
      <x:c r="C48" s="15" t="str">
        <x:v>Défini</x:v>
      </x:c>
      <x:c r="D48" s="17" t="str">
        <x:v>Établi</x:v>
      </x:c>
      <x:c r="E48" s="17" t="str">
        <x:v>P1</x:v>
      </x:c>
      <x:c r="F48" s="7" t="str">
        <x:v>Chercheur de l’arc Leviathan.</x:v>
      </x:c>
      <x:c r="G48" s="7" t="str">
        <x:v>Point d’entrée d’enquête et preuves dans son laboratoire ; pas de dialogue posthume automatique.</x:v>
      </x:c>
      <x:c r="H48" s="7" t="str">
        <x:v>Point d’entrée d’enquête et preuves dans son laboratoire ; pas de dialogue posthume automatique.</x:v>
      </x:c>
      <x:c r="I48" s="7" t="str">
        <x:v>Bureau, artéfacts et carte galactique.</x:v>
      </x:c>
      <x:c r="J48" s="7" t="str">
        <x:v>Prévoir attente, orientation et réaction au contexte ; conserver les repères décrits dans la silhouette pendant les changements de direction. Les mouvements sont des créations du fan game.</x:v>
      </x:c>
      <x:c r="K48" s="7" t="str">
        <x:v>Créer des bruitages et ambiances originaux adaptés au livrable ; sous-titrer les indices utiles et proposer un réglage indépendant des effets. Aucune extraction audio demandée.</x:v>
      </x:c>
      <x:c r="L48" s="7" t="str">
        <x:v>Prévu : fiche de données me3/npcs/bryson ; rattacher les ressources et états cités à cet identifiant. Aucun fichier de jeu créé par ce catalogue.</x:v>
      </x:c>
      <x:c r="M48" s="7" t="str"/>
      <x:c r="N48" s="7" t="str">
        <x:v>Le livrable « Garret Bryson » possède une scène ou un scénario de contrôle ; ses règles proposées, ses conditions et ses retours visuels sont vérifiables séparément.</x:v>
      </x:c>
      <x:c r="O48" s="7" t="str"/>
      <x:c r="P48" s="7" t="str">
        <x:v>Garret Bryson</x:v>
      </x:c>
      <x:c r="Q48" s="7" t="str">
        <x:v>ME3-SRC-LEV</x:v>
      </x:c>
      <x:c r="R48" s="21" t="str">
        <x:v>https://masseffect.fandom.com/wiki/Mass_Effect_3%3A_Leviathan</x:v>
      </x:c>
      <x:c r="S48" s="21" t="str">
        <x:v>Spécification à réaliser. Les champs adaptation, gameplay, visual, animation, audio et implementation décrivent le fan game ; ils ne donnent pas des caractéristiques officielles de l’œuvre.</x:v>
      </x:c>
    </x:row>
    <x:row r="49" ht="68" customHeight="1">
      <x:c r="A49" s="18" t="str">
        <x:v>ME3-NPC-ANN</x:v>
      </x:c>
      <x:c r="B49" s="9" t="str">
        <x:v>Ann Bryson</x:v>
      </x:c>
      <x:c r="C49" s="15" t="str">
        <x:v>Défini</x:v>
      </x:c>
      <x:c r="D49" s="16" t="str">
        <x:v>Établi</x:v>
      </x:c>
      <x:c r="E49" s="16" t="str">
        <x:v>P1</x:v>
      </x:c>
      <x:c r="F49" s="9" t="str">
        <x:v>Chercheuse à retrouver dans Leviathan.</x:v>
      </x:c>
      <x:c r="G49" s="9" t="str">
        <x:v>Escorte à Namakli puis décision d’enquête ; son état de santé reste distinct du succès de recherche.</x:v>
      </x:c>
      <x:c r="H49" s="9" t="str">
        <x:v>Escorte à Namakli puis décision d’enquête ; son état de santé reste distinct du succès de recherche.</x:v>
      </x:c>
      <x:c r="I49" s="9" t="str">
        <x:v>Tenue scientifique et laboratoire.</x:v>
      </x:c>
      <x:c r="J49" s="9" t="str">
        <x:v>Prévoir attente, orientation et réaction au contexte ; conserver les repères décrits dans la silhouette pendant les changements de direction. Les mouvements sont des créations du fan game.</x:v>
      </x:c>
      <x:c r="K49" s="9" t="str">
        <x:v>Créer des bruitages et ambiances originaux adaptés au livrable ; sous-titrer les indices utiles et proposer un réglage indépendant des effets. Aucune extraction audio demandée.</x:v>
      </x:c>
      <x:c r="L49" s="9" t="str">
        <x:v>Prévu : fiche de données me3/npcs/ann ; rattacher les ressources et états cités à cet identifiant. Aucun fichier de jeu créé par ce catalogue.</x:v>
      </x:c>
      <x:c r="M49" s="9" t="str"/>
      <x:c r="N49" s="9" t="str">
        <x:v>Le livrable « Ann Bryson » possède une scène ou un scénario de contrôle ; ses règles proposées, ses conditions et ses retours visuels sont vérifiables séparément.</x:v>
      </x:c>
      <x:c r="O49" s="9" t="str"/>
      <x:c r="P49" s="9" t="str">
        <x:v>Ann Bryson</x:v>
      </x:c>
      <x:c r="Q49" s="9" t="str">
        <x:v>ME3-SRC-LEV</x:v>
      </x:c>
      <x:c r="R49" s="20" t="str">
        <x:v>https://masseffect.fandom.com/wiki/Mass_Effect_3%3A_Leviathan</x:v>
      </x:c>
      <x:c r="S49" s="20" t="str">
        <x:v>Spécification à réaliser. Les champs adaptation, gameplay, visual, animation, audio et implementation décrivent le fan game ; ils ne donnent pas des caractéristiques officielles de l’œuvre.</x:v>
      </x:c>
    </x:row>
    <x:row r="50" ht="68" customHeight="1">
      <x:c r="A50" s="19" t="str">
        <x:v>ME3-NPC-PETROVSKY</x:v>
      </x:c>
      <x:c r="B50" s="7" t="str">
        <x:v>Oleg Petrovsky</x:v>
      </x:c>
      <x:c r="C50" s="15" t="str">
        <x:v>Défini</x:v>
      </x:c>
      <x:c r="D50" s="17" t="str">
        <x:v>Établi</x:v>
      </x:c>
      <x:c r="E50" s="17" t="str">
        <x:v>P1</x:v>
      </x:c>
      <x:c r="F50" s="7" t="str">
        <x:v>Commandant de l’occupation d’Omega.</x:v>
      </x:c>
      <x:c r="G50" s="7" t="str">
        <x:v>Antagoniste de stratégie, puis choix de reddition ; l’issue dépend des interventions et attitude d’Aria.</x:v>
      </x:c>
      <x:c r="H50" s="7" t="str">
        <x:v>Antagoniste de stratégie, puis choix de reddition ; l’issue dépend des interventions et attitude d’Aria.</x:v>
      </x:c>
      <x:c r="I50" s="7" t="str">
        <x:v>Uniforme Cerberus, écrans et échiquier.</x:v>
      </x:c>
      <x:c r="J50" s="7" t="str">
        <x:v>Prévoir attente, orientation et réaction au contexte ; conserver les repères décrits dans la silhouette pendant les changements de direction. Les mouvements sont des créations du fan game.</x:v>
      </x:c>
      <x:c r="K50" s="7" t="str">
        <x:v>Créer des bruitages et ambiances originaux adaptés au livrable ; sous-titrer les indices utiles et proposer un réglage indépendant des effets. Aucune extraction audio demandée.</x:v>
      </x:c>
      <x:c r="L50" s="7" t="str">
        <x:v>Prévu : fiche de données me3/npcs/petrovsky ; rattacher les ressources et états cités à cet identifiant. Aucun fichier de jeu créé par ce catalogue.</x:v>
      </x:c>
      <x:c r="M50" s="7" t="str"/>
      <x:c r="N50" s="7" t="str">
        <x:v>Le livrable « Oleg Petrovsky » possède une scène ou un scénario de contrôle ; ses règles proposées, ses conditions et ses retours visuels sont vérifiables séparément.</x:v>
      </x:c>
      <x:c r="O50" s="7" t="str"/>
      <x:c r="P50" s="7" t="str">
        <x:v>Oleg Petrovsky</x:v>
      </x:c>
      <x:c r="Q50" s="7" t="str">
        <x:v>ME3-SRC-OMEGA</x:v>
      </x:c>
      <x:c r="R50" s="21" t="str">
        <x:v>https://masseffect.fandom.com/wiki/Omega%3A_Aria_T%27Loak_%28Mass_Effect_3%29</x:v>
      </x:c>
      <x:c r="S50" s="21" t="str">
        <x:v>Spécification à réaliser. Les champs adaptation, gameplay, visual, animation, audio et implementation décrivent le fan game ; ils ne donnent pas des caractéristiques officielles de l’œuvre.</x:v>
      </x:c>
    </x:row>
    <x:row r="51" ht="68" customHeight="1">
      <x:c r="A51" s="18" t="str">
        <x:v>ME3-NPC-BROOKS</x:v>
      </x:c>
      <x:c r="B51" s="9" t="str">
        <x:v>Maya Brooks</x:v>
      </x:c>
      <x:c r="C51" s="15" t="str">
        <x:v>Défini</x:v>
      </x:c>
      <x:c r="D51" s="16" t="str">
        <x:v>Établi</x:v>
      </x:c>
      <x:c r="E51" s="16" t="str">
        <x:v>P1</x:v>
      </x:c>
      <x:c r="F51" s="9" t="str">
        <x:v>Personnage du complot Citadel.</x:v>
      </x:c>
      <x:c r="G51" s="9" t="str">
        <x:v>Alliée apparente puis antagoniste ; UI de confiance sans spoiler anticipé.</x:v>
      </x:c>
      <x:c r="H51" s="9" t="str">
        <x:v>Alliée apparente puis antagoniste ; UI de confiance sans spoiler anticipé.</x:v>
      </x:c>
      <x:c r="I51" s="9" t="str">
        <x:v>Tenue de service puis équipement de combat.</x:v>
      </x:c>
      <x:c r="J51" s="9" t="str">
        <x:v>Prévoir attente, orientation et réaction au contexte ; conserver les repères décrits dans la silhouette pendant les changements de direction. Les mouvements sont des créations du fan game.</x:v>
      </x:c>
      <x:c r="K51" s="9" t="str">
        <x:v>Créer des bruitages et ambiances originaux adaptés au livrable ; sous-titrer les indices utiles et proposer un réglage indépendant des effets. Aucune extraction audio demandée.</x:v>
      </x:c>
      <x:c r="L51" s="9" t="str">
        <x:v>Prévu : fiche de données me3/npcs/brooks ; rattacher les ressources et états cités à cet identifiant. Aucun fichier de jeu créé par ce catalogue.</x:v>
      </x:c>
      <x:c r="M51" s="9" t="str"/>
      <x:c r="N51" s="9" t="str">
        <x:v>Le livrable « Maya Brooks » possède une scène ou un scénario de contrôle ; ses règles proposées, ses conditions et ses retours visuels sont vérifiables séparément.</x:v>
      </x:c>
      <x:c r="O51" s="9" t="str"/>
      <x:c r="P51" s="9" t="str">
        <x:v>Maya Brooks</x:v>
      </x:c>
      <x:c r="Q51" s="9" t="str">
        <x:v>ME3-SRC-BROOKS</x:v>
      </x:c>
      <x:c r="R51" s="20" t="str">
        <x:v>https://masseffect.fandom.com/wiki/Brooks</x:v>
      </x:c>
      <x:c r="S51" s="20" t="str">
        <x:v>Spécification à réaliser. Les champs adaptation, gameplay, visual, animation, audio et implementation décrivent le fan game ; ils ne donnent pas des caractéristiques officielles de l’œuvre.</x:v>
      </x:c>
    </x:row>
    <x:row r="52" ht="68" customHeight="1">
      <x:c r="A52" s="19" t="str">
        <x:v>ME3-NPC-CATALYST</x:v>
      </x:c>
      <x:c r="B52" s="7" t="str">
        <x:v>Catalyseur</x:v>
      </x:c>
      <x:c r="C52" s="15" t="str">
        <x:v>Défini</x:v>
      </x:c>
      <x:c r="D52" s="17" t="str">
        <x:v>Établi</x:v>
      </x:c>
      <x:c r="E52" s="17" t="str">
        <x:v>P1</x:v>
      </x:c>
      <x:c r="F52" s="7" t="str">
        <x:v>Expose les options finales.</x:v>
      </x:c>
      <x:c r="G52" s="7" t="str">
        <x:v>Entretien final et choix explicite ; aucune théorie d’endoctrinement ajoutée comme fait établi.</x:v>
      </x:c>
      <x:c r="H52" s="7" t="str">
        <x:v>Entretien final et choix explicite ; aucune théorie d’endoctrinement ajoutée comme fait établi.</x:v>
      </x:c>
      <x:c r="I52" s="7" t="str">
        <x:v>Apparition lumineuse et espace de décision.</x:v>
      </x:c>
      <x:c r="J52" s="7" t="str">
        <x:v>Prévoir attente, orientation et réaction au contexte ; conserver les repères décrits dans la silhouette pendant les changements de direction. Les mouvements sont des créations du fan game.</x:v>
      </x:c>
      <x:c r="K52" s="7" t="str">
        <x:v>Créer des bruitages et ambiances originaux adaptés au livrable ; sous-titrer les indices utiles et proposer un réglage indépendant des effets. Aucune extraction audio demandée.</x:v>
      </x:c>
      <x:c r="L52" s="7" t="str">
        <x:v>Prévu : fiche de données me3/npcs/catalyst ; rattacher les ressources et états cités à cet identifiant. Aucun fichier de jeu créé par ce catalogue.</x:v>
      </x:c>
      <x:c r="M52" s="7" t="str"/>
      <x:c r="N52" s="7" t="str">
        <x:v>Le livrable « Catalyseur » possède une scène ou un scénario de contrôle ; ses règles proposées, ses conditions et ses retours visuels sont vérifiables séparément.</x:v>
      </x:c>
      <x:c r="O52" s="7" t="str"/>
      <x:c r="P52" s="7" t="str">
        <x:v>Catalyseur</x:v>
      </x:c>
      <x:c r="Q52" s="7" t="str">
        <x:v>ME3-SRC-EARTH</x:v>
      </x:c>
      <x:c r="R52" s="21" t="str">
        <x:v>https://masseffect.fandom.com/wiki/Priority%3A_Earth</x:v>
      </x:c>
      <x:c r="S52" s="21" t="str">
        <x:v>Spécification à réaliser. Les champs adaptation, gameplay, visual, animation, audio et implementation décrivent le fan game ; ils ne donnent pas des caractéristiques officielles de l’œuvre.</x:v>
      </x:c>
    </x:row>
  </x:sheetData>
  <x:conditionalFormatting sqref="D7:D52">
    <x:cfRule type="cellIs" dxfId="4" priority="1" operator="equal">
      <x:formula>"À vérifier"</x:formula>
    </x:cfRule>
    <x:cfRule type="cellIs" dxfId="5" priority="2" operator="equal">
      <x:formula>"Extrapolation"</x:formula>
    </x:cfRule>
  </x:conditionalFormatting>
  <x:conditionalFormatting sqref="C7:C52">
    <x:cfRule type="cellIs" dxfId="6" priority="3" operator="equal">
      <x:formula>"Validé"</x:formula>
    </x:cfRule>
  </x:conditionalFormatting>
  <x:conditionalFormatting sqref="E7:E52">
    <x:cfRule type="cellIs" dxfId="7" priority="4" operator="equal">
      <x:formula>"P0"</x:formula>
    </x:cfRule>
  </x:conditionalFormatting>
  <x:dataValidations count="3">
    <x:dataValidation type="list" sqref="C7:C52">
      <x:formula1>"Défini,Prototype,Intégré,Validé"</x:formula1>
    </x:dataValidation>
    <x:dataValidation type="list" sqref="D7:D52">
      <x:formula1>"Établi,À vérifier,Extrapolation,Coupé attesté,Concept abandonné,Allégation écartée"</x:formula1>
    </x:dataValidation>
    <x:dataValidation type="list" sqref="E7:E52">
      <x:formula1>"P0,P1,P2"</x:formula1>
    </x:dataValidation>
  </x:dataValidations>
  <x:pageMargins left="0.7" right="0.7" top="0.75" bottom="0.75" header="0.3" footer="0.3"/>
  <x:tableParts count="1">
    <x:tablePart xmlns:r="http://schemas.openxmlformats.org/officeDocument/2006/relationships" r:id="Rd2ae490c10a84340"/>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88"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Espèces et factions</x:v>
      </x:c>
      <x:c r="B2" s="2"/>
      <x:c r="C2" s="2"/>
      <x:c r="D2" s="2"/>
      <x:c r="E2" s="2"/>
      <x:c r="F2" s="2"/>
      <x:c r="G2" s="2"/>
      <x:c r="H2" s="2"/>
      <x:c r="I2" s="2"/>
      <x:c r="J2" s="2"/>
      <x:c r="K2" s="2"/>
      <x:c r="L2" s="2"/>
      <x:c r="M2" s="2"/>
      <x:c r="N2" s="2"/>
      <x:c r="O2" s="2"/>
      <x:c r="P2" s="2"/>
      <x:c r="Q2" s="2"/>
      <x:c r="R2" s="2"/>
      <x:c r="S2" s="2"/>
    </x:row>
    <x:row r="3" ht="22" customHeight="1">
      <x:c r="A3" s="4" t="str">
        <x:v>Mass Effect 3 — Espèces, organisations et règles culturelles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ME3-LOR-REAPERS</x:v>
      </x:c>
      <x:c r="B7" s="9" t="str">
        <x:v>Moissonneurs — invasion</x:v>
      </x:c>
      <x:c r="C7" s="15" t="str">
        <x:v>Défini</x:v>
      </x:c>
      <x:c r="D7" s="16" t="str">
        <x:v>Établi</x:v>
      </x:c>
      <x:c r="E7" s="16" t="str">
        <x:v>P1</x:v>
      </x:c>
      <x:c r="F7" s="9" t="str">
        <x:v>L’invasion structure la campagne.</x:v>
      </x:c>
      <x:c r="G7" s="9" t="str">
        <x:v>Séparer connaissance du joueur, renseignements alliés et révélations tardives ; codex évolutif sans spoiler automatique.</x:v>
      </x:c>
      <x:c r="H7" s="9" t="str">
        <x:v>Séparer connaissance du joueur, renseignements alliés et révélations tardives ; codex évolutif sans spoiler automatique.</x:v>
      </x:c>
      <x:c r="I7" s="9" t="str">
        <x:v>Cartes de fronts et silhouettes gigantesques.</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me3/lore/reapers ; rattacher les ressources et états cités à cet identifiant. Aucun fichier de jeu créé par ce catalogue.</x:v>
      </x:c>
      <x:c r="M7" s="9" t="str"/>
      <x:c r="N7" s="9" t="str">
        <x:v>Le livrable « Moissonneurs — invasion » possède une scène ou un scénario de contrôle ; ses règles proposées, ses conditions et ses retours visuels sont vérifiables séparément.</x:v>
      </x:c>
      <x:c r="O7" s="9" t="str"/>
      <x:c r="P7" s="9" t="str">
        <x:v>Moissonneurs — invasion</x:v>
      </x:c>
      <x:c r="Q7" s="9" t="str">
        <x:v>ME3-SRC-GUIDE</x:v>
      </x:c>
      <x:c r="R7" s="20" t="str">
        <x:v>https://masseffect.fandom.com/wiki/Mass_Effect_3_Guide</x:v>
      </x:c>
      <x:c r="S7" s="20" t="str">
        <x:v>Spécification à réaliser. Les champs adaptation, gameplay, visual, animation, audio et implementation décrivent le fan game ; ils ne donnent pas des caractéristiques officielles de l’œuvre.</x:v>
      </x:c>
    </x:row>
    <x:row r="8" ht="68" customHeight="1">
      <x:c r="A8" s="19" t="str">
        <x:v>ME3-LOR-CRUCIBLE</x:v>
      </x:c>
      <x:c r="B8" s="7" t="str">
        <x:v>Projet Creuset</x:v>
      </x:c>
      <x:c r="C8" s="15" t="str">
        <x:v>Défini</x:v>
      </x:c>
      <x:c r="D8" s="17" t="str">
        <x:v>Établi</x:v>
      </x:c>
      <x:c r="E8" s="17" t="str">
        <x:v>P1</x:v>
      </x:c>
      <x:c r="F8" s="7" t="str">
        <x:v>Les plans de Mars lancent le projet.</x:v>
      </x:c>
      <x:c r="G8" s="7" t="str">
        <x:v>Suivre recherche, construction et coalition par des entrées distinctes ; aucun pourcentage technique canon inventé.</x:v>
      </x:c>
      <x:c r="H8" s="7" t="str">
        <x:v>Suivre recherche, construction et coalition par des entrées distinctes ; aucun pourcentage technique canon inventé.</x:v>
      </x:c>
      <x:c r="I8" s="7" t="str">
        <x:v>Plans holographiques et stations de chantier.</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me3/lore/crucible ; rattacher les ressources et états cités à cet identifiant. Aucun fichier de jeu créé par ce catalogue.</x:v>
      </x:c>
      <x:c r="M8" s="7" t="str"/>
      <x:c r="N8" s="7" t="str">
        <x:v>Le livrable « Projet Creuset » possède une scène ou un scénario de contrôle ; ses règles proposées, ses conditions et ses retours visuels sont vérifiables séparément.</x:v>
      </x:c>
      <x:c r="O8" s="7" t="str"/>
      <x:c r="P8" s="7" t="str">
        <x:v>Projet Creuset</x:v>
      </x:c>
      <x:c r="Q8" s="7" t="str">
        <x:v>ME3-SRC-GUIDE</x:v>
      </x:c>
      <x:c r="R8" s="21" t="str">
        <x:v>https://masseffect.fandom.com/wiki/Mass_Effect_3_Guide</x:v>
      </x:c>
      <x:c r="S8" s="21" t="str">
        <x:v>Spécification à réaliser. Les champs adaptation, gameplay, visual, animation, audio et implementation décrivent le fan game ; ils ne donnent pas des caractéristiques officielles de l’œuvre.</x:v>
      </x:c>
    </x:row>
    <x:row r="9" ht="68" customHeight="1">
      <x:c r="A9" s="18" t="str">
        <x:v>ME3-LOR-CATALYST</x:v>
      </x:c>
      <x:c r="B9" s="9" t="str">
        <x:v>Catalyseur</x:v>
      </x:c>
      <x:c r="C9" s="15" t="str">
        <x:v>Défini</x:v>
      </x:c>
      <x:c r="D9" s="16" t="str">
        <x:v>Établi</x:v>
      </x:c>
      <x:c r="E9" s="16" t="str">
        <x:v>P1</x:v>
      </x:c>
      <x:c r="F9" s="9" t="str">
        <x:v>Son identité se précise dans le final.</x:v>
      </x:c>
      <x:c r="G9" s="9" t="str">
        <x:v>Entrée verrouillée avant la révélation ; distinguer théorie des personnages et information de fin.</x:v>
      </x:c>
      <x:c r="H9" s="9" t="str">
        <x:v>Entrée verrouillée avant la révélation ; distinguer théorie des personnages et information de fin.</x:v>
      </x:c>
      <x:c r="I9" s="9" t="str">
        <x:v>Icône masquée puis motif de Citadelle.</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me3/lore/catalyst ; rattacher les ressources et états cités à cet identifiant. Aucun fichier de jeu créé par ce catalogue.</x:v>
      </x:c>
      <x:c r="M9" s="9" t="str"/>
      <x:c r="N9" s="9" t="str">
        <x:v>Le livrable « Catalyseur » possède une scène ou un scénario de contrôle ; ses règles proposées, ses conditions et ses retours visuels sont vérifiables séparément.</x:v>
      </x:c>
      <x:c r="O9" s="9" t="str"/>
      <x:c r="P9" s="9" t="str">
        <x:v>Catalyseur</x:v>
      </x:c>
      <x:c r="Q9" s="9" t="str">
        <x:v>ME3-SRC-EARTH</x:v>
      </x:c>
      <x:c r="R9" s="20" t="str">
        <x:v>https://masseffect.fandom.com/wiki/Priority%3A_Earth</x:v>
      </x:c>
      <x:c r="S9" s="20" t="str">
        <x:v>Spécification à réaliser. Les champs adaptation, gameplay, visual, animation, audio et implementation décrivent le fan game ; ils ne donnent pas des caractéristiques officielles de l’œuvre.</x:v>
      </x:c>
    </x:row>
    <x:row r="10" ht="68" customHeight="1">
      <x:c r="A10" s="19" t="str">
        <x:v>ME3-LOR-GENOPHAGE</x:v>
      </x:c>
      <x:c r="B10" s="7" t="str">
        <x:v>Génophage et remède</x:v>
      </x:c>
      <x:c r="C10" s="15" t="str">
        <x:v>Défini</x:v>
      </x:c>
      <x:c r="D10" s="17" t="str">
        <x:v>Établi</x:v>
      </x:c>
      <x:c r="E10" s="17" t="str">
        <x:v>P1</x:v>
      </x:c>
      <x:c r="F10" s="7" t="str">
        <x:v>Tuchanka résout l’arc du remède.</x:v>
      </x:c>
      <x:c r="G10" s="7" t="str">
        <x:v>Frise des causes et décisions importées ; afficher les points de vue krogan, turien et galarien sans score moral universel.</x:v>
      </x:c>
      <x:c r="H10" s="7" t="str">
        <x:v>Frise des causes et décisions importées ; afficher les points de vue krogan, turien et galarien sans score moral universel.</x:v>
      </x:c>
      <x:c r="I10" s="7" t="str">
        <x:v>Échantillons et portraits politiques.</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me3/lore/genophage ; rattacher les ressources et états cités à cet identifiant. Aucun fichier de jeu créé par ce catalogue.</x:v>
      </x:c>
      <x:c r="M10" s="7" t="str"/>
      <x:c r="N10" s="7" t="str">
        <x:v>Le livrable « Génophage et remède » possède une scène ou un scénario de contrôle ; ses règles proposées, ses conditions et ses retours visuels sont vérifiables séparément.</x:v>
      </x:c>
      <x:c r="O10" s="7" t="str"/>
      <x:c r="P10" s="7" t="str">
        <x:v>Génophage et remède</x:v>
      </x:c>
      <x:c r="Q10" s="7" t="str">
        <x:v>ME3-SRC-TUCH</x:v>
      </x:c>
      <x:c r="R10" s="21" t="str">
        <x:v>https://masseffect.fandom.com/wiki/Priority%3A_Tuchanka</x:v>
      </x:c>
      <x:c r="S10" s="21" t="str">
        <x:v>Spécification à réaliser. Les champs adaptation, gameplay, visual, animation, audio et implementation décrivent le fan game ; ils ne donnent pas des caractéristiques officielles de l’œuvre.</x:v>
      </x:c>
    </x:row>
    <x:row r="11" ht="68" customHeight="1">
      <x:c r="A11" s="18" t="str">
        <x:v>ME3-LOR-QUARIAN-GETH</x:v>
      </x:c>
      <x:c r="B11" s="9" t="str">
        <x:v>Guerre quariens/geth</x:v>
      </x:c>
      <x:c r="C11" s="15" t="str">
        <x:v>Défini</x:v>
      </x:c>
      <x:c r="D11" s="16" t="str">
        <x:v>Établi</x:v>
      </x:c>
      <x:c r="E11" s="16" t="str">
        <x:v>P1</x:v>
      </x:c>
      <x:c r="F11" s="9" t="str">
        <x:v>Rannoch confronte les deux peuples.</x:v>
      </x:c>
      <x:c r="G11" s="9" t="str">
        <x:v>Dossier à deux témoignages ; les souvenirs du consensus et les décisions présentes restent séparés.</x:v>
      </x:c>
      <x:c r="H11" s="9" t="str">
        <x:v>Dossier à deux témoignages ; les souvenirs du consensus et les décisions présentes restent séparés.</x:v>
      </x:c>
      <x:c r="I11" s="9" t="str">
        <x:v>Flottes opposées et mémoire numérique.</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me3/lore/quarian-geth ; rattacher les ressources et états cités à cet identifiant. Aucun fichier de jeu créé par ce catalogue.</x:v>
      </x:c>
      <x:c r="M11" s="9" t="str"/>
      <x:c r="N11" s="9" t="str">
        <x:v>Le livrable « Guerre quariens/geth » possède une scène ou un scénario de contrôle ; ses règles proposées, ses conditions et ses retours visuels sont vérifiables séparément.</x:v>
      </x:c>
      <x:c r="O11" s="9" t="str"/>
      <x:c r="P11" s="9" t="str">
        <x:v>Guerre quariens/geth</x:v>
      </x:c>
      <x:c r="Q11" s="9" t="str">
        <x:v>ME3-SRC-RANNOCH, ME3-SRC-FIGHTERS</x:v>
      </x:c>
      <x:c r="R11" s="20" t="str">
        <x:v>https://masseffect.fandom.com/wiki/Priority%3A_Rannoch
https://masseffect.fandom.com/wiki/Rannoch%3A_Geth_Fighter_Squadrons</x:v>
      </x:c>
      <x:c r="S11" s="20" t="str">
        <x:v>Spécification à réaliser. Les champs adaptation, gameplay, visual, animation, audio et implementation décrivent le fan game ; ils ne donnent pas des caractéristiques officielles de l’œuvre.</x:v>
      </x:c>
    </x:row>
    <x:row r="12" ht="68" customHeight="1">
      <x:c r="A12" s="19" t="str">
        <x:v>ME3-LOR-CERBERUS</x:v>
      </x:c>
      <x:c r="B12" s="7" t="str">
        <x:v>Cerberus — force ennemie</x:v>
      </x:c>
      <x:c r="C12" s="15" t="str">
        <x:v>Défini</x:v>
      </x:c>
      <x:c r="D12" s="17" t="str">
        <x:v>Établi</x:v>
      </x:c>
      <x:c r="E12" s="17" t="str">
        <x:v>P1</x:v>
      </x:c>
      <x:c r="F12" s="7" t="str">
        <x:v>Cerberus mène des opérations militaires.</x:v>
      </x:c>
      <x:c r="G12" s="7" t="str">
        <x:v>Distinguer soldats, scientifiques déserteurs, dirigeants et victimes de Sanctuary ; faction ne signifie pas identité individuelle uniforme.</x:v>
      </x:c>
      <x:c r="H12" s="7" t="str">
        <x:v>Distinguer soldats, scientifiques déserteurs, dirigeants et victimes de Sanctuary ; faction ne signifie pas identité individuelle uniforme.</x:v>
      </x:c>
      <x:c r="I12" s="7" t="str">
        <x:v>Emblème noir/orange et chaînes de commandement.</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me3/lore/cerberus ; rattacher les ressources et états cités à cet identifiant. Aucun fichier de jeu créé par ce catalogue.</x:v>
      </x:c>
      <x:c r="M12" s="7" t="str"/>
      <x:c r="N12" s="7" t="str">
        <x:v>Le livrable « Cerberus — force ennemie » possède une scène ou un scénario de contrôle ; ses règles proposées, ses conditions et ses retours visuels sont vérifiables séparément.</x:v>
      </x:c>
      <x:c r="O12" s="7" t="str"/>
      <x:c r="P12" s="7" t="str">
        <x:v>Cerberus — force ennemie</x:v>
      </x:c>
      <x:c r="Q12" s="7" t="str">
        <x:v>ME3-SRC-HQ, ME3-SRC-HORIZON, ME3-SRC-ARRAE</x:v>
      </x:c>
      <x:c r="R12" s="21" t="str">
        <x:v>https://masseffect.fandom.com/wiki/Priority%3A_Cerberus_Headquarters
https://masseffect.fandom.com/wiki/Priority%3A_Horizon
https://masseffect.fandom.com/wiki/Arrae%3A_Ex-Cerberus_Scientists</x:v>
      </x:c>
      <x:c r="S12" s="21" t="str">
        <x:v>Spécification à réaliser. Les champs adaptation, gameplay, visual, animation, audio et implementation décrivent le fan game ; ils ne donnent pas des caractéristiques officielles de l’œuvre.</x:v>
      </x:c>
    </x:row>
    <x:row r="13" ht="68" customHeight="1">
      <x:c r="A13" s="18" t="str">
        <x:v>ME3-LOR-INDOCTRINATION</x:v>
      </x:c>
      <x:c r="B13" s="9" t="str">
        <x:v>Endoctrinement</x:v>
      </x:c>
      <x:c r="C13" s="15" t="str">
        <x:v>Défini</x:v>
      </x:c>
      <x:c r="D13" s="16" t="str">
        <x:v>Établi</x:v>
      </x:c>
      <x:c r="E13" s="16" t="str">
        <x:v>P1</x:v>
      </x:c>
      <x:c r="F13" s="9" t="str">
        <x:v>Le contrôle des Moissonneurs intervient dans l’intrigue.</x:v>
      </x:c>
      <x:c r="G13" s="9" t="str">
        <x:v>Indices narratifs contextualisés ; ne pas présenter une théorie sur Shepard comme conclusion officielle.</x:v>
      </x:c>
      <x:c r="H13" s="9" t="str">
        <x:v>Indices narratifs contextualisés ; ne pas présenter une théorie sur Shepard comme conclusion officielle.</x:v>
      </x:c>
      <x:c r="I13" s="9" t="str">
        <x:v>Parasites d’image modérés et dossier de preuves.</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me3/lore/indoctrination ; rattacher les ressources et états cités à cet identifiant. Aucun fichier de jeu créé par ce catalogue.</x:v>
      </x:c>
      <x:c r="M13" s="9" t="str"/>
      <x:c r="N13" s="9" t="str">
        <x:v>Le livrable « Endoctrinement » possède une scène ou un scénario de contrôle ; ses règles proposées, ses conditions et ses retours visuels sont vérifiables séparément.</x:v>
      </x:c>
      <x:c r="O13" s="9" t="str"/>
      <x:c r="P13" s="9" t="str">
        <x:v>Endoctrinement</x:v>
      </x:c>
      <x:c r="Q13" s="9" t="str">
        <x:v>ME3-SRC-HQ, ME3-SRC-EARTH</x:v>
      </x:c>
      <x:c r="R13" s="20" t="str">
        <x:v>https://masseffect.fandom.com/wiki/Priority%3A_Cerberus_Headquarters
https://masseffect.fandom.com/wiki/Priority%3A_Earth</x:v>
      </x:c>
      <x:c r="S13" s="20" t="str">
        <x:v>Spécification à réaliser. Les champs adaptation, gameplay, visual, animation, audio et implementation décrivent le fan game ; ils ne donnent pas des caractéristiques officielles de l’œuvre.</x:v>
      </x:c>
    </x:row>
    <x:row r="14" ht="68" customHeight="1">
      <x:c r="A14" s="19" t="str">
        <x:v>ME3-LOR-PROTHEANS</x:v>
      </x:c>
      <x:c r="B14" s="7" t="str">
        <x:v>Héritage prothéen</x:v>
      </x:c>
      <x:c r="C14" s="15" t="str">
        <x:v>Défini</x:v>
      </x:c>
      <x:c r="D14" s="17" t="str">
        <x:v>Établi</x:v>
      </x:c>
      <x:c r="E14" s="17" t="str">
        <x:v>P1</x:v>
      </x:c>
      <x:c r="F14" s="7" t="str">
        <x:v>Javik et les archives éclairent le cycle antérieur.</x:v>
      </x:c>
      <x:c r="G14" s="7" t="str">
        <x:v>Séparer mémoire de Javik, données de Vendetta et croyances asari ; lignes de dialogue selon interlocuteur présent.</x:v>
      </x:c>
      <x:c r="H14" s="7" t="str">
        <x:v>Séparer mémoire de Javik, données de Vendetta et croyances asari ; lignes de dialogue selon interlocuteur présent.</x:v>
      </x:c>
      <x:c r="I14" s="7" t="str">
        <x:v>Reliefs et hologrammes distincts.</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me3/lore/protheans ; rattacher les ressources et états cités à cet identifiant. Aucun fichier de jeu créé par ce catalogue.</x:v>
      </x:c>
      <x:c r="M14" s="7" t="str"/>
      <x:c r="N14" s="7" t="str">
        <x:v>Le livrable « Héritage prothéen » possède une scène ou un scénario de contrôle ; ses règles proposées, ses conditions et ses retours visuels sont vérifiables séparément.</x:v>
      </x:c>
      <x:c r="O14" s="7" t="str"/>
      <x:c r="P14" s="7" t="str">
        <x:v>Héritage prothéen</x:v>
      </x:c>
      <x:c r="Q14" s="7" t="str">
        <x:v>ME3-SRC-EA-ASHES, ME3-SRC-THESSIA</x:v>
      </x:c>
      <x:c r="R14" s="21" t="str">
        <x:v>https://www.ea.com/fr-fr/games/mass-effect/mass-effect-3-from-ashes
https://masseffect.fandom.com/wiki/Priority%3A_Thessia</x:v>
      </x:c>
      <x:c r="S14" s="21" t="str">
        <x:v>Spécification à réaliser. Les champs adaptation, gameplay, visual, animation, audio et implementation décrivent le fan game ; ils ne donnent pas des caractéristiques officielles de l’œuvre.</x:v>
      </x:c>
    </x:row>
    <x:row r="15" ht="68" customHeight="1">
      <x:c r="A15" s="18" t="str">
        <x:v>ME3-LOR-ASARI-TEMPLE</x:v>
      </x:c>
      <x:c r="B15" s="9" t="str">
        <x:v>Temple d’Athame</x:v>
      </x:c>
      <x:c r="C15" s="15" t="str">
        <x:v>Défini</x:v>
      </x:c>
      <x:c r="D15" s="16" t="str">
        <x:v>Établi</x:v>
      </x:c>
      <x:c r="E15" s="16" t="str">
        <x:v>P1</x:v>
      </x:c>
      <x:c r="F15" s="9" t="str">
        <x:v>Le temple dissimule une technologie prothéenne.</x:v>
      </x:c>
      <x:c r="G15" s="9" t="str">
        <x:v>Inspection à étapes révélant liens culturels ; aucun changement rétroactif de toute la culture asari à partir d’un seul indice.</x:v>
      </x:c>
      <x:c r="H15" s="9" t="str">
        <x:v>Inspection à étapes révélant liens culturels ; aucun changement rétroactif de toute la culture asari à partir d’un seul indice.</x:v>
      </x:c>
      <x:c r="I15" s="9" t="str">
        <x:v>Statue et balise cachée.</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me3/lore/asari-temple ; rattacher les ressources et états cités à cet identifiant. Aucun fichier de jeu créé par ce catalogue.</x:v>
      </x:c>
      <x:c r="M15" s="9" t="str"/>
      <x:c r="N15" s="9" t="str">
        <x:v>Le livrable « Temple d’Athame » possède une scène ou un scénario de contrôle ; ses règles proposées, ses conditions et ses retours visuels sont vérifiables séparément.</x:v>
      </x:c>
      <x:c r="O15" s="9" t="str"/>
      <x:c r="P15" s="9" t="str">
        <x:v>Temple d’Athame</x:v>
      </x:c>
      <x:c r="Q15" s="9" t="str">
        <x:v>ME3-SRC-THESSIA</x:v>
      </x:c>
      <x:c r="R15" s="20" t="str">
        <x:v>https://masseffect.fandom.com/wiki/Priority%3A_Thessia</x:v>
      </x:c>
      <x:c r="S15" s="20" t="str">
        <x:v>Spécification à réaliser. Les champs adaptation, gameplay, visual, animation, audio et implementation décrivent le fan game ; ils ne donnent pas des caractéristiques officielles de l’œuvre.</x:v>
      </x:c>
    </x:row>
    <x:row r="16" ht="68" customHeight="1">
      <x:c r="A16" s="19" t="str">
        <x:v>ME3-LOR-LEVIATHANS</x:v>
      </x:c>
      <x:c r="B16" s="7" t="str">
        <x:v>Léviathans</x:v>
      </x:c>
      <x:c r="C16" s="15" t="str">
        <x:v>Défini</x:v>
      </x:c>
      <x:c r="D16" s="17" t="str">
        <x:v>Établi</x:v>
      </x:c>
      <x:c r="E16" s="17" t="str">
        <x:v>P1</x:v>
      </x:c>
      <x:c r="F16" s="7" t="str">
        <x:v>Le DLC traite l’origine des Moissonneurs.</x:v>
      </x:c>
      <x:c r="G16" s="7" t="str">
        <x:v>Codex de révélation en fin d’enquête ; apparitions et artefacts ne deviennent pas un pouvoir libre de Shepard.</x:v>
      </x:c>
      <x:c r="H16" s="7" t="str">
        <x:v>Codex de révélation en fin d’enquête ; apparitions et artefacts ne deviennent pas un pouvoir libre de Shepard.</x:v>
      </x:c>
      <x:c r="I16" s="7" t="str">
        <x:v>Masses abyssales et orbes.</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me3/lore/leviathans ; rattacher les ressources et états cités à cet identifiant. Aucun fichier de jeu créé par ce catalogue.</x:v>
      </x:c>
      <x:c r="M16" s="7" t="str"/>
      <x:c r="N16" s="7" t="str">
        <x:v>Le livrable « Léviathans » possède une scène ou un scénario de contrôle ; ses règles proposées, ses conditions et ses retours visuels sont vérifiables séparément.</x:v>
      </x:c>
      <x:c r="O16" s="7" t="str"/>
      <x:c r="P16" s="7" t="str">
        <x:v>Léviathans</x:v>
      </x:c>
      <x:c r="Q16" s="7" t="str">
        <x:v>ME3-SRC-EA-LEV, ME3-SRC-BW-LEV</x:v>
      </x:c>
      <x:c r="R16" s="21" t="str">
        <x:v>https://www.ea.com/fr-fr/games/mass-effect/mass-effect-3-leviathan
https://blog.bioware.com/2012/08/02/mass-effect-3-leviathan-firefight-dlc-and-wii-u-information/</x:v>
      </x:c>
      <x:c r="S16" s="21" t="str">
        <x:v>Spécification à réaliser. Les champs adaptation, gameplay, visual, animation, audio et implementation décrivent le fan game ; ils ne donnent pas des caractéristiques officielles de l’œuvre.</x:v>
      </x:c>
    </x:row>
    <x:row r="17" ht="68" customHeight="1">
      <x:c r="A17" s="18" t="str">
        <x:v>ME3-LOR-TALONS</x:v>
      </x:c>
      <x:c r="B17" s="9" t="str">
        <x:v>Talons d’Omega</x:v>
      </x:c>
      <x:c r="C17" s="15" t="str">
        <x:v>Défini</x:v>
      </x:c>
      <x:c r="D17" s="16" t="str">
        <x:v>Établi</x:v>
      </x:c>
      <x:c r="E17" s="16" t="str">
        <x:v>P1</x:v>
      </x:c>
      <x:c r="F17" s="9" t="str">
        <x:v>Nyreen dirige une résistance locale.</x:v>
      </x:c>
      <x:c r="G17" s="9" t="str">
        <x:v>Fiche de faction avec civils protégés, postes et relations à Aria ; ne pas fusionner Talons et gangs de mercenaires.</x:v>
      </x:c>
      <x:c r="H17" s="9" t="str">
        <x:v>Fiche de faction avec civils protégés, postes et relations à Aria ; ne pas fusionner Talons et gangs de mercenaires.</x:v>
      </x:c>
      <x:c r="I17" s="9" t="str">
        <x:v>Marques de résistance et équipements disparates.</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me3/lore/talons ; rattacher les ressources et états cités à cet identifiant. Aucun fichier de jeu créé par ce catalogue.</x:v>
      </x:c>
      <x:c r="M17" s="9" t="str"/>
      <x:c r="N17" s="9" t="str">
        <x:v>Le livrable « Talons d’Omega » possède une scène ou un scénario de contrôle ; ses règles proposées, ses conditions et ses retours visuels sont vérifiables séparément.</x:v>
      </x:c>
      <x:c r="O17" s="9" t="str"/>
      <x:c r="P17" s="9" t="str">
        <x:v>Talons d’Omega</x:v>
      </x:c>
      <x:c r="Q17" s="9" t="str">
        <x:v>ME3-SRC-OMEGA</x:v>
      </x:c>
      <x:c r="R17" s="20" t="str">
        <x:v>https://masseffect.fandom.com/wiki/Omega%3A_Aria_T%27Loak_%28Mass_Effect_3%29</x:v>
      </x:c>
      <x:c r="S17" s="20" t="str">
        <x:v>Spécification à réaliser. Les champs adaptation, gameplay, visual, animation, audio et implementation décrivent le fan game ; ils ne donnent pas des caractéristiques officielles de l’œuvre.</x:v>
      </x:c>
    </x:row>
    <x:row r="18" ht="68" customHeight="1">
      <x:c r="A18" s="19" t="str">
        <x:v>ME3-LOR-CAT6</x:v>
      </x:c>
      <x:c r="B18" s="7" t="str">
        <x:v>Mercenaires CAT6</x:v>
      </x:c>
      <x:c r="C18" s="15" t="str">
        <x:v>Défini</x:v>
      </x:c>
      <x:c r="D18" s="17" t="str">
        <x:v>Établi</x:v>
      </x:c>
      <x:c r="E18" s="17" t="str">
        <x:v>P1</x:v>
      </x:c>
      <x:c r="F18" s="7" t="str">
        <x:v>Groupe impliqué dans le complot Citadel.</x:v>
      </x:c>
      <x:c r="G18" s="7" t="str">
        <x:v>Faction de l’extension isolée des forces Cerberus ; réutiliser les catégories tactiques sans reprendre leurs identités.</x:v>
      </x:c>
      <x:c r="H18" s="7" t="str">
        <x:v>Faction de l’extension isolée des forces Cerberus ; réutiliser les catégories tactiques sans reprendre leurs identités.</x:v>
      </x:c>
      <x:c r="I18" s="7" t="str">
        <x:v>Armures tactiques sombres.</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me3/lore/cat6 ; rattacher les ressources et états cités à cet identifiant. Aucun fichier de jeu créé par ce catalogue.</x:v>
      </x:c>
      <x:c r="M18" s="7" t="str"/>
      <x:c r="N18" s="7" t="str">
        <x:v>Le livrable « Mercenaires CAT6 » possède une scène ou un scénario de contrôle ; ses règles proposées, ses conditions et ses retours visuels sont vérifiables séparément.</x:v>
      </x:c>
      <x:c r="O18" s="7" t="str"/>
      <x:c r="P18" s="7" t="str">
        <x:v>Mercenaires CAT6</x:v>
      </x:c>
      <x:c r="Q18" s="7" t="str">
        <x:v>ME3-SRC-CAT6, ME3-SRC-CIT-DLC</x:v>
      </x:c>
      <x:c r="R18" s="21" t="str">
        <x:v>https://masseffect.fandom.com/wiki/CAT6_Specialist
https://masseffect.fandom.com/wiki/Mass_Effect_3%3A_Citadel</x:v>
      </x:c>
      <x:c r="S18" s="21" t="str">
        <x:v>Spécification à réaliser. Les champs adaptation, gameplay, visual, animation, audio et implementation décrivent le fan game ; ils ne donnent pas des caractéristiques officielles de l’œuvre.</x:v>
      </x:c>
    </x:row>
    <x:row r="19" ht="68" customHeight="1">
      <x:c r="A19" s="18" t="str">
        <x:v>ME3-LOR-SPECTRES</x:v>
      </x:c>
      <x:c r="B19" s="9" t="str">
        <x:v>Spectres et réquisitions</x:v>
      </x:c>
      <x:c r="C19" s="15" t="str">
        <x:v>Défini</x:v>
      </x:c>
      <x:c r="D19" s="16" t="str">
        <x:v>Établi</x:v>
      </x:c>
      <x:c r="E19" s="16" t="str">
        <x:v>P1</x:v>
      </x:c>
      <x:c r="F19" s="9" t="str">
        <x:v>Le statut de Shepard ouvre des ressources.</x:v>
      </x:c>
      <x:c r="G19" s="9" t="str">
        <x:v>Terminal de décision : autoriser, acheter ou lire sont des opérations différentes ; historique de chaque validation.</x:v>
      </x:c>
      <x:c r="H19" s="9" t="str">
        <x:v>Terminal de décision : autoriser, acheter ou lire sont des opérations différentes ; historique de chaque validation.</x:v>
      </x:c>
      <x:c r="I19" s="9" t="str">
        <x:v>Console diplomatique et accès sécurisé.</x:v>
      </x:c>
      <x:c r="J19" s="9" t="str">
        <x:v>Transitions de caméra et d’interface interruptibles ; aucun délai d’animation ne doit consommer une décision encore ouverte.</x:v>
      </x:c>
      <x:c r="K19" s="9" t="str">
        <x:v>Créer des bruitages et ambiances originaux adaptés au livrable ; sous-titrer les indices utiles et proposer un réglage indépendant des effets. Aucune extraction audio demandée.</x:v>
      </x:c>
      <x:c r="L19" s="9" t="str">
        <x:v>Prévu : fiche de données me3/lore/spectres ; rattacher les ressources et états cités à cet identifiant. Aucun fichier de jeu créé par ce catalogue.</x:v>
      </x:c>
      <x:c r="M19" s="9" t="str"/>
      <x:c r="N19" s="9" t="str">
        <x:v>Le livrable « Spectres et réquisitions » possède une scène ou un scénario de contrôle ; ses règles proposées, ses conditions et ses retours visuels sont vérifiables séparément.</x:v>
      </x:c>
      <x:c r="O19" s="9" t="str"/>
      <x:c r="P19" s="9" t="str">
        <x:v>Spectres et réquisitions</x:v>
      </x:c>
      <x:c r="Q19" s="9" t="str">
        <x:v>ME3-SRC-CITADEL</x:v>
      </x:c>
      <x:c r="R19" s="20" t="str">
        <x:v>https://masseffect.fandom.com/wiki/Citadel</x:v>
      </x:c>
      <x:c r="S19" s="20" t="str">
        <x:v>Spécification à réaliser. Les champs adaptation, gameplay, visual, animation, audio et implementation décrivent le fan game ; ils ne donnent pas des caractéristiques officielles de l’œuvre.</x:v>
      </x:c>
    </x:row>
    <x:row r="20" ht="68" customHeight="1">
      <x:c r="A20" s="19" t="str">
        <x:v>ME3-LOR-REFUGEES</x:v>
      </x:c>
      <x:c r="B20" s="7" t="str">
        <x:v>Réfugiés de guerre</x:v>
      </x:c>
      <x:c r="C20" s="15" t="str">
        <x:v>Défini</x:v>
      </x:c>
      <x:c r="D20" s="17" t="str">
        <x:v>Établi</x:v>
      </x:c>
      <x:c r="E20" s="17" t="str">
        <x:v>P1</x:v>
      </x:c>
      <x:c r="F20" s="7" t="str">
        <x:v>La Citadelle accueille des déplacés.</x:v>
      </x:c>
      <x:c r="G20" s="7" t="str">
        <x:v>Récits courts avec états de mission et changements de foule ; pas de réduction de chaque personne à un point de guerre.</x:v>
      </x:c>
      <x:c r="H20" s="7" t="str">
        <x:v>Récits courts avec états de mission et changements de foule ; pas de réduction de chaque personne à un point de guerre.</x:v>
      </x:c>
      <x:c r="I20" s="7" t="str">
        <x:v>Lits, bagages et arrivées.</x:v>
      </x:c>
      <x:c r="J20" s="7" t="str">
        <x:v>Transitions de caméra et d’interface interruptibles ; aucun délai d’animation ne doit consommer une décision encore ouverte.</x:v>
      </x:c>
      <x:c r="K20" s="7" t="str">
        <x:v>Créer des bruitages et ambiances originaux adaptés au livrable ; sous-titrer les indices utiles et proposer un réglage indépendant des effets. Aucune extraction audio demandée.</x:v>
      </x:c>
      <x:c r="L20" s="7" t="str">
        <x:v>Prévu : fiche de données me3/lore/refugees ; rattacher les ressources et états cités à cet identifiant. Aucun fichier de jeu créé par ce catalogue.</x:v>
      </x:c>
      <x:c r="M20" s="7" t="str"/>
      <x:c r="N20" s="7" t="str">
        <x:v>Le livrable « Réfugiés de guerre » possède une scène ou un scénario de contrôle ; ses règles proposées, ses conditions et ses retours visuels sont vérifiables séparément.</x:v>
      </x:c>
      <x:c r="O20" s="7" t="str"/>
      <x:c r="P20" s="7" t="str">
        <x:v>Réfugiés de guerre</x:v>
      </x:c>
      <x:c r="Q20" s="7" t="str">
        <x:v>ME3-SRC-CITADEL</x:v>
      </x:c>
      <x:c r="R20" s="21" t="str">
        <x:v>https://masseffect.fandom.com/wiki/Citadel</x:v>
      </x:c>
      <x:c r="S20" s="21" t="str">
        <x:v>Spécification à réaliser. Les champs adaptation, gameplay, visual, animation, audio et implementation décrivent le fan game ; ils ne donnent pas des caractéristiques officielles de l’œuvre.</x:v>
      </x:c>
    </x:row>
    <x:row r="21" ht="68" customHeight="1">
      <x:c r="A21" s="18" t="str">
        <x:v>ME3-LOR-ALLIANCE</x:v>
      </x:c>
      <x:c r="B21" s="9" t="str">
        <x:v>Alliance et coalition</x:v>
      </x:c>
      <x:c r="C21" s="15" t="str">
        <x:v>Défini</x:v>
      </x:c>
      <x:c r="D21" s="16" t="str">
        <x:v>Établi</x:v>
      </x:c>
      <x:c r="E21" s="16" t="str">
        <x:v>P1</x:v>
      </x:c>
      <x:c r="F21" s="9" t="str">
        <x:v>La reconquête nécessite plusieurs forces.</x:v>
      </x:c>
      <x:c r="G21" s="9" t="str">
        <x:v>Registre de contributions relié aux missions qui les justifient ; drapeaux d’espèce et organisation distincts.</x:v>
      </x:c>
      <x:c r="H21" s="9" t="str">
        <x:v>Registre de contributions relié aux missions qui les justifient ; drapeaux d’espèce et organisation distincts.</x:v>
      </x:c>
      <x:c r="I21" s="9" t="str">
        <x:v>Salle de guerre et logos alliés.</x:v>
      </x:c>
      <x:c r="J21" s="9" t="str">
        <x:v>Transitions de caméra et d’interface interruptibles ; aucun délai d’animation ne doit consommer une décision encore ouverte.</x:v>
      </x:c>
      <x:c r="K21" s="9" t="str">
        <x:v>Créer des bruitages et ambiances originaux adaptés au livrable ; sous-titrer les indices utiles et proposer un réglage indépendant des effets. Aucune extraction audio demandée.</x:v>
      </x:c>
      <x:c r="L21" s="9" t="str">
        <x:v>Prévu : fiche de données me3/lore/alliance ; rattacher les ressources et états cités à cet identifiant. Aucun fichier de jeu créé par ce catalogue.</x:v>
      </x:c>
      <x:c r="M21" s="9" t="str"/>
      <x:c r="N21" s="9" t="str">
        <x:v>Le livrable « Alliance et coalition » possède une scène ou un scénario de contrôle ; ses règles proposées, ses conditions et ses retours visuels sont vérifiables séparément.</x:v>
      </x:c>
      <x:c r="O21" s="9" t="str"/>
      <x:c r="P21" s="9" t="str">
        <x:v>Alliance et coalition</x:v>
      </x:c>
      <x:c r="Q21" s="9" t="str">
        <x:v>ME3-SRC-GUIDE, ME3-SRC-WAR-ALIEN</x:v>
      </x:c>
      <x:c r="R21" s="20" t="str">
        <x:v>https://masseffect.fandom.com/wiki/Mass_Effect_3_Guide
https://masseffect.fandom.com/wiki/War_Assets/Alien</x:v>
      </x:c>
      <x:c r="S21" s="20" t="str">
        <x:v>Spécification à réaliser. Les champs adaptation, gameplay, visual, animation, audio et implementation décrivent le fan game ; ils ne donnent pas des caractéristiques officielles de l’œuvre.</x:v>
      </x:c>
    </x:row>
    <x:row r="22" ht="68" customHeight="1">
      <x:c r="A22" s="19" t="str">
        <x:v>ME3-LOR-ARMAX-FICTION</x:v>
      </x:c>
      <x:c r="B22" s="7" t="str">
        <x:v>Simulations Armax</x:v>
      </x:c>
      <x:c r="C22" s="15" t="str">
        <x:v>Défini</x:v>
      </x:c>
      <x:c r="D22" s="17" t="str">
        <x:v>Établi</x:v>
      </x:c>
      <x:c r="E22" s="17" t="str">
        <x:v>P1</x:v>
      </x:c>
      <x:c r="F22" s="7" t="str">
        <x:v>L’arène propose des ennemis simulés.</x:v>
      </x:c>
      <x:c r="G22" s="7" t="str">
        <x:v>Étiquette permanente de simulation ; adversaires impossibles dans la campagne ne modifient pas le codex des événements réels.</x:v>
      </x:c>
      <x:c r="H22" s="7" t="str">
        <x:v>Étiquette permanente de simulation ; adversaires impossibles dans la campagne ne modifient pas le codex des événements réels.</x:v>
      </x:c>
      <x:c r="I22" s="7" t="str">
        <x:v>Trame holographique discrète.</x:v>
      </x:c>
      <x:c r="J22" s="7" t="str">
        <x:v>Transitions de caméra et d’interface interruptibles ; aucun délai d’animation ne doit consommer une décision encore ouverte.</x:v>
      </x:c>
      <x:c r="K22" s="7" t="str">
        <x:v>Créer des bruitages et ambiances originaux adaptés au livrable ; sous-titrer les indices utiles et proposer un réglage indépendant des effets. Aucune extraction audio demandée.</x:v>
      </x:c>
      <x:c r="L22" s="7" t="str">
        <x:v>Prévu : fiche de données me3/lore/armax-fiction ; rattacher les ressources et états cités à cet identifiant. Aucun fichier de jeu créé par ce catalogue.</x:v>
      </x:c>
      <x:c r="M22" s="7" t="str"/>
      <x:c r="N22" s="7" t="str">
        <x:v>Le livrable « Simulations Armax » possède une scène ou un scénario de contrôle ; ses règles proposées, ses conditions et ses retours visuels sont vérifiables séparément.</x:v>
      </x:c>
      <x:c r="O22" s="7" t="str"/>
      <x:c r="P22" s="7" t="str">
        <x:v>Simulations Armax</x:v>
      </x:c>
      <x:c r="Q22" s="7" t="str">
        <x:v>ME3-SRC-BW-CITADEL</x:v>
      </x:c>
      <x:c r="R22" s="21" t="str">
        <x:v>https://blog.bioware.com/2013/02/21/mass-effect-3-citadel-reckoning-dlc-announced/</x:v>
      </x:c>
      <x:c r="S22" s="21" t="str">
        <x:v>Spécification à réaliser. Les champs adaptation, gameplay, visual, animation, audio et implementation décrivent le fan game ; ils ne donnent pas des caractéristiques officielles de l’œuvre.</x:v>
      </x:c>
    </x:row>
  </x:sheetData>
  <x:conditionalFormatting sqref="D7:D22">
    <x:cfRule type="cellIs" dxfId="8" priority="1" operator="equal">
      <x:formula>"À vérifier"</x:formula>
    </x:cfRule>
    <x:cfRule type="cellIs" dxfId="9" priority="2" operator="equal">
      <x:formula>"Extrapolation"</x:formula>
    </x:cfRule>
  </x:conditionalFormatting>
  <x:conditionalFormatting sqref="C7:C22">
    <x:cfRule type="cellIs" dxfId="10" priority="3" operator="equal">
      <x:formula>"Validé"</x:formula>
    </x:cfRule>
  </x:conditionalFormatting>
  <x:conditionalFormatting sqref="E7:E22">
    <x:cfRule type="cellIs" dxfId="11" priority="4" operator="equal">
      <x:formula>"P0"</x:formula>
    </x:cfRule>
  </x:conditionalFormatting>
  <x:dataValidations count="3">
    <x:dataValidation type="list" sqref="C7:C22">
      <x:formula1>"Défini,Prototype,Intégré,Validé"</x:formula1>
    </x:dataValidation>
    <x:dataValidation type="list" sqref="D7:D22">
      <x:formula1>"Établi,À vérifier,Extrapolation,Coupé attesté,Concept abandonné,Allégation écartée"</x:formula1>
    </x:dataValidation>
    <x:dataValidation type="list" sqref="E7:E22">
      <x:formula1>"P0,P1,P2"</x:formula1>
    </x:dataValidation>
  </x:dataValidations>
  <x:pageMargins left="0.7" right="0.7" top="0.75" bottom="0.75" header="0.3" footer="0.3"/>
  <x:tableParts count="1">
    <x:tablePart xmlns:r="http://schemas.openxmlformats.org/officeDocument/2006/relationships" r:id="R5cc1a764cf394b6a"/>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1"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Mondes</x:v>
      </x:c>
      <x:c r="B2" s="2"/>
      <x:c r="C2" s="2"/>
      <x:c r="D2" s="2"/>
      <x:c r="E2" s="2"/>
      <x:c r="F2" s="2"/>
      <x:c r="G2" s="2"/>
      <x:c r="H2" s="2"/>
      <x:c r="I2" s="2"/>
      <x:c r="J2" s="2"/>
      <x:c r="K2" s="2"/>
      <x:c r="L2" s="2"/>
      <x:c r="M2" s="2"/>
      <x:c r="N2" s="2"/>
      <x:c r="O2" s="2"/>
      <x:c r="P2" s="2"/>
      <x:c r="Q2" s="2"/>
      <x:c r="R2" s="2"/>
      <x:c r="S2" s="2"/>
    </x:row>
    <x:row r="3" ht="22" customHeight="1">
      <x:c r="A3" s="4" t="str">
        <x:v>Mass Effect 3 — Destinations et identité environnementale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ME3-WRL-EARTH</x:v>
      </x:c>
      <x:c r="B7" s="9" t="str">
        <x:v>Terre</x:v>
      </x:c>
      <x:c r="C7" s="15" t="str">
        <x:v>Défini</x:v>
      </x:c>
      <x:c r="D7" s="16" t="str">
        <x:v>Établi</x:v>
      </x:c>
      <x:c r="E7" s="16" t="str">
        <x:v>P1</x:v>
      </x:c>
      <x:c r="F7" s="9" t="str">
        <x:v>Lieu du prologue et de l’assaut final.</x:v>
      </x:c>
      <x:c r="G7" s="9" t="str">
        <x:v>Deux cartes temporelles séparées, Vancouver et Londres ; ne pas raccorder physiquement des villes par une porte.</x:v>
      </x:c>
      <x:c r="H7" s="9" t="str">
        <x:v>Deux cartes temporelles séparées, Vancouver et Londres ; ne pas raccorder physiquement des villes par une porte.</x:v>
      </x:c>
      <x:c r="I7" s="9" t="str">
        <x:v>Ville de départ puis métropole dévastée.</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me3/worlds/earth ; rattacher les ressources et états cités à cet identifiant. Aucun fichier de jeu créé par ce catalogue.</x:v>
      </x:c>
      <x:c r="M7" s="9" t="str"/>
      <x:c r="N7" s="9" t="str">
        <x:v>Le livrable « Terre » possède une scène ou un scénario de contrôle ; ses règles proposées, ses conditions et ses retours visuels sont vérifiables séparément.</x:v>
      </x:c>
      <x:c r="O7" s="9" t="str"/>
      <x:c r="P7" s="9" t="str">
        <x:v>Terre</x:v>
      </x:c>
      <x:c r="Q7" s="9" t="str">
        <x:v>ME3-SRC-GUIDE, ME3-SRC-EARTH</x:v>
      </x:c>
      <x:c r="R7" s="20" t="str">
        <x:v>https://masseffect.fandom.com/wiki/Mass_Effect_3_Guide
https://masseffect.fandom.com/wiki/Priority%3A_Earth</x:v>
      </x:c>
      <x:c r="S7" s="20" t="str">
        <x:v>Spécification à réaliser. Les champs adaptation, gameplay, visual, animation, audio et implementation décrivent le fan game ; ils ne donnent pas des caractéristiques officielles de l’œuvre.</x:v>
      </x:c>
    </x:row>
    <x:row r="8" ht="68" customHeight="1">
      <x:c r="A8" s="19" t="str">
        <x:v>ME3-WRL-MARS</x:v>
      </x:c>
      <x:c r="B8" s="7" t="str">
        <x:v>Mars</x:v>
      </x:c>
      <x:c r="C8" s="15" t="str">
        <x:v>Défini</x:v>
      </x:c>
      <x:c r="D8" s="17" t="str">
        <x:v>Établi</x:v>
      </x:c>
      <x:c r="E8" s="17" t="str">
        <x:v>P1</x:v>
      </x:c>
      <x:c r="F8" s="7" t="str">
        <x:v>Les archives recèlent les données du Creuset.</x:v>
      </x:c>
      <x:c r="G8" s="7" t="str">
        <x:v>Carte de recherche et de poursuite ; climat et surface lointaine restent décoratifs hors zones praticables.</x:v>
      </x:c>
      <x:c r="H8" s="7" t="str">
        <x:v>Carte de recherche et de poursuite ; climat et surface lointaine restent décoratifs hors zones praticables.</x:v>
      </x:c>
      <x:c r="I8" s="7" t="str">
        <x:v>Poussière rouge et laboratoire sous neige.</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me3/worlds/mars ; rattacher les ressources et états cités à cet identifiant. Aucun fichier de jeu créé par ce catalogue.</x:v>
      </x:c>
      <x:c r="M8" s="7" t="str"/>
      <x:c r="N8" s="7" t="str">
        <x:v>Le livrable « Mars » possède une scène ou un scénario de contrôle ; ses règles proposées, ses conditions et ses retours visuels sont vérifiables séparément.</x:v>
      </x:c>
      <x:c r="O8" s="7" t="str"/>
      <x:c r="P8" s="7" t="str">
        <x:v>Mars</x:v>
      </x:c>
      <x:c r="Q8" s="7" t="str">
        <x:v>ME3-SRC-GUIDE</x:v>
      </x:c>
      <x:c r="R8" s="21" t="str">
        <x:v>https://masseffect.fandom.com/wiki/Mass_Effect_3_Guide</x:v>
      </x:c>
      <x:c r="S8" s="21" t="str">
        <x:v>Spécification à réaliser. Les champs adaptation, gameplay, visual, animation, audio et implementation décrivent le fan game ; ils ne donnent pas des caractéristiques officielles de l’œuvre.</x:v>
      </x:c>
    </x:row>
    <x:row r="9" ht="68" customHeight="1">
      <x:c r="A9" s="18" t="str">
        <x:v>ME3-WRL-CITADEL</x:v>
      </x:c>
      <x:c r="B9" s="9" t="str">
        <x:v>Citadelle</x:v>
      </x:c>
      <x:c r="C9" s="15" t="str">
        <x:v>Défini</x:v>
      </x:c>
      <x:c r="D9" s="16" t="str">
        <x:v>Établi</x:v>
      </x:c>
      <x:c r="E9" s="16" t="str">
        <x:v>P1</x:v>
      </x:c>
      <x:c r="F9" s="9" t="str">
        <x:v>Hub politique et civil de ME3.</x:v>
      </x:c>
      <x:c r="G9" s="9" t="str">
        <x:v>État avant/après coup d’État et accès DLC ; groupes de réfugiés changent au fil de la guerre.</x:v>
      </x:c>
      <x:c r="H9" s="9" t="str">
        <x:v>État avant/après coup d’État et accès DLC ; groupes de réfugiés changent au fil de la guerre.</x:v>
      </x:c>
      <x:c r="I9" s="9" t="str">
        <x:v>Blanc, bleu, foule et signes d’urgence.</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me3/worlds/citadel ; rattacher les ressources et états cités à cet identifiant. Aucun fichier de jeu créé par ce catalogue.</x:v>
      </x:c>
      <x:c r="M9" s="9" t="str"/>
      <x:c r="N9" s="9" t="str">
        <x:v>Le livrable « Citadelle » possède une scène ou un scénario de contrôle ; ses règles proposées, ses conditions et ses retours visuels sont vérifiables séparément.</x:v>
      </x:c>
      <x:c r="O9" s="9" t="str"/>
      <x:c r="P9" s="9" t="str">
        <x:v>Citadelle</x:v>
      </x:c>
      <x:c r="Q9" s="9" t="str">
        <x:v>ME3-SRC-CITADEL</x:v>
      </x:c>
      <x:c r="R9" s="20" t="str">
        <x:v>https://masseffect.fandom.com/wiki/Citadel</x:v>
      </x:c>
      <x:c r="S9" s="20" t="str">
        <x:v>Spécification à réaliser. Les champs adaptation, gameplay, visual, animation, audio et implementation décrivent le fan game ; ils ne donnent pas des caractéristiques officielles de l’œuvre.</x:v>
      </x:c>
    </x:row>
    <x:row r="10" ht="68" customHeight="1">
      <x:c r="A10" s="19" t="str">
        <x:v>ME3-WRL-MENAE</x:v>
      </x:c>
      <x:c r="B10" s="7" t="str">
        <x:v>Menae / front de Palaven</x:v>
      </x:c>
      <x:c r="C10" s="15" t="str">
        <x:v>Défini</x:v>
      </x:c>
      <x:c r="D10" s="17" t="str">
        <x:v>Établi</x:v>
      </x:c>
      <x:c r="E10" s="17" t="str">
        <x:v>P1</x:v>
      </x:c>
      <x:c r="F10" s="7" t="str">
        <x:v>Le secours du primarque se déroule sur Menae.</x:v>
      </x:c>
      <x:c r="G10" s="7" t="str">
        <x:v>Front lunaire en progression circulaire ; Palaven sert de repère au ciel sans zone jouable inventée.</x:v>
      </x:c>
      <x:c r="H10" s="7" t="str">
        <x:v>Front lunaire en progression circulaire ; Palaven sert de repère au ciel sans zone jouable inventée.</x:v>
      </x:c>
      <x:c r="I10" s="7" t="str">
        <x:v>Roche lunaire et planète en flammes.</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me3/worlds/menae ; rattacher les ressources et états cités à cet identifiant. Aucun fichier de jeu créé par ce catalogue.</x:v>
      </x:c>
      <x:c r="M10" s="7" t="str"/>
      <x:c r="N10" s="7" t="str">
        <x:v>Le livrable « Menae / front de Palaven » possède une scène ou un scénario de contrôle ; ses règles proposées, ses conditions et ses retours visuels sont vérifiables séparément.</x:v>
      </x:c>
      <x:c r="O10" s="7" t="str"/>
      <x:c r="P10" s="7" t="str">
        <x:v>Menae / front de Palaven</x:v>
      </x:c>
      <x:c r="Q10" s="7" t="str">
        <x:v>ME3-SRC-GUIDE</x:v>
      </x:c>
      <x:c r="R10" s="21" t="str">
        <x:v>https://masseffect.fandom.com/wiki/Mass_Effect_3_Guide</x:v>
      </x:c>
      <x:c r="S10" s="21" t="str">
        <x:v>Spécification à réaliser. Les champs adaptation, gameplay, visual, animation, audio et implementation décrivent le fan game ; ils ne donnent pas des caractéristiques officielles de l’œuvre.</x:v>
      </x:c>
    </x:row>
    <x:row r="11" ht="68" customHeight="1">
      <x:c r="A11" s="18" t="str">
        <x:v>ME3-WRL-SURKESH</x:v>
      </x:c>
      <x:c r="B11" s="9" t="str">
        <x:v>Sur’Kesh</x:v>
      </x:c>
      <x:c r="C11" s="15" t="str">
        <x:v>Défini</x:v>
      </x:c>
      <x:c r="D11" s="16" t="str">
        <x:v>Établi</x:v>
      </x:c>
      <x:c r="E11" s="16" t="str">
        <x:v>P1</x:v>
      </x:c>
      <x:c r="F11" s="9" t="str">
        <x:v>Installation galarienne de l’escorte.</x:v>
      </x:c>
      <x:c r="G11" s="9" t="str">
        <x:v>Bloc vertical de laboratoire avec jungle en profondeur ; la capsule relie les étages de mission.</x:v>
      </x:c>
      <x:c r="H11" s="9" t="str">
        <x:v>Bloc vertical de laboratoire avec jungle en profondeur ; la capsule relie les étages de mission.</x:v>
      </x:c>
      <x:c r="I11" s="9" t="str">
        <x:v>Verts, blanc clinique et terrasses.</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me3/worlds/surkesh ; rattacher les ressources et états cités à cet identifiant. Aucun fichier de jeu créé par ce catalogue.</x:v>
      </x:c>
      <x:c r="M11" s="9" t="str"/>
      <x:c r="N11" s="9" t="str">
        <x:v>Le livrable « Sur’Kesh » possède une scène ou un scénario de contrôle ; ses règles proposées, ses conditions et ses retours visuels sont vérifiables séparément.</x:v>
      </x:c>
      <x:c r="O11" s="9" t="str"/>
      <x:c r="P11" s="9" t="str">
        <x:v>Sur’Kesh</x:v>
      </x:c>
      <x:c r="Q11" s="9" t="str">
        <x:v>ME3-SRC-GUIDE</x:v>
      </x:c>
      <x:c r="R11" s="20" t="str">
        <x:v>https://masseffect.fandom.com/wiki/Mass_Effect_3_Guide</x:v>
      </x:c>
      <x:c r="S11" s="20" t="str">
        <x:v>Spécification à réaliser. Les champs adaptation, gameplay, visual, animation, audio et implementation décrivent le fan game ; ils ne donnent pas des caractéristiques officielles de l’œuvre.</x:v>
      </x:c>
    </x:row>
    <x:row r="12" ht="68" customHeight="1">
      <x:c r="A12" s="19" t="str">
        <x:v>ME3-WRL-TUCHANKA</x:v>
      </x:c>
      <x:c r="B12" s="7" t="str">
        <x:v>Tuchanka</x:v>
      </x:c>
      <x:c r="C12" s="15" t="str">
        <x:v>Défini</x:v>
      </x:c>
      <x:c r="D12" s="17" t="str">
        <x:v>Établi</x:v>
      </x:c>
      <x:c r="E12" s="17" t="str">
        <x:v>P1</x:v>
      </x:c>
      <x:c r="F12" s="7" t="str">
        <x:v>Plusieurs opérations s’y déroulent.</x:v>
      </x:c>
      <x:c r="G12" s="7" t="str">
        <x:v>Cartes de ruines, bombe et Shroud reliées uniquement par missions ; variété de couleurs sans fausse continuité géographique.</x:v>
      </x:c>
      <x:c r="H12" s="7" t="str">
        <x:v>Cartes de ruines, bombe et Shroud reliées uniquement par missions ; variété de couleurs sans fausse continuité géographique.</x:v>
      </x:c>
      <x:c r="I12" s="7" t="str">
        <x:v>Ocre, pierre ancienne et ciel de bataille.</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me3/worlds/tuchanka ; rattacher les ressources et états cités à cet identifiant. Aucun fichier de jeu créé par ce catalogue.</x:v>
      </x:c>
      <x:c r="M12" s="7" t="str"/>
      <x:c r="N12" s="7" t="str">
        <x:v>Le livrable « Tuchanka » possède une scène ou un scénario de contrôle ; ses règles proposées, ses conditions et ses retours visuels sont vérifiables séparément.</x:v>
      </x:c>
      <x:c r="O12" s="7" t="str"/>
      <x:c r="P12" s="7" t="str">
        <x:v>Tuchanka</x:v>
      </x:c>
      <x:c r="Q12" s="7" t="str">
        <x:v>ME3-SRC-TUCH, ME3-SRC-BOMB, ME3-SRC-PLATOON</x:v>
      </x:c>
      <x:c r="R12" s="21" t="str">
        <x:v>https://masseffect.fandom.com/wiki/Priority%3A_Tuchanka
https://masseffect.fandom.com/wiki/Tuchanka%3A_Bomb
https://masseffect.fandom.com/wiki/Tuchanka%3A_Turian_Platoon</x:v>
      </x:c>
      <x:c r="S12" s="21" t="str">
        <x:v>Spécification à réaliser. Les champs adaptation, gameplay, visual, animation, audio et implementation décrivent le fan game ; ils ne donnent pas des caractéristiques officielles de l’œuvre.</x:v>
      </x:c>
    </x:row>
    <x:row r="13" ht="68" customHeight="1">
      <x:c r="A13" s="18" t="str">
        <x:v>ME3-WRL-UTUKKU</x:v>
      </x:c>
      <x:c r="B13" s="9" t="str">
        <x:v>Utukku</x:v>
      </x:c>
      <x:c r="C13" s="15" t="str">
        <x:v>Défini</x:v>
      </x:c>
      <x:c r="D13" s="16" t="str">
        <x:v>Établi</x:v>
      </x:c>
      <x:c r="E13" s="16" t="str">
        <x:v>P1</x:v>
      </x:c>
      <x:c r="F13" s="9" t="str">
        <x:v>Lieu de l’équipe krogan disparue.</x:v>
      </x:c>
      <x:c r="G13" s="9" t="str">
        <x:v>Surface froide puis cavernes ; passage continu au sein de la mission.</x:v>
      </x:c>
      <x:c r="H13" s="9" t="str">
        <x:v>Surface froide puis cavernes ; passage continu au sein de la mission.</x:v>
      </x:c>
      <x:c r="I13" s="9" t="str">
        <x:v>Rochers, membranes et noir profond.</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me3/worlds/utukku ; rattacher les ressources et états cités à cet identifiant. Aucun fichier de jeu créé par ce catalogue.</x:v>
      </x:c>
      <x:c r="M13" s="9" t="str"/>
      <x:c r="N13" s="9" t="str">
        <x:v>Le livrable « Utukku » possède une scène ou un scénario de contrôle ; ses règles proposées, ses conditions et ses retours visuels sont vérifiables séparément.</x:v>
      </x:c>
      <x:c r="O13" s="9" t="str"/>
      <x:c r="P13" s="9" t="str">
        <x:v>Utukku</x:v>
      </x:c>
      <x:c r="Q13" s="9" t="str">
        <x:v>ME3-SRC-RACHNI</x:v>
      </x:c>
      <x:c r="R13" s="20" t="str">
        <x:v>https://masseffect.fandom.com/wiki/Attican_Traverse%3A_Krogan_Team</x:v>
      </x:c>
      <x:c r="S13" s="20" t="str">
        <x:v>Spécification à réaliser. Les champs adaptation, gameplay, visual, animation, audio et implementation décrivent le fan game ; ils ne donnent pas des caractéristiques officielles de l’œuvre.</x:v>
      </x:c>
    </x:row>
    <x:row r="14" ht="68" customHeight="1">
      <x:c r="A14" s="19" t="str">
        <x:v>ME3-WRL-GRISSOM</x:v>
      </x:c>
      <x:c r="B14" s="7" t="str">
        <x:v>Académie Grissom</x:v>
      </x:c>
      <x:c r="C14" s="15" t="str">
        <x:v>Défini</x:v>
      </x:c>
      <x:c r="D14" s="17" t="str">
        <x:v>Établi</x:v>
      </x:c>
      <x:c r="E14" s="17" t="str">
        <x:v>P1</x:v>
      </x:c>
      <x:c r="F14" s="7" t="str">
        <x:v>Site d’une évacuation.</x:v>
      </x:c>
      <x:c r="G14" s="7" t="str">
        <x:v>Station scolaire à salles distinctes ; protéger la lisibilité des groupes de civils.</x:v>
      </x:c>
      <x:c r="H14" s="7" t="str">
        <x:v>Station scolaire à salles distinctes ; protéger la lisibilité des groupes de civils.</x:v>
      </x:c>
      <x:c r="I14" s="7" t="str">
        <x:v>Coursives claires, jardin et classe.</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me3/worlds/grissom ; rattacher les ressources et états cités à cet identifiant. Aucun fichier de jeu créé par ce catalogue.</x:v>
      </x:c>
      <x:c r="M14" s="7" t="str"/>
      <x:c r="N14" s="7" t="str">
        <x:v>Le livrable « Académie Grissom » possède une scène ou un scénario de contrôle ; ses règles proposées, ses conditions et ses retours visuels sont vérifiables séparément.</x:v>
      </x:c>
      <x:c r="O14" s="7" t="str"/>
      <x:c r="P14" s="7" t="str">
        <x:v>Académie Grissom</x:v>
      </x:c>
      <x:c r="Q14" s="7" t="str">
        <x:v>ME3-SRC-GRISSOM</x:v>
      </x:c>
      <x:c r="R14" s="21" t="str">
        <x:v>https://masseffect.fandom.com/wiki/Grissom_Academy%3A_Emergency_Evacuation</x:v>
      </x:c>
      <x:c r="S14" s="21" t="str">
        <x:v>Spécification à réaliser. Les champs adaptation, gameplay, visual, animation, audio et implementation décrivent le fan game ; ils ne donnent pas des caractéristiques officielles de l’œuvre.</x:v>
      </x:c>
    </x:row>
    <x:row r="15" ht="68" customHeight="1">
      <x:c r="A15" s="18" t="str">
        <x:v>ME3-WRL-GELLIX</x:v>
      </x:c>
      <x:c r="B15" s="9" t="str">
        <x:v>Gellix / Arrae</x:v>
      </x:c>
      <x:c r="C15" s="15" t="str">
        <x:v>Défini</x:v>
      </x:c>
      <x:c r="D15" s="16" t="str">
        <x:v>Établi</x:v>
      </x:c>
      <x:c r="E15" s="16" t="str">
        <x:v>P1</x:v>
      </x:c>
      <x:c r="F15" s="9" t="str">
        <x:v>Lieu des ex-scientifiques Cerberus.</x:v>
      </x:c>
      <x:c r="G15" s="9" t="str">
        <x:v>Avant-poste de hauteur et zones d’atterrissage ; deux routes de secours.</x:v>
      </x:c>
      <x:c r="H15" s="9" t="str">
        <x:v>Avant-poste de hauteur et zones d’atterrissage ; deux routes de secours.</x:v>
      </x:c>
      <x:c r="I15" s="9" t="str">
        <x:v>Roche et bâtiments industriels.</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me3/worlds/gellix ; rattacher les ressources et états cités à cet identifiant. Aucun fichier de jeu créé par ce catalogue.</x:v>
      </x:c>
      <x:c r="M15" s="9" t="str"/>
      <x:c r="N15" s="9" t="str">
        <x:v>Le livrable « Gellix / Arrae » possède une scène ou un scénario de contrôle ; ses règles proposées, ses conditions et ses retours visuels sont vérifiables séparément.</x:v>
      </x:c>
      <x:c r="O15" s="9" t="str"/>
      <x:c r="P15" s="9" t="str">
        <x:v>Gellix / Arrae</x:v>
      </x:c>
      <x:c r="Q15" s="9" t="str">
        <x:v>ME3-SRC-ARRAE</x:v>
      </x:c>
      <x:c r="R15" s="20" t="str">
        <x:v>https://masseffect.fandom.com/wiki/Arrae%3A_Ex-Cerberus_Scientists</x:v>
      </x:c>
      <x:c r="S15" s="20" t="str">
        <x:v>Spécification à réaliser. Les champs adaptation, gameplay, visual, animation, audio et implementation décrivent le fan game ; ils ne donnent pas des caractéristiques officielles de l’œuvre.</x:v>
      </x:c>
    </x:row>
    <x:row r="16" ht="68" customHeight="1">
      <x:c r="A16" s="19" t="str">
        <x:v>ME3-WRL-LESSUS</x:v>
      </x:c>
      <x:c r="B16" s="7" t="str">
        <x:v>Lessus / Kallini</x:v>
      </x:c>
      <x:c r="C16" s="15" t="str">
        <x:v>Défini</x:v>
      </x:c>
      <x:c r="D16" s="17" t="str">
        <x:v>Établi</x:v>
      </x:c>
      <x:c r="E16" s="17" t="str">
        <x:v>P1</x:v>
      </x:c>
      <x:c r="F16" s="7" t="str">
        <x:v>Lieu du monastère Ardat-Yakshi.</x:v>
      </x:c>
      <x:c r="G16" s="7" t="str">
        <x:v>Approche sombre et intérieur silencieux ; lumière d’objectif indépendante de la lampe du personnage.</x:v>
      </x:c>
      <x:c r="H16" s="7" t="str">
        <x:v>Approche sombre et intérieur silencieux ; lumière d’objectif indépendante de la lampe du personnage.</x:v>
      </x:c>
      <x:c r="I16" s="7" t="str">
        <x:v>Temple asari, montagnes et ruines.</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me3/worlds/lessus ; rattacher les ressources et états cités à cet identifiant. Aucun fichier de jeu créé par ce catalogue.</x:v>
      </x:c>
      <x:c r="M16" s="7" t="str"/>
      <x:c r="N16" s="7" t="str">
        <x:v>Le livrable « Lessus / Kallini » possède une scène ou un scénario de contrôle ; ses règles proposées, ses conditions et ses retours visuels sont vérifiables séparément.</x:v>
      </x:c>
      <x:c r="O16" s="7" t="str"/>
      <x:c r="P16" s="7" t="str">
        <x:v>Lessus / Kallini</x:v>
      </x:c>
      <x:c r="Q16" s="7" t="str">
        <x:v>ME3-SRC-KALLINI</x:v>
      </x:c>
      <x:c r="R16" s="21" t="str">
        <x:v>https://masseffect.fandom.com/wiki/Kallini%3A_Ardat-Yakshi_Monastery</x:v>
      </x:c>
      <x:c r="S16" s="21" t="str">
        <x:v>Spécification à réaliser. Les champs adaptation, gameplay, visual, animation, audio et implementation décrivent le fan game ; ils ne donnent pas des caractéristiques officielles de l’œuvre.</x:v>
      </x:c>
    </x:row>
    <x:row r="17" ht="68" customHeight="1">
      <x:c r="A17" s="18" t="str">
        <x:v>ME3-WRL-RANNOCH</x:v>
      </x:c>
      <x:c r="B17" s="9" t="str">
        <x:v>Rannoch</x:v>
      </x:c>
      <x:c r="C17" s="15" t="str">
        <x:v>Défini</x:v>
      </x:c>
      <x:c r="D17" s="16" t="str">
        <x:v>Établi</x:v>
      </x:c>
      <x:c r="E17" s="16" t="str">
        <x:v>P1</x:v>
      </x:c>
      <x:c r="F17" s="9" t="str">
        <x:v>Monde central du conflit geth/quarian.</x:v>
      </x:c>
      <x:c r="G17" s="9" t="str">
        <x:v>Trois opérations terrestres distinctes ; progression de guerre actualise la carte.</x:v>
      </x:c>
      <x:c r="H17" s="9" t="str">
        <x:v>Trois opérations terrestres distinctes ; progression de guerre actualise la carte.</x:v>
      </x:c>
      <x:c r="I17" s="9" t="str">
        <x:v>Montagnes désertiques et architecture geth.</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me3/worlds/rannoch ; rattacher les ressources et états cités à cet identifiant. Aucun fichier de jeu créé par ce catalogue.</x:v>
      </x:c>
      <x:c r="M17" s="9" t="str"/>
      <x:c r="N17" s="9" t="str">
        <x:v>Le livrable « Rannoch » possède une scène ou un scénario de contrôle ; ses règles proposées, ses conditions et ses retours visuels sont vérifiables séparément.</x:v>
      </x:c>
      <x:c r="O17" s="9" t="str"/>
      <x:c r="P17" s="9" t="str">
        <x:v>Rannoch</x:v>
      </x:c>
      <x:c r="Q17" s="9" t="str">
        <x:v>ME3-SRC-RANNOCH, ME3-SRC-FIGHTERS</x:v>
      </x:c>
      <x:c r="R17" s="20" t="str">
        <x:v>https://masseffect.fandom.com/wiki/Priority%3A_Rannoch
https://masseffect.fandom.com/wiki/Rannoch%3A_Geth_Fighter_Squadrons</x:v>
      </x:c>
      <x:c r="S17" s="20" t="str">
        <x:v>Spécification à réaliser. Les champs adaptation, gameplay, visual, animation, audio et implementation décrivent le fan game ; ils ne donnent pas des caractéristiques officielles de l’œuvre.</x:v>
      </x:c>
    </x:row>
    <x:row r="18" ht="68" customHeight="1">
      <x:c r="A18" s="19" t="str">
        <x:v>ME3-WRL-THESSIA</x:v>
      </x:c>
      <x:c r="B18" s="7" t="str">
        <x:v>Thessia</x:v>
      </x:c>
      <x:c r="C18" s="15" t="str">
        <x:v>Défini</x:v>
      </x:c>
      <x:c r="D18" s="17" t="str">
        <x:v>Établi</x:v>
      </x:c>
      <x:c r="E18" s="17" t="str">
        <x:v>P1</x:v>
      </x:c>
      <x:c r="F18" s="7" t="str">
        <x:v>Monde asari attaqué.</x:v>
      </x:c>
      <x:c r="G18" s="7" t="str">
        <x:v>Itinéraire urbain vers temple ; silhouettes de dévastation séparées des unités ciblables.</x:v>
      </x:c>
      <x:c r="H18" s="7" t="str">
        <x:v>Itinéraire urbain vers temple ; silhouettes de dévastation séparées des unités ciblables.</x:v>
      </x:c>
      <x:c r="I18" s="7" t="str">
        <x:v>Bleu asari, statues, fumée et ciel de guerre.</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me3/worlds/thessia ; rattacher les ressources et états cités à cet identifiant. Aucun fichier de jeu créé par ce catalogue.</x:v>
      </x:c>
      <x:c r="M18" s="7" t="str"/>
      <x:c r="N18" s="7" t="str">
        <x:v>Le livrable « Thessia » possède une scène ou un scénario de contrôle ; ses règles proposées, ses conditions et ses retours visuels sont vérifiables séparément.</x:v>
      </x:c>
      <x:c r="O18" s="7" t="str"/>
      <x:c r="P18" s="7" t="str">
        <x:v>Thessia</x:v>
      </x:c>
      <x:c r="Q18" s="7" t="str">
        <x:v>ME3-SRC-THESSIA</x:v>
      </x:c>
      <x:c r="R18" s="21" t="str">
        <x:v>https://masseffect.fandom.com/wiki/Priority%3A_Thessia</x:v>
      </x:c>
      <x:c r="S18" s="21" t="str">
        <x:v>Spécification à réaliser. Les champs adaptation, gameplay, visual, animation, audio et implementation décrivent le fan game ; ils ne donnent pas des caractéristiques officielles de l’œuvre.</x:v>
      </x:c>
    </x:row>
    <x:row r="19" ht="68" customHeight="1">
      <x:c r="A19" s="18" t="str">
        <x:v>ME3-WRL-HORIZON</x:v>
      </x:c>
      <x:c r="B19" s="9" t="str">
        <x:v>Horizon — Sanctuary</x:v>
      </x:c>
      <x:c r="C19" s="15" t="str">
        <x:v>Défini</x:v>
      </x:c>
      <x:c r="D19" s="16" t="str">
        <x:v>Établi</x:v>
      </x:c>
      <x:c r="E19" s="16" t="str">
        <x:v>P1</x:v>
      </x:c>
      <x:c r="F19" s="9" t="str">
        <x:v>Site d’un centre Cerberus dissimulé.</x:v>
      </x:c>
      <x:c r="G19" s="9" t="str">
        <x:v>Contraste accueil civil/laboratoire ; toutes les preuves restent rattachées à Sanctuary.</x:v>
      </x:c>
      <x:c r="H19" s="9" t="str">
        <x:v>Contraste accueil civil/laboratoire ; toutes les preuves restent rattachées à Sanctuary.</x:v>
      </x:c>
      <x:c r="I19" s="9" t="str">
        <x:v>Blanc, eau, couloirs et sous-sol technique.</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me3/worlds/horizon ; rattacher les ressources et états cités à cet identifiant. Aucun fichier de jeu créé par ce catalogue.</x:v>
      </x:c>
      <x:c r="M19" s="9" t="str"/>
      <x:c r="N19" s="9" t="str">
        <x:v>Le livrable « Horizon — Sanctuary » possède une scène ou un scénario de contrôle ; ses règles proposées, ses conditions et ses retours visuels sont vérifiables séparément.</x:v>
      </x:c>
      <x:c r="O19" s="9" t="str"/>
      <x:c r="P19" s="9" t="str">
        <x:v>Horizon — Sanctuary</x:v>
      </x:c>
      <x:c r="Q19" s="9" t="str">
        <x:v>ME3-SRC-HORIZON</x:v>
      </x:c>
      <x:c r="R19" s="20" t="str">
        <x:v>https://masseffect.fandom.com/wiki/Priority%3A_Horizon</x:v>
      </x:c>
      <x:c r="S19" s="20" t="str">
        <x:v>Spécification à réaliser. Les champs adaptation, gameplay, visual, animation, audio et implementation décrivent le fan game ; ils ne donnent pas des caractéristiques officielles de l’œuvre.</x:v>
      </x:c>
    </x:row>
    <x:row r="20" ht="68" customHeight="1">
      <x:c r="A20" s="19" t="str">
        <x:v>ME3-WRL-EDEN</x:v>
      </x:c>
      <x:c r="B20" s="7" t="str">
        <x:v>Eden Prime</x:v>
      </x:c>
      <x:c r="C20" s="15" t="str">
        <x:v>Défini</x:v>
      </x:c>
      <x:c r="D20" s="17" t="str">
        <x:v>Établi</x:v>
      </x:c>
      <x:c r="E20" s="17" t="str">
        <x:v>P1</x:v>
      </x:c>
      <x:c r="F20" s="7" t="str">
        <x:v>Monde du DLC From Ashes.</x:v>
      </x:c>
      <x:c r="G20" s="7" t="str">
        <x:v>Zone de colonie et fouilles ; capsule en destination centrale lisible.</x:v>
      </x:c>
      <x:c r="H20" s="7" t="str">
        <x:v>Zone de colonie et fouilles ; capsule en destination centrale lisible.</x:v>
      </x:c>
      <x:c r="I20" s="7" t="str">
        <x:v>Vert, préfabriqués et technologie prothéenne.</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me3/worlds/eden ; rattacher les ressources et états cités à cet identifiant. Aucun fichier de jeu créé par ce catalogue.</x:v>
      </x:c>
      <x:c r="M20" s="7" t="str"/>
      <x:c r="N20" s="7" t="str">
        <x:v>Le livrable « Eden Prime » possède une scène ou un scénario de contrôle ; ses règles proposées, ses conditions et ses retours visuels sont vérifiables séparément.</x:v>
      </x:c>
      <x:c r="O20" s="7" t="str"/>
      <x:c r="P20" s="7" t="str">
        <x:v>Eden Prime</x:v>
      </x:c>
      <x:c r="Q20" s="7" t="str">
        <x:v>ME3-SRC-EA-ASHES, ME3-SRC-MISSIONS</x:v>
      </x:c>
      <x:c r="R20" s="21" t="str">
        <x:v>https://www.ea.com/fr-fr/games/mass-effect/mass-effect-3-from-ashes
https://masseffect.fandom.com/wiki/Missions</x:v>
      </x:c>
      <x:c r="S20" s="21" t="str">
        <x:v>Spécification à réaliser. Les champs adaptation, gameplay, visual, animation, audio et implementation décrivent le fan game ; ils ne donnent pas des caractéristiques officielles de l’œuvre.</x:v>
      </x:c>
    </x:row>
    <x:row r="21" ht="68" customHeight="1">
      <x:c r="A21" s="18" t="str">
        <x:v>ME3-WRL-OMEGA</x:v>
      </x:c>
      <x:c r="B21" s="9" t="str">
        <x:v>Omega occupée</x:v>
      </x:c>
      <x:c r="C21" s="15" t="str">
        <x:v>Défini</x:v>
      </x:c>
      <x:c r="D21" s="16" t="str">
        <x:v>Établi</x:v>
      </x:c>
      <x:c r="E21" s="16" t="str">
        <x:v>P1</x:v>
      </x:c>
      <x:c r="F21" s="9" t="str">
        <x:v>Cerberus occupe la station.</x:v>
      </x:c>
      <x:c r="G21" s="9" t="str">
        <x:v>Cartes de résistance et reprise ; les anciens hubs ME2 ne deviennent pas tous accessibles automatiquement.</x:v>
      </x:c>
      <x:c r="H21" s="9" t="str">
        <x:v>Cartes de résistance et reprise ; les anciens hubs ME2 ne deviennent pas tous accessibles automatiquement.</x:v>
      </x:c>
      <x:c r="I21" s="9" t="str">
        <x:v>Métal, néons et champs Cerberus.</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me3/worlds/omega ; rattacher les ressources et états cités à cet identifiant. Aucun fichier de jeu créé par ce catalogue.</x:v>
      </x:c>
      <x:c r="M21" s="9" t="str"/>
      <x:c r="N21" s="9" t="str">
        <x:v>Le livrable « Omega occupée » possède une scène ou un scénario de contrôle ; ses règles proposées, ses conditions et ses retours visuels sont vérifiables séparément.</x:v>
      </x:c>
      <x:c r="O21" s="9" t="str"/>
      <x:c r="P21" s="9" t="str">
        <x:v>Omega occupée</x:v>
      </x:c>
      <x:c r="Q21" s="9" t="str">
        <x:v>ME3-SRC-EA-OMEGA, ME3-SRC-OMEGA</x:v>
      </x:c>
      <x:c r="R21" s="20" t="str">
        <x:v>https://www.ea.com/fr-fr/games/mass-effect/mass-effect-3-omega
https://masseffect.fandom.com/wiki/Omega%3A_Aria_T%27Loak_%28Mass_Effect_3%29</x:v>
      </x:c>
      <x:c r="S21" s="20" t="str">
        <x:v>Spécification à réaliser. Les champs adaptation, gameplay, visual, animation, audio et implementation décrivent le fan game ; ils ne donnent pas des caractéristiques officielles de l’œuvre.</x:v>
      </x:c>
    </x:row>
    <x:row r="22" ht="68" customHeight="1">
      <x:c r="A22" s="19" t="str">
        <x:v>ME3-WRL-MAHAVID</x:v>
      </x:c>
      <x:c r="B22" s="7" t="str">
        <x:v>Mahavid</x:v>
      </x:c>
      <x:c r="C22" s="15" t="str">
        <x:v>Défini</x:v>
      </x:c>
      <x:c r="D22" s="17" t="str">
        <x:v>Établi</x:v>
      </x:c>
      <x:c r="E22" s="17" t="str">
        <x:v>P1</x:v>
      </x:c>
      <x:c r="F22" s="7" t="str">
        <x:v>Destination de Leviathan.</x:v>
      </x:c>
      <x:c r="G22" s="7" t="str">
        <x:v>Mine d’astéroïde en boucles courtes, espace social étrange puis combat.</x:v>
      </x:c>
      <x:c r="H22" s="7" t="str">
        <x:v>Mine d’astéroïde en boucles courtes, espace social étrange puis combat.</x:v>
      </x:c>
      <x:c r="I22" s="7" t="str">
        <x:v>Gris poussiéreux, machines et regards fixes.</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me3/worlds/mahavid ; rattacher les ressources et états cités à cet identifiant. Aucun fichier de jeu créé par ce catalogue.</x:v>
      </x:c>
      <x:c r="M22" s="7" t="str"/>
      <x:c r="N22" s="7" t="str">
        <x:v>Le livrable « Mahavid » possède une scène ou un scénario de contrôle ; ses règles proposées, ses conditions et ses retours visuels sont vérifiables séparément.</x:v>
      </x:c>
      <x:c r="O22" s="7" t="str"/>
      <x:c r="P22" s="7" t="str">
        <x:v>Mahavid</x:v>
      </x:c>
      <x:c r="Q22" s="7" t="str">
        <x:v>ME3-SRC-LEV</x:v>
      </x:c>
      <x:c r="R22" s="21" t="str">
        <x:v>https://masseffect.fandom.com/wiki/Mass_Effect_3%3A_Leviathan</x:v>
      </x:c>
      <x:c r="S22" s="21" t="str">
        <x:v>Spécification à réaliser. Les champs adaptation, gameplay, visual, animation, audio et implementation décrivent le fan game ; ils ne donnent pas des caractéristiques officielles de l’œuvre.</x:v>
      </x:c>
    </x:row>
    <x:row r="23" ht="68" customHeight="1">
      <x:c r="A23" s="18" t="str">
        <x:v>ME3-WRL-NAMAKLI</x:v>
      </x:c>
      <x:c r="B23" s="9" t="str">
        <x:v>Namakli</x:v>
      </x:c>
      <x:c r="C23" s="15" t="str">
        <x:v>Défini</x:v>
      </x:c>
      <x:c r="D23" s="16" t="str">
        <x:v>Établi</x:v>
      </x:c>
      <x:c r="E23" s="16" t="str">
        <x:v>P1</x:v>
      </x:c>
      <x:c r="F23" s="9" t="str">
        <x:v>Destination de secours d’Ann.</x:v>
      </x:c>
      <x:c r="G23" s="9" t="str">
        <x:v>Verticalité de chantier, réparation et défenses ; les échelles ne bloquent pas les compagnons.</x:v>
      </x:c>
      <x:c r="H23" s="9" t="str">
        <x:v>Verticalité de chantier, réparation et défenses ; les échelles ne bloquent pas les compagnons.</x:v>
      </x:c>
      <x:c r="I23" s="9" t="str">
        <x:v>Falaises et plateformes scientifiques.</x:v>
      </x:c>
      <x:c r="J23" s="9" t="str">
        <x:v>Préparer état de repos, anticipation, activation et retour au repos ; aligner les événements visuels sur la résolution de l’action ATB.</x:v>
      </x:c>
      <x:c r="K23" s="9" t="str">
        <x:v>Créer des bruitages et ambiances originaux adaptés au livrable ; sous-titrer les indices utiles et proposer un réglage indépendant des effets. Aucune extraction audio demandée.</x:v>
      </x:c>
      <x:c r="L23" s="9" t="str">
        <x:v>Prévu : fiche de données me3/worlds/namakli ; rattacher les ressources et états cités à cet identifiant. Aucun fichier de jeu créé par ce catalogue.</x:v>
      </x:c>
      <x:c r="M23" s="9" t="str"/>
      <x:c r="N23" s="9" t="str">
        <x:v>Le livrable « Namakli » possède une scène ou un scénario de contrôle ; ses règles proposées, ses conditions et ses retours visuels sont vérifiables séparément.</x:v>
      </x:c>
      <x:c r="O23" s="9" t="str"/>
      <x:c r="P23" s="9" t="str">
        <x:v>Namakli</x:v>
      </x:c>
      <x:c r="Q23" s="9" t="str">
        <x:v>ME3-SRC-LEV</x:v>
      </x:c>
      <x:c r="R23" s="20" t="str">
        <x:v>https://masseffect.fandom.com/wiki/Mass_Effect_3%3A_Leviathan</x:v>
      </x:c>
      <x:c r="S23" s="20" t="str">
        <x:v>Spécification à réaliser. Les champs adaptation, gameplay, visual, animation, audio et implementation décrivent le fan game ; ils ne donnent pas des caractéristiques officielles de l’œuvre.</x:v>
      </x:c>
    </x:row>
    <x:row r="24" ht="68" customHeight="1">
      <x:c r="A24" s="19" t="str">
        <x:v>ME3-WRL-DESPOINA</x:v>
      </x:c>
      <x:c r="B24" s="7" t="str">
        <x:v>Despoina</x:v>
      </x:c>
      <x:c r="C24" s="15" t="str">
        <x:v>Défini</x:v>
      </x:c>
      <x:c r="D24" s="17" t="str">
        <x:v>Établi</x:v>
      </x:c>
      <x:c r="E24" s="17" t="str">
        <x:v>P1</x:v>
      </x:c>
      <x:c r="F24" s="7" t="str">
        <x:v>Destination finale de Leviathan.</x:v>
      </x:c>
      <x:c r="G24" s="7" t="str">
        <x:v>Surface d’épaves puis fond marin en séquence séparée ; volume sous-marin non assimilé à l’espace.</x:v>
      </x:c>
      <x:c r="H24" s="7" t="str">
        <x:v>Surface d’épaves puis fond marin en séquence séparée ; volume sous-marin non assimilé à l’espace.</x:v>
      </x:c>
      <x:c r="I24" s="7" t="str">
        <x:v>Océan sombre, épaves et lueurs abyssales.</x:v>
      </x:c>
      <x:c r="J24" s="7" t="str">
        <x:v>Préparer état de repos, anticipation, activation et retour au repos ; aligner les événements visuels sur la résolution de l’action ATB.</x:v>
      </x:c>
      <x:c r="K24" s="7" t="str">
        <x:v>Créer des bruitages et ambiances originaux adaptés au livrable ; sous-titrer les indices utiles et proposer un réglage indépendant des effets. Aucune extraction audio demandée.</x:v>
      </x:c>
      <x:c r="L24" s="7" t="str">
        <x:v>Prévu : fiche de données me3/worlds/despoina ; rattacher les ressources et états cités à cet identifiant. Aucun fichier de jeu créé par ce catalogue.</x:v>
      </x:c>
      <x:c r="M24" s="7" t="str"/>
      <x:c r="N24" s="7" t="str">
        <x:v>Le livrable « Despoina » possède une scène ou un scénario de contrôle ; ses règles proposées, ses conditions et ses retours visuels sont vérifiables séparément.</x:v>
      </x:c>
      <x:c r="O24" s="7" t="str"/>
      <x:c r="P24" s="7" t="str">
        <x:v>Despoina</x:v>
      </x:c>
      <x:c r="Q24" s="7" t="str">
        <x:v>ME3-SRC-LEV</x:v>
      </x:c>
      <x:c r="R24" s="21" t="str">
        <x:v>https://masseffect.fandom.com/wiki/Mass_Effect_3%3A_Leviathan</x:v>
      </x:c>
      <x:c r="S24" s="21" t="str">
        <x:v>Spécification à réaliser. Les champs adaptation, gameplay, visual, animation, audio et implementation décrivent le fan game ; ils ne donnent pas des caractéristiques officielles de l’œuvre.</x:v>
      </x:c>
    </x:row>
    <x:row r="25" ht="68" customHeight="1">
      <x:c r="A25" s="18" t="str">
        <x:v>ME3-WRL-CERBERUS</x:v>
      </x:c>
      <x:c r="B25" s="9" t="str">
        <x:v>Station de Cerberus</x:v>
      </x:c>
      <x:c r="C25" s="15" t="str">
        <x:v>Défini</x:v>
      </x:c>
      <x:c r="D25" s="16" t="str">
        <x:v>Établi</x:v>
      </x:c>
      <x:c r="E25" s="16" t="str">
        <x:v>P1</x:v>
      </x:c>
      <x:c r="F25" s="9" t="str">
        <x:v>Quartier général attaqué avant la Terre.</x:v>
      </x:c>
      <x:c r="G25" s="9" t="str">
        <x:v>Structure militaire en plusieurs secteurs ; retour galactique verrouillé après engagement.</x:v>
      </x:c>
      <x:c r="H25" s="9" t="str">
        <x:v>Structure militaire en plusieurs secteurs ; retour galactique verrouillé après engagement.</x:v>
      </x:c>
      <x:c r="I25" s="9" t="str">
        <x:v>Blanc Cerberus, noir et orange d’alarme.</x:v>
      </x:c>
      <x:c r="J25" s="9" t="str">
        <x:v>Préparer état de repos, anticipation, activation et retour au repos ; aligner les événements visuels sur la résolution de l’action ATB.</x:v>
      </x:c>
      <x:c r="K25" s="9" t="str">
        <x:v>Créer des bruitages et ambiances originaux adaptés au livrable ; sous-titrer les indices utiles et proposer un réglage indépendant des effets. Aucune extraction audio demandée.</x:v>
      </x:c>
      <x:c r="L25" s="9" t="str">
        <x:v>Prévu : fiche de données me3/worlds/cerberus ; rattacher les ressources et états cités à cet identifiant. Aucun fichier de jeu créé par ce catalogue.</x:v>
      </x:c>
      <x:c r="M25" s="9" t="str"/>
      <x:c r="N25" s="9" t="str">
        <x:v>Le livrable « Station de Cerberus » possède une scène ou un scénario de contrôle ; ses règles proposées, ses conditions et ses retours visuels sont vérifiables séparément.</x:v>
      </x:c>
      <x:c r="O25" s="9" t="str"/>
      <x:c r="P25" s="9" t="str">
        <x:v>Station de Cerberus</x:v>
      </x:c>
      <x:c r="Q25" s="9" t="str">
        <x:v>ME3-SRC-HQ</x:v>
      </x:c>
      <x:c r="R25" s="20" t="str">
        <x:v>https://masseffect.fandom.com/wiki/Priority%3A_Cerberus_Headquarters</x:v>
      </x:c>
      <x:c r="S25" s="20" t="str">
        <x:v>Spécification à réaliser. Les champs adaptation, gameplay, visual, animation, audio et implementation décrivent le fan game ; ils ne donnent pas des caractéristiques officielles de l’œuvre.</x:v>
      </x:c>
    </x:row>
    <x:row r="26" ht="68" customHeight="1">
      <x:c r="A26" s="19" t="str">
        <x:v>ME3-WRL-CRUCIBLE</x:v>
      </x:c>
      <x:c r="B26" s="7" t="str">
        <x:v>Creuset et Citadelle finale</x:v>
      </x:c>
      <x:c r="C26" s="15" t="str">
        <x:v>Défini</x:v>
      </x:c>
      <x:c r="D26" s="17" t="str">
        <x:v>Établi</x:v>
      </x:c>
      <x:c r="E26" s="17" t="str">
        <x:v>P1</x:v>
      </x:c>
      <x:c r="F26" s="7" t="str">
        <x:v>Le Creuset porte la décision finale.</x:v>
      </x:c>
      <x:c r="G26" s="7" t="str">
        <x:v>Espace de récit final sans boutons de combat ; conserver options et conditions dans un résumé clair.</x:v>
      </x:c>
      <x:c r="H26" s="7" t="str">
        <x:v>Espace de récit final sans boutons de combat ; conserver options et conditions dans un résumé clair.</x:v>
      </x:c>
      <x:c r="I26" s="7" t="str">
        <x:v>Lumière blanche et vues sur Terre.</x:v>
      </x:c>
      <x:c r="J26" s="7" t="str">
        <x:v>Préparer état de repos, anticipation, activation et retour au repos ; aligner les événements visuels sur la résolution de l’action ATB.</x:v>
      </x:c>
      <x:c r="K26" s="7" t="str">
        <x:v>Créer des bruitages et ambiances originaux adaptés au livrable ; sous-titrer les indices utiles et proposer un réglage indépendant des effets. Aucune extraction audio demandée.</x:v>
      </x:c>
      <x:c r="L26" s="7" t="str">
        <x:v>Prévu : fiche de données me3/worlds/crucible ; rattacher les ressources et états cités à cet identifiant. Aucun fichier de jeu créé par ce catalogue.</x:v>
      </x:c>
      <x:c r="M26" s="7" t="str"/>
      <x:c r="N26" s="7" t="str">
        <x:v>Le livrable « Creuset et Citadelle finale » possède une scène ou un scénario de contrôle ; ses règles proposées, ses conditions et ses retours visuels sont vérifiables séparément.</x:v>
      </x:c>
      <x:c r="O26" s="7" t="str"/>
      <x:c r="P26" s="7" t="str">
        <x:v>Creuset et Citadelle finale</x:v>
      </x:c>
      <x:c r="Q26" s="7" t="str">
        <x:v>ME3-SRC-EARTH</x:v>
      </x:c>
      <x:c r="R26" s="21" t="str">
        <x:v>https://masseffect.fandom.com/wiki/Priority%3A_Earth</x:v>
      </x:c>
      <x:c r="S26" s="21" t="str">
        <x:v>Spécification à réaliser. Les champs adaptation, gameplay, visual, animation, audio et implementation décrivent le fan game ; ils ne donnent pas des caractéristiques officielles de l’œuvre.</x:v>
      </x:c>
    </x:row>
  </x:sheetData>
  <x:conditionalFormatting sqref="D7:D26">
    <x:cfRule type="cellIs" dxfId="12" priority="1" operator="equal">
      <x:formula>"À vérifier"</x:formula>
    </x:cfRule>
    <x:cfRule type="cellIs" dxfId="13" priority="2" operator="equal">
      <x:formula>"Extrapolation"</x:formula>
    </x:cfRule>
  </x:conditionalFormatting>
  <x:conditionalFormatting sqref="C7:C26">
    <x:cfRule type="cellIs" dxfId="14" priority="3" operator="equal">
      <x:formula>"Validé"</x:formula>
    </x:cfRule>
  </x:conditionalFormatting>
  <x:conditionalFormatting sqref="E7:E26">
    <x:cfRule type="cellIs" dxfId="15" priority="4" operator="equal">
      <x:formula>"P0"</x:formula>
    </x:cfRule>
  </x:conditionalFormatting>
  <x:dataValidations count="3">
    <x:dataValidation type="list" sqref="C7:C26">
      <x:formula1>"Défini,Prototype,Intégré,Validé"</x:formula1>
    </x:dataValidation>
    <x:dataValidation type="list" sqref="D7:D26">
      <x:formula1>"Établi,À vérifier,Extrapolation,Coupé attesté,Concept abandonné,Allégation écartée"</x:formula1>
    </x:dataValidation>
    <x:dataValidation type="list" sqref="E7:E26">
      <x:formula1>"P0,P1,P2"</x:formula1>
    </x:dataValidation>
  </x:dataValidations>
  <x:pageMargins left="0.7" right="0.7" top="0.75" bottom="0.75" header="0.3" footer="0.3"/>
  <x:tableParts count="1">
    <x:tablePart xmlns:r="http://schemas.openxmlformats.org/officeDocument/2006/relationships" r:id="Rc2bde4f318214a70"/>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5"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Zones</x:v>
      </x:c>
      <x:c r="B2" s="2"/>
      <x:c r="C2" s="2"/>
      <x:c r="D2" s="2"/>
      <x:c r="E2" s="2"/>
      <x:c r="F2" s="2"/>
      <x:c r="G2" s="2"/>
      <x:c r="H2" s="2"/>
      <x:c r="I2" s="2"/>
      <x:c r="J2" s="2"/>
      <x:c r="K2" s="2"/>
      <x:c r="L2" s="2"/>
      <x:c r="M2" s="2"/>
      <x:c r="N2" s="2"/>
      <x:c r="O2" s="2"/>
      <x:c r="P2" s="2"/>
      <x:c r="Q2" s="2"/>
      <x:c r="R2" s="2"/>
      <x:c r="S2" s="2"/>
    </x:row>
    <x:row r="3" ht="22" customHeight="1">
      <x:c r="A3" s="4" t="str">
        <x:v>Mass Effect 3 — Pièces, espaces extérieurs et points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ME3-ZON-NORM-CIC</x:v>
      </x:c>
      <x:c r="B7" s="9" t="str">
        <x:v>Normandy — CIC et salle de guerre</x:v>
      </x:c>
      <x:c r="C7" s="15" t="str">
        <x:v>Défini</x:v>
      </x:c>
      <x:c r="D7" s="16" t="str">
        <x:v>Établi</x:v>
      </x:c>
      <x:c r="E7" s="16" t="str">
        <x:v>P1</x:v>
      </x:c>
      <x:c r="F7" s="9" t="str">
        <x:v>Centre de commandement de ME3.</x:v>
      </x:c>
      <x:c r="G7" s="9" t="str">
        <x:v>Carte et actifs de guerre séparés ; passerelle ne bloque jamais la route vers une conversation urgente.</x:v>
      </x:c>
      <x:c r="H7" s="9" t="str">
        <x:v>Carte et actifs de guerre séparés ; passerelle ne bloque jamais la route vers une conversation urgente.</x:v>
      </x:c>
      <x:c r="I7" s="9" t="str">
        <x:v>Alliance bleu/gris, hologrammes et table de briefing.</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me3/zones/norm-cic ; rattacher les ressources et états cités à cet identifiant. Aucun fichier de jeu créé par ce catalogue.</x:v>
      </x:c>
      <x:c r="M7" s="9" t="str"/>
      <x:c r="N7" s="9" t="str">
        <x:v>Le livrable « Normandy — CIC et salle de guerre » possède une scène ou un scénario de contrôle ; ses règles proposées, ses conditions et ses retours visuels sont vérifiables séparément.</x:v>
      </x:c>
      <x:c r="O7" s="9" t="str"/>
      <x:c r="P7" s="9" t="str">
        <x:v>Normandy — CIC et salle de guerre</x:v>
      </x:c>
      <x:c r="Q7" s="9" t="str">
        <x:v>ME3-SRC-GUIDE</x:v>
      </x:c>
      <x:c r="R7" s="20" t="str">
        <x:v>https://masseffect.fandom.com/wiki/Mass_Effect_3_Guide</x:v>
      </x:c>
      <x:c r="S7" s="20" t="str">
        <x:v>Spécification à réaliser. Les champs adaptation, gameplay, visual, animation, audio et implementation décrivent le fan game ; ils ne donnent pas des caractéristiques officielles de l’œuvre.</x:v>
      </x:c>
    </x:row>
    <x:row r="8" ht="68" customHeight="1">
      <x:c r="A8" s="19" t="str">
        <x:v>ME3-ZON-NORM-HANGAR</x:v>
      </x:c>
      <x:c r="B8" s="7" t="str">
        <x:v>Normandy — hangar</x:v>
      </x:c>
      <x:c r="C8" s="15" t="str">
        <x:v>Défini</x:v>
      </x:c>
      <x:c r="D8" s="17" t="str">
        <x:v>Établi</x:v>
      </x:c>
      <x:c r="E8" s="17" t="str">
        <x:v>P1</x:v>
      </x:c>
      <x:c r="F8" s="7" t="str">
        <x:v>Zone de préparation de terrain.</x:v>
      </x:c>
      <x:c r="G8" s="7" t="str">
        <x:v>Atelier d’armes, navette et contacts de James/Cortez distincts ; pas d’ouverture de dialogue par clic d’arme.</x:v>
      </x:c>
      <x:c r="H8" s="7" t="str">
        <x:v>Atelier d’armes, navette et contacts de James/Cortez distincts ; pas d’ouverture de dialogue par clic d’arme.</x:v>
      </x:c>
      <x:c r="I8" s="7" t="str">
        <x:v>Kodiak, caisses et banc d’armes.</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me3/zones/norm-hangar ; rattacher les ressources et états cités à cet identifiant. Aucun fichier de jeu créé par ce catalogue.</x:v>
      </x:c>
      <x:c r="M8" s="7" t="str"/>
      <x:c r="N8" s="7" t="str">
        <x:v>Le livrable « Normandy — hangar » possède une scène ou un scénario de contrôle ; ses règles proposées, ses conditions et ses retours visuels sont vérifiables séparément.</x:v>
      </x:c>
      <x:c r="O8" s="7" t="str"/>
      <x:c r="P8" s="7" t="str">
        <x:v>Normandy — hangar</x:v>
      </x:c>
      <x:c r="Q8" s="7" t="str">
        <x:v>ME3-SRC-SQUAD</x:v>
      </x:c>
      <x:c r="R8" s="21" t="str">
        <x:v>https://masseffect.fandom.com/wiki/Squad_Members_Guide_%28Mass_Effect_3%29</x:v>
      </x:c>
      <x:c r="S8" s="21" t="str">
        <x:v>Spécification à réaliser. Les champs adaptation, gameplay, visual, animation, audio et implementation décrivent le fan game ; ils ne donnent pas des caractéristiques officielles de l’œuvre.</x:v>
      </x:c>
    </x:row>
    <x:row r="9" ht="68" customHeight="1">
      <x:c r="A9" s="18" t="str">
        <x:v>ME3-ZON-NORM-CREW</x:v>
      </x:c>
      <x:c r="B9" s="9" t="str">
        <x:v>Normandy — espaces d’équipage</x:v>
      </x:c>
      <x:c r="C9" s="15" t="str">
        <x:v>Défini</x:v>
      </x:c>
      <x:c r="D9" s="16" t="str">
        <x:v>Établi</x:v>
      </x:c>
      <x:c r="E9" s="16" t="str">
        <x:v>P1</x:v>
      </x:c>
      <x:c r="F9" s="9" t="str">
        <x:v>Équipiers vivent à bord.</x:v>
      </x:c>
      <x:c r="G9" s="9" t="str">
        <x:v>Placement dynamique après mission avec minimap de recherche ; conserver la vie quotidienne sans forcer la tournée.</x:v>
      </x:c>
      <x:c r="H9" s="9" t="str">
        <x:v>Placement dynamique après mission avec minimap de recherche ; conserver la vie quotidienne sans forcer la tournée.</x:v>
      </x:c>
      <x:c r="I9" s="9" t="str">
        <x:v>Infirmerie, mess, salon et cabines.</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me3/zones/norm-crew ; rattacher les ressources et états cités à cet identifiant. Aucun fichier de jeu créé par ce catalogue.</x:v>
      </x:c>
      <x:c r="M9" s="9" t="str"/>
      <x:c r="N9" s="9" t="str">
        <x:v>Le livrable « Normandy — espaces d’équipage » possède une scène ou un scénario de contrôle ; ses règles proposées, ses conditions et ses retours visuels sont vérifiables séparément.</x:v>
      </x:c>
      <x:c r="O9" s="9" t="str"/>
      <x:c r="P9" s="9" t="str">
        <x:v>Normandy — espaces d’équipage</x:v>
      </x:c>
      <x:c r="Q9" s="9" t="str">
        <x:v>ME3-SRC-SQUAD</x:v>
      </x:c>
      <x:c r="R9" s="20" t="str">
        <x:v>https://masseffect.fandom.com/wiki/Squad_Members_Guide_%28Mass_Effect_3%29</x:v>
      </x:c>
      <x:c r="S9" s="20" t="str">
        <x:v>Spécification à réaliser. Les champs adaptation, gameplay, visual, animation, audio et implementation décrivent le fan game ; ils ne donnent pas des caractéristiques officielles de l’œuvre.</x:v>
      </x:c>
    </x:row>
    <x:row r="10" ht="68" customHeight="1">
      <x:c r="A10" s="19" t="str">
        <x:v>ME3-ZON-CIT-DOCKS</x:v>
      </x:c>
      <x:c r="B10" s="7" t="str">
        <x:v>Citadelle — docks et réfugiés</x:v>
      </x:c>
      <x:c r="C10" s="15" t="str">
        <x:v>Défini</x:v>
      </x:c>
      <x:c r="D10" s="17" t="str">
        <x:v>Établi</x:v>
      </x:c>
      <x:c r="E10" s="17" t="str">
        <x:v>P1</x:v>
      </x:c>
      <x:c r="F10" s="7" t="str">
        <x:v>Secteur de demandes civiles.</x:v>
      </x:c>
      <x:c r="G10" s="7" t="str">
        <x:v>Foule à couloirs libres ; conversations de quête signalées sans les masquer dans l’ambiance.</x:v>
      </x:c>
      <x:c r="H10" s="7" t="str">
        <x:v>Foule à couloirs libres ; conversations de quête signalées sans les masquer dans l’ambiance.</x:v>
      </x:c>
      <x:c r="I10" s="7" t="str">
        <x:v>Containers, lits et arrivées de navettes.</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me3/zones/cit-docks ; rattacher les ressources et états cités à cet identifiant. Aucun fichier de jeu créé par ce catalogue.</x:v>
      </x:c>
      <x:c r="M10" s="7" t="str"/>
      <x:c r="N10" s="7" t="str">
        <x:v>Le livrable « Citadelle — docks et réfugiés » possède une scène ou un scénario de contrôle ; ses règles proposées, ses conditions et ses retours visuels sont vérifiables séparément.</x:v>
      </x:c>
      <x:c r="O10" s="7" t="str"/>
      <x:c r="P10" s="7" t="str">
        <x:v>Citadelle — docks et réfugiés</x:v>
      </x:c>
      <x:c r="Q10" s="7" t="str">
        <x:v>ME3-SRC-CITADEL</x:v>
      </x:c>
      <x:c r="R10" s="21" t="str">
        <x:v>https://masseffect.fandom.com/wiki/Citadel</x:v>
      </x:c>
      <x:c r="S10" s="21" t="str">
        <x:v>Spécification à réaliser. Les champs adaptation, gameplay, visual, animation, audio et implementation décrivent le fan game ; ils ne donnent pas des caractéristiques officielles de l’œuvre.</x:v>
      </x:c>
    </x:row>
    <x:row r="11" ht="68" customHeight="1">
      <x:c r="A11" s="18" t="str">
        <x:v>ME3-ZON-CIT-EMBASSY</x:v>
      </x:c>
      <x:c r="B11" s="9" t="str">
        <x:v>Citadelle — ambassades</x:v>
      </x:c>
      <x:c r="C11" s="15" t="str">
        <x:v>Défini</x:v>
      </x:c>
      <x:c r="D11" s="16" t="str">
        <x:v>Établi</x:v>
      </x:c>
      <x:c r="E11" s="16" t="str">
        <x:v>P1</x:v>
      </x:c>
      <x:c r="F11" s="9" t="str">
        <x:v>Hub diplomatique et Spectre.</x:v>
      </x:c>
      <x:c r="G11" s="9" t="str">
        <x:v>Réquisitions, décisions administratives et Conseil sont trois interactions ; titres clairs.</x:v>
      </x:c>
      <x:c r="H11" s="9" t="str">
        <x:v>Réquisitions, décisions administratives et Conseil sont trois interactions ; titres clairs.</x:v>
      </x:c>
      <x:c r="I11" s="9" t="str">
        <x:v>Blanc, panneaux diplomatiques et bureaux.</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me3/zones/cit-embassy ; rattacher les ressources et états cités à cet identifiant. Aucun fichier de jeu créé par ce catalogue.</x:v>
      </x:c>
      <x:c r="M11" s="9" t="str"/>
      <x:c r="N11" s="9" t="str">
        <x:v>Le livrable « Citadelle — ambassades » possède une scène ou un scénario de contrôle ; ses règles proposées, ses conditions et ses retours visuels sont vérifiables séparément.</x:v>
      </x:c>
      <x:c r="O11" s="9" t="str"/>
      <x:c r="P11" s="9" t="str">
        <x:v>Citadelle — ambassades</x:v>
      </x:c>
      <x:c r="Q11" s="9" t="str">
        <x:v>ME3-SRC-CITADEL</x:v>
      </x:c>
      <x:c r="R11" s="20" t="str">
        <x:v>https://masseffect.fandom.com/wiki/Citadel</x:v>
      </x:c>
      <x:c r="S11" s="20" t="str">
        <x:v>Spécification à réaliser. Les champs adaptation, gameplay, visual, animation, audio et implementation décrivent le fan game ; ils ne donnent pas des caractéristiques officielles de l’œuvre.</x:v>
      </x:c>
    </x:row>
    <x:row r="12" ht="68" customHeight="1">
      <x:c r="A12" s="19" t="str">
        <x:v>ME3-ZON-CIT-HOSP</x:v>
      </x:c>
      <x:c r="B12" s="7" t="str">
        <x:v>Hôpital Huerta</x:v>
      </x:c>
      <x:c r="C12" s="15" t="str">
        <x:v>Défini</x:v>
      </x:c>
      <x:c r="D12" s="17" t="str">
        <x:v>Établi</x:v>
      </x:c>
      <x:c r="E12" s="17" t="str">
        <x:v>P1</x:v>
      </x:c>
      <x:c r="F12" s="7" t="str">
        <x:v>Lieu de soins et de retrouvailles.</x:v>
      </x:c>
      <x:c r="G12" s="7" t="str">
        <x:v>Conversations conditionnelles par lit ; mission de données distincte des visites personnelles.</x:v>
      </x:c>
      <x:c r="H12" s="7" t="str">
        <x:v>Conversations conditionnelles par lit ; mission de données distincte des visites personnelles.</x:v>
      </x:c>
      <x:c r="I12" s="7" t="str">
        <x:v>Lumière clinique et baies vitrées.</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me3/zones/cit-hosp ; rattacher les ressources et états cités à cet identifiant. Aucun fichier de jeu créé par ce catalogue.</x:v>
      </x:c>
      <x:c r="M12" s="7" t="str"/>
      <x:c r="N12" s="7" t="str">
        <x:v>Le livrable « Hôpital Huerta » possède une scène ou un scénario de contrôle ; ses règles proposées, ses conditions et ses retours visuels sont vérifiables séparément.</x:v>
      </x:c>
      <x:c r="O12" s="7" t="str"/>
      <x:c r="P12" s="7" t="str">
        <x:v>Hôpital Huerta</x:v>
      </x:c>
      <x:c r="Q12" s="7" t="str">
        <x:v>ME3-SRC-HUERTA</x:v>
      </x:c>
      <x:c r="R12" s="21" t="str">
        <x:v>https://masseffect.fandom.com/wiki/Huerta_Memorial_Hospital</x:v>
      </x:c>
      <x:c r="S12" s="21" t="str">
        <x:v>Spécification à réaliser. Les champs adaptation, gameplay, visual, animation, audio et implementation décrivent le fan game ; ils ne donnent pas des caractéristiques officielles de l’œuvre.</x:v>
      </x:c>
    </x:row>
    <x:row r="13" ht="68" customHeight="1">
      <x:c r="A13" s="18" t="str">
        <x:v>ME3-ZON-CIT-COMMONS</x:v>
      </x:c>
      <x:c r="B13" s="9" t="str">
        <x:v>Présidium — Commons</x:v>
      </x:c>
      <x:c r="C13" s="15" t="str">
        <x:v>Défini</x:v>
      </x:c>
      <x:c r="D13" s="16" t="str">
        <x:v>Établi</x:v>
      </x:c>
      <x:c r="E13" s="16" t="str">
        <x:v>P1</x:v>
      </x:c>
      <x:c r="F13" s="9" t="str">
        <x:v>Secteur social de Citadelle.</x:v>
      </x:c>
      <x:c r="G13" s="9" t="str">
        <x:v>Marchands et appartements proches ; état de fréquentation suit la guerre.</x:v>
      </x:c>
      <x:c r="H13" s="9" t="str">
        <x:v>Marchands et appartements proches ; état de fréquentation suit la guerre.</x:v>
      </x:c>
      <x:c r="I13" s="9" t="str">
        <x:v>Terrasses blanches et eau.</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me3/zones/cit-commons ; rattacher les ressources et états cités à cet identifiant. Aucun fichier de jeu créé par ce catalogue.</x:v>
      </x:c>
      <x:c r="M13" s="9" t="str">
        <x:v>Les scènes de rencontres exigent leur propre fenêtre.</x:v>
      </x:c>
      <x:c r="N13" s="9" t="str">
        <x:v>Le livrable « Présidium — Commons » possède une scène ou un scénario de contrôle ; ses règles proposées, ses conditions et ses retours visuels sont vérifiables séparément.</x:v>
      </x:c>
      <x:c r="O13" s="9" t="str"/>
      <x:c r="P13" s="9" t="str">
        <x:v>Présidium — Commons</x:v>
      </x:c>
      <x:c r="Q13" s="9" t="str">
        <x:v>ME3-SRC-CITADEL</x:v>
      </x:c>
      <x:c r="R13" s="20" t="str">
        <x:v>https://masseffect.fandom.com/wiki/Citadel</x:v>
      </x:c>
      <x:c r="S13" s="20" t="str">
        <x:v>Spécification à réaliser. Les champs adaptation, gameplay, visual, animation, audio et implementation décrivent le fan game ; ils ne donnent pas des caractéristiques officielles de l’œuvre.</x:v>
      </x:c>
    </x:row>
    <x:row r="14" ht="68" customHeight="1">
      <x:c r="A14" s="19" t="str">
        <x:v>ME3-ZON-CIT-PURGATORY</x:v>
      </x:c>
      <x:c r="B14" s="7" t="str">
        <x:v>Purgatory — bar de ME3</x:v>
      </x:c>
      <x:c r="C14" s="15" t="str">
        <x:v>Défini</x:v>
      </x:c>
      <x:c r="D14" s="17" t="str">
        <x:v>Établi</x:v>
      </x:c>
      <x:c r="E14" s="17" t="str">
        <x:v>P1</x:v>
      </x:c>
      <x:c r="F14" s="7" t="str">
        <x:v>Bar de Citadelle.</x:v>
      </x:c>
      <x:c r="G14" s="7" t="str">
        <x:v>Ne pas utiliser le modèle du vaisseau prison ME2 ; contacts d’Aria et Jack par position fixe.</x:v>
      </x:c>
      <x:c r="H14" s="7" t="str">
        <x:v>Ne pas utiliser le modèle du vaisseau prison ME2 ; contacts d’Aria et Jack par position fixe.</x:v>
      </x:c>
      <x:c r="I14" s="7" t="str">
        <x:v>Lumière violette et piste de danse.</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me3/zones/cit-purgatory ; rattacher les ressources et états cités à cet identifiant. Aucun fichier de jeu créé par ce catalogue.</x:v>
      </x:c>
      <x:c r="M14" s="7" t="str"/>
      <x:c r="N14" s="7" t="str">
        <x:v>Le livrable « Purgatory — bar de ME3 » possède une scène ou un scénario de contrôle ; ses règles proposées, ses conditions et ses retours visuels sont vérifiables séparément.</x:v>
      </x:c>
      <x:c r="O14" s="7" t="str"/>
      <x:c r="P14" s="7" t="str">
        <x:v>Purgatory — bar de ME3</x:v>
      </x:c>
      <x:c r="Q14" s="7" t="str">
        <x:v>ME3-SRC-CITADEL</x:v>
      </x:c>
      <x:c r="R14" s="21" t="str">
        <x:v>https://masseffect.fandom.com/wiki/Citadel</x:v>
      </x:c>
      <x:c r="S14" s="21" t="str">
        <x:v>Spécification à réaliser. Les champs adaptation, gameplay, visual, animation, audio et implementation décrivent le fan game ; ils ne donnent pas des caractéristiques officielles de l’œuvre.</x:v>
      </x:c>
    </x:row>
    <x:row r="15" ht="68" customHeight="1">
      <x:c r="A15" s="18" t="str">
        <x:v>ME3-ZON-MARS-ARCHIVE</x:v>
      </x:c>
      <x:c r="B15" s="9" t="str">
        <x:v>Mars — archives</x:v>
      </x:c>
      <x:c r="C15" s="15" t="str">
        <x:v>Défini</x:v>
      </x:c>
      <x:c r="D15" s="16" t="str">
        <x:v>Établi</x:v>
      </x:c>
      <x:c r="E15" s="16" t="str">
        <x:v>P1</x:v>
      </x:c>
      <x:c r="F15" s="9" t="str">
        <x:v>Site des données du Creuset.</x:v>
      </x:c>
      <x:c r="G15" s="9" t="str">
        <x:v>Combats de couloirs et baie de tempête ; faux murs techniques non utilisables comme couvert.</x:v>
      </x:c>
      <x:c r="H15" s="9" t="str">
        <x:v>Combats de couloirs et baie de tempête ; faux murs techniques non utilisables comme couvert.</x:v>
      </x:c>
      <x:c r="I15" s="9" t="str">
        <x:v>Rouge au-dehors, blanc clinique dedans.</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me3/zones/mars-archive ; rattacher les ressources et états cités à cet identifiant. Aucun fichier de jeu créé par ce catalogue.</x:v>
      </x:c>
      <x:c r="M15" s="9" t="str"/>
      <x:c r="N15" s="9" t="str">
        <x:v>Le livrable « Mars — archives » possède une scène ou un scénario de contrôle ; ses règles proposées, ses conditions et ses retours visuels sont vérifiables séparément.</x:v>
      </x:c>
      <x:c r="O15" s="9" t="str"/>
      <x:c r="P15" s="9" t="str">
        <x:v>Mars — archives</x:v>
      </x:c>
      <x:c r="Q15" s="9" t="str">
        <x:v>ME3-SRC-GUIDE</x:v>
      </x:c>
      <x:c r="R15" s="20" t="str">
        <x:v>https://masseffect.fandom.com/wiki/Mass_Effect_3_Guide</x:v>
      </x:c>
      <x:c r="S15" s="20" t="str">
        <x:v>Spécification à réaliser. Les champs adaptation, gameplay, visual, animation, audio et implementation décrivent le fan game ; ils ne donnent pas des caractéristiques officielles de l’œuvre.</x:v>
      </x:c>
    </x:row>
    <x:row r="16" ht="68" customHeight="1">
      <x:c r="A16" s="19" t="str">
        <x:v>ME3-ZON-MENAE-CAMP</x:v>
      </x:c>
      <x:c r="B16" s="7" t="str">
        <x:v>Menae — camp turien</x:v>
      </x:c>
      <x:c r="C16" s="15" t="str">
        <x:v>Défini</x:v>
      </x:c>
      <x:c r="D16" s="17" t="str">
        <x:v>Établi</x:v>
      </x:c>
      <x:c r="E16" s="17" t="str">
        <x:v>P1</x:v>
      </x:c>
      <x:c r="F16" s="7" t="str">
        <x:v>Front du secours de Victus.</x:v>
      </x:c>
      <x:c r="G16" s="7" t="str">
        <x:v>Centre de commandement et plusieurs sorties, menace de brute par entrée annoncée.</x:v>
      </x:c>
      <x:c r="H16" s="7" t="str">
        <x:v>Centre de commandement et plusieurs sorties, menace de brute par entrée annoncée.</x:v>
      </x:c>
      <x:c r="I16" s="7" t="str">
        <x:v>Batteries, tentes et fumées.</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me3/zones/menae-camp ; rattacher les ressources et états cités à cet identifiant. Aucun fichier de jeu créé par ce catalogue.</x:v>
      </x:c>
      <x:c r="M16" s="7" t="str"/>
      <x:c r="N16" s="7" t="str">
        <x:v>Le livrable « Menae — camp turien » possède une scène ou un scénario de contrôle ; ses règles proposées, ses conditions et ses retours visuels sont vérifiables séparément.</x:v>
      </x:c>
      <x:c r="O16" s="7" t="str"/>
      <x:c r="P16" s="7" t="str">
        <x:v>Menae — camp turien</x:v>
      </x:c>
      <x:c r="Q16" s="7" t="str">
        <x:v>ME3-SRC-GUIDE</x:v>
      </x:c>
      <x:c r="R16" s="21" t="str">
        <x:v>https://masseffect.fandom.com/wiki/Mass_Effect_3_Guide</x:v>
      </x:c>
      <x:c r="S16" s="21" t="str">
        <x:v>Spécification à réaliser. Les champs adaptation, gameplay, visual, animation, audio et implementation décrivent le fan game ; ils ne donnent pas des caractéristiques officielles de l’œuvre.</x:v>
      </x:c>
    </x:row>
    <x:row r="17" ht="68" customHeight="1">
      <x:c r="A17" s="18" t="str">
        <x:v>ME3-ZON-SURKESH-LAB</x:v>
      </x:c>
      <x:c r="B17" s="9" t="str">
        <x:v>Sur’Kesh — laboratoire vertical</x:v>
      </x:c>
      <x:c r="C17" s="15" t="str">
        <x:v>Défini</x:v>
      </x:c>
      <x:c r="D17" s="16" t="str">
        <x:v>Établi</x:v>
      </x:c>
      <x:c r="E17" s="16" t="str">
        <x:v>P1</x:v>
      </x:c>
      <x:c r="F17" s="9" t="str">
        <x:v>Capsule d’Eve à évacuer.</x:v>
      </x:c>
      <x:c r="G17" s="9" t="str">
        <x:v>Étages reliés par ascenseurs de capsule ; les ennemis attaquent les flancs sans téléportation invisible.</x:v>
      </x:c>
      <x:c r="H17" s="9" t="str">
        <x:v>Étages reliés par ascenseurs de capsule ; les ennemis attaquent les flancs sans téléportation invisible.</x:v>
      </x:c>
      <x:c r="I17" s="9" t="str">
        <x:v>Végétation et consoles galariennes.</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me3/zones/surkesh-lab ; rattacher les ressources et états cités à cet identifiant. Aucun fichier de jeu créé par ce catalogue.</x:v>
      </x:c>
      <x:c r="M17" s="9" t="str"/>
      <x:c r="N17" s="9" t="str">
        <x:v>Le livrable « Sur’Kesh — laboratoire vertical » possède une scène ou un scénario de contrôle ; ses règles proposées, ses conditions et ses retours visuels sont vérifiables séparément.</x:v>
      </x:c>
      <x:c r="O17" s="9" t="str"/>
      <x:c r="P17" s="9" t="str">
        <x:v>Sur’Kesh — laboratoire vertical</x:v>
      </x:c>
      <x:c r="Q17" s="9" t="str">
        <x:v>ME3-SRC-GUIDE</x:v>
      </x:c>
      <x:c r="R17" s="20" t="str">
        <x:v>https://masseffect.fandom.com/wiki/Mass_Effect_3_Guide</x:v>
      </x:c>
      <x:c r="S17" s="20" t="str">
        <x:v>Spécification à réaliser. Les champs adaptation, gameplay, visual, animation, audio et implementation décrivent le fan game ; ils ne donnent pas des caractéristiques officielles de l’œuvre.</x:v>
      </x:c>
    </x:row>
    <x:row r="18" ht="68" customHeight="1">
      <x:c r="A18" s="19" t="str">
        <x:v>ME3-ZON-SHROUD</x:v>
      </x:c>
      <x:c r="B18" s="7" t="str">
        <x:v>Tuchanka — Shroud</x:v>
      </x:c>
      <x:c r="C18" s="15" t="str">
        <x:v>Défini</x:v>
      </x:c>
      <x:c r="D18" s="17" t="str">
        <x:v>Établi</x:v>
      </x:c>
      <x:c r="E18" s="17" t="str">
        <x:v>P1</x:v>
      </x:c>
      <x:c r="F18" s="7" t="str">
        <x:v>La cure passe par la tour.</x:v>
      </x:c>
      <x:c r="G18" s="7" t="str">
        <x:v>Montée narrative, sabotage et conclusion ; garder le combat géant à distance de l’intérieur.</x:v>
      </x:c>
      <x:c r="H18" s="7" t="str">
        <x:v>Montée narrative, sabotage et conclusion ; garder le combat géant à distance de l’intérieur.</x:v>
      </x:c>
      <x:c r="I18" s="7" t="str">
        <x:v>Tour atmosphérique et ruines sacrées.</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me3/zones/shroud ; rattacher les ressources et états cités à cet identifiant. Aucun fichier de jeu créé par ce catalogue.</x:v>
      </x:c>
      <x:c r="M18" s="7" t="str"/>
      <x:c r="N18" s="7" t="str">
        <x:v>Le livrable « Tuchanka — Shroud » possède une scène ou un scénario de contrôle ; ses règles proposées, ses conditions et ses retours visuels sont vérifiables séparément.</x:v>
      </x:c>
      <x:c r="O18" s="7" t="str"/>
      <x:c r="P18" s="7" t="str">
        <x:v>Tuchanka — Shroud</x:v>
      </x:c>
      <x:c r="Q18" s="7" t="str">
        <x:v>ME3-SRC-TUCH</x:v>
      </x:c>
      <x:c r="R18" s="21" t="str">
        <x:v>https://masseffect.fandom.com/wiki/Priority%3A_Tuchanka</x:v>
      </x:c>
      <x:c r="S18" s="21" t="str">
        <x:v>Spécification à réaliser. Les champs adaptation, gameplay, visual, animation, audio et implementation décrivent le fan game ; ils ne donnent pas des caractéristiques officielles de l’œuvre.</x:v>
      </x:c>
    </x:row>
    <x:row r="19" ht="68" customHeight="1">
      <x:c r="A19" s="18" t="str">
        <x:v>ME3-ZON-TUCH-BOMB</x:v>
      </x:c>
      <x:c r="B19" s="9" t="str">
        <x:v>Tuchanka — site de la bombe</x:v>
      </x:c>
      <x:c r="C19" s="15" t="str">
        <x:v>Défini</x:v>
      </x:c>
      <x:c r="D19" s="16" t="str">
        <x:v>Établi</x:v>
      </x:c>
      <x:c r="E19" s="16" t="str">
        <x:v>P1</x:v>
      </x:c>
      <x:c r="F19" s="9" t="str">
        <x:v>Zone de désamorçage.</x:v>
      </x:c>
      <x:c r="G19" s="9" t="str">
        <x:v>Couverture en anneau et défense de l’officier ; arme lourde locale marquée comme temporaire.</x:v>
      </x:c>
      <x:c r="H19" s="9" t="str">
        <x:v>Couverture en anneau et défense de l’officier ; arme lourde locale marquée comme temporaire.</x:v>
      </x:c>
      <x:c r="I19" s="9" t="str">
        <x:v>Pylônes et dispositif sous ruines.</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me3/zones/tuch-bomb ; rattacher les ressources et états cités à cet identifiant. Aucun fichier de jeu créé par ce catalogue.</x:v>
      </x:c>
      <x:c r="M19" s="9" t="str"/>
      <x:c r="N19" s="9" t="str">
        <x:v>Le livrable « Tuchanka — site de la bombe » possède une scène ou un scénario de contrôle ; ses règles proposées, ses conditions et ses retours visuels sont vérifiables séparément.</x:v>
      </x:c>
      <x:c r="O19" s="9" t="str"/>
      <x:c r="P19" s="9" t="str">
        <x:v>Tuchanka — site de la bombe</x:v>
      </x:c>
      <x:c r="Q19" s="9" t="str">
        <x:v>ME3-SRC-BOMB</x:v>
      </x:c>
      <x:c r="R19" s="20" t="str">
        <x:v>https://masseffect.fandom.com/wiki/Tuchanka%3A_Bomb</x:v>
      </x:c>
      <x:c r="S19" s="20" t="str">
        <x:v>Spécification à réaliser. Les champs adaptation, gameplay, visual, animation, audio et implementation décrivent le fan game ; ils ne donnent pas des caractéristiques officielles de l’œuvre.</x:v>
      </x:c>
    </x:row>
    <x:row r="20" ht="68" customHeight="1">
      <x:c r="A20" s="19" t="str">
        <x:v>ME3-ZON-RACHNI-TUNNEL</x:v>
      </x:c>
      <x:c r="B20" s="7" t="str">
        <x:v>Utukku — tunnels rachni</x:v>
      </x:c>
      <x:c r="C20" s="15" t="str">
        <x:v>Défini</x:v>
      </x:c>
      <x:c r="D20" s="17" t="str">
        <x:v>Établi</x:v>
      </x:c>
      <x:c r="E20" s="17" t="str">
        <x:v>P1</x:v>
      </x:c>
      <x:c r="F20" s="7" t="str">
        <x:v>La reine est au fond des tunnels.</x:v>
      </x:c>
      <x:c r="G20" s="7" t="str">
        <x:v>Coulées organiques, sacs de swarmer et poche de reine ; les flammes dégageant le chemin restent distinctes du tir d’arme.</x:v>
      </x:c>
      <x:c r="H20" s="7" t="str">
        <x:v>Coulées organiques, sacs de swarmer et poche de reine ; les flammes dégageant le chemin restent distinctes du tir d’arme.</x:v>
      </x:c>
      <x:c r="I20" s="7" t="str">
        <x:v>Membranes et halos Moissonneurs.</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me3/zones/rachni-tunnel ; rattacher les ressources et états cités à cet identifiant. Aucun fichier de jeu créé par ce catalogue.</x:v>
      </x:c>
      <x:c r="M20" s="7" t="str"/>
      <x:c r="N20" s="7" t="str">
        <x:v>Le livrable « Utukku — tunnels rachni » possède une scène ou un scénario de contrôle ; ses règles proposées, ses conditions et ses retours visuels sont vérifiables séparément.</x:v>
      </x:c>
      <x:c r="O20" s="7" t="str"/>
      <x:c r="P20" s="7" t="str">
        <x:v>Utukku — tunnels rachni</x:v>
      </x:c>
      <x:c r="Q20" s="7" t="str">
        <x:v>ME3-SRC-RACHNI</x:v>
      </x:c>
      <x:c r="R20" s="21" t="str">
        <x:v>https://masseffect.fandom.com/wiki/Attican_Traverse%3A_Krogan_Team</x:v>
      </x:c>
      <x:c r="S20" s="21" t="str">
        <x:v>Spécification à réaliser. Les champs adaptation, gameplay, visual, animation, audio et implementation décrivent le fan game ; ils ne donnent pas des caractéristiques officielles de l’œuvre.</x:v>
      </x:c>
    </x:row>
    <x:row r="21" ht="68" customHeight="1">
      <x:c r="A21" s="18" t="str">
        <x:v>ME3-ZON-GRISSOM-ATRIUM</x:v>
      </x:c>
      <x:c r="B21" s="9" t="str">
        <x:v>Grissom — atrium</x:v>
      </x:c>
      <x:c r="C21" s="15" t="str">
        <x:v>Défini</x:v>
      </x:c>
      <x:c r="D21" s="16" t="str">
        <x:v>Établi</x:v>
      </x:c>
      <x:c r="E21" s="16" t="str">
        <x:v>P1</x:v>
      </x:c>
      <x:c r="F21" s="9" t="str">
        <x:v>L’évacuation traverse les salles d’école.</x:v>
      </x:c>
      <x:c r="G21" s="9" t="str">
        <x:v>Deux niveaux avec défenses d’élèves ; les silhouettes civiles utilisent des marques de non-cible.</x:v>
      </x:c>
      <x:c r="H21" s="9" t="str">
        <x:v>Deux niveaux avec défenses d’élèves ; les silhouettes civiles utilisent des marques de non-cible.</x:v>
      </x:c>
      <x:c r="I21" s="9" t="str">
        <x:v>Jardin intérieur, vitres et classe détruite.</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me3/zones/grissom-atrium ; rattacher les ressources et états cités à cet identifiant. Aucun fichier de jeu créé par ce catalogue.</x:v>
      </x:c>
      <x:c r="M21" s="9" t="str"/>
      <x:c r="N21" s="9" t="str">
        <x:v>Le livrable « Grissom — atrium » possède une scène ou un scénario de contrôle ; ses règles proposées, ses conditions et ses retours visuels sont vérifiables séparément.</x:v>
      </x:c>
      <x:c r="O21" s="9" t="str"/>
      <x:c r="P21" s="9" t="str">
        <x:v>Grissom — atrium</x:v>
      </x:c>
      <x:c r="Q21" s="9" t="str">
        <x:v>ME3-SRC-GRISSOM</x:v>
      </x:c>
      <x:c r="R21" s="20" t="str">
        <x:v>https://masseffect.fandom.com/wiki/Grissom_Academy%3A_Emergency_Evacuation</x:v>
      </x:c>
      <x:c r="S21" s="20" t="str">
        <x:v>Spécification à réaliser. Les champs adaptation, gameplay, visual, animation, audio et implementation décrivent le fan game ; ils ne donnent pas des caractéristiques officielles de l’œuvre.</x:v>
      </x:c>
    </x:row>
    <x:row r="22" ht="68" customHeight="1">
      <x:c r="A22" s="19" t="str">
        <x:v>ME3-ZON-ARRAE-BASE</x:v>
      </x:c>
      <x:c r="B22" s="7" t="str">
        <x:v>Gellix — camp scientifique</x:v>
      </x:c>
      <x:c r="C22" s="15" t="str">
        <x:v>Défini</x:v>
      </x:c>
      <x:c r="D22" s="17" t="str">
        <x:v>Établi</x:v>
      </x:c>
      <x:c r="E22" s="17" t="str">
        <x:v>P1</x:v>
      </x:c>
      <x:c r="F22" s="7" t="str">
        <x:v>Les civils attendent l’extraction.</x:v>
      </x:c>
      <x:c r="G22" s="7" t="str">
        <x:v>Périphérie de tourelle et toit de communication ; routes d’évacuation réservées.</x:v>
      </x:c>
      <x:c r="H22" s="7" t="str">
        <x:v>Périphérie de tourelle et toit de communication ; routes d’évacuation réservées.</x:v>
      </x:c>
      <x:c r="I22" s="7" t="str">
        <x:v>Containers et laboratoire de fortune.</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me3/zones/arrae-base ; rattacher les ressources et états cités à cet identifiant. Aucun fichier de jeu créé par ce catalogue.</x:v>
      </x:c>
      <x:c r="M22" s="7" t="str"/>
      <x:c r="N22" s="7" t="str">
        <x:v>Le livrable « Gellix — camp scientifique » possède une scène ou un scénario de contrôle ; ses règles proposées, ses conditions et ses retours visuels sont vérifiables séparément.</x:v>
      </x:c>
      <x:c r="O22" s="7" t="str"/>
      <x:c r="P22" s="7" t="str">
        <x:v>Gellix — camp scientifique</x:v>
      </x:c>
      <x:c r="Q22" s="7" t="str">
        <x:v>ME3-SRC-ARRAE</x:v>
      </x:c>
      <x:c r="R22" s="21" t="str">
        <x:v>https://masseffect.fandom.com/wiki/Arrae%3A_Ex-Cerberus_Scientists</x:v>
      </x:c>
      <x:c r="S22" s="21" t="str">
        <x:v>Spécification à réaliser. Les champs adaptation, gameplay, visual, animation, audio et implementation décrivent le fan game ; ils ne donnent pas des caractéristiques officielles de l’œuvre.</x:v>
      </x:c>
    </x:row>
    <x:row r="23" ht="68" customHeight="1">
      <x:c r="A23" s="18" t="str">
        <x:v>ME3-ZON-KALLINI-HALL</x:v>
      </x:c>
      <x:c r="B23" s="9" t="str">
        <x:v>Monastère — grand hall</x:v>
      </x:c>
      <x:c r="C23" s="15" t="str">
        <x:v>Défini</x:v>
      </x:c>
      <x:c r="D23" s="16" t="str">
        <x:v>Établi</x:v>
      </x:c>
      <x:c r="E23" s="16" t="str">
        <x:v>P1</x:v>
      </x:c>
      <x:c r="F23" s="9" t="str">
        <x:v>Falere recherche Rila.</x:v>
      </x:c>
      <x:c r="G23" s="9" t="str">
        <x:v>Salle sombre avec repères fixes ; Banshee audible et visible avant entrée dans la zone proche.</x:v>
      </x:c>
      <x:c r="H23" s="9" t="str">
        <x:v>Salle sombre avec repères fixes ; Banshee audible et visible avant entrée dans la zone proche.</x:v>
      </x:c>
      <x:c r="I23" s="9" t="str">
        <x:v>Grand volume asari et piliers.</x:v>
      </x:c>
      <x:c r="J23" s="9" t="str">
        <x:v>Préparer état de repos, anticipation, activation et retour au repos ; aligner les événements visuels sur la résolution de l’action ATB.</x:v>
      </x:c>
      <x:c r="K23" s="9" t="str">
        <x:v>Créer des bruitages et ambiances originaux adaptés au livrable ; sous-titrer les indices utiles et proposer un réglage indépendant des effets. Aucune extraction audio demandée.</x:v>
      </x:c>
      <x:c r="L23" s="9" t="str">
        <x:v>Prévu : fiche de données me3/zones/kallini-hall ; rattacher les ressources et états cités à cet identifiant. Aucun fichier de jeu créé par ce catalogue.</x:v>
      </x:c>
      <x:c r="M23" s="9" t="str"/>
      <x:c r="N23" s="9" t="str">
        <x:v>Le livrable « Monastère — grand hall » possède une scène ou un scénario de contrôle ; ses règles proposées, ses conditions et ses retours visuels sont vérifiables séparément.</x:v>
      </x:c>
      <x:c r="O23" s="9" t="str"/>
      <x:c r="P23" s="9" t="str">
        <x:v>Monastère — grand hall</x:v>
      </x:c>
      <x:c r="Q23" s="9" t="str">
        <x:v>ME3-SRC-KALLINI</x:v>
      </x:c>
      <x:c r="R23" s="20" t="str">
        <x:v>https://masseffect.fandom.com/wiki/Kallini%3A_Ardat-Yakshi_Monastery</x:v>
      </x:c>
      <x:c r="S23" s="20" t="str">
        <x:v>Spécification à réaliser. Les champs adaptation, gameplay, visual, animation, audio et implementation décrivent le fan game ; ils ne donnent pas des caractéristiques officielles de l’œuvre.</x:v>
      </x:c>
    </x:row>
    <x:row r="24" ht="68" customHeight="1">
      <x:c r="A24" s="19" t="str">
        <x:v>ME3-ZON-GETH-DREAD</x:v>
      </x:c>
      <x:c r="B24" s="7" t="str">
        <x:v>Cuirassé geth — canon</x:v>
      </x:c>
      <x:c r="C24" s="15" t="str">
        <x:v>Défini</x:v>
      </x:c>
      <x:c r="D24" s="17" t="str">
        <x:v>Établi</x:v>
      </x:c>
      <x:c r="E24" s="17" t="str">
        <x:v>P1</x:v>
      </x:c>
      <x:c r="F24" s="7" t="str">
        <x:v>Mission d’assaut du cuirassé.</x:v>
      </x:c>
      <x:c r="G24" s="7" t="str">
        <x:v>Impulsions périodiques annoncées au sol ; abris ne cachant pas la jauge de charge.</x:v>
      </x:c>
      <x:c r="H24" s="7" t="str">
        <x:v>Impulsions périodiques annoncées au sol ; abris ne cachant pas la jauge de charge.</x:v>
      </x:c>
      <x:c r="I24" s="7" t="str">
        <x:v>Canon central bleu et surfaces synthétiques.</x:v>
      </x:c>
      <x:c r="J24" s="7" t="str">
        <x:v>Préparer état de repos, anticipation, activation et retour au repos ; aligner les événements visuels sur la résolution de l’action ATB.</x:v>
      </x:c>
      <x:c r="K24" s="7" t="str">
        <x:v>Créer des bruitages et ambiances originaux adaptés au livrable ; sous-titrer les indices utiles et proposer un réglage indépendant des effets. Aucune extraction audio demandée.</x:v>
      </x:c>
      <x:c r="L24" s="7" t="str">
        <x:v>Prévu : fiche de données me3/zones/geth-dread ; rattacher les ressources et états cités à cet identifiant. Aucun fichier de jeu créé par ce catalogue.</x:v>
      </x:c>
      <x:c r="M24" s="7" t="str"/>
      <x:c r="N24" s="7" t="str">
        <x:v>Le livrable « Cuirassé geth — canon » possède une scène ou un scénario de contrôle ; ses règles proposées, ses conditions et ses retours visuels sont vérifiables séparément.</x:v>
      </x:c>
      <x:c r="O24" s="7" t="str"/>
      <x:c r="P24" s="7" t="str">
        <x:v>Cuirassé geth — canon</x:v>
      </x:c>
      <x:c r="Q24" s="7" t="str">
        <x:v>ME3-SRC-MISSIONS</x:v>
      </x:c>
      <x:c r="R24" s="21" t="str">
        <x:v>https://masseffect.fandom.com/wiki/Missions</x:v>
      </x:c>
      <x:c r="S24" s="21" t="str">
        <x:v>Spécification à réaliser. Les champs adaptation, gameplay, visual, animation, audio et implementation décrivent le fan game ; ils ne donnent pas des caractéristiques officielles de l’œuvre.</x:v>
      </x:c>
    </x:row>
    <x:row r="25" ht="68" customHeight="1">
      <x:c r="A25" s="18" t="str">
        <x:v>ME3-ZON-GETH-CONSENSUS</x:v>
      </x:c>
      <x:c r="B25" s="9" t="str">
        <x:v>Consensus geth</x:v>
      </x:c>
      <x:c r="C25" s="15" t="str">
        <x:v>Défini</x:v>
      </x:c>
      <x:c r="D25" s="16" t="str">
        <x:v>Établi</x:v>
      </x:c>
      <x:c r="E25" s="16" t="str">
        <x:v>P1</x:v>
      </x:c>
      <x:c r="F25" s="9" t="str">
        <x:v>Le joueur visite un espace virtuel.</x:v>
      </x:c>
      <x:c r="G25" s="9" t="str">
        <x:v>Traversée en couche séparée ; arme de débogage sans inventaire de campagne et fragments de mémoire non tirables.</x:v>
      </x:c>
      <x:c r="H25" s="9" t="str">
        <x:v>Traversée en couche séparée ; arme de débogage sans inventaire de campagne et fragments de mémoire non tirables.</x:v>
      </x:c>
      <x:c r="I25" s="9" t="str">
        <x:v>Blanc numérique et chemins de données.</x:v>
      </x:c>
      <x:c r="J25" s="9" t="str">
        <x:v>Préparer état de repos, anticipation, activation et retour au repos ; aligner les événements visuels sur la résolution de l’action ATB.</x:v>
      </x:c>
      <x:c r="K25" s="9" t="str">
        <x:v>Créer des bruitages et ambiances originaux adaptés au livrable ; sous-titrer les indices utiles et proposer un réglage indépendant des effets. Aucune extraction audio demandée.</x:v>
      </x:c>
      <x:c r="L25" s="9" t="str">
        <x:v>Prévu : fiche de données me3/zones/geth-consensus ; rattacher les ressources et états cités à cet identifiant. Aucun fichier de jeu créé par ce catalogue.</x:v>
      </x:c>
      <x:c r="M25" s="9" t="str"/>
      <x:c r="N25" s="9" t="str">
        <x:v>Le livrable « Consensus geth » possède une scène ou un scénario de contrôle ; ses règles proposées, ses conditions et ses retours visuels sont vérifiables séparément.</x:v>
      </x:c>
      <x:c r="O25" s="9" t="str"/>
      <x:c r="P25" s="9" t="str">
        <x:v>Consensus geth</x:v>
      </x:c>
      <x:c r="Q25" s="9" t="str">
        <x:v>ME3-SRC-FIGHTERS</x:v>
      </x:c>
      <x:c r="R25" s="20" t="str">
        <x:v>https://masseffect.fandom.com/wiki/Rannoch%3A_Geth_Fighter_Squadrons</x:v>
      </x:c>
      <x:c r="S25" s="20" t="str">
        <x:v>Spécification à réaliser. Les champs adaptation, gameplay, visual, animation, audio et implementation décrivent le fan game ; ils ne donnent pas des caractéristiques officielles de l’œuvre.</x:v>
      </x:c>
    </x:row>
    <x:row r="26" ht="68" customHeight="1">
      <x:c r="A26" s="19" t="str">
        <x:v>ME3-ZON-RANNOCH-BASE</x:v>
      </x:c>
      <x:c r="B26" s="7" t="str">
        <x:v>Rannoch — base du Moissonneur</x:v>
      </x:c>
      <x:c r="C26" s="15" t="str">
        <x:v>Défini</x:v>
      </x:c>
      <x:c r="D26" s="17" t="str">
        <x:v>Établi</x:v>
      </x:c>
      <x:c r="E26" s="17" t="str">
        <x:v>P1</x:v>
      </x:c>
      <x:c r="F26" s="7" t="str">
        <x:v>Site de confrontation planétaire.</x:v>
      </x:c>
      <x:c r="G26" s="7" t="str">
        <x:v>Trois arènes jusqu’au ciblage de vaisseau ; mode d’aide de visée du boss proposé.</x:v>
      </x:c>
      <x:c r="H26" s="7" t="str">
        <x:v>Trois arènes jusqu’au ciblage de vaisseau ; mode d’aide de visée du boss proposé.</x:v>
      </x:c>
      <x:c r="I26" s="7" t="str">
        <x:v>Structures geth, plateaux et grand rayon.</x:v>
      </x:c>
      <x:c r="J26" s="7" t="str">
        <x:v>Préparer état de repos, anticipation, activation et retour au repos ; aligner les événements visuels sur la résolution de l’action ATB.</x:v>
      </x:c>
      <x:c r="K26" s="7" t="str">
        <x:v>Créer des bruitages et ambiances originaux adaptés au livrable ; sous-titrer les indices utiles et proposer un réglage indépendant des effets. Aucune extraction audio demandée.</x:v>
      </x:c>
      <x:c r="L26" s="7" t="str">
        <x:v>Prévu : fiche de données me3/zones/rannoch-base ; rattacher les ressources et états cités à cet identifiant. Aucun fichier de jeu créé par ce catalogue.</x:v>
      </x:c>
      <x:c r="M26" s="7" t="str"/>
      <x:c r="N26" s="7" t="str">
        <x:v>Le livrable « Rannoch — base du Moissonneur » possède une scène ou un scénario de contrôle ; ses règles proposées, ses conditions et ses retours visuels sont vérifiables séparément.</x:v>
      </x:c>
      <x:c r="O26" s="7" t="str"/>
      <x:c r="P26" s="7" t="str">
        <x:v>Rannoch — base du Moissonneur</x:v>
      </x:c>
      <x:c r="Q26" s="7" t="str">
        <x:v>ME3-SRC-RANNOCH</x:v>
      </x:c>
      <x:c r="R26" s="21" t="str">
        <x:v>https://masseffect.fandom.com/wiki/Priority%3A_Rannoch</x:v>
      </x:c>
      <x:c r="S26" s="21" t="str">
        <x:v>Spécification à réaliser. Les champs adaptation, gameplay, visual, animation, audio et implementation décrivent le fan game ; ils ne donnent pas des caractéristiques officielles de l’œuvre.</x:v>
      </x:c>
    </x:row>
    <x:row r="27" ht="68" customHeight="1">
      <x:c r="A27" s="18" t="str">
        <x:v>ME3-ZON-THESSIA-TEMPLE</x:v>
      </x:c>
      <x:c r="B27" s="9" t="str">
        <x:v>Thessia — temple d’Athame</x:v>
      </x:c>
      <x:c r="C27" s="15" t="str">
        <x:v>Défini</x:v>
      </x:c>
      <x:c r="D27" s="16" t="str">
        <x:v>Établi</x:v>
      </x:c>
      <x:c r="E27" s="16" t="str">
        <x:v>P1</x:v>
      </x:c>
      <x:c r="F27" s="9" t="str">
        <x:v>Vendetta est révélée au temple.</x:v>
      </x:c>
      <x:c r="G27" s="9" t="str">
        <x:v>Indices architecturaux puis activation ; dialogues de Javik conditionnels sans le rendre obligatoire.</x:v>
      </x:c>
      <x:c r="H27" s="9" t="str">
        <x:v>Indices architecturaux puis activation ; dialogues de Javik conditionnels sans le rendre obligatoire.</x:v>
      </x:c>
      <x:c r="I27" s="9" t="str">
        <x:v>Statues asari et hologramme prothéen.</x:v>
      </x:c>
      <x:c r="J27" s="9" t="str">
        <x:v>Préparer état de repos, anticipation, activation et retour au repos ; aligner les événements visuels sur la résolution de l’action ATB.</x:v>
      </x:c>
      <x:c r="K27" s="9" t="str">
        <x:v>Créer des bruitages et ambiances originaux adaptés au livrable ; sous-titrer les indices utiles et proposer un réglage indépendant des effets. Aucune extraction audio demandée.</x:v>
      </x:c>
      <x:c r="L27" s="9" t="str">
        <x:v>Prévu : fiche de données me3/zones/thessia-temple ; rattacher les ressources et états cités à cet identifiant. Aucun fichier de jeu créé par ce catalogue.</x:v>
      </x:c>
      <x:c r="M27" s="9" t="str"/>
      <x:c r="N27" s="9" t="str">
        <x:v>Le livrable « Thessia — temple d’Athame » possède une scène ou un scénario de contrôle ; ses règles proposées, ses conditions et ses retours visuels sont vérifiables séparément.</x:v>
      </x:c>
      <x:c r="O27" s="9" t="str"/>
      <x:c r="P27" s="9" t="str">
        <x:v>Thessia — temple d’Athame</x:v>
      </x:c>
      <x:c r="Q27" s="9" t="str">
        <x:v>ME3-SRC-THESSIA</x:v>
      </x:c>
      <x:c r="R27" s="20" t="str">
        <x:v>https://masseffect.fandom.com/wiki/Priority%3A_Thessia</x:v>
      </x:c>
      <x:c r="S27" s="20" t="str">
        <x:v>Spécification à réaliser. Les champs adaptation, gameplay, visual, animation, audio et implementation décrivent le fan game ; ils ne donnent pas des caractéristiques officielles de l’œuvre.</x:v>
      </x:c>
    </x:row>
    <x:row r="28" ht="68" customHeight="1">
      <x:c r="A28" s="19" t="str">
        <x:v>ME3-ZON-SANCTUARY</x:v>
      </x:c>
      <x:c r="B28" s="7" t="str">
        <x:v>Horizon — accueil et laboratoires</x:v>
      </x:c>
      <x:c r="C28" s="15" t="str">
        <x:v>Défini</x:v>
      </x:c>
      <x:c r="D28" s="17" t="str">
        <x:v>Établi</x:v>
      </x:c>
      <x:c r="E28" s="17" t="str">
        <x:v>P1</x:v>
      </x:c>
      <x:c r="F28" s="7" t="str">
        <x:v>Sanctuary cache son programme.</x:v>
      </x:c>
      <x:c r="G28" s="7" t="str">
        <x:v>Parcours de dévoilement en couches ; panneaux de bienvenue contrastent avec équipement de recherche.</x:v>
      </x:c>
      <x:c r="H28" s="7" t="str">
        <x:v>Parcours de dévoilement en couches ; panneaux de bienvenue contrastent avec équipement de recherche.</x:v>
      </x:c>
      <x:c r="I28" s="7" t="str">
        <x:v>Blanc rassurant puis noir technique.</x:v>
      </x:c>
      <x:c r="J28" s="7" t="str">
        <x:v>Préparer état de repos, anticipation, activation et retour au repos ; aligner les événements visuels sur la résolution de l’action ATB.</x:v>
      </x:c>
      <x:c r="K28" s="7" t="str">
        <x:v>Créer des bruitages et ambiances originaux adaptés au livrable ; sous-titrer les indices utiles et proposer un réglage indépendant des effets. Aucune extraction audio demandée.</x:v>
      </x:c>
      <x:c r="L28" s="7" t="str">
        <x:v>Prévu : fiche de données me3/zones/sanctuary ; rattacher les ressources et états cités à cet identifiant. Aucun fichier de jeu créé par ce catalogue.</x:v>
      </x:c>
      <x:c r="M28" s="7" t="str"/>
      <x:c r="N28" s="7" t="str">
        <x:v>Le livrable « Horizon — accueil et laboratoires » possède une scène ou un scénario de contrôle ; ses règles proposées, ses conditions et ses retours visuels sont vérifiables séparément.</x:v>
      </x:c>
      <x:c r="O28" s="7" t="str"/>
      <x:c r="P28" s="7" t="str">
        <x:v>Horizon — accueil et laboratoires</x:v>
      </x:c>
      <x:c r="Q28" s="7" t="str">
        <x:v>ME3-SRC-HORIZON</x:v>
      </x:c>
      <x:c r="R28" s="21" t="str">
        <x:v>https://masseffect.fandom.com/wiki/Priority%3A_Horizon</x:v>
      </x:c>
      <x:c r="S28" s="21" t="str">
        <x:v>Spécification à réaliser. Les champs adaptation, gameplay, visual, animation, audio et implementation décrivent le fan game ; ils ne donnent pas des caractéristiques officielles de l’œuvre.</x:v>
      </x:c>
    </x:row>
    <x:row r="29" ht="68" customHeight="1">
      <x:c r="A29" s="18" t="str">
        <x:v>ME3-ZON-HQ-HANGAR</x:v>
      </x:c>
      <x:c r="B29" s="9" t="str">
        <x:v>Cerberus — hangar et archives</x:v>
      </x:c>
      <x:c r="C29" s="15" t="str">
        <x:v>Défini</x:v>
      </x:c>
      <x:c r="D29" s="16" t="str">
        <x:v>Établi</x:v>
      </x:c>
      <x:c r="E29" s="16" t="str">
        <x:v>P1</x:v>
      </x:c>
      <x:c r="F29" s="9" t="str">
        <x:v>L’assaut mène aux données de Cerberus.</x:v>
      </x:c>
      <x:c r="G29" s="9" t="str">
        <x:v>Hangar d’Atlas, passerelles puis salle Kai Leng ; écran de verrou final avant embarquement.</x:v>
      </x:c>
      <x:c r="H29" s="9" t="str">
        <x:v>Hangar d’Atlas, passerelles puis salle Kai Leng ; écran de verrou final avant embarquement.</x:v>
      </x:c>
      <x:c r="I29" s="9" t="str">
        <x:v>Navettes, vidéos et bureaux.</x:v>
      </x:c>
      <x:c r="J29" s="9" t="str">
        <x:v>Préparer état de repos, anticipation, activation et retour au repos ; aligner les événements visuels sur la résolution de l’action ATB.</x:v>
      </x:c>
      <x:c r="K29" s="9" t="str">
        <x:v>Créer des bruitages et ambiances originaux adaptés au livrable ; sous-titrer les indices utiles et proposer un réglage indépendant des effets. Aucune extraction audio demandée.</x:v>
      </x:c>
      <x:c r="L29" s="9" t="str">
        <x:v>Prévu : fiche de données me3/zones/hq-hangar ; rattacher les ressources et états cités à cet identifiant. Aucun fichier de jeu créé par ce catalogue.</x:v>
      </x:c>
      <x:c r="M29" s="9" t="str"/>
      <x:c r="N29" s="9" t="str">
        <x:v>Le livrable « Cerberus — hangar et archives » possède une scène ou un scénario de contrôle ; ses règles proposées, ses conditions et ses retours visuels sont vérifiables séparément.</x:v>
      </x:c>
      <x:c r="O29" s="9" t="str"/>
      <x:c r="P29" s="9" t="str">
        <x:v>Cerberus — hangar et archives</x:v>
      </x:c>
      <x:c r="Q29" s="9" t="str">
        <x:v>ME3-SRC-HQ</x:v>
      </x:c>
      <x:c r="R29" s="20" t="str">
        <x:v>https://masseffect.fandom.com/wiki/Priority%3A_Cerberus_Headquarters</x:v>
      </x:c>
      <x:c r="S29" s="20" t="str">
        <x:v>Spécification à réaliser. Les champs adaptation, gameplay, visual, animation, audio et implementation décrivent le fan game ; ils ne donnent pas des caractéristiques officielles de l’œuvre.</x:v>
      </x:c>
    </x:row>
    <x:row r="30" ht="68" customHeight="1">
      <x:c r="A30" s="19" t="str">
        <x:v>ME3-ZON-LONDON-FOB</x:v>
      </x:c>
      <x:c r="B30" s="7" t="str">
        <x:v>Londres — base avancée</x:v>
      </x:c>
      <x:c r="C30" s="15" t="str">
        <x:v>Défini</x:v>
      </x:c>
      <x:c r="D30" s="17" t="str">
        <x:v>Établi</x:v>
      </x:c>
      <x:c r="E30" s="17" t="str">
        <x:v>P1</x:v>
      </x:c>
      <x:c r="F30" s="7" t="str">
        <x:v>Point de préparation avant l’attaque.</x:v>
      </x:c>
      <x:c r="G30" s="7" t="str">
        <x:v>Derniers entretiens, composition et tirs de soutien ; la validation de départ est distincte des adieux.</x:v>
      </x:c>
      <x:c r="H30" s="7" t="str">
        <x:v>Derniers entretiens, composition et tirs de soutien ; la validation de départ est distincte des adieux.</x:v>
      </x:c>
      <x:c r="I30" s="7" t="str">
        <x:v>Ruines, radio et alliés rassemblés.</x:v>
      </x:c>
      <x:c r="J30" s="7" t="str">
        <x:v>Préparer état de repos, anticipation, activation et retour au repos ; aligner les événements visuels sur la résolution de l’action ATB.</x:v>
      </x:c>
      <x:c r="K30" s="7" t="str">
        <x:v>Créer des bruitages et ambiances originaux adaptés au livrable ; sous-titrer les indices utiles et proposer un réglage indépendant des effets. Aucune extraction audio demandée.</x:v>
      </x:c>
      <x:c r="L30" s="7" t="str">
        <x:v>Prévu : fiche de données me3/zones/london-fob ; rattacher les ressources et états cités à cet identifiant. Aucun fichier de jeu créé par ce catalogue.</x:v>
      </x:c>
      <x:c r="M30" s="7" t="str"/>
      <x:c r="N30" s="7" t="str">
        <x:v>Le livrable « Londres — base avancée » possède une scène ou un scénario de contrôle ; ses règles proposées, ses conditions et ses retours visuels sont vérifiables séparément.</x:v>
      </x:c>
      <x:c r="O30" s="7" t="str"/>
      <x:c r="P30" s="7" t="str">
        <x:v>Londres — base avancée</x:v>
      </x:c>
      <x:c r="Q30" s="7" t="str">
        <x:v>ME3-SRC-EARTH</x:v>
      </x:c>
      <x:c r="R30" s="21" t="str">
        <x:v>https://masseffect.fandom.com/wiki/Priority%3A_Earth</x:v>
      </x:c>
      <x:c r="S30" s="21" t="str">
        <x:v>Spécification à réaliser. Les champs adaptation, gameplay, visual, animation, audio et implementation décrivent le fan game ; ils ne donnent pas des caractéristiques officielles de l’œuvre.</x:v>
      </x:c>
    </x:row>
    <x:row r="31" ht="68" customHeight="1">
      <x:c r="A31" s="18" t="str">
        <x:v>ME3-ZON-LONDON-MISSILES</x:v>
      </x:c>
      <x:c r="B31" s="9" t="str">
        <x:v>Londres — batterie de missiles</x:v>
      </x:c>
      <x:c r="C31" s="15" t="str">
        <x:v>Défini</x:v>
      </x:c>
      <x:c r="D31" s="16" t="str">
        <x:v>Établi</x:v>
      </x:c>
      <x:c r="E31" s="16" t="str">
        <x:v>P1</x:v>
      </x:c>
      <x:c r="F31" s="9" t="str">
        <x:v>Le final comporte une défense lourde.</x:v>
      </x:c>
      <x:c r="G31" s="9" t="str">
        <x:v>Survie jusqu’à fenêtre de tir ; zones de menace des Banshees et Brutes visibles entre vagues.</x:v>
      </x:c>
      <x:c r="H31" s="9" t="str">
        <x:v>Survie jusqu’à fenêtre de tir ; zones de menace des Banshees et Brutes visibles entre vagues.</x:v>
      </x:c>
      <x:c r="I31" s="9" t="str">
        <x:v>Rue détruite, lanceur et barricades.</x:v>
      </x:c>
      <x:c r="J31" s="9" t="str">
        <x:v>Préparer état de repos, anticipation, activation et retour au repos ; aligner les événements visuels sur la résolution de l’action ATB.</x:v>
      </x:c>
      <x:c r="K31" s="9" t="str">
        <x:v>Créer des bruitages et ambiances originaux adaptés au livrable ; sous-titrer les indices utiles et proposer un réglage indépendant des effets. Aucune extraction audio demandée.</x:v>
      </x:c>
      <x:c r="L31" s="9" t="str">
        <x:v>Prévu : fiche de données me3/zones/london-missiles ; rattacher les ressources et états cités à cet identifiant. Aucun fichier de jeu créé par ce catalogue.</x:v>
      </x:c>
      <x:c r="M31" s="9" t="str"/>
      <x:c r="N31" s="9" t="str">
        <x:v>Le livrable « Londres — batterie de missiles » possède une scène ou un scénario de contrôle ; ses règles proposées, ses conditions et ses retours visuels sont vérifiables séparément.</x:v>
      </x:c>
      <x:c r="O31" s="9" t="str"/>
      <x:c r="P31" s="9" t="str">
        <x:v>Londres — batterie de missiles</x:v>
      </x:c>
      <x:c r="Q31" s="9" t="str">
        <x:v>ME3-SRC-EARTH</x:v>
      </x:c>
      <x:c r="R31" s="20" t="str">
        <x:v>https://masseffect.fandom.com/wiki/Priority%3A_Earth</x:v>
      </x:c>
      <x:c r="S31" s="20" t="str">
        <x:v>Spécification à réaliser. Les champs adaptation, gameplay, visual, animation, audio et implementation décrivent le fan game ; ils ne donnent pas des caractéristiques officielles de l’œuvre.</x:v>
      </x:c>
    </x:row>
    <x:row r="32" ht="68" customHeight="1">
      <x:c r="A32" s="19" t="str">
        <x:v>ME3-ZON-BEAM</x:v>
      </x:c>
      <x:c r="B32" s="7" t="str">
        <x:v>Londres — course au faisceau</x:v>
      </x:c>
      <x:c r="C32" s="15" t="str">
        <x:v>Défini</x:v>
      </x:c>
      <x:c r="D32" s="17" t="str">
        <x:v>Établi</x:v>
      </x:c>
      <x:c r="E32" s="17" t="str">
        <x:v>P1</x:v>
      </x:c>
      <x:c r="F32" s="7" t="str">
        <x:v>Le faisceau conduit à la Citadelle.</x:v>
      </x:c>
      <x:c r="G32" s="7" t="str">
        <x:v>Séquence d’assaut narrative avec contrôle limité annoncé ; pas de récompense d’optimisation cachée.</x:v>
      </x:c>
      <x:c r="H32" s="7" t="str">
        <x:v>Séquence d’assaut narrative avec contrôle limité annoncé ; pas de récompense d’optimisation cachée.</x:v>
      </x:c>
      <x:c r="I32" s="7" t="str">
        <x:v>Rayon vertical, ombres de Moissonneur et sol détruit.</x:v>
      </x:c>
      <x:c r="J32" s="7" t="str">
        <x:v>Préparer état de repos, anticipation, activation et retour au repos ; aligner les événements visuels sur la résolution de l’action ATB.</x:v>
      </x:c>
      <x:c r="K32" s="7" t="str">
        <x:v>Créer des bruitages et ambiances originaux adaptés au livrable ; sous-titrer les indices utiles et proposer un réglage indépendant des effets. Aucune extraction audio demandée.</x:v>
      </x:c>
      <x:c r="L32" s="7" t="str">
        <x:v>Prévu : fiche de données me3/zones/beam ; rattacher les ressources et états cités à cet identifiant. Aucun fichier de jeu créé par ce catalogue.</x:v>
      </x:c>
      <x:c r="M32" s="7" t="str"/>
      <x:c r="N32" s="7" t="str">
        <x:v>Le livrable « Londres — course au faisceau » possède une scène ou un scénario de contrôle ; ses règles proposées, ses conditions et ses retours visuels sont vérifiables séparément.</x:v>
      </x:c>
      <x:c r="O32" s="7" t="str"/>
      <x:c r="P32" s="7" t="str">
        <x:v>Londres — course au faisceau</x:v>
      </x:c>
      <x:c r="Q32" s="7" t="str">
        <x:v>ME3-SRC-EARTH</x:v>
      </x:c>
      <x:c r="R32" s="21" t="str">
        <x:v>https://masseffect.fandom.com/wiki/Priority%3A_Earth</x:v>
      </x:c>
      <x:c r="S32" s="21" t="str">
        <x:v>Spécification à réaliser. Les champs adaptation, gameplay, visual, animation, audio et implementation décrivent le fan game ; ils ne donnent pas des caractéristiques officielles de l’œuvre.</x:v>
      </x:c>
    </x:row>
    <x:row r="33" ht="68" customHeight="1">
      <x:c r="A33" s="18" t="str">
        <x:v>ME3-ZON-BRYSON-LAB</x:v>
      </x:c>
      <x:c r="B33" s="9" t="str">
        <x:v>Citadelle — laboratoire Bryson</x:v>
      </x:c>
      <x:c r="C33" s="15" t="str">
        <x:v>Défini</x:v>
      </x:c>
      <x:c r="D33" s="16" t="str">
        <x:v>Établi</x:v>
      </x:c>
      <x:c r="E33" s="16" t="str">
        <x:v>P1</x:v>
      </x:c>
      <x:c r="F33" s="9" t="str">
        <x:v>Base de l’enquête Leviathan.</x:v>
      </x:c>
      <x:c r="G33" s="9" t="str">
        <x:v>Table à filtres, archives et artéfacts ; les indices importants restent cliquables sans pixels minuscules.</x:v>
      </x:c>
      <x:c r="H33" s="9" t="str">
        <x:v>Table à filtres, archives et artéfacts ; les indices importants restent cliquables sans pixels minuscules.</x:v>
      </x:c>
      <x:c r="I33" s="9" t="str">
        <x:v>Objets scientifiques et baie sur Citadelle.</x:v>
      </x:c>
      <x:c r="J33" s="9" t="str">
        <x:v>Préparer état de repos, anticipation, activation et retour au repos ; aligner les événements visuels sur la résolution de l’action ATB.</x:v>
      </x:c>
      <x:c r="K33" s="9" t="str">
        <x:v>Créer des bruitages et ambiances originaux adaptés au livrable ; sous-titrer les indices utiles et proposer un réglage indépendant des effets. Aucune extraction audio demandée.</x:v>
      </x:c>
      <x:c r="L33" s="9" t="str">
        <x:v>Prévu : fiche de données me3/zones/bryson-lab ; rattacher les ressources et états cités à cet identifiant. Aucun fichier de jeu créé par ce catalogue.</x:v>
      </x:c>
      <x:c r="M33" s="9" t="str"/>
      <x:c r="N33" s="9" t="str">
        <x:v>Le livrable « Citadelle — laboratoire Bryson » possède une scène ou un scénario de contrôle ; ses règles proposées, ses conditions et ses retours visuels sont vérifiables séparément.</x:v>
      </x:c>
      <x:c r="O33" s="9" t="str"/>
      <x:c r="P33" s="9" t="str">
        <x:v>Citadelle — laboratoire Bryson</x:v>
      </x:c>
      <x:c r="Q33" s="9" t="str">
        <x:v>ME3-SRC-LEV</x:v>
      </x:c>
      <x:c r="R33" s="20" t="str">
        <x:v>https://masseffect.fandom.com/wiki/Mass_Effect_3%3A_Leviathan</x:v>
      </x:c>
      <x:c r="S33" s="20" t="str">
        <x:v>Spécification à réaliser. Les champs adaptation, gameplay, visual, animation, audio et implementation décrivent le fan game ; ils ne donnent pas des caractéristiques officielles de l’œuvre.</x:v>
      </x:c>
    </x:row>
    <x:row r="34" ht="68" customHeight="1">
      <x:c r="A34" s="19" t="str">
        <x:v>ME3-ZON-LEV-OCEAN</x:v>
      </x:c>
      <x:c r="B34" s="7" t="str">
        <x:v>Despoina — épaves et abîme</x:v>
      </x:c>
      <x:c r="C34" s="15" t="str">
        <x:v>Défini</x:v>
      </x:c>
      <x:c r="D34" s="17" t="str">
        <x:v>Établi</x:v>
      </x:c>
      <x:c r="E34" s="17" t="str">
        <x:v>P1</x:v>
      </x:c>
      <x:c r="F34" s="7" t="str">
        <x:v>La rencontre Leviathan est sous-marine.</x:v>
      </x:c>
      <x:c r="G34" s="7" t="str">
        <x:v>Défense d’épaves puis descente encadrée ; définir un horizon de vision cohérent sous l’eau.</x:v>
      </x:c>
      <x:c r="H34" s="7" t="str">
        <x:v>Défense d’épaves puis descente encadrée ; définir un horizon de vision cohérent sous l’eau.</x:v>
      </x:c>
      <x:c r="I34" s="7" t="str">
        <x:v>Océan noir et coque de méca.</x:v>
      </x:c>
      <x:c r="J34" s="7" t="str">
        <x:v>Préparer état de repos, anticipation, activation et retour au repos ; aligner les événements visuels sur la résolution de l’action ATB.</x:v>
      </x:c>
      <x:c r="K34" s="7" t="str">
        <x:v>Créer des bruitages et ambiances originaux adaptés au livrable ; sous-titrer les indices utiles et proposer un réglage indépendant des effets. Aucune extraction audio demandée.</x:v>
      </x:c>
      <x:c r="L34" s="7" t="str">
        <x:v>Prévu : fiche de données me3/zones/lev-ocean ; rattacher les ressources et états cités à cet identifiant. Aucun fichier de jeu créé par ce catalogue.</x:v>
      </x:c>
      <x:c r="M34" s="7" t="str"/>
      <x:c r="N34" s="7" t="str">
        <x:v>Le livrable « Despoina — épaves et abîme » possède une scène ou un scénario de contrôle ; ses règles proposées, ses conditions et ses retours visuels sont vérifiables séparément.</x:v>
      </x:c>
      <x:c r="O34" s="7" t="str"/>
      <x:c r="P34" s="7" t="str">
        <x:v>Despoina — épaves et abîme</x:v>
      </x:c>
      <x:c r="Q34" s="7" t="str">
        <x:v>ME3-SRC-LEV</x:v>
      </x:c>
      <x:c r="R34" s="21" t="str">
        <x:v>https://masseffect.fandom.com/wiki/Mass_Effect_3%3A_Leviathan</x:v>
      </x:c>
      <x:c r="S34" s="21" t="str">
        <x:v>Spécification à réaliser. Les champs adaptation, gameplay, visual, animation, audio et implementation décrivent le fan game ; ils ne donnent pas des caractéristiques officielles de l’œuvre.</x:v>
      </x:c>
    </x:row>
    <x:row r="35" ht="68" customHeight="1">
      <x:c r="A35" s="18" t="str">
        <x:v>ME3-ZON-OMEGA-BUNKER</x:v>
      </x:c>
      <x:c r="B35" s="9" t="str">
        <x:v>Omega — bunker d’Aria</x:v>
      </x:c>
      <x:c r="C35" s="15" t="str">
        <x:v>Défini</x:v>
      </x:c>
      <x:c r="D35" s="16" t="str">
        <x:v>Établi</x:v>
      </x:c>
      <x:c r="E35" s="16" t="str">
        <x:v>P1</x:v>
      </x:c>
      <x:c r="F35" s="9" t="str">
        <x:v>QG de la résistance.</x:v>
      </x:c>
      <x:c r="G35" s="9" t="str">
        <x:v>Contacts, table de carte et demandes locales ; retour permis seulement aux étapes valides.</x:v>
      </x:c>
      <x:c r="H35" s="9" t="str">
        <x:v>Contacts, table de carte et demandes locales ; retour permis seulement aux étapes valides.</x:v>
      </x:c>
      <x:c r="I35" s="9" t="str">
        <x:v>Bunker de fortune et écrans anciens.</x:v>
      </x:c>
      <x:c r="J35" s="9" t="str">
        <x:v>Préparer état de repos, anticipation, activation et retour au repos ; aligner les événements visuels sur la résolution de l’action ATB.</x:v>
      </x:c>
      <x:c r="K35" s="9" t="str">
        <x:v>Créer des bruitages et ambiances originaux adaptés au livrable ; sous-titrer les indices utiles et proposer un réglage indépendant des effets. Aucune extraction audio demandée.</x:v>
      </x:c>
      <x:c r="L35" s="9" t="str">
        <x:v>Prévu : fiche de données me3/zones/omega-bunker ; rattacher les ressources et états cités à cet identifiant. Aucun fichier de jeu créé par ce catalogue.</x:v>
      </x:c>
      <x:c r="M35" s="9" t="str"/>
      <x:c r="N35" s="9" t="str">
        <x:v>Le livrable « Omega — bunker d’Aria » possède une scène ou un scénario de contrôle ; ses règles proposées, ses conditions et ses retours visuels sont vérifiables séparément.</x:v>
      </x:c>
      <x:c r="O35" s="9" t="str"/>
      <x:c r="P35" s="9" t="str">
        <x:v>Omega — bunker d’Aria</x:v>
      </x:c>
      <x:c r="Q35" s="9" t="str">
        <x:v>ME3-SRC-OMEGA</x:v>
      </x:c>
      <x:c r="R35" s="20" t="str">
        <x:v>https://masseffect.fandom.com/wiki/Omega%3A_Aria_T%27Loak_%28Mass_Effect_3%29</x:v>
      </x:c>
      <x:c r="S35" s="20" t="str">
        <x:v>Spécification à réaliser. Les champs adaptation, gameplay, visual, animation, audio et implementation décrivent le fan game ; ils ne donnent pas des caractéristiques officielles de l’œuvre.</x:v>
      </x:c>
    </x:row>
    <x:row r="36" ht="68" customHeight="1">
      <x:c r="A36" s="19" t="str">
        <x:v>ME3-ZON-OMEGA-TUNNELS</x:v>
      </x:c>
      <x:c r="B36" s="7" t="str">
        <x:v>Omega — tunnels et réacteur</x:v>
      </x:c>
      <x:c r="C36" s="15" t="str">
        <x:v>Défini</x:v>
      </x:c>
      <x:c r="D36" s="17" t="str">
        <x:v>Établi</x:v>
      </x:c>
      <x:c r="E36" s="17" t="str">
        <x:v>P1</x:v>
      </x:c>
      <x:c r="F36" s="7" t="str">
        <x:v>La libération traverse les entrailles.</x:v>
      </x:c>
      <x:c r="G36" s="7" t="str">
        <x:v>Alternance Ramparts et Adjutants ; générateurs identifiés avant interruption d’alimentation.</x:v>
      </x:c>
      <x:c r="H36" s="7" t="str">
        <x:v>Alternance Ramparts et Adjutants ; générateurs identifiés avant interruption d’alimentation.</x:v>
      </x:c>
      <x:c r="I36" s="7" t="str">
        <x:v>Conduites, obscurité et champs de force.</x:v>
      </x:c>
      <x:c r="J36" s="7" t="str">
        <x:v>Préparer état de repos, anticipation, activation et retour au repos ; aligner les événements visuels sur la résolution de l’action ATB.</x:v>
      </x:c>
      <x:c r="K36" s="7" t="str">
        <x:v>Créer des bruitages et ambiances originaux adaptés au livrable ; sous-titrer les indices utiles et proposer un réglage indépendant des effets. Aucune extraction audio demandée.</x:v>
      </x:c>
      <x:c r="L36" s="7" t="str">
        <x:v>Prévu : fiche de données me3/zones/omega-tunnels ; rattacher les ressources et états cités à cet identifiant. Aucun fichier de jeu créé par ce catalogue.</x:v>
      </x:c>
      <x:c r="M36" s="7" t="str"/>
      <x:c r="N36" s="7" t="str">
        <x:v>Le livrable « Omega — tunnels et réacteur » possède une scène ou un scénario de contrôle ; ses règles proposées, ses conditions et ses retours visuels sont vérifiables séparément.</x:v>
      </x:c>
      <x:c r="O36" s="7" t="str"/>
      <x:c r="P36" s="7" t="str">
        <x:v>Omega — tunnels et réacteur</x:v>
      </x:c>
      <x:c r="Q36" s="7" t="str">
        <x:v>ME3-SRC-OMEGA</x:v>
      </x:c>
      <x:c r="R36" s="21" t="str">
        <x:v>https://masseffect.fandom.com/wiki/Omega%3A_Aria_T%27Loak_%28Mass_Effect_3%29</x:v>
      </x:c>
      <x:c r="S36" s="21" t="str">
        <x:v>Spécification à réaliser. Les champs adaptation, gameplay, visual, animation, audio et implementation décrivent le fan game ; ils ne donnent pas des caractéristiques officielles de l’œuvre.</x:v>
      </x:c>
    </x:row>
    <x:row r="37" ht="68" customHeight="1">
      <x:c r="A37" s="18" t="str">
        <x:v>ME3-ZON-OMEGA-AFTERLIFE</x:v>
      </x:c>
      <x:c r="B37" s="9" t="str">
        <x:v>Omega — Afterlife occupé</x:v>
      </x:c>
      <x:c r="C37" s="15" t="str">
        <x:v>Défini</x:v>
      </x:c>
      <x:c r="D37" s="16" t="str">
        <x:v>Établi</x:v>
      </x:c>
      <x:c r="E37" s="16" t="str">
        <x:v>P1</x:v>
      </x:c>
      <x:c r="F37" s="9" t="str">
        <x:v>Confrontation finale de l’extension.</x:v>
      </x:c>
      <x:c r="G37" s="9" t="str">
        <x:v>Anneau de consoles et générateurs ; libérer Aria puis traiter Petrovsky sans nouveau combat superflu.</x:v>
      </x:c>
      <x:c r="H37" s="9" t="str">
        <x:v>Anneau de consoles et générateurs ; libérer Aria puis traiter Petrovsky sans nouveau combat superflu.</x:v>
      </x:c>
      <x:c r="I37" s="9" t="str">
        <x:v>Club transformé en poste de commandement.</x:v>
      </x:c>
      <x:c r="J37" s="9" t="str">
        <x:v>Préparer état de repos, anticipation, activation et retour au repos ; aligner les événements visuels sur la résolution de l’action ATB.</x:v>
      </x:c>
      <x:c r="K37" s="9" t="str">
        <x:v>Créer des bruitages et ambiances originaux adaptés au livrable ; sous-titrer les indices utiles et proposer un réglage indépendant des effets. Aucune extraction audio demandée.</x:v>
      </x:c>
      <x:c r="L37" s="9" t="str">
        <x:v>Prévu : fiche de données me3/zones/omega-afterlife ; rattacher les ressources et états cités à cet identifiant. Aucun fichier de jeu créé par ce catalogue.</x:v>
      </x:c>
      <x:c r="M37" s="9" t="str"/>
      <x:c r="N37" s="9" t="str">
        <x:v>Le livrable « Omega — Afterlife occupé » possède une scène ou un scénario de contrôle ; ses règles proposées, ses conditions et ses retours visuels sont vérifiables séparément.</x:v>
      </x:c>
      <x:c r="O37" s="9" t="str"/>
      <x:c r="P37" s="9" t="str">
        <x:v>Omega — Afterlife occupé</x:v>
      </x:c>
      <x:c r="Q37" s="9" t="str">
        <x:v>ME3-SRC-OMEGA</x:v>
      </x:c>
      <x:c r="R37" s="20" t="str">
        <x:v>https://masseffect.fandom.com/wiki/Omega%3A_Aria_T%27Loak_%28Mass_Effect_3%29</x:v>
      </x:c>
      <x:c r="S37" s="20" t="str">
        <x:v>Spécification à réaliser. Les champs adaptation, gameplay, visual, animation, audio et implementation décrivent le fan game ; ils ne donnent pas des caractéristiques officielles de l’œuvre.</x:v>
      </x:c>
    </x:row>
    <x:row r="38" ht="68" customHeight="1">
      <x:c r="A38" s="19" t="str">
        <x:v>ME3-ZON-SILVERSUN</x:v>
      </x:c>
      <x:c r="B38" s="7" t="str">
        <x:v>Silversun Strip</x:v>
      </x:c>
      <x:c r="C38" s="15" t="str">
        <x:v>Défini</x:v>
      </x:c>
      <x:c r="D38" s="17" t="str">
        <x:v>Établi</x:v>
      </x:c>
      <x:c r="E38" s="17" t="str">
        <x:v>P1</x:v>
      </x:c>
      <x:c r="F38" s="7" t="str">
        <x:v>Zone sociale du DLC Citadel.</x:v>
      </x:c>
      <x:c r="G38" s="7" t="str">
        <x:v>Casino, arène et activités dans un hub compact ; nom et fonction à chaque entrée.</x:v>
      </x:c>
      <x:c r="H38" s="7" t="str">
        <x:v>Casino, arène et activités dans un hub compact ; nom et fonction à chaque entrée.</x:v>
      </x:c>
      <x:c r="I38" s="7" t="str">
        <x:v>Néons, façade luxueuse et foule festive.</x:v>
      </x:c>
      <x:c r="J38" s="7" t="str">
        <x:v>Préparer état de repos, anticipation, activation et retour au repos ; aligner les événements visuels sur la résolution de l’action ATB.</x:v>
      </x:c>
      <x:c r="K38" s="7" t="str">
        <x:v>Créer des bruitages et ambiances originaux adaptés au livrable ; sous-titrer les indices utiles et proposer un réglage indépendant des effets. Aucune extraction audio demandée.</x:v>
      </x:c>
      <x:c r="L38" s="7" t="str">
        <x:v>Prévu : fiche de données me3/zones/silversun ; rattacher les ressources et états cités à cet identifiant. Aucun fichier de jeu créé par ce catalogue.</x:v>
      </x:c>
      <x:c r="M38" s="7" t="str"/>
      <x:c r="N38" s="7" t="str">
        <x:v>Le livrable « Silversun Strip » possède une scène ou un scénario de contrôle ; ses règles proposées, ses conditions et ses retours visuels sont vérifiables séparément.</x:v>
      </x:c>
      <x:c r="O38" s="7" t="str"/>
      <x:c r="P38" s="7" t="str">
        <x:v>Silversun Strip</x:v>
      </x:c>
      <x:c r="Q38" s="7" t="str">
        <x:v>ME3-SRC-BW-CITADEL</x:v>
      </x:c>
      <x:c r="R38" s="21" t="str">
        <x:v>https://blog.bioware.com/2013/02/21/mass-effect-3-citadel-reckoning-dlc-announced/</x:v>
      </x:c>
      <x:c r="S38" s="21" t="str">
        <x:v>Spécification à réaliser. Les champs adaptation, gameplay, visual, animation, audio et implementation décrivent le fan game ; ils ne donnent pas des caractéristiques officielles de l’œuvre.</x:v>
      </x:c>
    </x:row>
    <x:row r="39" ht="68" customHeight="1">
      <x:c r="A39" s="18" t="str">
        <x:v>ME3-ZON-APARTMENT</x:v>
      </x:c>
      <x:c r="B39" s="9" t="str">
        <x:v>Appartement de Shepard</x:v>
      </x:c>
      <x:c r="C39" s="15" t="str">
        <x:v>Défini</x:v>
      </x:c>
      <x:c r="D39" s="16" t="str">
        <x:v>Établi</x:v>
      </x:c>
      <x:c r="E39" s="16" t="str">
        <x:v>P1</x:v>
      </x:c>
      <x:c r="F39" s="9" t="str">
        <x:v>Lieu de rencontres et de fête.</x:v>
      </x:c>
      <x:c r="G39" s="9" t="str">
        <x:v>Pièces à capacité définie ; invitations déterminent sièges, photographies et petites scènes.</x:v>
      </x:c>
      <x:c r="H39" s="9" t="str">
        <x:v>Pièces à capacité définie ; invitations déterminent sièges, photographies et petites scènes.</x:v>
      </x:c>
      <x:c r="I39" s="9" t="str">
        <x:v>Terrasse, cuisine, salon et souvenirs.</x:v>
      </x:c>
      <x:c r="J39" s="9" t="str">
        <x:v>Préparer état de repos, anticipation, activation et retour au repos ; aligner les événements visuels sur la résolution de l’action ATB.</x:v>
      </x:c>
      <x:c r="K39" s="9" t="str">
        <x:v>Créer des bruitages et ambiances originaux adaptés au livrable ; sous-titrer les indices utiles et proposer un réglage indépendant des effets. Aucune extraction audio demandée.</x:v>
      </x:c>
      <x:c r="L39" s="9" t="str">
        <x:v>Prévu : fiche de données me3/zones/apartment ; rattacher les ressources et états cités à cet identifiant. Aucun fichier de jeu créé par ce catalogue.</x:v>
      </x:c>
      <x:c r="M39" s="9" t="str"/>
      <x:c r="N39" s="9" t="str">
        <x:v>Le livrable « Appartement de Shepard » possède une scène ou un scénario de contrôle ; ses règles proposées, ses conditions et ses retours visuels sont vérifiables séparément.</x:v>
      </x:c>
      <x:c r="O39" s="9" t="str"/>
      <x:c r="P39" s="9" t="str">
        <x:v>Appartement de Shepard</x:v>
      </x:c>
      <x:c r="Q39" s="9" t="str">
        <x:v>ME3-SRC-BW-CITADEL</x:v>
      </x:c>
      <x:c r="R39" s="20" t="str">
        <x:v>https://blog.bioware.com/2013/02/21/mass-effect-3-citadel-reckoning-dlc-announced/</x:v>
      </x:c>
      <x:c r="S39" s="20" t="str">
        <x:v>Spécification à réaliser. Les champs adaptation, gameplay, visual, animation, audio et implementation décrivent le fan game ; ils ne donnent pas des caractéristiques officielles de l’œuvre.</x:v>
      </x:c>
    </x:row>
    <x:row r="40" ht="68" customHeight="1">
      <x:c r="A40" s="19" t="str">
        <x:v>ME3-ZON-CASINO</x:v>
      </x:c>
      <x:c r="B40" s="7" t="str">
        <x:v>Silver Coast Casino</x:v>
      </x:c>
      <x:c r="C40" s="15" t="str">
        <x:v>Défini</x:v>
      </x:c>
      <x:c r="D40" s="17" t="str">
        <x:v>Établi</x:v>
      </x:c>
      <x:c r="E40" s="17" t="str">
        <x:v>P1</x:v>
      </x:c>
      <x:c r="F40" s="7" t="str">
        <x:v>Lieu d’infiltration.</x:v>
      </x:c>
      <x:c r="G40" s="7" t="str">
        <x:v>Points sociaux et accès de maintenance en boucle courte ; caméras comme indices d’enquête.</x:v>
      </x:c>
      <x:c r="H40" s="7" t="str">
        <x:v>Points sociaux et accès de maintenance en boucle courte ; caméras comme indices d’enquête.</x:v>
      </x:c>
      <x:c r="I40" s="7" t="str">
        <x:v>Or, verre et lumière de jeu.</x:v>
      </x:c>
      <x:c r="J40" s="7" t="str">
        <x:v>Préparer état de repos, anticipation, activation et retour au repos ; aligner les événements visuels sur la résolution de l’action ATB.</x:v>
      </x:c>
      <x:c r="K40" s="7" t="str">
        <x:v>Créer des bruitages et ambiances originaux adaptés au livrable ; sous-titrer les indices utiles et proposer un réglage indépendant des effets. Aucune extraction audio demandée.</x:v>
      </x:c>
      <x:c r="L40" s="7" t="str">
        <x:v>Prévu : fiche de données me3/zones/casino ; rattacher les ressources et états cités à cet identifiant. Aucun fichier de jeu créé par ce catalogue.</x:v>
      </x:c>
      <x:c r="M40" s="7" t="str"/>
      <x:c r="N40" s="7" t="str">
        <x:v>Le livrable « Silver Coast Casino » possède une scène ou un scénario de contrôle ; ses règles proposées, ses conditions et ses retours visuels sont vérifiables séparément.</x:v>
      </x:c>
      <x:c r="O40" s="7" t="str"/>
      <x:c r="P40" s="7" t="str">
        <x:v>Silver Coast Casino</x:v>
      </x:c>
      <x:c r="Q40" s="7" t="str">
        <x:v>ME3-SRC-BW-CITADEL</x:v>
      </x:c>
      <x:c r="R40" s="21" t="str">
        <x:v>https://blog.bioware.com/2013/02/21/mass-effect-3-citadel-reckoning-dlc-announced/</x:v>
      </x:c>
      <x:c r="S40" s="21" t="str">
        <x:v>Spécification à réaliser. Les champs adaptation, gameplay, visual, animation, audio et implementation décrivent le fan game ; ils ne donnent pas des caractéristiques officielles de l’œuvre.</x:v>
      </x:c>
    </x:row>
    <x:row r="41" ht="68" customHeight="1">
      <x:c r="A41" s="18" t="str">
        <x:v>ME3-ZON-ARCHIVES</x:v>
      </x:c>
      <x:c r="B41" s="9" t="str">
        <x:v>Archives du Conseil</x:v>
      </x:c>
      <x:c r="C41" s="15" t="str">
        <x:v>Défini</x:v>
      </x:c>
      <x:c r="D41" s="16" t="str">
        <x:v>Établi</x:v>
      </x:c>
      <x:c r="E41" s="16" t="str">
        <x:v>P1</x:v>
      </x:c>
      <x:c r="F41" s="9" t="str">
        <x:v>Zone de combat du DLC.</x:v>
      </x:c>
      <x:c r="G41" s="9" t="str">
        <x:v>Mémoire historique et combat en cours séparés visuellement ; absence de collisions avec hologrammes.</x:v>
      </x:c>
      <x:c r="H41" s="9" t="str">
        <x:v>Mémoire historique et combat en cours séparés visuellement ; absence de collisions avec hologrammes.</x:v>
      </x:c>
      <x:c r="I41" s="9" t="str">
        <x:v>Plates-formes et reconstitutions bleues.</x:v>
      </x:c>
      <x:c r="J41" s="9" t="str">
        <x:v>Préparer état de repos, anticipation, activation et retour au repos ; aligner les événements visuels sur la résolution de l’action ATB.</x:v>
      </x:c>
      <x:c r="K41" s="9" t="str">
        <x:v>Créer des bruitages et ambiances originaux adaptés au livrable ; sous-titrer les indices utiles et proposer un réglage indépendant des effets. Aucune extraction audio demandée.</x:v>
      </x:c>
      <x:c r="L41" s="9" t="str">
        <x:v>Prévu : fiche de données me3/zones/archives ; rattacher les ressources et états cités à cet identifiant. Aucun fichier de jeu créé par ce catalogue.</x:v>
      </x:c>
      <x:c r="M41" s="9" t="str"/>
      <x:c r="N41" s="9" t="str">
        <x:v>Le livrable « Archives du Conseil » possède une scène ou un scénario de contrôle ; ses règles proposées, ses conditions et ses retours visuels sont vérifiables séparément.</x:v>
      </x:c>
      <x:c r="O41" s="9" t="str"/>
      <x:c r="P41" s="9" t="str">
        <x:v>Archives du Conseil</x:v>
      </x:c>
      <x:c r="Q41" s="9" t="str">
        <x:v>ME3-SRC-BW-CITADEL</x:v>
      </x:c>
      <x:c r="R41" s="20" t="str">
        <x:v>https://blog.bioware.com/2013/02/21/mass-effect-3-citadel-reckoning-dlc-announced/</x:v>
      </x:c>
      <x:c r="S41" s="20" t="str">
        <x:v>Spécification à réaliser. Les champs adaptation, gameplay, visual, animation, audio et implementation décrivent le fan game ; ils ne donnent pas des caractéristiques officielles de l’œuvre.</x:v>
      </x:c>
    </x:row>
    <x:row r="42" ht="68" customHeight="1">
      <x:c r="A42" s="19" t="str">
        <x:v>ME3-ZON-ARMAX</x:v>
      </x:c>
      <x:c r="B42" s="7" t="str">
        <x:v>Armax Arsenal Arena</x:v>
      </x:c>
      <x:c r="C42" s="15" t="str">
        <x:v>Défini</x:v>
      </x:c>
      <x:c r="D42" s="17" t="str">
        <x:v>Établi</x:v>
      </x:c>
      <x:c r="E42" s="17" t="str">
        <x:v>P1</x:v>
      </x:c>
      <x:c r="F42" s="7" t="str">
        <x:v>Simulateur du DLC Citadel.</x:v>
      </x:c>
      <x:c r="G42" s="7" t="str">
        <x:v>Chargeur de carte, modificateurs et tableau de scores ; état de simulation ne fuit pas dans la campagne.</x:v>
      </x:c>
      <x:c r="H42" s="7" t="str">
        <x:v>Chargeur de carte, modificateurs et tableau de scores ; état de simulation ne fuit pas dans la campagne.</x:v>
      </x:c>
      <x:c r="I42" s="7" t="str">
        <x:v>Grille holographique et barrières de match.</x:v>
      </x:c>
      <x:c r="J42" s="7" t="str">
        <x:v>Préparer état de repos, anticipation, activation et retour au repos ; aligner les événements visuels sur la résolution de l’action ATB.</x:v>
      </x:c>
      <x:c r="K42" s="7" t="str">
        <x:v>Créer des bruitages et ambiances originaux adaptés au livrable ; sous-titrer les indices utiles et proposer un réglage indépendant des effets. Aucune extraction audio demandée.</x:v>
      </x:c>
      <x:c r="L42" s="7" t="str">
        <x:v>Prévu : fiche de données me3/zones/armax ; rattacher les ressources et états cités à cet identifiant. Aucun fichier de jeu créé par ce catalogue.</x:v>
      </x:c>
      <x:c r="M42" s="7" t="str"/>
      <x:c r="N42" s="7" t="str">
        <x:v>Le livrable « Armax Arsenal Arena » possède une scène ou un scénario de contrôle ; ses règles proposées, ses conditions et ses retours visuels sont vérifiables séparément.</x:v>
      </x:c>
      <x:c r="O42" s="7" t="str"/>
      <x:c r="P42" s="7" t="str">
        <x:v>Armax Arsenal Arena</x:v>
      </x:c>
      <x:c r="Q42" s="7" t="str">
        <x:v>ME3-SRC-BW-CITADEL</x:v>
      </x:c>
      <x:c r="R42" s="21" t="str">
        <x:v>https://blog.bioware.com/2013/02/21/mass-effect-3-citadel-reckoning-dlc-announced/</x:v>
      </x:c>
      <x:c r="S42" s="21" t="str">
        <x:v>Spécification à réaliser. Les champs adaptation, gameplay, visual, animation, audio et implementation décrivent le fan game ; ils ne donnent pas des caractéristiques officielles de l’œuvre.</x:v>
      </x:c>
    </x:row>
    <x:row r="43" ht="68" customHeight="1">
      <x:c r="A43" s="18" t="str">
        <x:v>ME3-ZON-MP-DAGGER</x:v>
      </x:c>
      <x:c r="B43" s="9" t="str">
        <x:v>Firebase Dagger</x:v>
      </x:c>
      <x:c r="C43" s="15" t="str">
        <x:v>Défini</x:v>
      </x:c>
      <x:c r="D43" s="16" t="str">
        <x:v>Établi</x:v>
      </x:c>
      <x:c r="E43" s="16" t="str">
        <x:v>P1</x:v>
      </x:c>
      <x:c r="F43" s="9" t="str">
        <x:v>Carte du multijoueur ME3 original.</x:v>
      </x:c>
      <x:c r="G43" s="9" t="str">
        <x:v>Arène de vagues séparée : réserver quatre entrées de groupe, répartir objectifs et munitions, conserver au moins deux voies de repli lisibles ; topologie exacte à relever avant reproduction.</x:v>
      </x:c>
      <x:c r="H43" s="9" t="str">
        <x:v>Arène de vagues séparée : réserver quatre entrées de groupe, répartir objectifs et munitions, conserver au moins deux voies de repli lisibles ; topologie exacte à relever avant reproduction.</x:v>
      </x:c>
      <x:c r="I43" s="9" t="str">
        <x:v>Base désertique, ponts et toiture.</x:v>
      </x:c>
      <x:c r="J43" s="9" t="str">
        <x:v>Préparer état de repos, anticipation, activation et retour au repos ; aligner les événements visuels sur la résolution de l’action ATB.</x:v>
      </x:c>
      <x:c r="K43" s="9" t="str">
        <x:v>Créer des bruitages et ambiances originaux adaptés au livrable ; sous-titrer les indices utiles et proposer un réglage indépendant des effets. Aucune extraction audio demandée.</x:v>
      </x:c>
      <x:c r="L43" s="9" t="str">
        <x:v>Prévu : fiche de données me3/zones/mp-dagger ; rattacher les ressources et états cités à cet identifiant. Aucun fichier de jeu créé par ce catalogue.</x:v>
      </x:c>
      <x:c r="M43" s="9" t="str">
        <x:v>Module multijoueur original uniquement ; absent de Legendary.</x:v>
      </x:c>
      <x:c r="N43" s="9" t="str">
        <x:v>Le lancement indique multijoueur ; aucune mission solo ne charge cette carte par erreur ; tester objectif, extraction et réapparition sans blocage de chemin.</x:v>
      </x:c>
      <x:c r="O43" s="9" t="str"/>
      <x:c r="P43" s="9" t="str">
        <x:v>Firebase Dagger</x:v>
      </x:c>
      <x:c r="Q43" s="9" t="str">
        <x:v>ME3-SRC-MP</x:v>
      </x:c>
      <x:c r="R43" s="20" t="str">
        <x:v>https://masseffect.fandom.com/wiki/Mass_Effect_3_Multiplayer</x:v>
      </x:c>
      <x:c r="S43" s="20" t="str">
        <x:v>Spécification à réaliser. Les champs adaptation, gameplay, visual, animation, audio et implementation décrivent le fan game ; ils ne donnent pas des caractéristiques officielles de l’œuvre.</x:v>
      </x:c>
    </x:row>
    <x:row r="44" ht="68" customHeight="1">
      <x:c r="A44" s="19" t="str">
        <x:v>ME3-ZON-MP-GHOST</x:v>
      </x:c>
      <x:c r="B44" s="7" t="str">
        <x:v>Firebase Ghost</x:v>
      </x:c>
      <x:c r="C44" s="15" t="str">
        <x:v>Défini</x:v>
      </x:c>
      <x:c r="D44" s="17" t="str">
        <x:v>Établi</x:v>
      </x:c>
      <x:c r="E44" s="17" t="str">
        <x:v>P1</x:v>
      </x:c>
      <x:c r="F44" s="7" t="str">
        <x:v>Carte du multijoueur ME3 original.</x:v>
      </x:c>
      <x:c r="G44" s="7" t="str">
        <x:v>Arène de vagues séparée : réserver quatre entrées de groupe, répartir objectifs et munitions, conserver au moins deux voies de repli lisibles ; topologie exacte à relever avant reproduction.</x:v>
      </x:c>
      <x:c r="H44" s="7" t="str">
        <x:v>Arène de vagues séparée : réserver quatre entrées de groupe, répartir objectifs et munitions, conserver au moins deux voies de repli lisibles ; topologie exacte à relever avant reproduction.</x:v>
      </x:c>
      <x:c r="I44" s="7" t="str">
        <x:v>Quartier industriel et rues étroites.</x:v>
      </x:c>
      <x:c r="J44" s="7" t="str">
        <x:v>Préparer état de repos, anticipation, activation et retour au repos ; aligner les événements visuels sur la résolution de l’action ATB.</x:v>
      </x:c>
      <x:c r="K44" s="7" t="str">
        <x:v>Créer des bruitages et ambiances originaux adaptés au livrable ; sous-titrer les indices utiles et proposer un réglage indépendant des effets. Aucune extraction audio demandée.</x:v>
      </x:c>
      <x:c r="L44" s="7" t="str">
        <x:v>Prévu : fiche de données me3/zones/mp-ghost ; rattacher les ressources et états cités à cet identifiant. Aucun fichier de jeu créé par ce catalogue.</x:v>
      </x:c>
      <x:c r="M44" s="7" t="str">
        <x:v>Module multijoueur original uniquement ; absent de Legendary.</x:v>
      </x:c>
      <x:c r="N44" s="7" t="str">
        <x:v>Le lancement indique multijoueur ; aucune mission solo ne charge cette carte par erreur ; tester objectif, extraction et réapparition sans blocage de chemin.</x:v>
      </x:c>
      <x:c r="O44" s="7" t="str"/>
      <x:c r="P44" s="7" t="str">
        <x:v>Firebase Ghost</x:v>
      </x:c>
      <x:c r="Q44" s="7" t="str">
        <x:v>ME3-SRC-MP</x:v>
      </x:c>
      <x:c r="R44" s="21" t="str">
        <x:v>https://masseffect.fandom.com/wiki/Mass_Effect_3_Multiplayer</x:v>
      </x:c>
      <x:c r="S44" s="21" t="str">
        <x:v>Spécification à réaliser. Les champs adaptation, gameplay, visual, animation, audio et implementation décrivent le fan game ; ils ne donnent pas des caractéristiques officielles de l’œuvre.</x:v>
      </x:c>
    </x:row>
    <x:row r="45" ht="68" customHeight="1">
      <x:c r="A45" s="18" t="str">
        <x:v>ME3-ZON-MP-GIANT</x:v>
      </x:c>
      <x:c r="B45" s="9" t="str">
        <x:v>Firebase Giant</x:v>
      </x:c>
      <x:c r="C45" s="15" t="str">
        <x:v>Défini</x:v>
      </x:c>
      <x:c r="D45" s="16" t="str">
        <x:v>Établi</x:v>
      </x:c>
      <x:c r="E45" s="16" t="str">
        <x:v>P1</x:v>
      </x:c>
      <x:c r="F45" s="9" t="str">
        <x:v>Carte du multijoueur ME3 original.</x:v>
      </x:c>
      <x:c r="G45" s="9" t="str">
        <x:v>Arène de vagues séparée : réserver quatre entrées de groupe, répartir objectifs et munitions, conserver au moins deux voies de repli lisibles ; topologie exacte à relever avant reproduction.</x:v>
      </x:c>
      <x:c r="H45" s="9" t="str">
        <x:v>Arène de vagues séparée : réserver quatre entrées de groupe, répartir objectifs et munitions, conserver au moins deux voies de repli lisibles ; topologie exacte à relever avant reproduction.</x:v>
      </x:c>
      <x:c r="I45" s="9" t="str">
        <x:v>Chantier industriel et longues lignes.</x:v>
      </x:c>
      <x:c r="J45" s="9" t="str">
        <x:v>Préparer état de repos, anticipation, activation et retour au repos ; aligner les événements visuels sur la résolution de l’action ATB.</x:v>
      </x:c>
      <x:c r="K45" s="9" t="str">
        <x:v>Créer des bruitages et ambiances originaux adaptés au livrable ; sous-titrer les indices utiles et proposer un réglage indépendant des effets. Aucune extraction audio demandée.</x:v>
      </x:c>
      <x:c r="L45" s="9" t="str">
        <x:v>Prévu : fiche de données me3/zones/mp-giant ; rattacher les ressources et états cités à cet identifiant. Aucun fichier de jeu créé par ce catalogue.</x:v>
      </x:c>
      <x:c r="M45" s="9" t="str">
        <x:v>Module multijoueur original uniquement ; absent de Legendary.</x:v>
      </x:c>
      <x:c r="N45" s="9" t="str">
        <x:v>Le lancement indique multijoueur ; aucune mission solo ne charge cette carte par erreur ; tester objectif, extraction et réapparition sans blocage de chemin.</x:v>
      </x:c>
      <x:c r="O45" s="9" t="str"/>
      <x:c r="P45" s="9" t="str">
        <x:v>Firebase Giant</x:v>
      </x:c>
      <x:c r="Q45" s="9" t="str">
        <x:v>ME3-SRC-MP</x:v>
      </x:c>
      <x:c r="R45" s="20" t="str">
        <x:v>https://masseffect.fandom.com/wiki/Mass_Effect_3_Multiplayer</x:v>
      </x:c>
      <x:c r="S45" s="20" t="str">
        <x:v>Spécification à réaliser. Les champs adaptation, gameplay, visual, animation, audio et implementation décrivent le fan game ; ils ne donnent pas des caractéristiques officielles de l’œuvre.</x:v>
      </x:c>
    </x:row>
    <x:row r="46" ht="68" customHeight="1">
      <x:c r="A46" s="19" t="str">
        <x:v>ME3-ZON-MP-GLACIER</x:v>
      </x:c>
      <x:c r="B46" s="7" t="str">
        <x:v>Firebase Glacier</x:v>
      </x:c>
      <x:c r="C46" s="15" t="str">
        <x:v>Défini</x:v>
      </x:c>
      <x:c r="D46" s="17" t="str">
        <x:v>Établi</x:v>
      </x:c>
      <x:c r="E46" s="17" t="str">
        <x:v>P1</x:v>
      </x:c>
      <x:c r="F46" s="7" t="str">
        <x:v>Carte du multijoueur ME3 original.</x:v>
      </x:c>
      <x:c r="G46" s="7" t="str">
        <x:v>Arène de vagues séparée : réserver quatre entrées de groupe, répartir objectifs et munitions, conserver au moins deux voies de repli lisibles ; topologie exacte à relever avant reproduction.</x:v>
      </x:c>
      <x:c r="H46" s="7" t="str">
        <x:v>Arène de vagues séparée : réserver quatre entrées de groupe, répartir objectifs et munitions, conserver au moins deux voies de repli lisibles ; topologie exacte à relever avant reproduction.</x:v>
      </x:c>
      <x:c r="I46" s="7" t="str">
        <x:v>Installation enneigée et passages serrés.</x:v>
      </x:c>
      <x:c r="J46" s="7" t="str">
        <x:v>Préparer état de repos, anticipation, activation et retour au repos ; aligner les événements visuels sur la résolution de l’action ATB.</x:v>
      </x:c>
      <x:c r="K46" s="7" t="str">
        <x:v>Créer des bruitages et ambiances originaux adaptés au livrable ; sous-titrer les indices utiles et proposer un réglage indépendant des effets. Aucune extraction audio demandée.</x:v>
      </x:c>
      <x:c r="L46" s="7" t="str">
        <x:v>Prévu : fiche de données me3/zones/mp-glacier ; rattacher les ressources et états cités à cet identifiant. Aucun fichier de jeu créé par ce catalogue.</x:v>
      </x:c>
      <x:c r="M46" s="7" t="str">
        <x:v>Module multijoueur original uniquement ; absent de Legendary.</x:v>
      </x:c>
      <x:c r="N46" s="7" t="str">
        <x:v>Le lancement indique multijoueur ; aucune mission solo ne charge cette carte par erreur ; tester objectif, extraction et réapparition sans blocage de chemin.</x:v>
      </x:c>
      <x:c r="O46" s="7" t="str"/>
      <x:c r="P46" s="7" t="str">
        <x:v>Firebase Glacier</x:v>
      </x:c>
      <x:c r="Q46" s="7" t="str">
        <x:v>ME3-SRC-MP</x:v>
      </x:c>
      <x:c r="R46" s="21" t="str">
        <x:v>https://masseffect.fandom.com/wiki/Mass_Effect_3_Multiplayer</x:v>
      </x:c>
      <x:c r="S46" s="21" t="str">
        <x:v>Spécification à réaliser. Les champs adaptation, gameplay, visual, animation, audio et implementation décrivent le fan game ; ils ne donnent pas des caractéristiques officielles de l’œuvre.</x:v>
      </x:c>
    </x:row>
    <x:row r="47" ht="68" customHeight="1">
      <x:c r="A47" s="18" t="str">
        <x:v>ME3-ZON-MP-REACTOR</x:v>
      </x:c>
      <x:c r="B47" s="9" t="str">
        <x:v>Firebase Reactor</x:v>
      </x:c>
      <x:c r="C47" s="15" t="str">
        <x:v>Défini</x:v>
      </x:c>
      <x:c r="D47" s="16" t="str">
        <x:v>Établi</x:v>
      </x:c>
      <x:c r="E47" s="16" t="str">
        <x:v>P1</x:v>
      </x:c>
      <x:c r="F47" s="9" t="str">
        <x:v>Carte du multijoueur ME3 original.</x:v>
      </x:c>
      <x:c r="G47" s="9" t="str">
        <x:v>Arène de vagues séparée : réserver quatre entrées de groupe, répartir objectifs et munitions, conserver au moins deux voies de repli lisibles ; topologie exacte à relever avant reproduction.</x:v>
      </x:c>
      <x:c r="H47" s="9" t="str">
        <x:v>Arène de vagues séparée : réserver quatre entrées de groupe, répartir objectifs et munitions, conserver au moins deux voies de repli lisibles ; topologie exacte à relever avant reproduction.</x:v>
      </x:c>
      <x:c r="I47" s="9" t="str">
        <x:v>Réacteur, passerelles et portes.</x:v>
      </x:c>
      <x:c r="J47" s="9" t="str">
        <x:v>Préparer état de repos, anticipation, activation et retour au repos ; aligner les événements visuels sur la résolution de l’action ATB.</x:v>
      </x:c>
      <x:c r="K47" s="9" t="str">
        <x:v>Créer des bruitages et ambiances originaux adaptés au livrable ; sous-titrer les indices utiles et proposer un réglage indépendant des effets. Aucune extraction audio demandée.</x:v>
      </x:c>
      <x:c r="L47" s="9" t="str">
        <x:v>Prévu : fiche de données me3/zones/mp-reactor ; rattacher les ressources et états cités à cet identifiant. Aucun fichier de jeu créé par ce catalogue.</x:v>
      </x:c>
      <x:c r="M47" s="9" t="str">
        <x:v>Module multijoueur original uniquement ; absent de Legendary.</x:v>
      </x:c>
      <x:c r="N47" s="9" t="str">
        <x:v>Le lancement indique multijoueur ; aucune mission solo ne charge cette carte par erreur ; tester objectif, extraction et réapparition sans blocage de chemin.</x:v>
      </x:c>
      <x:c r="O47" s="9" t="str"/>
      <x:c r="P47" s="9" t="str">
        <x:v>Firebase Reactor</x:v>
      </x:c>
      <x:c r="Q47" s="9" t="str">
        <x:v>ME3-SRC-MP</x:v>
      </x:c>
      <x:c r="R47" s="20" t="str">
        <x:v>https://masseffect.fandom.com/wiki/Mass_Effect_3_Multiplayer</x:v>
      </x:c>
      <x:c r="S47" s="20" t="str">
        <x:v>Spécification à réaliser. Les champs adaptation, gameplay, visual, animation, audio et implementation décrivent le fan game ; ils ne donnent pas des caractéristiques officielles de l’œuvre.</x:v>
      </x:c>
    </x:row>
    <x:row r="48" ht="68" customHeight="1">
      <x:c r="A48" s="19" t="str">
        <x:v>ME3-ZON-MP-WHITE</x:v>
      </x:c>
      <x:c r="B48" s="7" t="str">
        <x:v>Firebase White</x:v>
      </x:c>
      <x:c r="C48" s="15" t="str">
        <x:v>Défini</x:v>
      </x:c>
      <x:c r="D48" s="17" t="str">
        <x:v>Établi</x:v>
      </x:c>
      <x:c r="E48" s="17" t="str">
        <x:v>P1</x:v>
      </x:c>
      <x:c r="F48" s="7" t="str">
        <x:v>Carte du multijoueur ME3 original.</x:v>
      </x:c>
      <x:c r="G48" s="7" t="str">
        <x:v>Arène de vagues séparée : réserver quatre entrées de groupe, répartir objectifs et munitions, conserver au moins deux voies de repli lisibles ; topologie exacte à relever avant reproduction.</x:v>
      </x:c>
      <x:c r="H48" s="7" t="str">
        <x:v>Arène de vagues séparée : réserver quatre entrées de groupe, répartir objectifs et munitions, conserver au moins deux voies de repli lisibles ; topologie exacte à relever avant reproduction.</x:v>
      </x:c>
      <x:c r="I48" s="7" t="str">
        <x:v>Base froide et terrasses.</x:v>
      </x:c>
      <x:c r="J48" s="7" t="str">
        <x:v>Préparer état de repos, anticipation, activation et retour au repos ; aligner les événements visuels sur la résolution de l’action ATB.</x:v>
      </x:c>
      <x:c r="K48" s="7" t="str">
        <x:v>Créer des bruitages et ambiances originaux adaptés au livrable ; sous-titrer les indices utiles et proposer un réglage indépendant des effets. Aucune extraction audio demandée.</x:v>
      </x:c>
      <x:c r="L48" s="7" t="str">
        <x:v>Prévu : fiche de données me3/zones/mp-white ; rattacher les ressources et états cités à cet identifiant. Aucun fichier de jeu créé par ce catalogue.</x:v>
      </x:c>
      <x:c r="M48" s="7" t="str">
        <x:v>Module multijoueur original uniquement ; absent de Legendary.</x:v>
      </x:c>
      <x:c r="N48" s="7" t="str">
        <x:v>Le lancement indique multijoueur ; aucune mission solo ne charge cette carte par erreur ; tester objectif, extraction et réapparition sans blocage de chemin.</x:v>
      </x:c>
      <x:c r="O48" s="7" t="str"/>
      <x:c r="P48" s="7" t="str">
        <x:v>Firebase White</x:v>
      </x:c>
      <x:c r="Q48" s="7" t="str">
        <x:v>ME3-SRC-MP</x:v>
      </x:c>
      <x:c r="R48" s="21" t="str">
        <x:v>https://masseffect.fandom.com/wiki/Mass_Effect_3_Multiplayer</x:v>
      </x:c>
      <x:c r="S48" s="21" t="str">
        <x:v>Spécification à réaliser. Les champs adaptation, gameplay, visual, animation, audio et implementation décrivent le fan game ; ils ne donnent pas des caractéristiques officielles de l’œuvre.</x:v>
      </x:c>
    </x:row>
    <x:row r="49" ht="68" customHeight="1">
      <x:c r="A49" s="18" t="str">
        <x:v>ME3-ZON-MP-HYDRA</x:v>
      </x:c>
      <x:c r="B49" s="9" t="str">
        <x:v>Firebase Hydra</x:v>
      </x:c>
      <x:c r="C49" s="15" t="str">
        <x:v>Défini</x:v>
      </x:c>
      <x:c r="D49" s="16" t="str">
        <x:v>Établi</x:v>
      </x:c>
      <x:c r="E49" s="16" t="str">
        <x:v>P1</x:v>
      </x:c>
      <x:c r="F49" s="9" t="str">
        <x:v>Carte du multijoueur ME3 original.</x:v>
      </x:c>
      <x:c r="G49" s="9" t="str">
        <x:v>Arène de vagues séparée : réserver quatre entrées de groupe, répartir objectifs et munitions, conserver au moins deux voies de repli lisibles ; topologie exacte à relever avant reproduction.</x:v>
      </x:c>
      <x:c r="H49" s="9" t="str">
        <x:v>Arène de vagues séparée : réserver quatre entrées de groupe, répartir objectifs et munitions, conserver au moins deux voies de repli lisibles ; topologie exacte à relever avant reproduction.</x:v>
      </x:c>
      <x:c r="I49" s="9" t="str">
        <x:v>Installations aquatiques et plateformes.</x:v>
      </x:c>
      <x:c r="J49" s="9" t="str">
        <x:v>Préparer état de repos, anticipation, activation et retour au repos ; aligner les événements visuels sur la résolution de l’action ATB.</x:v>
      </x:c>
      <x:c r="K49" s="9" t="str">
        <x:v>Créer des bruitages et ambiances originaux adaptés au livrable ; sous-titrer les indices utiles et proposer un réglage indépendant des effets. Aucune extraction audio demandée.</x:v>
      </x:c>
      <x:c r="L49" s="9" t="str">
        <x:v>Prévu : fiche de données me3/zones/mp-hydra ; rattacher les ressources et états cités à cet identifiant. Aucun fichier de jeu créé par ce catalogue.</x:v>
      </x:c>
      <x:c r="M49" s="9" t="str">
        <x:v>Module multijoueur original uniquement ; absent de Legendary.</x:v>
      </x:c>
      <x:c r="N49" s="9" t="str">
        <x:v>Le lancement indique multijoueur ; aucune mission solo ne charge cette carte par erreur ; tester objectif, extraction et réapparition sans blocage de chemin.</x:v>
      </x:c>
      <x:c r="O49" s="9" t="str"/>
      <x:c r="P49" s="9" t="str">
        <x:v>Firebase Hydra</x:v>
      </x:c>
      <x:c r="Q49" s="9" t="str">
        <x:v>ME3-SRC-MP</x:v>
      </x:c>
      <x:c r="R49" s="20" t="str">
        <x:v>https://masseffect.fandom.com/wiki/Mass_Effect_3_Multiplayer</x:v>
      </x:c>
      <x:c r="S49" s="20" t="str">
        <x:v>Spécification à réaliser. Les champs adaptation, gameplay, visual, animation, audio et implementation décrivent le fan game ; ils ne donnent pas des caractéristiques officielles de l’œuvre.</x:v>
      </x:c>
    </x:row>
    <x:row r="50" ht="68" customHeight="1">
      <x:c r="A50" s="19" t="str">
        <x:v>ME3-ZON-MP-CONDOR</x:v>
      </x:c>
      <x:c r="B50" s="7" t="str">
        <x:v>Firebase Condor</x:v>
      </x:c>
      <x:c r="C50" s="15" t="str">
        <x:v>Défini</x:v>
      </x:c>
      <x:c r="D50" s="17" t="str">
        <x:v>Établi</x:v>
      </x:c>
      <x:c r="E50" s="17" t="str">
        <x:v>P1</x:v>
      </x:c>
      <x:c r="F50" s="7" t="str">
        <x:v>Carte du multijoueur ME3 original.</x:v>
      </x:c>
      <x:c r="G50" s="7" t="str">
        <x:v>Arène de vagues séparée : réserver quatre entrées de groupe, répartir objectifs et munitions, conserver au moins deux voies de repli lisibles ; topologie exacte à relever avant reproduction.</x:v>
      </x:c>
      <x:c r="H50" s="7" t="str">
        <x:v>Arène de vagues séparée : réserver quatre entrées de groupe, répartir objectifs et munitions, conserver au moins deux voies de repli lisibles ; topologie exacte à relever avant reproduction.</x:v>
      </x:c>
      <x:c r="I50" s="7" t="str">
        <x:v>Relief lunaire et ruines.</x:v>
      </x:c>
      <x:c r="J50" s="7" t="str">
        <x:v>Préparer état de repos, anticipation, activation et retour au repos ; aligner les événements visuels sur la résolution de l’action ATB.</x:v>
      </x:c>
      <x:c r="K50" s="7" t="str">
        <x:v>Créer des bruitages et ambiances originaux adaptés au livrable ; sous-titrer les indices utiles et proposer un réglage indépendant des effets. Aucune extraction audio demandée.</x:v>
      </x:c>
      <x:c r="L50" s="7" t="str">
        <x:v>Prévu : fiche de données me3/zones/mp-condor ; rattacher les ressources et états cités à cet identifiant. Aucun fichier de jeu créé par ce catalogue.</x:v>
      </x:c>
      <x:c r="M50" s="7" t="str">
        <x:v>Module multijoueur original uniquement ; absent de Legendary.</x:v>
      </x:c>
      <x:c r="N50" s="7" t="str">
        <x:v>Le lancement indique multijoueur ; aucune mission solo ne charge cette carte par erreur ; tester objectif, extraction et réapparition sans blocage de chemin.</x:v>
      </x:c>
      <x:c r="O50" s="7" t="str"/>
      <x:c r="P50" s="7" t="str">
        <x:v>Firebase Condor</x:v>
      </x:c>
      <x:c r="Q50" s="7" t="str">
        <x:v>ME3-SRC-MP</x:v>
      </x:c>
      <x:c r="R50" s="21" t="str">
        <x:v>https://masseffect.fandom.com/wiki/Mass_Effect_3_Multiplayer</x:v>
      </x:c>
      <x:c r="S50" s="21" t="str">
        <x:v>Spécification à réaliser. Les champs adaptation, gameplay, visual, animation, audio et implementation décrivent le fan game ; ils ne donnent pas des caractéristiques officielles de l’œuvre.</x:v>
      </x:c>
    </x:row>
    <x:row r="51" ht="68" customHeight="1">
      <x:c r="A51" s="18" t="str">
        <x:v>ME3-ZON-MP-GODDESS</x:v>
      </x:c>
      <x:c r="B51" s="9" t="str">
        <x:v>Firebase Goddess</x:v>
      </x:c>
      <x:c r="C51" s="15" t="str">
        <x:v>Défini</x:v>
      </x:c>
      <x:c r="D51" s="16" t="str">
        <x:v>Établi</x:v>
      </x:c>
      <x:c r="E51" s="16" t="str">
        <x:v>P1</x:v>
      </x:c>
      <x:c r="F51" s="9" t="str">
        <x:v>Carte du multijoueur ME3 original.</x:v>
      </x:c>
      <x:c r="G51" s="9" t="str">
        <x:v>Arène de vagues séparée : réserver quatre entrées de groupe, répartir objectifs et munitions, conserver au moins deux voies de repli lisibles ; topologie exacte à relever avant reproduction.</x:v>
      </x:c>
      <x:c r="H51" s="9" t="str">
        <x:v>Arène de vagues séparée : réserver quatre entrées de groupe, répartir objectifs et munitions, conserver au moins deux voies de repli lisibles ; topologie exacte à relever avant reproduction.</x:v>
      </x:c>
      <x:c r="I51" s="9" t="str">
        <x:v>Architecture asari et avenues.</x:v>
      </x:c>
      <x:c r="J51" s="9" t="str">
        <x:v>Préparer état de repos, anticipation, activation et retour au repos ; aligner les événements visuels sur la résolution de l’action ATB.</x:v>
      </x:c>
      <x:c r="K51" s="9" t="str">
        <x:v>Créer des bruitages et ambiances originaux adaptés au livrable ; sous-titrer les indices utiles et proposer un réglage indépendant des effets. Aucune extraction audio demandée.</x:v>
      </x:c>
      <x:c r="L51" s="9" t="str">
        <x:v>Prévu : fiche de données me3/zones/mp-goddess ; rattacher les ressources et états cités à cet identifiant. Aucun fichier de jeu créé par ce catalogue.</x:v>
      </x:c>
      <x:c r="M51" s="9" t="str">
        <x:v>Module multijoueur original uniquement ; absent de Legendary.</x:v>
      </x:c>
      <x:c r="N51" s="9" t="str">
        <x:v>Le lancement indique multijoueur ; aucune mission solo ne charge cette carte par erreur ; tester objectif, extraction et réapparition sans blocage de chemin.</x:v>
      </x:c>
      <x:c r="O51" s="9" t="str"/>
      <x:c r="P51" s="9" t="str">
        <x:v>Firebase Goddess</x:v>
      </x:c>
      <x:c r="Q51" s="9" t="str">
        <x:v>ME3-SRC-MP</x:v>
      </x:c>
      <x:c r="R51" s="20" t="str">
        <x:v>https://masseffect.fandom.com/wiki/Mass_Effect_3_Multiplayer</x:v>
      </x:c>
      <x:c r="S51" s="20" t="str">
        <x:v>Spécification à réaliser. Les champs adaptation, gameplay, visual, animation, audio et implementation décrivent le fan game ; ils ne donnent pas des caractéristiques officielles de l’œuvre.</x:v>
      </x:c>
    </x:row>
    <x:row r="52" ht="68" customHeight="1">
      <x:c r="A52" s="19" t="str">
        <x:v>ME3-ZON-MP-JADE</x:v>
      </x:c>
      <x:c r="B52" s="7" t="str">
        <x:v>Firebase Jade</x:v>
      </x:c>
      <x:c r="C52" s="15" t="str">
        <x:v>Défini</x:v>
      </x:c>
      <x:c r="D52" s="17" t="str">
        <x:v>Établi</x:v>
      </x:c>
      <x:c r="E52" s="17" t="str">
        <x:v>P1</x:v>
      </x:c>
      <x:c r="F52" s="7" t="str">
        <x:v>Carte du multijoueur ME3 original.</x:v>
      </x:c>
      <x:c r="G52" s="7" t="str">
        <x:v>Arène de vagues séparée : réserver quatre entrées de groupe, répartir objectifs et munitions, conserver au moins deux voies de repli lisibles ; topologie exacte à relever avant reproduction.</x:v>
      </x:c>
      <x:c r="H52" s="7" t="str">
        <x:v>Arène de vagues séparée : réserver quatre entrées de groupe, répartir objectifs et munitions, conserver au moins deux voies de repli lisibles ; topologie exacte à relever avant reproduction.</x:v>
      </x:c>
      <x:c r="I52" s="7" t="str">
        <x:v>Jungle et installations scientifiques.</x:v>
      </x:c>
      <x:c r="J52" s="7" t="str">
        <x:v>Préparer état de repos, anticipation, activation et retour au repos ; aligner les événements visuels sur la résolution de l’action ATB.</x:v>
      </x:c>
      <x:c r="K52" s="7" t="str">
        <x:v>Créer des bruitages et ambiances originaux adaptés au livrable ; sous-titrer les indices utiles et proposer un réglage indépendant des effets. Aucune extraction audio demandée.</x:v>
      </x:c>
      <x:c r="L52" s="7" t="str">
        <x:v>Prévu : fiche de données me3/zones/mp-jade ; rattacher les ressources et états cités à cet identifiant. Aucun fichier de jeu créé par ce catalogue.</x:v>
      </x:c>
      <x:c r="M52" s="7" t="str">
        <x:v>Module multijoueur original uniquement ; absent de Legendary.</x:v>
      </x:c>
      <x:c r="N52" s="7" t="str">
        <x:v>Le lancement indique multijoueur ; aucune mission solo ne charge cette carte par erreur ; tester objectif, extraction et réapparition sans blocage de chemin.</x:v>
      </x:c>
      <x:c r="O52" s="7" t="str"/>
      <x:c r="P52" s="7" t="str">
        <x:v>Firebase Jade</x:v>
      </x:c>
      <x:c r="Q52" s="7" t="str">
        <x:v>ME3-SRC-MP</x:v>
      </x:c>
      <x:c r="R52" s="21" t="str">
        <x:v>https://masseffect.fandom.com/wiki/Mass_Effect_3_Multiplayer</x:v>
      </x:c>
      <x:c r="S52" s="21" t="str">
        <x:v>Spécification à réaliser. Les champs adaptation, gameplay, visual, animation, audio et implementation décrivent le fan game ; ils ne donnent pas des caractéristiques officielles de l’œuvre.</x:v>
      </x:c>
    </x:row>
    <x:row r="53" ht="68" customHeight="1">
      <x:c r="A53" s="18" t="str">
        <x:v>ME3-ZON-MP-LONDON</x:v>
      </x:c>
      <x:c r="B53" s="9" t="str">
        <x:v>Firebase London</x:v>
      </x:c>
      <x:c r="C53" s="15" t="str">
        <x:v>Défini</x:v>
      </x:c>
      <x:c r="D53" s="16" t="str">
        <x:v>Établi</x:v>
      </x:c>
      <x:c r="E53" s="16" t="str">
        <x:v>P1</x:v>
      </x:c>
      <x:c r="F53" s="9" t="str">
        <x:v>Carte du multijoueur ME3 original.</x:v>
      </x:c>
      <x:c r="G53" s="9" t="str">
        <x:v>Arène de vagues séparée : réserver quatre entrées de groupe, répartir objectifs et munitions, conserver au moins deux voies de repli lisibles ; topologie exacte à relever avant reproduction.</x:v>
      </x:c>
      <x:c r="H53" s="9" t="str">
        <x:v>Arène de vagues séparée : réserver quatre entrées de groupe, répartir objectifs et munitions, conserver au moins deux voies de repli lisibles ; topologie exacte à relever avant reproduction.</x:v>
      </x:c>
      <x:c r="I53" s="9" t="str">
        <x:v>Rues terrestres en ruines.</x:v>
      </x:c>
      <x:c r="J53" s="9" t="str">
        <x:v>Préparer état de repos, anticipation, activation et retour au repos ; aligner les événements visuels sur la résolution de l’action ATB.</x:v>
      </x:c>
      <x:c r="K53" s="9" t="str">
        <x:v>Créer des bruitages et ambiances originaux adaptés au livrable ; sous-titrer les indices utiles et proposer un réglage indépendant des effets. Aucune extraction audio demandée.</x:v>
      </x:c>
      <x:c r="L53" s="9" t="str">
        <x:v>Prévu : fiche de données me3/zones/mp-london ; rattacher les ressources et états cités à cet identifiant. Aucun fichier de jeu créé par ce catalogue.</x:v>
      </x:c>
      <x:c r="M53" s="9" t="str">
        <x:v>Module multijoueur original uniquement ; absent de Legendary.</x:v>
      </x:c>
      <x:c r="N53" s="9" t="str">
        <x:v>Le lancement indique multijoueur ; aucune mission solo ne charge cette carte par erreur ; tester objectif, extraction et réapparition sans blocage de chemin.</x:v>
      </x:c>
      <x:c r="O53" s="9" t="str"/>
      <x:c r="P53" s="9" t="str">
        <x:v>Firebase London</x:v>
      </x:c>
      <x:c r="Q53" s="9" t="str">
        <x:v>ME3-SRC-MP</x:v>
      </x:c>
      <x:c r="R53" s="20" t="str">
        <x:v>https://masseffect.fandom.com/wiki/Mass_Effect_3_Multiplayer</x:v>
      </x:c>
      <x:c r="S53" s="20" t="str">
        <x:v>Spécification à réaliser. Les champs adaptation, gameplay, visual, animation, audio et implementation décrivent le fan game ; ils ne donnent pas des caractéristiques officielles de l’œuvre.</x:v>
      </x:c>
    </x:row>
    <x:row r="54" ht="68" customHeight="1">
      <x:c r="A54" s="19" t="str">
        <x:v>ME3-ZON-MP-RIO</x:v>
      </x:c>
      <x:c r="B54" s="7" t="str">
        <x:v>Firebase Rio</x:v>
      </x:c>
      <x:c r="C54" s="15" t="str">
        <x:v>Défini</x:v>
      </x:c>
      <x:c r="D54" s="17" t="str">
        <x:v>Établi</x:v>
      </x:c>
      <x:c r="E54" s="17" t="str">
        <x:v>P1</x:v>
      </x:c>
      <x:c r="F54" s="7" t="str">
        <x:v>Carte du multijoueur ME3 original.</x:v>
      </x:c>
      <x:c r="G54" s="7" t="str">
        <x:v>Arène de vagues séparée : réserver quatre entrées de groupe, répartir objectifs et munitions, conserver au moins deux voies de repli lisibles ; topologie exacte à relever avant reproduction.</x:v>
      </x:c>
      <x:c r="H54" s="7" t="str">
        <x:v>Arène de vagues séparée : réserver quatre entrées de groupe, répartir objectifs et munitions, conserver au moins deux voies de repli lisibles ; topologie exacte à relever avant reproduction.</x:v>
      </x:c>
      <x:c r="I54" s="7" t="str">
        <x:v>Installations portuaires et verticalité.</x:v>
      </x:c>
      <x:c r="J54" s="7" t="str">
        <x:v>Préparer état de repos, anticipation, activation et retour au repos ; aligner les événements visuels sur la résolution de l’action ATB.</x:v>
      </x:c>
      <x:c r="K54" s="7" t="str">
        <x:v>Créer des bruitages et ambiances originaux adaptés au livrable ; sous-titrer les indices utiles et proposer un réglage indépendant des effets. Aucune extraction audio demandée.</x:v>
      </x:c>
      <x:c r="L54" s="7" t="str">
        <x:v>Prévu : fiche de données me3/zones/mp-rio ; rattacher les ressources et états cités à cet identifiant. Aucun fichier de jeu créé par ce catalogue.</x:v>
      </x:c>
      <x:c r="M54" s="7" t="str">
        <x:v>Module multijoueur original uniquement ; absent de Legendary.</x:v>
      </x:c>
      <x:c r="N54" s="7" t="str">
        <x:v>Le lancement indique multijoueur ; aucune mission solo ne charge cette carte par erreur ; tester objectif, extraction et réapparition sans blocage de chemin.</x:v>
      </x:c>
      <x:c r="O54" s="7" t="str"/>
      <x:c r="P54" s="7" t="str">
        <x:v>Firebase Rio</x:v>
      </x:c>
      <x:c r="Q54" s="7" t="str">
        <x:v>ME3-SRC-MP</x:v>
      </x:c>
      <x:c r="R54" s="21" t="str">
        <x:v>https://masseffect.fandom.com/wiki/Mass_Effect_3_Multiplayer</x:v>
      </x:c>
      <x:c r="S54" s="21" t="str">
        <x:v>Spécification à réaliser. Les champs adaptation, gameplay, visual, animation, audio et implementation décrivent le fan game ; ils ne donnent pas des caractéristiques officielles de l’œuvre.</x:v>
      </x:c>
    </x:row>
    <x:row r="55" ht="68" customHeight="1">
      <x:c r="A55" s="18" t="str">
        <x:v>ME3-ZON-MP-VANCOUVER</x:v>
      </x:c>
      <x:c r="B55" s="9" t="str">
        <x:v>Firebase Vancouver</x:v>
      </x:c>
      <x:c r="C55" s="15" t="str">
        <x:v>Défini</x:v>
      </x:c>
      <x:c r="D55" s="16" t="str">
        <x:v>Établi</x:v>
      </x:c>
      <x:c r="E55" s="16" t="str">
        <x:v>P1</x:v>
      </x:c>
      <x:c r="F55" s="9" t="str">
        <x:v>Carte du multijoueur ME3 original.</x:v>
      </x:c>
      <x:c r="G55" s="9" t="str">
        <x:v>Arène de vagues séparée : réserver quatre entrées de groupe, répartir objectifs et munitions, conserver au moins deux voies de repli lisibles ; topologie exacte à relever avant reproduction.</x:v>
      </x:c>
      <x:c r="H55" s="9" t="str">
        <x:v>Arène de vagues séparée : réserver quatre entrées de groupe, répartir objectifs et munitions, conserver au moins deux voies de repli lisibles ; topologie exacte à relever avant reproduction.</x:v>
      </x:c>
      <x:c r="I55" s="9" t="str">
        <x:v>Toitures et ville en guerre.</x:v>
      </x:c>
      <x:c r="J55" s="9" t="str">
        <x:v>Préparer état de repos, anticipation, activation et retour au repos ; aligner les événements visuels sur la résolution de l’action ATB.</x:v>
      </x:c>
      <x:c r="K55" s="9" t="str">
        <x:v>Créer des bruitages et ambiances originaux adaptés au livrable ; sous-titrer les indices utiles et proposer un réglage indépendant des effets. Aucune extraction audio demandée.</x:v>
      </x:c>
      <x:c r="L55" s="9" t="str">
        <x:v>Prévu : fiche de données me3/zones/mp-vancouver ; rattacher les ressources et états cités à cet identifiant. Aucun fichier de jeu créé par ce catalogue.</x:v>
      </x:c>
      <x:c r="M55" s="9" t="str">
        <x:v>Module multijoueur original uniquement ; absent de Legendary.</x:v>
      </x:c>
      <x:c r="N55" s="9" t="str">
        <x:v>Le lancement indique multijoueur ; aucune mission solo ne charge cette carte par erreur ; tester objectif, extraction et réapparition sans blocage de chemin.</x:v>
      </x:c>
      <x:c r="O55" s="9" t="str"/>
      <x:c r="P55" s="9" t="str">
        <x:v>Firebase Vancouver</x:v>
      </x:c>
      <x:c r="Q55" s="9" t="str">
        <x:v>ME3-SRC-MP</x:v>
      </x:c>
      <x:c r="R55" s="20" t="str">
        <x:v>https://masseffect.fandom.com/wiki/Mass_Effect_3_Multiplayer</x:v>
      </x:c>
      <x:c r="S55" s="20" t="str">
        <x:v>Spécification à réaliser. Les champs adaptation, gameplay, visual, animation, audio et implementation décrivent le fan game ; ils ne donnent pas des caractéristiques officielles de l’œuvre.</x:v>
      </x:c>
    </x:row>
  </x:sheetData>
  <x:conditionalFormatting sqref="D7:D55">
    <x:cfRule type="cellIs" dxfId="16" priority="1" operator="equal">
      <x:formula>"À vérifier"</x:formula>
    </x:cfRule>
    <x:cfRule type="cellIs" dxfId="17" priority="2" operator="equal">
      <x:formula>"Extrapolation"</x:formula>
    </x:cfRule>
  </x:conditionalFormatting>
  <x:conditionalFormatting sqref="C7:C55">
    <x:cfRule type="cellIs" dxfId="18" priority="3" operator="equal">
      <x:formula>"Validé"</x:formula>
    </x:cfRule>
  </x:conditionalFormatting>
  <x:conditionalFormatting sqref="E7:E55">
    <x:cfRule type="cellIs" dxfId="19" priority="4" operator="equal">
      <x:formula>"P0"</x:formula>
    </x:cfRule>
  </x:conditionalFormatting>
  <x:dataValidations count="3">
    <x:dataValidation type="list" sqref="C7:C55">
      <x:formula1>"Défini,Prototype,Intégré,Validé"</x:formula1>
    </x:dataValidation>
    <x:dataValidation type="list" sqref="D7:D55">
      <x:formula1>"Établi,À vérifier,Extrapolation,Coupé attesté,Concept abandonné,Allégation écartée"</x:formula1>
    </x:dataValidation>
    <x:dataValidation type="list" sqref="E7:E55">
      <x:formula1>"P0,P1,P2"</x:formula1>
    </x:dataValidation>
  </x:dataValidations>
  <x:pageMargins left="0.7" right="0.7" top="0.75" bottom="0.75" header="0.3" footer="0.3"/>
  <x:tableParts count="1">
    <x:tablePart xmlns:r="http://schemas.openxmlformats.org/officeDocument/2006/relationships" r:id="Re3dfc9bf8f394382"/>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Liaisons</x:v>
      </x:c>
      <x:c r="B2" s="2"/>
      <x:c r="C2" s="2"/>
      <x:c r="D2" s="2"/>
      <x:c r="E2" s="2"/>
      <x:c r="F2" s="2"/>
      <x:c r="G2" s="2"/>
      <x:c r="H2" s="2"/>
      <x:c r="I2" s="2"/>
      <x:c r="J2" s="2"/>
      <x:c r="K2" s="2"/>
      <x:c r="L2" s="2"/>
      <x:c r="M2" s="2"/>
      <x:c r="N2" s="2"/>
      <x:c r="O2" s="2"/>
      <x:c r="P2" s="2"/>
      <x:c r="Q2" s="2"/>
      <x:c r="R2" s="2"/>
      <x:c r="S2" s="2"/>
    </x:row>
    <x:row r="3" ht="22" customHeight="1">
      <x:c r="A3" s="4" t="str">
        <x:v>Mass Effect 3 — Continuité spatiale et conditions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ME3-LNK-GALAXY</x:v>
      </x:c>
      <x:c r="B7" s="9" t="str">
        <x:v>Normandy ↔ carte galactique</x:v>
      </x:c>
      <x:c r="C7" s="15" t="str">
        <x:v>Défini</x:v>
      </x:c>
      <x:c r="D7" s="16" t="str">
        <x:v>Extrapolation</x:v>
      </x:c>
      <x:c r="E7" s="16" t="str">
        <x:v>P1</x:v>
      </x:c>
      <x:c r="F7" s="9" t="str">
        <x:v>Livrable original proposé : Normandy ↔ carte galactique.</x:v>
      </x:c>
      <x:c r="G7" s="9" t="str">
        <x:v>Voyage par interface avec confirmation de mission, consommation et alerte ; jamais de marche directe entre planètes.</x:v>
      </x:c>
      <x:c r="H7" s="9" t="str">
        <x:v>Voyage par interface avec confirmation de mission, consommation et alerte ; jamais de marche directe entre planètes.</x:v>
      </x:c>
      <x:c r="I7" s="9" t="str">
        <x:v>Carte, destination et bouton de départ.</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me3/links/galaxy ; rattacher les ressources et états cités à cet identifiant. Aucun fichier de jeu créé par ce catalogue.</x:v>
      </x:c>
      <x:c r="M7" s="9" t="str"/>
      <x:c r="N7" s="9" t="str">
        <x:v>Le livrable « Normandy ↔ carte galactique » possède une scène ou un scénario de contrôle ; ses règles proposées, ses conditions et ses retours visuels sont vérifiables séparément.</x:v>
      </x:c>
      <x:c r="O7" s="9" t="str">
        <x:v>ME3-ZON-NORM-CIC</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ME3-LNK-CIT-HUB</x:v>
      </x:c>
      <x:c r="B8" s="7" t="str">
        <x:v>Navette ↔ quartiers de Citadelle</x:v>
      </x:c>
      <x:c r="C8" s="15" t="str">
        <x:v>Défini</x:v>
      </x:c>
      <x:c r="D8" s="17" t="str">
        <x:v>Extrapolation</x:v>
      </x:c>
      <x:c r="E8" s="17" t="str">
        <x:v>P1</x:v>
      </x:c>
      <x:c r="F8" s="7" t="str">
        <x:v>Livrable original proposé : Navette ↔ quartiers de Citadelle.</x:v>
      </x:c>
      <x:c r="G8" s="7" t="str">
        <x:v>Sélection du district puis arrivée au point connu ; hub mémorise dernier quartier et messages non lus.</x:v>
      </x:c>
      <x:c r="H8" s="7" t="str">
        <x:v>Sélection du district puis arrivée au point connu ; hub mémorise dernier quartier et messages non lus.</x:v>
      </x:c>
      <x:c r="I8" s="7" t="str">
        <x:v>Carte de transport et portes de district.</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me3/links/cit-hub ; rattacher les ressources et états cités à cet identifiant. Aucun fichier de jeu créé par ce catalogue.</x:v>
      </x:c>
      <x:c r="M8" s="7" t="str"/>
      <x:c r="N8" s="7" t="str">
        <x:v>Le livrable « Navette ↔ quartiers de Citadelle » possède une scène ou un scénario de contrôle ; ses règles proposées, ses conditions et ses retours visuels sont vérifiables séparément.</x:v>
      </x:c>
      <x:c r="O8" s="7" t="str">
        <x:v>ME3-WRL-CITADEL, ME3-ZON-CIT-DOCKS</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ME3-LNK-HOSPITAL</x:v>
      </x:c>
      <x:c r="B9" s="9" t="str">
        <x:v>Ambassades ↔ hôpital</x:v>
      </x:c>
      <x:c r="C9" s="15" t="str">
        <x:v>Défini</x:v>
      </x:c>
      <x:c r="D9" s="16" t="str">
        <x:v>Extrapolation</x:v>
      </x:c>
      <x:c r="E9" s="16" t="str">
        <x:v>P1</x:v>
      </x:c>
      <x:c r="F9" s="9" t="str">
        <x:v>Livrable original proposé : Ambassades ↔ hôpital.</x:v>
      </x:c>
      <x:c r="G9" s="9" t="str">
        <x:v>Transit de hub à distance explicite ; disponibilité des visites vérifiée avant placement du PNJ.</x:v>
      </x:c>
      <x:c r="H9" s="9" t="str">
        <x:v>Transit de hub à distance explicite ; disponibilité des visites vérifiée avant placement du PNJ.</x:v>
      </x:c>
      <x:c r="I9" s="9" t="str">
        <x:v>Sélecteur hôpital et lit ciblé.</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me3/links/hospital ; rattacher les ressources et états cités à cet identifiant. Aucun fichier de jeu créé par ce catalogue.</x:v>
      </x:c>
      <x:c r="M9" s="9" t="str"/>
      <x:c r="N9" s="9" t="str">
        <x:v>Le livrable « Ambassades ↔ hôpital » possède une scène ou un scénario de contrôle ; ses règles proposées, ses conditions et ses retours visuels sont vérifiables séparément.</x:v>
      </x:c>
      <x:c r="O9" s="9" t="str">
        <x:v>ME3-ZON-CIT-EMBASSY, ME3-ZON-CIT-HOSP</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ME3-LNK-SURKESH</x:v>
      </x:c>
      <x:c r="B10" s="7" t="str">
        <x:v>Étages de Sur’Kesh</x:v>
      </x:c>
      <x:c r="C10" s="15" t="str">
        <x:v>Défini</x:v>
      </x:c>
      <x:c r="D10" s="17" t="str">
        <x:v>Extrapolation</x:v>
      </x:c>
      <x:c r="E10" s="17" t="str">
        <x:v>P1</x:v>
      </x:c>
      <x:c r="F10" s="7" t="str">
        <x:v>Livrable original proposé : Étages de Sur’Kesh.</x:v>
      </x:c>
      <x:c r="G10" s="7" t="str">
        <x:v>Ascenseur de capsule et escaliers joueurs synchronisés ; empêcher Eve de disparaître si un allié reste en retard.</x:v>
      </x:c>
      <x:c r="H10" s="7" t="str">
        <x:v>Ascenseur de capsule et escaliers joueurs synchronisés ; empêcher Eve de disparaître si un allié reste en retard.</x:v>
      </x:c>
      <x:c r="I10" s="7" t="str">
        <x:v>Capsule sur rail et balises d’étage.</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me3/links/surkesh ; rattacher les ressources et états cités à cet identifiant. Aucun fichier de jeu créé par ce catalogue.</x:v>
      </x:c>
      <x:c r="M10" s="7" t="str"/>
      <x:c r="N10" s="7" t="str">
        <x:v>Le livrable « Étages de Sur’Kesh » possède une scène ou un scénario de contrôle ; ses règles proposées, ses conditions et ses retours visuels sont vérifiables séparément.</x:v>
      </x:c>
      <x:c r="O10" s="7" t="str">
        <x:v>ME3-ZON-SURKESH-LAB</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ME3-LNK-TUCH-ROUTES</x:v>
      </x:c>
      <x:c r="B11" s="9" t="str">
        <x:v>Trajets des missions Tuchanka</x:v>
      </x:c>
      <x:c r="C11" s="15" t="str">
        <x:v>Défini</x:v>
      </x:c>
      <x:c r="D11" s="16" t="str">
        <x:v>Extrapolation</x:v>
      </x:c>
      <x:c r="E11" s="16" t="str">
        <x:v>P1</x:v>
      </x:c>
      <x:c r="F11" s="9" t="str">
        <x:v>Livrable original proposé : Trajets des missions Tuchanka.</x:v>
      </x:c>
      <x:c r="G11" s="9" t="str">
        <x:v>Chaque opération a son point d’arrivée ; seules liaisons réellement scénarisées sont jouées, autres transitent par carte.</x:v>
      </x:c>
      <x:c r="H11" s="9" t="str">
        <x:v>Chaque opération a son point d’arrivée ; seules liaisons réellement scénarisées sont jouées, autres transitent par carte.</x:v>
      </x:c>
      <x:c r="I11" s="9" t="str">
        <x:v>Trois icônes de mission séparées.</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me3/links/tuch-routes ; rattacher les ressources et états cités à cet identifiant. Aucun fichier de jeu créé par ce catalogue.</x:v>
      </x:c>
      <x:c r="M11" s="9" t="str"/>
      <x:c r="N11" s="9" t="str">
        <x:v>Le livrable « Trajets des missions Tuchanka » possède une scène ou un scénario de contrôle ; ses règles proposées, ses conditions et ses retours visuels sont vérifiables séparément.</x:v>
      </x:c>
      <x:c r="O11" s="9" t="str">
        <x:v>ME3-WRL-TUCHANKA</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ME3-LNK-CONSENSUS</x:v>
      </x:c>
      <x:c r="B12" s="7" t="str">
        <x:v>Cuirassé / Rannoch ↔ consensus</x:v>
      </x:c>
      <x:c r="C12" s="15" t="str">
        <x:v>Défini</x:v>
      </x:c>
      <x:c r="D12" s="17" t="str">
        <x:v>Extrapolation</x:v>
      </x:c>
      <x:c r="E12" s="17" t="str">
        <x:v>P1</x:v>
      </x:c>
      <x:c r="F12" s="7" t="str">
        <x:v>Livrable original proposé : Cuirassé / Rannoch ↔ consensus.</x:v>
      </x:c>
      <x:c r="G12" s="7" t="str">
        <x:v>Entrée virtuelle sauvegarde loadout et état physique ; sortie restaure l’inventaire sans garder l’arme de nettoyage.</x:v>
      </x:c>
      <x:c r="H12" s="7" t="str">
        <x:v>Entrée virtuelle sauvegarde loadout et état physique ; sortie restaure l’inventaire sans garder l’arme de nettoyage.</x:v>
      </x:c>
      <x:c r="I12" s="7" t="str">
        <x:v>Transition de données et cadre virtuel.</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me3/links/consensus ; rattacher les ressources et états cités à cet identifiant. Aucun fichier de jeu créé par ce catalogue.</x:v>
      </x:c>
      <x:c r="M12" s="7" t="str"/>
      <x:c r="N12" s="7" t="str">
        <x:v>Le livrable « Cuirassé / Rannoch ↔ consensus » possède une scène ou un scénario de contrôle ; ses règles proposées, ses conditions et ses retours visuels sont vérifiables séparément.</x:v>
      </x:c>
      <x:c r="O12" s="7" t="str">
        <x:v>ME3-ZON-GETH-CONSENSUS, ME3-WPN-GETH-SOFT</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ME3-LNK-SANCTUARY</x:v>
      </x:c>
      <x:c r="B13" s="9" t="str">
        <x:v>Accueil → niveaux cachés</x:v>
      </x:c>
      <x:c r="C13" s="15" t="str">
        <x:v>Défini</x:v>
      </x:c>
      <x:c r="D13" s="16" t="str">
        <x:v>Extrapolation</x:v>
      </x:c>
      <x:c r="E13" s="16" t="str">
        <x:v>P1</x:v>
      </x:c>
      <x:c r="F13" s="9" t="str">
        <x:v>Livrable original proposé : Accueil → niveaux cachés.</x:v>
      </x:c>
      <x:c r="G13" s="9" t="str">
        <x:v>Une porte d’enquête irréversible marque la révélation ; indices accessibles avant validation du dernier passage.</x:v>
      </x:c>
      <x:c r="H13" s="9" t="str">
        <x:v>Une porte d’enquête irréversible marque la révélation ; indices accessibles avant validation du dernier passage.</x:v>
      </x:c>
      <x:c r="I13" s="9" t="str">
        <x:v>Signalétique d’accueil puis maintenance.</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me3/links/sanctuary ; rattacher les ressources et états cités à cet identifiant. Aucun fichier de jeu créé par ce catalogue.</x:v>
      </x:c>
      <x:c r="M13" s="9" t="str"/>
      <x:c r="N13" s="9" t="str">
        <x:v>Le livrable « Accueil → niveaux cachés » possède une scène ou un scénario de contrôle ; ses règles proposées, ses conditions et ses retours visuels sont vérifiables séparément.</x:v>
      </x:c>
      <x:c r="O13" s="9" t="str">
        <x:v>ME3-ZON-SANCTUARY</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ME3-LNK-ENDGAME</x:v>
      </x:c>
      <x:c r="B14" s="7" t="str">
        <x:v>Carte galactique → QG Cerberus</x:v>
      </x:c>
      <x:c r="C14" s="15" t="str">
        <x:v>Défini</x:v>
      </x:c>
      <x:c r="D14" s="17" t="str">
        <x:v>Extrapolation</x:v>
      </x:c>
      <x:c r="E14" s="17" t="str">
        <x:v>P1</x:v>
      </x:c>
      <x:c r="F14" s="7" t="str">
        <x:v>Livrable original proposé : Carte galactique → QG Cerberus.</x:v>
      </x:c>
      <x:c r="G14" s="7" t="str">
        <x:v>Écran dédié annonce verrou de fin et sauvegarde avant départ ; annuler conserve quêtes et composition.</x:v>
      </x:c>
      <x:c r="H14" s="7" t="str">
        <x:v>Écran dédié annonce verrou de fin et sauvegarde avant départ ; annuler conserve quêtes et composition.</x:v>
      </x:c>
      <x:c r="I14" s="7" t="str">
        <x:v>Avertissement narratif clair sans spoiler de fin.</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me3/links/endgame ; rattacher les ressources et états cités à cet identifiant. Aucun fichier de jeu créé par ce catalogue.</x:v>
      </x:c>
      <x:c r="M14" s="7" t="str"/>
      <x:c r="N14" s="7" t="str">
        <x:v>Le livrable « Carte galactique → QG Cerberus » possède une scène ou un scénario de contrôle ; ses règles proposées, ses conditions et ses retours visuels sont vérifiables séparément.</x:v>
      </x:c>
      <x:c r="O14" s="7" t="str">
        <x:v>ME3-MQ-CERBERUS</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ME3-LNK-LONDON</x:v>
      </x:c>
      <x:c r="B15" s="9" t="str">
        <x:v>Base avancée → batterie → faisceau</x:v>
      </x:c>
      <x:c r="C15" s="15" t="str">
        <x:v>Défini</x:v>
      </x:c>
      <x:c r="D15" s="16" t="str">
        <x:v>Extrapolation</x:v>
      </x:c>
      <x:c r="E15" s="16" t="str">
        <x:v>P1</x:v>
      </x:c>
      <x:c r="F15" s="9" t="str">
        <x:v>Livrable original proposé : Base avancée → batterie → faisceau.</x:v>
      </x:c>
      <x:c r="G15" s="9" t="str">
        <x:v>Trois transitions conservent les adieux et états d’armée ; un chargement ne relance pas le briefing final.</x:v>
      </x:c>
      <x:c r="H15" s="9" t="str">
        <x:v>Trois transitions conservent les adieux et états d’armée ; un chargement ne relance pas le briefing final.</x:v>
      </x:c>
      <x:c r="I15" s="9" t="str">
        <x:v>Flèches d’assaut et jalons de radio.</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me3/links/london ; rattacher les ressources et états cités à cet identifiant. Aucun fichier de jeu créé par ce catalogue.</x:v>
      </x:c>
      <x:c r="M15" s="9" t="str"/>
      <x:c r="N15" s="9" t="str">
        <x:v>Le livrable « Base avancée → batterie → faisceau » possède une scène ou un scénario de contrôle ; ses règles proposées, ses conditions et ses retours visuels sont vérifiables séparément.</x:v>
      </x:c>
      <x:c r="O15" s="9" t="str">
        <x:v>ME3-ZON-LONDON-FOB, ME3-ZON-LONDON-MISSILES, ME3-ZON-BEAM</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ME3-LNK-LEV-INVEST</x:v>
      </x:c>
      <x:c r="B16" s="7" t="str">
        <x:v>Laboratoire → destinations Leviathan</x:v>
      </x:c>
      <x:c r="C16" s="15" t="str">
        <x:v>Défini</x:v>
      </x:c>
      <x:c r="D16" s="17" t="str">
        <x:v>Extrapolation</x:v>
      </x:c>
      <x:c r="E16" s="17" t="str">
        <x:v>P1</x:v>
      </x:c>
      <x:c r="F16" s="7" t="str">
        <x:v>Livrable original proposé : Laboratoire → destinations Leviathan.</x:v>
      </x:c>
      <x:c r="G16" s="7" t="str">
        <x:v>Filtres d’enquête déverrouillent des destinations sans effacer les pistes ; retour au laboratoire restaure tableau et preuves.</x:v>
      </x:c>
      <x:c r="H16" s="7" t="str">
        <x:v>Filtres d’enquête déverrouillent des destinations sans effacer les pistes ; retour au laboratoire restaure tableau et preuves.</x:v>
      </x:c>
      <x:c r="I16" s="7" t="str">
        <x:v>Table d’indices et carte galactique.</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me3/links/lev-invest ; rattacher les ressources et états cités à cet identifiant. Aucun fichier de jeu créé par ce catalogue.</x:v>
      </x:c>
      <x:c r="M16" s="7" t="str"/>
      <x:c r="N16" s="7" t="str">
        <x:v>Le livrable « Laboratoire → destinations Leviathan » possède une scène ou un scénario de contrôle ; ses règles proposées, ses conditions et ses retours visuels sont vérifiables séparément.</x:v>
      </x:c>
      <x:c r="O16" s="7" t="str">
        <x:v>ME3-ZON-BRYSON-LAB</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ME3-LNK-LEV-DIVE</x:v>
      </x:c>
      <x:c r="B17" s="9" t="str">
        <x:v>Épaves → abîme de Despoina</x:v>
      </x:c>
      <x:c r="C17" s="15" t="str">
        <x:v>Défini</x:v>
      </x:c>
      <x:c r="D17" s="16" t="str">
        <x:v>Extrapolation</x:v>
      </x:c>
      <x:c r="E17" s="16" t="str">
        <x:v>P1</x:v>
      </x:c>
      <x:c r="F17" s="9" t="str">
        <x:v>Livrable original proposé : Épaves → abîme de Despoina.</x:v>
      </x:c>
      <x:c r="G17" s="9" t="str">
        <x:v>Transition vers méca de plongée vérifie équipement et pilote ; pas d’accès libre à l’eau comme si sol marchable.</x:v>
      </x:c>
      <x:c r="H17" s="9" t="str">
        <x:v>Transition vers méca de plongée vérifie équipement et pilote ; pas d’accès libre à l’eau comme si sol marchable.</x:v>
      </x:c>
      <x:c r="I17" s="9" t="str">
        <x:v>Plateforme de descente et noir abyssal.</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me3/links/lev-dive ; rattacher les ressources et états cités à cet identifiant. Aucun fichier de jeu créé par ce catalogue.</x:v>
      </x:c>
      <x:c r="M17" s="9" t="str"/>
      <x:c r="N17" s="9" t="str">
        <x:v>Le livrable « Épaves → abîme de Despoina » possède une scène ou un scénario de contrôle ; ses règles proposées, ses conditions et ses retours visuels sont vérifiables séparément.</x:v>
      </x:c>
      <x:c r="O17" s="9" t="str">
        <x:v>ME3-ZON-LEV-OCEAN</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ME3-LNK-OMEGA</x:v>
      </x:c>
      <x:c r="B18" s="7" t="str">
        <x:v>Normandy → campagne Omega</x:v>
      </x:c>
      <x:c r="C18" s="15" t="str">
        <x:v>Défini</x:v>
      </x:c>
      <x:c r="D18" s="17" t="str">
        <x:v>Extrapolation</x:v>
      </x:c>
      <x:c r="E18" s="17" t="str">
        <x:v>P1</x:v>
      </x:c>
      <x:c r="F18" s="7" t="str">
        <x:v>Livrable original proposé : Normandy → campagne Omega.</x:v>
      </x:c>
      <x:c r="G18" s="7" t="str">
        <x:v>Entrée avec engagement dans extension, roster Aria/Nyreen et journal local ; sortie restaure groupe standard.</x:v>
      </x:c>
      <x:c r="H18" s="7" t="str">
        <x:v>Entrée avec engagement dans extension, roster Aria/Nyreen et journal local ; sortie restaure groupe standard.</x:v>
      </x:c>
      <x:c r="I18" s="7" t="str">
        <x:v>Carte de station et navette dédiée.</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me3/links/omega ; rattacher les ressources et états cités à cet identifiant. Aucun fichier de jeu créé par ce catalogue.</x:v>
      </x:c>
      <x:c r="M18" s="7" t="str"/>
      <x:c r="N18" s="7" t="str">
        <x:v>Le livrable « Normandy → campagne Omega » possède une scène ou un scénario de contrôle ; ses règles proposées, ses conditions et ses retours visuels sont vérifiables séparément.</x:v>
      </x:c>
      <x:c r="O18" s="7" t="str">
        <x:v>ME3-MQ-OMEGA</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ME3-LNK-CIT-LEISURE</x:v>
      </x:c>
      <x:c r="B19" s="9" t="str">
        <x:v>Appartement ↔ Silversun</x:v>
      </x:c>
      <x:c r="C19" s="15" t="str">
        <x:v>Défini</x:v>
      </x:c>
      <x:c r="D19" s="16" t="str">
        <x:v>Extrapolation</x:v>
      </x:c>
      <x:c r="E19" s="16" t="str">
        <x:v>P1</x:v>
      </x:c>
      <x:c r="F19" s="9" t="str">
        <x:v>Livrable original proposé : Appartement ↔ Silversun.</x:v>
      </x:c>
      <x:c r="G19" s="9" t="str">
        <x:v>Retour au hub social après complot ; état fête dépend d’invitations, pas de réapparition arbitraire des équipiers.</x:v>
      </x:c>
      <x:c r="H19" s="9" t="str">
        <x:v>Retour au hub social après complot ; état fête dépend d’invitations, pas de réapparition arbitraire des équipiers.</x:v>
      </x:c>
      <x:c r="I19" s="9" t="str">
        <x:v>Ascenseur, terrasse et rue néon.</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me3/links/cit-leisure ; rattacher les ressources et états cités à cet identifiant. Aucun fichier de jeu créé par ce catalogue.</x:v>
      </x:c>
      <x:c r="M19" s="9" t="str"/>
      <x:c r="N19" s="9" t="str">
        <x:v>Le livrable « Appartement ↔ Silversun » possède une scène ou un scénario de contrôle ; ses règles proposées, ses conditions et ses retours visuels sont vérifiables séparément.</x:v>
      </x:c>
      <x:c r="O19" s="9" t="str">
        <x:v>ME3-ZON-APARTMENT, ME3-ZON-SILVERSUN</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68" customHeight="1">
      <x:c r="A20" s="19" t="str">
        <x:v>ME3-LNK-ARENA</x:v>
      </x:c>
      <x:c r="B20" s="7" t="str">
        <x:v>Silversun ↔ simulation Armax</x:v>
      </x:c>
      <x:c r="C20" s="15" t="str">
        <x:v>Défini</x:v>
      </x:c>
      <x:c r="D20" s="17" t="str">
        <x:v>Extrapolation</x:v>
      </x:c>
      <x:c r="E20" s="17" t="str">
        <x:v>P1</x:v>
      </x:c>
      <x:c r="F20" s="7" t="str">
        <x:v>Livrable original proposé : Silversun ↔ simulation Armax.</x:v>
      </x:c>
      <x:c r="G20" s="7" t="str">
        <x:v>Sauvegarder inventaire et états campagne à entrée ; abandon ou victoire restaure exactement l’état extérieur autorisé.</x:v>
      </x:c>
      <x:c r="H20" s="7" t="str">
        <x:v>Sauvegarder inventaire et états campagne à entrée ; abandon ou victoire restaure exactement l’état extérieur autorisé.</x:v>
      </x:c>
      <x:c r="I20" s="7" t="str">
        <x:v>Sas de simulation et paramètres.</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me3/links/arena ; rattacher les ressources et états cités à cet identifiant. Aucun fichier de jeu créé par ce catalogue.</x:v>
      </x:c>
      <x:c r="M20" s="7" t="str"/>
      <x:c r="N20" s="7" t="str">
        <x:v>Le livrable « Silversun ↔ simulation Armax » possède une scène ou un scénario de contrôle ; ses règles proposées, ses conditions et ses retours visuels sont vérifiables séparément.</x:v>
      </x:c>
      <x:c r="O20" s="7" t="str">
        <x:v>ME3-ZON-ARMAX</x:v>
      </x:c>
      <x:c r="P20" s="7" t="str">
        <x:v>Adaptation originale — spécification de production</x:v>
      </x:c>
      <x:c r="Q20" s="7" t="str"/>
      <x:c r="R20" s="21" t="str"/>
      <x:c r="S20" s="21" t="str">
        <x:v>Spécification à réaliser. Les champs adaptation, gameplay, visual, animation, audio et implementation décrivent le fan game ; ils ne donnent pas des caractéristiques officielles de l’œuvre.</x:v>
      </x:c>
    </x:row>
  </x:sheetData>
  <x:conditionalFormatting sqref="D7:D20">
    <x:cfRule type="cellIs" dxfId="20" priority="1" operator="equal">
      <x:formula>"À vérifier"</x:formula>
    </x:cfRule>
    <x:cfRule type="cellIs" dxfId="21" priority="2" operator="equal">
      <x:formula>"Extrapolation"</x:formula>
    </x:cfRule>
  </x:conditionalFormatting>
  <x:conditionalFormatting sqref="C7:C20">
    <x:cfRule type="cellIs" dxfId="22" priority="3" operator="equal">
      <x:formula>"Validé"</x:formula>
    </x:cfRule>
  </x:conditionalFormatting>
  <x:conditionalFormatting sqref="E7:E20">
    <x:cfRule type="cellIs" dxfId="23" priority="4" operator="equal">
      <x:formula>"P0"</x:formula>
    </x:cfRule>
  </x:conditionalFormatting>
  <x:dataValidations count="3">
    <x:dataValidation type="list" sqref="C7:C20">
      <x:formula1>"Défini,Prototype,Intégré,Validé"</x:formula1>
    </x:dataValidation>
    <x:dataValidation type="list" sqref="D7:D20">
      <x:formula1>"Établi,À vérifier,Extrapolation,Coupé attesté,Concept abandonné,Allégation écartée"</x:formula1>
    </x:dataValidation>
    <x:dataValidation type="list" sqref="E7:E20">
      <x:formula1>"P0,P1,P2"</x:formula1>
    </x:dataValidation>
  </x:dataValidations>
  <x:pageMargins left="0.7" right="0.7" top="0.75" bottom="0.75" header="0.3" footer="0.3"/>
  <x:tableParts count="1">
    <x:tablePart xmlns:r="http://schemas.openxmlformats.org/officeDocument/2006/relationships" r:id="Rc3e3016fd9324bf2"/>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Décors</x:v>
      </x:c>
      <x:c r="B2" s="2"/>
      <x:c r="C2" s="2"/>
      <x:c r="D2" s="2"/>
      <x:c r="E2" s="2"/>
      <x:c r="F2" s="2"/>
      <x:c r="G2" s="2"/>
      <x:c r="H2" s="2"/>
      <x:c r="I2" s="2"/>
      <x:c r="J2" s="2"/>
      <x:c r="K2" s="2"/>
      <x:c r="L2" s="2"/>
      <x:c r="M2" s="2"/>
      <x:c r="N2" s="2"/>
      <x:c r="O2" s="2"/>
      <x:c r="P2" s="2"/>
      <x:c r="Q2" s="2"/>
      <x:c r="R2" s="2"/>
      <x:c r="S2" s="2"/>
    </x:row>
    <x:row r="3" ht="22" customHeight="1">
      <x:c r="A3" s="4" t="str">
        <x:v>Mass Effect 3 — Architecture, matières et cadrages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ME3-SCN-VANCOUVER</x:v>
      </x:c>
      <x:c r="B7" s="9" t="str">
        <x:v>Kit 3D — Vancouver en invasion</x:v>
      </x:c>
      <x:c r="C7" s="15" t="str">
        <x:v>Défini</x:v>
      </x:c>
      <x:c r="D7" s="16" t="str">
        <x:v>Extrapolation</x:v>
      </x:c>
      <x:c r="E7" s="16" t="str">
        <x:v>P1</x:v>
      </x:c>
      <x:c r="F7" s="9" t="str">
        <x:v>Livrable original proposé : Kit 3D — Vancouver en invasion.</x:v>
      </x:c>
      <x:c r="G7" s="9" t="str">
        <x:v>Façades et passerelles de fuite avec ruines en fond ; privilégier parcours lisible et grande échelle des Moissonneurs.</x:v>
      </x:c>
      <x:c r="H7" s="9" t="str">
        <x:v>Façades et passerelles de fuite avec ruines en fond ; privilégier parcours lisible et grande échelle des Moissonneurs.</x:v>
      </x:c>
      <x:c r="I7" s="9" t="str">
        <x:v>Béton clair, poussière et ciel sombre.</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me3/scenery/vancouver ; rattacher les ressources et états cités à cet identifiant. Aucun fichier de jeu créé par ce catalogue.</x:v>
      </x:c>
      <x:c r="M7" s="9" t="str"/>
      <x:c r="N7" s="9" t="str">
        <x:v>Le livrable « Kit 3D — Vancouver en invasion » possède une scène ou un scénario de contrôle ; ses règles proposées, ses conditions et ses retours visuels sont vérifiables séparément.</x:v>
      </x:c>
      <x:c r="O7" s="9" t="str">
        <x:v>ME3-WRL-EARTH</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ME3-SCN-MARS</x:v>
      </x:c>
      <x:c r="B8" s="7" t="str">
        <x:v>Kit 3D — archives martiennes</x:v>
      </x:c>
      <x:c r="C8" s="15" t="str">
        <x:v>Défini</x:v>
      </x:c>
      <x:c r="D8" s="17" t="str">
        <x:v>Extrapolation</x:v>
      </x:c>
      <x:c r="E8" s="17" t="str">
        <x:v>P1</x:v>
      </x:c>
      <x:c r="F8" s="7" t="str">
        <x:v>Livrable original proposé : Kit 3D — archives martiennes.</x:v>
      </x:c>
      <x:c r="G8" s="7" t="str">
        <x:v>Modules blancs et vitres sur tempête rouge ; couvert collidable séparé des consoles de récit.</x:v>
      </x:c>
      <x:c r="H8" s="7" t="str">
        <x:v>Modules blancs et vitres sur tempête rouge ; couvert collidable séparé des consoles de récit.</x:v>
      </x:c>
      <x:c r="I8" s="7" t="str">
        <x:v>Baies, sas et poussière rouge.</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me3/scenery/mars ; rattacher les ressources et états cités à cet identifiant. Aucun fichier de jeu créé par ce catalogue.</x:v>
      </x:c>
      <x:c r="M8" s="7" t="str"/>
      <x:c r="N8" s="7" t="str">
        <x:v>Le livrable « Kit 3D — archives martiennes » possède une scène ou un scénario de contrôle ; ses règles proposées, ses conditions et ses retours visuels sont vérifiables séparément.</x:v>
      </x:c>
      <x:c r="O8" s="7" t="str">
        <x:v>ME3-ZON-MARS-ARCHIVE</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ME3-SCN-MENAE</x:v>
      </x:c>
      <x:c r="B9" s="9" t="str">
        <x:v>Kit 3D — front lunaire</x:v>
      </x:c>
      <x:c r="C9" s="15" t="str">
        <x:v>Défini</x:v>
      </x:c>
      <x:c r="D9" s="16" t="str">
        <x:v>Extrapolation</x:v>
      </x:c>
      <x:c r="E9" s="16" t="str">
        <x:v>P1</x:v>
      </x:c>
      <x:c r="F9" s="9" t="str">
        <x:v>Livrable original proposé : Kit 3D — front lunaire.</x:v>
      </x:c>
      <x:c r="G9" s="9" t="str">
        <x:v>Roches, tentes et batteries avec Palaven comme ciel ; aucun faux chemin vers la planète en arrière-plan.</x:v>
      </x:c>
      <x:c r="H9" s="9" t="str">
        <x:v>Roches, tentes et batteries avec Palaven comme ciel ; aucun faux chemin vers la planète en arrière-plan.</x:v>
      </x:c>
      <x:c r="I9" s="9" t="str">
        <x:v>Gris froid et lueurs de ville au ciel.</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me3/scenery/menae ; rattacher les ressources et états cités à cet identifiant. Aucun fichier de jeu créé par ce catalogue.</x:v>
      </x:c>
      <x:c r="M9" s="9" t="str"/>
      <x:c r="N9" s="9" t="str">
        <x:v>Le livrable « Kit 3D — front lunaire » possède une scène ou un scénario de contrôle ; ses règles proposées, ses conditions et ses retours visuels sont vérifiables séparément.</x:v>
      </x:c>
      <x:c r="O9" s="9" t="str">
        <x:v>ME3-WRL-MENAE</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ME3-SCN-CITADEL</x:v>
      </x:c>
      <x:c r="B10" s="7" t="str">
        <x:v>Kit 3D — Citadelle civile en guerre</x:v>
      </x:c>
      <x:c r="C10" s="15" t="str">
        <x:v>Défini</x:v>
      </x:c>
      <x:c r="D10" s="17" t="str">
        <x:v>Extrapolation</x:v>
      </x:c>
      <x:c r="E10" s="17" t="str">
        <x:v>P1</x:v>
      </x:c>
      <x:c r="F10" s="7" t="str">
        <x:v>Livrable original proposé : Kit 3D — Citadelle civile en guerre.</x:v>
      </x:c>
      <x:c r="G10" s="7" t="str">
        <x:v>Dalles, kiosques et lits de réfugiés ; états avant/après coup d’État via variantes de décor sans casser navigation.</x:v>
      </x:c>
      <x:c r="H10" s="7" t="str">
        <x:v>Dalles, kiosques et lits de réfugiés ; états avant/après coup d’État via variantes de décor sans casser navigation.</x:v>
      </x:c>
      <x:c r="I10" s="7" t="str">
        <x:v>Blanc, bleu, bagages et balisage d’urgence.</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me3/scenery/citadel ; rattacher les ressources et états cités à cet identifiant. Aucun fichier de jeu créé par ce catalogue.</x:v>
      </x:c>
      <x:c r="M10" s="7" t="str"/>
      <x:c r="N10" s="7" t="str">
        <x:v>Le livrable « Kit 3D — Citadelle civile en guerre » possède une scène ou un scénario de contrôle ; ses règles proposées, ses conditions et ses retours visuels sont vérifiables séparément.</x:v>
      </x:c>
      <x:c r="O10" s="7" t="str">
        <x:v>ME3-WRL-CITADEL</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ME3-SCN-SURKESH</x:v>
      </x:c>
      <x:c r="B11" s="9" t="str">
        <x:v>Kit 3D — laboratoire galarien</x:v>
      </x:c>
      <x:c r="C11" s="15" t="str">
        <x:v>Défini</x:v>
      </x:c>
      <x:c r="D11" s="16" t="str">
        <x:v>Extrapolation</x:v>
      </x:c>
      <x:c r="E11" s="16" t="str">
        <x:v>P1</x:v>
      </x:c>
      <x:c r="F11" s="9" t="str">
        <x:v>Livrable original proposé : Kit 3D — laboratoire galarien.</x:v>
      </x:c>
      <x:c r="G11" s="9" t="str">
        <x:v>Piliers et plateformes superposées avec lianes au fond ; transparence de toit quand personnage passe dessous.</x:v>
      </x:c>
      <x:c r="H11" s="9" t="str">
        <x:v>Piliers et plateformes superposées avec lianes au fond ; transparence de toit quand personnage passe dessous.</x:v>
      </x:c>
      <x:c r="I11" s="9" t="str">
        <x:v>Végétation verte et blanc clinique.</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me3/scenery/surkesh ; rattacher les ressources et états cités à cet identifiant. Aucun fichier de jeu créé par ce catalogue.</x:v>
      </x:c>
      <x:c r="M11" s="9" t="str"/>
      <x:c r="N11" s="9" t="str">
        <x:v>Le livrable « Kit 3D — laboratoire galarien » possède une scène ou un scénario de contrôle ; ses règles proposées, ses conditions et ses retours visuels sont vérifiables séparément.</x:v>
      </x:c>
      <x:c r="O11" s="9" t="str">
        <x:v>ME3-ZON-SURKESH-LAB</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ME3-SCN-TUCHANKA</x:v>
      </x:c>
      <x:c r="B12" s="7" t="str">
        <x:v>Kit 3D — ruines krogan</x:v>
      </x:c>
      <x:c r="C12" s="15" t="str">
        <x:v>Défini</x:v>
      </x:c>
      <x:c r="D12" s="17" t="str">
        <x:v>Extrapolation</x:v>
      </x:c>
      <x:c r="E12" s="17" t="str">
        <x:v>P1</x:v>
      </x:c>
      <x:c r="F12" s="7" t="str">
        <x:v>Livrable original proposé : Kit 3D — ruines krogan.</x:v>
      </x:c>
      <x:c r="G12" s="7" t="str">
        <x:v>Modules de pierre ancienne et gravats ; chemin de Kalros séparé du terrain jouable.</x:v>
      </x:c>
      <x:c r="H12" s="7" t="str">
        <x:v>Modules de pierre ancienne et gravats ; chemin de Kalros séparé du terrain jouable.</x:v>
      </x:c>
      <x:c r="I12" s="7" t="str">
        <x:v>Ocres, sculptures et poussière.</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me3/scenery/tuchanka ; rattacher les ressources et états cités à cet identifiant. Aucun fichier de jeu créé par ce catalogue.</x:v>
      </x:c>
      <x:c r="M12" s="7" t="str"/>
      <x:c r="N12" s="7" t="str">
        <x:v>Le livrable « Kit 3D — ruines krogan » possède une scène ou un scénario de contrôle ; ses règles proposées, ses conditions et ses retours visuels sont vérifiables séparément.</x:v>
      </x:c>
      <x:c r="O12" s="7" t="str">
        <x:v>ME3-WRL-TUCHANKA</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ME3-SCN-ORGANIC</x:v>
      </x:c>
      <x:c r="B13" s="9" t="str">
        <x:v>Kit 3D — tunnels organiques</x:v>
      </x:c>
      <x:c r="C13" s="15" t="str">
        <x:v>Défini</x:v>
      </x:c>
      <x:c r="D13" s="16" t="str">
        <x:v>Extrapolation</x:v>
      </x:c>
      <x:c r="E13" s="16" t="str">
        <x:v>P1</x:v>
      </x:c>
      <x:c r="F13" s="9" t="str">
        <x:v>Livrable original proposé : Kit 3D — tunnels organiques.</x:v>
      </x:c>
      <x:c r="G13" s="9" t="str">
        <x:v>Membranes, poches et ponts rocheux ; collisions simples indépendantes du mouvement visuel des tissus.</x:v>
      </x:c>
      <x:c r="H13" s="9" t="str">
        <x:v>Membranes, poches et ponts rocheux ; collisions simples indépendantes du mouvement visuel des tissus.</x:v>
      </x:c>
      <x:c r="I13" s="9" t="str">
        <x:v>Noir, chair stylisée et halos bleus.</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me3/scenery/organic ; rattacher les ressources et états cités à cet identifiant. Aucun fichier de jeu créé par ce catalogue.</x:v>
      </x:c>
      <x:c r="M13" s="9" t="str"/>
      <x:c r="N13" s="9" t="str">
        <x:v>Le livrable « Kit 3D — tunnels organiques » possède une scène ou un scénario de contrôle ; ses règles proposées, ses conditions et ses retours visuels sont vérifiables séparément.</x:v>
      </x:c>
      <x:c r="O13" s="9" t="str">
        <x:v>ME3-ZON-RACHNI-TUNNEL</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ME3-SCN-GRISSOM</x:v>
      </x:c>
      <x:c r="B14" s="7" t="str">
        <x:v>Kit 3D — école attaquée</x:v>
      </x:c>
      <x:c r="C14" s="15" t="str">
        <x:v>Défini</x:v>
      </x:c>
      <x:c r="D14" s="17" t="str">
        <x:v>Extrapolation</x:v>
      </x:c>
      <x:c r="E14" s="17" t="str">
        <x:v>P1</x:v>
      </x:c>
      <x:c r="F14" s="7" t="str">
        <x:v>Livrable original proposé : Kit 3D — école attaquée.</x:v>
      </x:c>
      <x:c r="G14" s="7" t="str">
        <x:v>Salles et atrium avec mobilier scolaire identifiable ; civils lisibles malgré végétation et vitres.</x:v>
      </x:c>
      <x:c r="H14" s="7" t="str">
        <x:v>Salles et atrium avec mobilier scolaire identifiable ; civils lisibles malgré végétation et vitres.</x:v>
      </x:c>
      <x:c r="I14" s="7" t="str">
        <x:v>Blanc, jardin et écrans éducatifs.</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me3/scenery/grissom ; rattacher les ressources et états cités à cet identifiant. Aucun fichier de jeu créé par ce catalogue.</x:v>
      </x:c>
      <x:c r="M14" s="7" t="str"/>
      <x:c r="N14" s="7" t="str">
        <x:v>Le livrable « Kit 3D — école attaquée » possède une scène ou un scénario de contrôle ; ses règles proposées, ses conditions et ses retours visuels sont vérifiables séparément.</x:v>
      </x:c>
      <x:c r="O14" s="7" t="str">
        <x:v>ME3-ZON-GRISSOM-ATRIUM</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ME3-SCN-MONASTERY</x:v>
      </x:c>
      <x:c r="B15" s="9" t="str">
        <x:v>Kit 3D — monastère asari</x:v>
      </x:c>
      <x:c r="C15" s="15" t="str">
        <x:v>Défini</x:v>
      </x:c>
      <x:c r="D15" s="16" t="str">
        <x:v>Extrapolation</x:v>
      </x:c>
      <x:c r="E15" s="16" t="str">
        <x:v>P1</x:v>
      </x:c>
      <x:c r="F15" s="9" t="str">
        <x:v>Livrable original proposé : Kit 3D — monastère asari.</x:v>
      </x:c>
      <x:c r="G15" s="9" t="str">
        <x:v>Grands piliers et perspectives noires ; obscurité de décor ne masque jamais une entrée de Banshee.</x:v>
      </x:c>
      <x:c r="H15" s="9" t="str">
        <x:v>Grands piliers et perspectives noires ; obscurité de décor ne masque jamais une entrée de Banshee.</x:v>
      </x:c>
      <x:c r="I15" s="9" t="str">
        <x:v>Pierre froide et halo au sol.</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me3/scenery/monastery ; rattacher les ressources et états cités à cet identifiant. Aucun fichier de jeu créé par ce catalogue.</x:v>
      </x:c>
      <x:c r="M15" s="9" t="str"/>
      <x:c r="N15" s="9" t="str">
        <x:v>Le livrable « Kit 3D — monastère asari » possède une scène ou un scénario de contrôle ; ses règles proposées, ses conditions et ses retours visuels sont vérifiables séparément.</x:v>
      </x:c>
      <x:c r="O15" s="9" t="str">
        <x:v>ME3-ZON-KALLINI-HALL</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ME3-SCN-RANNOCH</x:v>
      </x:c>
      <x:c r="B16" s="7" t="str">
        <x:v>Kit 3D — installations geth</x:v>
      </x:c>
      <x:c r="C16" s="15" t="str">
        <x:v>Défini</x:v>
      </x:c>
      <x:c r="D16" s="17" t="str">
        <x:v>Extrapolation</x:v>
      </x:c>
      <x:c r="E16" s="17" t="str">
        <x:v>P1</x:v>
      </x:c>
      <x:c r="F16" s="7" t="str">
        <x:v>Livrable original proposé : Kit 3D — installations geth.</x:v>
      </x:c>
      <x:c r="G16" s="7" t="str">
        <x:v>Falaises et modules synthétiques avec câbles ; hauteurs ont contours au sol cohérents pour les sprites.</x:v>
      </x:c>
      <x:c r="H16" s="7" t="str">
        <x:v>Falaises et modules synthétiques avec câbles ; hauteurs ont contours au sol cohérents pour les sprites.</x:v>
      </x:c>
      <x:c r="I16" s="7" t="str">
        <x:v>Sable, métal lisse et lignes bleues.</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me3/scenery/rannoch ; rattacher les ressources et états cités à cet identifiant. Aucun fichier de jeu créé par ce catalogue.</x:v>
      </x:c>
      <x:c r="M16" s="7" t="str"/>
      <x:c r="N16" s="7" t="str">
        <x:v>Le livrable « Kit 3D — installations geth » possède une scène ou un scénario de contrôle ; ses règles proposées, ses conditions et ses retours visuels sont vérifiables séparément.</x:v>
      </x:c>
      <x:c r="O16" s="7" t="str">
        <x:v>ME3-WRL-RANNOCH</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ME3-SCN-THESSIA</x:v>
      </x:c>
      <x:c r="B17" s="9" t="str">
        <x:v>Kit 3D — cité et temple asari</x:v>
      </x:c>
      <x:c r="C17" s="15" t="str">
        <x:v>Défini</x:v>
      </x:c>
      <x:c r="D17" s="16" t="str">
        <x:v>Extrapolation</x:v>
      </x:c>
      <x:c r="E17" s="16" t="str">
        <x:v>P1</x:v>
      </x:c>
      <x:c r="F17" s="9" t="str">
        <x:v>Livrable original proposé : Kit 3D — cité et temple asari.</x:v>
      </x:c>
      <x:c r="G17" s="9" t="str">
        <x:v>Courbes monumentales et statues ; destructibles d’action distincts des ruines de fond.</x:v>
      </x:c>
      <x:c r="H17" s="9" t="str">
        <x:v>Courbes monumentales et statues ; destructibles d’action distincts des ruines de fond.</x:v>
      </x:c>
      <x:c r="I17" s="9" t="str">
        <x:v>Bleu, blanc et fissures.</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me3/scenery/thessia ; rattacher les ressources et états cités à cet identifiant. Aucun fichier de jeu créé par ce catalogue.</x:v>
      </x:c>
      <x:c r="M17" s="9" t="str"/>
      <x:c r="N17" s="9" t="str">
        <x:v>Le livrable « Kit 3D — cité et temple asari » possède une scène ou un scénario de contrôle ; ses règles proposées, ses conditions et ses retours visuels sont vérifiables séparément.</x:v>
      </x:c>
      <x:c r="O17" s="9" t="str">
        <x:v>ME3-ZON-THESSIA-TEMPLE</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ME3-SCN-SANCTUARY</x:v>
      </x:c>
      <x:c r="B18" s="7" t="str">
        <x:v>Kit 3D — façade et sous-sol Sanctuary</x:v>
      </x:c>
      <x:c r="C18" s="15" t="str">
        <x:v>Défini</x:v>
      </x:c>
      <x:c r="D18" s="17" t="str">
        <x:v>Extrapolation</x:v>
      </x:c>
      <x:c r="E18" s="17" t="str">
        <x:v>P1</x:v>
      </x:c>
      <x:c r="F18" s="7" t="str">
        <x:v>Livrable original proposé : Kit 3D — façade et sous-sol Sanctuary.</x:v>
      </x:c>
      <x:c r="G18" s="7" t="str">
        <x:v>Même langage architectural transformé par portes de maintenance ; progression visuelle soutient la révélation.</x:v>
      </x:c>
      <x:c r="H18" s="7" t="str">
        <x:v>Même langage architectural transformé par portes de maintenance ; progression visuelle soutient la révélation.</x:v>
      </x:c>
      <x:c r="I18" s="7" t="str">
        <x:v>Blanc rassurant puis panneaux techniques sombres.</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me3/scenery/sanctuary ; rattacher les ressources et états cités à cet identifiant. Aucun fichier de jeu créé par ce catalogue.</x:v>
      </x:c>
      <x:c r="M18" s="7" t="str"/>
      <x:c r="N18" s="7" t="str">
        <x:v>Le livrable « Kit 3D — façade et sous-sol Sanctuary » possède une scène ou un scénario de contrôle ; ses règles proposées, ses conditions et ses retours visuels sont vérifiables séparément.</x:v>
      </x:c>
      <x:c r="O18" s="7" t="str">
        <x:v>ME3-ZON-SANCTUARY</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ME3-SCN-LONDON</x:v>
      </x:c>
      <x:c r="B19" s="9" t="str">
        <x:v>Kit 3D — Londres final</x:v>
      </x:c>
      <x:c r="C19" s="15" t="str">
        <x:v>Défini</x:v>
      </x:c>
      <x:c r="D19" s="16" t="str">
        <x:v>Extrapolation</x:v>
      </x:c>
      <x:c r="E19" s="16" t="str">
        <x:v>P1</x:v>
      </x:c>
      <x:c r="F19" s="9" t="str">
        <x:v>Livrable original proposé : Kit 3D — Londres final.</x:v>
      </x:c>
      <x:c r="G19" s="9" t="str">
        <x:v>Rues à barricades et silhouettes de bâtiments ; voies sûres toujours distinguables des zones de frappe.</x:v>
      </x:c>
      <x:c r="H19" s="9" t="str">
        <x:v>Rues à barricades et silhouettes de bâtiments ; voies sûres toujours distinguables des zones de frappe.</x:v>
      </x:c>
      <x:c r="I19" s="9" t="str">
        <x:v>Gris, feux, fumée et drapeaux alliés.</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me3/scenery/london ; rattacher les ressources et états cités à cet identifiant. Aucun fichier de jeu créé par ce catalogue.</x:v>
      </x:c>
      <x:c r="M19" s="9" t="str"/>
      <x:c r="N19" s="9" t="str">
        <x:v>Le livrable « Kit 3D — Londres final » possède une scène ou un scénario de contrôle ; ses règles proposées, ses conditions et ses retours visuels sont vérifiables séparément.</x:v>
      </x:c>
      <x:c r="O19" s="9" t="str">
        <x:v>ME3-ZON-LONDON-MISSILES</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68" customHeight="1">
      <x:c r="A20" s="19" t="str">
        <x:v>ME3-SCN-OMEGA</x:v>
      </x:c>
      <x:c r="B20" s="7" t="str">
        <x:v>Kit 3D — occupation d’Omega</x:v>
      </x:c>
      <x:c r="C20" s="15" t="str">
        <x:v>Défini</x:v>
      </x:c>
      <x:c r="D20" s="17" t="str">
        <x:v>Extrapolation</x:v>
      </x:c>
      <x:c r="E20" s="17" t="str">
        <x:v>P1</x:v>
      </x:c>
      <x:c r="F20" s="7" t="str">
        <x:v>Livrable original proposé : Kit 3D — occupation d’Omega.</x:v>
      </x:c>
      <x:c r="G20" s="7" t="str">
        <x:v>Reprendre identité industrielle avec ajouts Cerberus ; champs de force et passage libre ont couleurs/formes distinctes.</x:v>
      </x:c>
      <x:c r="H20" s="7" t="str">
        <x:v>Reprendre identité industrielle avec ajouts Cerberus ; champs de force et passage libre ont couleurs/formes distinctes.</x:v>
      </x:c>
      <x:c r="I20" s="7" t="str">
        <x:v>Métal noir, néon et orange militaire.</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me3/scenery/omega ; rattacher les ressources et états cités à cet identifiant. Aucun fichier de jeu créé par ce catalogue.</x:v>
      </x:c>
      <x:c r="M20" s="7" t="str"/>
      <x:c r="N20" s="7" t="str">
        <x:v>Le livrable « Kit 3D — occupation d’Omega » possède une scène ou un scénario de contrôle ; ses règles proposées, ses conditions et ses retours visuels sont vérifiables séparément.</x:v>
      </x:c>
      <x:c r="O20" s="7" t="str">
        <x:v>ME3-WRL-OMEGA</x:v>
      </x:c>
      <x:c r="P20" s="7" t="str">
        <x:v>Adaptation originale — spécification de production</x:v>
      </x:c>
      <x:c r="Q20" s="7" t="str"/>
      <x:c r="R20" s="21" t="str"/>
      <x:c r="S20" s="21" t="str">
        <x:v>Spécification à réaliser. Les champs adaptation, gameplay, visual, animation, audio et implementation décrivent le fan game ; ils ne donnent pas des caractéristiques officielles de l’œuvre.</x:v>
      </x:c>
    </x:row>
    <x:row r="21" ht="68" customHeight="1">
      <x:c r="A21" s="18" t="str">
        <x:v>ME3-SCN-ABYSS</x:v>
      </x:c>
      <x:c r="B21" s="9" t="str">
        <x:v>Kit 3D — Despoina</x:v>
      </x:c>
      <x:c r="C21" s="15" t="str">
        <x:v>Défini</x:v>
      </x:c>
      <x:c r="D21" s="16" t="str">
        <x:v>Extrapolation</x:v>
      </x:c>
      <x:c r="E21" s="16" t="str">
        <x:v>P1</x:v>
      </x:c>
      <x:c r="F21" s="9" t="str">
        <x:v>Livrable original proposé : Kit 3D — Despoina.</x:v>
      </x:c>
      <x:c r="G21" s="9" t="str">
        <x:v>Épaves mouillées puis volume sous-marin ; réduire visibilité sans rendre l’objectif invisible.</x:v>
      </x:c>
      <x:c r="H21" s="9" t="str">
        <x:v>Épaves mouillées puis volume sous-marin ; réduire visibilité sans rendre l’objectif invisible.</x:v>
      </x:c>
      <x:c r="I21" s="9" t="str">
        <x:v>Océan sombre, faisceaux et particules.</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me3/scenery/abyss ; rattacher les ressources et états cités à cet identifiant. Aucun fichier de jeu créé par ce catalogue.</x:v>
      </x:c>
      <x:c r="M21" s="9" t="str"/>
      <x:c r="N21" s="9" t="str">
        <x:v>Le livrable « Kit 3D — Despoina » possède une scène ou un scénario de contrôle ; ses règles proposées, ses conditions et ses retours visuels sont vérifiables séparément.</x:v>
      </x:c>
      <x:c r="O21" s="9" t="str">
        <x:v>ME3-WRL-DESPOINA</x:v>
      </x:c>
      <x:c r="P21" s="9" t="str">
        <x:v>Adaptation originale — spécification de production</x:v>
      </x:c>
      <x:c r="Q21" s="9" t="str"/>
      <x:c r="R21" s="20" t="str"/>
      <x:c r="S21" s="20" t="str">
        <x:v>Spécification à réaliser. Les champs adaptation, gameplay, visual, animation, audio et implementation décrivent le fan game ; ils ne donnent pas des caractéristiques officielles de l’œuvre.</x:v>
      </x:c>
    </x:row>
    <x:row r="22" ht="68" customHeight="1">
      <x:c r="A22" s="19" t="str">
        <x:v>ME3-SCN-SILVERSUN</x:v>
      </x:c>
      <x:c r="B22" s="7" t="str">
        <x:v>Kit 3D — luxe et loisirs</x:v>
      </x:c>
      <x:c r="C22" s="15" t="str">
        <x:v>Défini</x:v>
      </x:c>
      <x:c r="D22" s="17" t="str">
        <x:v>Extrapolation</x:v>
      </x:c>
      <x:c r="E22" s="17" t="str">
        <x:v>P1</x:v>
      </x:c>
      <x:c r="F22" s="7" t="str">
        <x:v>Livrable original proposé : Kit 3D — luxe et loisirs.</x:v>
      </x:c>
      <x:c r="G22" s="7" t="str">
        <x:v>Façades de casino, appartement et arène ; échelle sociale différente des cartes de guerre.</x:v>
      </x:c>
      <x:c r="H22" s="7" t="str">
        <x:v>Façades de casino, appartement et arène ; échelle sociale différente des cartes de guerre.</x:v>
      </x:c>
      <x:c r="I22" s="7" t="str">
        <x:v>Verre, dorure et néons chaleureux.</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me3/scenery/silversun ; rattacher les ressources et états cités à cet identifiant. Aucun fichier de jeu créé par ce catalogue.</x:v>
      </x:c>
      <x:c r="M22" s="7" t="str"/>
      <x:c r="N22" s="7" t="str">
        <x:v>Le livrable « Kit 3D — luxe et loisirs » possède une scène ou un scénario de contrôle ; ses règles proposées, ses conditions et ses retours visuels sont vérifiables séparément.</x:v>
      </x:c>
      <x:c r="O22" s="7" t="str">
        <x:v>ME3-ZON-SILVERSUN</x:v>
      </x:c>
      <x:c r="P22" s="7" t="str">
        <x:v>Adaptation originale — spécification de production</x:v>
      </x:c>
      <x:c r="Q22" s="7" t="str"/>
      <x:c r="R22" s="21" t="str"/>
      <x:c r="S22" s="21" t="str">
        <x:v>Spécification à réaliser. Les champs adaptation, gameplay, visual, animation, audio et implementation décrivent le fan game ; ils ne donnent pas des caractéristiques officielles de l’œuvre.</x:v>
      </x:c>
    </x:row>
  </x:sheetData>
  <x:conditionalFormatting sqref="D7:D22">
    <x:cfRule type="cellIs" dxfId="24" priority="1" operator="equal">
      <x:formula>"À vérifier"</x:formula>
    </x:cfRule>
    <x:cfRule type="cellIs" dxfId="25" priority="2" operator="equal">
      <x:formula>"Extrapolation"</x:formula>
    </x:cfRule>
  </x:conditionalFormatting>
  <x:conditionalFormatting sqref="C7:C22">
    <x:cfRule type="cellIs" dxfId="26" priority="3" operator="equal">
      <x:formula>"Validé"</x:formula>
    </x:cfRule>
  </x:conditionalFormatting>
  <x:conditionalFormatting sqref="E7:E22">
    <x:cfRule type="cellIs" dxfId="27" priority="4" operator="equal">
      <x:formula>"P0"</x:formula>
    </x:cfRule>
  </x:conditionalFormatting>
  <x:dataValidations count="3">
    <x:dataValidation type="list" sqref="C7:C22">
      <x:formula1>"Défini,Prototype,Intégré,Validé"</x:formula1>
    </x:dataValidation>
    <x:dataValidation type="list" sqref="D7:D22">
      <x:formula1>"Établi,À vérifier,Extrapolation,Coupé attesté,Concept abandonné,Allégation écartée"</x:formula1>
    </x:dataValidation>
    <x:dataValidation type="list" sqref="E7:E22">
      <x:formula1>"P0,P1,P2"</x:formula1>
    </x:dataValidation>
  </x:dataValidations>
  <x:pageMargins left="0.7" right="0.7" top="0.75" bottom="0.75" header="0.3" footer="0.3"/>
  <x:tableParts count="1">
    <x:tablePart xmlns:r="http://schemas.openxmlformats.org/officeDocument/2006/relationships" r:id="R9e5d04ef5fea4b81"/>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Props</x:v>
      </x:c>
      <x:c r="B2" s="2"/>
      <x:c r="C2" s="2"/>
      <x:c r="D2" s="2"/>
      <x:c r="E2" s="2"/>
      <x:c r="F2" s="2"/>
      <x:c r="G2" s="2"/>
      <x:c r="H2" s="2"/>
      <x:c r="I2" s="2"/>
      <x:c r="J2" s="2"/>
      <x:c r="K2" s="2"/>
      <x:c r="L2" s="2"/>
      <x:c r="M2" s="2"/>
      <x:c r="N2" s="2"/>
      <x:c r="O2" s="2"/>
      <x:c r="P2" s="2"/>
      <x:c r="Q2" s="2"/>
      <x:c r="R2" s="2"/>
      <x:c r="S2" s="2"/>
    </x:row>
    <x:row r="3" ht="22" customHeight="1">
      <x:c r="A3" s="4" t="str">
        <x:v>Mass Effect 3 — Objets de décor et interactions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ME3-PRP-WAR-TABLE</x:v>
      </x:c>
      <x:c r="B7" s="9" t="str">
        <x:v>Table holographique de guerre</x:v>
      </x:c>
      <x:c r="C7" s="15" t="str">
        <x:v>Défini</x:v>
      </x:c>
      <x:c r="D7" s="16" t="str">
        <x:v>Extrapolation</x:v>
      </x:c>
      <x:c r="E7" s="16" t="str">
        <x:v>P1</x:v>
      </x:c>
      <x:c r="F7" s="9" t="str">
        <x:v>Livrable original proposé : Table holographique de guerre.</x:v>
      </x:c>
      <x:c r="G7" s="9" t="str">
        <x:v>Afficher contribution, origine et état de chaque force ; interaction à portée large et zoom accessible.</x:v>
      </x:c>
      <x:c r="H7" s="9" t="str">
        <x:v>Afficher contribution, origine et état de chaque force ; interaction à portée large et zoom accessible.</x:v>
      </x:c>
      <x:c r="I7" s="9" t="str">
        <x:v>Plan galactique bleu et panneaux de faction.</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me3/props/war-table ; rattacher les ressources et états cités à cet identifiant. Aucun fichier de jeu créé par ce catalogue.</x:v>
      </x:c>
      <x:c r="M7" s="9" t="str"/>
      <x:c r="N7" s="9" t="str">
        <x:v>Le livrable « Table holographique de guerre » possède une scène ou un scénario de contrôle ; ses règles proposées, ses conditions et ses retours visuels sont vérifiables séparément.</x:v>
      </x:c>
      <x:c r="O7" s="9" t="str">
        <x:v>ME3-ZON-NORM-CIC</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ME3-PRP-MARS-DATA</x:v>
      </x:c>
      <x:c r="B8" s="7" t="str">
        <x:v>Terminal des plans de Mars</x:v>
      </x:c>
      <x:c r="C8" s="15" t="str">
        <x:v>Défini</x:v>
      </x:c>
      <x:c r="D8" s="17" t="str">
        <x:v>Extrapolation</x:v>
      </x:c>
      <x:c r="E8" s="17" t="str">
        <x:v>P1</x:v>
      </x:c>
      <x:c r="F8" s="7" t="str">
        <x:v>Livrable original proposé : Terminal des plans de Mars.</x:v>
      </x:c>
      <x:c r="G8" s="7" t="str">
        <x:v>Un téléchargement atomique ouvre le chapitre Creuset ; reprise après chargement ne duplique pas la découverte.</x:v>
      </x:c>
      <x:c r="H8" s="7" t="str">
        <x:v>Un téléchargement atomique ouvre le chapitre Creuset ; reprise après chargement ne duplique pas la découverte.</x:v>
      </x:c>
      <x:c r="I8" s="7" t="str">
        <x:v>Console et schéma ancien.</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me3/props/mars-data ; rattacher les ressources et états cités à cet identifiant. Aucun fichier de jeu créé par ce catalogue.</x:v>
      </x:c>
      <x:c r="M8" s="7" t="str"/>
      <x:c r="N8" s="7" t="str">
        <x:v>Le livrable « Terminal des plans de Mars » possède une scène ou un scénario de contrôle ; ses règles proposées, ses conditions et ses retours visuels sont vérifiables séparément.</x:v>
      </x:c>
      <x:c r="O8" s="7" t="str">
        <x:v>ME3-ZON-MARS-ARCHIVE</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ME3-PRP-EVE-POD</x:v>
      </x:c>
      <x:c r="B9" s="9" t="str">
        <x:v>Capsule d’Eve</x:v>
      </x:c>
      <x:c r="C9" s="15" t="str">
        <x:v>Défini</x:v>
      </x:c>
      <x:c r="D9" s="16" t="str">
        <x:v>Extrapolation</x:v>
      </x:c>
      <x:c r="E9" s="16" t="str">
        <x:v>P1</x:v>
      </x:c>
      <x:c r="F9" s="9" t="str">
        <x:v>Livrable original proposé : Capsule d’Eve.</x:v>
      </x:c>
      <x:c r="G9" s="9" t="str">
        <x:v>Objet d’escorte avec repère d’intégrité de scénario ; distinguer état de capsule et santé de la personne.</x:v>
      </x:c>
      <x:c r="H9" s="9" t="str">
        <x:v>Objet d’escorte avec repère d’intégrité de scénario ; distinguer état de capsule et santé de la personne.</x:v>
      </x:c>
      <x:c r="I9" s="9" t="str">
        <x:v>Capsule médicale sur rail.</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me3/props/eve-pod ; rattacher les ressources et états cités à cet identifiant. Aucun fichier de jeu créé par ce catalogue.</x:v>
      </x:c>
      <x:c r="M9" s="9" t="str"/>
      <x:c r="N9" s="9" t="str">
        <x:v>Le livrable « Capsule d’Eve » possède une scène ou un scénario de contrôle ; ses règles proposées, ses conditions et ses retours visuels sont vérifiables séparément.</x:v>
      </x:c>
      <x:c r="O9" s="9" t="str">
        <x:v>ME3-ZON-SURKESH-LAB</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ME3-PRP-BOMB</x:v>
      </x:c>
      <x:c r="B10" s="7" t="str">
        <x:v>Bombe de Tuchanka</x:v>
      </x:c>
      <x:c r="C10" s="15" t="str">
        <x:v>Défini</x:v>
      </x:c>
      <x:c r="D10" s="17" t="str">
        <x:v>Extrapolation</x:v>
      </x:c>
      <x:c r="E10" s="17" t="str">
        <x:v>P1</x:v>
      </x:c>
      <x:c r="F10" s="7" t="str">
        <x:v>Livrable original proposé : Bombe de Tuchanka.</x:v>
      </x:c>
      <x:c r="G10" s="7" t="str">
        <x:v>Objet interactif du désamorçage avec étapes visuelles ; dégâts externes ne réinitialisent pas silencieusement le progrès.</x:v>
      </x:c>
      <x:c r="H10" s="7" t="str">
        <x:v>Objet interactif du désamorçage avec étapes visuelles ; dégâts externes ne réinitialisent pas silencieusement le progrès.</x:v>
      </x:c>
      <x:c r="I10" s="7" t="str">
        <x:v>Dispositif sous terrain et câblages.</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me3/props/bomb ; rattacher les ressources et états cités à cet identifiant. Aucun fichier de jeu créé par ce catalogue.</x:v>
      </x:c>
      <x:c r="M10" s="7" t="str"/>
      <x:c r="N10" s="7" t="str">
        <x:v>Le livrable « Bombe de Tuchanka » possède une scène ou un scénario de contrôle ; ses règles proposées, ses conditions et ses retours visuels sont vérifiables séparément.</x:v>
      </x:c>
      <x:c r="O10" s="7" t="str">
        <x:v>ME3-SQ-BOMB</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ME3-PRP-HAMMER</x:v>
      </x:c>
      <x:c r="B11" s="9" t="str">
        <x:v>Commande du marteau de Kalros</x:v>
      </x:c>
      <x:c r="C11" s="15" t="str">
        <x:v>Défini</x:v>
      </x:c>
      <x:c r="D11" s="16" t="str">
        <x:v>Extrapolation</x:v>
      </x:c>
      <x:c r="E11" s="16" t="str">
        <x:v>P1</x:v>
      </x:c>
      <x:c r="F11" s="9" t="str">
        <x:v>Livrable original proposé : Commande du marteau de Kalros.</x:v>
      </x:c>
      <x:c r="G11" s="9" t="str">
        <x:v>Objet d’objectif avec accès dégagé ; activation après prérequis, animation interruptible seulement avant engagement.</x:v>
      </x:c>
      <x:c r="H11" s="9" t="str">
        <x:v>Objet d’objectif avec accès dégagé ; activation après prérequis, animation interruptible seulement avant engagement.</x:v>
      </x:c>
      <x:c r="I11" s="9" t="str">
        <x:v>Grand mécanisme krogan et signal sismique.</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me3/props/hammer ; rattacher les ressources et états cités à cet identifiant. Aucun fichier de jeu créé par ce catalogue.</x:v>
      </x:c>
      <x:c r="M11" s="9" t="str"/>
      <x:c r="N11" s="9" t="str">
        <x:v>Le livrable « Commande du marteau de Kalros » possède une scène ou un scénario de contrôle ; ses règles proposées, ses conditions et ses retours visuels sont vérifiables séparément.</x:v>
      </x:c>
      <x:c r="O11" s="9" t="str">
        <x:v>ME3-MQ-TUCHANKA</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ME3-PRP-SHROUD</x:v>
      </x:c>
      <x:c r="B12" s="7" t="str">
        <x:v>Console du Shroud</x:v>
      </x:c>
      <x:c r="C12" s="15" t="str">
        <x:v>Défini</x:v>
      </x:c>
      <x:c r="D12" s="17" t="str">
        <x:v>Extrapolation</x:v>
      </x:c>
      <x:c r="E12" s="17" t="str">
        <x:v>P1</x:v>
      </x:c>
      <x:c r="F12" s="7" t="str">
        <x:v>Livrable original proposé : Console du Shroud.</x:v>
      </x:c>
      <x:c r="G12" s="7" t="str">
        <x:v>Deux états narratifs, sabotage connu/inconnu ; aucune action de combat à la place de la décision finale.</x:v>
      </x:c>
      <x:c r="H12" s="7" t="str">
        <x:v>Deux états narratifs, sabotage connu/inconnu ; aucune action de combat à la place de la décision finale.</x:v>
      </x:c>
      <x:c r="I12" s="7" t="str">
        <x:v>Console de dispersion et ascenseur.</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me3/props/shroud ; rattacher les ressources et états cités à cet identifiant. Aucun fichier de jeu créé par ce catalogue.</x:v>
      </x:c>
      <x:c r="M12" s="7" t="str"/>
      <x:c r="N12" s="7" t="str">
        <x:v>Le livrable « Console du Shroud » possède une scène ou un scénario de contrôle ; ses règles proposées, ses conditions et ses retours visuels sont vérifiables séparément.</x:v>
      </x:c>
      <x:c r="O12" s="7" t="str">
        <x:v>ME3-ZON-SHROUD</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ME3-PRP-GETH-GUN</x:v>
      </x:c>
      <x:c r="B13" s="9" t="str">
        <x:v>Canon du cuirassé geth</x:v>
      </x:c>
      <x:c r="C13" s="15" t="str">
        <x:v>Défini</x:v>
      </x:c>
      <x:c r="D13" s="16" t="str">
        <x:v>Extrapolation</x:v>
      </x:c>
      <x:c r="E13" s="16" t="str">
        <x:v>P1</x:v>
      </x:c>
      <x:c r="F13" s="9" t="str">
        <x:v>Livrable original proposé : Canon du cuirassé geth.</x:v>
      </x:c>
      <x:c r="G13" s="9" t="str">
        <x:v>Cycle d’impulsion indépendant des animations du groupe ; anticipation au sol et abri vérifiés à chaque cycle.</x:v>
      </x:c>
      <x:c r="H13" s="9" t="str">
        <x:v>Cycle d’impulsion indépendant des animations du groupe ; anticipation au sol et abri vérifiés à chaque cycle.</x:v>
      </x:c>
      <x:c r="I13" s="9" t="str">
        <x:v>Long tube et accumulations bleues.</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me3/props/geth-gun ; rattacher les ressources et états cités à cet identifiant. Aucun fichier de jeu créé par ce catalogue.</x:v>
      </x:c>
      <x:c r="M13" s="9" t="str"/>
      <x:c r="N13" s="9" t="str">
        <x:v>Le livrable « Canon du cuirassé geth » possède une scène ou un scénario de contrôle ; ses règles proposées, ses conditions et ses retours visuels sont vérifiables séparément.</x:v>
      </x:c>
      <x:c r="O13" s="9" t="str">
        <x:v>ME3-ZON-GETH-DREAD</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ME3-PRP-TARGET-LASER</x:v>
      </x:c>
      <x:c r="B14" s="7" t="str">
        <x:v>Désignateur de Rannoch</x:v>
      </x:c>
      <x:c r="C14" s="15" t="str">
        <x:v>Défini</x:v>
      </x:c>
      <x:c r="D14" s="17" t="str">
        <x:v>Extrapolation</x:v>
      </x:c>
      <x:c r="E14" s="17" t="str">
        <x:v>P1</x:v>
      </x:c>
      <x:c r="F14" s="7" t="str">
        <x:v>Livrable original proposé : Désignateur de Rannoch.</x:v>
      </x:c>
      <x:c r="G14" s="7" t="str">
        <x:v>Interface de verrou à maintien facultatif ; progression conservée selon règle annoncée lors d’une interruption.</x:v>
      </x:c>
      <x:c r="H14" s="7" t="str">
        <x:v>Interface de verrou à maintien facultatif ; progression conservée selon règle annoncée lors d’une interruption.</x:v>
      </x:c>
      <x:c r="I14" s="7" t="str">
        <x:v>Viseur sur œil et jauge de charge.</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me3/props/target-laser ; rattacher les ressources et états cités à cet identifiant. Aucun fichier de jeu créé par ce catalogue.</x:v>
      </x:c>
      <x:c r="M14" s="7" t="str"/>
      <x:c r="N14" s="7" t="str">
        <x:v>Le livrable « Désignateur de Rannoch » possède une scène ou un scénario de contrôle ; ses règles proposées, ses conditions et ses retours visuels sont vérifiables séparément.</x:v>
      </x:c>
      <x:c r="O14" s="7" t="str">
        <x:v>ME3-ENM-REAPER-RANNOCH</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ME3-PRP-PROTHEAN-POD</x:v>
      </x:c>
      <x:c r="B15" s="9" t="str">
        <x:v>Capsule de Javik</x:v>
      </x:c>
      <x:c r="C15" s="15" t="str">
        <x:v>Défini</x:v>
      </x:c>
      <x:c r="D15" s="16" t="str">
        <x:v>Extrapolation</x:v>
      </x:c>
      <x:c r="E15" s="16" t="str">
        <x:v>P1</x:v>
      </x:c>
      <x:c r="F15" s="9" t="str">
        <x:v>Livrable original proposé : Capsule de Javik.</x:v>
      </x:c>
      <x:c r="G15" s="9" t="str">
        <x:v>Lecture avant ouverture, personnage créé une seule fois ; éviter double recrutement après chargement de fouilles.</x:v>
      </x:c>
      <x:c r="H15" s="9" t="str">
        <x:v>Lecture avant ouverture, personnage créé une seule fois ; éviter double recrutement après chargement de fouilles.</x:v>
      </x:c>
      <x:c r="I15" s="9" t="str">
        <x:v>Capsule ancienne et écriture prothéenne.</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me3/props/prothean-pod ; rattacher les ressources et états cités à cet identifiant. Aucun fichier de jeu créé par ce catalogue.</x:v>
      </x:c>
      <x:c r="M15" s="9" t="str"/>
      <x:c r="N15" s="9" t="str">
        <x:v>Le livrable « Capsule de Javik » possède une scène ou un scénario de contrôle ; ses règles proposées, ses conditions et ses retours visuels sont vérifiables séparément.</x:v>
      </x:c>
      <x:c r="O15" s="9" t="str">
        <x:v>ME3-MQ-EDEN</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ME3-PRP-BYRSON-ORB</x:v>
      </x:c>
      <x:c r="B16" s="7" t="str">
        <x:v>Artefact de Bryson</x:v>
      </x:c>
      <x:c r="C16" s="15" t="str">
        <x:v>Défini</x:v>
      </x:c>
      <x:c r="D16" s="17" t="str">
        <x:v>Extrapolation</x:v>
      </x:c>
      <x:c r="E16" s="17" t="str">
        <x:v>P1</x:v>
      </x:c>
      <x:c r="F16" s="7" t="str">
        <x:v>Livrable original proposé : Artefact de Bryson.</x:v>
      </x:c>
      <x:c r="G16" s="7" t="str">
        <x:v>État d’observation, danger et contact distincts ; les indices ne nécessitent pas de toucher sans prévenir.</x:v>
      </x:c>
      <x:c r="H16" s="7" t="str">
        <x:v>État d’observation, danger et contact distincts ; les indices ne nécessitent pas de toucher sans prévenir.</x:v>
      </x:c>
      <x:c r="I16" s="7" t="str">
        <x:v>Orbe sombre et appareil de confinement.</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me3/props/byrson-orb ; rattacher les ressources et états cités à cet identifiant. Aucun fichier de jeu créé par ce catalogue.</x:v>
      </x:c>
      <x:c r="M16" s="7" t="str"/>
      <x:c r="N16" s="7" t="str">
        <x:v>Le livrable « Artefact de Bryson » possède une scène ou un scénario de contrôle ; ses règles proposées, ses conditions et ses retours visuels sont vérifiables séparément.</x:v>
      </x:c>
      <x:c r="O16" s="7" t="str">
        <x:v>ME3-ZON-BRYSON-LAB</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ME3-PRP-FILTERS</x:v>
      </x:c>
      <x:c r="B17" s="9" t="str">
        <x:v>Table de filtres Leviathan</x:v>
      </x:c>
      <x:c r="C17" s="15" t="str">
        <x:v>Défini</x:v>
      </x:c>
      <x:c r="D17" s="16" t="str">
        <x:v>Extrapolation</x:v>
      </x:c>
      <x:c r="E17" s="16" t="str">
        <x:v>P1</x:v>
      </x:c>
      <x:c r="F17" s="9" t="str">
        <x:v>Livrable original proposé : Table de filtres Leviathan.</x:v>
      </x:c>
      <x:c r="G17" s="9" t="str">
        <x:v>Pistes activables/désactivables et historique ; solution accessible sans identifier de minuscules pixels de couleur.</x:v>
      </x:c>
      <x:c r="H17" s="9" t="str">
        <x:v>Pistes activables/désactivables et historique ; solution accessible sans identifier de minuscules pixels de couleur.</x:v>
      </x:c>
      <x:c r="I17" s="9" t="str">
        <x:v>Carte d’enquête et jeux de données.</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me3/props/filters ; rattacher les ressources et états cités à cet identifiant. Aucun fichier de jeu créé par ce catalogue.</x:v>
      </x:c>
      <x:c r="M17" s="9" t="str"/>
      <x:c r="N17" s="9" t="str">
        <x:v>Le livrable « Table de filtres Leviathan » possède une scène ou un scénario de contrôle ; ses règles proposées, ses conditions et ses retours visuels sont vérifiables séparément.</x:v>
      </x:c>
      <x:c r="O17" s="9" t="str">
        <x:v>ME3-MQ-LEV-LAB</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ME3-PRP-DIVE-MECH</x:v>
      </x:c>
      <x:c r="B18" s="7" t="str">
        <x:v>Méca de plongée</x:v>
      </x:c>
      <x:c r="C18" s="15" t="str">
        <x:v>Défini</x:v>
      </x:c>
      <x:c r="D18" s="17" t="str">
        <x:v>Extrapolation</x:v>
      </x:c>
      <x:c r="E18" s="17" t="str">
        <x:v>P1</x:v>
      </x:c>
      <x:c r="F18" s="7" t="str">
        <x:v>Livrable original proposé : Méca de plongée.</x:v>
      </x:c>
      <x:c r="G18" s="7" t="str">
        <x:v>Cockpit de récit, commandes de descente et communication ; statut d’eau distingue le modèle des Atlas de combat.</x:v>
      </x:c>
      <x:c r="H18" s="7" t="str">
        <x:v>Cockpit de récit, commandes de descente et communication ; statut d’eau distingue le modèle des Atlas de combat.</x:v>
      </x:c>
      <x:c r="I18" s="7" t="str">
        <x:v>Coque massive, lampes et hublot.</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me3/props/dive-mech ; rattacher les ressources et états cités à cet identifiant. Aucun fichier de jeu créé par ce catalogue.</x:v>
      </x:c>
      <x:c r="M18" s="7" t="str"/>
      <x:c r="N18" s="7" t="str">
        <x:v>Le livrable « Méca de plongée » possède une scène ou un scénario de contrôle ; ses règles proposées, ses conditions et ses retours visuels sont vérifiables séparément.</x:v>
      </x:c>
      <x:c r="O18" s="7" t="str">
        <x:v>ME3-ZON-LEV-OCEAN</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ME3-PRP-OMEGA-GEN</x:v>
      </x:c>
      <x:c r="B19" s="9" t="str">
        <x:v>Générateurs d’Afterlife</x:v>
      </x:c>
      <x:c r="C19" s="15" t="str">
        <x:v>Défini</x:v>
      </x:c>
      <x:c r="D19" s="16" t="str">
        <x:v>Extrapolation</x:v>
      </x:c>
      <x:c r="E19" s="16" t="str">
        <x:v>P1</x:v>
      </x:c>
      <x:c r="F19" s="9" t="str">
        <x:v>Livrable original proposé : Générateurs d’Afterlife.</x:v>
      </x:c>
      <x:c r="G19" s="9" t="str">
        <x:v>Objets d’objectif numérotés par position, pas seulement couleur ; leur destruction actualise un état global de barrière.</x:v>
      </x:c>
      <x:c r="H19" s="9" t="str">
        <x:v>Objets d’objectif numérotés par position, pas seulement couleur ; leur destruction actualise un état global de barrière.</x:v>
      </x:c>
      <x:c r="I19" s="9" t="str">
        <x:v>Pylônes orange et liens d’énergie.</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me3/props/omega-gen ; rattacher les ressources et états cités à cet identifiant. Aucun fichier de jeu créé par ce catalogue.</x:v>
      </x:c>
      <x:c r="M19" s="9" t="str"/>
      <x:c r="N19" s="9" t="str">
        <x:v>Le livrable « Générateurs d’Afterlife » possède une scène ou un scénario de contrôle ; ses règles proposées, ses conditions et ses retours visuels sont vérifiables séparément.</x:v>
      </x:c>
      <x:c r="O19" s="9" t="str">
        <x:v>ME3-ZON-OMEGA-AFTERLIFE</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68" customHeight="1">
      <x:c r="A20" s="19" t="str">
        <x:v>ME3-PRP-CHESS</x:v>
      </x:c>
      <x:c r="B20" s="7" t="str">
        <x:v>Échiquier de Petrovsky</x:v>
      </x:c>
      <x:c r="C20" s="15" t="str">
        <x:v>Défini</x:v>
      </x:c>
      <x:c r="D20" s="17" t="str">
        <x:v>Extrapolation</x:v>
      </x:c>
      <x:c r="E20" s="17" t="str">
        <x:v>P1</x:v>
      </x:c>
      <x:c r="F20" s="7" t="str">
        <x:v>Livrable original proposé : Échiquier de Petrovsky.</x:v>
      </x:c>
      <x:c r="G20" s="7" t="str">
        <x:v>Souvenir narratif avec une interaction unique après reprise ; pas de nouveau minijeu attribué à l’œuvre.</x:v>
      </x:c>
      <x:c r="H20" s="7" t="str">
        <x:v>Souvenir narratif avec une interaction unique après reprise ; pas de nouveau minijeu attribué à l’œuvre.</x:v>
      </x:c>
      <x:c r="I20" s="7" t="str">
        <x:v>Plateau de stratégie sur table.</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me3/props/chess ; rattacher les ressources et états cités à cet identifiant. Aucun fichier de jeu créé par ce catalogue.</x:v>
      </x:c>
      <x:c r="M20" s="7" t="str"/>
      <x:c r="N20" s="7" t="str">
        <x:v>Le livrable « Échiquier de Petrovsky » possède une scène ou un scénario de contrôle ; ses règles proposées, ses conditions et ses retours visuels sont vérifiables séparément.</x:v>
      </x:c>
      <x:c r="O20" s="7" t="str">
        <x:v>ME3-NPC-PETROVSKY</x:v>
      </x:c>
      <x:c r="P20" s="7" t="str">
        <x:v>Adaptation originale — spécification de production</x:v>
      </x:c>
      <x:c r="Q20" s="7" t="str"/>
      <x:c r="R20" s="21" t="str"/>
      <x:c r="S20" s="21" t="str">
        <x:v>Spécification à réaliser. Les champs adaptation, gameplay, visual, animation, audio et implementation décrivent le fan game ; ils ne donnent pas des caractéristiques officielles de l’œuvre.</x:v>
      </x:c>
    </x:row>
    <x:row r="21" ht="68" customHeight="1">
      <x:c r="A21" s="18" t="str">
        <x:v>ME3-PRP-CASINO</x:v>
      </x:c>
      <x:c r="B21" s="9" t="str">
        <x:v>Table de casino et passe d’accès</x:v>
      </x:c>
      <x:c r="C21" s="15" t="str">
        <x:v>Défini</x:v>
      </x:c>
      <x:c r="D21" s="16" t="str">
        <x:v>Extrapolation</x:v>
      </x:c>
      <x:c r="E21" s="16" t="str">
        <x:v>P1</x:v>
      </x:c>
      <x:c r="F21" s="9" t="str">
        <x:v>Livrable original proposé : Table de casino et passe d’accès.</x:v>
      </x:c>
      <x:c r="G21" s="9" t="str">
        <x:v>Interaction sociale et accès de maintenance distincts ; le passe ne devient pas monnaie de boutique.</x:v>
      </x:c>
      <x:c r="H21" s="9" t="str">
        <x:v>Interaction sociale et accès de maintenance distincts ; le passe ne devient pas monnaie de boutique.</x:v>
      </x:c>
      <x:c r="I21" s="9" t="str">
        <x:v>Table de jeu et carte d’accès.</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me3/props/casino ; rattacher les ressources et états cités à cet identifiant. Aucun fichier de jeu créé par ce catalogue.</x:v>
      </x:c>
      <x:c r="M21" s="9" t="str"/>
      <x:c r="N21" s="9" t="str">
        <x:v>Le livrable « Table de casino et passe d’accès » possède une scène ou un scénario de contrôle ; ses règles proposées, ses conditions et ses retours visuels sont vérifiables séparément.</x:v>
      </x:c>
      <x:c r="O21" s="9" t="str">
        <x:v>ME3-ZON-CASINO</x:v>
      </x:c>
      <x:c r="P21" s="9" t="str">
        <x:v>Adaptation originale — spécification de production</x:v>
      </x:c>
      <x:c r="Q21" s="9" t="str"/>
      <x:c r="R21" s="20" t="str"/>
      <x:c r="S21" s="20" t="str">
        <x:v>Spécification à réaliser. Les champs adaptation, gameplay, visual, animation, audio et implementation décrivent le fan game ; ils ne donnent pas des caractéristiques officielles de l’œuvre.</x:v>
      </x:c>
    </x:row>
    <x:row r="22" ht="68" customHeight="1">
      <x:c r="A22" s="19" t="str">
        <x:v>ME3-PRP-INVITATION</x:v>
      </x:c>
      <x:c r="B22" s="7" t="str">
        <x:v>Terminal d’invitations</x:v>
      </x:c>
      <x:c r="C22" s="15" t="str">
        <x:v>Défini</x:v>
      </x:c>
      <x:c r="D22" s="17" t="str">
        <x:v>Extrapolation</x:v>
      </x:c>
      <x:c r="E22" s="17" t="str">
        <x:v>P1</x:v>
      </x:c>
      <x:c r="F22" s="7" t="str">
        <x:v>Livrable original proposé : Terminal d’invitations.</x:v>
      </x:c>
      <x:c r="G22" s="7" t="str">
        <x:v>Liste de personnes disponibles et rendez-vous ; conserver refus, invitation et scène achevée séparément.</x:v>
      </x:c>
      <x:c r="H22" s="7" t="str">
        <x:v>Liste de personnes disponibles et rendez-vous ; conserver refus, invitation et scène achevée séparément.</x:v>
      </x:c>
      <x:c r="I22" s="7" t="str">
        <x:v>Tablette de l’appartement.</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me3/props/invitation ; rattacher les ressources et états cités à cet identifiant. Aucun fichier de jeu créé par ce catalogue.</x:v>
      </x:c>
      <x:c r="M22" s="7" t="str"/>
      <x:c r="N22" s="7" t="str">
        <x:v>Le livrable « Terminal d’invitations » possède une scène ou un scénario de contrôle ; ses règles proposées, ses conditions et ses retours visuels sont vérifiables séparément.</x:v>
      </x:c>
      <x:c r="O22" s="7" t="str">
        <x:v>ME3-CHO-INVITATIONS</x:v>
      </x:c>
      <x:c r="P22" s="7" t="str">
        <x:v>Adaptation originale — spécification de production</x:v>
      </x:c>
      <x:c r="Q22" s="7" t="str"/>
      <x:c r="R22" s="21" t="str"/>
      <x:c r="S22" s="21" t="str">
        <x:v>Spécification à réaliser. Les champs adaptation, gameplay, visual, animation, audio et implementation décrivent le fan game ; ils ne donnent pas des caractéristiques officielles de l’œuvre.</x:v>
      </x:c>
    </x:row>
    <x:row r="23" ht="68" customHeight="1">
      <x:c r="A23" s="18" t="str">
        <x:v>ME3-PRP-PHOTO</x:v>
      </x:c>
      <x:c r="B23" s="9" t="str">
        <x:v>Photo de groupe</x:v>
      </x:c>
      <x:c r="C23" s="15" t="str">
        <x:v>Défini</x:v>
      </x:c>
      <x:c r="D23" s="16" t="str">
        <x:v>Extrapolation</x:v>
      </x:c>
      <x:c r="E23" s="16" t="str">
        <x:v>P1</x:v>
      </x:c>
      <x:c r="F23" s="9" t="str">
        <x:v>Livrable original proposé : Photo de groupe.</x:v>
      </x:c>
      <x:c r="G23" s="9" t="str">
        <x:v>Composer positions selon invités ; aucun espace de portrait mort ou silhouette flottante si un personnage manque.</x:v>
      </x:c>
      <x:c r="H23" s="9" t="str">
        <x:v>Composer positions selon invités ; aucun espace de portrait mort ou silhouette flottante si un personnage manque.</x:v>
      </x:c>
      <x:c r="I23" s="9" t="str">
        <x:v>Cadrage de salon et disposition adaptative.</x:v>
      </x:c>
      <x:c r="J23" s="9" t="str">
        <x:v>Préparer état de repos, anticipation, activation et retour au repos ; aligner les événements visuels sur la résolution de l’action ATB.</x:v>
      </x:c>
      <x:c r="K23" s="9" t="str">
        <x:v>Créer des bruitages et ambiances originaux adaptés au livrable ; sous-titrer les indices utiles et proposer un réglage indépendant des effets. Aucune extraction audio demandée.</x:v>
      </x:c>
      <x:c r="L23" s="9" t="str">
        <x:v>Prévu : fiche de données me3/props/photo ; rattacher les ressources et états cités à cet identifiant. Aucun fichier de jeu créé par ce catalogue.</x:v>
      </x:c>
      <x:c r="M23" s="9" t="str"/>
      <x:c r="N23" s="9" t="str">
        <x:v>Le livrable « Photo de groupe » possède une scène ou un scénario de contrôle ; ses règles proposées, ses conditions et ses retours visuels sont vérifiables séparément.</x:v>
      </x:c>
      <x:c r="O23" s="9" t="str">
        <x:v>ME3-ZON-APARTMENT</x:v>
      </x:c>
      <x:c r="P23" s="9" t="str">
        <x:v>Adaptation originale — spécification de production</x:v>
      </x:c>
      <x:c r="Q23" s="9" t="str"/>
      <x:c r="R23" s="20" t="str"/>
      <x:c r="S23" s="20" t="str">
        <x:v>Spécification à réaliser. Les champs adaptation, gameplay, visual, animation, audio et implementation décrivent le fan game ; ils ne donnent pas des caractéristiques officielles de l’œuvre.</x:v>
      </x:c>
    </x:row>
  </x:sheetData>
  <x:conditionalFormatting sqref="D7:D23">
    <x:cfRule type="cellIs" dxfId="28" priority="1" operator="equal">
      <x:formula>"À vérifier"</x:formula>
    </x:cfRule>
    <x:cfRule type="cellIs" dxfId="29" priority="2" operator="equal">
      <x:formula>"Extrapolation"</x:formula>
    </x:cfRule>
  </x:conditionalFormatting>
  <x:conditionalFormatting sqref="C7:C23">
    <x:cfRule type="cellIs" dxfId="30" priority="3" operator="equal">
      <x:formula>"Validé"</x:formula>
    </x:cfRule>
  </x:conditionalFormatting>
  <x:conditionalFormatting sqref="E7:E23">
    <x:cfRule type="cellIs" dxfId="31" priority="4" operator="equal">
      <x:formula>"P0"</x:formula>
    </x:cfRule>
  </x:conditionalFormatting>
  <x:dataValidations count="3">
    <x:dataValidation type="list" sqref="C7:C23">
      <x:formula1>"Défini,Prototype,Intégré,Validé"</x:formula1>
    </x:dataValidation>
    <x:dataValidation type="list" sqref="D7:D23">
      <x:formula1>"Établi,À vérifier,Extrapolation,Coupé attesté,Concept abandonné,Allégation écartée"</x:formula1>
    </x:dataValidation>
    <x:dataValidation type="list" sqref="E7:E23">
      <x:formula1>"P0,P1,P2"</x:formula1>
    </x:dataValidation>
  </x:dataValidations>
  <x:pageMargins left="0.7" right="0.7" top="0.75" bottom="0.75" header="0.3" footer="0.3"/>
  <x:tableParts count="1">
    <x:tablePart xmlns:r="http://schemas.openxmlformats.org/officeDocument/2006/relationships" r:id="Rff996e34755b4ee0"/>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1"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Ennemis et boss</x:v>
      </x:c>
      <x:c r="B2" s="2"/>
      <x:c r="C2" s="2"/>
      <x:c r="D2" s="2"/>
      <x:c r="E2" s="2"/>
      <x:c r="F2" s="2"/>
      <x:c r="G2" s="2"/>
      <x:c r="H2" s="2"/>
      <x:c r="I2" s="2"/>
      <x:c r="J2" s="2"/>
      <x:c r="K2" s="2"/>
      <x:c r="L2" s="2"/>
      <x:c r="M2" s="2"/>
      <x:c r="N2" s="2"/>
      <x:c r="O2" s="2"/>
      <x:c r="P2" s="2"/>
      <x:c r="Q2" s="2"/>
      <x:c r="R2" s="2"/>
      <x:c r="S2" s="2"/>
    </x:row>
    <x:row r="3" ht="22" customHeight="1">
      <x:c r="A3" s="4" t="str">
        <x:v>Mass Effect 3 — Bestiaire, adversaires et affrontements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ME3-ENM-ASSAULT</x:v>
      </x:c>
      <x:c r="B7" s="9" t="str">
        <x:v>Cerberus Assault Trooper</x:v>
      </x:c>
      <x:c r="C7" s="15" t="str">
        <x:v>Défini</x:v>
      </x:c>
      <x:c r="D7" s="16" t="str">
        <x:v>Établi</x:v>
      </x:c>
      <x:c r="E7" s="16" t="str">
        <x:v>P1</x:v>
      </x:c>
      <x:c r="F7" s="9" t="str">
        <x:v>Fantassin Cerberus.</x:v>
      </x:c>
      <x:c r="G7" s="9" t="str">
        <x:v>Avance de couvert en couvert et lance une grenade de délogement ; sortie sûre affichée avant résolution.</x:v>
      </x:c>
      <x:c r="H7" s="9" t="str">
        <x:v>Avance de couvert en couvert et lance une grenade de délogement ; sortie sûre affichée avant résolution.</x:v>
      </x:c>
      <x:c r="I7" s="9" t="str">
        <x:v>Armure blanche, noir et visière rouge.</x:v>
      </x:c>
      <x:c r="J7" s="9" t="str">
        <x:v>Séparer anticipation et impact : Avance de couvert en couvert et lance une grenade de délogement ; sortie sûre affichée avant résolution.</x:v>
      </x:c>
      <x:c r="K7" s="9" t="str">
        <x:v>Créer un signal de préparation propre à cette famille, un départ d’action et un impact ; afficher un équivalent visuel du signal hors champ.</x:v>
      </x:c>
      <x:c r="L7" s="9" t="str">
        <x:v>Prévu : fiche de données me3/enemies/assault ; rattacher les ressources et états cités à cet identifiant. Aucun fichier de jeu créé par ce catalogue.</x:v>
      </x:c>
      <x:c r="M7" s="9" t="str">
        <x:v>Campagne et simulation.</x:v>
      </x:c>
      <x:c r="N7" s="9" t="str">
        <x:v>Cerberus Assault Trooper : la menace décrite est annoncée avant résolution ; tester une esquive, une interruption admise et une résistance refusée avec message explicite.</x:v>
      </x:c>
      <x:c r="O7" s="9" t="str"/>
      <x:c r="P7" s="9" t="str">
        <x:v>Cerberus Assault Trooper</x:v>
      </x:c>
      <x:c r="Q7" s="9" t="str">
        <x:v>ME3-SRC-PHANTOM</x:v>
      </x:c>
      <x:c r="R7" s="20" t="str">
        <x:v>https://masseffect.fandom.com/wiki/Phantom</x:v>
      </x:c>
      <x:c r="S7" s="20" t="str">
        <x:v>Spécification à réaliser. Les champs adaptation, gameplay, visual, animation, audio et implementation décrivent le fan game ; ils ne donnent pas des caractéristiques officielles de l’œuvre.</x:v>
      </x:c>
    </x:row>
    <x:row r="8" ht="68" customHeight="1">
      <x:c r="A8" s="19" t="str">
        <x:v>ME3-ENM-CENTURION</x:v>
      </x:c>
      <x:c r="B8" s="7" t="str">
        <x:v>Cerberus Centurion</x:v>
      </x:c>
      <x:c r="C8" s="15" t="str">
        <x:v>Défini</x:v>
      </x:c>
      <x:c r="D8" s="17" t="str">
        <x:v>Établi</x:v>
      </x:c>
      <x:c r="E8" s="17" t="str">
        <x:v>P1</x:v>
      </x:c>
      <x:c r="F8" s="7" t="str">
        <x:v>Unité Cerberus.</x:v>
      </x:c>
      <x:c r="G8" s="7" t="str">
        <x:v>Fumée de protection et rafale ; son écran brouille la visée mais jamais les marqueurs de menace du fan game.</x:v>
      </x:c>
      <x:c r="H8" s="7" t="str">
        <x:v>Fumée de protection et rafale ; son écran brouille la visée mais jamais les marqueurs de menace du fan game.</x:v>
      </x:c>
      <x:c r="I8" s="7" t="str">
        <x:v>Armure renforcée et fumigène.</x:v>
      </x:c>
      <x:c r="J8" s="7" t="str">
        <x:v>Séparer anticipation et impact : Fumée de protection et rafale ; son écran brouille la visée mais jamais les marqueurs de menace du fan game.</x:v>
      </x:c>
      <x:c r="K8" s="7" t="str">
        <x:v>Créer un signal de préparation propre à cette famille, un départ d’action et un impact ; afficher un équivalent visuel du signal hors champ.</x:v>
      </x:c>
      <x:c r="L8" s="7" t="str">
        <x:v>Prévu : fiche de données me3/enemies/centurion ; rattacher les ressources et états cités à cet identifiant. Aucun fichier de jeu créé par ce catalogue.</x:v>
      </x:c>
      <x:c r="M8" s="7" t="str">
        <x:v>Campagne et simulation.</x:v>
      </x:c>
      <x:c r="N8" s="7" t="str">
        <x:v>Cerberus Centurion : la menace décrite est annoncée avant résolution ; tester une esquive, une interruption admise et une résistance refusée avec message explicite.</x:v>
      </x:c>
      <x:c r="O8" s="7" t="str"/>
      <x:c r="P8" s="7" t="str">
        <x:v>Cerberus Centurion</x:v>
      </x:c>
      <x:c r="Q8" s="7" t="str">
        <x:v>ME3-SRC-PHANTOM</x:v>
      </x:c>
      <x:c r="R8" s="21" t="str">
        <x:v>https://masseffect.fandom.com/wiki/Phantom</x:v>
      </x:c>
      <x:c r="S8" s="21" t="str">
        <x:v>Spécification à réaliser. Les champs adaptation, gameplay, visual, animation, audio et implementation décrivent le fan game ; ils ne donnent pas des caractéristiques officielles de l’œuvre.</x:v>
      </x:c>
    </x:row>
    <x:row r="9" ht="68" customHeight="1">
      <x:c r="A9" s="18" t="str">
        <x:v>ME3-ENM-ENGINEER</x:v>
      </x:c>
      <x:c r="B9" s="9" t="str">
        <x:v>Cerberus Combat Engineer</x:v>
      </x:c>
      <x:c r="C9" s="15" t="str">
        <x:v>Défini</x:v>
      </x:c>
      <x:c r="D9" s="16" t="str">
        <x:v>Établi</x:v>
      </x:c>
      <x:c r="E9" s="16" t="str">
        <x:v>P1</x:v>
      </x:c>
      <x:c r="F9" s="9" t="str">
        <x:v>Unité de soutien Cerberus.</x:v>
      </x:c>
      <x:c r="G9" s="9" t="str">
        <x:v>Pose une tourelle à un emplacement annoncé ; interrompre le montage évite l’activation, détruire l’ingénieur ne téléporte pas l’objet.</x:v>
      </x:c>
      <x:c r="H9" s="9" t="str">
        <x:v>Pose une tourelle à un emplacement annoncé ; interrompre le montage évite l’activation, détruire l’ingénieur ne téléporte pas l’objet.</x:v>
      </x:c>
      <x:c r="I9" s="9" t="str">
        <x:v>Omni-outil et sac technique.</x:v>
      </x:c>
      <x:c r="J9" s="9" t="str">
        <x:v>Séparer anticipation et impact : Pose une tourelle à un emplacement annoncé ; interrompre le montage évite l’activation, détruire l’ingénieur ne téléporte pas l’objet.</x:v>
      </x:c>
      <x:c r="K9" s="9" t="str">
        <x:v>Créer un signal de préparation propre à cette famille, un départ d’action et un impact ; afficher un équivalent visuel du signal hors champ.</x:v>
      </x:c>
      <x:c r="L9" s="9" t="str">
        <x:v>Prévu : fiche de données me3/enemies/engineer ; rattacher les ressources et états cités à cet identifiant. Aucun fichier de jeu créé par ce catalogue.</x:v>
      </x:c>
      <x:c r="M9" s="9" t="str">
        <x:v>Campagne et simulation.</x:v>
      </x:c>
      <x:c r="N9" s="9" t="str">
        <x:v>Cerberus Combat Engineer : la menace décrite est annoncée avant résolution ; tester une esquive, une interruption admise et une résistance refusée avec message explicite.</x:v>
      </x:c>
      <x:c r="O9" s="9" t="str"/>
      <x:c r="P9" s="9" t="str">
        <x:v>Cerberus Combat Engineer</x:v>
      </x:c>
      <x:c r="Q9" s="9" t="str">
        <x:v>ME3-SRC-PHANTOM</x:v>
      </x:c>
      <x:c r="R9" s="20" t="str">
        <x:v>https://masseffect.fandom.com/wiki/Phantom</x:v>
      </x:c>
      <x:c r="S9" s="20" t="str">
        <x:v>Spécification à réaliser. Les champs adaptation, gameplay, visual, animation, audio et implementation décrivent le fan game ; ils ne donnent pas des caractéristiques officielles de l’œuvre.</x:v>
      </x:c>
    </x:row>
    <x:row r="10" ht="68" customHeight="1">
      <x:c r="A10" s="19" t="str">
        <x:v>ME3-ENM-GUARDIAN</x:v>
      </x:c>
      <x:c r="B10" s="7" t="str">
        <x:v>Cerberus Guardian</x:v>
      </x:c>
      <x:c r="C10" s="15" t="str">
        <x:v>Défini</x:v>
      </x:c>
      <x:c r="D10" s="17" t="str">
        <x:v>Établi</x:v>
      </x:c>
      <x:c r="E10" s="17" t="str">
        <x:v>P1</x:v>
      </x:c>
      <x:c r="F10" s="7" t="str">
        <x:v>Porteur de bouclier.</x:v>
      </x:c>
      <x:c r="G10" s="7" t="str">
        <x:v>Avancée frontale ; flanc et ouverture de tir clairement prévisualisés, résistance ne se réduit pas à une santé arbitraire.</x:v>
      </x:c>
      <x:c r="H10" s="7" t="str">
        <x:v>Avancée frontale ; flanc et ouverture de tir clairement prévisualisés, résistance ne se réduit pas à une santé arbitraire.</x:v>
      </x:c>
      <x:c r="I10" s="7" t="str">
        <x:v>Bouclier rectangulaire à meurtrière.</x:v>
      </x:c>
      <x:c r="J10" s="7" t="str">
        <x:v>Séparer anticipation et impact : Avancée frontale ; flanc et ouverture de tir clairement prévisualisés, résistance ne se réduit pas à une santé arbitraire.</x:v>
      </x:c>
      <x:c r="K10" s="7" t="str">
        <x:v>Créer un signal de préparation propre à cette famille, un départ d’action et un impact ; afficher un équivalent visuel du signal hors champ.</x:v>
      </x:c>
      <x:c r="L10" s="7" t="str">
        <x:v>Prévu : fiche de données me3/enemies/guardian ; rattacher les ressources et états cités à cet identifiant. Aucun fichier de jeu créé par ce catalogue.</x:v>
      </x:c>
      <x:c r="M10" s="7" t="str">
        <x:v>Campagne et simulation.</x:v>
      </x:c>
      <x:c r="N10" s="7" t="str">
        <x:v>Cerberus Guardian : la menace décrite est annoncée avant résolution ; tester une esquive, une interruption admise et une résistance refusée avec message explicite.</x:v>
      </x:c>
      <x:c r="O10" s="7" t="str"/>
      <x:c r="P10" s="7" t="str">
        <x:v>Cerberus Guardian</x:v>
      </x:c>
      <x:c r="Q10" s="7" t="str">
        <x:v>ME3-SRC-PHANTOM</x:v>
      </x:c>
      <x:c r="R10" s="21" t="str">
        <x:v>https://masseffect.fandom.com/wiki/Phantom</x:v>
      </x:c>
      <x:c r="S10" s="21" t="str">
        <x:v>Spécification à réaliser. Les champs adaptation, gameplay, visual, animation, audio et implementation décrivent le fan game ; ils ne donnent pas des caractéristiques officielles de l’œuvre.</x:v>
      </x:c>
    </x:row>
    <x:row r="11" ht="68" customHeight="1">
      <x:c r="A11" s="18" t="str">
        <x:v>ME3-ENM-NEMESIS</x:v>
      </x:c>
      <x:c r="B11" s="9" t="str">
        <x:v>Cerberus Nemesis</x:v>
      </x:c>
      <x:c r="C11" s="15" t="str">
        <x:v>Défini</x:v>
      </x:c>
      <x:c r="D11" s="16" t="str">
        <x:v>Établi</x:v>
      </x:c>
      <x:c r="E11" s="16" t="str">
        <x:v>P1</x:v>
      </x:c>
      <x:c r="F11" s="9" t="str">
        <x:v>Tireuse de précision.</x:v>
      </x:c>
      <x:c r="G11" s="9" t="str">
        <x:v>Marque sa cible par laser avant tir ; briser la ligne ou l’interrompre annule la charge.</x:v>
      </x:c>
      <x:c r="H11" s="9" t="str">
        <x:v>Marque sa cible par laser avant tir ; briser la ligne ou l’interrompre annule la charge.</x:v>
      </x:c>
      <x:c r="I11" s="9" t="str">
        <x:v>Silhouette fine et viseur rouge.</x:v>
      </x:c>
      <x:c r="J11" s="9" t="str">
        <x:v>Séparer anticipation et impact : Marque sa cible par laser avant tir ; briser la ligne ou l’interrompre annule la charge.</x:v>
      </x:c>
      <x:c r="K11" s="9" t="str">
        <x:v>Créer un signal de préparation propre à cette famille, un départ d’action et un impact ; afficher un équivalent visuel du signal hors champ.</x:v>
      </x:c>
      <x:c r="L11" s="9" t="str">
        <x:v>Prévu : fiche de données me3/enemies/nemesis ; rattacher les ressources et états cités à cet identifiant. Aucun fichier de jeu créé par ce catalogue.</x:v>
      </x:c>
      <x:c r="M11" s="9" t="str">
        <x:v>Campagne et simulation.</x:v>
      </x:c>
      <x:c r="N11" s="9" t="str">
        <x:v>Cerberus Nemesis : la menace décrite est annoncée avant résolution ; tester une esquive, une interruption admise et une résistance refusée avec message explicite.</x:v>
      </x:c>
      <x:c r="O11" s="9" t="str"/>
      <x:c r="P11" s="9" t="str">
        <x:v>Cerberus Nemesis</x:v>
      </x:c>
      <x:c r="Q11" s="9" t="str">
        <x:v>ME3-SRC-PHANTOM</x:v>
      </x:c>
      <x:c r="R11" s="20" t="str">
        <x:v>https://masseffect.fandom.com/wiki/Phantom</x:v>
      </x:c>
      <x:c r="S11" s="20" t="str">
        <x:v>Spécification à réaliser. Les champs adaptation, gameplay, visual, animation, audio et implementation décrivent le fan game ; ils ne donnent pas des caractéristiques officielles de l’œuvre.</x:v>
      </x:c>
    </x:row>
    <x:row r="12" ht="68" customHeight="1">
      <x:c r="A12" s="19" t="str">
        <x:v>ME3-ENM-PHANTOM</x:v>
      </x:c>
      <x:c r="B12" s="7" t="str">
        <x:v>Cerberus Phantom</x:v>
      </x:c>
      <x:c r="C12" s="15" t="str">
        <x:v>Défini</x:v>
      </x:c>
      <x:c r="D12" s="17" t="str">
        <x:v>Établi</x:v>
      </x:c>
      <x:c r="E12" s="17" t="str">
        <x:v>P1</x:v>
      </x:c>
      <x:c r="F12" s="7" t="str">
        <x:v>Assaillante rapprochée.</x:v>
      </x:c>
      <x:c r="G12" s="7" t="str">
        <x:v>Approche furtive, barrière puis attaque de lame ; prise létale originale convertie en saisie télégraphiée avec possibilité de secours.</x:v>
      </x:c>
      <x:c r="H12" s="7" t="str">
        <x:v>Approche furtive, barrière puis attaque de lame ; prise létale originale convertie en saisie télégraphiée avec possibilité de secours.</x:v>
      </x:c>
      <x:c r="I12" s="7" t="str">
        <x:v>Lame, corps agile et voile de camouflage.</x:v>
      </x:c>
      <x:c r="J12" s="7" t="str">
        <x:v>Séparer anticipation et impact : Approche furtive, barrière puis attaque de lame ; prise létale originale convertie en saisie télégraphiée avec possibilité de secours.</x:v>
      </x:c>
      <x:c r="K12" s="7" t="str">
        <x:v>Créer un signal de préparation propre à cette famille, un départ d’action et un impact ; afficher un équivalent visuel du signal hors champ.</x:v>
      </x:c>
      <x:c r="L12" s="7" t="str">
        <x:v>Prévu : fiche de données me3/enemies/phantom ; rattacher les ressources et états cités à cet identifiant. Aucun fichier de jeu créé par ce catalogue.</x:v>
      </x:c>
      <x:c r="M12" s="7" t="str">
        <x:v>Campagne et simulation.</x:v>
      </x:c>
      <x:c r="N12" s="7" t="str">
        <x:v>Cerberus Phantom : la menace décrite est annoncée avant résolution ; tester une esquive, une interruption admise et une résistance refusée avec message explicite.</x:v>
      </x:c>
      <x:c r="O12" s="7" t="str"/>
      <x:c r="P12" s="7" t="str">
        <x:v>Cerberus Phantom</x:v>
      </x:c>
      <x:c r="Q12" s="7" t="str">
        <x:v>ME3-SRC-PHANTOM</x:v>
      </x:c>
      <x:c r="R12" s="21" t="str">
        <x:v>https://masseffect.fandom.com/wiki/Phantom</x:v>
      </x:c>
      <x:c r="S12" s="21" t="str">
        <x:v>Spécification à réaliser. Les champs adaptation, gameplay, visual, animation, audio et implementation décrivent le fan game ; ils ne donnent pas des caractéristiques officielles de l’œuvre.</x:v>
      </x:c>
    </x:row>
    <x:row r="13" ht="68" customHeight="1">
      <x:c r="A13" s="18" t="str">
        <x:v>ME3-ENM-ATLAS</x:v>
      </x:c>
      <x:c r="B13" s="9" t="str">
        <x:v>Atlas</x:v>
      </x:c>
      <x:c r="C13" s="15" t="str">
        <x:v>Défini</x:v>
      </x:c>
      <x:c r="D13" s="16" t="str">
        <x:v>Établi</x:v>
      </x:c>
      <x:c r="E13" s="16" t="str">
        <x:v>P1</x:v>
      </x:c>
      <x:c r="F13" s="9" t="str">
        <x:v>Méca Cerberus piloté.</x:v>
      </x:c>
      <x:c r="G13" s="9" t="str">
        <x:v>Missile de zone, canon puis récupération ; pilote visible comme point ciblable si la rencontre autorise cette interaction.</x:v>
      </x:c>
      <x:c r="H13" s="9" t="str">
        <x:v>Missile de zone, canon puis récupération ; pilote visible comme point ciblable si la rencontre autorise cette interaction.</x:v>
      </x:c>
      <x:c r="I13" s="9" t="str">
        <x:v>Cockpit vitré et châssis massif.</x:v>
      </x:c>
      <x:c r="J13" s="9" t="str">
        <x:v>Séparer anticipation et impact : Missile de zone, canon puis récupération ; pilote visible comme point ciblable si la rencontre autorise cette interaction.</x:v>
      </x:c>
      <x:c r="K13" s="9" t="str">
        <x:v>Créer un signal de préparation propre à cette famille, un départ d’action et un impact ; afficher un équivalent visuel du signal hors champ.</x:v>
      </x:c>
      <x:c r="L13" s="9" t="str">
        <x:v>Prévu : fiche de données me3/enemies/atlas ; rattacher les ressources et états cités à cet identifiant. Aucun fichier de jeu créé par ce catalogue.</x:v>
      </x:c>
      <x:c r="M13" s="9" t="str">
        <x:v>Campagne ; variantes de pilotage à vérifier.</x:v>
      </x:c>
      <x:c r="N13" s="9" t="str">
        <x:v>Atlas : la menace décrite est annoncée avant résolution ; tester une esquive, une interruption admise et une résistance refusée avec message explicite.</x:v>
      </x:c>
      <x:c r="O13" s="9" t="str"/>
      <x:c r="P13" s="9" t="str">
        <x:v>Atlas</x:v>
      </x:c>
      <x:c r="Q13" s="9" t="str">
        <x:v>ME3-SRC-PHANTOM</x:v>
      </x:c>
      <x:c r="R13" s="20" t="str">
        <x:v>https://masseffect.fandom.com/wiki/Phantom</x:v>
      </x:c>
      <x:c r="S13" s="20" t="str">
        <x:v>Spécification à réaliser. Les champs adaptation, gameplay, visual, animation, audio et implementation décrivent le fan game ; ils ne donnent pas des caractéristiques officielles de l’œuvre.</x:v>
      </x:c>
    </x:row>
    <x:row r="14" ht="68" customHeight="1">
      <x:c r="A14" s="19" t="str">
        <x:v>ME3-ENM-TURRET</x:v>
      </x:c>
      <x:c r="B14" s="7" t="str">
        <x:v>Tourelle Cerberus</x:v>
      </x:c>
      <x:c r="C14" s="15" t="str">
        <x:v>Défini</x:v>
      </x:c>
      <x:c r="D14" s="17" t="str">
        <x:v>Établi</x:v>
      </x:c>
      <x:c r="E14" s="17" t="str">
        <x:v>P1</x:v>
      </x:c>
      <x:c r="F14" s="7" t="str">
        <x:v>Construction de l’ingénieur.</x:v>
      </x:c>
      <x:c r="G14" s="7" t="str">
        <x:v>Pivot limité et cône de suppression ; l’interface montre sa ligne de tir même derrière un sprite allié.</x:v>
      </x:c>
      <x:c r="H14" s="7" t="str">
        <x:v>Pivot limité et cône de suppression ; l’interface montre sa ligne de tir même derrière un sprite allié.</x:v>
      </x:c>
      <x:c r="I14" s="7" t="str">
        <x:v>Trépied et canon automatique.</x:v>
      </x:c>
      <x:c r="J14" s="7" t="str">
        <x:v>Séparer anticipation et impact : Pivot limité et cône de suppression ; l’interface montre sa ligne de tir même derrière un sprite allié.</x:v>
      </x:c>
      <x:c r="K14" s="7" t="str">
        <x:v>Créer un signal de préparation propre à cette famille, un départ d’action et un impact ; afficher un équivalent visuel du signal hors champ.</x:v>
      </x:c>
      <x:c r="L14" s="7" t="str">
        <x:v>Prévu : fiche de données me3/enemies/turret ; rattacher les ressources et états cités à cet identifiant. Aucun fichier de jeu créé par ce catalogue.</x:v>
      </x:c>
      <x:c r="M14" s="7" t="str">
        <x:v>Campagne et simulation.</x:v>
      </x:c>
      <x:c r="N14" s="7" t="str">
        <x:v>Tourelle Cerberus : la menace décrite est annoncée avant résolution ; tester une esquive, une interruption admise et une résistance refusée avec message explicite.</x:v>
      </x:c>
      <x:c r="O14" s="7" t="str"/>
      <x:c r="P14" s="7" t="str">
        <x:v>Tourelle Cerberus</x:v>
      </x:c>
      <x:c r="Q14" s="7" t="str">
        <x:v>ME3-SRC-PHANTOM</x:v>
      </x:c>
      <x:c r="R14" s="21" t="str">
        <x:v>https://masseffect.fandom.com/wiki/Phantom</x:v>
      </x:c>
      <x:c r="S14" s="21" t="str">
        <x:v>Spécification à réaliser. Les champs adaptation, gameplay, visual, animation, audio et implementation décrivent le fan game ; ils ne donnent pas des caractéristiques officielles de l’œuvre.</x:v>
      </x:c>
    </x:row>
    <x:row r="15" ht="68" customHeight="1">
      <x:c r="A15" s="18" t="str">
        <x:v>ME3-ENM-EVA</x:v>
      </x:c>
      <x:c r="B15" s="9" t="str">
        <x:v>Dr Eva Coré — confrontation</x:v>
      </x:c>
      <x:c r="C15" s="15" t="str">
        <x:v>Défini</x:v>
      </x:c>
      <x:c r="D15" s="16" t="str">
        <x:v>Établi</x:v>
      </x:c>
      <x:c r="E15" s="16" t="str">
        <x:v>P1</x:v>
      </x:c>
      <x:c r="F15" s="9" t="str">
        <x:v>Antagoniste de Mars.</x:v>
      </x:c>
      <x:c r="G15" s="9" t="str">
        <x:v>Course avec jalons de poursuite puis confrontation courte ; aucun combat d’endurance inventé comme événement source.</x:v>
      </x:c>
      <x:c r="H15" s="9" t="str">
        <x:v>Course avec jalons de poursuite puis confrontation courte ; aucun combat d’endurance inventé comme événement source.</x:v>
      </x:c>
      <x:c r="I15" s="9" t="str">
        <x:v>Corps androïde sous identité médicale.</x:v>
      </x:c>
      <x:c r="J15" s="9" t="str">
        <x:v>Séparer anticipation et impact : Course avec jalons de poursuite puis confrontation courte ; aucun combat d’endurance inventé comme événement source.</x:v>
      </x:c>
      <x:c r="K15" s="9" t="str">
        <x:v>Créer un signal de préparation propre à cette famille, un départ d’action et un impact ; afficher un équivalent visuel du signal hors champ.</x:v>
      </x:c>
      <x:c r="L15" s="9" t="str">
        <x:v>Prévu : fiche de données me3/enemies/eva ; rattacher les ressources et états cités à cet identifiant. Aucun fichier de jeu créé par ce catalogue.</x:v>
      </x:c>
      <x:c r="M15" s="9" t="str">
        <x:v>Mars uniquement.</x:v>
      </x:c>
      <x:c r="N15" s="9" t="str">
        <x:v>Dr Eva Coré — confrontation : la menace décrite est annoncée avant résolution ; tester une esquive, une interruption admise et une résistance refusée avec message explicite.</x:v>
      </x:c>
      <x:c r="O15" s="9" t="str"/>
      <x:c r="P15" s="9" t="str">
        <x:v>Dr Eva Coré — confrontation</x:v>
      </x:c>
      <x:c r="Q15" s="9" t="str">
        <x:v>ME3-SRC-GUIDE</x:v>
      </x:c>
      <x:c r="R15" s="20" t="str">
        <x:v>https://masseffect.fandom.com/wiki/Mass_Effect_3_Guide</x:v>
      </x:c>
      <x:c r="S15" s="20" t="str">
        <x:v>Spécification à réaliser. Les champs adaptation, gameplay, visual, animation, audio et implementation décrivent le fan game ; ils ne donnent pas des caractéristiques officielles de l’œuvre.</x:v>
      </x:c>
    </x:row>
    <x:row r="16" ht="68" customHeight="1">
      <x:c r="A16" s="19" t="str">
        <x:v>ME3-ENM-KAI</x:v>
      </x:c>
      <x:c r="B16" s="7" t="str">
        <x:v>Kai Leng</x:v>
      </x:c>
      <x:c r="C16" s="15" t="str">
        <x:v>Défini</x:v>
      </x:c>
      <x:c r="D16" s="17" t="str">
        <x:v>Établi</x:v>
      </x:c>
      <x:c r="E16" s="17" t="str">
        <x:v>P1</x:v>
      </x:c>
      <x:c r="F16" s="7" t="str">
        <x:v>Boss récurrent de Cerberus.</x:v>
      </x:c>
      <x:c r="G16" s="7" t="str">
        <x:v>Rush de lame et phases de protection ; afficher ce qui relève d’une phase narrative invulnérable et ce qui peut être interrompu.</x:v>
      </x:c>
      <x:c r="H16" s="7" t="str">
        <x:v>Rush de lame et phases de protection ; afficher ce qui relève d’une phase narrative invulnérable et ce qui peut être interrompu.</x:v>
      </x:c>
      <x:c r="I16" s="7" t="str">
        <x:v>Lame, armure sombre et visière.</x:v>
      </x:c>
      <x:c r="J16" s="7" t="str">
        <x:v>Séparer anticipation et impact : Rush de lame et phases de protection ; afficher ce qui relève d’une phase narrative invulnérable et ce qui peut être interrompu.</x:v>
      </x:c>
      <x:c r="K16" s="7" t="str">
        <x:v>Créer un signal de préparation propre à cette famille, un départ d’action et un impact ; afficher un équivalent visuel du signal hors champ.</x:v>
      </x:c>
      <x:c r="L16" s="7" t="str">
        <x:v>Prévu : fiche de données me3/enemies/kai ; rattacher les ressources et états cités à cet identifiant. Aucun fichier de jeu créé par ce catalogue.</x:v>
      </x:c>
      <x:c r="M16" s="7" t="str">
        <x:v>Thessia et QG ; tables de phases distinctes.</x:v>
      </x:c>
      <x:c r="N16" s="7" t="str">
        <x:v>Kai Leng : la menace décrite est annoncée avant résolution ; tester une esquive, une interruption admise et une résistance refusée avec message explicite.</x:v>
      </x:c>
      <x:c r="O16" s="7" t="str"/>
      <x:c r="P16" s="7" t="str">
        <x:v>Kai Leng</x:v>
      </x:c>
      <x:c r="Q16" s="7" t="str">
        <x:v>ME3-SRC-KAI</x:v>
      </x:c>
      <x:c r="R16" s="21" t="str">
        <x:v>https://masseffect.fandom.com/wiki/Kai_Leng_%28enemy%29</x:v>
      </x:c>
      <x:c r="S16" s="21" t="str">
        <x:v>Spécification à réaliser. Les champs adaptation, gameplay, visual, animation, audio et implementation décrivent le fan game ; ils ne donnent pas des caractéristiques officielles de l’œuvre.</x:v>
      </x:c>
    </x:row>
    <x:row r="17" ht="68" customHeight="1">
      <x:c r="A17" s="18" t="str">
        <x:v>ME3-ENM-RAMPART</x:v>
      </x:c>
      <x:c r="B17" s="9" t="str">
        <x:v>Rampart Mech</x:v>
      </x:c>
      <x:c r="C17" s="15" t="str">
        <x:v>Défini</x:v>
      </x:c>
      <x:c r="D17" s="16" t="str">
        <x:v>Établi</x:v>
      </x:c>
      <x:c r="E17" s="16" t="str">
        <x:v>P1</x:v>
      </x:c>
      <x:c r="F17" s="9" t="str">
        <x:v>Robot rencontré dans Omega.</x:v>
      </x:c>
      <x:c r="G17" s="9" t="str">
        <x:v>Avance directe et rafale ; un noyau de faiblesse proposé encourage la rotation du groupe autour des couverts.</x:v>
      </x:c>
      <x:c r="H17" s="9" t="str">
        <x:v>Avance directe et rafale ; un noyau de faiblesse proposé encourage la rotation du groupe autour des couverts.</x:v>
      </x:c>
      <x:c r="I17" s="9" t="str">
        <x:v>Robot bipède blanc et rouge.</x:v>
      </x:c>
      <x:c r="J17" s="9" t="str">
        <x:v>Séparer anticipation et impact : Avance directe et rafale ; un noyau de faiblesse proposé encourage la rotation du groupe autour des couverts.</x:v>
      </x:c>
      <x:c r="K17" s="9" t="str">
        <x:v>Créer un signal de préparation propre à cette famille, un départ d’action et un impact ; afficher un équivalent visuel du signal hors champ.</x:v>
      </x:c>
      <x:c r="L17" s="9" t="str">
        <x:v>Prévu : fiche de données me3/enemies/rampart ; rattacher les ressources et états cités à cet identifiant. Aucun fichier de jeu créé par ce catalogue.</x:v>
      </x:c>
      <x:c r="M17" s="9" t="str">
        <x:v>DLC Omega.</x:v>
      </x:c>
      <x:c r="N17" s="9" t="str">
        <x:v>Rampart Mech : la menace décrite est annoncée avant résolution ; tester une esquive, une interruption admise et une résistance refusée avec message explicite.</x:v>
      </x:c>
      <x:c r="O17" s="9" t="str"/>
      <x:c r="P17" s="9" t="str">
        <x:v>Rampart Mech</x:v>
      </x:c>
      <x:c r="Q17" s="9" t="str">
        <x:v>ME3-SRC-OMEGA</x:v>
      </x:c>
      <x:c r="R17" s="20" t="str">
        <x:v>https://masseffect.fandom.com/wiki/Omega%3A_Aria_T%27Loak_%28Mass_Effect_3%29</x:v>
      </x:c>
      <x:c r="S17" s="20" t="str">
        <x:v>Spécification à réaliser. Les champs adaptation, gameplay, visual, animation, audio et implementation décrivent le fan game ; ils ne donnent pas des caractéristiques officielles de l’œuvre.</x:v>
      </x:c>
    </x:row>
    <x:row r="18" ht="68" customHeight="1">
      <x:c r="A18" s="19" t="str">
        <x:v>ME3-ENM-ADJUTANT</x:v>
      </x:c>
      <x:c r="B18" s="7" t="str">
        <x:v>Adjutant</x:v>
      </x:c>
      <x:c r="C18" s="15" t="str">
        <x:v>Défini</x:v>
      </x:c>
      <x:c r="D18" s="17" t="str">
        <x:v>Établi</x:v>
      </x:c>
      <x:c r="E18" s="17" t="str">
        <x:v>P1</x:v>
      </x:c>
      <x:c r="F18" s="7" t="str">
        <x:v>Créature d’Omega.</x:v>
      </x:c>
      <x:c r="G18" s="7" t="str">
        <x:v>Bond à zone d’arrivée visible, projectile puis ruée ; empêcher deux saisies simultanées non évitables dans couloir.</x:v>
      </x:c>
      <x:c r="H18" s="7" t="str">
        <x:v>Bond à zone d’arrivée visible, projectile puis ruée ; empêcher deux saisies simultanées non évitables dans couloir.</x:v>
      </x:c>
      <x:c r="I18" s="7" t="str">
        <x:v>Masse déformée, membres allongés et lueur interne.</x:v>
      </x:c>
      <x:c r="J18" s="7" t="str">
        <x:v>Séparer anticipation et impact : Bond à zone d’arrivée visible, projectile puis ruée ; empêcher deux saisies simultanées non évitables dans couloir.</x:v>
      </x:c>
      <x:c r="K18" s="7" t="str">
        <x:v>Créer un signal de préparation propre à cette famille, un départ d’action et un impact ; afficher un équivalent visuel du signal hors champ.</x:v>
      </x:c>
      <x:c r="L18" s="7" t="str">
        <x:v>Prévu : fiche de données me3/enemies/adjutant ; rattacher les ressources et états cités à cet identifiant. Aucun fichier de jeu créé par ce catalogue.</x:v>
      </x:c>
      <x:c r="M18" s="7" t="str">
        <x:v>DLC Omega.</x:v>
      </x:c>
      <x:c r="N18" s="7" t="str">
        <x:v>Adjutant : la menace décrite est annoncée avant résolution ; tester une esquive, une interruption admise et une résistance refusée avec message explicite.</x:v>
      </x:c>
      <x:c r="O18" s="7" t="str"/>
      <x:c r="P18" s="7" t="str">
        <x:v>Adjutant</x:v>
      </x:c>
      <x:c r="Q18" s="7" t="str">
        <x:v>ME3-SRC-OMEGA</x:v>
      </x:c>
      <x:c r="R18" s="21" t="str">
        <x:v>https://masseffect.fandom.com/wiki/Omega%3A_Aria_T%27Loak_%28Mass_Effect_3%29</x:v>
      </x:c>
      <x:c r="S18" s="21" t="str">
        <x:v>Spécification à réaliser. Les champs adaptation, gameplay, visual, animation, audio et implementation décrivent le fan game ; ils ne donnent pas des caractéristiques officielles de l’œuvre.</x:v>
      </x:c>
    </x:row>
    <x:row r="19" ht="68" customHeight="1">
      <x:c r="A19" s="18" t="str">
        <x:v>ME3-ENM-HUSK</x:v>
      </x:c>
      <x:c r="B19" s="9" t="str">
        <x:v>Husk</x:v>
      </x:c>
      <x:c r="C19" s="15" t="str">
        <x:v>Défini</x:v>
      </x:c>
      <x:c r="D19" s="16" t="str">
        <x:v>Établi</x:v>
      </x:c>
      <x:c r="E19" s="16" t="str">
        <x:v>P1</x:v>
      </x:c>
      <x:c r="F19" s="9" t="str">
        <x:v>Infanterie transformée des Moissonneurs.</x:v>
      </x:c>
      <x:c r="G19" s="9" t="str">
        <x:v>Course de contact et encerclement ; grappin contestable par allié et indicateur de pression plutôt que spam de touche.</x:v>
      </x:c>
      <x:c r="H19" s="9" t="str">
        <x:v>Course de contact et encerclement ; grappin contestable par allié et indicateur de pression plutôt que spam de touche.</x:v>
      </x:c>
      <x:c r="I19" s="9" t="str">
        <x:v>Silhouette humanoïde et implants bleus.</x:v>
      </x:c>
      <x:c r="J19" s="9" t="str">
        <x:v>Séparer anticipation et impact : Course de contact et encerclement ; grappin contestable par allié et indicateur de pression plutôt que spam de touche.</x:v>
      </x:c>
      <x:c r="K19" s="9" t="str">
        <x:v>Créer un signal de préparation propre à cette famille, un départ d’action et un impact ; afficher un équivalent visuel du signal hors champ.</x:v>
      </x:c>
      <x:c r="L19" s="9" t="str">
        <x:v>Prévu : fiche de données me3/enemies/husk ; rattacher les ressources et états cités à cet identifiant. Aucun fichier de jeu créé par ce catalogue.</x:v>
      </x:c>
      <x:c r="M19" s="9" t="str">
        <x:v>Campagne et simulation.</x:v>
      </x:c>
      <x:c r="N19" s="9" t="str">
        <x:v>Husk : la menace décrite est annoncée avant résolution ; tester une esquive, une interruption admise et une résistance refusée avec message explicite.</x:v>
      </x:c>
      <x:c r="O19" s="9" t="str"/>
      <x:c r="P19" s="9" t="str">
        <x:v>Husk</x:v>
      </x:c>
      <x:c r="Q19" s="9" t="str">
        <x:v>ME3-SRC-MARAUDER</x:v>
      </x:c>
      <x:c r="R19" s="20" t="str">
        <x:v>https://masseffect.fandom.com/wiki/Marauder</x:v>
      </x:c>
      <x:c r="S19" s="20" t="str">
        <x:v>Spécification à réaliser. Les champs adaptation, gameplay, visual, animation, audio et implementation décrivent le fan game ; ils ne donnent pas des caractéristiques officielles de l’œuvre.</x:v>
      </x:c>
    </x:row>
    <x:row r="20" ht="68" customHeight="1">
      <x:c r="A20" s="19" t="str">
        <x:v>ME3-ENM-CANNIBAL</x:v>
      </x:c>
      <x:c r="B20" s="7" t="str">
        <x:v>Cannibal</x:v>
      </x:c>
      <x:c r="C20" s="15" t="str">
        <x:v>Défini</x:v>
      </x:c>
      <x:c r="D20" s="17" t="str">
        <x:v>Établi</x:v>
      </x:c>
      <x:c r="E20" s="17" t="str">
        <x:v>P1</x:v>
      </x:c>
      <x:c r="F20" s="7" t="str">
        <x:v>Infanterie des Moissonneurs.</x:v>
      </x:c>
      <x:c r="G20" s="7" t="str">
        <x:v>Tir, grenade et consommation de cadavre ; annoncer le gain de protection, neutraliser le cadavre comme interaction facultative.</x:v>
      </x:c>
      <x:c r="H20" s="7" t="str">
        <x:v>Tir, grenade et consommation de cadavre ; annoncer le gain de protection, neutraliser le cadavre comme interaction facultative.</x:v>
      </x:c>
      <x:c r="I20" s="7" t="str">
        <x:v>Corps massif et arme greffée.</x:v>
      </x:c>
      <x:c r="J20" s="7" t="str">
        <x:v>Séparer anticipation et impact : Tir, grenade et consommation de cadavre ; annoncer le gain de protection, neutraliser le cadavre comme interaction facultative.</x:v>
      </x:c>
      <x:c r="K20" s="7" t="str">
        <x:v>Créer un signal de préparation propre à cette famille, un départ d’action et un impact ; afficher un équivalent visuel du signal hors champ.</x:v>
      </x:c>
      <x:c r="L20" s="7" t="str">
        <x:v>Prévu : fiche de données me3/enemies/cannibal ; rattacher les ressources et états cités à cet identifiant. Aucun fichier de jeu créé par ce catalogue.</x:v>
      </x:c>
      <x:c r="M20" s="7" t="str">
        <x:v>Campagne et simulation.</x:v>
      </x:c>
      <x:c r="N20" s="7" t="str">
        <x:v>Cannibal : la menace décrite est annoncée avant résolution ; tester une esquive, une interruption admise et une résistance refusée avec message explicite.</x:v>
      </x:c>
      <x:c r="O20" s="7" t="str"/>
      <x:c r="P20" s="7" t="str">
        <x:v>Cannibal</x:v>
      </x:c>
      <x:c r="Q20" s="7" t="str">
        <x:v>ME3-SRC-MARAUDER</x:v>
      </x:c>
      <x:c r="R20" s="21" t="str">
        <x:v>https://masseffect.fandom.com/wiki/Marauder</x:v>
      </x:c>
      <x:c r="S20" s="21" t="str">
        <x:v>Spécification à réaliser. Les champs adaptation, gameplay, visual, animation, audio et implementation décrivent le fan game ; ils ne donnent pas des caractéristiques officielles de l’œuvre.</x:v>
      </x:c>
    </x:row>
    <x:row r="21" ht="68" customHeight="1">
      <x:c r="A21" s="18" t="str">
        <x:v>ME3-ENM-MARAUDER</x:v>
      </x:c>
      <x:c r="B21" s="9" t="str">
        <x:v>Marauder</x:v>
      </x:c>
      <x:c r="C21" s="15" t="str">
        <x:v>Défini</x:v>
      </x:c>
      <x:c r="D21" s="16" t="str">
        <x:v>Établi</x:v>
      </x:c>
      <x:c r="E21" s="16" t="str">
        <x:v>P1</x:v>
      </x:c>
      <x:c r="F21" s="9" t="str">
        <x:v>Unité de soutien des Moissonneurs.</x:v>
      </x:c>
      <x:c r="G21" s="9" t="str">
        <x:v>Renforce les voisins compatibles et tire en couverture ; aura de soutien relie visuellement les bénéficiaires.</x:v>
      </x:c>
      <x:c r="H21" s="9" t="str">
        <x:v>Renforce les voisins compatibles et tire en couverture ; aura de soutien relie visuellement les bénéficiaires.</x:v>
      </x:c>
      <x:c r="I21" s="9" t="str">
        <x:v>Traits turiens et carapace synthétique.</x:v>
      </x:c>
      <x:c r="J21" s="9" t="str">
        <x:v>Séparer anticipation et impact : Renforce les voisins compatibles et tire en couverture ; aura de soutien relie visuellement les bénéficiaires.</x:v>
      </x:c>
      <x:c r="K21" s="9" t="str">
        <x:v>Créer un signal de préparation propre à cette famille, un départ d’action et un impact ; afficher un équivalent visuel du signal hors champ.</x:v>
      </x:c>
      <x:c r="L21" s="9" t="str">
        <x:v>Prévu : fiche de données me3/enemies/marauder ; rattacher les ressources et états cités à cet identifiant. Aucun fichier de jeu créé par ce catalogue.</x:v>
      </x:c>
      <x:c r="M21" s="9" t="str">
        <x:v>Campagne et simulation.</x:v>
      </x:c>
      <x:c r="N21" s="9" t="str">
        <x:v>Marauder : la menace décrite est annoncée avant résolution ; tester une esquive, une interruption admise et une résistance refusée avec message explicite.</x:v>
      </x:c>
      <x:c r="O21" s="9" t="str"/>
      <x:c r="P21" s="9" t="str">
        <x:v>Marauder</x:v>
      </x:c>
      <x:c r="Q21" s="9" t="str">
        <x:v>ME3-SRC-MARAUDER</x:v>
      </x:c>
      <x:c r="R21" s="20" t="str">
        <x:v>https://masseffect.fandom.com/wiki/Marauder</x:v>
      </x:c>
      <x:c r="S21" s="20" t="str">
        <x:v>Spécification à réaliser. Les champs adaptation, gameplay, visual, animation, audio et implementation décrivent le fan game ; ils ne donnent pas des caractéristiques officielles de l’œuvre.</x:v>
      </x:c>
    </x:row>
    <x:row r="22" ht="68" customHeight="1">
      <x:c r="A22" s="19" t="str">
        <x:v>ME3-ENM-BRUTE</x:v>
      </x:c>
      <x:c r="B22" s="7" t="str">
        <x:v>Brute</x:v>
      </x:c>
      <x:c r="C22" s="15" t="str">
        <x:v>Défini</x:v>
      </x:c>
      <x:c r="D22" s="17" t="str">
        <x:v>Établi</x:v>
      </x:c>
      <x:c r="E22" s="17" t="str">
        <x:v>P1</x:v>
      </x:c>
      <x:c r="F22" s="7" t="str">
        <x:v>Unité lourde des Moissonneurs.</x:v>
      </x:c>
      <x:c r="G22" s="7" t="str">
        <x:v>Charge en couloir puis balayage ; zone d’impact au sol et fenêtre latérale après collision.</x:v>
      </x:c>
      <x:c r="H22" s="7" t="str">
        <x:v>Charge en couloir puis balayage ; zone d’impact au sol et fenêtre latérale après collision.</x:v>
      </x:c>
      <x:c r="I22" s="7" t="str">
        <x:v>Grand corps cuirassé et bras massif.</x:v>
      </x:c>
      <x:c r="J22" s="7" t="str">
        <x:v>Séparer anticipation et impact : Charge en couloir puis balayage ; zone d’impact au sol et fenêtre latérale après collision.</x:v>
      </x:c>
      <x:c r="K22" s="7" t="str">
        <x:v>Créer un signal de préparation propre à cette famille, un départ d’action et un impact ; afficher un équivalent visuel du signal hors champ.</x:v>
      </x:c>
      <x:c r="L22" s="7" t="str">
        <x:v>Prévu : fiche de données me3/enemies/brute ; rattacher les ressources et états cités à cet identifiant. Aucun fichier de jeu créé par ce catalogue.</x:v>
      </x:c>
      <x:c r="M22" s="7" t="str">
        <x:v>Campagne et simulation.</x:v>
      </x:c>
      <x:c r="N22" s="7" t="str">
        <x:v>Brute : la menace décrite est annoncée avant résolution ; tester une esquive, une interruption admise et une résistance refusée avec message explicite.</x:v>
      </x:c>
      <x:c r="O22" s="7" t="str"/>
      <x:c r="P22" s="7" t="str">
        <x:v>Brute</x:v>
      </x:c>
      <x:c r="Q22" s="7" t="str">
        <x:v>ME3-SRC-MARAUDER</x:v>
      </x:c>
      <x:c r="R22" s="21" t="str">
        <x:v>https://masseffect.fandom.com/wiki/Marauder</x:v>
      </x:c>
      <x:c r="S22" s="21" t="str">
        <x:v>Spécification à réaliser. Les champs adaptation, gameplay, visual, animation, audio et implementation décrivent le fan game ; ils ne donnent pas des caractéristiques officielles de l’œuvre.</x:v>
      </x:c>
    </x:row>
    <x:row r="23" ht="68" customHeight="1">
      <x:c r="A23" s="18" t="str">
        <x:v>ME3-ENM-RAVAGER</x:v>
      </x:c>
      <x:c r="B23" s="9" t="str">
        <x:v>Ravager</x:v>
      </x:c>
      <x:c r="C23" s="15" t="str">
        <x:v>Défini</x:v>
      </x:c>
      <x:c r="D23" s="16" t="str">
        <x:v>Établi</x:v>
      </x:c>
      <x:c r="E23" s="16" t="str">
        <x:v>P1</x:v>
      </x:c>
      <x:c r="F23" s="9" t="str">
        <x:v>Artillerie des Moissonneurs.</x:v>
      </x:c>
      <x:c r="G23" s="9" t="str">
        <x:v>Salves à zone ciblée et sacs fragiles ; rupture des sacs libère des Swarmers à places réservées.</x:v>
      </x:c>
      <x:c r="H23" s="9" t="str">
        <x:v>Salves à zone ciblée et sacs fragiles ; rupture des sacs libère des Swarmers à places réservées.</x:v>
      </x:c>
      <x:c r="I23" s="9" t="str">
        <x:v>Pattes, canons dorsaux et poches lumineuses.</x:v>
      </x:c>
      <x:c r="J23" s="9" t="str">
        <x:v>Séparer anticipation et impact : Salves à zone ciblée et sacs fragiles ; rupture des sacs libère des Swarmers à places réservées.</x:v>
      </x:c>
      <x:c r="K23" s="9" t="str">
        <x:v>Créer un signal de préparation propre à cette famille, un départ d’action et un impact ; afficher un équivalent visuel du signal hors champ.</x:v>
      </x:c>
      <x:c r="L23" s="9" t="str">
        <x:v>Prévu : fiche de données me3/enemies/ravager ; rattacher les ressources et états cités à cet identifiant. Aucun fichier de jeu créé par ce catalogue.</x:v>
      </x:c>
      <x:c r="M23" s="9" t="str">
        <x:v>Campagne et simulation.</x:v>
      </x:c>
      <x:c r="N23" s="9" t="str">
        <x:v>Ravager : la menace décrite est annoncée avant résolution ; tester une esquive, une interruption admise et une résistance refusée avec message explicite.</x:v>
      </x:c>
      <x:c r="O23" s="9" t="str"/>
      <x:c r="P23" s="9" t="str">
        <x:v>Ravager</x:v>
      </x:c>
      <x:c r="Q23" s="9" t="str">
        <x:v>ME3-SRC-RAVAGER</x:v>
      </x:c>
      <x:c r="R23" s="20" t="str">
        <x:v>https://masseffect.fandom.com/wiki/Ravager</x:v>
      </x:c>
      <x:c r="S23" s="20" t="str">
        <x:v>Spécification à réaliser. Les champs adaptation, gameplay, visual, animation, audio et implementation décrivent le fan game ; ils ne donnent pas des caractéristiques officielles de l’œuvre.</x:v>
      </x:c>
    </x:row>
    <x:row r="24" ht="68" customHeight="1">
      <x:c r="A24" s="19" t="str">
        <x:v>ME3-ENM-SWARMER</x:v>
      </x:c>
      <x:c r="B24" s="7" t="str">
        <x:v>Swarmer</x:v>
      </x:c>
      <x:c r="C24" s="15" t="str">
        <x:v>Défini</x:v>
      </x:c>
      <x:c r="D24" s="17" t="str">
        <x:v>Établi</x:v>
      </x:c>
      <x:c r="E24" s="17" t="str">
        <x:v>P1</x:v>
      </x:c>
      <x:c r="F24" s="7" t="str">
        <x:v>Petite unité associée aux Ravagers.</x:v>
      </x:c>
      <x:c r="G24" s="7" t="str">
        <x:v>Approche rapide par groupes limités ; indicateur collectif de danger et sélection par grappe pour ne pas viser des pixels.</x:v>
      </x:c>
      <x:c r="H24" s="7" t="str">
        <x:v>Approche rapide par groupes limités ; indicateur collectif de danger et sélection par grappe pour ne pas viser des pixels.</x:v>
      </x:c>
      <x:c r="I24" s="7" t="str">
        <x:v>Petites formes organiques au sol.</x:v>
      </x:c>
      <x:c r="J24" s="7" t="str">
        <x:v>Séparer anticipation et impact : Approche rapide par groupes limités ; indicateur collectif de danger et sélection par grappe pour ne pas viser des pixels.</x:v>
      </x:c>
      <x:c r="K24" s="7" t="str">
        <x:v>Créer un signal de préparation propre à cette famille, un départ d’action et un impact ; afficher un équivalent visuel du signal hors champ.</x:v>
      </x:c>
      <x:c r="L24" s="7" t="str">
        <x:v>Prévu : fiche de données me3/enemies/swarmer ; rattacher les ressources et états cités à cet identifiant. Aucun fichier de jeu créé par ce catalogue.</x:v>
      </x:c>
      <x:c r="M24" s="7" t="str">
        <x:v>Campagne et simulation.</x:v>
      </x:c>
      <x:c r="N24" s="7" t="str">
        <x:v>Swarmer : la menace décrite est annoncée avant résolution ; tester une esquive, une interruption admise et une résistance refusée avec message explicite.</x:v>
      </x:c>
      <x:c r="O24" s="7" t="str"/>
      <x:c r="P24" s="7" t="str">
        <x:v>Swarmer</x:v>
      </x:c>
      <x:c r="Q24" s="7" t="str">
        <x:v>ME3-SRC-RAVAGER</x:v>
      </x:c>
      <x:c r="R24" s="21" t="str">
        <x:v>https://masseffect.fandom.com/wiki/Ravager</x:v>
      </x:c>
      <x:c r="S24" s="21" t="str">
        <x:v>Spécification à réaliser. Les champs adaptation, gameplay, visual, animation, audio et implementation décrivent le fan game ; ils ne donnent pas des caractéristiques officielles de l’œuvre.</x:v>
      </x:c>
    </x:row>
    <x:row r="25" ht="68" customHeight="1">
      <x:c r="A25" s="18" t="str">
        <x:v>ME3-ENM-BANSHEE</x:v>
      </x:c>
      <x:c r="B25" s="9" t="str">
        <x:v>Banshee</x:v>
      </x:c>
      <x:c r="C25" s="15" t="str">
        <x:v>Défini</x:v>
      </x:c>
      <x:c r="D25" s="16" t="str">
        <x:v>Établi</x:v>
      </x:c>
      <x:c r="E25" s="16" t="str">
        <x:v>P1</x:v>
      </x:c>
      <x:c r="F25" s="9" t="str">
        <x:v>Unité biotique des Moissonneurs.</x:v>
      </x:c>
      <x:c r="G25" s="9" t="str">
        <x:v>Téléportations préparées, projectile et saisie ; halo de portée et signal sonore distinct avant menace de contact.</x:v>
      </x:c>
      <x:c r="H25" s="9" t="str">
        <x:v>Téléportations préparées, projectile et saisie ; halo de portée et signal sonore distinct avant menace de contact.</x:v>
      </x:c>
      <x:c r="I25" s="9" t="str">
        <x:v>Silhouette asari allongée et aura biotique.</x:v>
      </x:c>
      <x:c r="J25" s="9" t="str">
        <x:v>Séparer anticipation et impact : Téléportations préparées, projectile et saisie ; halo de portée et signal sonore distinct avant menace de contact.</x:v>
      </x:c>
      <x:c r="K25" s="9" t="str">
        <x:v>Créer un signal de préparation propre à cette famille, un départ d’action et un impact ; afficher un équivalent visuel du signal hors champ.</x:v>
      </x:c>
      <x:c r="L25" s="9" t="str">
        <x:v>Prévu : fiche de données me3/enemies/banshee ; rattacher les ressources et états cités à cet identifiant. Aucun fichier de jeu créé par ce catalogue.</x:v>
      </x:c>
      <x:c r="M25" s="9" t="str">
        <x:v>Campagne et simulation.</x:v>
      </x:c>
      <x:c r="N25" s="9" t="str">
        <x:v>Banshee : la menace décrite est annoncée avant résolution ; tester une esquive, une interruption admise et une résistance refusée avec message explicite.</x:v>
      </x:c>
      <x:c r="O25" s="9" t="str"/>
      <x:c r="P25" s="9" t="str">
        <x:v>Banshee</x:v>
      </x:c>
      <x:c r="Q25" s="9" t="str">
        <x:v>ME3-SRC-MARAUDER</x:v>
      </x:c>
      <x:c r="R25" s="20" t="str">
        <x:v>https://masseffect.fandom.com/wiki/Marauder</x:v>
      </x:c>
      <x:c r="S25" s="20" t="str">
        <x:v>Spécification à réaliser. Les champs adaptation, gameplay, visual, animation, audio et implementation décrivent le fan game ; ils ne donnent pas des caractéristiques officielles de l’œuvre.</x:v>
      </x:c>
    </x:row>
    <x:row r="26" ht="68" customHeight="1">
      <x:c r="A26" s="19" t="str">
        <x:v>ME3-ENM-HARVESTER</x:v>
      </x:c>
      <x:c r="B26" s="7" t="str">
        <x:v>Harvester</x:v>
      </x:c>
      <x:c r="C26" s="15" t="str">
        <x:v>Défini</x:v>
      </x:c>
      <x:c r="D26" s="17" t="str">
        <x:v>Établi</x:v>
      </x:c>
      <x:c r="E26" s="17" t="str">
        <x:v>P1</x:v>
      </x:c>
      <x:c r="F26" s="7" t="str">
        <x:v>Grande créature volante.</x:v>
      </x:c>
      <x:c r="G26" s="7" t="str">
        <x:v>Passage de bombardement puis exposition au tir ; altitude visuelle séparée du point ciblable projeté au sol.</x:v>
      </x:c>
      <x:c r="H26" s="7" t="str">
        <x:v>Passage de bombardement puis exposition au tir ; altitude visuelle séparée du point ciblable projeté au sol.</x:v>
      </x:c>
      <x:c r="I26" s="7" t="str">
        <x:v>Ailes massives et carapace sombre.</x:v>
      </x:c>
      <x:c r="J26" s="7" t="str">
        <x:v>Séparer anticipation et impact : Passage de bombardement puis exposition au tir ; altitude visuelle séparée du point ciblable projeté au sol.</x:v>
      </x:c>
      <x:c r="K26" s="7" t="str">
        <x:v>Créer un signal de préparation propre à cette famille, un départ d’action et un impact ; afficher un équivalent visuel du signal hors champ.</x:v>
      </x:c>
      <x:c r="L26" s="7" t="str">
        <x:v>Prévu : fiche de données me3/enemies/harvester ; rattacher les ressources et états cités à cet identifiant. Aucun fichier de jeu créé par ce catalogue.</x:v>
      </x:c>
      <x:c r="M26" s="7" t="str">
        <x:v>Rencontres terrestres prévues.</x:v>
      </x:c>
      <x:c r="N26" s="7" t="str">
        <x:v>Harvester : la menace décrite est annoncée avant résolution ; tester une esquive, une interruption admise et une résistance refusée avec message explicite.</x:v>
      </x:c>
      <x:c r="O26" s="7" t="str"/>
      <x:c r="P26" s="7" t="str">
        <x:v>Harvester</x:v>
      </x:c>
      <x:c r="Q26" s="7" t="str">
        <x:v>ME3-SRC-HARVESTER</x:v>
      </x:c>
      <x:c r="R26" s="21" t="str">
        <x:v>https://masseffect.fandom.com/wiki/Harvester_%28enemy%29</x:v>
      </x:c>
      <x:c r="S26" s="21" t="str">
        <x:v>Spécification à réaliser. Les champs adaptation, gameplay, visual, animation, audio et implementation décrivent le fan game ; ils ne donnent pas des caractéristiques officielles de l’œuvre.</x:v>
      </x:c>
    </x:row>
    <x:row r="27" ht="68" customHeight="1">
      <x:c r="A27" s="18" t="str">
        <x:v>ME3-ENM-REAPER-RANNOCH</x:v>
      </x:c>
      <x:c r="B27" s="9" t="str">
        <x:v>Moissonneur de Rannoch</x:v>
      </x:c>
      <x:c r="C27" s="15" t="str">
        <x:v>Défini</x:v>
      </x:c>
      <x:c r="D27" s="16" t="str">
        <x:v>Établi</x:v>
      </x:c>
      <x:c r="E27" s="16" t="str">
        <x:v>P1</x:v>
      </x:c>
      <x:c r="F27" s="9" t="str">
        <x:v>Boss de la conclusion Rannoch.</x:v>
      </x:c>
      <x:c r="G27" s="9" t="str">
        <x:v>Alternance acquisition laser et déplacement latéral ; assistances de maintien de visée et de rythme proposées.</x:v>
      </x:c>
      <x:c r="H27" s="9" t="str">
        <x:v>Alternance acquisition laser et déplacement latéral ; assistances de maintien de visée et de rythme proposées.</x:v>
      </x:c>
      <x:c r="I27" s="9" t="str">
        <x:v>Œil lumineux et rayon lourd.</x:v>
      </x:c>
      <x:c r="J27" s="9" t="str">
        <x:v>Séparer anticipation et impact : Alternance acquisition laser et déplacement latéral ; assistances de maintien de visée et de rythme proposées.</x:v>
      </x:c>
      <x:c r="K27" s="9" t="str">
        <x:v>Créer un signal de préparation propre à cette famille, un départ d’action et un impact ; afficher un équivalent visuel du signal hors champ.</x:v>
      </x:c>
      <x:c r="L27" s="9" t="str">
        <x:v>Prévu : fiche de données me3/enemies/reaper-rannoch ; rattacher les ressources et états cités à cet identifiant. Aucun fichier de jeu créé par ce catalogue.</x:v>
      </x:c>
      <x:c r="M27" s="9" t="str">
        <x:v>Rannoch uniquement.</x:v>
      </x:c>
      <x:c r="N27" s="9" t="str">
        <x:v>Moissonneur de Rannoch : la menace décrite est annoncée avant résolution ; tester une esquive, une interruption admise et une résistance refusée avec message explicite.</x:v>
      </x:c>
      <x:c r="O27" s="9" t="str"/>
      <x:c r="P27" s="9" t="str">
        <x:v>Moissonneur de Rannoch</x:v>
      </x:c>
      <x:c r="Q27" s="9" t="str">
        <x:v>ME3-SRC-RANNOCH</x:v>
      </x:c>
      <x:c r="R27" s="20" t="str">
        <x:v>https://masseffect.fandom.com/wiki/Priority%3A_Rannoch</x:v>
      </x:c>
      <x:c r="S27" s="20" t="str">
        <x:v>Spécification à réaliser. Les champs adaptation, gameplay, visual, animation, audio et implementation décrivent le fan game ; ils ne donnent pas des caractéristiques officielles de l’œuvre.</x:v>
      </x:c>
    </x:row>
    <x:row r="28" ht="68" customHeight="1">
      <x:c r="A28" s="19" t="str">
        <x:v>ME3-ENM-GETH-TROOPER</x:v>
      </x:c>
      <x:c r="B28" s="7" t="str">
        <x:v>Geth Trooper</x:v>
      </x:c>
      <x:c r="C28" s="15" t="str">
        <x:v>Défini</x:v>
      </x:c>
      <x:c r="D28" s="17" t="str">
        <x:v>Établi</x:v>
      </x:c>
      <x:c r="E28" s="17" t="str">
        <x:v>P1</x:v>
      </x:c>
      <x:c r="F28" s="7" t="str">
        <x:v>Infanterie geth.</x:v>
      </x:c>
      <x:c r="G28" s="7" t="str">
        <x:v>Tir soutenu et déplacement coordonné ; signal réseau lors du changement de cible pour lire le groupe.</x:v>
      </x:c>
      <x:c r="H28" s="7" t="str">
        <x:v>Tir soutenu et déplacement coordonné ; signal réseau lors du changement de cible pour lire le groupe.</x:v>
      </x:c>
      <x:c r="I28" s="7" t="str">
        <x:v>Plateforme synthétique et lampe centrale.</x:v>
      </x:c>
      <x:c r="J28" s="7" t="str">
        <x:v>Séparer anticipation et impact : Tir soutenu et déplacement coordonné ; signal réseau lors du changement de cible pour lire le groupe.</x:v>
      </x:c>
      <x:c r="K28" s="7" t="str">
        <x:v>Créer un signal de préparation propre à cette famille, un départ d’action et un impact ; afficher un équivalent visuel du signal hors champ.</x:v>
      </x:c>
      <x:c r="L28" s="7" t="str">
        <x:v>Prévu : fiche de données me3/enemies/geth-trooper ; rattacher les ressources et états cités à cet identifiant. Aucun fichier de jeu créé par ce catalogue.</x:v>
      </x:c>
      <x:c r="M28" s="7" t="str">
        <x:v>Arc geth, Armax ou multijoueur selon rencontre.</x:v>
      </x:c>
      <x:c r="N28" s="7" t="str">
        <x:v>Geth Trooper : la menace décrite est annoncée avant résolution ; tester une esquive, une interruption admise et une résistance refusée avec message explicite.</x:v>
      </x:c>
      <x:c r="O28" s="7" t="str"/>
      <x:c r="P28" s="7" t="str">
        <x:v>Geth Trooper</x:v>
      </x:c>
      <x:c r="Q28" s="7" t="str">
        <x:v>ME3-SRC-MARAUDER</x:v>
      </x:c>
      <x:c r="R28" s="21" t="str">
        <x:v>https://masseffect.fandom.com/wiki/Marauder</x:v>
      </x:c>
      <x:c r="S28" s="21" t="str">
        <x:v>Spécification à réaliser. Les champs adaptation, gameplay, visual, animation, audio et implementation décrivent le fan game ; ils ne donnent pas des caractéristiques officielles de l’œuvre.</x:v>
      </x:c>
    </x:row>
    <x:row r="29" ht="68" customHeight="1">
      <x:c r="A29" s="18" t="str">
        <x:v>ME3-ENM-GETH-ROCKET</x:v>
      </x:c>
      <x:c r="B29" s="9" t="str">
        <x:v>Geth Rocket Trooper</x:v>
      </x:c>
      <x:c r="C29" s="15" t="str">
        <x:v>Défini</x:v>
      </x:c>
      <x:c r="D29" s="16" t="str">
        <x:v>Établi</x:v>
      </x:c>
      <x:c r="E29" s="16" t="str">
        <x:v>P1</x:v>
      </x:c>
      <x:c r="F29" s="9" t="str">
        <x:v>Unité geth à roquettes.</x:v>
      </x:c>
      <x:c r="G29" s="9" t="str">
        <x:v>Charge d’un tir explosif puis récupération ; trajectoire et rayon d’explosion annoncés.</x:v>
      </x:c>
      <x:c r="H29" s="9" t="str">
        <x:v>Charge d’un tir explosif puis récupération ; trajectoire et rayon d’explosion annoncés.</x:v>
      </x:c>
      <x:c r="I29" s="9" t="str">
        <x:v>Lanceur d’épaule et optique.</x:v>
      </x:c>
      <x:c r="J29" s="9" t="str">
        <x:v>Séparer anticipation et impact : Charge d’un tir explosif puis récupération ; trajectoire et rayon d’explosion annoncés.</x:v>
      </x:c>
      <x:c r="K29" s="9" t="str">
        <x:v>Créer un signal de préparation propre à cette famille, un départ d’action et un impact ; afficher un équivalent visuel du signal hors champ.</x:v>
      </x:c>
      <x:c r="L29" s="9" t="str">
        <x:v>Prévu : fiche de données me3/enemies/geth-rocket ; rattacher les ressources et états cités à cet identifiant. Aucun fichier de jeu créé par ce catalogue.</x:v>
      </x:c>
      <x:c r="M29" s="9" t="str">
        <x:v>Arc geth, Armax ou multijoueur selon rencontre.</x:v>
      </x:c>
      <x:c r="N29" s="9" t="str">
        <x:v>Geth Rocket Trooper : la menace décrite est annoncée avant résolution ; tester une esquive, une interruption admise et une résistance refusée avec message explicite.</x:v>
      </x:c>
      <x:c r="O29" s="9" t="str"/>
      <x:c r="P29" s="9" t="str">
        <x:v>Geth Rocket Trooper</x:v>
      </x:c>
      <x:c r="Q29" s="9" t="str">
        <x:v>ME3-SRC-MARAUDER</x:v>
      </x:c>
      <x:c r="R29" s="20" t="str">
        <x:v>https://masseffect.fandom.com/wiki/Marauder</x:v>
      </x:c>
      <x:c r="S29" s="20" t="str">
        <x:v>Spécification à réaliser. Les champs adaptation, gameplay, visual, animation, audio et implementation décrivent le fan game ; ils ne donnent pas des caractéristiques officielles de l’œuvre.</x:v>
      </x:c>
    </x:row>
    <x:row r="30" ht="68" customHeight="1">
      <x:c r="A30" s="19" t="str">
        <x:v>ME3-ENM-GETH-HUNTER</x:v>
      </x:c>
      <x:c r="B30" s="7" t="str">
        <x:v>Geth Hunter</x:v>
      </x:c>
      <x:c r="C30" s="15" t="str">
        <x:v>Défini</x:v>
      </x:c>
      <x:c r="D30" s="17" t="str">
        <x:v>Établi</x:v>
      </x:c>
      <x:c r="E30" s="17" t="str">
        <x:v>P1</x:v>
      </x:c>
      <x:c r="F30" s="7" t="str">
        <x:v>Unité geth camouflée.</x:v>
      </x:c>
      <x:c r="G30" s="7" t="str">
        <x:v>Approche furtive et tir proche ; perturbation visible au sol et bruit directionnel accessibles sans vision parfaite.</x:v>
      </x:c>
      <x:c r="H30" s="7" t="str">
        <x:v>Approche furtive et tir proche ; perturbation visible au sol et bruit directionnel accessibles sans vision parfaite.</x:v>
      </x:c>
      <x:c r="I30" s="7" t="str">
        <x:v>Réfraction, lampe et fusil court.</x:v>
      </x:c>
      <x:c r="J30" s="7" t="str">
        <x:v>Séparer anticipation et impact : Approche furtive et tir proche ; perturbation visible au sol et bruit directionnel accessibles sans vision parfaite.</x:v>
      </x:c>
      <x:c r="K30" s="7" t="str">
        <x:v>Créer un signal de préparation propre à cette famille, un départ d’action et un impact ; afficher un équivalent visuel du signal hors champ.</x:v>
      </x:c>
      <x:c r="L30" s="7" t="str">
        <x:v>Prévu : fiche de données me3/enemies/geth-hunter ; rattacher les ressources et états cités à cet identifiant. Aucun fichier de jeu créé par ce catalogue.</x:v>
      </x:c>
      <x:c r="M30" s="7" t="str">
        <x:v>Arc geth, Armax ou multijoueur selon rencontre.</x:v>
      </x:c>
      <x:c r="N30" s="7" t="str">
        <x:v>Geth Hunter : la menace décrite est annoncée avant résolution ; tester une esquive, une interruption admise et une résistance refusée avec message explicite.</x:v>
      </x:c>
      <x:c r="O30" s="7" t="str"/>
      <x:c r="P30" s="7" t="str">
        <x:v>Geth Hunter</x:v>
      </x:c>
      <x:c r="Q30" s="7" t="str">
        <x:v>ME3-SRC-MARAUDER</x:v>
      </x:c>
      <x:c r="R30" s="21" t="str">
        <x:v>https://masseffect.fandom.com/wiki/Marauder</x:v>
      </x:c>
      <x:c r="S30" s="21" t="str">
        <x:v>Spécification à réaliser. Les champs adaptation, gameplay, visual, animation, audio et implementation décrivent le fan game ; ils ne donnent pas des caractéristiques officielles de l’œuvre.</x:v>
      </x:c>
    </x:row>
    <x:row r="31" ht="68" customHeight="1">
      <x:c r="A31" s="18" t="str">
        <x:v>ME3-ENM-GETH-PYRO</x:v>
      </x:c>
      <x:c r="B31" s="9" t="str">
        <x:v>Geth Pyro</x:v>
      </x:c>
      <x:c r="C31" s="15" t="str">
        <x:v>Défini</x:v>
      </x:c>
      <x:c r="D31" s="16" t="str">
        <x:v>Établi</x:v>
      </x:c>
      <x:c r="E31" s="16" t="str">
        <x:v>P1</x:v>
      </x:c>
      <x:c r="F31" s="9" t="str">
        <x:v>Unité geth incendiaire.</x:v>
      </x:c>
      <x:c r="G31" s="9" t="str">
        <x:v>Cône de feu court, rotation lente proposée ; flanquement et rupture de jet ouvrent une fenêtre de secours.</x:v>
      </x:c>
      <x:c r="H31" s="9" t="str">
        <x:v>Cône de feu court, rotation lente proposée ; flanquement et rupture de jet ouvrent une fenêtre de secours.</x:v>
      </x:c>
      <x:c r="I31" s="9" t="str">
        <x:v>Réservoirs et tuyau de flamme.</x:v>
      </x:c>
      <x:c r="J31" s="9" t="str">
        <x:v>Séparer anticipation et impact : Cône de feu court, rotation lente proposée ; flanquement et rupture de jet ouvrent une fenêtre de secours.</x:v>
      </x:c>
      <x:c r="K31" s="9" t="str">
        <x:v>Créer un signal de préparation propre à cette famille, un départ d’action et un impact ; afficher un équivalent visuel du signal hors champ.</x:v>
      </x:c>
      <x:c r="L31" s="9" t="str">
        <x:v>Prévu : fiche de données me3/enemies/geth-pyro ; rattacher les ressources et états cités à cet identifiant. Aucun fichier de jeu créé par ce catalogue.</x:v>
      </x:c>
      <x:c r="M31" s="9" t="str">
        <x:v>Arc geth, Armax ou multijoueur selon rencontre.</x:v>
      </x:c>
      <x:c r="N31" s="9" t="str">
        <x:v>Geth Pyro : la menace décrite est annoncée avant résolution ; tester une esquive, une interruption admise et une résistance refusée avec message explicite.</x:v>
      </x:c>
      <x:c r="O31" s="9" t="str"/>
      <x:c r="P31" s="9" t="str">
        <x:v>Geth Pyro</x:v>
      </x:c>
      <x:c r="Q31" s="9" t="str">
        <x:v>ME3-SRC-MARAUDER</x:v>
      </x:c>
      <x:c r="R31" s="20" t="str">
        <x:v>https://masseffect.fandom.com/wiki/Marauder</x:v>
      </x:c>
      <x:c r="S31" s="20" t="str">
        <x:v>Spécification à réaliser. Les champs adaptation, gameplay, visual, animation, audio et implementation décrivent le fan game ; ils ne donnent pas des caractéristiques officielles de l’œuvre.</x:v>
      </x:c>
    </x:row>
    <x:row r="32" ht="68" customHeight="1">
      <x:c r="A32" s="19" t="str">
        <x:v>ME3-ENM-GETH-PRIME</x:v>
      </x:c>
      <x:c r="B32" s="7" t="str">
        <x:v>Geth Prime</x:v>
      </x:c>
      <x:c r="C32" s="15" t="str">
        <x:v>Défini</x:v>
      </x:c>
      <x:c r="D32" s="17" t="str">
        <x:v>Établi</x:v>
      </x:c>
      <x:c r="E32" s="17" t="str">
        <x:v>P1</x:v>
      </x:c>
      <x:c r="F32" s="7" t="str">
        <x:v>Plateforme geth lourde.</x:v>
      </x:c>
      <x:c r="G32" s="7" t="str">
        <x:v>Tir lourd et soutien de machines ; limites de créations actives pour conserver une arène lisible.</x:v>
      </x:c>
      <x:c r="H32" s="7" t="str">
        <x:v>Tir lourd et soutien de machines ; limites de créations actives pour conserver une arène lisible.</x:v>
      </x:c>
      <x:c r="I32" s="7" t="str">
        <x:v>Châssis imposant et optique rouge.</x:v>
      </x:c>
      <x:c r="J32" s="7" t="str">
        <x:v>Séparer anticipation et impact : Tir lourd et soutien de machines ; limites de créations actives pour conserver une arène lisible.</x:v>
      </x:c>
      <x:c r="K32" s="7" t="str">
        <x:v>Créer un signal de préparation propre à cette famille, un départ d’action et un impact ; afficher un équivalent visuel du signal hors champ.</x:v>
      </x:c>
      <x:c r="L32" s="7" t="str">
        <x:v>Prévu : fiche de données me3/enemies/geth-prime ; rattacher les ressources et états cités à cet identifiant. Aucun fichier de jeu créé par ce catalogue.</x:v>
      </x:c>
      <x:c r="M32" s="7" t="str">
        <x:v>Arc geth, Armax ou multijoueur selon rencontre.</x:v>
      </x:c>
      <x:c r="N32" s="7" t="str">
        <x:v>Geth Prime : la menace décrite est annoncée avant résolution ; tester une esquive, une interruption admise et une résistance refusée avec message explicite.</x:v>
      </x:c>
      <x:c r="O32" s="7" t="str"/>
      <x:c r="P32" s="7" t="str">
        <x:v>Geth Prime</x:v>
      </x:c>
      <x:c r="Q32" s="7" t="str">
        <x:v>ME3-SRC-MARAUDER</x:v>
      </x:c>
      <x:c r="R32" s="21" t="str">
        <x:v>https://masseffect.fandom.com/wiki/Marauder</x:v>
      </x:c>
      <x:c r="S32" s="21" t="str">
        <x:v>Spécification à réaliser. Les champs adaptation, gameplay, visual, animation, audio et implementation décrivent le fan game ; ils ne donnent pas des caractéristiques officielles de l’œuvre.</x:v>
      </x:c>
    </x:row>
    <x:row r="33" ht="68" customHeight="1">
      <x:c r="A33" s="18" t="str">
        <x:v>ME3-ENM-GETH-TURRET</x:v>
      </x:c>
      <x:c r="B33" s="9" t="str">
        <x:v>Tourelle geth</x:v>
      </x:c>
      <x:c r="C33" s="15" t="str">
        <x:v>Défini</x:v>
      </x:c>
      <x:c r="D33" s="16" t="str">
        <x:v>Établi</x:v>
      </x:c>
      <x:c r="E33" s="16" t="str">
        <x:v>P1</x:v>
      </x:c>
      <x:c r="F33" s="9" t="str">
        <x:v>Défense synthétique.</x:v>
      </x:c>
      <x:c r="G33" s="9" t="str">
        <x:v>Conserve l’orientation acquise pendant préparation ; pas de pivot instantané vers une cible hors de son arc.</x:v>
      </x:c>
      <x:c r="H33" s="9" t="str">
        <x:v>Conserve l’orientation acquise pendant préparation ; pas de pivot instantané vers une cible hors de son arc.</x:v>
      </x:c>
      <x:c r="I33" s="9" t="str">
        <x:v>Dispositif compact et lumière geth.</x:v>
      </x:c>
      <x:c r="J33" s="9" t="str">
        <x:v>Séparer anticipation et impact : Conserve l’orientation acquise pendant préparation ; pas de pivot instantané vers une cible hors de son arc.</x:v>
      </x:c>
      <x:c r="K33" s="9" t="str">
        <x:v>Créer un signal de préparation propre à cette famille, un départ d’action et un impact ; afficher un équivalent visuel du signal hors champ.</x:v>
      </x:c>
      <x:c r="L33" s="9" t="str">
        <x:v>Prévu : fiche de données me3/enemies/geth-turret ; rattacher les ressources et états cités à cet identifiant. Aucun fichier de jeu créé par ce catalogue.</x:v>
      </x:c>
      <x:c r="M33" s="9" t="str">
        <x:v>Rencontres et simulations compatibles.</x:v>
      </x:c>
      <x:c r="N33" s="9" t="str">
        <x:v>Tourelle geth : la menace décrite est annoncée avant résolution ; tester une esquive, une interruption admise et une résistance refusée avec message explicite.</x:v>
      </x:c>
      <x:c r="O33" s="9" t="str"/>
      <x:c r="P33" s="9" t="str">
        <x:v>Tourelle geth</x:v>
      </x:c>
      <x:c r="Q33" s="9" t="str">
        <x:v>ME3-SRC-MARAUDER</x:v>
      </x:c>
      <x:c r="R33" s="20" t="str">
        <x:v>https://masseffect.fandom.com/wiki/Marauder</x:v>
      </x:c>
      <x:c r="S33" s="20" t="str">
        <x:v>Spécification à réaliser. Les champs adaptation, gameplay, visual, animation, audio et implementation décrivent le fan game ; ils ne donnent pas des caractéristiques officielles de l’œuvre.</x:v>
      </x:c>
    </x:row>
    <x:row r="34" ht="68" customHeight="1">
      <x:c r="A34" s="19" t="str">
        <x:v>ME3-ENM-CAT6-MERC</x:v>
      </x:c>
      <x:c r="B34" s="7" t="str">
        <x:v>CAT6 Mercenary</x:v>
      </x:c>
      <x:c r="C34" s="15" t="str">
        <x:v>Défini</x:v>
      </x:c>
      <x:c r="D34" s="17" t="str">
        <x:v>Établi</x:v>
      </x:c>
      <x:c r="E34" s="17" t="str">
        <x:v>P1</x:v>
      </x:c>
      <x:c r="F34" s="7" t="str">
        <x:v>Mercenaire de Citadel.</x:v>
      </x:c>
      <x:c r="G34" s="7" t="str">
        <x:v>Rafale et grenade de délogement ; marquage d’équipe propre à CAT6 malgré gabarit humain partagé.</x:v>
      </x:c>
      <x:c r="H34" s="7" t="str">
        <x:v>Rafale et grenade de délogement ; marquage d’équipe propre à CAT6 malgré gabarit humain partagé.</x:v>
      </x:c>
      <x:c r="I34" s="7" t="str">
        <x:v>Armure sombre et casque.</x:v>
      </x:c>
      <x:c r="J34" s="7" t="str">
        <x:v>Séparer anticipation et impact : Rafale et grenade de délogement ; marquage d’équipe propre à CAT6 malgré gabarit humain partagé.</x:v>
      </x:c>
      <x:c r="K34" s="7" t="str">
        <x:v>Créer un signal de préparation propre à cette famille, un départ d’action et un impact ; afficher un équivalent visuel du signal hors champ.</x:v>
      </x:c>
      <x:c r="L34" s="7" t="str">
        <x:v>Prévu : fiche de données me3/enemies/cat6-merc ; rattacher les ressources et états cités à cet identifiant. Aucun fichier de jeu créé par ce catalogue.</x:v>
      </x:c>
      <x:c r="M34" s="7" t="str">
        <x:v>DLC Citadel / Armax.</x:v>
      </x:c>
      <x:c r="N34" s="7" t="str">
        <x:v>CAT6 Mercenary : la menace décrite est annoncée avant résolution ; tester une esquive, une interruption admise et une résistance refusée avec message explicite.</x:v>
      </x:c>
      <x:c r="O34" s="7" t="str"/>
      <x:c r="P34" s="7" t="str">
        <x:v>CAT6 Mercenary</x:v>
      </x:c>
      <x:c r="Q34" s="7" t="str">
        <x:v>ME3-SRC-CAT6</x:v>
      </x:c>
      <x:c r="R34" s="21" t="str">
        <x:v>https://masseffect.fandom.com/wiki/CAT6_Specialist</x:v>
      </x:c>
      <x:c r="S34" s="21" t="str">
        <x:v>Spécification à réaliser. Les champs adaptation, gameplay, visual, animation, audio et implementation décrivent le fan game ; ils ne donnent pas des caractéristiques officielles de l’œuvre.</x:v>
      </x:c>
    </x:row>
    <x:row r="35" ht="68" customHeight="1">
      <x:c r="A35" s="18" t="str">
        <x:v>ME3-ENM-CAT6-SPECIALIST</x:v>
      </x:c>
      <x:c r="B35" s="9" t="str">
        <x:v>CAT6 Specialist</x:v>
      </x:c>
      <x:c r="C35" s="15" t="str">
        <x:v>Défini</x:v>
      </x:c>
      <x:c r="D35" s="16" t="str">
        <x:v>Établi</x:v>
      </x:c>
      <x:c r="E35" s="16" t="str">
        <x:v>P1</x:v>
      </x:c>
      <x:c r="F35" s="9" t="str">
        <x:v>Technicien CAT6.</x:v>
      </x:c>
      <x:c r="G35" s="9" t="str">
        <x:v>Déploie un Disruption Drone ; un lien de commande discret facilite l’identification de la source.</x:v>
      </x:c>
      <x:c r="H35" s="9" t="str">
        <x:v>Déploie un Disruption Drone ; un lien de commande discret facilite l’identification de la source.</x:v>
      </x:c>
      <x:c r="I35" s="9" t="str">
        <x:v>Armure technique et omni-outil.</x:v>
      </x:c>
      <x:c r="J35" s="9" t="str">
        <x:v>Séparer anticipation et impact : Déploie un Disruption Drone ; un lien de commande discret facilite l’identification de la source.</x:v>
      </x:c>
      <x:c r="K35" s="9" t="str">
        <x:v>Créer un signal de préparation propre à cette famille, un départ d’action et un impact ; afficher un équivalent visuel du signal hors champ.</x:v>
      </x:c>
      <x:c r="L35" s="9" t="str">
        <x:v>Prévu : fiche de données me3/enemies/cat6-specialist ; rattacher les ressources et états cités à cet identifiant. Aucun fichier de jeu créé par ce catalogue.</x:v>
      </x:c>
      <x:c r="M35" s="9" t="str">
        <x:v>DLC Citadel.</x:v>
      </x:c>
      <x:c r="N35" s="9" t="str">
        <x:v>CAT6 Specialist : la menace décrite est annoncée avant résolution ; tester une esquive, une interruption admise et une résistance refusée avec message explicite.</x:v>
      </x:c>
      <x:c r="O35" s="9" t="str"/>
      <x:c r="P35" s="9" t="str">
        <x:v>CAT6 Specialist</x:v>
      </x:c>
      <x:c r="Q35" s="9" t="str">
        <x:v>ME3-SRC-CAT6</x:v>
      </x:c>
      <x:c r="R35" s="20" t="str">
        <x:v>https://masseffect.fandom.com/wiki/CAT6_Specialist</x:v>
      </x:c>
      <x:c r="S35" s="20" t="str">
        <x:v>Spécification à réaliser. Les champs adaptation, gameplay, visual, animation, audio et implementation décrivent le fan game ; ils ne donnent pas des caractéristiques officielles de l’œuvre.</x:v>
      </x:c>
    </x:row>
    <x:row r="36" ht="68" customHeight="1">
      <x:c r="A36" s="19" t="str">
        <x:v>ME3-ENM-CAT6-HEAVY</x:v>
      </x:c>
      <x:c r="B36" s="7" t="str">
        <x:v>CAT6 Heavy</x:v>
      </x:c>
      <x:c r="C36" s="15" t="str">
        <x:v>Défini</x:v>
      </x:c>
      <x:c r="D36" s="17" t="str">
        <x:v>Établi</x:v>
      </x:c>
      <x:c r="E36" s="17" t="str">
        <x:v>P1</x:v>
      </x:c>
      <x:c r="F36" s="7" t="str">
        <x:v>Unité CAT6 protégée.</x:v>
      </x:c>
      <x:c r="G36" s="7" t="str">
        <x:v>Avance avec protection frontale ; contourner ou interrompre la posture expose une fenêtre de tir.</x:v>
      </x:c>
      <x:c r="H36" s="7" t="str">
        <x:v>Avance avec protection frontale ; contourner ou interrompre la posture expose une fenêtre de tir.</x:v>
      </x:c>
      <x:c r="I36" s="7" t="str">
        <x:v>Grand bouclier énergétique et silhouette lourde.</x:v>
      </x:c>
      <x:c r="J36" s="7" t="str">
        <x:v>Séparer anticipation et impact : Avance avec protection frontale ; contourner ou interrompre la posture expose une fenêtre de tir.</x:v>
      </x:c>
      <x:c r="K36" s="7" t="str">
        <x:v>Créer un signal de préparation propre à cette famille, un départ d’action et un impact ; afficher un équivalent visuel du signal hors champ.</x:v>
      </x:c>
      <x:c r="L36" s="7" t="str">
        <x:v>Prévu : fiche de données me3/enemies/cat6-heavy ; rattacher les ressources et états cités à cet identifiant. Aucun fichier de jeu créé par ce catalogue.</x:v>
      </x:c>
      <x:c r="M36" s="7" t="str">
        <x:v>DLC Citadel.</x:v>
      </x:c>
      <x:c r="N36" s="7" t="str">
        <x:v>CAT6 Heavy : la menace décrite est annoncée avant résolution ; tester une esquive, une interruption admise et une résistance refusée avec message explicite.</x:v>
      </x:c>
      <x:c r="O36" s="7" t="str"/>
      <x:c r="P36" s="7" t="str">
        <x:v>CAT6 Heavy</x:v>
      </x:c>
      <x:c r="Q36" s="7" t="str">
        <x:v>ME3-SRC-CAT6</x:v>
      </x:c>
      <x:c r="R36" s="21" t="str">
        <x:v>https://masseffect.fandom.com/wiki/CAT6_Specialist</x:v>
      </x:c>
      <x:c r="S36" s="21" t="str">
        <x:v>Spécification à réaliser. Les champs adaptation, gameplay, visual, animation, audio et implementation décrivent le fan game ; ils ne donnent pas des caractéristiques officielles de l’œuvre.</x:v>
      </x:c>
    </x:row>
    <x:row r="37" ht="68" customHeight="1">
      <x:c r="A37" s="18" t="str">
        <x:v>ME3-ENM-DISRUPTION</x:v>
      </x:c>
      <x:c r="B37" s="9" t="str">
        <x:v>Disruption Drone</x:v>
      </x:c>
      <x:c r="C37" s="15" t="str">
        <x:v>Défini</x:v>
      </x:c>
      <x:c r="D37" s="16" t="str">
        <x:v>Établi</x:v>
      </x:c>
      <x:c r="E37" s="16" t="str">
        <x:v>P1</x:v>
      </x:c>
      <x:c r="F37" s="9" t="str">
        <x:v>Drone CAT6.</x:v>
      </x:c>
      <x:c r="G37" s="9" t="str">
        <x:v>Approche et perturbation locale ; zone de brouillage n’empêche jamais d’ouvrir le menu accessible.</x:v>
      </x:c>
      <x:c r="H37" s="9" t="str">
        <x:v>Approche et perturbation locale ; zone de brouillage n’empêche jamais d’ouvrir le menu accessible.</x:v>
      </x:c>
      <x:c r="I37" s="9" t="str">
        <x:v>Sphère volante et arc d’énergie.</x:v>
      </x:c>
      <x:c r="J37" s="9" t="str">
        <x:v>Séparer anticipation et impact : Approche et perturbation locale ; zone de brouillage n’empêche jamais d’ouvrir le menu accessible.</x:v>
      </x:c>
      <x:c r="K37" s="9" t="str">
        <x:v>Créer un signal de préparation propre à cette famille, un départ d’action et un impact ; afficher un équivalent visuel du signal hors champ.</x:v>
      </x:c>
      <x:c r="L37" s="9" t="str">
        <x:v>Prévu : fiche de données me3/enemies/disruption ; rattacher les ressources et états cités à cet identifiant. Aucun fichier de jeu créé par ce catalogue.</x:v>
      </x:c>
      <x:c r="M37" s="9" t="str">
        <x:v>DLC Citadel.</x:v>
      </x:c>
      <x:c r="N37" s="9" t="str">
        <x:v>Disruption Drone : la menace décrite est annoncée avant résolution ; tester une esquive, une interruption admise et une résistance refusée avec message explicite.</x:v>
      </x:c>
      <x:c r="O37" s="9" t="str"/>
      <x:c r="P37" s="9" t="str">
        <x:v>Disruption Drone</x:v>
      </x:c>
      <x:c r="Q37" s="9" t="str">
        <x:v>ME3-SRC-CAT6</x:v>
      </x:c>
      <x:c r="R37" s="20" t="str">
        <x:v>https://masseffect.fandom.com/wiki/CAT6_Specialist</x:v>
      </x:c>
      <x:c r="S37" s="20" t="str">
        <x:v>Spécification à réaliser. Les champs adaptation, gameplay, visual, animation, audio et implementation décrivent le fan game ; ils ne donnent pas des caractéristiques officielles de l’œuvre.</x:v>
      </x:c>
    </x:row>
    <x:row r="38" ht="68" customHeight="1">
      <x:c r="A38" s="19" t="str">
        <x:v>ME3-ENM-CLONE</x:v>
      </x:c>
      <x:c r="B38" s="7" t="str">
        <x:v>Clone de Shepard</x:v>
      </x:c>
      <x:c r="C38" s="15" t="str">
        <x:v>Défini</x:v>
      </x:c>
      <x:c r="D38" s="17" t="str">
        <x:v>Établi</x:v>
      </x:c>
      <x:c r="E38" s="17" t="str">
        <x:v>P1</x:v>
      </x:c>
      <x:c r="F38" s="7" t="str">
        <x:v>Antagoniste de Citadel.</x:v>
      </x:c>
      <x:c r="G38" s="7" t="str">
        <x:v>Construire un miroir de la classe sélectionnée avec télégraphes propres ; ses soins et changements de phase sont visibles.</x:v>
      </x:c>
      <x:c r="H38" s="7" t="str">
        <x:v>Construire un miroir de la classe sélectionnée avec télégraphes propres ; ses soins et changements de phase sont visibles.</x:v>
      </x:c>
      <x:c r="I38" s="7" t="str">
        <x:v>Ressemblance Shepard, tenue et éclairage adverses.</x:v>
      </x:c>
      <x:c r="J38" s="7" t="str">
        <x:v>Séparer anticipation et impact : Construire un miroir de la classe sélectionnée avec télégraphes propres ; ses soins et changements de phase sont visibles.</x:v>
      </x:c>
      <x:c r="K38" s="7" t="str">
        <x:v>Créer un signal de préparation propre à cette famille, un départ d’action et un impact ; afficher un équivalent visuel du signal hors champ.</x:v>
      </x:c>
      <x:c r="L38" s="7" t="str">
        <x:v>Prévu : fiche de données me3/enemies/clone ; rattacher les ressources et états cités à cet identifiant. Aucun fichier de jeu créé par ce catalogue.</x:v>
      </x:c>
      <x:c r="M38" s="7" t="str">
        <x:v>DLC Citadel ; classe du joueur prise en compte.</x:v>
      </x:c>
      <x:c r="N38" s="7" t="str">
        <x:v>Clone de Shepard : la menace décrite est annoncée avant résolution ; tester une esquive, une interruption admise et une résistance refusée avec message explicite.</x:v>
      </x:c>
      <x:c r="O38" s="7" t="str"/>
      <x:c r="P38" s="7" t="str">
        <x:v>Clone de Shepard</x:v>
      </x:c>
      <x:c r="Q38" s="7" t="str">
        <x:v>ME3-SRC-CLONE</x:v>
      </x:c>
      <x:c r="R38" s="21" t="str">
        <x:v>https://masseffect.fandom.com/wiki/Clone</x:v>
      </x:c>
      <x:c r="S38" s="21" t="str">
        <x:v>Spécification à réaliser. Les champs adaptation, gameplay, visual, animation, audio et implementation décrivent le fan game ; ils ne donnent pas des caractéristiques officielles de l’œuvre.</x:v>
      </x:c>
    </x:row>
    <x:row r="39" ht="68" customHeight="1">
      <x:c r="A39" s="18" t="str">
        <x:v>ME3-ENM-BROOKS</x:v>
      </x:c>
      <x:c r="B39" s="9" t="str">
        <x:v>Maya Brooks — combat</x:v>
      </x:c>
      <x:c r="C39" s="15" t="str">
        <x:v>Défini</x:v>
      </x:c>
      <x:c r="D39" s="16" t="str">
        <x:v>Établi</x:v>
      </x:c>
      <x:c r="E39" s="16" t="str">
        <x:v>P1</x:v>
      </x:c>
      <x:c r="F39" s="9" t="str">
        <x:v>Antagoniste de Citadel.</x:v>
      </x:c>
      <x:c r="G39" s="9" t="str">
        <x:v>Tir de soutien pendant duel du clone ; la cibler interrompt son appui sans faire disparaître la scène de reddition.</x:v>
      </x:c>
      <x:c r="H39" s="9" t="str">
        <x:v>Tir de soutien pendant duel du clone ; la cibler interrompt son appui sans faire disparaître la scène de reddition.</x:v>
      </x:c>
      <x:c r="I39" s="9" t="str">
        <x:v>Tenue tactique et arme de précision.</x:v>
      </x:c>
      <x:c r="J39" s="9" t="str">
        <x:v>Séparer anticipation et impact : Tir de soutien pendant duel du clone ; la cibler interrompt son appui sans faire disparaître la scène de reddition.</x:v>
      </x:c>
      <x:c r="K39" s="9" t="str">
        <x:v>Créer un signal de préparation propre à cette famille, un départ d’action et un impact ; afficher un équivalent visuel du signal hors champ.</x:v>
      </x:c>
      <x:c r="L39" s="9" t="str">
        <x:v>Prévu : fiche de données me3/enemies/brooks ; rattacher les ressources et états cités à cet identifiant. Aucun fichier de jeu créé par ce catalogue.</x:v>
      </x:c>
      <x:c r="M39" s="9" t="str">
        <x:v>DLC Citadel.</x:v>
      </x:c>
      <x:c r="N39" s="9" t="str">
        <x:v>Maya Brooks — combat : la menace décrite est annoncée avant résolution ; tester une esquive, une interruption admise et une résistance refusée avec message explicite.</x:v>
      </x:c>
      <x:c r="O39" s="9" t="str"/>
      <x:c r="P39" s="9" t="str">
        <x:v>Maya Brooks — combat</x:v>
      </x:c>
      <x:c r="Q39" s="9" t="str">
        <x:v>ME3-SRC-BROOKS</x:v>
      </x:c>
      <x:c r="R39" s="20" t="str">
        <x:v>https://masseffect.fandom.com/wiki/Brooks</x:v>
      </x:c>
      <x:c r="S39" s="20" t="str">
        <x:v>Spécification à réaliser. Les champs adaptation, gameplay, visual, animation, audio et implementation décrivent le fan game ; ils ne donnent pas des caractéristiques officielles de l’œuvre.</x:v>
      </x:c>
    </x:row>
    <x:row r="40" ht="68" customHeight="1">
      <x:c r="A40" s="19" t="str">
        <x:v>ME3-ENM-COLLECTOR-TROOPER</x:v>
      </x:c>
      <x:c r="B40" s="7" t="str">
        <x:v>Collector Trooper — simulation / multi</x:v>
      </x:c>
      <x:c r="C40" s="15" t="str">
        <x:v>Défini</x:v>
      </x:c>
      <x:c r="D40" s="17" t="str">
        <x:v>Établi</x:v>
      </x:c>
      <x:c r="E40" s="17" t="str">
        <x:v>P1</x:v>
      </x:c>
      <x:c r="F40" s="7" t="str">
        <x:v>Les Récolteurs figurent dans Retaliation.</x:v>
      </x:c>
      <x:c r="G40" s="7" t="str">
        <x:v>Tir en couverture avec possible possession de vague ; aucune présence réelle ajoutée à l’histoire ME3.</x:v>
      </x:c>
      <x:c r="H40" s="7" t="str">
        <x:v>Tir en couverture avec possible possession de vague ; aucune présence réelle ajoutée à l’histoire ME3.</x:v>
      </x:c>
      <x:c r="I40" s="7" t="str">
        <x:v>Carapace insectoïde et arme organique.</x:v>
      </x:c>
      <x:c r="J40" s="7" t="str">
        <x:v>Séparer anticipation et impact : Tir en couverture avec possible possession de vague ; aucune présence réelle ajoutée à l’histoire ME3.</x:v>
      </x:c>
      <x:c r="K40" s="7" t="str">
        <x:v>Créer un signal de préparation propre à cette famille, un départ d’action et un impact ; afficher un équivalent visuel du signal hors champ.</x:v>
      </x:c>
      <x:c r="L40" s="7" t="str">
        <x:v>Prévu : fiche de données me3/enemies/collector-trooper ; rattacher les ressources et états cités à cet identifiant. Aucun fichier de jeu créé par ce catalogue.</x:v>
      </x:c>
      <x:c r="M40" s="7" t="str">
        <x:v>Multijoueur Retaliation ou simulation Armax uniquement.</x:v>
      </x:c>
      <x:c r="N40" s="7" t="str">
        <x:v>Collector Trooper — simulation / multi : la menace décrite est annoncée avant résolution ; tester une esquive, une interruption admise et une résistance refusée avec message explicite.</x:v>
      </x:c>
      <x:c r="O40" s="7" t="str"/>
      <x:c r="P40" s="7" t="str">
        <x:v>Collector Trooper — simulation / multi</x:v>
      </x:c>
      <x:c r="Q40" s="7" t="str">
        <x:v>ME3-SRC-MP</x:v>
      </x:c>
      <x:c r="R40" s="21" t="str">
        <x:v>https://masseffect.fandom.com/wiki/Mass_Effect_3_Multiplayer</x:v>
      </x:c>
      <x:c r="S40" s="21" t="str">
        <x:v>Spécification à réaliser. Les champs adaptation, gameplay, visual, animation, audio et implementation décrivent le fan game ; ils ne donnent pas des caractéristiques officielles de l’œuvre.</x:v>
      </x:c>
    </x:row>
    <x:row r="41" ht="68" customHeight="1">
      <x:c r="A41" s="18" t="str">
        <x:v>ME3-ENM-COLLECTOR-CAPTAIN</x:v>
      </x:c>
      <x:c r="B41" s="9" t="str">
        <x:v>Collector Captain — simulation / multi</x:v>
      </x:c>
      <x:c r="C41" s="15" t="str">
        <x:v>Défini</x:v>
      </x:c>
      <x:c r="D41" s="16" t="str">
        <x:v>Établi</x:v>
      </x:c>
      <x:c r="E41" s="16" t="str">
        <x:v>P1</x:v>
      </x:c>
      <x:c r="F41" s="9" t="str">
        <x:v>Unité du module Récolteurs.</x:v>
      </x:c>
      <x:c r="G41" s="9" t="str">
        <x:v>Soutien de groupe et harcèlement ; possession signalée par transformation d’aura et priorité tactique.</x:v>
      </x:c>
      <x:c r="H41" s="9" t="str">
        <x:v>Soutien de groupe et harcèlement ; possession signalée par transformation d’aura et priorité tactique.</x:v>
      </x:c>
      <x:c r="I41" s="9" t="str">
        <x:v>Carapace plus visible et lueur de contrôle.</x:v>
      </x:c>
      <x:c r="J41" s="9" t="str">
        <x:v>Séparer anticipation et impact : Soutien de groupe et harcèlement ; possession signalée par transformation d’aura et priorité tactique.</x:v>
      </x:c>
      <x:c r="K41" s="9" t="str">
        <x:v>Créer un signal de préparation propre à cette famille, un départ d’action et un impact ; afficher un équivalent visuel du signal hors champ.</x:v>
      </x:c>
      <x:c r="L41" s="9" t="str">
        <x:v>Prévu : fiche de données me3/enemies/collector-captain ; rattacher les ressources et états cités à cet identifiant. Aucun fichier de jeu créé par ce catalogue.</x:v>
      </x:c>
      <x:c r="M41" s="9" t="str">
        <x:v>Multijoueur Retaliation / simulations prévues.</x:v>
      </x:c>
      <x:c r="N41" s="9" t="str">
        <x:v>Collector Captain — simulation / multi : la menace décrite est annoncée avant résolution ; tester une esquive, une interruption admise et une résistance refusée avec message explicite.</x:v>
      </x:c>
      <x:c r="O41" s="9" t="str"/>
      <x:c r="P41" s="9" t="str">
        <x:v>Collector Captain — simulation / multi</x:v>
      </x:c>
      <x:c r="Q41" s="9" t="str">
        <x:v>ME3-SRC-MP</x:v>
      </x:c>
      <x:c r="R41" s="20" t="str">
        <x:v>https://masseffect.fandom.com/wiki/Mass_Effect_3_Multiplayer</x:v>
      </x:c>
      <x:c r="S41" s="20" t="str">
        <x:v>Spécification à réaliser. Les champs adaptation, gameplay, visual, animation, audio et implementation décrivent le fan game ; ils ne donnent pas des caractéristiques officielles de l’œuvre.</x:v>
      </x:c>
    </x:row>
    <x:row r="42" ht="68" customHeight="1">
      <x:c r="A42" s="19" t="str">
        <x:v>ME3-ENM-ABOMINATION</x:v>
      </x:c>
      <x:c r="B42" s="7" t="str">
        <x:v>Abomination — simulation / multi</x:v>
      </x:c>
      <x:c r="C42" s="15" t="str">
        <x:v>Défini</x:v>
      </x:c>
      <x:c r="D42" s="17" t="str">
        <x:v>Établi</x:v>
      </x:c>
      <x:c r="E42" s="17" t="str">
        <x:v>P1</x:v>
      </x:c>
      <x:c r="F42" s="7" t="str">
        <x:v>Unité explosive des Récolteurs.</x:v>
      </x:c>
      <x:c r="G42" s="7" t="str">
        <x:v>Course puis explosion avec zone d’évacuation ; distinguer cadavre inerte et charge encore active.</x:v>
      </x:c>
      <x:c r="H42" s="7" t="str">
        <x:v>Course puis explosion avec zone d’évacuation ; distinguer cadavre inerte et charge encore active.</x:v>
      </x:c>
      <x:c r="I42" s="7" t="str">
        <x:v>Forme humanoïde instable et pulsation.</x:v>
      </x:c>
      <x:c r="J42" s="7" t="str">
        <x:v>Séparer anticipation et impact : Course puis explosion avec zone d’évacuation ; distinguer cadavre inerte et charge encore active.</x:v>
      </x:c>
      <x:c r="K42" s="7" t="str">
        <x:v>Créer un signal de préparation propre à cette famille, un départ d’action et un impact ; afficher un équivalent visuel du signal hors champ.</x:v>
      </x:c>
      <x:c r="L42" s="7" t="str">
        <x:v>Prévu : fiche de données me3/enemies/abomination ; rattacher les ressources et états cités à cet identifiant. Aucun fichier de jeu créé par ce catalogue.</x:v>
      </x:c>
      <x:c r="M42" s="7" t="str">
        <x:v>Multijoueur Retaliation / simulations prévues.</x:v>
      </x:c>
      <x:c r="N42" s="7" t="str">
        <x:v>Abomination — simulation / multi : la menace décrite est annoncée avant résolution ; tester une esquive, une interruption admise et une résistance refusée avec message explicite.</x:v>
      </x:c>
      <x:c r="O42" s="7" t="str"/>
      <x:c r="P42" s="7" t="str">
        <x:v>Abomination — simulation / multi</x:v>
      </x:c>
      <x:c r="Q42" s="7" t="str">
        <x:v>ME3-SRC-MP</x:v>
      </x:c>
      <x:c r="R42" s="21" t="str">
        <x:v>https://masseffect.fandom.com/wiki/Mass_Effect_3_Multiplayer</x:v>
      </x:c>
      <x:c r="S42" s="21" t="str">
        <x:v>Spécification à réaliser. Les champs adaptation, gameplay, visual, animation, audio et implementation décrivent le fan game ; ils ne donnent pas des caractéristiques officielles de l’œuvre.</x:v>
      </x:c>
    </x:row>
    <x:row r="43" ht="68" customHeight="1">
      <x:c r="A43" s="18" t="str">
        <x:v>ME3-ENM-SCION</x:v>
      </x:c>
      <x:c r="B43" s="9" t="str">
        <x:v>Scion — simulation / multi</x:v>
      </x:c>
      <x:c r="C43" s="15" t="str">
        <x:v>Défini</x:v>
      </x:c>
      <x:c r="D43" s="16" t="str">
        <x:v>Établi</x:v>
      </x:c>
      <x:c r="E43" s="16" t="str">
        <x:v>P1</x:v>
      </x:c>
      <x:c r="F43" s="9" t="str">
        <x:v>Unité lourde des Récolteurs.</x:v>
      </x:c>
      <x:c r="G43" s="9" t="str">
        <x:v>Onde linéaire et attaque proche ; origine du cône et fenêtre de sortie visibles depuis toute caméra.</x:v>
      </x:c>
      <x:c r="H43" s="9" t="str">
        <x:v>Onde linéaire et attaque proche ; origine du cône et fenêtre de sortie visibles depuis toute caméra.</x:v>
      </x:c>
      <x:c r="I43" s="9" t="str">
        <x:v>Corps massif et bras canon.</x:v>
      </x:c>
      <x:c r="J43" s="9" t="str">
        <x:v>Séparer anticipation et impact : Onde linéaire et attaque proche ; origine du cône et fenêtre de sortie visibles depuis toute caméra.</x:v>
      </x:c>
      <x:c r="K43" s="9" t="str">
        <x:v>Créer un signal de préparation propre à cette famille, un départ d’action et un impact ; afficher un équivalent visuel du signal hors champ.</x:v>
      </x:c>
      <x:c r="L43" s="9" t="str">
        <x:v>Prévu : fiche de données me3/enemies/scion ; rattacher les ressources et états cités à cet identifiant. Aucun fichier de jeu créé par ce catalogue.</x:v>
      </x:c>
      <x:c r="M43" s="9" t="str">
        <x:v>Multijoueur Retaliation / simulations prévues.</x:v>
      </x:c>
      <x:c r="N43" s="9" t="str">
        <x:v>Scion — simulation / multi : la menace décrite est annoncée avant résolution ; tester une esquive, une interruption admise et une résistance refusée avec message explicite.</x:v>
      </x:c>
      <x:c r="O43" s="9" t="str"/>
      <x:c r="P43" s="9" t="str">
        <x:v>Scion — simulation / multi</x:v>
      </x:c>
      <x:c r="Q43" s="9" t="str">
        <x:v>ME3-SRC-MP</x:v>
      </x:c>
      <x:c r="R43" s="20" t="str">
        <x:v>https://masseffect.fandom.com/wiki/Mass_Effect_3_Multiplayer</x:v>
      </x:c>
      <x:c r="S43" s="20" t="str">
        <x:v>Spécification à réaliser. Les champs adaptation, gameplay, visual, animation, audio et implementation décrivent le fan game ; ils ne donnent pas des caractéristiques officielles de l’œuvre.</x:v>
      </x:c>
    </x:row>
    <x:row r="44" ht="68" customHeight="1">
      <x:c r="A44" s="19" t="str">
        <x:v>ME3-ENM-PRAETORIAN</x:v>
      </x:c>
      <x:c r="B44" s="7" t="str">
        <x:v>Praetorian — simulation / multi</x:v>
      </x:c>
      <x:c r="C44" s="15" t="str">
        <x:v>Défini</x:v>
      </x:c>
      <x:c r="D44" s="17" t="str">
        <x:v>Établi</x:v>
      </x:c>
      <x:c r="E44" s="17" t="str">
        <x:v>P1</x:v>
      </x:c>
      <x:c r="F44" s="7" t="str">
        <x:v>Unité lourde volante des Récolteurs.</x:v>
      </x:c>
      <x:c r="G44" s="7" t="str">
        <x:v>Descente de protection puis rayons ; zones sûres indépendantes de sa grande image en surplomb.</x:v>
      </x:c>
      <x:c r="H44" s="7" t="str">
        <x:v>Descente de protection puis rayons ; zones sûres indépendantes de sa grande image en surplomb.</x:v>
      </x:c>
      <x:c r="I44" s="7" t="str">
        <x:v>Carapace volante et optiques lumineuses.</x:v>
      </x:c>
      <x:c r="J44" s="7" t="str">
        <x:v>Séparer anticipation et impact : Descente de protection puis rayons ; zones sûres indépendantes de sa grande image en surplomb.</x:v>
      </x:c>
      <x:c r="K44" s="7" t="str">
        <x:v>Créer un signal de préparation propre à cette famille, un départ d’action et un impact ; afficher un équivalent visuel du signal hors champ.</x:v>
      </x:c>
      <x:c r="L44" s="7" t="str">
        <x:v>Prévu : fiche de données me3/enemies/praetorian ; rattacher les ressources et états cités à cet identifiant. Aucun fichier de jeu créé par ce catalogue.</x:v>
      </x:c>
      <x:c r="M44" s="7" t="str">
        <x:v>Multijoueur Retaliation / simulations prévues.</x:v>
      </x:c>
      <x:c r="N44" s="7" t="str">
        <x:v>Praetorian — simulation / multi : la menace décrite est annoncée avant résolution ; tester une esquive, une interruption admise et une résistance refusée avec message explicite.</x:v>
      </x:c>
      <x:c r="O44" s="7" t="str"/>
      <x:c r="P44" s="7" t="str">
        <x:v>Praetorian — simulation / multi</x:v>
      </x:c>
      <x:c r="Q44" s="7" t="str">
        <x:v>ME3-SRC-MP</x:v>
      </x:c>
      <x:c r="R44" s="21" t="str">
        <x:v>https://masseffect.fandom.com/wiki/Mass_Effect_3_Multiplayer</x:v>
      </x:c>
      <x:c r="S44" s="21" t="str">
        <x:v>Spécification à réaliser. Les champs adaptation, gameplay, visual, animation, audio et implementation décrivent le fan game ; ils ne donnent pas des caractéristiques officielles de l’œuvre.</x:v>
      </x:c>
    </x:row>
    <x:row r="45" ht="68" customHeight="1">
      <x:c r="A45" s="18" t="str">
        <x:v>ME3-ENM-DRAGOON</x:v>
      </x:c>
      <x:c r="B45" s="9" t="str">
        <x:v>Cerberus Dragoon — multi</x:v>
      </x:c>
      <x:c r="C45" s="15" t="str">
        <x:v>Défini</x:v>
      </x:c>
      <x:c r="D45" s="16" t="str">
        <x:v>Établi</x:v>
      </x:c>
      <x:c r="E45" s="16" t="str">
        <x:v>P1</x:v>
      </x:c>
      <x:c r="F45" s="9" t="str">
        <x:v>Unité Cerberus du multijoueur.</x:v>
      </x:c>
      <x:c r="G45" s="9" t="str">
        <x:v>Rush et combo rapproché séparés par une préparation ; le groupe peut rompre l’approche.</x:v>
      </x:c>
      <x:c r="H45" s="9" t="str">
        <x:v>Rush et combo rapproché séparés par une préparation ; le groupe peut rompre l’approche.</x:v>
      </x:c>
      <x:c r="I45" s="9" t="str">
        <x:v>Fouets énergétiques et armure sombre.</x:v>
      </x:c>
      <x:c r="J45" s="9" t="str">
        <x:v>Séparer anticipation et impact : Rush et combo rapproché séparés par une préparation ; le groupe peut rompre l’approche.</x:v>
      </x:c>
      <x:c r="K45" s="9" t="str">
        <x:v>Créer un signal de préparation propre à cette famille, un départ d’action et un impact ; afficher un équivalent visuel du signal hors champ.</x:v>
      </x:c>
      <x:c r="L45" s="9" t="str">
        <x:v>Prévu : fiche de données me3/enemies/dragoon ; rattacher les ressources et états cités à cet identifiant. Aucun fichier de jeu créé par ce catalogue.</x:v>
      </x:c>
      <x:c r="M45" s="9" t="str">
        <x:v>Multijoueur Retaliation ; absence de campagne imposée.</x:v>
      </x:c>
      <x:c r="N45" s="9" t="str">
        <x:v>Cerberus Dragoon — multi : la menace décrite est annoncée avant résolution ; tester une esquive, une interruption admise et une résistance refusée avec message explicite.</x:v>
      </x:c>
      <x:c r="O45" s="9" t="str"/>
      <x:c r="P45" s="9" t="str">
        <x:v>Cerberus Dragoon — multi</x:v>
      </x:c>
      <x:c r="Q45" s="9" t="str">
        <x:v>ME3-SRC-MP</x:v>
      </x:c>
      <x:c r="R45" s="20" t="str">
        <x:v>https://masseffect.fandom.com/wiki/Mass_Effect_3_Multiplayer</x:v>
      </x:c>
      <x:c r="S45" s="20" t="str">
        <x:v>Spécification à réaliser. Les champs adaptation, gameplay, visual, animation, audio et implementation décrivent le fan game ; ils ne donnent pas des caractéristiques officielles de l’œuvre.</x:v>
      </x:c>
    </x:row>
  </x:sheetData>
  <x:conditionalFormatting sqref="D7:D45">
    <x:cfRule type="cellIs" dxfId="32" priority="1" operator="equal">
      <x:formula>"À vérifier"</x:formula>
    </x:cfRule>
    <x:cfRule type="cellIs" dxfId="33" priority="2" operator="equal">
      <x:formula>"Extrapolation"</x:formula>
    </x:cfRule>
  </x:conditionalFormatting>
  <x:conditionalFormatting sqref="C7:C45">
    <x:cfRule type="cellIs" dxfId="34" priority="3" operator="equal">
      <x:formula>"Validé"</x:formula>
    </x:cfRule>
  </x:conditionalFormatting>
  <x:conditionalFormatting sqref="E7:E45">
    <x:cfRule type="cellIs" dxfId="35" priority="4" operator="equal">
      <x:formula>"P0"</x:formula>
    </x:cfRule>
  </x:conditionalFormatting>
  <x:dataValidations count="3">
    <x:dataValidation type="list" sqref="C7:C45">
      <x:formula1>"Défini,Prototype,Intégré,Validé"</x:formula1>
    </x:dataValidation>
    <x:dataValidation type="list" sqref="D7:D45">
      <x:formula1>"Établi,À vérifier,Extrapolation,Coupé attesté,Concept abandonné,Allégation écartée"</x:formula1>
    </x:dataValidation>
    <x:dataValidation type="list" sqref="E7:E45">
      <x:formula1>"P0,P1,P2"</x:formula1>
    </x:dataValidation>
  </x:dataValidations>
  <x:pageMargins left="0.7" right="0.7" top="0.75" bottom="0.75" header="0.3" footer="0.3"/>
  <x:tableParts count="1">
    <x:tablePart xmlns:r="http://schemas.openxmlformats.org/officeDocument/2006/relationships" r:id="Rbca064caf31e40f9"/>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5"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Missions</x:v>
      </x:c>
      <x:c r="B2" s="2"/>
      <x:c r="C2" s="2"/>
      <x:c r="D2" s="2"/>
      <x:c r="E2" s="2"/>
      <x:c r="F2" s="2"/>
      <x:c r="G2" s="2"/>
      <x:c r="H2" s="2"/>
      <x:c r="I2" s="2"/>
      <x:c r="J2" s="2"/>
      <x:c r="K2" s="2"/>
      <x:c r="L2" s="2"/>
      <x:c r="M2" s="2"/>
      <x:c r="N2" s="2"/>
      <x:c r="O2" s="2"/>
      <x:c r="P2" s="2"/>
      <x:c r="Q2" s="2"/>
      <x:c r="R2" s="2"/>
      <x:c r="S2" s="2"/>
    </x:row>
    <x:row r="3" ht="22" customHeight="1">
      <x:c r="A3" s="4" t="str">
        <x:v>Mass Effect 3 — Étapes de l’intrigue principale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ME3-MQ-EARTH-PROLOGUE</x:v>
      </x:c>
      <x:c r="B7" s="9" t="str">
        <x:v>Prologue: Earth</x:v>
      </x:c>
      <x:c r="C7" s="15" t="str">
        <x:v>Défini</x:v>
      </x:c>
      <x:c r="D7" s="16" t="str">
        <x:v>Établi</x:v>
      </x:c>
      <x:c r="E7" s="16" t="str">
        <x:v>P0</x:v>
      </x:c>
      <x:c r="F7" s="9" t="str">
        <x:v>La Terre est envahie.</x:v>
      </x:c>
      <x:c r="G7" s="9" t="str">
        <x:v>Évacuation tutorielle avec Anderson ; progression entre ruines et attente d’extraction.</x:v>
      </x:c>
      <x:c r="H7" s="9" t="str">
        <x:v>Évacuation tutorielle avec Anderson ; progression entre ruines et attente d’extraction.</x:v>
      </x:c>
      <x:c r="I7" s="9" t="str">
        <x:v>Ville détruite, bâtiments militaires et Moissonneur lointain.</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me3/main_quests/earth-prologue ; rattacher les ressources et états cités à cet identifiant. Aucun fichier de jeu créé par ce catalogue.</x:v>
      </x:c>
      <x:c r="M7" s="9" t="str"/>
      <x:c r="N7" s="9" t="str">
        <x:v>Le livrable « Prologue: Earth » possède une scène ou un scénario de contrôle ; ses règles proposées, ses conditions et ses retours visuels sont vérifiables séparément.</x:v>
      </x:c>
      <x:c r="O7" s="9" t="str"/>
      <x:c r="P7" s="9" t="str">
        <x:v>Prologue: Earth</x:v>
      </x:c>
      <x:c r="Q7" s="9" t="str">
        <x:v>ME3-SRC-GUIDE</x:v>
      </x:c>
      <x:c r="R7" s="20" t="str">
        <x:v>https://masseffect.fandom.com/wiki/Mass_Effect_3_Guide</x:v>
      </x:c>
      <x:c r="S7" s="20" t="str">
        <x:v>Spécification à réaliser. Les champs adaptation, gameplay, visual, animation, audio et implementation décrivent le fan game ; ils ne donnent pas des caractéristiques officielles de l’œuvre.</x:v>
      </x:c>
    </x:row>
    <x:row r="8" ht="68" customHeight="1">
      <x:c r="A8" s="19" t="str">
        <x:v>ME3-MQ-MARS</x:v>
      </x:c>
      <x:c r="B8" s="7" t="str">
        <x:v>Priority: Mars</x:v>
      </x:c>
      <x:c r="C8" s="15" t="str">
        <x:v>Défini</x:v>
      </x:c>
      <x:c r="D8" s="17" t="str">
        <x:v>Établi</x:v>
      </x:c>
      <x:c r="E8" s="17" t="str">
        <x:v>P0</x:v>
      </x:c>
      <x:c r="F8" s="7" t="str">
        <x:v>Liara recherche les données du Creuset.</x:v>
      </x:c>
      <x:c r="G8" s="7" t="str">
        <x:v>Archives enneigées, train et poursuite d’Eva ; apprendre combos et objectifs au milieu de Cerberus.</x:v>
      </x:c>
      <x:c r="H8" s="7" t="str">
        <x:v>Archives enneigées, train et poursuite d’Eva ; apprendre combos et objectifs au milieu de Cerberus.</x:v>
      </x:c>
      <x:c r="I8" s="7" t="str">
        <x:v>Rouge martien, laboratoires blancs et neige.</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me3/main_quests/mars ; rattacher les ressources et états cités à cet identifiant. Aucun fichier de jeu créé par ce catalogue.</x:v>
      </x:c>
      <x:c r="M8" s="7" t="str"/>
      <x:c r="N8" s="7" t="str">
        <x:v>Le livrable « Priority: Mars » possède une scène ou un scénario de contrôle ; ses règles proposées, ses conditions et ses retours visuels sont vérifiables séparément.</x:v>
      </x:c>
      <x:c r="O8" s="7" t="str"/>
      <x:c r="P8" s="7" t="str">
        <x:v>Priority: Mars</x:v>
      </x:c>
      <x:c r="Q8" s="7" t="str">
        <x:v>ME3-SRC-GUIDE</x:v>
      </x:c>
      <x:c r="R8" s="21" t="str">
        <x:v>https://masseffect.fandom.com/wiki/Mass_Effect_3_Guide</x:v>
      </x:c>
      <x:c r="S8" s="21" t="str">
        <x:v>Spécification à réaliser. Les champs adaptation, gameplay, visual, animation, audio et implementation décrivent le fan game ; ils ne donnent pas des caractéristiques officielles de l’œuvre.</x:v>
      </x:c>
    </x:row>
    <x:row r="9" ht="68" customHeight="1">
      <x:c r="A9" s="18" t="str">
        <x:v>ME3-MQ-CITADEL1</x:v>
      </x:c>
      <x:c r="B9" s="9" t="str">
        <x:v>Priority: The Citadel I</x:v>
      </x:c>
      <x:c r="C9" s="15" t="str">
        <x:v>Défini</x:v>
      </x:c>
      <x:c r="D9" s="16" t="str">
        <x:v>Établi</x:v>
      </x:c>
      <x:c r="E9" s="16" t="str">
        <x:v>P0</x:v>
      </x:c>
      <x:c r="F9" s="9" t="str">
        <x:v>Shepard cherche des alliances.</x:v>
      </x:c>
      <x:c r="G9" s="9" t="str">
        <x:v>Hub politique et hôpital ; nouveaux contacts clairement repérés sans combat.</x:v>
      </x:c>
      <x:c r="H9" s="9" t="str">
        <x:v>Hub politique et hôpital ; nouveaux contacts clairement repérés sans combat.</x:v>
      </x:c>
      <x:c r="I9" s="9" t="str">
        <x:v>Ambassades, hôpital et docks.</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me3/main_quests/citadel1 ; rattacher les ressources et états cités à cet identifiant. Aucun fichier de jeu créé par ce catalogue.</x:v>
      </x:c>
      <x:c r="M9" s="9" t="str"/>
      <x:c r="N9" s="9" t="str">
        <x:v>Le livrable « Priority: The Citadel I » possède une scène ou un scénario de contrôle ; ses règles proposées, ses conditions et ses retours visuels sont vérifiables séparément.</x:v>
      </x:c>
      <x:c r="O9" s="9" t="str"/>
      <x:c r="P9" s="9" t="str">
        <x:v>Priority: The Citadel I</x:v>
      </x:c>
      <x:c r="Q9" s="9" t="str">
        <x:v>ME3-SRC-GUIDE</x:v>
      </x:c>
      <x:c r="R9" s="20" t="str">
        <x:v>https://masseffect.fandom.com/wiki/Mass_Effect_3_Guide</x:v>
      </x:c>
      <x:c r="S9" s="20" t="str">
        <x:v>Spécification à réaliser. Les champs adaptation, gameplay, visual, animation, audio et implementation décrivent le fan game ; ils ne donnent pas des caractéristiques officielles de l’œuvre.</x:v>
      </x:c>
    </x:row>
    <x:row r="10" ht="68" customHeight="1">
      <x:c r="A10" s="19" t="str">
        <x:v>ME3-MQ-PALAVEN</x:v>
      </x:c>
      <x:c r="B10" s="7" t="str">
        <x:v>Priority: Palaven</x:v>
      </x:c>
      <x:c r="C10" s="15" t="str">
        <x:v>Défini</x:v>
      </x:c>
      <x:c r="D10" s="17" t="str">
        <x:v>Établi</x:v>
      </x:c>
      <x:c r="E10" s="17" t="str">
        <x:v>P0</x:v>
      </x:c>
      <x:c r="F10" s="7" t="str">
        <x:v>Un primarque turien doit être retrouvé.</x:v>
      </x:c>
      <x:c r="G10" s="7" t="str">
        <x:v>Mission sur Menae : défendre les positions, retrouver Victus et repousser la pression au sol.</x:v>
      </x:c>
      <x:c r="H10" s="7" t="str">
        <x:v>Mission sur Menae : défendre les positions, retrouver Victus et repousser la pression au sol.</x:v>
      </x:c>
      <x:c r="I10" s="7" t="str">
        <x:v>Lune en guerre, ciel de Palaven embrasé et barricades.</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me3/main_quests/palaven ; rattacher les ressources et états cités à cet identifiant. Aucun fichier de jeu créé par ce catalogue.</x:v>
      </x:c>
      <x:c r="M10" s="7" t="str"/>
      <x:c r="N10" s="7" t="str">
        <x:v>Le livrable « Priority: Palaven » possède une scène ou un scénario de contrôle ; ses règles proposées, ses conditions et ses retours visuels sont vérifiables séparément.</x:v>
      </x:c>
      <x:c r="O10" s="7" t="str"/>
      <x:c r="P10" s="7" t="str">
        <x:v>Priority: Palaven</x:v>
      </x:c>
      <x:c r="Q10" s="7" t="str">
        <x:v>ME3-SRC-GUIDE</x:v>
      </x:c>
      <x:c r="R10" s="21" t="str">
        <x:v>https://masseffect.fandom.com/wiki/Mass_Effect_3_Guide</x:v>
      </x:c>
      <x:c r="S10" s="21" t="str">
        <x:v>Spécification à réaliser. Les champs adaptation, gameplay, visual, animation, audio et implementation décrivent le fan game ; ils ne donnent pas des caractéristiques officielles de l’œuvre.</x:v>
      </x:c>
    </x:row>
    <x:row r="11" ht="68" customHeight="1">
      <x:c r="A11" s="18" t="str">
        <x:v>ME3-MQ-SURKESH</x:v>
      </x:c>
      <x:c r="B11" s="9" t="str">
        <x:v>Priority: Sur’Kesh</x:v>
      </x:c>
      <x:c r="C11" s="15" t="str">
        <x:v>Défini</x:v>
      </x:c>
      <x:c r="D11" s="16" t="str">
        <x:v>Établi</x:v>
      </x:c>
      <x:c r="E11" s="16" t="str">
        <x:v>P0</x:v>
      </x:c>
      <x:c r="F11" s="9" t="str">
        <x:v>Une krogan est évacuée sous attaque.</x:v>
      </x:c>
      <x:c r="G11" s="9" t="str">
        <x:v>Escorte d’une capsule d’un étage à l’autre ; menaces alternées et réparations exposées.</x:v>
      </x:c>
      <x:c r="H11" s="9" t="str">
        <x:v>Escorte d’une capsule d’un étage à l’autre ; menaces alternées et réparations exposées.</x:v>
      </x:c>
      <x:c r="I11" s="9" t="str">
        <x:v>Laboratoire galarien, jungle et ascenseurs.</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me3/main_quests/surkesh ; rattacher les ressources et états cités à cet identifiant. Aucun fichier de jeu créé par ce catalogue.</x:v>
      </x:c>
      <x:c r="M11" s="9" t="str"/>
      <x:c r="N11" s="9" t="str">
        <x:v>Le livrable « Priority: Sur’Kesh » possède une scène ou un scénario de contrôle ; ses règles proposées, ses conditions et ses retours visuels sont vérifiables séparément.</x:v>
      </x:c>
      <x:c r="O11" s="9" t="str"/>
      <x:c r="P11" s="9" t="str">
        <x:v>Priority: Sur’Kesh</x:v>
      </x:c>
      <x:c r="Q11" s="9" t="str">
        <x:v>ME3-SRC-GUIDE</x:v>
      </x:c>
      <x:c r="R11" s="20" t="str">
        <x:v>https://masseffect.fandom.com/wiki/Mass_Effect_3_Guide</x:v>
      </x:c>
      <x:c r="S11" s="20" t="str">
        <x:v>Spécification à réaliser. Les champs adaptation, gameplay, visual, animation, audio et implementation décrivent le fan game ; ils ne donnent pas des caractéristiques officielles de l’œuvre.</x:v>
      </x:c>
    </x:row>
    <x:row r="12" ht="82" customHeight="1">
      <x:c r="A12" s="19" t="str">
        <x:v>ME3-MQ-TUCHANKA</x:v>
      </x:c>
      <x:c r="B12" s="7" t="str">
        <x:v>Priority: Tuchanka</x:v>
      </x:c>
      <x:c r="C12" s="15" t="str">
        <x:v>Défini</x:v>
      </x:c>
      <x:c r="D12" s="17" t="str">
        <x:v>Établi</x:v>
      </x:c>
      <x:c r="E12" s="17" t="str">
        <x:v>P0</x:v>
      </x:c>
      <x:c r="F12" s="7" t="str">
        <x:v>Le remède du génophage est en jeu.</x:v>
      </x:c>
      <x:c r="G12" s="7" t="str">
        <x:v>Ruines, convois et route vers le Shroud ; choix du sabotage résolu après les attaques du Moissonneur.</x:v>
      </x:c>
      <x:c r="H12" s="7" t="str">
        <x:v>Ruines, convois et route vers le Shroud ; choix du sabotage résolu après les attaques du Moissonneur.</x:v>
      </x:c>
      <x:c r="I12" s="7" t="str">
        <x:v>Architecture krogan, Kalros et tour atmosphérique.</x:v>
      </x:c>
      <x:c r="J12" s="7" t="str">
        <x:v>Prévoir chaque variante de scène comme état nommé ; lecture, interruption et saut appliquent exactement les mêmes décisions et positions finales. Architecture krogan, Kalros et tour atmosphérique.</x:v>
      </x:c>
      <x:c r="K12" s="7" t="str">
        <x:v>Dialogues originaux enregistrés par branche, nom du locuteur et sous-titres ; couper les répliques de personnages absents avant mixage, préserver les alertes utiles pendant les transitions.</x:v>
      </x:c>
      <x:c r="L12" s="7" t="str">
        <x:v>Prévu : fiche de données me3/main_quests/tuchanka ; rattacher les ressources et états cités à cet identifiant. Aucun fichier de jeu créé par ce catalogue.</x:v>
      </x:c>
      <x:c r="M12" s="7" t="str"/>
      <x:c r="N12" s="7" t="str">
        <x:v>Chaque branche de cure/sabotage charge le bon scientifique, le bon dirigeant et le bon état d’Eve ; la tour, le journal, les forces de guerre et les entretiens suivants donnent le même résultat. Aucune branche de survie de Mordin sans prérequis vérifiés.</x:v>
      </x:c>
      <x:c r="O12" s="7" t="str"/>
      <x:c r="P12" s="7" t="str">
        <x:v>Priority: Tuchanka</x:v>
      </x:c>
      <x:c r="Q12" s="7" t="str">
        <x:v>ME3-SRC-TUCH</x:v>
      </x:c>
      <x:c r="R12" s="21" t="str">
        <x:v>https://masseffect.fandom.com/wiki/Priority%3A_Tuchanka</x:v>
      </x:c>
      <x:c r="S12" s="21" t="str">
        <x:v>Spécification à réaliser. Les champs adaptation, gameplay, visual, animation, audio et implementation décrivent le fan game ; ils ne donnent pas des caractéristiques officielles de l’œuvre.</x:v>
      </x:c>
    </x:row>
    <x:row r="13" ht="68" customHeight="1">
      <x:c r="A13" s="18" t="str">
        <x:v>ME3-MQ-CITADEL2</x:v>
      </x:c>
      <x:c r="B13" s="9" t="str">
        <x:v>Priority: The Citadel II</x:v>
      </x:c>
      <x:c r="C13" s="15" t="str">
        <x:v>Défini</x:v>
      </x:c>
      <x:c r="D13" s="16" t="str">
        <x:v>Établi</x:v>
      </x:c>
      <x:c r="E13" s="16" t="str">
        <x:v>P0</x:v>
      </x:c>
      <x:c r="F13" s="9" t="str">
        <x:v>Cerberus attaque la Citadelle.</x:v>
      </x:c>
      <x:c r="G13" s="9" t="str">
        <x:v>Progression C-Sec, poursuite et face-à-face politique ; dialogue du survivant de Virmire reste une étape séparée.</x:v>
      </x:c>
      <x:c r="H13" s="9" t="str">
        <x:v>Progression C-Sec, poursuite et face-à-face politique ; dialogue du survivant de Virmire reste une étape séparée.</x:v>
      </x:c>
      <x:c r="I13" s="9" t="str">
        <x:v>Docks, rues et ascenseur diplomatique.</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me3/main_quests/citadel2 ; rattacher les ressources et états cités à cet identifiant. Aucun fichier de jeu créé par ce catalogue.</x:v>
      </x:c>
      <x:c r="M13" s="9" t="str"/>
      <x:c r="N13" s="9" t="str">
        <x:v>Le livrable « Priority: The Citadel II » possède une scène ou un scénario de contrôle ; ses règles proposées, ses conditions et ses retours visuels sont vérifiables séparément.</x:v>
      </x:c>
      <x:c r="O13" s="9" t="str"/>
      <x:c r="P13" s="9" t="str">
        <x:v>Priority: The Citadel II</x:v>
      </x:c>
      <x:c r="Q13" s="9" t="str">
        <x:v>ME3-SRC-CITADEL2</x:v>
      </x:c>
      <x:c r="R13" s="20" t="str">
        <x:v>https://masseffect.fandom.com/wiki/Priority%3A_The_Citadel_II</x:v>
      </x:c>
      <x:c r="S13" s="20" t="str">
        <x:v>Spécification à réaliser. Les champs adaptation, gameplay, visual, animation, audio et implementation décrivent le fan game ; ils ne donnent pas des caractéristiques officielles de l’œuvre.</x:v>
      </x:c>
    </x:row>
    <x:row r="14" ht="68" customHeight="1">
      <x:c r="A14" s="19" t="str">
        <x:v>ME3-MQ-PERSEUS</x:v>
      </x:c>
      <x:c r="B14" s="7" t="str">
        <x:v>Priority: Perseus Veil</x:v>
      </x:c>
      <x:c r="C14" s="15" t="str">
        <x:v>Défini</x:v>
      </x:c>
      <x:c r="D14" s="17" t="str">
        <x:v>Établi</x:v>
      </x:c>
      <x:c r="E14" s="17" t="str">
        <x:v>P0</x:v>
      </x:c>
      <x:c r="F14" s="7" t="str">
        <x:v>La campagne rejoint le conflit quarian/geth.</x:v>
      </x:c>
      <x:c r="G14" s="7" t="str">
        <x:v>Sommet de flotte en zone sûre ; préparer les règles du cuirassé et restaurer les contacts conditionnels.</x:v>
      </x:c>
      <x:c r="H14" s="7" t="str">
        <x:v>Sommet de flotte en zone sûre ; préparer les règles du cuirassé et restaurer les contacts conditionnels.</x:v>
      </x:c>
      <x:c r="I14" s="7" t="str">
        <x:v>Hologrammes d’amiraux et vaisseaux.</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me3/main_quests/perseus ; rattacher les ressources et états cités à cet identifiant. Aucun fichier de jeu créé par ce catalogue.</x:v>
      </x:c>
      <x:c r="M14" s="7" t="str"/>
      <x:c r="N14" s="7" t="str">
        <x:v>Le livrable « Priority: Perseus Veil » possède une scène ou un scénario de contrôle ; ses règles proposées, ses conditions et ses retours visuels sont vérifiables séparément.</x:v>
      </x:c>
      <x:c r="O14" s="7" t="str"/>
      <x:c r="P14" s="7" t="str">
        <x:v>Priority: Perseus Veil</x:v>
      </x:c>
      <x:c r="Q14" s="7" t="str">
        <x:v>ME3-SRC-MISSIONS</x:v>
      </x:c>
      <x:c r="R14" s="21" t="str">
        <x:v>https://masseffect.fandom.com/wiki/Missions</x:v>
      </x:c>
      <x:c r="S14" s="21" t="str">
        <x:v>Spécification à réaliser. Les champs adaptation, gameplay, visual, animation, audio et implementation décrivent le fan game ; ils ne donnent pas des caractéristiques officielles de l’œuvre.</x:v>
      </x:c>
    </x:row>
    <x:row r="15" ht="68" customHeight="1">
      <x:c r="A15" s="18" t="str">
        <x:v>ME3-MQ-DREADNOUGHT</x:v>
      </x:c>
      <x:c r="B15" s="9" t="str">
        <x:v>Priority: Geth Dreadnought</x:v>
      </x:c>
      <x:c r="C15" s="15" t="str">
        <x:v>Défini</x:v>
      </x:c>
      <x:c r="D15" s="16" t="str">
        <x:v>Établi</x:v>
      </x:c>
      <x:c r="E15" s="16" t="str">
        <x:v>P0</x:v>
      </x:c>
      <x:c r="F15" s="9" t="str">
        <x:v>Le cuirassé geth est une cible majeure.</x:v>
      </x:c>
      <x:c r="G15" s="9" t="str">
        <x:v>Avancer dans une structure à impulsions ; libérer l’interlocuteur geth et planifier l’évasion.</x:v>
      </x:c>
      <x:c r="H15" s="9" t="str">
        <x:v>Avancer dans une structure à impulsions ; libérer l’interlocuteur geth et planifier l’évasion.</x:v>
      </x:c>
      <x:c r="I15" s="9" t="str">
        <x:v>Canon central, réseaux geth et couloir sous tension.</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me3/main_quests/dreadnought ; rattacher les ressources et états cités à cet identifiant. Aucun fichier de jeu créé par ce catalogue.</x:v>
      </x:c>
      <x:c r="M15" s="9" t="str"/>
      <x:c r="N15" s="9" t="str">
        <x:v>Le livrable « Priority: Geth Dreadnought » possède une scène ou un scénario de contrôle ; ses règles proposées, ses conditions et ses retours visuels sont vérifiables séparément.</x:v>
      </x:c>
      <x:c r="O15" s="9" t="str"/>
      <x:c r="P15" s="9" t="str">
        <x:v>Priority: Geth Dreadnought</x:v>
      </x:c>
      <x:c r="Q15" s="9" t="str">
        <x:v>ME3-SRC-MISSIONS</x:v>
      </x:c>
      <x:c r="R15" s="20" t="str">
        <x:v>https://masseffect.fandom.com/wiki/Missions</x:v>
      </x:c>
      <x:c r="S15" s="20" t="str">
        <x:v>Spécification à réaliser. Les champs adaptation, gameplay, visual, animation, audio et implementation décrivent le fan game ; ils ne donnent pas des caractéristiques officielles de l’œuvre.</x:v>
      </x:c>
    </x:row>
    <x:row r="16" ht="82" customHeight="1">
      <x:c r="A16" s="19" t="str">
        <x:v>ME3-MQ-RANNOCH</x:v>
      </x:c>
      <x:c r="B16" s="7" t="str">
        <x:v>Priority: Rannoch</x:v>
      </x:c>
      <x:c r="C16" s="15" t="str">
        <x:v>Défini</x:v>
      </x:c>
      <x:c r="D16" s="17" t="str">
        <x:v>Établi</x:v>
      </x:c>
      <x:c r="E16" s="17" t="str">
        <x:v>P0</x:v>
      </x:c>
      <x:c r="F16" s="7" t="str">
        <x:v>Le conflit geth/quarian arrive à son choix.</x:v>
      </x:c>
      <x:c r="G16" s="7" t="str">
        <x:v>Assaut terrestre puis désignation du Moissonneur ; négociation finale séparée des réflexes de visée.</x:v>
      </x:c>
      <x:c r="H16" s="7" t="str">
        <x:v>Assaut terrestre puis désignation du Moissonneur ; négociation finale séparée des réflexes de visée.</x:v>
      </x:c>
      <x:c r="I16" s="7" t="str">
        <x:v>Montagnes, base geth et ciel de Rannoch.</x:v>
      </x:c>
      <x:c r="J16" s="7" t="str">
        <x:v>Prévoir chaque variante de scène comme état nommé ; lecture, interruption et saut appliquent exactement les mêmes décisions et positions finales. Montagnes, base geth et ciel de Rannoch.</x:v>
      </x:c>
      <x:c r="K16" s="7" t="str">
        <x:v>Dialogues originaux enregistrés par branche, nom du locuteur et sous-titres ; couper les répliques de personnages absents avant mixage, préserver les alertes utiles pendant les transitions.</x:v>
      </x:c>
      <x:c r="L16" s="7" t="str">
        <x:v>Prévu : fiche de données me3/main_quests/rannoch ; rattacher les ressources et états cités à cet identifiant. Aucun fichier de jeu créé par ce catalogue.</x:v>
      </x:c>
      <x:c r="M16" s="7" t="str">
        <x:v>Prérequis de paix à vérifier avant validation.</x:v>
      </x:c>
      <x:c r="N16" s="7" t="str">
        <x:v>La paix n’apparaît que si tous les prérequis documentés sont satisfaits ; détruire une flotte retire ses contributions et applique le destin des personnages avant retour au Normandy. Le laser possède une aide de maintien et un signal avant rayon.</x:v>
      </x:c>
      <x:c r="O16" s="7" t="str"/>
      <x:c r="P16" s="7" t="str">
        <x:v>Priority: Rannoch</x:v>
      </x:c>
      <x:c r="Q16" s="7" t="str">
        <x:v>ME3-SRC-RANNOCH</x:v>
      </x:c>
      <x:c r="R16" s="21" t="str">
        <x:v>https://masseffect.fandom.com/wiki/Priority%3A_Rannoch</x:v>
      </x:c>
      <x:c r="S16" s="21" t="str">
        <x:v>Spécification à réaliser. Les champs adaptation, gameplay, visual, animation, audio et implementation décrivent le fan game ; ils ne donnent pas des caractéristiques officielles de l’œuvre.</x:v>
      </x:c>
    </x:row>
    <x:row r="17" ht="68" customHeight="1">
      <x:c r="A17" s="18" t="str">
        <x:v>ME3-MQ-CITADEL3</x:v>
      </x:c>
      <x:c r="B17" s="9" t="str">
        <x:v>Priority: The Citadel III</x:v>
      </x:c>
      <x:c r="C17" s="15" t="str">
        <x:v>Défini</x:v>
      </x:c>
      <x:c r="D17" s="16" t="str">
        <x:v>Établi</x:v>
      </x:c>
      <x:c r="E17" s="16" t="str">
        <x:v>P0</x:v>
      </x:c>
      <x:c r="F17" s="9" t="str">
        <x:v>Rencontre politique après Rannoch.</x:v>
      </x:c>
      <x:c r="G17" s="9" t="str">
        <x:v>Donner un point clair de passage vers Thessia et garder les retours de compagnons accessibles.</x:v>
      </x:c>
      <x:c r="H17" s="9" t="str">
        <x:v>Donner un point clair de passage vers Thessia et garder les retours de compagnons accessibles.</x:v>
      </x:c>
      <x:c r="I17" s="9" t="str">
        <x:v>Ambassade asari et passage du Présidium.</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me3/main_quests/citadel3 ; rattacher les ressources et états cités à cet identifiant. Aucun fichier de jeu créé par ce catalogue.</x:v>
      </x:c>
      <x:c r="M17" s="9" t="str"/>
      <x:c r="N17" s="9" t="str">
        <x:v>Le livrable « Priority: The Citadel III » possède une scène ou un scénario de contrôle ; ses règles proposées, ses conditions et ses retours visuels sont vérifiables séparément.</x:v>
      </x:c>
      <x:c r="O17" s="9" t="str"/>
      <x:c r="P17" s="9" t="str">
        <x:v>Priority: The Citadel III</x:v>
      </x:c>
      <x:c r="Q17" s="9" t="str">
        <x:v>ME3-SRC-MISSIONS</x:v>
      </x:c>
      <x:c r="R17" s="20" t="str">
        <x:v>https://masseffect.fandom.com/wiki/Missions</x:v>
      </x:c>
      <x:c r="S17" s="20" t="str">
        <x:v>Spécification à réaliser. Les champs adaptation, gameplay, visual, animation, audio et implementation décrivent le fan game ; ils ne donnent pas des caractéristiques officielles de l’œuvre.</x:v>
      </x:c>
    </x:row>
    <x:row r="18" ht="68" customHeight="1">
      <x:c r="A18" s="19" t="str">
        <x:v>ME3-MQ-THESSIA</x:v>
      </x:c>
      <x:c r="B18" s="7" t="str">
        <x:v>Priority: Thessia</x:v>
      </x:c>
      <x:c r="C18" s="15" t="str">
        <x:v>Défini</x:v>
      </x:c>
      <x:c r="D18" s="17" t="str">
        <x:v>Établi</x:v>
      </x:c>
      <x:c r="E18" s="17" t="str">
        <x:v>P0</x:v>
      </x:c>
      <x:c r="F18" s="7" t="str">
        <x:v>Shepard atteint le temple de Thessia.</x:v>
      </x:c>
      <x:c r="G18" s="7" t="str">
        <x:v>Montée urbaine sous feu, temple et Vendetta ; afficher l’issue narrative imposée sans faux choix de victoire.</x:v>
      </x:c>
      <x:c r="H18" s="7" t="str">
        <x:v>Montée urbaine sous feu, temple et Vendetta ; afficher l’issue narrative imposée sans faux choix de victoire.</x:v>
      </x:c>
      <x:c r="I18" s="7" t="str">
        <x:v>Ruines asari, temple et Moissonneurs.</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me3/main_quests/thessia ; rattacher les ressources et états cités à cet identifiant. Aucun fichier de jeu créé par ce catalogue.</x:v>
      </x:c>
      <x:c r="M18" s="7" t="str"/>
      <x:c r="N18" s="7" t="str">
        <x:v>Le livrable « Priority: Thessia » possède une scène ou un scénario de contrôle ; ses règles proposées, ses conditions et ses retours visuels sont vérifiables séparément.</x:v>
      </x:c>
      <x:c r="O18" s="7" t="str"/>
      <x:c r="P18" s="7" t="str">
        <x:v>Priority: Thessia</x:v>
      </x:c>
      <x:c r="Q18" s="7" t="str">
        <x:v>ME3-SRC-THESSIA</x:v>
      </x:c>
      <x:c r="R18" s="21" t="str">
        <x:v>https://masseffect.fandom.com/wiki/Priority%3A_Thessia</x:v>
      </x:c>
      <x:c r="S18" s="21" t="str">
        <x:v>Spécification à réaliser. Les champs adaptation, gameplay, visual, animation, audio et implementation décrivent le fan game ; ils ne donnent pas des caractéristiques officielles de l’œuvre.</x:v>
      </x:c>
    </x:row>
    <x:row r="19" ht="82" customHeight="1">
      <x:c r="A19" s="18" t="str">
        <x:v>ME3-MQ-HORIZON</x:v>
      </x:c>
      <x:c r="B19" s="9" t="str">
        <x:v>Priority: Horizon</x:v>
      </x:c>
      <x:c r="C19" s="15" t="str">
        <x:v>Défini</x:v>
      </x:c>
      <x:c r="D19" s="16" t="str">
        <x:v>Établi</x:v>
      </x:c>
      <x:c r="E19" s="16" t="str">
        <x:v>P0</x:v>
      </x:c>
      <x:c r="F19" s="9" t="str">
        <x:v>Sanctuary cache des expériences Cerberus.</x:v>
      </x:c>
      <x:c r="G19" s="9" t="str">
        <x:v>Enquête de centre de réfugiés, laboratoire puis confrontation familiale ; preuves téléchargeables avant la sortie.</x:v>
      </x:c>
      <x:c r="H19" s="9" t="str">
        <x:v>Enquête de centre de réfugiés, laboratoire puis confrontation familiale ; preuves téléchargeables avant la sortie.</x:v>
      </x:c>
      <x:c r="I19" s="9" t="str">
        <x:v>Centre d’accueil blanc et sous-sols industriels.</x:v>
      </x:c>
      <x:c r="J19" s="9" t="str">
        <x:v>Prévoir chaque variante de scène comme état nommé ; lecture, interruption et saut appliquent exactement les mêmes décisions et positions finales. Centre d’accueil blanc et sous-sols industriels.</x:v>
      </x:c>
      <x:c r="K19" s="9" t="str">
        <x:v>Dialogues originaux enregistrés par branche, nom du locuteur et sous-titres ; couper les répliques de personnages absents avant mixage, préserver les alertes utiles pendant les transitions.</x:v>
      </x:c>
      <x:c r="L19" s="9" t="str">
        <x:v>Prévu : fiche de données me3/main_quests/horizon ; rattacher les ressources et états cités à cet identifiant. Aucun fichier de jeu créé par ce catalogue.</x:v>
      </x:c>
      <x:c r="M19" s="9" t="str"/>
      <x:c r="N19" s="9" t="str">
        <x:v>Les rencontres et aides réellement enregistrées déterminent la variante Lawson ; Miranda absente n’apparaît pas dans une cinématique, Oriana reçoit toujours son état final et le journal clôt Sanctuary une fois.</x:v>
      </x:c>
      <x:c r="O19" s="9" t="str"/>
      <x:c r="P19" s="9" t="str">
        <x:v>Priority: Horizon</x:v>
      </x:c>
      <x:c r="Q19" s="9" t="str">
        <x:v>ME3-SRC-HORIZON</x:v>
      </x:c>
      <x:c r="R19" s="20" t="str">
        <x:v>https://masseffect.fandom.com/wiki/Priority%3A_Horizon</x:v>
      </x:c>
      <x:c r="S19" s="20" t="str">
        <x:v>Spécification à réaliser. Les champs adaptation, gameplay, visual, animation, audio et implementation décrivent le fan game ; ils ne donnent pas des caractéristiques officielles de l’œuvre.</x:v>
      </x:c>
    </x:row>
    <x:row r="20" ht="82" customHeight="1">
      <x:c r="A20" s="19" t="str">
        <x:v>ME3-MQ-CERBERUS</x:v>
      </x:c>
      <x:c r="B20" s="7" t="str">
        <x:v>Priority: Cerberus Headquarters</x:v>
      </x:c>
      <x:c r="C20" s="15" t="str">
        <x:v>Défini</x:v>
      </x:c>
      <x:c r="D20" s="17" t="str">
        <x:v>Établi</x:v>
      </x:c>
      <x:c r="E20" s="17" t="str">
        <x:v>P0</x:v>
      </x:c>
      <x:c r="F20" s="7" t="str">
        <x:v>Shepard attaque le quartier général.</x:v>
      </x:c>
      <x:c r="G20" s="7" t="str">
        <x:v>Assaut de hangar, archives de Lazarus et duel Kai Leng ; avertissement clair du verrou final avant départ.</x:v>
      </x:c>
      <x:c r="H20" s="7" t="str">
        <x:v>Assaut de hangar, archives de Lazarus et duel Kai Leng ; avertissement clair du verrou final avant départ.</x:v>
      </x:c>
      <x:c r="I20" s="7" t="str">
        <x:v>Station Cerberus et bureaux profonds.</x:v>
      </x:c>
      <x:c r="J20" s="7" t="str">
        <x:v>Prévoir chaque variante de scène comme état nommé ; lecture, interruption et saut appliquent exactement les mêmes décisions et positions finales. Station Cerberus et bureaux profonds.</x:v>
      </x:c>
      <x:c r="K20" s="7" t="str">
        <x:v>Dialogues originaux enregistrés par branche, nom du locuteur et sous-titres ; couper les répliques de personnages absents avant mixage, préserver les alertes utiles pendant les transitions.</x:v>
      </x:c>
      <x:c r="L20" s="7" t="str">
        <x:v>Prévu : fiche de données me3/main_quests/cerberus ; rattacher les ressources et états cités à cet identifiant. Aucun fichier de jeu créé par ce catalogue.</x:v>
      </x:c>
      <x:c r="M20" s="7" t="str">
        <x:v>Point de non-retour de campagne.</x:v>
      </x:c>
      <x:c r="N20" s="7" t="str">
        <x:v>Le départ requiert une confirmation du verrou narratif et crée une sauvegarde préalable ; retour menu n’annule pas le verrou après engagement, archives et Kai Leng se clôturent sans doubler les preuves.</x:v>
      </x:c>
      <x:c r="O20" s="7" t="str"/>
      <x:c r="P20" s="7" t="str">
        <x:v>Priority: Cerberus Headquarters</x:v>
      </x:c>
      <x:c r="Q20" s="7" t="str">
        <x:v>ME3-SRC-HQ, ME3-SRC-GUIDE</x:v>
      </x:c>
      <x:c r="R20" s="21" t="str">
        <x:v>https://masseffect.fandom.com/wiki/Priority%3A_Cerberus_Headquarters
https://masseffect.fandom.com/wiki/Mass_Effect_3_Guide</x:v>
      </x:c>
      <x:c r="S20" s="21" t="str">
        <x:v>Spécification à réaliser. Les champs adaptation, gameplay, visual, animation, audio et implementation décrivent le fan game ; ils ne donnent pas des caractéristiques officielles de l’œuvre.</x:v>
      </x:c>
    </x:row>
    <x:row r="21" ht="68" customHeight="1">
      <x:c r="A21" s="18" t="str">
        <x:v>ME3-MQ-EARTH</x:v>
      </x:c>
      <x:c r="B21" s="9" t="str">
        <x:v>Priority: Earth</x:v>
      </x:c>
      <x:c r="C21" s="15" t="str">
        <x:v>Défini</x:v>
      </x:c>
      <x:c r="D21" s="16" t="str">
        <x:v>Établi</x:v>
      </x:c>
      <x:c r="E21" s="16" t="str">
        <x:v>P0</x:v>
      </x:c>
      <x:c r="F21" s="9" t="str">
        <x:v>Les alliés attaquent pour ouvrir le Creuset.</x:v>
      </x:c>
      <x:c r="G21" s="9" t="str">
        <x:v>Deux grandes phases avec pause de composition ; routes de Londres, tir lourd, défense des missiles et faisceau.</x:v>
      </x:c>
      <x:c r="H21" s="9" t="str">
        <x:v>Deux grandes phases avec pause de composition ; routes de Londres, tir lourd, défense des missiles et faisceau.</x:v>
      </x:c>
      <x:c r="I21" s="9" t="str">
        <x:v>Londres en ruine, blindés et faisceau de Citadelle.</x:v>
      </x:c>
      <x:c r="J21" s="9" t="str">
        <x:v>Transitions de caméra et d’interface interruptibles ; aucun délai d’animation ne doit consommer une décision encore ouverte.</x:v>
      </x:c>
      <x:c r="K21" s="9" t="str">
        <x:v>Créer des bruitages et ambiances originaux adaptés au livrable ; sous-titrer les indices utiles et proposer un réglage indépendant des effets. Aucune extraction audio demandée.</x:v>
      </x:c>
      <x:c r="L21" s="9" t="str">
        <x:v>Prévu : fiche de données me3/main_quests/earth ; rattacher les ressources et états cités à cet identifiant. Aucun fichier de jeu créé par ce catalogue.</x:v>
      </x:c>
      <x:c r="M21" s="9" t="str"/>
      <x:c r="N21" s="9" t="str">
        <x:v>Le livrable « Priority: Earth » possède une scène ou un scénario de contrôle ; ses règles proposées, ses conditions et ses retours visuels sont vérifiables séparément.</x:v>
      </x:c>
      <x:c r="O21" s="9" t="str"/>
      <x:c r="P21" s="9" t="str">
        <x:v>Priority: Earth</x:v>
      </x:c>
      <x:c r="Q21" s="9" t="str">
        <x:v>ME3-SRC-EARTH</x:v>
      </x:c>
      <x:c r="R21" s="20" t="str">
        <x:v>https://masseffect.fandom.com/wiki/Priority%3A_Earth</x:v>
      </x:c>
      <x:c r="S21" s="20" t="str">
        <x:v>Spécification à réaliser. Les champs adaptation, gameplay, visual, animation, audio et implementation décrivent le fan game ; ils ne donnent pas des caractéristiques officielles de l’œuvre.</x:v>
      </x:c>
    </x:row>
    <x:row r="22" ht="82" customHeight="1">
      <x:c r="A22" s="19" t="str">
        <x:v>ME3-MQ-FINAL</x:v>
      </x:c>
      <x:c r="B22" s="7" t="str">
        <x:v>Final — Catalyseur et épilogues</x:v>
      </x:c>
      <x:c r="C22" s="15" t="str">
        <x:v>Défini</x:v>
      </x:c>
      <x:c r="D22" s="17" t="str">
        <x:v>Établi</x:v>
      </x:c>
      <x:c r="E22" s="17" t="str">
        <x:v>P0</x:v>
      </x:c>
      <x:c r="F22" s="7" t="str">
        <x:v>Les décisions finales ont plusieurs issues.</x:v>
      </x:c>
      <x:c r="G22" s="7" t="str">
        <x:v>Entretien sans ATB ; chaque option montre sa portée et exige confirmation ; épilogues lisent le parcours entier.</x:v>
      </x:c>
      <x:c r="H22" s="7" t="str">
        <x:v>Entretien sans ATB ; chaque option montre sa portée et exige confirmation ; épilogues lisent le parcours entier.</x:v>
      </x:c>
      <x:c r="I22" s="7" t="str">
        <x:v>Espace du Creuset et scènes de reconstruction conditionnelles.</x:v>
      </x:c>
      <x:c r="J22" s="7" t="str">
        <x:v>Prévoir chaque variante de scène comme état nommé ; lecture, interruption et saut appliquent exactement les mêmes décisions et positions finales. Espace du Creuset et scènes de reconstruction conditionnelles.</x:v>
      </x:c>
      <x:c r="K22" s="7" t="str">
        <x:v>Dialogues originaux enregistrés par branche, nom du locuteur et sous-titres ; couper les répliques de personnages absents avant mixage, préserver les alertes utiles pendant les transitions.</x:v>
      </x:c>
      <x:c r="L22" s="7" t="str">
        <x:v>Prévu : fiche de données me3/main_quests/final ; rattacher les ressources et états cités à cet identifiant. Aucun fichier de jeu créé par ce catalogue.</x:v>
      </x:c>
      <x:c r="M22" s="7" t="str">
        <x:v>Profil Extended Cut par défaut pour Legendary.</x:v>
      </x:c>
      <x:c r="N22" s="7" t="str">
        <x:v>L’option sélectionnée, le profil d’édition et les états politiques produisent un montage cohérent ; une option indisponible ne peut être validée via clavier. Le refus est une branche narrative définie, jamais une erreur technique.</x:v>
      </x:c>
      <x:c r="O22" s="7" t="str"/>
      <x:c r="P22" s="7" t="str">
        <x:v>Final — Catalyseur et épilogues</x:v>
      </x:c>
      <x:c r="Q22" s="7" t="str">
        <x:v>ME3-SRC-EARTH, ME3-SRC-EA-CAL, ME3-SRC-BW-EC</x:v>
      </x:c>
      <x:c r="R22" s="21" t="str">
        <x:v>https://masseffect.fandom.com/wiki/Priority%3A_Earth
https://www.ea.com/ea-play/news/gameplay-calibrations
https://blog.bioware.com/2012/06/22/mass-effect-3-extended-cut-2/</x:v>
      </x:c>
      <x:c r="S22" s="21" t="str">
        <x:v>Spécification à réaliser. Les champs adaptation, gameplay, visual, animation, audio et implementation décrivent le fan game ; ils ne donnent pas des caractéristiques officielles de l’œuvre.</x:v>
      </x:c>
    </x:row>
    <x:row r="23" ht="68" customHeight="1">
      <x:c r="A23" s="18" t="str">
        <x:v>ME3-MQ-EDEN</x:v>
      </x:c>
      <x:c r="B23" s="9" t="str">
        <x:v>Priority: Eden Prime</x:v>
      </x:c>
      <x:c r="C23" s="15" t="str">
        <x:v>Défini</x:v>
      </x:c>
      <x:c r="D23" s="16" t="str">
        <x:v>Établi</x:v>
      </x:c>
      <x:c r="E23" s="16" t="str">
        <x:v>P0</x:v>
      </x:c>
      <x:c r="F23" s="9" t="str">
        <x:v>From Ashes permet de recruter Javik.</x:v>
      </x:c>
      <x:c r="G23" s="9" t="str">
        <x:v>Exploration de colonie et capsule prothéenne ; lire deux archives avant déverrouillage de réveil.</x:v>
      </x:c>
      <x:c r="H23" s="9" t="str">
        <x:v>Exploration de colonie et capsule prothéenne ; lire deux archives avant déverrouillage de réveil.</x:v>
      </x:c>
      <x:c r="I23" s="9" t="str">
        <x:v>Colonie verte, fouilles et capsule.</x:v>
      </x:c>
      <x:c r="J23" s="9" t="str">
        <x:v>Transitions de caméra et d’interface interruptibles ; aucun délai d’animation ne doit consommer une décision encore ouverte.</x:v>
      </x:c>
      <x:c r="K23" s="9" t="str">
        <x:v>Créer des bruitages et ambiances originaux adaptés au livrable ; sous-titrer les indices utiles et proposer un réglage indépendant des effets. Aucune extraction audio demandée.</x:v>
      </x:c>
      <x:c r="L23" s="9" t="str">
        <x:v>Prévu : fiche de données me3/main_quests/eden ; rattacher les ressources et états cités à cet identifiant. Aucun fichier de jeu créé par ce catalogue.</x:v>
      </x:c>
      <x:c r="M23" s="9" t="str">
        <x:v>DLC / Legendary.</x:v>
      </x:c>
      <x:c r="N23" s="9" t="str">
        <x:v>Le livrable « Priority: Eden Prime » possède une scène ou un scénario de contrôle ; ses règles proposées, ses conditions et ses retours visuels sont vérifiables séparément.</x:v>
      </x:c>
      <x:c r="O23" s="9" t="str"/>
      <x:c r="P23" s="9" t="str">
        <x:v>Priority: Eden Prime</x:v>
      </x:c>
      <x:c r="Q23" s="9" t="str">
        <x:v>ME3-SRC-EA-ASHES, ME3-SRC-MISSIONS</x:v>
      </x:c>
      <x:c r="R23" s="20" t="str">
        <x:v>https://www.ea.com/fr-fr/games/mass-effect/mass-effect-3-from-ashes
https://masseffect.fandom.com/wiki/Missions</x:v>
      </x:c>
      <x:c r="S23" s="20" t="str">
        <x:v>Spécification à réaliser. Les champs adaptation, gameplay, visual, animation, audio et implementation décrivent le fan game ; ils ne donnent pas des caractéristiques officielles de l’œuvre.</x:v>
      </x:c>
    </x:row>
    <x:row r="24" ht="68" customHeight="1">
      <x:c r="A24" s="19" t="str">
        <x:v>ME3-MQ-BRYSON</x:v>
      </x:c>
      <x:c r="B24" s="7" t="str">
        <x:v>Citadel: Dr. Bryson / Leviathan I</x:v>
      </x:c>
      <x:c r="C24" s="15" t="str">
        <x:v>Défini</x:v>
      </x:c>
      <x:c r="D24" s="17" t="str">
        <x:v>Établi</x:v>
      </x:c>
      <x:c r="E24" s="17" t="str">
        <x:v>P0</x:v>
      </x:c>
      <x:c r="F24" s="7" t="str">
        <x:v>Entrée de l’enquête Leviathan.</x:v>
      </x:c>
      <x:c r="G24" s="7" t="str">
        <x:v>Table d’indices au laboratoire ; combiner pistes pour réduire les systèmes à scanner.</x:v>
      </x:c>
      <x:c r="H24" s="7" t="str">
        <x:v>Table d’indices au laboratoire ; combiner pistes pour réduire les systèmes à scanner.</x:v>
      </x:c>
      <x:c r="I24" s="7" t="str">
        <x:v>Objets scientifiques, carte et artéfacts.</x:v>
      </x:c>
      <x:c r="J24" s="7" t="str">
        <x:v>Transitions de caméra et d’interface interruptibles ; aucun délai d’animation ne doit consommer une décision encore ouverte.</x:v>
      </x:c>
      <x:c r="K24" s="7" t="str">
        <x:v>Créer des bruitages et ambiances originaux adaptés au livrable ; sous-titrer les indices utiles et proposer un réglage indépendant des effets. Aucune extraction audio demandée.</x:v>
      </x:c>
      <x:c r="L24" s="7" t="str">
        <x:v>Prévu : fiche de données me3/main_quests/bryson ; rattacher les ressources et états cités à cet identifiant. Aucun fichier de jeu créé par ce catalogue.</x:v>
      </x:c>
      <x:c r="M24" s="7" t="str">
        <x:v>DLC / Legendary.</x:v>
      </x:c>
      <x:c r="N24" s="7" t="str">
        <x:v>Le livrable « Citadel: Dr. Bryson / Leviathan I » possède une scène ou un scénario de contrôle ; ses règles proposées, ses conditions et ses retours visuels sont vérifiables séparément.</x:v>
      </x:c>
      <x:c r="O24" s="7" t="str"/>
      <x:c r="P24" s="7" t="str">
        <x:v>Citadel: Dr. Bryson / Leviathan I</x:v>
      </x:c>
      <x:c r="Q24" s="7" t="str">
        <x:v>ME3-SRC-LEV, ME3-SRC-MISSIONS</x:v>
      </x:c>
      <x:c r="R24" s="21" t="str">
        <x:v>https://masseffect.fandom.com/wiki/Mass_Effect_3%3A_Leviathan
https://masseffect.fandom.com/wiki/Missions</x:v>
      </x:c>
      <x:c r="S24" s="21" t="str">
        <x:v>Spécification à réaliser. Les champs adaptation, gameplay, visual, animation, audio et implementation décrivent le fan game ; ils ne donnent pas des caractéristiques officielles de l’œuvre.</x:v>
      </x:c>
    </x:row>
    <x:row r="25" ht="68" customHeight="1">
      <x:c r="A25" s="18" t="str">
        <x:v>ME3-MQ-GARNEAU</x:v>
      </x:c>
      <x:c r="B25" s="9" t="str">
        <x:v>Leviathan: Find Garneau / Mahavid</x:v>
      </x:c>
      <x:c r="C25" s="15" t="str">
        <x:v>Défini</x:v>
      </x:c>
      <x:c r="D25" s="16" t="str">
        <x:v>Établi</x:v>
      </x:c>
      <x:c r="E25" s="16" t="str">
        <x:v>P0</x:v>
      </x:c>
      <x:c r="F25" s="9" t="str">
        <x:v>L’enquête mène à Mahavid.</x:v>
      </x:c>
      <x:c r="G25" s="9" t="str">
        <x:v>Minerie silencieuse, travailleurs étranges et fuite ; le doute progresse via objets et regards.</x:v>
      </x:c>
      <x:c r="H25" s="9" t="str">
        <x:v>Minerie silencieuse, travailleurs étranges et fuite ; le doute progresse via objets et regards.</x:v>
      </x:c>
      <x:c r="I25" s="9" t="str">
        <x:v>Astéroïde, mine et logements industriels.</x:v>
      </x:c>
      <x:c r="J25" s="9" t="str">
        <x:v>Transitions de caméra et d’interface interruptibles ; aucun délai d’animation ne doit consommer une décision encore ouverte.</x:v>
      </x:c>
      <x:c r="K25" s="9" t="str">
        <x:v>Créer des bruitages et ambiances originaux adaptés au livrable ; sous-titrer les indices utiles et proposer un réglage indépendant des effets. Aucune extraction audio demandée.</x:v>
      </x:c>
      <x:c r="L25" s="9" t="str">
        <x:v>Prévu : fiche de données me3/main_quests/garneau ; rattacher les ressources et états cités à cet identifiant. Aucun fichier de jeu créé par ce catalogue.</x:v>
      </x:c>
      <x:c r="M25" s="9" t="str">
        <x:v>Première piste de Leviathan.</x:v>
      </x:c>
      <x:c r="N25" s="9" t="str">
        <x:v>Le livrable « Leviathan: Find Garneau / Mahavid » possède une scène ou un scénario de contrôle ; ses règles proposées, ses conditions et ses retours visuels sont vérifiables séparément.</x:v>
      </x:c>
      <x:c r="O25" s="9" t="str"/>
      <x:c r="P25" s="9" t="str">
        <x:v>Leviathan: Find Garneau / Mahavid</x:v>
      </x:c>
      <x:c r="Q25" s="9" t="str">
        <x:v>ME3-SRC-LEV, ME3-SRC-MISSIONS</x:v>
      </x:c>
      <x:c r="R25" s="20" t="str">
        <x:v>https://masseffect.fandom.com/wiki/Mass_Effect_3%3A_Leviathan
https://masseffect.fandom.com/wiki/Missions</x:v>
      </x:c>
      <x:c r="S25" s="20" t="str">
        <x:v>Spécification à réaliser. Les champs adaptation, gameplay, visual, animation, audio et implementation décrivent le fan game ; ils ne donnent pas des caractéristiques officielles de l’œuvre.</x:v>
      </x:c>
    </x:row>
    <x:row r="26" ht="68" customHeight="1">
      <x:c r="A26" s="19" t="str">
        <x:v>ME3-MQ-ANN</x:v>
      </x:c>
      <x:c r="B26" s="7" t="str">
        <x:v>Leviathan: Find Ann Bryson / Namakli</x:v>
      </x:c>
      <x:c r="C26" s="15" t="str">
        <x:v>Défini</x:v>
      </x:c>
      <x:c r="D26" s="17" t="str">
        <x:v>Établi</x:v>
      </x:c>
      <x:c r="E26" s="17" t="str">
        <x:v>P0</x:v>
      </x:c>
      <x:c r="F26" s="7" t="str">
        <x:v>Ann Bryson doit être retrouvée.</x:v>
      </x:c>
      <x:c r="G26" s="7" t="str">
        <x:v>Sauvetage sous pression avec chemins de réparation ; permettre une dernière inspection de preuve après sécurisation.</x:v>
      </x:c>
      <x:c r="H26" s="7" t="str">
        <x:v>Sauvetage sous pression avec chemins de réparation ; permettre une dernière inspection de preuve après sécurisation.</x:v>
      </x:c>
      <x:c r="I26" s="7" t="str">
        <x:v>Falaises, fouilles et base précaire.</x:v>
      </x:c>
      <x:c r="J26" s="7" t="str">
        <x:v>Transitions de caméra et d’interface interruptibles ; aucun délai d’animation ne doit consommer une décision encore ouverte.</x:v>
      </x:c>
      <x:c r="K26" s="7" t="str">
        <x:v>Créer des bruitages et ambiances originaux adaptés au livrable ; sous-titrer les indices utiles et proposer un réglage indépendant des effets. Aucune extraction audio demandée.</x:v>
      </x:c>
      <x:c r="L26" s="7" t="str">
        <x:v>Prévu : fiche de données me3/main_quests/ann ; rattacher les ressources et états cités à cet identifiant. Aucun fichier de jeu créé par ce catalogue.</x:v>
      </x:c>
      <x:c r="M26" s="7" t="str">
        <x:v>Après première visite laboratoire.</x:v>
      </x:c>
      <x:c r="N26" s="7" t="str">
        <x:v>Le livrable « Leviathan: Find Ann Bryson / Namakli » possède une scène ou un scénario de contrôle ; ses règles proposées, ses conditions et ses retours visuels sont vérifiables séparément.</x:v>
      </x:c>
      <x:c r="O26" s="7" t="str"/>
      <x:c r="P26" s="7" t="str">
        <x:v>Leviathan: Find Ann Bryson / Namakli</x:v>
      </x:c>
      <x:c r="Q26" s="7" t="str">
        <x:v>ME3-SRC-LEV, ME3-SRC-MISSIONS</x:v>
      </x:c>
      <x:c r="R26" s="21" t="str">
        <x:v>https://masseffect.fandom.com/wiki/Mass_Effect_3%3A_Leviathan
https://masseffect.fandom.com/wiki/Missions</x:v>
      </x:c>
      <x:c r="S26" s="21" t="str">
        <x:v>Spécification à réaliser. Les champs adaptation, gameplay, visual, animation, audio et implementation décrivent le fan game ; ils ne donnent pas des caractéristiques officielles de l’œuvre.</x:v>
      </x:c>
    </x:row>
    <x:row r="27" ht="68" customHeight="1">
      <x:c r="A27" s="18" t="str">
        <x:v>ME3-MQ-LEV-LAB</x:v>
      </x:c>
      <x:c r="B27" s="9" t="str">
        <x:v>Citadel: Leviathan II / III</x:v>
      </x:c>
      <x:c r="C27" s="15" t="str">
        <x:v>Défini</x:v>
      </x:c>
      <x:c r="D27" s="16" t="str">
        <x:v>Établi</x:v>
      </x:c>
      <x:c r="E27" s="16" t="str">
        <x:v>P0</x:v>
      </x:c>
      <x:c r="F27" s="9" t="str">
        <x:v>Le laboratoire sert plusieurs étapes.</x:v>
      </x:c>
      <x:c r="G27" s="9" t="str">
        <x:v>Graphe d’enquête conservant les filtres précédents ; le choix concernant Ann n’efface pas les indices.</x:v>
      </x:c>
      <x:c r="H27" s="9" t="str">
        <x:v>Graphe d’enquête conservant les filtres précédents ; le choix concernant Ann n’efface pas les indices.</x:v>
      </x:c>
      <x:c r="I27" s="9" t="str">
        <x:v>Table centrale et filtres holographiques.</x:v>
      </x:c>
      <x:c r="J27" s="9" t="str">
        <x:v>Transitions de caméra et d’interface interruptibles ; aucun délai d’animation ne doit consommer une décision encore ouverte.</x:v>
      </x:c>
      <x:c r="K27" s="9" t="str">
        <x:v>Créer des bruitages et ambiances originaux adaptés au livrable ; sous-titrer les indices utiles et proposer un réglage indépendant des effets. Aucune extraction audio demandée.</x:v>
      </x:c>
      <x:c r="L27" s="9" t="str">
        <x:v>Prévu : fiche de données me3/main_quests/lev-lab ; rattacher les ressources et états cités à cet identifiant. Aucun fichier de jeu créé par ce catalogue.</x:v>
      </x:c>
      <x:c r="M27" s="9" t="str">
        <x:v>Deux retours narratifs regroupés dans cette fiche.</x:v>
      </x:c>
      <x:c r="N27" s="9" t="str">
        <x:v>Le livrable « Citadel: Leviathan II / III » possède une scène ou un scénario de contrôle ; ses règles proposées, ses conditions et ses retours visuels sont vérifiables séparément.</x:v>
      </x:c>
      <x:c r="O27" s="9" t="str"/>
      <x:c r="P27" s="9" t="str">
        <x:v>Citadel: Leviathan II / III</x:v>
      </x:c>
      <x:c r="Q27" s="9" t="str">
        <x:v>ME3-SRC-LEV, ME3-SRC-MISSIONS</x:v>
      </x:c>
      <x:c r="R27" s="20" t="str">
        <x:v>https://masseffect.fandom.com/wiki/Mass_Effect_3%3A_Leviathan
https://masseffect.fandom.com/wiki/Missions</x:v>
      </x:c>
      <x:c r="S27" s="20" t="str">
        <x:v>Spécification à réaliser. Les champs adaptation, gameplay, visual, animation, audio et implementation décrivent le fan game ; ils ne donnent pas des caractéristiques officielles de l’œuvre.</x:v>
      </x:c>
    </x:row>
    <x:row r="28" ht="82" customHeight="1">
      <x:c r="A28" s="19" t="str">
        <x:v>ME3-MQ-DESPOINA</x:v>
      </x:c>
      <x:c r="B28" s="7" t="str">
        <x:v>Leviathan: Scan Locations / Despoina</x:v>
      </x:c>
      <x:c r="C28" s="15" t="str">
        <x:v>Défini</x:v>
      </x:c>
      <x:c r="D28" s="17" t="str">
        <x:v>Établi</x:v>
      </x:c>
      <x:c r="E28" s="17" t="str">
        <x:v>P0</x:v>
      </x:c>
      <x:c r="F28" s="7" t="str">
        <x:v>L’enquête aboutit à Despoina.</x:v>
      </x:c>
      <x:c r="G28" s="7" t="str">
        <x:v>Épaves de surface puis plongée en méca ; pression et oxygène comme réglages originaux facultatifs, pas faits de statistiques.</x:v>
      </x:c>
      <x:c r="H28" s="7" t="str">
        <x:v>Épaves de surface puis plongée en méca ; pression et oxygène comme réglages originaux facultatifs, pas faits de statistiques.</x:v>
      </x:c>
      <x:c r="I28" s="7" t="str">
        <x:v>Océan, coques et obscurité sous-marine.</x:v>
      </x:c>
      <x:c r="J28" s="7" t="str">
        <x:v>Prévoir chaque variante de scène comme état nommé ; lecture, interruption et saut appliquent exactement les mêmes décisions et positions finales. Océan, coques et obscurité sous-marine.</x:v>
      </x:c>
      <x:c r="K28" s="7" t="str">
        <x:v>Dialogues originaux enregistrés par branche, nom du locuteur et sous-titres ; couper les répliques de personnages absents avant mixage, préserver les alertes utiles pendant les transitions.</x:v>
      </x:c>
      <x:c r="L28" s="7" t="str">
        <x:v>Prévu : fiche de données me3/main_quests/despoina ; rattacher les ressources et états cités à cet identifiant. Aucun fichier de jeu créé par ce catalogue.</x:v>
      </x:c>
      <x:c r="M28" s="7" t="str">
        <x:v>Conclusion Leviathan.</x:v>
      </x:c>
      <x:c r="N28" s="7" t="str">
        <x:v>Le passage épave/méca/abîme se charge sans perdre les preuves ; voix compréhensible avec effets réduits, aucune commande de combat dans dialogue final, retour au Normandy avec révélation et contribution enregistrées une fois.</x:v>
      </x:c>
      <x:c r="O28" s="7" t="str"/>
      <x:c r="P28" s="7" t="str">
        <x:v>Leviathan: Scan Locations / Despoina</x:v>
      </x:c>
      <x:c r="Q28" s="7" t="str">
        <x:v>ME3-SRC-LEV, ME3-SRC-MISSIONS, ME3-SRC-EA-LEV</x:v>
      </x:c>
      <x:c r="R28" s="21" t="str">
        <x:v>https://masseffect.fandom.com/wiki/Mass_Effect_3%3A_Leviathan
https://masseffect.fandom.com/wiki/Missions
https://www.ea.com/fr-fr/games/mass-effect/mass-effect-3-leviathan</x:v>
      </x:c>
      <x:c r="S28" s="21" t="str">
        <x:v>Spécification à réaliser. Les champs adaptation, gameplay, visual, animation, audio et implementation décrivent le fan game ; ils ne donnent pas des caractéristiques officielles de l’œuvre.</x:v>
      </x:c>
    </x:row>
    <x:row r="29" ht="68" customHeight="1">
      <x:c r="A29" s="18" t="str">
        <x:v>ME3-MQ-OMEGA-BRIEF</x:v>
      </x:c>
      <x:c r="B29" s="9" t="str">
        <x:v>Citadel: Aria T’Loak</x:v>
      </x:c>
      <x:c r="C29" s="15" t="str">
        <x:v>Défini</x:v>
      </x:c>
      <x:c r="D29" s="16" t="str">
        <x:v>Établi</x:v>
      </x:c>
      <x:c r="E29" s="16" t="str">
        <x:v>P0</x:v>
      </x:c>
      <x:c r="F29" s="9" t="str">
        <x:v>Aria recrute Shepard pour Omega.</x:v>
      </x:c>
      <x:c r="G29" s="9" t="str">
        <x:v>Briefing avant départ avec verrou d’équipe annoncé ; la sélection permanente n’apparaît pas pendant ce DLC.</x:v>
      </x:c>
      <x:c r="H29" s="9" t="str">
        <x:v>Briefing avant départ avec verrou d’équipe annoncé ; la sélection permanente n’apparaît pas pendant ce DLC.</x:v>
      </x:c>
      <x:c r="I29" s="9" t="str">
        <x:v>Navette, Aria et plan d’invasion.</x:v>
      </x:c>
      <x:c r="J29" s="9" t="str">
        <x:v>Transitions de caméra et d’interface interruptibles ; aucun délai d’animation ne doit consommer une décision encore ouverte.</x:v>
      </x:c>
      <x:c r="K29" s="9" t="str">
        <x:v>Créer des bruitages et ambiances originaux adaptés au livrable ; sous-titrer les indices utiles et proposer un réglage indépendant des effets. Aucune extraction audio demandée.</x:v>
      </x:c>
      <x:c r="L29" s="9" t="str">
        <x:v>Prévu : fiche de données me3/main_quests/omega-brief ; rattacher les ressources et états cités à cet identifiant. Aucun fichier de jeu créé par ce catalogue.</x:v>
      </x:c>
      <x:c r="M29" s="9" t="str">
        <x:v>DLC / Legendary.</x:v>
      </x:c>
      <x:c r="N29" s="9" t="str">
        <x:v>Le livrable « Citadel: Aria T’Loak » possède une scène ou un scénario de contrôle ; ses règles proposées, ses conditions et ses retours visuels sont vérifiables séparément.</x:v>
      </x:c>
      <x:c r="O29" s="9" t="str"/>
      <x:c r="P29" s="9" t="str">
        <x:v>Citadel: Aria T’Loak</x:v>
      </x:c>
      <x:c r="Q29" s="9" t="str">
        <x:v>ME3-SRC-OMEGA-START</x:v>
      </x:c>
      <x:c r="R29" s="20" t="str">
        <x:v>https://masseffect.fandom.com/wiki/Citadel%3A_Aria_T%27Loak</x:v>
      </x:c>
      <x:c r="S29" s="20" t="str">
        <x:v>Spécification à réaliser. Les champs adaptation, gameplay, visual, animation, audio et implementation décrivent le fan game ; ils ne donnent pas des caractéristiques officielles de l’œuvre.</x:v>
      </x:c>
    </x:row>
    <x:row r="30" ht="82" customHeight="1">
      <x:c r="A30" s="19" t="str">
        <x:v>ME3-MQ-OMEGA</x:v>
      </x:c>
      <x:c r="B30" s="7" t="str">
        <x:v>Omega: Aria T’Loak</x:v>
      </x:c>
      <x:c r="C30" s="15" t="str">
        <x:v>Défini</x:v>
      </x:c>
      <x:c r="D30" s="17" t="str">
        <x:v>Établi</x:v>
      </x:c>
      <x:c r="E30" s="17" t="str">
        <x:v>P0</x:v>
      </x:c>
      <x:c r="F30" s="7" t="str">
        <x:v>Aria reprend la station à Cerberus.</x:v>
      </x:c>
      <x:c r="G30" s="7" t="str">
        <x:v>Assaut, bunker, tunnels, Talons, réacteur puis Afterlife ; séparer morale d’Aria, civils et reddition finale.</x:v>
      </x:c>
      <x:c r="H30" s="7" t="str">
        <x:v>Assaut, bunker, tunnels, Talons, réacteur puis Afterlife ; séparer morale d’Aria, civils et reddition finale.</x:v>
      </x:c>
      <x:c r="I30" s="7" t="str">
        <x:v>Station occupée, champs de force et Adjutants.</x:v>
      </x:c>
      <x:c r="J30" s="7" t="str">
        <x:v>Prévoir chaque variante de scène comme état nommé ; lecture, interruption et saut appliquent exactement les mêmes décisions et positions finales. Station occupée, champs de force et Adjutants.</x:v>
      </x:c>
      <x:c r="K30" s="7" t="str">
        <x:v>Dialogues originaux enregistrés par branche, nom du locuteur et sous-titres ; couper les répliques de personnages absents avant mixage, préserver les alertes utiles pendant les transitions.</x:v>
      </x:c>
      <x:c r="L30" s="7" t="str">
        <x:v>Prévu : fiche de données me3/main_quests/omega ; rattacher les ressources et états cités à cet identifiant. Aucun fichier de jeu créé par ce catalogue.</x:v>
      </x:c>
      <x:c r="M30" s="7" t="str">
        <x:v>Aria et Nyreen temporaires ; retour libre limité.</x:v>
      </x:c>
      <x:c r="N30" s="7" t="str">
        <x:v>Les étapes locales n’acceptent que les compagnons autorisés ; chaque générateur désactivé est conservé à la reprise, la boucle de combat s’arrête à la victoire et la branche Petrovsky restitue le groupe normal après départ.</x:v>
      </x:c>
      <x:c r="O30" s="7" t="str"/>
      <x:c r="P30" s="7" t="str">
        <x:v>Omega: Aria T’Loak</x:v>
      </x:c>
      <x:c r="Q30" s="7" t="str">
        <x:v>ME3-SRC-OMEGA, ME3-SRC-EA-OMEGA</x:v>
      </x:c>
      <x:c r="R30" s="21" t="str">
        <x:v>https://masseffect.fandom.com/wiki/Omega%3A_Aria_T%27Loak_%28Mass_Effect_3%29
https://www.ea.com/fr-fr/games/mass-effect/mass-effect-3-omega</x:v>
      </x:c>
      <x:c r="S30" s="21" t="str">
        <x:v>Spécification à réaliser. Les champs adaptation, gameplay, visual, animation, audio et implementation décrivent le fan game ; ils ne donnent pas des caractéristiques officielles de l’œuvre.</x:v>
      </x:c>
    </x:row>
    <x:row r="31" ht="68" customHeight="1">
      <x:c r="A31" s="18" t="str">
        <x:v>ME3-MQ-CIT-SHORE</x:v>
      </x:c>
      <x:c r="B31" s="9" t="str">
        <x:v>Citadel: Shore Leave</x:v>
      </x:c>
      <x:c r="C31" s="15" t="str">
        <x:v>Défini</x:v>
      </x:c>
      <x:c r="D31" s="16" t="str">
        <x:v>Établi</x:v>
      </x:c>
      <x:c r="E31" s="16" t="str">
        <x:v>P0</x:v>
      </x:c>
      <x:c r="F31" s="9" t="str">
        <x:v>Le DLC Citadel commence pendant une permission.</x:v>
      </x:c>
      <x:c r="G31" s="9" t="str">
        <x:v>Installer appartement et rencontre au restaurant ; aucune position après-fin canonique imposée.</x:v>
      </x:c>
      <x:c r="H31" s="9" t="str">
        <x:v>Installer appartement et rencontre au restaurant ; aucune position après-fin canonique imposée.</x:v>
      </x:c>
      <x:c r="I31" s="9" t="str">
        <x:v>Silversun Strip, appartement et restaurant.</x:v>
      </x:c>
      <x:c r="J31" s="9" t="str">
        <x:v>Transitions de caméra et d’interface interruptibles ; aucun délai d’animation ne doit consommer une décision encore ouverte.</x:v>
      </x:c>
      <x:c r="K31" s="9" t="str">
        <x:v>Créer des bruitages et ambiances originaux adaptés au livrable ; sous-titrer les indices utiles et proposer un réglage indépendant des effets. Aucune extraction audio demandée.</x:v>
      </x:c>
      <x:c r="L31" s="9" t="str">
        <x:v>Prévu : fiche de données me3/main_quests/cit-shore ; rattacher les ressources et états cités à cet identifiant. Aucun fichier de jeu créé par ce catalogue.</x:v>
      </x:c>
      <x:c r="M31" s="9" t="str">
        <x:v>Pendant la campagne, avant verrou final.</x:v>
      </x:c>
      <x:c r="N31" s="9" t="str">
        <x:v>Le livrable « Citadel: Shore Leave » possède une scène ou un scénario de contrôle ; ses règles proposées, ses conditions et ses retours visuels sont vérifiables séparément.</x:v>
      </x:c>
      <x:c r="O31" s="9" t="str"/>
      <x:c r="P31" s="9" t="str">
        <x:v>Citadel: Shore Leave</x:v>
      </x:c>
      <x:c r="Q31" s="9" t="str">
        <x:v>ME3-SRC-CIT-DLC, ME3-SRC-BW-CITADEL</x:v>
      </x:c>
      <x:c r="R31" s="20" t="str">
        <x:v>https://masseffect.fandom.com/wiki/Mass_Effect_3%3A_Citadel
https://blog.bioware.com/2013/02/21/mass-effect-3-citadel-reckoning-dlc-announced/</x:v>
      </x:c>
      <x:c r="S31" s="20" t="str">
        <x:v>Spécification à réaliser. Les champs adaptation, gameplay, visual, animation, audio et implementation décrivent le fan game ; ils ne donnent pas des caractéristiques officielles de l’œuvre.</x:v>
      </x:c>
    </x:row>
    <x:row r="32" ht="68" customHeight="1">
      <x:c r="A32" s="19" t="str">
        <x:v>ME3-MQ-CIT-AMBUSH</x:v>
      </x:c>
      <x:c r="B32" s="7" t="str">
        <x:v>Citadel Wards: Ambush</x:v>
      </x:c>
      <x:c r="C32" s="15" t="str">
        <x:v>Défini</x:v>
      </x:c>
      <x:c r="D32" s="17" t="str">
        <x:v>Établi</x:v>
      </x:c>
      <x:c r="E32" s="17" t="str">
        <x:v>P0</x:v>
      </x:c>
      <x:c r="F32" s="7" t="str">
        <x:v>Shepard subit une attaque.</x:v>
      </x:c>
      <x:c r="G32" s="7" t="str">
        <x:v>Fuite avec arsenal limité puis rassemblement des alliés ; routes latérales et couvert léger.</x:v>
      </x:c>
      <x:c r="H32" s="7" t="str">
        <x:v>Fuite avec arsenal limité puis rassemblement des alliés ; routes latérales et couvert léger.</x:v>
      </x:c>
      <x:c r="I32" s="7" t="str">
        <x:v>Restaurant endommagé, rues basses et parkings.</x:v>
      </x:c>
      <x:c r="J32" s="7" t="str">
        <x:v>Transitions de caméra et d’interface interruptibles ; aucun délai d’animation ne doit consommer une décision encore ouverte.</x:v>
      </x:c>
      <x:c r="K32" s="7" t="str">
        <x:v>Créer des bruitages et ambiances originaux adaptés au livrable ; sous-titrer les indices utiles et proposer un réglage indépendant des effets. Aucune extraction audio demandée.</x:v>
      </x:c>
      <x:c r="L32" s="7" t="str">
        <x:v>Prévu : fiche de données me3/main_quests/cit-ambush ; rattacher les ressources et états cités à cet identifiant. Aucun fichier de jeu créé par ce catalogue.</x:v>
      </x:c>
      <x:c r="M32" s="7" t="str">
        <x:v>DLC Citadel.</x:v>
      </x:c>
      <x:c r="N32" s="7" t="str">
        <x:v>Le livrable « Citadel Wards: Ambush » possède une scène ou un scénario de contrôle ; ses règles proposées, ses conditions et ses retours visuels sont vérifiables séparément.</x:v>
      </x:c>
      <x:c r="O32" s="7" t="str"/>
      <x:c r="P32" s="7" t="str">
        <x:v>Citadel Wards: Ambush</x:v>
      </x:c>
      <x:c r="Q32" s="7" t="str">
        <x:v>ME3-SRC-MISSIONS, ME3-SRC-CIT-DLC</x:v>
      </x:c>
      <x:c r="R32" s="21" t="str">
        <x:v>https://masseffect.fandom.com/wiki/Missions
https://masseffect.fandom.com/wiki/Mass_Effect_3%3A_Citadel</x:v>
      </x:c>
      <x:c r="S32" s="21" t="str">
        <x:v>Spécification à réaliser. Les champs adaptation, gameplay, visual, animation, audio et implementation décrivent le fan game ; ils ne donnent pas des caractéristiques officielles de l’œuvre.</x:v>
      </x:c>
    </x:row>
    <x:row r="33" ht="68" customHeight="1">
      <x:c r="A33" s="18" t="str">
        <x:v>ME3-MQ-CIT-IDENTITY1</x:v>
      </x:c>
      <x:c r="B33" s="9" t="str">
        <x:v>Citadel: Identity Theft I</x:v>
      </x:c>
      <x:c r="C33" s="15" t="str">
        <x:v>Défini</x:v>
      </x:c>
      <x:c r="D33" s="16" t="str">
        <x:v>Établi</x:v>
      </x:c>
      <x:c r="E33" s="16" t="str">
        <x:v>P0</x:v>
      </x:c>
      <x:c r="F33" s="9" t="str">
        <x:v>Enquête sur le complot.</x:v>
      </x:c>
      <x:c r="G33" s="9" t="str">
        <x:v>Débriefing à l’appartement, équipe et choix de partenaire pour la soirée ; ne pas doubler les scènes avec compagnons absents.</x:v>
      </x:c>
      <x:c r="H33" s="9" t="str">
        <x:v>Débriefing à l’appartement, équipe et choix de partenaire pour la soirée ; ne pas doubler les scènes avec compagnons absents.</x:v>
      </x:c>
      <x:c r="I33" s="9" t="str">
        <x:v>Appartement converti en poste d’enquête.</x:v>
      </x:c>
      <x:c r="J33" s="9" t="str">
        <x:v>Transitions de caméra et d’interface interruptibles ; aucun délai d’animation ne doit consommer une décision encore ouverte.</x:v>
      </x:c>
      <x:c r="K33" s="9" t="str">
        <x:v>Créer des bruitages et ambiances originaux adaptés au livrable ; sous-titrer les indices utiles et proposer un réglage indépendant des effets. Aucune extraction audio demandée.</x:v>
      </x:c>
      <x:c r="L33" s="9" t="str">
        <x:v>Prévu : fiche de données me3/main_quests/cit-identity1 ; rattacher les ressources et états cités à cet identifiant. Aucun fichier de jeu créé par ce catalogue.</x:v>
      </x:c>
      <x:c r="M33" s="9" t="str">
        <x:v>DLC Citadel.</x:v>
      </x:c>
      <x:c r="N33" s="9" t="str">
        <x:v>Le livrable « Citadel: Identity Theft I » possède une scène ou un scénario de contrôle ; ses règles proposées, ses conditions et ses retours visuels sont vérifiables séparément.</x:v>
      </x:c>
      <x:c r="O33" s="9" t="str"/>
      <x:c r="P33" s="9" t="str">
        <x:v>Citadel: Identity Theft I</x:v>
      </x:c>
      <x:c r="Q33" s="9" t="str">
        <x:v>ME3-SRC-MISSIONS</x:v>
      </x:c>
      <x:c r="R33" s="20" t="str">
        <x:v>https://masseffect.fandom.com/wiki/Missions</x:v>
      </x:c>
      <x:c r="S33" s="20" t="str">
        <x:v>Spécification à réaliser. Les champs adaptation, gameplay, visual, animation, audio et implementation décrivent le fan game ; ils ne donnent pas des caractéristiques officielles de l’œuvre.</x:v>
      </x:c>
    </x:row>
    <x:row r="34" ht="68" customHeight="1">
      <x:c r="A34" s="19" t="str">
        <x:v>ME3-MQ-CIT-CASINO</x:v>
      </x:c>
      <x:c r="B34" s="7" t="str">
        <x:v>Silver Coast Casino: Infiltration</x:v>
      </x:c>
      <x:c r="C34" s="15" t="str">
        <x:v>Défini</x:v>
      </x:c>
      <x:c r="D34" s="17" t="str">
        <x:v>Établi</x:v>
      </x:c>
      <x:c r="E34" s="17" t="str">
        <x:v>P0</x:v>
      </x:c>
      <x:c r="F34" s="7" t="str">
        <x:v>L’enquête traverse un casino.</x:v>
      </x:c>
      <x:c r="G34" s="7" t="str">
        <x:v>Phase sociale, capteurs et partenaire ; navigation discrète sans combat imposé.</x:v>
      </x:c>
      <x:c r="H34" s="7" t="str">
        <x:v>Phase sociale, capteurs et partenaire ; navigation discrète sans combat imposé.</x:v>
      </x:c>
      <x:c r="I34" s="7" t="str">
        <x:v>Salle de jeu, éclairage or et caméras.</x:v>
      </x:c>
      <x:c r="J34" s="7" t="str">
        <x:v>Transitions de caméra et d’interface interruptibles ; aucun délai d’animation ne doit consommer une décision encore ouverte.</x:v>
      </x:c>
      <x:c r="K34" s="7" t="str">
        <x:v>Créer des bruitages et ambiances originaux adaptés au livrable ; sous-titrer les indices utiles et proposer un réglage indépendant des effets. Aucune extraction audio demandée.</x:v>
      </x:c>
      <x:c r="L34" s="7" t="str">
        <x:v>Prévu : fiche de données me3/main_quests/cit-casino ; rattacher les ressources et états cités à cet identifiant. Aucun fichier de jeu créé par ce catalogue.</x:v>
      </x:c>
      <x:c r="M34" s="7" t="str">
        <x:v>DLC Citadel.</x:v>
      </x:c>
      <x:c r="N34" s="7" t="str">
        <x:v>Le livrable « Silver Coast Casino: Infiltration » possède une scène ou un scénario de contrôle ; ses règles proposées, ses conditions et ses retours visuels sont vérifiables séparément.</x:v>
      </x:c>
      <x:c r="O34" s="7" t="str"/>
      <x:c r="P34" s="7" t="str">
        <x:v>Silver Coast Casino: Infiltration</x:v>
      </x:c>
      <x:c r="Q34" s="7" t="str">
        <x:v>ME3-SRC-MISSIONS, ME3-SRC-BW-CITADEL</x:v>
      </x:c>
      <x:c r="R34" s="21" t="str">
        <x:v>https://masseffect.fandom.com/wiki/Missions
https://blog.bioware.com/2013/02/21/mass-effect-3-citadel-reckoning-dlc-announced/</x:v>
      </x:c>
      <x:c r="S34" s="21" t="str">
        <x:v>Spécification à réaliser. Les champs adaptation, gameplay, visual, animation, audio et implementation décrivent le fan game ; ils ne donnent pas des caractéristiques officielles de l’œuvre.</x:v>
      </x:c>
    </x:row>
    <x:row r="35" ht="68" customHeight="1">
      <x:c r="A35" s="18" t="str">
        <x:v>ME3-MQ-CIT-IDENTITY2</x:v>
      </x:c>
      <x:c r="B35" s="9" t="str">
        <x:v>Citadel: Identity Theft II</x:v>
      </x:c>
      <x:c r="C35" s="15" t="str">
        <x:v>Défini</x:v>
      </x:c>
      <x:c r="D35" s="16" t="str">
        <x:v>Établi</x:v>
      </x:c>
      <x:c r="E35" s="16" t="str">
        <x:v>P0</x:v>
      </x:c>
      <x:c r="F35" s="9" t="str">
        <x:v>La piste conduit aux archives.</x:v>
      </x:c>
      <x:c r="G35" s="9" t="str">
        <x:v>Débriefing de groupe et préparation de l’assaut ; conversation de romance sélectionnée par état.</x:v>
      </x:c>
      <x:c r="H35" s="9" t="str">
        <x:v>Débriefing de groupe et préparation de l’assaut ; conversation de romance sélectionnée par état.</x:v>
      </x:c>
      <x:c r="I35" s="9" t="str">
        <x:v>Appartement et carte d’archives.</x:v>
      </x:c>
      <x:c r="J35" s="9" t="str">
        <x:v>Transitions de caméra et d’interface interruptibles ; aucun délai d’animation ne doit consommer une décision encore ouverte.</x:v>
      </x:c>
      <x:c r="K35" s="9" t="str">
        <x:v>Créer des bruitages et ambiances originaux adaptés au livrable ; sous-titrer les indices utiles et proposer un réglage indépendant des effets. Aucune extraction audio demandée.</x:v>
      </x:c>
      <x:c r="L35" s="9" t="str">
        <x:v>Prévu : fiche de données me3/main_quests/cit-identity2 ; rattacher les ressources et états cités à cet identifiant. Aucun fichier de jeu créé par ce catalogue.</x:v>
      </x:c>
      <x:c r="M35" s="9" t="str">
        <x:v>DLC Citadel.</x:v>
      </x:c>
      <x:c r="N35" s="9" t="str">
        <x:v>Le livrable « Citadel: Identity Theft II » possède une scène ou un scénario de contrôle ; ses règles proposées, ses conditions et ses retours visuels sont vérifiables séparément.</x:v>
      </x:c>
      <x:c r="O35" s="9" t="str"/>
      <x:c r="P35" s="9" t="str">
        <x:v>Citadel: Identity Theft II</x:v>
      </x:c>
      <x:c r="Q35" s="9" t="str">
        <x:v>ME3-SRC-MISSIONS</x:v>
      </x:c>
      <x:c r="R35" s="20" t="str">
        <x:v>https://masseffect.fandom.com/wiki/Missions</x:v>
      </x:c>
      <x:c r="S35" s="20" t="str">
        <x:v>Spécification à réaliser. Les champs adaptation, gameplay, visual, animation, audio et implementation décrivent le fan game ; ils ne donnent pas des caractéristiques officielles de l’œuvre.</x:v>
      </x:c>
    </x:row>
    <x:row r="36" ht="68" customHeight="1">
      <x:c r="A36" s="19" t="str">
        <x:v>ME3-MQ-CIT-ARCHIVES</x:v>
      </x:c>
      <x:c r="B36" s="7" t="str">
        <x:v>Citadel Archives: Escape</x:v>
      </x:c>
      <x:c r="C36" s="15" t="str">
        <x:v>Défini</x:v>
      </x:c>
      <x:c r="D36" s="17" t="str">
        <x:v>Établi</x:v>
      </x:c>
      <x:c r="E36" s="17" t="str">
        <x:v>P0</x:v>
      </x:c>
      <x:c r="F36" s="7" t="str">
        <x:v>Le groupe entre dans les archives.</x:v>
      </x:c>
      <x:c r="G36" s="7" t="str">
        <x:v>Combats à équipes multiples et découverte du clone ; parallèles de groupe représentés par événements précis.</x:v>
      </x:c>
      <x:c r="H36" s="7" t="str">
        <x:v>Combats à équipes multiples et découverte du clone ; parallèles de groupe représentés par événements précis.</x:v>
      </x:c>
      <x:c r="I36" s="7" t="str">
        <x:v>Salles de mémoire, hologrammes et passerelles.</x:v>
      </x:c>
      <x:c r="J36" s="7" t="str">
        <x:v>Transitions de caméra et d’interface interruptibles ; aucun délai d’animation ne doit consommer une décision encore ouverte.</x:v>
      </x:c>
      <x:c r="K36" s="7" t="str">
        <x:v>Créer des bruitages et ambiances originaux adaptés au livrable ; sous-titrer les indices utiles et proposer un réglage indépendant des effets. Aucune extraction audio demandée.</x:v>
      </x:c>
      <x:c r="L36" s="7" t="str">
        <x:v>Prévu : fiche de données me3/main_quests/cit-archives ; rattacher les ressources et états cités à cet identifiant. Aucun fichier de jeu créé par ce catalogue.</x:v>
      </x:c>
      <x:c r="M36" s="7" t="str">
        <x:v>DLC Citadel.</x:v>
      </x:c>
      <x:c r="N36" s="7" t="str">
        <x:v>Le livrable « Citadel Archives: Escape » possède une scène ou un scénario de contrôle ; ses règles proposées, ses conditions et ses retours visuels sont vérifiables séparément.</x:v>
      </x:c>
      <x:c r="O36" s="7" t="str"/>
      <x:c r="P36" s="7" t="str">
        <x:v>Citadel Archives: Escape</x:v>
      </x:c>
      <x:c r="Q36" s="7" t="str">
        <x:v>ME3-SRC-MISSIONS, ME3-SRC-BW-CITADEL</x:v>
      </x:c>
      <x:c r="R36" s="21" t="str">
        <x:v>https://masseffect.fandom.com/wiki/Missions
https://blog.bioware.com/2013/02/21/mass-effect-3-citadel-reckoning-dlc-announced/</x:v>
      </x:c>
      <x:c r="S36" s="21" t="str">
        <x:v>Spécification à réaliser. Les champs adaptation, gameplay, visual, animation, audio et implementation décrivent le fan game ; ils ne donnent pas des caractéristiques officielles de l’œuvre.</x:v>
      </x:c>
    </x:row>
    <x:row r="37" ht="82" customHeight="1">
      <x:c r="A37" s="18" t="str">
        <x:v>ME3-MQ-CIT-NORMANDY</x:v>
      </x:c>
      <x:c r="B37" s="9" t="str">
        <x:v>Citadel Docks: Retake the Normandy</x:v>
      </x:c>
      <x:c r="C37" s="15" t="str">
        <x:v>Défini</x:v>
      </x:c>
      <x:c r="D37" s="16" t="str">
        <x:v>Établi</x:v>
      </x:c>
      <x:c r="E37" s="16" t="str">
        <x:v>P0</x:v>
      </x:c>
      <x:c r="F37" s="9" t="str">
        <x:v>Le complot menace le Normandy.</x:v>
      </x:c>
      <x:c r="G37" s="9" t="str">
        <x:v>Assaut de soute et duel clone/Brooks ; contre-mesures selon classe du clone, médi-gel visible.</x:v>
      </x:c>
      <x:c r="H37" s="9" t="str">
        <x:v>Assaut de soute et duel clone/Brooks ; contre-mesures selon classe du clone, médi-gel visible.</x:v>
      </x:c>
      <x:c r="I37" s="9" t="str">
        <x:v>Normandy envahi et rampe de soute.</x:v>
      </x:c>
      <x:c r="J37" s="9" t="str">
        <x:v>Prévoir chaque variante de scène comme état nommé ; lecture, interruption et saut appliquent exactement les mêmes décisions et positions finales. Normandy envahi et rampe de soute.</x:v>
      </x:c>
      <x:c r="K37" s="9" t="str">
        <x:v>Dialogues originaux enregistrés par branche, nom du locuteur et sous-titres ; couper les répliques de personnages absents avant mixage, préserver les alertes utiles pendant les transitions.</x:v>
      </x:c>
      <x:c r="L37" s="9" t="str">
        <x:v>Prévu : fiche de données me3/main_quests/cit-normandy ; rattacher les ressources et états cités à cet identifiant. Aucun fichier de jeu créé par ce catalogue.</x:v>
      </x:c>
      <x:c r="M37" s="9" t="str">
        <x:v>DLC Citadel.</x:v>
      </x:c>
      <x:c r="N37" s="9" t="str">
        <x:v>Chaque classe du clone possède un cycle d’action contrôlable ; skip et lecture complète rendent le même équipement, le même sort de Brooks et le même journal. Aucun invité n’est modifié par le duel.</x:v>
      </x:c>
      <x:c r="O37" s="9" t="str"/>
      <x:c r="P37" s="9" t="str">
        <x:v>Citadel Docks: Retake the Normandy</x:v>
      </x:c>
      <x:c r="Q37" s="9" t="str">
        <x:v>ME3-SRC-MISSIONS, ME3-SRC-CLONE, ME3-SRC-BROOKS</x:v>
      </x:c>
      <x:c r="R37" s="20" t="str">
        <x:v>https://masseffect.fandom.com/wiki/Missions
https://masseffect.fandom.com/wiki/Clone
https://masseffect.fandom.com/wiki/Brooks</x:v>
      </x:c>
      <x:c r="S37" s="20" t="str">
        <x:v>Spécification à réaliser. Les champs adaptation, gameplay, visual, animation, audio et implementation décrivent le fan game ; ils ne donnent pas des caractéristiques officielles de l’œuvre.</x:v>
      </x:c>
    </x:row>
    <x:row r="38" ht="68" customHeight="1">
      <x:c r="A38" s="19" t="str">
        <x:v>ME3-MQ-CIT-PARTY</x:v>
      </x:c>
      <x:c r="B38" s="7" t="str">
        <x:v>Citadel: Party</x:v>
      </x:c>
      <x:c r="C38" s="15" t="str">
        <x:v>Défini</x:v>
      </x:c>
      <x:c r="D38" s="17" t="str">
        <x:v>Établi</x:v>
      </x:c>
      <x:c r="E38" s="17" t="str">
        <x:v>P0</x:v>
      </x:c>
      <x:c r="F38" s="7" t="str">
        <x:v>La permission permet une fête d’équipage.</x:v>
      </x:c>
      <x:c r="G38" s="7" t="str">
        <x:v>Invitations conditionnelles, phases d’ambiance et photo de groupe ; positions sans collision et chronologie explicite.</x:v>
      </x:c>
      <x:c r="H38" s="7" t="str">
        <x:v>Invitations conditionnelles, phases d’ambiance et photo de groupe ; positions sans collision et chronologie explicite.</x:v>
      </x:c>
      <x:c r="I38" s="7" t="str">
        <x:v>Appartement, musique originale et souvenirs.</x:v>
      </x:c>
      <x:c r="J38" s="7" t="str">
        <x:v>Transitions de caméra et d’interface interruptibles ; aucun délai d’animation ne doit consommer une décision encore ouverte.</x:v>
      </x:c>
      <x:c r="K38" s="7" t="str">
        <x:v>Créer des bruitages et ambiances originaux adaptés au livrable ; sous-titrer les indices utiles et proposer un réglage indépendant des effets. Aucune extraction audio demandée.</x:v>
      </x:c>
      <x:c r="L38" s="7" t="str">
        <x:v>Prévu : fiche de données me3/main_quests/cit-party ; rattacher les ressources et états cités à cet identifiant. Aucun fichier de jeu créé par ce catalogue.</x:v>
      </x:c>
      <x:c r="M38" s="7" t="str">
        <x:v>Personnages vivants et invités uniquement.</x:v>
      </x:c>
      <x:c r="N38" s="7" t="str">
        <x:v>Le livrable « Citadel: Party » possède une scène ou un scénario de contrôle ; ses règles proposées, ses conditions et ses retours visuels sont vérifiables séparément.</x:v>
      </x:c>
      <x:c r="O38" s="7" t="str"/>
      <x:c r="P38" s="7" t="str">
        <x:v>Citadel: Party</x:v>
      </x:c>
      <x:c r="Q38" s="7" t="str">
        <x:v>ME3-SRC-MISSIONS, ME3-SRC-BW-CITADEL</x:v>
      </x:c>
      <x:c r="R38" s="21" t="str">
        <x:v>https://masseffect.fandom.com/wiki/Missions
https://blog.bioware.com/2013/02/21/mass-effect-3-citadel-reckoning-dlc-announced/</x:v>
      </x:c>
      <x:c r="S38" s="21" t="str">
        <x:v>Spécification à réaliser. Les champs adaptation, gameplay, visual, animation, audio et implementation décrivent le fan game ; ils ne donnent pas des caractéristiques officielles de l’œuvre.</x:v>
      </x:c>
    </x:row>
  </x:sheetData>
  <x:conditionalFormatting sqref="D7:D38">
    <x:cfRule type="cellIs" dxfId="36" priority="1" operator="equal">
      <x:formula>"À vérifier"</x:formula>
    </x:cfRule>
    <x:cfRule type="cellIs" dxfId="37" priority="2" operator="equal">
      <x:formula>"Extrapolation"</x:formula>
    </x:cfRule>
  </x:conditionalFormatting>
  <x:conditionalFormatting sqref="C7:C38">
    <x:cfRule type="cellIs" dxfId="38" priority="3" operator="equal">
      <x:formula>"Validé"</x:formula>
    </x:cfRule>
  </x:conditionalFormatting>
  <x:conditionalFormatting sqref="E7:E38">
    <x:cfRule type="cellIs" dxfId="39" priority="4" operator="equal">
      <x:formula>"P0"</x:formula>
    </x:cfRule>
  </x:conditionalFormatting>
  <x:dataValidations count="3">
    <x:dataValidation type="list" sqref="C7:C38">
      <x:formula1>"Défini,Prototype,Intégré,Validé"</x:formula1>
    </x:dataValidation>
    <x:dataValidation type="list" sqref="D7:D38">
      <x:formula1>"Établi,À vérifier,Extrapolation,Coupé attesté,Concept abandonné,Allégation écartée"</x:formula1>
    </x:dataValidation>
    <x:dataValidation type="list" sqref="E7:E38">
      <x:formula1>"P0,P1,P2"</x:formula1>
    </x:dataValidation>
  </x:dataValidations>
  <x:pageMargins left="0.7" right="0.7" top="0.75" bottom="0.75" header="0.3" footer="0.3"/>
  <x:tableParts count="1">
    <x:tablePart xmlns:r="http://schemas.openxmlformats.org/officeDocument/2006/relationships" r:id="Rbc97b77c40154cf2"/>
  </x:tableParts>
</x:worksheet>
</file>

<file path=xl/worksheets/sheet1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5"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Secondaires et DLC</x:v>
      </x:c>
      <x:c r="B2" s="2"/>
      <x:c r="C2" s="2"/>
      <x:c r="D2" s="2"/>
      <x:c r="E2" s="2"/>
      <x:c r="F2" s="2"/>
      <x:c r="G2" s="2"/>
      <x:c r="H2" s="2"/>
      <x:c r="I2" s="2"/>
      <x:c r="J2" s="2"/>
      <x:c r="K2" s="2"/>
      <x:c r="L2" s="2"/>
      <x:c r="M2" s="2"/>
      <x:c r="N2" s="2"/>
      <x:c r="O2" s="2"/>
      <x:c r="P2" s="2"/>
      <x:c r="Q2" s="2"/>
      <x:c r="R2" s="2"/>
      <x:c r="S2" s="2"/>
    </x:row>
    <x:row r="3" ht="22" customHeight="1">
      <x:c r="A3" s="4" t="str">
        <x:v>Mass Effect 3 — Contenus annexes, variantes et extensions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ME3-SQ-RACHNI</x:v>
      </x:c>
      <x:c r="B7" s="9" t="str">
        <x:v>Attican Traverse: Krogan Team / The Rachni</x:v>
      </x:c>
      <x:c r="C7" s="15" t="str">
        <x:v>Défini</x:v>
      </x:c>
      <x:c r="D7" s="16" t="str">
        <x:v>Établi</x:v>
      </x:c>
      <x:c r="E7" s="16" t="str">
        <x:v>P1</x:v>
      </x:c>
      <x:c r="F7" s="9" t="str">
        <x:v>Une équipe krogan manque à l’appel.</x:v>
      </x:c>
      <x:c r="G7" s="9" t="str">
        <x:v>Exploration de tunnels, flammes contre membranes et choix de reine ; suivre survie de Grunt séparément de l’équipe.</x:v>
      </x:c>
      <x:c r="H7" s="9" t="str">
        <x:v>Exploration de tunnels, flammes contre membranes et choix de reine ; suivre survie de Grunt séparément de l’équipe.</x:v>
      </x:c>
      <x:c r="I7" s="9" t="str">
        <x:v>Cavernes rachni et structures Moissonneurs.</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me3/side_quests/rachni ; rattacher les ressources et états cités à cet identifiant. Aucun fichier de jeu créé par ce catalogue.</x:v>
      </x:c>
      <x:c r="M7" s="9" t="str">
        <x:v>Titre selon choix ME1.</x:v>
      </x:c>
      <x:c r="N7" s="9" t="str">
        <x:v>Le livrable « Attican Traverse: Krogan Team / The Rachni » possède une scène ou un scénario de contrôle ; ses règles proposées, ses conditions et ses retours visuels sont vérifiables séparément.</x:v>
      </x:c>
      <x:c r="O7" s="9" t="str"/>
      <x:c r="P7" s="9" t="str">
        <x:v>Attican Traverse: Krogan Team / The Rachni</x:v>
      </x:c>
      <x:c r="Q7" s="9" t="str">
        <x:v>ME3-SRC-RACHNI</x:v>
      </x:c>
      <x:c r="R7" s="20" t="str">
        <x:v>https://masseffect.fandom.com/wiki/Attican_Traverse%3A_Krogan_Team</x:v>
      </x:c>
      <x:c r="S7" s="20" t="str">
        <x:v>Spécification à réaliser. Les champs adaptation, gameplay, visual, animation, audio et implementation décrivent le fan game ; ils ne donnent pas des caractéristiques officielles de l’œuvre.</x:v>
      </x:c>
    </x:row>
    <x:row r="8" ht="68" customHeight="1">
      <x:c r="A8" s="19" t="str">
        <x:v>ME3-SQ-PLATOON</x:v>
      </x:c>
      <x:c r="B8" s="7" t="str">
        <x:v>Tuchanka: Turian Platoon</x:v>
      </x:c>
      <x:c r="C8" s="15" t="str">
        <x:v>Défini</x:v>
      </x:c>
      <x:c r="D8" s="17" t="str">
        <x:v>Établi</x:v>
      </x:c>
      <x:c r="E8" s="17" t="str">
        <x:v>P1</x:v>
      </x:c>
      <x:c r="F8" s="7" t="str">
        <x:v>Un peloton turien doit être secouru.</x:v>
      </x:c>
      <x:c r="G8" s="7" t="str">
        <x:v>Traversée de ruines à menaces aériennes ; dernier combat ouvre l’alerte de bombe.</x:v>
      </x:c>
      <x:c r="H8" s="7" t="str">
        <x:v>Traversée de ruines à menaces aériennes ; dernier combat ouvre l’alerte de bombe.</x:v>
      </x:c>
      <x:c r="I8" s="7" t="str">
        <x:v>Ruines et vaisseau turien abattu.</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me3/side_quests/platoon ; rattacher les ressources et états cités à cet identifiant. Aucun fichier de jeu créé par ce catalogue.</x:v>
      </x:c>
      <x:c r="M8" s="7" t="str"/>
      <x:c r="N8" s="7" t="str">
        <x:v>Le livrable « Tuchanka: Turian Platoon » possède une scène ou un scénario de contrôle ; ses règles proposées, ses conditions et ses retours visuels sont vérifiables séparément.</x:v>
      </x:c>
      <x:c r="O8" s="7" t="str"/>
      <x:c r="P8" s="7" t="str">
        <x:v>Tuchanka: Turian Platoon</x:v>
      </x:c>
      <x:c r="Q8" s="7" t="str">
        <x:v>ME3-SRC-PLATOON</x:v>
      </x:c>
      <x:c r="R8" s="21" t="str">
        <x:v>https://masseffect.fandom.com/wiki/Tuchanka%3A_Turian_Platoon</x:v>
      </x:c>
      <x:c r="S8" s="21" t="str">
        <x:v>Spécification à réaliser. Les champs adaptation, gameplay, visual, animation, audio et implementation décrivent le fan game ; ils ne donnent pas des caractéristiques officielles de l’œuvre.</x:v>
      </x:c>
    </x:row>
    <x:row r="9" ht="82" customHeight="1">
      <x:c r="A9" s="18" t="str">
        <x:v>ME3-SQ-BOMB</x:v>
      </x:c>
      <x:c r="B9" s="9" t="str">
        <x:v>Tuchanka: Bomb</x:v>
      </x:c>
      <x:c r="C9" s="15" t="str">
        <x:v>Défini</x:v>
      </x:c>
      <x:c r="D9" s="16" t="str">
        <x:v>Établi</x:v>
      </x:c>
      <x:c r="E9" s="16" t="str">
        <x:v>P1</x:v>
      </x:c>
      <x:c r="F9" s="9" t="str">
        <x:v>Victus désamorce une bombe.</x:v>
      </x:c>
      <x:c r="G9" s="9" t="str">
        <x:v>Défendre le technicien contre assauts latéraux ; annoncer les transporteurs et garder un abri de secours.</x:v>
      </x:c>
      <x:c r="H9" s="9" t="str">
        <x:v>Défendre le technicien contre assauts latéraux ; annoncer les transporteurs et garder un abri de secours.</x:v>
      </x:c>
      <x:c r="I9" s="9" t="str">
        <x:v>Plateforme de bombe et piliers.</x:v>
      </x:c>
      <x:c r="J9" s="9" t="str">
        <x:v>Prévoir chaque variante de scène comme état nommé ; lecture, interruption et saut appliquent exactement les mêmes décisions et positions finales. Plateforme de bombe et piliers.</x:v>
      </x:c>
      <x:c r="K9" s="9" t="str">
        <x:v>Dialogues originaux enregistrés par branche, nom du locuteur et sous-titres ; couper les répliques de personnages absents avant mixage, préserver les alertes utiles pendant les transitions.</x:v>
      </x:c>
      <x:c r="L9" s="9" t="str">
        <x:v>Prévu : fiche de données me3/side_quests/bomb ; rattacher les ressources et états cités à cet identifiant. Aucun fichier de jeu créé par ce catalogue.</x:v>
      </x:c>
      <x:c r="M9" s="9" t="str">
        <x:v>Mission à échéance de progression.</x:v>
      </x:c>
      <x:c r="N9" s="9" t="str">
        <x:v>La fenêtre compte les événements de mission définis et persiste après sauvegarde ; lancement de Priority: Tuchanka ne doit pas être codé comme expiration automatique sans preuve de la règle choisie.</x:v>
      </x:c>
      <x:c r="O9" s="9" t="str"/>
      <x:c r="P9" s="9" t="str">
        <x:v>Tuchanka: Bomb</x:v>
      </x:c>
      <x:c r="Q9" s="9" t="str">
        <x:v>ME3-SRC-BOMB, ME3-SRC-GUIDE</x:v>
      </x:c>
      <x:c r="R9" s="20" t="str">
        <x:v>https://masseffect.fandom.com/wiki/Tuchanka%3A_Bomb
https://masseffect.fandom.com/wiki/Mass_Effect_3_Guide</x:v>
      </x:c>
      <x:c r="S9" s="20" t="str">
        <x:v>Spécification à réaliser. Les champs adaptation, gameplay, visual, animation, audio et implementation décrivent le fan game ; ils ne donnent pas des caractéristiques officielles de l’œuvre.</x:v>
      </x:c>
    </x:row>
    <x:row r="10" ht="82" customHeight="1">
      <x:c r="A10" s="19" t="str">
        <x:v>ME3-SQ-GRISSOM</x:v>
      </x:c>
      <x:c r="B10" s="7" t="str">
        <x:v>Grissom Academy: Emergency Evacuation</x:v>
      </x:c>
      <x:c r="C10" s="15" t="str">
        <x:v>Défini</x:v>
      </x:c>
      <x:c r="D10" s="17" t="str">
        <x:v>Établi</x:v>
      </x:c>
      <x:c r="E10" s="17" t="str">
        <x:v>P1</x:v>
      </x:c>
      <x:c r="F10" s="7" t="str">
        <x:v>L’Académie subit une attaque Cerberus.</x:v>
      </x:c>
      <x:c r="G10" s="7" t="str">
        <x:v>Sauver les groupes d’élèves puis évacuer ; écoles de combat et choix d’emploi des élèves séparés.</x:v>
      </x:c>
      <x:c r="H10" s="7" t="str">
        <x:v>Sauver les groupes d’élèves puis évacuer ; écoles de combat et choix d’emploi des élèves séparés.</x:v>
      </x:c>
      <x:c r="I10" s="7" t="str">
        <x:v>Salles de classe, verrière et défenses biotiques.</x:v>
      </x:c>
      <x:c r="J10" s="7" t="str">
        <x:v>Prévoir chaque variante de scène comme état nommé ; lecture, interruption et saut appliquent exactement les mêmes décisions et positions finales. Salles de classe, verrière et défenses biotiques.</x:v>
      </x:c>
      <x:c r="K10" s="7" t="str">
        <x:v>Dialogues originaux enregistrés par branche, nom du locuteur et sous-titres ; couper les répliques de personnages absents avant mixage, préserver les alertes utiles pendant les transitions.</x:v>
      </x:c>
      <x:c r="L10" s="7" t="str">
        <x:v>Prévu : fiche de données me3/side_quests/grissom ; rattacher les ressources et états cités à cet identifiant. Aucun fichier de jeu créé par ce catalogue.</x:v>
      </x:c>
      <x:c r="M10" s="7" t="str">
        <x:v>À terminer dans sa fenêtre de campagne.</x:v>
      </x:c>
      <x:c r="N10" s="7" t="str">
        <x:v>La fenêtre de secours et ses conséquences sont testées ; tous les groupes d’élèves atteignent l’extraction sans collider bloquant, Jack et David n’apparaissent que selon import.</x:v>
      </x:c>
      <x:c r="O10" s="7" t="str"/>
      <x:c r="P10" s="7" t="str">
        <x:v>Grissom Academy: Emergency Evacuation</x:v>
      </x:c>
      <x:c r="Q10" s="7" t="str">
        <x:v>ME3-SRC-GRISSOM</x:v>
      </x:c>
      <x:c r="R10" s="21" t="str">
        <x:v>https://masseffect.fandom.com/wiki/Grissom_Academy%3A_Emergency_Evacuation</x:v>
      </x:c>
      <x:c r="S10" s="21" t="str">
        <x:v>Spécification à réaliser. Les champs adaptation, gameplay, visual, animation, audio et implementation décrivent le fan game ; ils ne donnent pas des caractéristiques officielles de l’œuvre.</x:v>
      </x:c>
    </x:row>
    <x:row r="11" ht="68" customHeight="1">
      <x:c r="A11" s="18" t="str">
        <x:v>ME3-SQ-ARRAE</x:v>
      </x:c>
      <x:c r="B11" s="9" t="str">
        <x:v>Arrae: Ex-Cerberus Scientists</x:v>
      </x:c>
      <x:c r="C11" s="15" t="str">
        <x:v>Défini</x:v>
      </x:c>
      <x:c r="D11" s="16" t="str">
        <x:v>Établi</x:v>
      </x:c>
      <x:c r="E11" s="16" t="str">
        <x:v>P1</x:v>
      </x:c>
      <x:c r="F11" s="9" t="str">
        <x:v>Des scientifiques demandent une évacuation.</x:v>
      </x:c>
      <x:c r="G11" s="9" t="str">
        <x:v>Réparer communications, défendre civils et couvrir la navette ; priorité de menace claire.</x:v>
      </x:c>
      <x:c r="H11" s="9" t="str">
        <x:v>Réparer communications, défendre civils et couvrir la navette ; priorité de menace claire.</x:v>
      </x:c>
      <x:c r="I11" s="9" t="str">
        <x:v>Avant-poste Cerberus retourné et plateau rocheux.</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me3/side_quests/arrae ; rattacher les ressources et états cités à cet identifiant. Aucun fichier de jeu créé par ce catalogue.</x:v>
      </x:c>
      <x:c r="M11" s="9" t="str"/>
      <x:c r="N11" s="9" t="str">
        <x:v>Le livrable « Arrae: Ex-Cerberus Scientists » possède une scène ou un scénario de contrôle ; ses règles proposées, ses conditions et ses retours visuels sont vérifiables séparément.</x:v>
      </x:c>
      <x:c r="O11" s="9" t="str"/>
      <x:c r="P11" s="9" t="str">
        <x:v>Arrae: Ex-Cerberus Scientists</x:v>
      </x:c>
      <x:c r="Q11" s="9" t="str">
        <x:v>ME3-SRC-ARRAE</x:v>
      </x:c>
      <x:c r="R11" s="20" t="str">
        <x:v>https://masseffect.fandom.com/wiki/Arrae%3A_Ex-Cerberus_Scientists</x:v>
      </x:c>
      <x:c r="S11" s="20" t="str">
        <x:v>Spécification à réaliser. Les champs adaptation, gameplay, visual, animation, audio et implementation décrivent le fan game ; ils ne donnent pas des caractéristiques officielles de l’œuvre.</x:v>
      </x:c>
    </x:row>
    <x:row r="12" ht="68" customHeight="1">
      <x:c r="A12" s="19" t="str">
        <x:v>ME3-SQ-KALLINI</x:v>
      </x:c>
      <x:c r="B12" s="7" t="str">
        <x:v>Kallini: Ardat-Yakshi Monastery</x:v>
      </x:c>
      <x:c r="C12" s="15" t="str">
        <x:v>Défini</x:v>
      </x:c>
      <x:c r="D12" s="17" t="str">
        <x:v>Établi</x:v>
      </x:c>
      <x:c r="E12" s="17" t="str">
        <x:v>P1</x:v>
      </x:c>
      <x:c r="F12" s="7" t="str">
        <x:v>Le monastère contient des survivantes.</x:v>
      </x:c>
      <x:c r="G12" s="7" t="str">
        <x:v>Enquête silencieuse, grand hall et sortie explosive ; interruption de Samara accessible.</x:v>
      </x:c>
      <x:c r="H12" s="7" t="str">
        <x:v>Enquête silencieuse, grand hall et sortie explosive ; interruption de Samara accessible.</x:v>
      </x:c>
      <x:c r="I12" s="7" t="str">
        <x:v>Monastère asari, noir profond et architecture sobre.</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me3/side_quests/kallini ; rattacher les ressources et états cités à cet identifiant. Aucun fichier de jeu créé par ce catalogue.</x:v>
      </x:c>
      <x:c r="M12" s="7" t="str"/>
      <x:c r="N12" s="7" t="str">
        <x:v>Le livrable « Kallini: Ardat-Yakshi Monastery » possède une scène ou un scénario de contrôle ; ses règles proposées, ses conditions et ses retours visuels sont vérifiables séparément.</x:v>
      </x:c>
      <x:c r="O12" s="7" t="str"/>
      <x:c r="P12" s="7" t="str">
        <x:v>Kallini: Ardat-Yakshi Monastery</x:v>
      </x:c>
      <x:c r="Q12" s="7" t="str">
        <x:v>ME3-SRC-KALLINI</x:v>
      </x:c>
      <x:c r="R12" s="21" t="str">
        <x:v>https://masseffect.fandom.com/wiki/Kallini%3A_Ardat-Yakshi_Monastery</x:v>
      </x:c>
      <x:c r="S12" s="21" t="str">
        <x:v>Spécification à réaliser. Les champs adaptation, gameplay, visual, animation, audio et implementation décrivent le fan game ; ils ne donnent pas des caractéristiques officielles de l’œuvre.</x:v>
      </x:c>
    </x:row>
    <x:row r="13" ht="68" customHeight="1">
      <x:c r="A13" s="18" t="str">
        <x:v>ME3-SQ-KORIS</x:v>
      </x:c>
      <x:c r="B13" s="9" t="str">
        <x:v>Rannoch: Admiral Koris</x:v>
      </x:c>
      <x:c r="C13" s="15" t="str">
        <x:v>Défini</x:v>
      </x:c>
      <x:c r="D13" s="16" t="str">
        <x:v>Établi</x:v>
      </x:c>
      <x:c r="E13" s="16" t="str">
        <x:v>P1</x:v>
      </x:c>
      <x:c r="F13" s="9" t="str">
        <x:v>L’amiral Koris est recherché.</x:v>
      </x:c>
      <x:c r="G13" s="9" t="str">
        <x:v>Détruire défenses puis choisir extraction ; les personnes sauvées influent séparément sur la flotte.</x:v>
      </x:c>
      <x:c r="H13" s="9" t="str">
        <x:v>Détruire défenses puis choisir extraction ; les personnes sauvées influent séparément sur la flotte.</x:v>
      </x:c>
      <x:c r="I13" s="9" t="str">
        <x:v>Base et crash quarian.</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me3/side_quests/koris ; rattacher les ressources et états cités à cet identifiant. Aucun fichier de jeu créé par ce catalogue.</x:v>
      </x:c>
      <x:c r="M13" s="9" t="str">
        <x:v>Avant Priority: Rannoch.</x:v>
      </x:c>
      <x:c r="N13" s="9" t="str">
        <x:v>Le livrable « Rannoch: Admiral Koris » possède une scène ou un scénario de contrôle ; ses règles proposées, ses conditions et ses retours visuels sont vérifiables séparément.</x:v>
      </x:c>
      <x:c r="O13" s="9" t="str"/>
      <x:c r="P13" s="9" t="str">
        <x:v>Rannoch: Admiral Koris</x:v>
      </x:c>
      <x:c r="Q13" s="9" t="str">
        <x:v>ME3-SRC-RANNOCH</x:v>
      </x:c>
      <x:c r="R13" s="20" t="str">
        <x:v>https://masseffect.fandom.com/wiki/Priority%3A_Rannoch</x:v>
      </x:c>
      <x:c r="S13" s="20" t="str">
        <x:v>Spécification à réaliser. Les champs adaptation, gameplay, visual, animation, audio et implementation décrivent le fan game ; ils ne donnent pas des caractéristiques officielles de l’œuvre.</x:v>
      </x:c>
    </x:row>
    <x:row r="14" ht="68" customHeight="1">
      <x:c r="A14" s="19" t="str">
        <x:v>ME3-SQ-FIGHTERS</x:v>
      </x:c>
      <x:c r="B14" s="7" t="str">
        <x:v>Rannoch: Geth Fighter Squadrons</x:v>
      </x:c>
      <x:c r="C14" s="15" t="str">
        <x:v>Défini</x:v>
      </x:c>
      <x:c r="D14" s="17" t="str">
        <x:v>Établi</x:v>
      </x:c>
      <x:c r="E14" s="17" t="str">
        <x:v>P1</x:v>
      </x:c>
      <x:c r="F14" s="7" t="str">
        <x:v>Shepard entre dans le consensus geth.</x:v>
      </x:c>
      <x:c r="G14" s="7" t="str">
        <x:v>Nettoyage virtuel simplifié, fragments de mémoire et retour clair au monde réel.</x:v>
      </x:c>
      <x:c r="H14" s="7" t="str">
        <x:v>Nettoyage virtuel simplifié, fragments de mémoire et retour clair au monde réel.</x:v>
      </x:c>
      <x:c r="I14" s="7" t="str">
        <x:v>Espace blanc, lignes de données et reconstitutions.</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me3/side_quests/fighters ; rattacher les ressources et états cités à cet identifiant. Aucun fichier de jeu créé par ce catalogue.</x:v>
      </x:c>
      <x:c r="M14" s="7" t="str">
        <x:v>Avant Priority: Rannoch.</x:v>
      </x:c>
      <x:c r="N14" s="7" t="str">
        <x:v>Le livrable « Rannoch: Geth Fighter Squadrons » possède une scène ou un scénario de contrôle ; ses règles proposées, ses conditions et ses retours visuels sont vérifiables séparément.</x:v>
      </x:c>
      <x:c r="O14" s="7" t="str"/>
      <x:c r="P14" s="7" t="str">
        <x:v>Rannoch: Geth Fighter Squadrons</x:v>
      </x:c>
      <x:c r="Q14" s="7" t="str">
        <x:v>ME3-SRC-FIGHTERS</x:v>
      </x:c>
      <x:c r="R14" s="21" t="str">
        <x:v>https://masseffect.fandom.com/wiki/Rannoch%3A_Geth_Fighter_Squadrons</x:v>
      </x:c>
      <x:c r="S14" s="21" t="str">
        <x:v>Spécification à réaliser. Les champs adaptation, gameplay, visual, animation, audio et implementation décrivent le fan game ; ils ne donnent pas des caractéristiques officielles de l’œuvre.</x:v>
      </x:c>
    </x:row>
    <x:row r="15" ht="68" customHeight="1">
      <x:c r="A15" s="18" t="str">
        <x:v>ME3-SQ-N7-LAB</x:v>
      </x:c>
      <x:c r="B15" s="9" t="str">
        <x:v>N7: Cerberus Lab</x:v>
      </x:c>
      <x:c r="C15" s="15" t="str">
        <x:v>Défini</x:v>
      </x:c>
      <x:c r="D15" s="16" t="str">
        <x:v>Établi</x:v>
      </x:c>
      <x:c r="E15" s="16" t="str">
        <x:v>P1</x:v>
      </x:c>
      <x:c r="F15" s="9" t="str">
        <x:v>Mission N7 de laboratoire.</x:v>
      </x:c>
      <x:c r="G15" s="9" t="str">
        <x:v>Récupérer preuves puis tenir l’extraction ; inclure la formule médicale dans un point distinct.</x:v>
      </x:c>
      <x:c r="H15" s="9" t="str">
        <x:v>Récupérer preuves puis tenir l’extraction ; inclure la formule médicale dans un point distinct.</x:v>
      </x:c>
      <x:c r="I15" s="9" t="str">
        <x:v>Installation de Sanctum et neige.</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me3/side_quests/n7-lab ; rattacher les ressources et états cités à cet identifiant. Aucun fichier de jeu créé par ce catalogue.</x:v>
      </x:c>
      <x:c r="M15" s="9" t="str"/>
      <x:c r="N15" s="9" t="str">
        <x:v>Le livrable « N7: Cerberus Lab » possède une scène ou un scénario de contrôle ; ses règles proposées, ses conditions et ses retours visuels sont vérifiables séparément.</x:v>
      </x:c>
      <x:c r="O15" s="9" t="str"/>
      <x:c r="P15" s="9" t="str">
        <x:v>N7: Cerberus Lab</x:v>
      </x:c>
      <x:c r="Q15" s="9" t="str">
        <x:v>ME3-SRC-ALIEN-MED, ME3-SRC-GUIDE</x:v>
      </x:c>
      <x:c r="R15" s="20" t="str">
        <x:v>https://masseffect.fandom.com/wiki/Citadel%3A_Alien_Medi-Gel_Formula
https://masseffect.fandom.com/wiki/Mass_Effect_3_Guide</x:v>
      </x:c>
      <x:c r="S15" s="20" t="str">
        <x:v>Spécification à réaliser. Les champs adaptation, gameplay, visual, animation, audio et implementation décrivent le fan game ; ils ne donnent pas des caractéristiques officielles de l’œuvre.</x:v>
      </x:c>
    </x:row>
    <x:row r="16" ht="68" customHeight="1">
      <x:c r="A16" s="19" t="str">
        <x:v>ME3-SQ-N7-ABDUCTIONS</x:v>
      </x:c>
      <x:c r="B16" s="7" t="str">
        <x:v>N7: Cerberus Abductions</x:v>
      </x:c>
      <x:c r="C16" s="15" t="str">
        <x:v>Défini</x:v>
      </x:c>
      <x:c r="D16" s="17" t="str">
        <x:v>Établi</x:v>
      </x:c>
      <x:c r="E16" s="17" t="str">
        <x:v>P1</x:v>
      </x:c>
      <x:c r="F16" s="7" t="str">
        <x:v>Mission N7 d’enlèvements.</x:v>
      </x:c>
      <x:c r="G16" s="7" t="str">
        <x:v>Secourir civils à plusieurs points ; interdire une victoire qui ignore le dernier groupe.</x:v>
      </x:c>
      <x:c r="H16" s="7" t="str">
        <x:v>Secourir civils à plusieurs points ; interdire une victoire qui ignore le dernier groupe.</x:v>
      </x:c>
      <x:c r="I16" s="7" t="str">
        <x:v>Ville et navettes Cerberus.</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me3/side_quests/n7-abductions ; rattacher les ressources et états cités à cet identifiant. Aucun fichier de jeu créé par ce catalogue.</x:v>
      </x:c>
      <x:c r="M16" s="7" t="str"/>
      <x:c r="N16" s="7" t="str">
        <x:v>Le livrable « N7: Cerberus Abductions » possède une scène ou un scénario de contrôle ; ses règles proposées, ses conditions et ses retours visuels sont vérifiables séparément.</x:v>
      </x:c>
      <x:c r="O16" s="7" t="str"/>
      <x:c r="P16" s="7" t="str">
        <x:v>N7: Cerberus Abductions</x:v>
      </x:c>
      <x:c r="Q16" s="7" t="str">
        <x:v>ME3-SRC-GUIDE</x:v>
      </x:c>
      <x:c r="R16" s="21" t="str">
        <x:v>https://masseffect.fandom.com/wiki/Mass_Effect_3_Guide</x:v>
      </x:c>
      <x:c r="S16" s="21" t="str">
        <x:v>Spécification à réaliser. Les champs adaptation, gameplay, visual, animation, audio et implementation décrivent le fan game ; ils ne donnent pas des caractéristiques officielles de l’œuvre.</x:v>
      </x:c>
    </x:row>
    <x:row r="17" ht="68" customHeight="1">
      <x:c r="A17" s="18" t="str">
        <x:v>ME3-SQ-N7-ATTACK</x:v>
      </x:c>
      <x:c r="B17" s="9" t="str">
        <x:v>N7: Cerberus Attack</x:v>
      </x:c>
      <x:c r="C17" s="15" t="str">
        <x:v>Défini</x:v>
      </x:c>
      <x:c r="D17" s="16" t="str">
        <x:v>Établi</x:v>
      </x:c>
      <x:c r="E17" s="16" t="str">
        <x:v>P1</x:v>
      </x:c>
      <x:c r="F17" s="9" t="str">
        <x:v>Mission N7 sur Tuchanka.</x:v>
      </x:c>
      <x:c r="G17" s="9" t="str">
        <x:v>Rétablir un canon puis repousser la riposte ; télégraphier les consoles désactivées.</x:v>
      </x:c>
      <x:c r="H17" s="9" t="str">
        <x:v>Rétablir un canon puis repousser la riposte ; télégraphier les consoles désactivées.</x:v>
      </x:c>
      <x:c r="I17" s="9" t="str">
        <x:v>Cour industrielle et artillerie.</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me3/side_quests/n7-attack ; rattacher les ressources et états cités à cet identifiant. Aucun fichier de jeu créé par ce catalogue.</x:v>
      </x:c>
      <x:c r="M17" s="9" t="str"/>
      <x:c r="N17" s="9" t="str">
        <x:v>Le livrable « N7: Cerberus Attack » possède une scène ou un scénario de contrôle ; ses règles proposées, ses conditions et ses retours visuels sont vérifiables séparément.</x:v>
      </x:c>
      <x:c r="O17" s="9" t="str"/>
      <x:c r="P17" s="9" t="str">
        <x:v>N7: Cerberus Attack</x:v>
      </x:c>
      <x:c r="Q17" s="9" t="str">
        <x:v>ME3-SRC-GUIDE</x:v>
      </x:c>
      <x:c r="R17" s="20" t="str">
        <x:v>https://masseffect.fandom.com/wiki/Mass_Effect_3_Guide</x:v>
      </x:c>
      <x:c r="S17" s="20" t="str">
        <x:v>Spécification à réaliser. Les champs adaptation, gameplay, visual, animation, audio et implementation décrivent le fan game ; ils ne donnent pas des caractéristiques officielles de l’œuvre.</x:v>
      </x:c>
    </x:row>
    <x:row r="18" ht="68" customHeight="1">
      <x:c r="A18" s="19" t="str">
        <x:v>ME3-SQ-N7-FIGHTER</x:v>
      </x:c>
      <x:c r="B18" s="7" t="str">
        <x:v>N7: Cerberus Fighter Base</x:v>
      </x:c>
      <x:c r="C18" s="15" t="str">
        <x:v>Défini</x:v>
      </x:c>
      <x:c r="D18" s="17" t="str">
        <x:v>Établi</x:v>
      </x:c>
      <x:c r="E18" s="17" t="str">
        <x:v>P1</x:v>
      </x:c>
      <x:c r="F18" s="7" t="str">
        <x:v>Mission N7 d’aérodrome.</x:v>
      </x:c>
      <x:c r="G18" s="7" t="str">
        <x:v>Neutraliser appareils et sécuriser les commandes ; éviter la confusion entre objectif et décoration aérienne.</x:v>
      </x:c>
      <x:c r="H18" s="7" t="str">
        <x:v>Neutraliser appareils et sécuriser les commandes ; éviter la confusion entre objectif et décoration aérienne.</x:v>
      </x:c>
      <x:c r="I18" s="7" t="str">
        <x:v>Base enneigée, hangars et pistes.</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me3/side_quests/n7-fighter ; rattacher les ressources et états cités à cet identifiant. Aucun fichier de jeu créé par ce catalogue.</x:v>
      </x:c>
      <x:c r="M18" s="7" t="str"/>
      <x:c r="N18" s="7" t="str">
        <x:v>Le livrable « N7: Cerberus Fighter Base » possède une scène ou un scénario de contrôle ; ses règles proposées, ses conditions et ses retours visuels sont vérifiables séparément.</x:v>
      </x:c>
      <x:c r="O18" s="7" t="str"/>
      <x:c r="P18" s="7" t="str">
        <x:v>N7: Cerberus Fighter Base</x:v>
      </x:c>
      <x:c r="Q18" s="7" t="str">
        <x:v>ME3-SRC-GUIDE</x:v>
      </x:c>
      <x:c r="R18" s="21" t="str">
        <x:v>https://masseffect.fandom.com/wiki/Mass_Effect_3_Guide</x:v>
      </x:c>
      <x:c r="S18" s="21" t="str">
        <x:v>Spécification à réaliser. Les champs adaptation, gameplay, visual, animation, audio et implementation décrivent le fan game ; ils ne donnent pas des caractéristiques officielles de l’œuvre.</x:v>
      </x:c>
    </x:row>
    <x:row r="19" ht="68" customHeight="1">
      <x:c r="A19" s="18" t="str">
        <x:v>ME3-SQ-N7-REACTOR</x:v>
      </x:c>
      <x:c r="B19" s="9" t="str">
        <x:v>N7: Fuel Reactors</x:v>
      </x:c>
      <x:c r="C19" s="15" t="str">
        <x:v>Défini</x:v>
      </x:c>
      <x:c r="D19" s="16" t="str">
        <x:v>Établi</x:v>
      </x:c>
      <x:c r="E19" s="16" t="str">
        <x:v>P1</x:v>
      </x:c>
      <x:c r="F19" s="9" t="str">
        <x:v>Mission N7 de réacteurs.</x:v>
      </x:c>
      <x:c r="G19" s="9" t="str">
        <x:v>Réacheminer le carburant et protéger les intervenants ; signaux de fuite lisibles avec effets réduits.</x:v>
      </x:c>
      <x:c r="H19" s="9" t="str">
        <x:v>Réacheminer le carburant et protéger les intervenants ; signaux de fuite lisibles avec effets réduits.</x:v>
      </x:c>
      <x:c r="I19" s="9" t="str">
        <x:v>Réacteur et conduites vertes.</x:v>
      </x:c>
      <x:c r="J19" s="9" t="str">
        <x:v>Transitions de caméra et d’interface interruptibles ; aucun délai d’animation ne doit consommer une décision encore ouverte.</x:v>
      </x:c>
      <x:c r="K19" s="9" t="str">
        <x:v>Créer des bruitages et ambiances originaux adaptés au livrable ; sous-titrer les indices utiles et proposer un réglage indépendant des effets. Aucune extraction audio demandée.</x:v>
      </x:c>
      <x:c r="L19" s="9" t="str">
        <x:v>Prévu : fiche de données me3/side_quests/n7-reactor ; rattacher les ressources et états cités à cet identifiant. Aucun fichier de jeu créé par ce catalogue.</x:v>
      </x:c>
      <x:c r="M19" s="9" t="str"/>
      <x:c r="N19" s="9" t="str">
        <x:v>Le livrable « N7: Fuel Reactors » possède une scène ou un scénario de contrôle ; ses règles proposées, ses conditions et ses retours visuels sont vérifiables séparément.</x:v>
      </x:c>
      <x:c r="O19" s="9" t="str"/>
      <x:c r="P19" s="9" t="str">
        <x:v>N7: Fuel Reactors</x:v>
      </x:c>
      <x:c r="Q19" s="9" t="str">
        <x:v>ME3-SRC-MISSIONS</x:v>
      </x:c>
      <x:c r="R19" s="20" t="str">
        <x:v>https://masseffect.fandom.com/wiki/Missions</x:v>
      </x:c>
      <x:c r="S19" s="20" t="str">
        <x:v>Spécification à réaliser. Les champs adaptation, gameplay, visual, animation, audio et implementation décrivent le fan game ; ils ne donnent pas des caractéristiques officielles de l’œuvre.</x:v>
      </x:c>
    </x:row>
    <x:row r="20" ht="68" customHeight="1">
      <x:c r="A20" s="19" t="str">
        <x:v>ME3-SQ-N7-COMMS</x:v>
      </x:c>
      <x:c r="B20" s="7" t="str">
        <x:v>N7: Communication Hub</x:v>
      </x:c>
      <x:c r="C20" s="15" t="str">
        <x:v>Défini</x:v>
      </x:c>
      <x:c r="D20" s="17" t="str">
        <x:v>Établi</x:v>
      </x:c>
      <x:c r="E20" s="17" t="str">
        <x:v>P1</x:v>
      </x:c>
      <x:c r="F20" s="7" t="str">
        <x:v>Mission N7 de communications.</x:v>
      </x:c>
      <x:c r="G20" s="7" t="str">
        <x:v>Désactiver des nœuds à distance puis extraction ; les renforts viennent de routes marquées.</x:v>
      </x:c>
      <x:c r="H20" s="7" t="str">
        <x:v>Désactiver des nœuds à distance puis extraction ; les renforts viennent de routes marquées.</x:v>
      </x:c>
      <x:c r="I20" s="7" t="str">
        <x:v>Antenne et plateformes rocheuses.</x:v>
      </x:c>
      <x:c r="J20" s="7" t="str">
        <x:v>Transitions de caméra et d’interface interruptibles ; aucun délai d’animation ne doit consommer une décision encore ouverte.</x:v>
      </x:c>
      <x:c r="K20" s="7" t="str">
        <x:v>Créer des bruitages et ambiances originaux adaptés au livrable ; sous-titrer les indices utiles et proposer un réglage indépendant des effets. Aucune extraction audio demandée.</x:v>
      </x:c>
      <x:c r="L20" s="7" t="str">
        <x:v>Prévu : fiche de données me3/side_quests/n7-comms ; rattacher les ressources et états cités à cet identifiant. Aucun fichier de jeu créé par ce catalogue.</x:v>
      </x:c>
      <x:c r="M20" s="7" t="str"/>
      <x:c r="N20" s="7" t="str">
        <x:v>Le livrable « N7: Communication Hub » possède une scène ou un scénario de contrôle ; ses règles proposées, ses conditions et ses retours visuels sont vérifiables séparément.</x:v>
      </x:c>
      <x:c r="O20" s="7" t="str"/>
      <x:c r="P20" s="7" t="str">
        <x:v>N7: Communication Hub</x:v>
      </x:c>
      <x:c r="Q20" s="7" t="str">
        <x:v>ME3-SRC-MISSIONS</x:v>
      </x:c>
      <x:c r="R20" s="21" t="str">
        <x:v>https://masseffect.fandom.com/wiki/Missions</x:v>
      </x:c>
      <x:c r="S20" s="21" t="str">
        <x:v>Spécification à réaliser. Les champs adaptation, gameplay, visual, animation, audio et implementation décrivent le fan game ; ils ne donnent pas des caractéristiques officielles de l’œuvre.</x:v>
      </x:c>
    </x:row>
    <x:row r="21" ht="68" customHeight="1">
      <x:c r="A21" s="18" t="str">
        <x:v>ME3-SQ-ARIA-BLOOD</x:v>
      </x:c>
      <x:c r="B21" s="9" t="str">
        <x:v>Aria: Blood Pack</x:v>
      </x:c>
      <x:c r="C21" s="15" t="str">
        <x:v>Défini</x:v>
      </x:c>
      <x:c r="D21" s="16" t="str">
        <x:v>Établi</x:v>
      </x:c>
      <x:c r="E21" s="16" t="str">
        <x:v>P1</x:v>
      </x:c>
      <x:c r="F21" s="9" t="str">
        <x:v>Recrutement de mercenaires pour Aria.</x:v>
      </x:c>
      <x:c r="G21" s="9" t="str">
        <x:v>Scène de négociation distincte d’Omega DLC ; résultat ajoute une contribution une seule fois.</x:v>
      </x:c>
      <x:c r="H21" s="9" t="str">
        <x:v>Scène de négociation distincte d’Omega DLC ; résultat ajoute une contribution une seule fois.</x:v>
      </x:c>
      <x:c r="I21" s="9" t="str">
        <x:v>Bar et rencontre de faction.</x:v>
      </x:c>
      <x:c r="J21" s="9" t="str">
        <x:v>Transitions de caméra et d’interface interruptibles ; aucun délai d’animation ne doit consommer une décision encore ouverte.</x:v>
      </x:c>
      <x:c r="K21" s="9" t="str">
        <x:v>Créer des bruitages et ambiances originaux adaptés au livrable ; sous-titrer les indices utiles et proposer un réglage indépendant des effets. Aucune extraction audio demandée.</x:v>
      </x:c>
      <x:c r="L21" s="9" t="str">
        <x:v>Prévu : fiche de données me3/side_quests/aria-blood ; rattacher les ressources et états cités à cet identifiant. Aucun fichier de jeu créé par ce catalogue.</x:v>
      </x:c>
      <x:c r="M21" s="9" t="str"/>
      <x:c r="N21" s="9" t="str">
        <x:v>Le livrable « Aria: Blood Pack » possède une scène ou un scénario de contrôle ; ses règles proposées, ses conditions et ses retours visuels sont vérifiables séparément.</x:v>
      </x:c>
      <x:c r="O21" s="9" t="str"/>
      <x:c r="P21" s="9" t="str">
        <x:v>Aria: Blood Pack</x:v>
      </x:c>
      <x:c r="Q21" s="9" t="str">
        <x:v>ME3-SRC-CITADEL</x:v>
      </x:c>
      <x:c r="R21" s="20" t="str">
        <x:v>https://masseffect.fandom.com/wiki/Citadel</x:v>
      </x:c>
      <x:c r="S21" s="20" t="str">
        <x:v>Spécification à réaliser. Les champs adaptation, gameplay, visual, animation, audio et implementation décrivent le fan game ; ils ne donnent pas des caractéristiques officielles de l’œuvre.</x:v>
      </x:c>
    </x:row>
    <x:row r="22" ht="68" customHeight="1">
      <x:c r="A22" s="19" t="str">
        <x:v>ME3-SQ-ARIA-BLUE</x:v>
      </x:c>
      <x:c r="B22" s="7" t="str">
        <x:v>Aria: Blue Suns</x:v>
      </x:c>
      <x:c r="C22" s="15" t="str">
        <x:v>Défini</x:v>
      </x:c>
      <x:c r="D22" s="17" t="str">
        <x:v>Établi</x:v>
      </x:c>
      <x:c r="E22" s="17" t="str">
        <x:v>P1</x:v>
      </x:c>
      <x:c r="F22" s="7" t="str">
        <x:v>Recrutement de mercenaires pour Aria.</x:v>
      </x:c>
      <x:c r="G22" s="7" t="str">
        <x:v>Choisir méthode d’accord ; enregistrer conditions et interlocuteur final.</x:v>
      </x:c>
      <x:c r="H22" s="7" t="str">
        <x:v>Choisir méthode d’accord ; enregistrer conditions et interlocuteur final.</x:v>
      </x:c>
      <x:c r="I22" s="7" t="str">
        <x:v>Docks et contacts militaires.</x:v>
      </x:c>
      <x:c r="J22" s="7" t="str">
        <x:v>Transitions de caméra et d’interface interruptibles ; aucun délai d’animation ne doit consommer une décision encore ouverte.</x:v>
      </x:c>
      <x:c r="K22" s="7" t="str">
        <x:v>Créer des bruitages et ambiances originaux adaptés au livrable ; sous-titrer les indices utiles et proposer un réglage indépendant des effets. Aucune extraction audio demandée.</x:v>
      </x:c>
      <x:c r="L22" s="7" t="str">
        <x:v>Prévu : fiche de données me3/side_quests/aria-blue ; rattacher les ressources et états cités à cet identifiant. Aucun fichier de jeu créé par ce catalogue.</x:v>
      </x:c>
      <x:c r="M22" s="7" t="str"/>
      <x:c r="N22" s="7" t="str">
        <x:v>Le livrable « Aria: Blue Suns » possède une scène ou un scénario de contrôle ; ses règles proposées, ses conditions et ses retours visuels sont vérifiables séparément.</x:v>
      </x:c>
      <x:c r="O22" s="7" t="str"/>
      <x:c r="P22" s="7" t="str">
        <x:v>Aria: Blue Suns</x:v>
      </x:c>
      <x:c r="Q22" s="7" t="str">
        <x:v>ME3-SRC-CITADEL</x:v>
      </x:c>
      <x:c r="R22" s="21" t="str">
        <x:v>https://masseffect.fandom.com/wiki/Citadel</x:v>
      </x:c>
      <x:c r="S22" s="21" t="str">
        <x:v>Spécification à réaliser. Les champs adaptation, gameplay, visual, animation, audio et implementation décrivent le fan game ; ils ne donnent pas des caractéristiques officielles de l’œuvre.</x:v>
      </x:c>
    </x:row>
    <x:row r="23" ht="68" customHeight="1">
      <x:c r="A23" s="18" t="str">
        <x:v>ME3-SQ-ARIA-ECLIPSE</x:v>
      </x:c>
      <x:c r="B23" s="9" t="str">
        <x:v>Aria: Eclipse</x:v>
      </x:c>
      <x:c r="C23" s="15" t="str">
        <x:v>Défini</x:v>
      </x:c>
      <x:c r="D23" s="16" t="str">
        <x:v>Établi</x:v>
      </x:c>
      <x:c r="E23" s="16" t="str">
        <x:v>P1</x:v>
      </x:c>
      <x:c r="F23" s="9" t="str">
        <x:v>Recrutement de mercenaires pour Aria.</x:v>
      </x:c>
      <x:c r="G23" s="9" t="str">
        <x:v>Enquête entre C-Sec et dirigeant ; séparer libération et succession interne.</x:v>
      </x:c>
      <x:c r="H23" s="9" t="str">
        <x:v>Enquête entre C-Sec et dirigeant ; séparer libération et succession interne.</x:v>
      </x:c>
      <x:c r="I23" s="9" t="str">
        <x:v>Bureau C-Sec et bar.</x:v>
      </x:c>
      <x:c r="J23" s="9" t="str">
        <x:v>Transitions de caméra et d’interface interruptibles ; aucun délai d’animation ne doit consommer une décision encore ouverte.</x:v>
      </x:c>
      <x:c r="K23" s="9" t="str">
        <x:v>Créer des bruitages et ambiances originaux adaptés au livrable ; sous-titrer les indices utiles et proposer un réglage indépendant des effets. Aucune extraction audio demandée.</x:v>
      </x:c>
      <x:c r="L23" s="9" t="str">
        <x:v>Prévu : fiche de données me3/side_quests/aria-eclipse ; rattacher les ressources et états cités à cet identifiant. Aucun fichier de jeu créé par ce catalogue.</x:v>
      </x:c>
      <x:c r="M23" s="9" t="str"/>
      <x:c r="N23" s="9" t="str">
        <x:v>Le livrable « Aria: Eclipse » possède une scène ou un scénario de contrôle ; ses règles proposées, ses conditions et ses retours visuels sont vérifiables séparément.</x:v>
      </x:c>
      <x:c r="O23" s="9" t="str"/>
      <x:c r="P23" s="9" t="str">
        <x:v>Aria: Eclipse</x:v>
      </x:c>
      <x:c r="Q23" s="9" t="str">
        <x:v>ME3-SRC-CITADEL</x:v>
      </x:c>
      <x:c r="R23" s="20" t="str">
        <x:v>https://masseffect.fandom.com/wiki/Citadel</x:v>
      </x:c>
      <x:c r="S23" s="20" t="str">
        <x:v>Spécification à réaliser. Les champs adaptation, gameplay, visual, animation, audio et implementation décrivent le fan game ; ils ne donnent pas des caractéristiques officielles de l’œuvre.</x:v>
      </x:c>
    </x:row>
    <x:row r="24" ht="68" customHeight="1">
      <x:c r="A24" s="19" t="str">
        <x:v>ME3-SQ-HANAR</x:v>
      </x:c>
      <x:c r="B24" s="7" t="str">
        <x:v>Citadel: Hanar Diplomat</x:v>
      </x:c>
      <x:c r="C24" s="15" t="str">
        <x:v>Défini</x:v>
      </x:c>
      <x:c r="D24" s="17" t="str">
        <x:v>Établi</x:v>
      </x:c>
      <x:c r="E24" s="17" t="str">
        <x:v>P1</x:v>
      </x:c>
      <x:c r="F24" s="7" t="str">
        <x:v>Enquête de diplomate hanari.</x:v>
      </x:c>
      <x:c r="G24" s="7" t="str">
        <x:v>Suivre les terminaux dans l’ordre de preuve ; Kasumi apparaît seulement sous ses conditions.</x:v>
      </x:c>
      <x:c r="H24" s="7" t="str">
        <x:v>Suivre les terminaux dans l’ordre de preuve ; Kasumi apparaît seulement sous ses conditions.</x:v>
      </x:c>
      <x:c r="I24" s="7" t="str">
        <x:v>Ambassades et écrans de trafic.</x:v>
      </x:c>
      <x:c r="J24" s="7" t="str">
        <x:v>Transitions de caméra et d’interface interruptibles ; aucun délai d’animation ne doit consommer une décision encore ouverte.</x:v>
      </x:c>
      <x:c r="K24" s="7" t="str">
        <x:v>Créer des bruitages et ambiances originaux adaptés au livrable ; sous-titrer les indices utiles et proposer un réglage indépendant des effets. Aucune extraction audio demandée.</x:v>
      </x:c>
      <x:c r="L24" s="7" t="str">
        <x:v>Prévu : fiche de données me3/side_quests/hanar ; rattacher les ressources et états cités à cet identifiant. Aucun fichier de jeu créé par ce catalogue.</x:v>
      </x:c>
      <x:c r="M24" s="7" t="str"/>
      <x:c r="N24" s="7" t="str">
        <x:v>Le livrable « Citadel: Hanar Diplomat » possède une scène ou un scénario de contrôle ; ses règles proposées, ses conditions et ses retours visuels sont vérifiables séparément.</x:v>
      </x:c>
      <x:c r="O24" s="7" t="str"/>
      <x:c r="P24" s="7" t="str">
        <x:v>Citadel: Hanar Diplomat</x:v>
      </x:c>
      <x:c r="Q24" s="7" t="str">
        <x:v>ME3-SRC-CITADEL</x:v>
      </x:c>
      <x:c r="R24" s="21" t="str">
        <x:v>https://masseffect.fandom.com/wiki/Citadel</x:v>
      </x:c>
      <x:c r="S24" s="21" t="str">
        <x:v>Spécification à réaliser. Les champs adaptation, gameplay, visual, animation, audio et implementation décrivent le fan game ; ils ne donnent pas des caractéristiques officielles de l’œuvre.</x:v>
      </x:c>
    </x:row>
    <x:row r="25" ht="68" customHeight="1">
      <x:c r="A25" s="18" t="str">
        <x:v>ME3-SQ-VOLUS</x:v>
      </x:c>
      <x:c r="B25" s="9" t="str">
        <x:v>Citadel: Volus Ambassador</x:v>
      </x:c>
      <x:c r="C25" s="15" t="str">
        <x:v>Défini</x:v>
      </x:c>
      <x:c r="D25" s="16" t="str">
        <x:v>Établi</x:v>
      </x:c>
      <x:c r="E25" s="16" t="str">
        <x:v>P1</x:v>
      </x:c>
      <x:c r="F25" s="9" t="str">
        <x:v>Enquête d’ambassadeur volus.</x:v>
      </x:c>
      <x:c r="G25" s="9" t="str">
        <x:v>Recouper communication et rendez-vous ; Zaeed conditionnel ne devient pas compagnon permanent.</x:v>
      </x:c>
      <x:c r="H25" s="9" t="str">
        <x:v>Recouper communication et rendez-vous ; Zaeed conditionnel ne devient pas compagnon permanent.</x:v>
      </x:c>
      <x:c r="I25" s="9" t="str">
        <x:v>Ambassade et appartements.</x:v>
      </x:c>
      <x:c r="J25" s="9" t="str">
        <x:v>Transitions de caméra et d’interface interruptibles ; aucun délai d’animation ne doit consommer une décision encore ouverte.</x:v>
      </x:c>
      <x:c r="K25" s="9" t="str">
        <x:v>Créer des bruitages et ambiances originaux adaptés au livrable ; sous-titrer les indices utiles et proposer un réglage indépendant des effets. Aucune extraction audio demandée.</x:v>
      </x:c>
      <x:c r="L25" s="9" t="str">
        <x:v>Prévu : fiche de données me3/side_quests/volus ; rattacher les ressources et états cités à cet identifiant. Aucun fichier de jeu créé par ce catalogue.</x:v>
      </x:c>
      <x:c r="M25" s="9" t="str"/>
      <x:c r="N25" s="9" t="str">
        <x:v>Le livrable « Citadel: Volus Ambassador » possède une scène ou un scénario de contrôle ; ses règles proposées, ses conditions et ses retours visuels sont vérifiables séparément.</x:v>
      </x:c>
      <x:c r="O25" s="9" t="str"/>
      <x:c r="P25" s="9" t="str">
        <x:v>Citadel: Volus Ambassador</x:v>
      </x:c>
      <x:c r="Q25" s="9" t="str">
        <x:v>ME3-SRC-CITADEL</x:v>
      </x:c>
      <x:c r="R25" s="20" t="str">
        <x:v>https://masseffect.fandom.com/wiki/Citadel</x:v>
      </x:c>
      <x:c r="S25" s="20" t="str">
        <x:v>Spécification à réaliser. Les champs adaptation, gameplay, visual, animation, audio et implementation décrivent le fan game ; ils ne donnent pas des caractéristiques officielles de l’œuvre.</x:v>
      </x:c>
    </x:row>
    <x:row r="26" ht="68" customHeight="1">
      <x:c r="A26" s="19" t="str">
        <x:v>ME3-SQ-BATARIAN</x:v>
      </x:c>
      <x:c r="B26" s="7" t="str">
        <x:v>Citadel: Batarian Codes</x:v>
      </x:c>
      <x:c r="C26" s="15" t="str">
        <x:v>Défini</x:v>
      </x:c>
      <x:c r="D26" s="17" t="str">
        <x:v>Établi</x:v>
      </x:c>
      <x:c r="E26" s="17" t="str">
        <x:v>P1</x:v>
      </x:c>
      <x:c r="F26" s="7" t="str">
        <x:v>Enquête sur des accès batariens.</x:v>
      </x:c>
      <x:c r="G26" s="7" t="str">
        <x:v>Relier terminaux et suspect ; choix final conserve identité et contribution de guerre.</x:v>
      </x:c>
      <x:c r="H26" s="7" t="str">
        <x:v>Relier terminaux et suspect ; choix final conserve identité et contribution de guerre.</x:v>
      </x:c>
      <x:c r="I26" s="7" t="str">
        <x:v>Postes de transit et holo-enquête.</x:v>
      </x:c>
      <x:c r="J26" s="7" t="str">
        <x:v>Transitions de caméra et d’interface interruptibles ; aucun délai d’animation ne doit consommer une décision encore ouverte.</x:v>
      </x:c>
      <x:c r="K26" s="7" t="str">
        <x:v>Créer des bruitages et ambiances originaux adaptés au livrable ; sous-titrer les indices utiles et proposer un réglage indépendant des effets. Aucune extraction audio demandée.</x:v>
      </x:c>
      <x:c r="L26" s="7" t="str">
        <x:v>Prévu : fiche de données me3/side_quests/batarian ; rattacher les ressources et états cités à cet identifiant. Aucun fichier de jeu créé par ce catalogue.</x:v>
      </x:c>
      <x:c r="M26" s="7" t="str"/>
      <x:c r="N26" s="7" t="str">
        <x:v>Le livrable « Citadel: Batarian Codes » possède une scène ou un scénario de contrôle ; ses règles proposées, ses conditions et ses retours visuels sont vérifiables séparément.</x:v>
      </x:c>
      <x:c r="O26" s="7" t="str"/>
      <x:c r="P26" s="7" t="str">
        <x:v>Citadel: Batarian Codes</x:v>
      </x:c>
      <x:c r="Q26" s="7" t="str">
        <x:v>ME3-SRC-CITADEL, ME3-SRC-WAR-ALIEN</x:v>
      </x:c>
      <x:c r="R26" s="21" t="str">
        <x:v>https://masseffect.fandom.com/wiki/Citadel
https://masseffect.fandom.com/wiki/War_Assets/Alien</x:v>
      </x:c>
      <x:c r="S26" s="21" t="str">
        <x:v>Spécification à réaliser. Les champs adaptation, gameplay, visual, animation, audio et implementation décrivent le fan game ; ils ne donnent pas des caractéristiques officielles de l’œuvre.</x:v>
      </x:c>
    </x:row>
    <x:row r="27" ht="68" customHeight="1">
      <x:c r="A27" s="18" t="str">
        <x:v>ME3-SQ-SABOTAGE</x:v>
      </x:c>
      <x:c r="B27" s="9" t="str">
        <x:v>Citadel: Medi-Gel Sabotage</x:v>
      </x:c>
      <x:c r="C27" s="15" t="str">
        <x:v>Défini</x:v>
      </x:c>
      <x:c r="D27" s="16" t="str">
        <x:v>Établi</x:v>
      </x:c>
      <x:c r="E27" s="16" t="str">
        <x:v>P1</x:v>
      </x:c>
      <x:c r="F27" s="9" t="str">
        <x:v>Mission concernant des dispensateurs.</x:v>
      </x:c>
      <x:c r="G27" s="9" t="str">
        <x:v>Inspecter plusieurs distributeurs puis signaler le responsable ; état de preuve séparé de réparation.</x:v>
      </x:c>
      <x:c r="H27" s="9" t="str">
        <x:v>Inspecter plusieurs distributeurs puis signaler le responsable ; état de preuve séparé de réparation.</x:v>
      </x:c>
      <x:c r="I27" s="9" t="str">
        <x:v>Camp de réfugiés et distributeurs.</x:v>
      </x:c>
      <x:c r="J27" s="9" t="str">
        <x:v>Transitions de caméra et d’interface interruptibles ; aucun délai d’animation ne doit consommer une décision encore ouverte.</x:v>
      </x:c>
      <x:c r="K27" s="9" t="str">
        <x:v>Créer des bruitages et ambiances originaux adaptés au livrable ; sous-titrer les indices utiles et proposer un réglage indépendant des effets. Aucune extraction audio demandée.</x:v>
      </x:c>
      <x:c r="L27" s="9" t="str">
        <x:v>Prévu : fiche de données me3/side_quests/sabotage ; rattacher les ressources et états cités à cet identifiant. Aucun fichier de jeu créé par ce catalogue.</x:v>
      </x:c>
      <x:c r="M27" s="9" t="str"/>
      <x:c r="N27" s="9" t="str">
        <x:v>Le livrable « Citadel: Medi-Gel Sabotage » possède une scène ou un scénario de contrôle ; ses règles proposées, ses conditions et ses retours visuels sont vérifiables séparément.</x:v>
      </x:c>
      <x:c r="O27" s="9" t="str"/>
      <x:c r="P27" s="9" t="str">
        <x:v>Citadel: Medi-Gel Sabotage</x:v>
      </x:c>
      <x:c r="Q27" s="9" t="str">
        <x:v>ME3-SRC-CITADEL</x:v>
      </x:c>
      <x:c r="R27" s="20" t="str">
        <x:v>https://masseffect.fandom.com/wiki/Citadel</x:v>
      </x:c>
      <x:c r="S27" s="20" t="str">
        <x:v>Spécification à réaliser. Les champs adaptation, gameplay, visual, animation, audio et implementation décrivent le fan game ; ils ne donnent pas des caractéristiques officielles de l’œuvre.</x:v>
      </x:c>
    </x:row>
    <x:row r="28" ht="68" customHeight="1">
      <x:c r="A28" s="19" t="str">
        <x:v>ME3-SQ-RETRIBUTION</x:v>
      </x:c>
      <x:c r="B28" s="7" t="str">
        <x:v>Citadel: Cerberus Retribution</x:v>
      </x:c>
      <x:c r="C28" s="15" t="str">
        <x:v>Défini</x:v>
      </x:c>
      <x:c r="D28" s="17" t="str">
        <x:v>Établi</x:v>
      </x:c>
      <x:c r="E28" s="17" t="str">
        <x:v>P1</x:v>
      </x:c>
      <x:c r="F28" s="7" t="str">
        <x:v>Mission de Citadelle.</x:v>
      </x:c>
      <x:c r="G28" s="7" t="str">
        <x:v>Enquête de sécurité à deux contacts ; consigner l’information sans ajouter un combat de quartier non attesté.</x:v>
      </x:c>
      <x:c r="H28" s="7" t="str">
        <x:v>Enquête de sécurité à deux contacts ; consigner l’information sans ajouter un combat de quartier non attesté.</x:v>
      </x:c>
      <x:c r="I28" s="7" t="str">
        <x:v>Secteur civil et communications.</x:v>
      </x:c>
      <x:c r="J28" s="7" t="str">
        <x:v>Transitions de caméra et d’interface interruptibles ; aucun délai d’animation ne doit consommer une décision encore ouverte.</x:v>
      </x:c>
      <x:c r="K28" s="7" t="str">
        <x:v>Créer des bruitages et ambiances originaux adaptés au livrable ; sous-titrer les indices utiles et proposer un réglage indépendant des effets. Aucune extraction audio demandée.</x:v>
      </x:c>
      <x:c r="L28" s="7" t="str">
        <x:v>Prévu : fiche de données me3/side_quests/retribution ; rattacher les ressources et états cités à cet identifiant. Aucun fichier de jeu créé par ce catalogue.</x:v>
      </x:c>
      <x:c r="M28" s="7" t="str"/>
      <x:c r="N28" s="7" t="str">
        <x:v>Le livrable « Citadel: Cerberus Retribution » possède une scène ou un scénario de contrôle ; ses règles proposées, ses conditions et ses retours visuels sont vérifiables séparément.</x:v>
      </x:c>
      <x:c r="O28" s="7" t="str"/>
      <x:c r="P28" s="7" t="str">
        <x:v>Citadel: Cerberus Retribution</x:v>
      </x:c>
      <x:c r="Q28" s="7" t="str">
        <x:v>ME3-SRC-CITADEL</x:v>
      </x:c>
      <x:c r="R28" s="21" t="str">
        <x:v>https://masseffect.fandom.com/wiki/Citadel</x:v>
      </x:c>
      <x:c r="S28" s="21" t="str">
        <x:v>Spécification à réaliser. Les champs adaptation, gameplay, visual, animation, audio et implementation décrivent le fan game ; ils ne donnent pas des caractéristiques officielles de l’œuvre.</x:v>
      </x:c>
    </x:row>
    <x:row r="29" ht="68" customHeight="1">
      <x:c r="A29" s="18" t="str">
        <x:v>ME3-SQ-STORIES</x:v>
      </x:c>
      <x:c r="B29" s="9" t="str">
        <x:v>Citadel: Inspirational Stories</x:v>
      </x:c>
      <x:c r="C29" s="15" t="str">
        <x:v>Défini</x:v>
      </x:c>
      <x:c r="D29" s="16" t="str">
        <x:v>Établi</x:v>
      </x:c>
      <x:c r="E29" s="16" t="str">
        <x:v>P1</x:v>
      </x:c>
      <x:c r="F29" s="9" t="str">
        <x:v>Mission de reportages.</x:v>
      </x:c>
      <x:c r="G29" s="9" t="str">
        <x:v>Collecter des cadrages autorisés dans le camp puis valider un compte rendu original.</x:v>
      </x:c>
      <x:c r="H29" s="9" t="str">
        <x:v>Collecter des cadrages autorisés dans le camp puis valider un compte rendu original.</x:v>
      </x:c>
      <x:c r="I29" s="9" t="str">
        <x:v>Points de vue sur aides et réfugiés.</x:v>
      </x:c>
      <x:c r="J29" s="9" t="str">
        <x:v>Transitions de caméra et d’interface interruptibles ; aucun délai d’animation ne doit consommer une décision encore ouverte.</x:v>
      </x:c>
      <x:c r="K29" s="9" t="str">
        <x:v>Créer des bruitages et ambiances originaux adaptés au livrable ; sous-titrer les indices utiles et proposer un réglage indépendant des effets. Aucune extraction audio demandée.</x:v>
      </x:c>
      <x:c r="L29" s="9" t="str">
        <x:v>Prévu : fiche de données me3/side_quests/stories ; rattacher les ressources et états cités à cet identifiant. Aucun fichier de jeu créé par ce catalogue.</x:v>
      </x:c>
      <x:c r="M29" s="9" t="str"/>
      <x:c r="N29" s="9" t="str">
        <x:v>Le livrable « Citadel: Inspirational Stories » possède une scène ou un scénario de contrôle ; ses règles proposées, ses conditions et ses retours visuels sont vérifiables séparément.</x:v>
      </x:c>
      <x:c r="O29" s="9" t="str"/>
      <x:c r="P29" s="9" t="str">
        <x:v>Citadel: Inspirational Stories</x:v>
      </x:c>
      <x:c r="Q29" s="9" t="str">
        <x:v>ME3-SRC-CITADEL</x:v>
      </x:c>
      <x:c r="R29" s="20" t="str">
        <x:v>https://masseffect.fandom.com/wiki/Citadel</x:v>
      </x:c>
      <x:c r="S29" s="20" t="str">
        <x:v>Spécification à réaliser. Les champs adaptation, gameplay, visual, animation, audio et implementation décrivent le fan game ; ils ne donnent pas des caractéristiques officielles de l’œuvre.</x:v>
      </x:c>
    </x:row>
    <x:row r="30" ht="68" customHeight="1">
      <x:c r="A30" s="19" t="str">
        <x:v>ME3-SQ-WOUNDED</x:v>
      </x:c>
      <x:c r="B30" s="7" t="str">
        <x:v>Citadel: Wounded Batarian</x:v>
      </x:c>
      <x:c r="C30" s="15" t="str">
        <x:v>Défini</x:v>
      </x:c>
      <x:c r="D30" s="17" t="str">
        <x:v>Établi</x:v>
      </x:c>
      <x:c r="E30" s="17" t="str">
        <x:v>P1</x:v>
      </x:c>
      <x:c r="F30" s="7" t="str">
        <x:v>Un blessé peut être rencontré.</x:v>
      </x:c>
      <x:c r="G30" s="7" t="str">
        <x:v>Dialogue médical et moral avec choix explicite ; ne pas récompenser la souffrance comme mini-jeu.</x:v>
      </x:c>
      <x:c r="H30" s="7" t="str">
        <x:v>Dialogue médical et moral avec choix explicite ; ne pas récompenser la souffrance comme mini-jeu.</x:v>
      </x:c>
      <x:c r="I30" s="7" t="str">
        <x:v>Hôpital, lit et respiration filtrée.</x:v>
      </x:c>
      <x:c r="J30" s="7" t="str">
        <x:v>Transitions de caméra et d’interface interruptibles ; aucun délai d’animation ne doit consommer une décision encore ouverte.</x:v>
      </x:c>
      <x:c r="K30" s="7" t="str">
        <x:v>Créer des bruitages et ambiances originaux adaptés au livrable ; sous-titrer les indices utiles et proposer un réglage indépendant des effets. Aucune extraction audio demandée.</x:v>
      </x:c>
      <x:c r="L30" s="7" t="str">
        <x:v>Prévu : fiche de données me3/side_quests/wounded ; rattacher les ressources et états cités à cet identifiant. Aucun fichier de jeu créé par ce catalogue.</x:v>
      </x:c>
      <x:c r="M30" s="7" t="str"/>
      <x:c r="N30" s="7" t="str">
        <x:v>Le livrable « Citadel: Wounded Batarian » possède une scène ou un scénario de contrôle ; ses règles proposées, ses conditions et ses retours visuels sont vérifiables séparément.</x:v>
      </x:c>
      <x:c r="O30" s="7" t="str"/>
      <x:c r="P30" s="7" t="str">
        <x:v>Citadel: Wounded Batarian</x:v>
      </x:c>
      <x:c r="Q30" s="7" t="str">
        <x:v>ME3-SRC-CITADEL</x:v>
      </x:c>
      <x:c r="R30" s="21" t="str">
        <x:v>https://masseffect.fandom.com/wiki/Citadel</x:v>
      </x:c>
      <x:c r="S30" s="21" t="str">
        <x:v>Spécification à réaliser. Les champs adaptation, gameplay, visual, animation, audio et implementation décrivent le fan game ; ils ne donnent pas des caractéristiques officielles de l’œuvre.</x:v>
      </x:c>
    </x:row>
    <x:row r="31" ht="68" customHeight="1">
      <x:c r="A31" s="18" t="str">
        <x:v>ME3-SQ-BARLAVON</x:v>
      </x:c>
      <x:c r="B31" s="9" t="str">
        <x:v>Citadel: Barla Von</x:v>
      </x:c>
      <x:c r="C31" s="15" t="str">
        <x:v>Défini</x:v>
      </x:c>
      <x:c r="D31" s="16" t="str">
        <x:v>Établi</x:v>
      </x:c>
      <x:c r="E31" s="16" t="str">
        <x:v>P1</x:v>
      </x:c>
      <x:c r="F31" s="9" t="str">
        <x:v>Mission fournie par Barla Von.</x:v>
      </x:c>
      <x:c r="G31" s="9" t="str">
        <x:v>Piste galactique puis compte rendu ; distinguer données trouvées et personne contactée.</x:v>
      </x:c>
      <x:c r="H31" s="9" t="str">
        <x:v>Piste galactique puis compte rendu ; distinguer données trouvées et personne contactée.</x:v>
      </x:c>
      <x:c r="I31" s="9" t="str">
        <x:v>Banquier volus et carte de région.</x:v>
      </x:c>
      <x:c r="J31" s="9" t="str">
        <x:v>Transitions de caméra et d’interface interruptibles ; aucun délai d’animation ne doit consommer une décision encore ouverte.</x:v>
      </x:c>
      <x:c r="K31" s="9" t="str">
        <x:v>Créer des bruitages et ambiances originaux adaptés au livrable ; sous-titrer les indices utiles et proposer un réglage indépendant des effets. Aucune extraction audio demandée.</x:v>
      </x:c>
      <x:c r="L31" s="9" t="str">
        <x:v>Prévu : fiche de données me3/side_quests/barlavon ; rattacher les ressources et états cités à cet identifiant. Aucun fichier de jeu créé par ce catalogue.</x:v>
      </x:c>
      <x:c r="M31" s="9" t="str"/>
      <x:c r="N31" s="9" t="str">
        <x:v>Le livrable « Citadel: Barla Von » possède une scène ou un scénario de contrôle ; ses règles proposées, ses conditions et ses retours visuels sont vérifiables séparément.</x:v>
      </x:c>
      <x:c r="O31" s="9" t="str"/>
      <x:c r="P31" s="9" t="str">
        <x:v>Citadel: Barla Von</x:v>
      </x:c>
      <x:c r="Q31" s="9" t="str">
        <x:v>ME3-SRC-CITADEL</x:v>
      </x:c>
      <x:c r="R31" s="20" t="str">
        <x:v>https://masseffect.fandom.com/wiki/Citadel</x:v>
      </x:c>
      <x:c r="S31" s="20" t="str">
        <x:v>Spécification à réaliser. Les champs adaptation, gameplay, visual, animation, audio et implementation décrivent le fan game ; ils ne donnent pas des caractéristiques officielles de l’œuvre.</x:v>
      </x:c>
    </x:row>
    <x:row r="32" ht="68" customHeight="1">
      <x:c r="A32" s="19" t="str">
        <x:v>ME3-SQ-MEDFORM</x:v>
      </x:c>
      <x:c r="B32" s="7" t="str">
        <x:v>Citadel: Alien Medi-Gel Formula</x:v>
      </x:c>
      <x:c r="C32" s="15" t="str">
        <x:v>Défini</x:v>
      </x:c>
      <x:c r="D32" s="17" t="str">
        <x:v>Établi</x:v>
      </x:c>
      <x:c r="E32" s="17" t="str">
        <x:v>P1</x:v>
      </x:c>
      <x:c r="F32" s="7" t="str">
        <x:v>Formule trouvable au laboratoire Cerberus.</x:v>
      </x:c>
      <x:c r="G32" s="7" t="str">
        <x:v>Objet de mission récupérable via réquisitions s’il est manqué ; retour auprès du docteur à la bonne période.</x:v>
      </x:c>
      <x:c r="H32" s="7" t="str">
        <x:v>Objet de mission récupérable via réquisitions s’il est manqué ; retour auprès du docteur à la bonne période.</x:v>
      </x:c>
      <x:c r="I32" s="7" t="str">
        <x:v>Datapad et bureau de Dr. Ravin.</x:v>
      </x:c>
      <x:c r="J32" s="7" t="str">
        <x:v>Transitions de caméra et d’interface interruptibles ; aucun délai d’animation ne doit consommer une décision encore ouverte.</x:v>
      </x:c>
      <x:c r="K32" s="7" t="str">
        <x:v>Créer des bruitages et ambiances originaux adaptés au livrable ; sous-titrer les indices utiles et proposer un réglage indépendant des effets. Aucune extraction audio demandée.</x:v>
      </x:c>
      <x:c r="L32" s="7" t="str">
        <x:v>Prévu : fiche de données me3/side_quests/medform ; rattacher les ressources et états cités à cet identifiant. Aucun fichier de jeu créé par ce catalogue.</x:v>
      </x:c>
      <x:c r="M32" s="7" t="str">
        <x:v>Échéance avant Tuchanka.</x:v>
      </x:c>
      <x:c r="N32" s="7" t="str">
        <x:v>Le livrable « Citadel: Alien Medi-Gel Formula » possède une scène ou un scénario de contrôle ; ses règles proposées, ses conditions et ses retours visuels sont vérifiables séparément.</x:v>
      </x:c>
      <x:c r="O32" s="7" t="str"/>
      <x:c r="P32" s="7" t="str">
        <x:v>Citadel: Alien Medi-Gel Formula</x:v>
      </x:c>
      <x:c r="Q32" s="7" t="str">
        <x:v>ME3-SRC-ALIEN-MED</x:v>
      </x:c>
      <x:c r="R32" s="21" t="str">
        <x:v>https://masseffect.fandom.com/wiki/Citadel%3A_Alien_Medi-Gel_Formula</x:v>
      </x:c>
      <x:c r="S32" s="21" t="str">
        <x:v>Spécification à réaliser. Les champs adaptation, gameplay, visual, animation, audio et implementation décrivent le fan game ; ils ne donnent pas des caractéristiques officielles de l’œuvre.</x:v>
      </x:c>
    </x:row>
    <x:row r="33" ht="68" customHeight="1">
      <x:c r="A33" s="18" t="str">
        <x:v>ME3-SQ-BIOTIC-AMP</x:v>
      </x:c>
      <x:c r="B33" s="9" t="str">
        <x:v>Citadel: Biotic Amp Interfaces</x:v>
      </x:c>
      <x:c r="C33" s="15" t="str">
        <x:v>Défini</x:v>
      </x:c>
      <x:c r="D33" s="16" t="str">
        <x:v>Établi</x:v>
      </x:c>
      <x:c r="E33" s="16" t="str">
        <x:v>P1</x:v>
      </x:c>
      <x:c r="F33" s="9" t="str">
        <x:v>Mission de données d’amplificateur.</x:v>
      </x:c>
      <x:c r="G33" s="9" t="str">
        <x:v>Ramener le schéma trouvé à l’hôpital ; afficher sa provenance Grissom et solution de rattrapage à vérifier.</x:v>
      </x:c>
      <x:c r="H33" s="9" t="str">
        <x:v>Ramener le schéma trouvé à l’hôpital ; afficher sa provenance Grissom et solution de rattrapage à vérifier.</x:v>
      </x:c>
      <x:c r="I33" s="9" t="str">
        <x:v>Schéma et poste médical.</x:v>
      </x:c>
      <x:c r="J33" s="9" t="str">
        <x:v>Transitions de caméra et d’interface interruptibles ; aucun délai d’animation ne doit consommer une décision encore ouverte.</x:v>
      </x:c>
      <x:c r="K33" s="9" t="str">
        <x:v>Créer des bruitages et ambiances originaux adaptés au livrable ; sous-titrer les indices utiles et proposer un réglage indépendant des effets. Aucune extraction audio demandée.</x:v>
      </x:c>
      <x:c r="L33" s="9" t="str">
        <x:v>Prévu : fiche de données me3/side_quests/biotic-amp ; rattacher les ressources et états cités à cet identifiant. Aucun fichier de jeu créé par ce catalogue.</x:v>
      </x:c>
      <x:c r="M33" s="9" t="str"/>
      <x:c r="N33" s="9" t="str">
        <x:v>Le livrable « Citadel: Biotic Amp Interfaces » possède une scène ou un scénario de contrôle ; ses règles proposées, ses conditions et ses retours visuels sont vérifiables séparément.</x:v>
      </x:c>
      <x:c r="O33" s="9" t="str"/>
      <x:c r="P33" s="9" t="str">
        <x:v>Citadel: Biotic Amp Interfaces</x:v>
      </x:c>
      <x:c r="Q33" s="9" t="str">
        <x:v>ME3-SRC-CITADEL</x:v>
      </x:c>
      <x:c r="R33" s="20" t="str">
        <x:v>https://masseffect.fandom.com/wiki/Citadel</x:v>
      </x:c>
      <x:c r="S33" s="20" t="str">
        <x:v>Spécification à réaliser. Les champs adaptation, gameplay, visual, animation, audio et implementation décrivent le fan game ; ils ne donnent pas des caractéristiques officielles de l’œuvre.</x:v>
      </x:c>
    </x:row>
    <x:row r="34" ht="68" customHeight="1">
      <x:c r="A34" s="19" t="str">
        <x:v>ME3-SQ-TURRET</x:v>
      </x:c>
      <x:c r="B34" s="7" t="str">
        <x:v>Citadel: Cerberus Automated Turret Schematics</x:v>
      </x:c>
      <x:c r="C34" s="15" t="str">
        <x:v>Défini</x:v>
      </x:c>
      <x:c r="D34" s="17" t="str">
        <x:v>Établi</x:v>
      </x:c>
      <x:c r="E34" s="17" t="str">
        <x:v>P1</x:v>
      </x:c>
      <x:c r="F34" s="7" t="str">
        <x:v>Mission de plans de tourelles.</x:v>
      </x:c>
      <x:c r="G34" s="7" t="str">
        <x:v>Faire correspondre plans de mission et demande après coup d’État ; acquisition et remise séparées.</x:v>
      </x:c>
      <x:c r="H34" s="7" t="str">
        <x:v>Faire correspondre plans de mission et demande après coup d’État ; acquisition et remise séparées.</x:v>
      </x:c>
      <x:c r="I34" s="7" t="str">
        <x:v>Datapad de mécanisme.</x:v>
      </x:c>
      <x:c r="J34" s="7" t="str">
        <x:v>Transitions de caméra et d’interface interruptibles ; aucun délai d’animation ne doit consommer une décision encore ouverte.</x:v>
      </x:c>
      <x:c r="K34" s="7" t="str">
        <x:v>Créer des bruitages et ambiances originaux adaptés au livrable ; sous-titrer les indices utiles et proposer un réglage indépendant des effets. Aucune extraction audio demandée.</x:v>
      </x:c>
      <x:c r="L34" s="7" t="str">
        <x:v>Prévu : fiche de données me3/side_quests/turret ; rattacher les ressources et états cités à cet identifiant. Aucun fichier de jeu créé par ce catalogue.</x:v>
      </x:c>
      <x:c r="M34" s="7" t="str"/>
      <x:c r="N34" s="7" t="str">
        <x:v>Le livrable « Citadel: Cerberus Automated Turret Schematics » possède une scène ou un scénario de contrôle ; ses règles proposées, ses conditions et ses retours visuels sont vérifiables séparément.</x:v>
      </x:c>
      <x:c r="O34" s="7" t="str"/>
      <x:c r="P34" s="7" t="str">
        <x:v>Citadel: Cerberus Automated Turret Schematics</x:v>
      </x:c>
      <x:c r="Q34" s="7" t="str">
        <x:v>ME3-SRC-CITADEL, ME3-SRC-GUIDE</x:v>
      </x:c>
      <x:c r="R34" s="21" t="str">
        <x:v>https://masseffect.fandom.com/wiki/Citadel
https://masseffect.fandom.com/wiki/Mass_Effect_3_Guide</x:v>
      </x:c>
      <x:c r="S34" s="21" t="str">
        <x:v>Spécification à réaliser. Les champs adaptation, gameplay, visual, animation, audio et implementation décrivent le fan game ; ils ne donnent pas des caractéristiques officielles de l’œuvre.</x:v>
      </x:c>
    </x:row>
    <x:row r="35" ht="68" customHeight="1">
      <x:c r="A35" s="18" t="str">
        <x:v>ME3-SQ-CIPHERS</x:v>
      </x:c>
      <x:c r="B35" s="9" t="str">
        <x:v>Citadel: Cerberus Ciphers</x:v>
      </x:c>
      <x:c r="C35" s="15" t="str">
        <x:v>Défini</x:v>
      </x:c>
      <x:c r="D35" s="16" t="str">
        <x:v>Établi</x:v>
      </x:c>
      <x:c r="E35" s="16" t="str">
        <x:v>P1</x:v>
      </x:c>
      <x:c r="F35" s="9" t="str">
        <x:v>Mission de codes Cerberus.</x:v>
      </x:c>
      <x:c r="G35" s="9" t="str">
        <x:v>Déposer des codes au bon contact ; état unique même si le joueur acquiert d’abord l’objet.</x:v>
      </x:c>
      <x:c r="H35" s="9" t="str">
        <x:v>Déposer des codes au bon contact ; état unique même si le joueur acquiert d’abord l’objet.</x:v>
      </x:c>
      <x:c r="I35" s="9" t="str">
        <x:v>Écran de décryptage.</x:v>
      </x:c>
      <x:c r="J35" s="9" t="str">
        <x:v>Transitions de caméra et d’interface interruptibles ; aucun délai d’animation ne doit consommer une décision encore ouverte.</x:v>
      </x:c>
      <x:c r="K35" s="9" t="str">
        <x:v>Créer des bruitages et ambiances originaux adaptés au livrable ; sous-titrer les indices utiles et proposer un réglage indépendant des effets. Aucune extraction audio demandée.</x:v>
      </x:c>
      <x:c r="L35" s="9" t="str">
        <x:v>Prévu : fiche de données me3/side_quests/ciphers ; rattacher les ressources et états cités à cet identifiant. Aucun fichier de jeu créé par ce catalogue.</x:v>
      </x:c>
      <x:c r="M35" s="9" t="str"/>
      <x:c r="N35" s="9" t="str">
        <x:v>Le livrable « Citadel: Cerberus Ciphers » possède une scène ou un scénario de contrôle ; ses règles proposées, ses conditions et ses retours visuels sont vérifiables séparément.</x:v>
      </x:c>
      <x:c r="O35" s="9" t="str"/>
      <x:c r="P35" s="9" t="str">
        <x:v>Citadel: Cerberus Ciphers</x:v>
      </x:c>
      <x:c r="Q35" s="9" t="str">
        <x:v>ME3-SRC-CITADEL</x:v>
      </x:c>
      <x:c r="R35" s="20" t="str">
        <x:v>https://masseffect.fandom.com/wiki/Citadel</x:v>
      </x:c>
      <x:c r="S35" s="20" t="str">
        <x:v>Spécification à réaliser. Les champs adaptation, gameplay, visual, animation, audio et implementation décrivent le fan game ; ils ne donnent pas des caractéristiques officielles de l’œuvre.</x:v>
      </x:c>
    </x:row>
    <x:row r="36" ht="68" customHeight="1">
      <x:c r="A36" s="19" t="str">
        <x:v>ME3-SQ-POISON</x:v>
      </x:c>
      <x:c r="B36" s="7" t="str">
        <x:v>Citadel: Cerberus Turian Poison</x:v>
      </x:c>
      <x:c r="C36" s="15" t="str">
        <x:v>Défini</x:v>
      </x:c>
      <x:c r="D36" s="17" t="str">
        <x:v>Établi</x:v>
      </x:c>
      <x:c r="E36" s="17" t="str">
        <x:v>P1</x:v>
      </x:c>
      <x:c r="F36" s="7" t="str">
        <x:v>Mission de traitement d’un poison.</x:v>
      </x:c>
      <x:c r="G36" s="7" t="str">
        <x:v>Retour médical après découverte ; preuve présentée sans inventer une recette réelle.</x:v>
      </x:c>
      <x:c r="H36" s="7" t="str">
        <x:v>Retour médical après découverte ; preuve présentée sans inventer une recette réelle.</x:v>
      </x:c>
      <x:c r="I36" s="7" t="str">
        <x:v>Dossier de soins turien.</x:v>
      </x:c>
      <x:c r="J36" s="7" t="str">
        <x:v>Transitions de caméra et d’interface interruptibles ; aucun délai d’animation ne doit consommer une décision encore ouverte.</x:v>
      </x:c>
      <x:c r="K36" s="7" t="str">
        <x:v>Créer des bruitages et ambiances originaux adaptés au livrable ; sous-titrer les indices utiles et proposer un réglage indépendant des effets. Aucune extraction audio demandée.</x:v>
      </x:c>
      <x:c r="L36" s="7" t="str">
        <x:v>Prévu : fiche de données me3/side_quests/poison ; rattacher les ressources et états cités à cet identifiant. Aucun fichier de jeu créé par ce catalogue.</x:v>
      </x:c>
      <x:c r="M36" s="7" t="str"/>
      <x:c r="N36" s="7" t="str">
        <x:v>Le livrable « Citadel: Cerberus Turian Poison » possède une scène ou un scénario de contrôle ; ses règles proposées, ses conditions et ses retours visuels sont vérifiables séparément.</x:v>
      </x:c>
      <x:c r="O36" s="7" t="str"/>
      <x:c r="P36" s="7" t="str">
        <x:v>Citadel: Cerberus Turian Poison</x:v>
      </x:c>
      <x:c r="Q36" s="7" t="str">
        <x:v>ME3-SRC-CITADEL</x:v>
      </x:c>
      <x:c r="R36" s="21" t="str">
        <x:v>https://masseffect.fandom.com/wiki/Citadel</x:v>
      </x:c>
      <x:c r="S36" s="21" t="str">
        <x:v>Spécification à réaliser. Les champs adaptation, gameplay, visual, animation, audio et implementation décrivent le fan game ; ils ne donnent pas des caractéristiques officielles de l’œuvre.</x:v>
      </x:c>
    </x:row>
    <x:row r="37" ht="68" customHeight="1">
      <x:c r="A37" s="18" t="str">
        <x:v>ME3-SQ-CHEMICAL</x:v>
      </x:c>
      <x:c r="B37" s="9" t="str">
        <x:v>Citadel: Chemical Treatment</x:v>
      </x:c>
      <x:c r="C37" s="15" t="str">
        <x:v>Défini</x:v>
      </x:c>
      <x:c r="D37" s="16" t="str">
        <x:v>Établi</x:v>
      </x:c>
      <x:c r="E37" s="16" t="str">
        <x:v>P1</x:v>
      </x:c>
      <x:c r="F37" s="9" t="str">
        <x:v>Mission de traitement chimique.</x:v>
      </x:c>
      <x:c r="G37" s="9" t="str">
        <x:v>Suivre demande, donnée et restitution ; journal précise le lieu de retour.</x:v>
      </x:c>
      <x:c r="H37" s="9" t="str">
        <x:v>Suivre demande, donnée et restitution ; journal précise le lieu de retour.</x:v>
      </x:c>
      <x:c r="I37" s="9" t="str">
        <x:v>Hôpital et fiche de laboratoire.</x:v>
      </x:c>
      <x:c r="J37" s="9" t="str">
        <x:v>Transitions de caméra et d’interface interruptibles ; aucun délai d’animation ne doit consommer une décision encore ouverte.</x:v>
      </x:c>
      <x:c r="K37" s="9" t="str">
        <x:v>Créer des bruitages et ambiances originaux adaptés au livrable ; sous-titrer les indices utiles et proposer un réglage indépendant des effets. Aucune extraction audio demandée.</x:v>
      </x:c>
      <x:c r="L37" s="9" t="str">
        <x:v>Prévu : fiche de données me3/side_quests/chemical ; rattacher les ressources et états cités à cet identifiant. Aucun fichier de jeu créé par ce catalogue.</x:v>
      </x:c>
      <x:c r="M37" s="9" t="str"/>
      <x:c r="N37" s="9" t="str">
        <x:v>Le livrable « Citadel: Chemical Treatment » possède une scène ou un scénario de contrôle ; ses règles proposées, ses conditions et ses retours visuels sont vérifiables séparément.</x:v>
      </x:c>
      <x:c r="O37" s="9" t="str"/>
      <x:c r="P37" s="9" t="str">
        <x:v>Citadel: Chemical Treatment</x:v>
      </x:c>
      <x:c r="Q37" s="9" t="str">
        <x:v>ME3-SRC-CITADEL</x:v>
      </x:c>
      <x:c r="R37" s="20" t="str">
        <x:v>https://masseffect.fandom.com/wiki/Citadel</x:v>
      </x:c>
      <x:c r="S37" s="20" t="str">
        <x:v>Spécification à réaliser. Les champs adaptation, gameplay, visual, animation, audio et implementation décrivent le fan game ; ils ne donnent pas des caractéristiques officielles de l’œuvre.</x:v>
      </x:c>
    </x:row>
    <x:row r="38" ht="68" customHeight="1">
      <x:c r="A38" s="19" t="str">
        <x:v>ME3-SQ-GX12</x:v>
      </x:c>
      <x:c r="B38" s="7" t="str">
        <x:v>Citadel: GX12 Thermal Pipe</x:v>
      </x:c>
      <x:c r="C38" s="15" t="str">
        <x:v>Défini</x:v>
      </x:c>
      <x:c r="D38" s="17" t="str">
        <x:v>Établi</x:v>
      </x:c>
      <x:c r="E38" s="17" t="str">
        <x:v>P1</x:v>
      </x:c>
      <x:c r="F38" s="7" t="str">
        <x:v>Mission d’une pièce pour le Normandy.</x:v>
      </x:c>
      <x:c r="G38" s="7" t="str">
        <x:v>Achat puis remise à l’ingénierie ; capacité du vaisseau actualisée une fois.</x:v>
      </x:c>
      <x:c r="H38" s="7" t="str">
        <x:v>Achat puis remise à l’ingénierie ; capacité du vaisseau actualisée une fois.</x:v>
      </x:c>
      <x:c r="I38" s="7" t="str">
        <x:v>Tuyau thermique identifiable.</x:v>
      </x:c>
      <x:c r="J38" s="7" t="str">
        <x:v>Transitions de caméra et d’interface interruptibles ; aucun délai d’animation ne doit consommer une décision encore ouverte.</x:v>
      </x:c>
      <x:c r="K38" s="7" t="str">
        <x:v>Créer des bruitages et ambiances originaux adaptés au livrable ; sous-titrer les indices utiles et proposer un réglage indépendant des effets. Aucune extraction audio demandée.</x:v>
      </x:c>
      <x:c r="L38" s="7" t="str">
        <x:v>Prévu : fiche de données me3/side_quests/gx12 ; rattacher les ressources et états cités à cet identifiant. Aucun fichier de jeu créé par ce catalogue.</x:v>
      </x:c>
      <x:c r="M38" s="7" t="str"/>
      <x:c r="N38" s="7" t="str">
        <x:v>Le livrable « Citadel: GX12 Thermal Pipe » possède une scène ou un scénario de contrôle ; ses règles proposées, ses conditions et ses retours visuels sont vérifiables séparément.</x:v>
      </x:c>
      <x:c r="O38" s="7" t="str"/>
      <x:c r="P38" s="7" t="str">
        <x:v>Citadel: GX12 Thermal Pipe</x:v>
      </x:c>
      <x:c r="Q38" s="7" t="str">
        <x:v>ME3-SRC-CITADEL</x:v>
      </x:c>
      <x:c r="R38" s="21" t="str">
        <x:v>https://masseffect.fandom.com/wiki/Citadel</x:v>
      </x:c>
      <x:c r="S38" s="21" t="str">
        <x:v>Spécification à réaliser. Les champs adaptation, gameplay, visual, animation, audio et implementation décrivent le fan game ; ils ne donnent pas des caractéristiques officielles de l’œuvre.</x:v>
      </x:c>
    </x:row>
    <x:row r="39" ht="68" customHeight="1">
      <x:c r="A39" s="18" t="str">
        <x:v>ME3-SQ-HEATING</x:v>
      </x:c>
      <x:c r="B39" s="9" t="str">
        <x:v>Citadel: Heating Unit Stabilizers</x:v>
      </x:c>
      <x:c r="C39" s="15" t="str">
        <x:v>Défini</x:v>
      </x:c>
      <x:c r="D39" s="16" t="str">
        <x:v>Établi</x:v>
      </x:c>
      <x:c r="E39" s="16" t="str">
        <x:v>P1</x:v>
      </x:c>
      <x:c r="F39" s="9" t="str">
        <x:v>Mission de stabilisateurs.</x:v>
      </x:c>
      <x:c r="G39" s="9" t="str">
        <x:v>Récupérer matériel ou voie de rattrapage confirmée ; présenter l’usage civil de l’objet.</x:v>
      </x:c>
      <x:c r="H39" s="9" t="str">
        <x:v>Récupérer matériel ou voie de rattrapage confirmée ; présenter l’usage civil de l’objet.</x:v>
      </x:c>
      <x:c r="I39" s="9" t="str">
        <x:v>Pièce de chauffage dans caisse.</x:v>
      </x:c>
      <x:c r="J39" s="9" t="str">
        <x:v>Transitions de caméra et d’interface interruptibles ; aucun délai d’animation ne doit consommer une décision encore ouverte.</x:v>
      </x:c>
      <x:c r="K39" s="9" t="str">
        <x:v>Créer des bruitages et ambiances originaux adaptés au livrable ; sous-titrer les indices utiles et proposer un réglage indépendant des effets. Aucune extraction audio demandée.</x:v>
      </x:c>
      <x:c r="L39" s="9" t="str">
        <x:v>Prévu : fiche de données me3/side_quests/heating ; rattacher les ressources et états cités à cet identifiant. Aucun fichier de jeu créé par ce catalogue.</x:v>
      </x:c>
      <x:c r="M39" s="9" t="str"/>
      <x:c r="N39" s="9" t="str">
        <x:v>Le livrable « Citadel: Heating Unit Stabilizers » possède une scène ou un scénario de contrôle ; ses règles proposées, ses conditions et ses retours visuels sont vérifiables séparément.</x:v>
      </x:c>
      <x:c r="O39" s="9" t="str"/>
      <x:c r="P39" s="9" t="str">
        <x:v>Citadel: Heating Unit Stabilizers</x:v>
      </x:c>
      <x:c r="Q39" s="9" t="str">
        <x:v>ME3-SRC-CITADEL</x:v>
      </x:c>
      <x:c r="R39" s="20" t="str">
        <x:v>https://masseffect.fandom.com/wiki/Citadel</x:v>
      </x:c>
      <x:c r="S39" s="20" t="str">
        <x:v>Spécification à réaliser. Les champs adaptation, gameplay, visual, animation, audio et implementation décrivent le fan game ; ils ne donnent pas des caractéristiques officielles de l’œuvre.</x:v>
      </x:c>
    </x:row>
    <x:row r="40" ht="68" customHeight="1">
      <x:c r="A40" s="19" t="str">
        <x:v>ME3-SQ-GRID</x:v>
      </x:c>
      <x:c r="B40" s="7" t="str">
        <x:v>Citadel: Improved Power Grid</x:v>
      </x:c>
      <x:c r="C40" s="15" t="str">
        <x:v>Défini</x:v>
      </x:c>
      <x:c r="D40" s="17" t="str">
        <x:v>Établi</x:v>
      </x:c>
      <x:c r="E40" s="17" t="str">
        <x:v>P1</x:v>
      </x:c>
      <x:c r="F40" s="7" t="str">
        <x:v>Mission d’un réseau électrique.</x:v>
      </x:c>
      <x:c r="G40" s="7" t="str">
        <x:v>Remettre un schéma à l’interlocuteur ; l’effet de guerre n’écrase pas un ancien résultat.</x:v>
      </x:c>
      <x:c r="H40" s="7" t="str">
        <x:v>Remettre un schéma à l’interlocuteur ; l’effet de guerre n’écrase pas un ancien résultat.</x:v>
      </x:c>
      <x:c r="I40" s="7" t="str">
        <x:v>Schéma de distribution.</x:v>
      </x:c>
      <x:c r="J40" s="7" t="str">
        <x:v>Transitions de caméra et d’interface interruptibles ; aucun délai d’animation ne doit consommer une décision encore ouverte.</x:v>
      </x:c>
      <x:c r="K40" s="7" t="str">
        <x:v>Créer des bruitages et ambiances originaux adaptés au livrable ; sous-titrer les indices utiles et proposer un réglage indépendant des effets. Aucune extraction audio demandée.</x:v>
      </x:c>
      <x:c r="L40" s="7" t="str">
        <x:v>Prévu : fiche de données me3/side_quests/grid ; rattacher les ressources et états cités à cet identifiant. Aucun fichier de jeu créé par ce catalogue.</x:v>
      </x:c>
      <x:c r="M40" s="7" t="str"/>
      <x:c r="N40" s="7" t="str">
        <x:v>Le livrable « Citadel: Improved Power Grid » possède une scène ou un scénario de contrôle ; ses règles proposées, ses conditions et ses retours visuels sont vérifiables séparément.</x:v>
      </x:c>
      <x:c r="O40" s="7" t="str"/>
      <x:c r="P40" s="7" t="str">
        <x:v>Citadel: Improved Power Grid</x:v>
      </x:c>
      <x:c r="Q40" s="7" t="str">
        <x:v>ME3-SRC-CITADEL</x:v>
      </x:c>
      <x:c r="R40" s="21" t="str">
        <x:v>https://masseffect.fandom.com/wiki/Citadel</x:v>
      </x:c>
      <x:c r="S40" s="21" t="str">
        <x:v>Spécification à réaliser. Les champs adaptation, gameplay, visual, animation, audio et implementation décrivent le fan game ; ils ne donnent pas des caractéristiques officielles de l’œuvre.</x:v>
      </x:c>
    </x:row>
    <x:row r="41" ht="68" customHeight="1">
      <x:c r="A41" s="18" t="str">
        <x:v>ME3-SQ-FOSSIL</x:v>
      </x:c>
      <x:c r="B41" s="9" t="str">
        <x:v>Citadel: Kakliosaur Fossil</x:v>
      </x:c>
      <x:c r="C41" s="15" t="str">
        <x:v>Défini</x:v>
      </x:c>
      <x:c r="D41" s="16" t="str">
        <x:v>Établi</x:v>
      </x:c>
      <x:c r="E41" s="16" t="str">
        <x:v>P1</x:v>
      </x:c>
      <x:c r="F41" s="9" t="str">
        <x:v>Mission d’un fossile.</x:v>
      </x:c>
      <x:c r="G41" s="9" t="str">
        <x:v>Scan galactique et restitution ; séparer découverte scientifique et contribution finale.</x:v>
      </x:c>
      <x:c r="H41" s="9" t="str">
        <x:v>Scan galactique et restitution ; séparer découverte scientifique et contribution finale.</x:v>
      </x:c>
      <x:c r="I41" s="9" t="str">
        <x:v>Échantillon fossilisé.</x:v>
      </x:c>
      <x:c r="J41" s="9" t="str">
        <x:v>Transitions de caméra et d’interface interruptibles ; aucun délai d’animation ne doit consommer une décision encore ouverte.</x:v>
      </x:c>
      <x:c r="K41" s="9" t="str">
        <x:v>Créer des bruitages et ambiances originaux adaptés au livrable ; sous-titrer les indices utiles et proposer un réglage indépendant des effets. Aucune extraction audio demandée.</x:v>
      </x:c>
      <x:c r="L41" s="9" t="str">
        <x:v>Prévu : fiche de données me3/side_quests/fossil ; rattacher les ressources et états cités à cet identifiant. Aucun fichier de jeu créé par ce catalogue.</x:v>
      </x:c>
      <x:c r="M41" s="9" t="str"/>
      <x:c r="N41" s="9" t="str">
        <x:v>Le livrable « Citadel: Kakliosaur Fossil » possède une scène ou un scénario de contrôle ; ses règles proposées, ses conditions et ses retours visuels sont vérifiables séparément.</x:v>
      </x:c>
      <x:c r="O41" s="9" t="str"/>
      <x:c r="P41" s="9" t="str">
        <x:v>Citadel: Kakliosaur Fossil</x:v>
      </x:c>
      <x:c r="Q41" s="9" t="str">
        <x:v>ME3-SRC-CITADEL</x:v>
      </x:c>
      <x:c r="R41" s="20" t="str">
        <x:v>https://masseffect.fandom.com/wiki/Citadel</x:v>
      </x:c>
      <x:c r="S41" s="20" t="str">
        <x:v>Spécification à réaliser. Les champs adaptation, gameplay, visual, animation, audio et implementation décrivent le fan game ; ils ne donnent pas des caractéristiques officielles de l’œuvre.</x:v>
      </x:c>
    </x:row>
    <x:row r="42" ht="68" customHeight="1">
      <x:c r="A42" s="19" t="str">
        <x:v>ME3-SQ-MESSAGE</x:v>
      </x:c>
      <x:c r="B42" s="7" t="str">
        <x:v>Citadel: Krogan Dying Message</x:v>
      </x:c>
      <x:c r="C42" s="15" t="str">
        <x:v>Défini</x:v>
      </x:c>
      <x:c r="D42" s="17" t="str">
        <x:v>Établi</x:v>
      </x:c>
      <x:c r="E42" s="17" t="str">
        <x:v>P1</x:v>
      </x:c>
      <x:c r="F42" s="7" t="str">
        <x:v>Message récupérable dans l’arc rachni.</x:v>
      </x:c>
      <x:c r="G42" s="7" t="str">
        <x:v>Restitution personnelle avec lecture facultative ; l’objet n’est ni vendable ni destructible.</x:v>
      </x:c>
      <x:c r="H42" s="7" t="str">
        <x:v>Restitution personnelle avec lecture facultative ; l’objet n’est ni vendable ni destructible.</x:v>
      </x:c>
      <x:c r="I42" s="7" t="str">
        <x:v>Enregistrement krogan.</x:v>
      </x:c>
      <x:c r="J42" s="7" t="str">
        <x:v>Transitions de caméra et d’interface interruptibles ; aucun délai d’animation ne doit consommer une décision encore ouverte.</x:v>
      </x:c>
      <x:c r="K42" s="7" t="str">
        <x:v>Créer des bruitages et ambiances originaux adaptés au livrable ; sous-titrer les indices utiles et proposer un réglage indépendant des effets. Aucune extraction audio demandée.</x:v>
      </x:c>
      <x:c r="L42" s="7" t="str">
        <x:v>Prévu : fiche de données me3/side_quests/message ; rattacher les ressources et états cités à cet identifiant. Aucun fichier de jeu créé par ce catalogue.</x:v>
      </x:c>
      <x:c r="M42" s="7" t="str"/>
      <x:c r="N42" s="7" t="str">
        <x:v>Le livrable « Citadel: Krogan Dying Message » possède une scène ou un scénario de contrôle ; ses règles proposées, ses conditions et ses retours visuels sont vérifiables séparément.</x:v>
      </x:c>
      <x:c r="O42" s="7" t="str"/>
      <x:c r="P42" s="7" t="str">
        <x:v>Citadel: Krogan Dying Message</x:v>
      </x:c>
      <x:c r="Q42" s="7" t="str">
        <x:v>ME3-SRC-CITADEL, ME3-SRC-RACHNI</x:v>
      </x:c>
      <x:c r="R42" s="21" t="str">
        <x:v>https://masseffect.fandom.com/wiki/Citadel
https://masseffect.fandom.com/wiki/Attican_Traverse%3A_Krogan_Team</x:v>
      </x:c>
      <x:c r="S42" s="21" t="str">
        <x:v>Spécification à réaliser. Les champs adaptation, gameplay, visual, animation, audio et implementation décrivent le fan game ; ils ne donnent pas des caractéristiques officielles de l’œuvre.</x:v>
      </x:c>
    </x:row>
    <x:row r="43" ht="68" customHeight="1">
      <x:c r="A43" s="18" t="str">
        <x:v>ME3-SQ-REAPER-CODE</x:v>
      </x:c>
      <x:c r="B43" s="9" t="str">
        <x:v>Citadel: Reaper Code Fragments</x:v>
      </x:c>
      <x:c r="C43" s="15" t="str">
        <x:v>Défini</x:v>
      </x:c>
      <x:c r="D43" s="16" t="str">
        <x:v>Établi</x:v>
      </x:c>
      <x:c r="E43" s="16" t="str">
        <x:v>P1</x:v>
      </x:c>
      <x:c r="F43" s="9" t="str">
        <x:v>Mission de données.</x:v>
      </x:c>
      <x:c r="G43" s="9" t="str">
        <x:v>Récupérer fragments du consensus puis livrer ; distinguer information de guerre et souvenir geth.</x:v>
      </x:c>
      <x:c r="H43" s="9" t="str">
        <x:v>Récupérer fragments du consensus puis livrer ; distinguer information de guerre et souvenir geth.</x:v>
      </x:c>
      <x:c r="I43" s="9" t="str">
        <x:v>Paquets de code et motif réseau.</x:v>
      </x:c>
      <x:c r="J43" s="9" t="str">
        <x:v>Transitions de caméra et d’interface interruptibles ; aucun délai d’animation ne doit consommer une décision encore ouverte.</x:v>
      </x:c>
      <x:c r="K43" s="9" t="str">
        <x:v>Créer des bruitages et ambiances originaux adaptés au livrable ; sous-titrer les indices utiles et proposer un réglage indépendant des effets. Aucune extraction audio demandée.</x:v>
      </x:c>
      <x:c r="L43" s="9" t="str">
        <x:v>Prévu : fiche de données me3/side_quests/reaper-code ; rattacher les ressources et états cités à cet identifiant. Aucun fichier de jeu créé par ce catalogue.</x:v>
      </x:c>
      <x:c r="M43" s="9" t="str"/>
      <x:c r="N43" s="9" t="str">
        <x:v>Le livrable « Citadel: Reaper Code Fragments » possède une scène ou un scénario de contrôle ; ses règles proposées, ses conditions et ses retours visuels sont vérifiables séparément.</x:v>
      </x:c>
      <x:c r="O43" s="9" t="str"/>
      <x:c r="P43" s="9" t="str">
        <x:v>Citadel: Reaper Code Fragments</x:v>
      </x:c>
      <x:c r="Q43" s="9" t="str">
        <x:v>ME3-SRC-CITADEL, ME3-SRC-FIGHTERS</x:v>
      </x:c>
      <x:c r="R43" s="20" t="str">
        <x:v>https://masseffect.fandom.com/wiki/Citadel
https://masseffect.fandom.com/wiki/Rannoch%3A_Geth_Fighter_Squadrons</x:v>
      </x:c>
      <x:c r="S43" s="20" t="str">
        <x:v>Spécification à réaliser. Les champs adaptation, gameplay, visual, animation, audio et implementation décrivent le fan game ; ils ne donnent pas des caractéristiques officielles de l’œuvre.</x:v>
      </x:c>
    </x:row>
    <x:row r="44" ht="68" customHeight="1">
      <x:c r="A44" s="19" t="str">
        <x:v>ME3-SQ-JAMMER</x:v>
      </x:c>
      <x:c r="B44" s="7" t="str">
        <x:v>Citadel: Target Jamming Technology</x:v>
      </x:c>
      <x:c r="C44" s="15" t="str">
        <x:v>Défini</x:v>
      </x:c>
      <x:c r="D44" s="17" t="str">
        <x:v>Établi</x:v>
      </x:c>
      <x:c r="E44" s="17" t="str">
        <x:v>P1</x:v>
      </x:c>
      <x:c r="F44" s="7" t="str">
        <x:v>Mission de brouillage.</x:v>
      </x:c>
      <x:c r="G44" s="7" t="str">
        <x:v>Retour au contact après mission de Rannoch ; état de fin reste cohérent si remise tardive autorisée.</x:v>
      </x:c>
      <x:c r="H44" s="7" t="str">
        <x:v>Retour au contact après mission de Rannoch ; état de fin reste cohérent si remise tardive autorisée.</x:v>
      </x:c>
      <x:c r="I44" s="7" t="str">
        <x:v>Module d’antenne compact.</x:v>
      </x:c>
      <x:c r="J44" s="7" t="str">
        <x:v>Transitions de caméra et d’interface interruptibles ; aucun délai d’animation ne doit consommer une décision encore ouverte.</x:v>
      </x:c>
      <x:c r="K44" s="7" t="str">
        <x:v>Créer des bruitages et ambiances originaux adaptés au livrable ; sous-titrer les indices utiles et proposer un réglage indépendant des effets. Aucune extraction audio demandée.</x:v>
      </x:c>
      <x:c r="L44" s="7" t="str">
        <x:v>Prévu : fiche de données me3/side_quests/jammer ; rattacher les ressources et états cités à cet identifiant. Aucun fichier de jeu créé par ce catalogue.</x:v>
      </x:c>
      <x:c r="M44" s="7" t="str"/>
      <x:c r="N44" s="7" t="str">
        <x:v>Le livrable « Citadel: Target Jamming Technology » possède une scène ou un scénario de contrôle ; ses règles proposées, ses conditions et ses retours visuels sont vérifiables séparément.</x:v>
      </x:c>
      <x:c r="O44" s="7" t="str"/>
      <x:c r="P44" s="7" t="str">
        <x:v>Citadel: Target Jamming Technology</x:v>
      </x:c>
      <x:c r="Q44" s="7" t="str">
        <x:v>ME3-SRC-CITADEL</x:v>
      </x:c>
      <x:c r="R44" s="21" t="str">
        <x:v>https://masseffect.fandom.com/wiki/Citadel</x:v>
      </x:c>
      <x:c r="S44" s="21" t="str">
        <x:v>Spécification à réaliser. Les champs adaptation, gameplay, visual, animation, audio et implementation décrivent le fan game ; ils ne donnent pas des caractéristiques officielles de l’œuvre.</x:v>
      </x:c>
    </x:row>
    <x:row r="45" ht="68" customHeight="1">
      <x:c r="A45" s="18" t="str">
        <x:v>ME3-SQ-WIDOW</x:v>
      </x:c>
      <x:c r="B45" s="9" t="str">
        <x:v>Citadel: Asari Widow</x:v>
      </x:c>
      <x:c r="C45" s="15" t="str">
        <x:v>Défini</x:v>
      </x:c>
      <x:c r="D45" s="16" t="str">
        <x:v>Établi</x:v>
      </x:c>
      <x:c r="E45" s="16" t="str">
        <x:v>P1</x:v>
      </x:c>
      <x:c r="F45" s="9" t="str">
        <x:v>Message destiné à une veuve.</x:v>
      </x:c>
      <x:c r="G45" s="9" t="str">
        <x:v>Scène de remise sobre et brève ; aucune récompense spectaculaire pendant le deuil.</x:v>
      </x:c>
      <x:c r="H45" s="9" t="str">
        <x:v>Scène de remise sobre et brève ; aucune récompense spectaculaire pendant le deuil.</x:v>
      </x:c>
      <x:c r="I45" s="9" t="str">
        <x:v>Datapad et banc de Citadelle.</x:v>
      </x:c>
      <x:c r="J45" s="9" t="str">
        <x:v>Transitions de caméra et d’interface interruptibles ; aucun délai d’animation ne doit consommer une décision encore ouverte.</x:v>
      </x:c>
      <x:c r="K45" s="9" t="str">
        <x:v>Créer des bruitages et ambiances originaux adaptés au livrable ; sous-titrer les indices utiles et proposer un réglage indépendant des effets. Aucune extraction audio demandée.</x:v>
      </x:c>
      <x:c r="L45" s="9" t="str">
        <x:v>Prévu : fiche de données me3/side_quests/widow ; rattacher les ressources et états cités à cet identifiant. Aucun fichier de jeu créé par ce catalogue.</x:v>
      </x:c>
      <x:c r="M45" s="9" t="str"/>
      <x:c r="N45" s="9" t="str">
        <x:v>Le livrable « Citadel: Asari Widow » possède une scène ou un scénario de contrôle ; ses règles proposées, ses conditions et ses retours visuels sont vérifiables séparément.</x:v>
      </x:c>
      <x:c r="O45" s="9" t="str"/>
      <x:c r="P45" s="9" t="str">
        <x:v>Citadel: Asari Widow</x:v>
      </x:c>
      <x:c r="Q45" s="9" t="str">
        <x:v>ME3-SRC-CITADEL, ME3-SRC-KALLINI</x:v>
      </x:c>
      <x:c r="R45" s="20" t="str">
        <x:v>https://masseffect.fandom.com/wiki/Citadel
https://masseffect.fandom.com/wiki/Kallini%3A_Ardat-Yakshi_Monastery</x:v>
      </x:c>
      <x:c r="S45" s="20" t="str">
        <x:v>Spécification à réaliser. Les champs adaptation, gameplay, visual, animation, audio et implementation décrivent le fan game ; ils ne donnent pas des caractéristiques officielles de l’œuvre.</x:v>
      </x:c>
    </x:row>
    <x:row r="46" ht="68" customHeight="1">
      <x:c r="A46" s="19" t="str">
        <x:v>ME3-SQ-MEDSUPPLY</x:v>
      </x:c>
      <x:c r="B46" s="7" t="str">
        <x:v>Citadel: Medical Supplies</x:v>
      </x:c>
      <x:c r="C46" s="15" t="str">
        <x:v>Défini</x:v>
      </x:c>
      <x:c r="D46" s="17" t="str">
        <x:v>Établi</x:v>
      </x:c>
      <x:c r="E46" s="17" t="str">
        <x:v>P1</x:v>
      </x:c>
      <x:c r="F46" s="7" t="str">
        <x:v>Mission d’approvisionnement médical.</x:v>
      </x:c>
      <x:c r="G46" s="7" t="str">
        <x:v>Négociation entre fournisseurs et équipage médical ; registre de stock sans combat ajouté.</x:v>
      </x:c>
      <x:c r="H46" s="7" t="str">
        <x:v>Négociation entre fournisseurs et équipage médical ; registre de stock sans combat ajouté.</x:v>
      </x:c>
      <x:c r="I46" s="7" t="str">
        <x:v>Caisses de medi-gel.</x:v>
      </x:c>
      <x:c r="J46" s="7" t="str">
        <x:v>Transitions de caméra et d’interface interruptibles ; aucun délai d’animation ne doit consommer une décision encore ouverte.</x:v>
      </x:c>
      <x:c r="K46" s="7" t="str">
        <x:v>Créer des bruitages et ambiances originaux adaptés au livrable ; sous-titrer les indices utiles et proposer un réglage indépendant des effets. Aucune extraction audio demandée.</x:v>
      </x:c>
      <x:c r="L46" s="7" t="str">
        <x:v>Prévu : fiche de données me3/side_quests/medsupply ; rattacher les ressources et états cités à cet identifiant. Aucun fichier de jeu créé par ce catalogue.</x:v>
      </x:c>
      <x:c r="M46" s="7" t="str"/>
      <x:c r="N46" s="7" t="str">
        <x:v>Le livrable « Citadel: Medical Supplies » possède une scène ou un scénario de contrôle ; ses règles proposées, ses conditions et ses retours visuels sont vérifiables séparément.</x:v>
      </x:c>
      <x:c r="O46" s="7" t="str"/>
      <x:c r="P46" s="7" t="str">
        <x:v>Citadel: Medical Supplies</x:v>
      </x:c>
      <x:c r="Q46" s="7" t="str">
        <x:v>ME3-SRC-CITADEL</x:v>
      </x:c>
      <x:c r="R46" s="21" t="str">
        <x:v>https://masseffect.fandom.com/wiki/Citadel</x:v>
      </x:c>
      <x:c r="S46" s="21" t="str">
        <x:v>Spécification à réaliser. Les champs adaptation, gameplay, visual, animation, audio et implementation décrivent le fan game ; ils ne donnent pas des caractéristiques officielles de l’œuvre.</x:v>
      </x:c>
    </x:row>
    <x:row r="47" ht="68" customHeight="1">
      <x:c r="A47" s="18" t="str">
        <x:v>ME3-SQ-APIEN</x:v>
      </x:c>
      <x:c r="B47" s="9" t="str">
        <x:v>Apien Crest: Banner of the First Regiment</x:v>
      </x:c>
      <x:c r="C47" s="15" t="str">
        <x:v>Défini</x:v>
      </x:c>
      <x:c r="D47" s="16" t="str">
        <x:v>Établi</x:v>
      </x:c>
      <x:c r="E47" s="16" t="str">
        <x:v>P1</x:v>
      </x:c>
      <x:c r="F47" s="9" t="str">
        <x:v>Mission de récupération galactique.</x:v>
      </x:c>
      <x:c r="G47" s="9" t="str">
        <x:v>Repérer la bannière par scan puis livrer au contact ; les ressources trouvées restent distinctes du drapeau.</x:v>
      </x:c>
      <x:c r="H47" s="9" t="str">
        <x:v>Repérer la bannière par scan puis livrer au contact ; les ressources trouvées restent distinctes du drapeau.</x:v>
      </x:c>
      <x:c r="I47" s="9" t="str">
        <x:v>Bannière turienne.</x:v>
      </x:c>
      <x:c r="J47" s="9" t="str">
        <x:v>Transitions de caméra et d’interface interruptibles ; aucun délai d’animation ne doit consommer une décision encore ouverte.</x:v>
      </x:c>
      <x:c r="K47" s="9" t="str">
        <x:v>Créer des bruitages et ambiances originaux adaptés au livrable ; sous-titrer les indices utiles et proposer un réglage indépendant des effets. Aucune extraction audio demandée.</x:v>
      </x:c>
      <x:c r="L47" s="9" t="str">
        <x:v>Prévu : fiche de données me3/side_quests/apien ; rattacher les ressources et états cités à cet identifiant. Aucun fichier de jeu créé par ce catalogue.</x:v>
      </x:c>
      <x:c r="M47" s="9" t="str">
        <x:v>Références de planète exactes à compléter.</x:v>
      </x:c>
      <x:c r="N47" s="9" t="str">
        <x:v>Le livrable « Apien Crest: Banner of the First Regiment » possède une scène ou un scénario de contrôle ; ses règles proposées, ses conditions et ses retours visuels sont vérifiables séparément.</x:v>
      </x:c>
      <x:c r="O47" s="9" t="str"/>
      <x:c r="P47" s="9" t="str">
        <x:v>Apien Crest: Banner of the First Regiment</x:v>
      </x:c>
      <x:c r="Q47" s="9" t="str">
        <x:v>ME3-SRC-CITADEL</x:v>
      </x:c>
      <x:c r="R47" s="20" t="str">
        <x:v>https://masseffect.fandom.com/wiki/Citadel</x:v>
      </x:c>
      <x:c r="S47" s="20" t="str">
        <x:v>Spécification à réaliser. Les champs adaptation, gameplay, visual, animation, audio et implementation décrivent le fan game ; ils ne donnent pas des caractéristiques officielles de l’œuvre.</x:v>
      </x:c>
    </x:row>
    <x:row r="48" ht="68" customHeight="1">
      <x:c r="A48" s="19" t="str">
        <x:v>ME3-SQ-ATHENA</x:v>
      </x:c>
      <x:c r="B48" s="7" t="str">
        <x:v>Athena Nebula: Hesperia-Period Statue</x:v>
      </x:c>
      <x:c r="C48" s="15" t="str">
        <x:v>Défini</x:v>
      </x:c>
      <x:c r="D48" s="17" t="str">
        <x:v>Établi</x:v>
      </x:c>
      <x:c r="E48" s="17" t="str">
        <x:v>P1</x:v>
      </x:c>
      <x:c r="F48" s="7" t="str">
        <x:v>Mission de récupération galactique.</x:v>
      </x:c>
      <x:c r="G48" s="7" t="str">
        <x:v>Scan ciblé et objet culturel ; retour à la personne demandeuse.</x:v>
      </x:c>
      <x:c r="H48" s="7" t="str">
        <x:v>Scan ciblé et objet culturel ; retour à la personne demandeuse.</x:v>
      </x:c>
      <x:c r="I48" s="7" t="str">
        <x:v>Statue asari sur socle.</x:v>
      </x:c>
      <x:c r="J48" s="7" t="str">
        <x:v>Transitions de caméra et d’interface interruptibles ; aucun délai d’animation ne doit consommer une décision encore ouverte.</x:v>
      </x:c>
      <x:c r="K48" s="7" t="str">
        <x:v>Créer des bruitages et ambiances originaux adaptés au livrable ; sous-titrer les indices utiles et proposer un réglage indépendant des effets. Aucune extraction audio demandée.</x:v>
      </x:c>
      <x:c r="L48" s="7" t="str">
        <x:v>Prévu : fiche de données me3/side_quests/athena ; rattacher les ressources et états cités à cet identifiant. Aucun fichier de jeu créé par ce catalogue.</x:v>
      </x:c>
      <x:c r="M48" s="7" t="str"/>
      <x:c r="N48" s="7" t="str">
        <x:v>Le livrable « Athena Nebula: Hesperia-Period Statue » possède une scène ou un scénario de contrôle ; ses règles proposées, ses conditions et ses retours visuels sont vérifiables séparément.</x:v>
      </x:c>
      <x:c r="O48" s="7" t="str"/>
      <x:c r="P48" s="7" t="str">
        <x:v>Athena Nebula: Hesperia-Period Statue</x:v>
      </x:c>
      <x:c r="Q48" s="7" t="str">
        <x:v>ME3-SRC-CITADEL</x:v>
      </x:c>
      <x:c r="R48" s="21" t="str">
        <x:v>https://masseffect.fandom.com/wiki/Citadel</x:v>
      </x:c>
      <x:c r="S48" s="21" t="str">
        <x:v>Spécification à réaliser. Les champs adaptation, gameplay, visual, animation, audio et implementation décrivent le fan game ; ils ne donnent pas des caractéristiques officielles de l’œuvre.</x:v>
      </x:c>
    </x:row>
    <x:row r="49" ht="68" customHeight="1">
      <x:c r="A49" s="18" t="str">
        <x:v>ME3-SQ-BENNING</x:v>
      </x:c>
      <x:c r="B49" s="9" t="str">
        <x:v>Benning: Evidence</x:v>
      </x:c>
      <x:c r="C49" s="15" t="str">
        <x:v>Défini</x:v>
      </x:c>
      <x:c r="D49" s="16" t="str">
        <x:v>Établi</x:v>
      </x:c>
      <x:c r="E49" s="16" t="str">
        <x:v>P1</x:v>
      </x:c>
      <x:c r="F49" s="9" t="str">
        <x:v>Mission de preuve sur Benning.</x:v>
      </x:c>
      <x:c r="G49" s="9" t="str">
        <x:v>Prélèvement et retour personnel ; vérifier que le document demeure accessible après N7.</x:v>
      </x:c>
      <x:c r="H49" s="9" t="str">
        <x:v>Prélèvement et retour personnel ; vérifier que le document demeure accessible après N7.</x:v>
      </x:c>
      <x:c r="I49" s="9" t="str">
        <x:v>Preuve dans un quartier évacué.</x:v>
      </x:c>
      <x:c r="J49" s="9" t="str">
        <x:v>Transitions de caméra et d’interface interruptibles ; aucun délai d’animation ne doit consommer une décision encore ouverte.</x:v>
      </x:c>
      <x:c r="K49" s="9" t="str">
        <x:v>Créer des bruitages et ambiances originaux adaptés au livrable ; sous-titrer les indices utiles et proposer un réglage indépendant des effets. Aucune extraction audio demandée.</x:v>
      </x:c>
      <x:c r="L49" s="9" t="str">
        <x:v>Prévu : fiche de données me3/side_quests/benning ; rattacher les ressources et états cités à cet identifiant. Aucun fichier de jeu créé par ce catalogue.</x:v>
      </x:c>
      <x:c r="M49" s="9" t="str"/>
      <x:c r="N49" s="9" t="str">
        <x:v>Le livrable « Benning: Evidence » possède une scène ou un scénario de contrôle ; ses règles proposées, ses conditions et ses retours visuels sont vérifiables séparément.</x:v>
      </x:c>
      <x:c r="O49" s="9" t="str"/>
      <x:c r="P49" s="9" t="str">
        <x:v>Benning: Evidence</x:v>
      </x:c>
      <x:c r="Q49" s="9" t="str">
        <x:v>ME3-SRC-CITADEL</x:v>
      </x:c>
      <x:c r="R49" s="20" t="str">
        <x:v>https://masseffect.fandom.com/wiki/Citadel</x:v>
      </x:c>
      <x:c r="S49" s="20" t="str">
        <x:v>Spécification à réaliser. Les champs adaptation, gameplay, visual, animation, audio et implementation décrivent le fan game ; ils ne donnent pas des caractéristiques officielles de l’œuvre.</x:v>
      </x:c>
    </x:row>
    <x:row r="50" ht="68" customHeight="1">
      <x:c r="A50" s="19" t="str">
        <x:v>ME3-SQ-DEKUUNA-CODE</x:v>
      </x:c>
      <x:c r="B50" s="7" t="str">
        <x:v>Dekuuna: Code of the Ancients</x:v>
      </x:c>
      <x:c r="C50" s="15" t="str">
        <x:v>Défini</x:v>
      </x:c>
      <x:c r="D50" s="17" t="str">
        <x:v>Établi</x:v>
      </x:c>
      <x:c r="E50" s="17" t="str">
        <x:v>P1</x:v>
      </x:c>
      <x:c r="F50" s="7" t="str">
        <x:v>Mission culturelle elcor.</x:v>
      </x:c>
      <x:c r="G50" s="7" t="str">
        <x:v>Récupérer des données patrimoniales et les restituer sans les convertir en artefact de combat.</x:v>
      </x:c>
      <x:c r="H50" s="7" t="str">
        <x:v>Récupérer des données patrimoniales et les restituer sans les convertir en artefact de combat.</x:v>
      </x:c>
      <x:c r="I50" s="7" t="str">
        <x:v>Tablette elcor.</x:v>
      </x:c>
      <x:c r="J50" s="7" t="str">
        <x:v>Transitions de caméra et d’interface interruptibles ; aucun délai d’animation ne doit consommer une décision encore ouverte.</x:v>
      </x:c>
      <x:c r="K50" s="7" t="str">
        <x:v>Créer des bruitages et ambiances originaux adaptés au livrable ; sous-titrer les indices utiles et proposer un réglage indépendant des effets. Aucune extraction audio demandée.</x:v>
      </x:c>
      <x:c r="L50" s="7" t="str">
        <x:v>Prévu : fiche de données me3/side_quests/dekuuna-code ; rattacher les ressources et états cités à cet identifiant. Aucun fichier de jeu créé par ce catalogue.</x:v>
      </x:c>
      <x:c r="M50" s="7" t="str"/>
      <x:c r="N50" s="7" t="str">
        <x:v>Le livrable « Dekuuna: Code of the Ancients » possède une scène ou un scénario de contrôle ; ses règles proposées, ses conditions et ses retours visuels sont vérifiables séparément.</x:v>
      </x:c>
      <x:c r="O50" s="7" t="str"/>
      <x:c r="P50" s="7" t="str">
        <x:v>Dekuuna: Code of the Ancients</x:v>
      </x:c>
      <x:c r="Q50" s="7" t="str">
        <x:v>ME3-SRC-CITADEL</x:v>
      </x:c>
      <x:c r="R50" s="21" t="str">
        <x:v>https://masseffect.fandom.com/wiki/Citadel</x:v>
      </x:c>
      <x:c r="S50" s="21" t="str">
        <x:v>Spécification à réaliser. Les champs adaptation, gameplay, visual, animation, audio et implementation décrivent le fan game ; ils ne donnent pas des caractéristiques officielles de l’œuvre.</x:v>
      </x:c>
    </x:row>
    <x:row r="51" ht="68" customHeight="1">
      <x:c r="A51" s="18" t="str">
        <x:v>ME3-SQ-DEKUUNA-RESCUE</x:v>
      </x:c>
      <x:c r="B51" s="9" t="str">
        <x:v>Dekuuna: Elcor Extraction</x:v>
      </x:c>
      <x:c r="C51" s="15" t="str">
        <x:v>Défini</x:v>
      </x:c>
      <x:c r="D51" s="16" t="str">
        <x:v>Établi</x:v>
      </x:c>
      <x:c r="E51" s="16" t="str">
        <x:v>P1</x:v>
      </x:c>
      <x:c r="F51" s="9" t="str">
        <x:v>Mission d’extraction elcor.</x:v>
      </x:c>
      <x:c r="G51" s="9" t="str">
        <x:v>Expédition sur carte avec état de secours et compte rendu ; ne pas créer un niveau non existant comme canon.</x:v>
      </x:c>
      <x:c r="H51" s="9" t="str">
        <x:v>Expédition sur carte avec état de secours et compte rendu ; ne pas créer un niveau non existant comme canon.</x:v>
      </x:c>
      <x:c r="I51" s="9" t="str">
        <x:v>Carte de secours et vaisseaux lourds.</x:v>
      </x:c>
      <x:c r="J51" s="9" t="str">
        <x:v>Transitions de caméra et d’interface interruptibles ; aucun délai d’animation ne doit consommer une décision encore ouverte.</x:v>
      </x:c>
      <x:c r="K51" s="9" t="str">
        <x:v>Créer des bruitages et ambiances originaux adaptés au livrable ; sous-titrer les indices utiles et proposer un réglage indépendant des effets. Aucune extraction audio demandée.</x:v>
      </x:c>
      <x:c r="L51" s="9" t="str">
        <x:v>Prévu : fiche de données me3/side_quests/dekuuna-rescue ; rattacher les ressources et états cités à cet identifiant. Aucun fichier de jeu créé par ce catalogue.</x:v>
      </x:c>
      <x:c r="M51" s="9" t="str"/>
      <x:c r="N51" s="9" t="str">
        <x:v>Le livrable « Dekuuna: Elcor Extraction » possède une scène ou un scénario de contrôle ; ses règles proposées, ses conditions et ses retours visuels sont vérifiables séparément.</x:v>
      </x:c>
      <x:c r="O51" s="9" t="str"/>
      <x:c r="P51" s="9" t="str">
        <x:v>Dekuuna: Elcor Extraction</x:v>
      </x:c>
      <x:c r="Q51" s="9" t="str">
        <x:v>ME3-SRC-CITADEL</x:v>
      </x:c>
      <x:c r="R51" s="20" t="str">
        <x:v>https://masseffect.fandom.com/wiki/Citadel</x:v>
      </x:c>
      <x:c r="S51" s="20" t="str">
        <x:v>Spécification à réaliser. Les champs adaptation, gameplay, visual, animation, audio et implementation décrivent le fan game ; ils ne donnent pas des caractéristiques officielles de l’œuvre.</x:v>
      </x:c>
    </x:row>
    <x:row r="52" ht="68" customHeight="1">
      <x:c r="A52" s="19" t="str">
        <x:v>ME3-SQ-HADES-OBELISK</x:v>
      </x:c>
      <x:c r="B52" s="7" t="str">
        <x:v>Hades Nexus: Obelisk of Karza</x:v>
      </x:c>
      <x:c r="C52" s="15" t="str">
        <x:v>Défini</x:v>
      </x:c>
      <x:c r="D52" s="17" t="str">
        <x:v>Établi</x:v>
      </x:c>
      <x:c r="E52" s="17" t="str">
        <x:v>P1</x:v>
      </x:c>
      <x:c r="F52" s="7" t="str">
        <x:v>Mission d’objet ancien.</x:v>
      </x:c>
      <x:c r="G52" s="7" t="str">
        <x:v>Scan, inventaire de quête puis retour ; afficher le nom entier pour éviter confusion avec l’autre obélisque.</x:v>
      </x:c>
      <x:c r="H52" s="7" t="str">
        <x:v>Scan, inventaire de quête puis retour ; afficher le nom entier pour éviter confusion avec l’autre obélisque.</x:v>
      </x:c>
      <x:c r="I52" s="7" t="str">
        <x:v>Obélisque sur vignette.</x:v>
      </x:c>
      <x:c r="J52" s="7" t="str">
        <x:v>Transitions de caméra et d’interface interruptibles ; aucun délai d’animation ne doit consommer une décision encore ouverte.</x:v>
      </x:c>
      <x:c r="K52" s="7" t="str">
        <x:v>Créer des bruitages et ambiances originaux adaptés au livrable ; sous-titrer les indices utiles et proposer un réglage indépendant des effets. Aucune extraction audio demandée.</x:v>
      </x:c>
      <x:c r="L52" s="7" t="str">
        <x:v>Prévu : fiche de données me3/side_quests/hades-obelisk ; rattacher les ressources et états cités à cet identifiant. Aucun fichier de jeu créé par ce catalogue.</x:v>
      </x:c>
      <x:c r="M52" s="7" t="str"/>
      <x:c r="N52" s="7" t="str">
        <x:v>Le livrable « Hades Nexus: Obelisk of Karza » possède une scène ou un scénario de contrôle ; ses règles proposées, ses conditions et ses retours visuels sont vérifiables séparément.</x:v>
      </x:c>
      <x:c r="O52" s="7" t="str"/>
      <x:c r="P52" s="7" t="str">
        <x:v>Hades Nexus: Obelisk of Karza</x:v>
      </x:c>
      <x:c r="Q52" s="7" t="str">
        <x:v>ME3-SRC-CITADEL</x:v>
      </x:c>
      <x:c r="R52" s="21" t="str">
        <x:v>https://masseffect.fandom.com/wiki/Citadel</x:v>
      </x:c>
      <x:c r="S52" s="21" t="str">
        <x:v>Spécification à réaliser. Les champs adaptation, gameplay, visual, animation, audio et implementation décrivent le fan game ; ils ne donnent pas des caractéristiques officielles de l’œuvre.</x:v>
      </x:c>
    </x:row>
    <x:row r="53" ht="68" customHeight="1">
      <x:c r="A53" s="18" t="str">
        <x:v>ME3-SQ-HADES-SPHERE</x:v>
      </x:c>
      <x:c r="B53" s="9" t="str">
        <x:v>Hades Nexus: Prothean Sphere</x:v>
      </x:c>
      <x:c r="C53" s="15" t="str">
        <x:v>Défini</x:v>
      </x:c>
      <x:c r="D53" s="16" t="str">
        <x:v>Établi</x:v>
      </x:c>
      <x:c r="E53" s="16" t="str">
        <x:v>P1</x:v>
      </x:c>
      <x:c r="F53" s="9" t="str">
        <x:v>Mission d’objet prothéen.</x:v>
      </x:c>
      <x:c r="G53" s="9" t="str">
        <x:v>Circuit galactique sans combat imposé ; validation de provenance et interlocuteur.</x:v>
      </x:c>
      <x:c r="H53" s="9" t="str">
        <x:v>Circuit galactique sans combat imposé ; validation de provenance et interlocuteur.</x:v>
      </x:c>
      <x:c r="I53" s="9" t="str">
        <x:v>Sphère métallique ancienne.</x:v>
      </x:c>
      <x:c r="J53" s="9" t="str">
        <x:v>Transitions de caméra et d’interface interruptibles ; aucun délai d’animation ne doit consommer une décision encore ouverte.</x:v>
      </x:c>
      <x:c r="K53" s="9" t="str">
        <x:v>Créer des bruitages et ambiances originaux adaptés au livrable ; sous-titrer les indices utiles et proposer un réglage indépendant des effets. Aucune extraction audio demandée.</x:v>
      </x:c>
      <x:c r="L53" s="9" t="str">
        <x:v>Prévu : fiche de données me3/side_quests/hades-sphere ; rattacher les ressources et états cités à cet identifiant. Aucun fichier de jeu créé par ce catalogue.</x:v>
      </x:c>
      <x:c r="M53" s="9" t="str"/>
      <x:c r="N53" s="9" t="str">
        <x:v>Le livrable « Hades Nexus: Prothean Sphere » possède une scène ou un scénario de contrôle ; ses règles proposées, ses conditions et ses retours visuels sont vérifiables séparément.</x:v>
      </x:c>
      <x:c r="O53" s="9" t="str"/>
      <x:c r="P53" s="9" t="str">
        <x:v>Hades Nexus: Prothean Sphere</x:v>
      </x:c>
      <x:c r="Q53" s="9" t="str">
        <x:v>ME3-SRC-CITADEL</x:v>
      </x:c>
      <x:c r="R53" s="20" t="str">
        <x:v>https://masseffect.fandom.com/wiki/Citadel</x:v>
      </x:c>
      <x:c r="S53" s="20" t="str">
        <x:v>Spécification à réaliser. Les champs adaptation, gameplay, visual, animation, audio et implementation décrivent le fan game ; ils ne donnent pas des caractéristiques officielles de l’œuvre.</x:v>
      </x:c>
    </x:row>
    <x:row r="54" ht="68" customHeight="1">
      <x:c r="A54" s="19" t="str">
        <x:v>ME3-SQ-IRUNE</x:v>
      </x:c>
      <x:c r="B54" s="7" t="str">
        <x:v>Irune: Book of Plenix</x:v>
      </x:c>
      <x:c r="C54" s="15" t="str">
        <x:v>Défini</x:v>
      </x:c>
      <x:c r="D54" s="17" t="str">
        <x:v>Établi</x:v>
      </x:c>
      <x:c r="E54" s="17" t="str">
        <x:v>P1</x:v>
      </x:c>
      <x:c r="F54" s="7" t="str">
        <x:v>Mission culturelle volus.</x:v>
      </x:c>
      <x:c r="G54" s="7" t="str">
        <x:v>Retour d’un texte à son demandeur ; ne pas reproduire de texte source complet.</x:v>
      </x:c>
      <x:c r="H54" s="7" t="str">
        <x:v>Retour d’un texte à son demandeur ; ne pas reproduire de texte source complet.</x:v>
      </x:c>
      <x:c r="I54" s="7" t="str">
        <x:v>Volume scellé et pictogramme volus.</x:v>
      </x:c>
      <x:c r="J54" s="7" t="str">
        <x:v>Transitions de caméra et d’interface interruptibles ; aucun délai d’animation ne doit consommer une décision encore ouverte.</x:v>
      </x:c>
      <x:c r="K54" s="7" t="str">
        <x:v>Créer des bruitages et ambiances originaux adaptés au livrable ; sous-titrer les indices utiles et proposer un réglage indépendant des effets. Aucune extraction audio demandée.</x:v>
      </x:c>
      <x:c r="L54" s="7" t="str">
        <x:v>Prévu : fiche de données me3/side_quests/irune ; rattacher les ressources et états cités à cet identifiant. Aucun fichier de jeu créé par ce catalogue.</x:v>
      </x:c>
      <x:c r="M54" s="7" t="str"/>
      <x:c r="N54" s="7" t="str">
        <x:v>Le livrable « Irune: Book of Plenix » possède une scène ou un scénario de contrôle ; ses règles proposées, ses conditions et ses retours visuels sont vérifiables séparément.</x:v>
      </x:c>
      <x:c r="O54" s="7" t="str"/>
      <x:c r="P54" s="7" t="str">
        <x:v>Irune: Book of Plenix</x:v>
      </x:c>
      <x:c r="Q54" s="7" t="str">
        <x:v>ME3-SRC-CITADEL</x:v>
      </x:c>
      <x:c r="R54" s="21" t="str">
        <x:v>https://masseffect.fandom.com/wiki/Citadel</x:v>
      </x:c>
      <x:c r="S54" s="21" t="str">
        <x:v>Spécification à réaliser. Les champs adaptation, gameplay, visual, animation, audio et implementation décrivent le fan game ; ils ne donnent pas des caractéristiques officielles de l’œuvre.</x:v>
      </x:c>
    </x:row>
    <x:row r="55" ht="68" customHeight="1">
      <x:c r="A55" s="18" t="str">
        <x:v>ME3-SQ-ISMAR</x:v>
      </x:c>
      <x:c r="B55" s="9" t="str">
        <x:v>Ismar Frontier: Prototype Components</x:v>
      </x:c>
      <x:c r="C55" s="15" t="str">
        <x:v>Défini</x:v>
      </x:c>
      <x:c r="D55" s="16" t="str">
        <x:v>Établi</x:v>
      </x:c>
      <x:c r="E55" s="16" t="str">
        <x:v>P1</x:v>
      </x:c>
      <x:c r="F55" s="9" t="str">
        <x:v>Mission de composants.</x:v>
      </x:c>
      <x:c r="G55" s="9" t="str">
        <x:v>Scan et remise avant échéance ; objet de quête distinct des matériaux usuels.</x:v>
      </x:c>
      <x:c r="H55" s="9" t="str">
        <x:v>Scan et remise avant échéance ; objet de quête distinct des matériaux usuels.</x:v>
      </x:c>
      <x:c r="I55" s="9" t="str">
        <x:v>Composants en caisse.</x:v>
      </x:c>
      <x:c r="J55" s="9" t="str">
        <x:v>Transitions de caméra et d’interface interruptibles ; aucun délai d’animation ne doit consommer une décision encore ouverte.</x:v>
      </x:c>
      <x:c r="K55" s="9" t="str">
        <x:v>Créer des bruitages et ambiances originaux adaptés au livrable ; sous-titrer les indices utiles et proposer un réglage indépendant des effets. Aucune extraction audio demandée.</x:v>
      </x:c>
      <x:c r="L55" s="9" t="str">
        <x:v>Prévu : fiche de données me3/side_quests/ismar ; rattacher les ressources et états cités à cet identifiant. Aucun fichier de jeu créé par ce catalogue.</x:v>
      </x:c>
      <x:c r="M55" s="9" t="str"/>
      <x:c r="N55" s="9" t="str">
        <x:v>Le livrable « Ismar Frontier: Prototype Components » possède une scène ou un scénario de contrôle ; ses règles proposées, ses conditions et ses retours visuels sont vérifiables séparément.</x:v>
      </x:c>
      <x:c r="O55" s="9" t="str"/>
      <x:c r="P55" s="9" t="str">
        <x:v>Ismar Frontier: Prototype Components</x:v>
      </x:c>
      <x:c r="Q55" s="9" t="str">
        <x:v>ME3-SRC-CITADEL</x:v>
      </x:c>
      <x:c r="R55" s="20" t="str">
        <x:v>https://masseffect.fandom.com/wiki/Citadel</x:v>
      </x:c>
      <x:c r="S55" s="20" t="str">
        <x:v>Spécification à réaliser. Les champs adaptation, gameplay, visual, animation, audio et implementation décrivent le fan game ; ils ne donnent pas des caractéristiques officielles de l’œuvre.</x:v>
      </x:c>
    </x:row>
    <x:row r="56" ht="68" customHeight="1">
      <x:c r="A56" s="19" t="str">
        <x:v>ME3-SQ-KITE</x:v>
      </x:c>
      <x:c r="B56" s="7" t="str">
        <x:v>Kite’s Nest: Pillars of Strength</x:v>
      </x:c>
      <x:c r="C56" s="15" t="str">
        <x:v>Défini</x:v>
      </x:c>
      <x:c r="D56" s="17" t="str">
        <x:v>Établi</x:v>
      </x:c>
      <x:c r="E56" s="17" t="str">
        <x:v>P1</x:v>
      </x:c>
      <x:c r="F56" s="7" t="str">
        <x:v>Mission culturelle batarienne.</x:v>
      </x:c>
      <x:c r="G56" s="7" t="str">
        <x:v>Localiser puis remettre un artefact ; noter contexte de réfugiés.</x:v>
      </x:c>
      <x:c r="H56" s="7" t="str">
        <x:v>Localiser puis remettre un artefact ; noter contexte de réfugiés.</x:v>
      </x:c>
      <x:c r="I56" s="7" t="str">
        <x:v>Objet de tradition et emballage de voyage.</x:v>
      </x:c>
      <x:c r="J56" s="7" t="str">
        <x:v>Transitions de caméra et d’interface interruptibles ; aucun délai d’animation ne doit consommer une décision encore ouverte.</x:v>
      </x:c>
      <x:c r="K56" s="7" t="str">
        <x:v>Créer des bruitages et ambiances originaux adaptés au livrable ; sous-titrer les indices utiles et proposer un réglage indépendant des effets. Aucune extraction audio demandée.</x:v>
      </x:c>
      <x:c r="L56" s="7" t="str">
        <x:v>Prévu : fiche de données me3/side_quests/kite ; rattacher les ressources et états cités à cet identifiant. Aucun fichier de jeu créé par ce catalogue.</x:v>
      </x:c>
      <x:c r="M56" s="7" t="str"/>
      <x:c r="N56" s="7" t="str">
        <x:v>Le livrable « Kite’s Nest: Pillars of Strength » possède une scène ou un scénario de contrôle ; ses règles proposées, ses conditions et ses retours visuels sont vérifiables séparément.</x:v>
      </x:c>
      <x:c r="O56" s="7" t="str"/>
      <x:c r="P56" s="7" t="str">
        <x:v>Kite’s Nest: Pillars of Strength</x:v>
      </x:c>
      <x:c r="Q56" s="7" t="str">
        <x:v>ME3-SRC-CITADEL</x:v>
      </x:c>
      <x:c r="R56" s="21" t="str">
        <x:v>https://masseffect.fandom.com/wiki/Citadel</x:v>
      </x:c>
      <x:c r="S56" s="21" t="str">
        <x:v>Spécification à réaliser. Les champs adaptation, gameplay, visual, animation, audio et implementation décrivent le fan game ; ils ne donnent pas des caractéristiques officielles de l’œuvre.</x:v>
      </x:c>
    </x:row>
    <x:row r="57" ht="68" customHeight="1">
      <x:c r="A57" s="18" t="str">
        <x:v>ME3-SQ-NIMBUS</x:v>
      </x:c>
      <x:c r="B57" s="9" t="str">
        <x:v>Nimbus Cluster: Library of Asha</x:v>
      </x:c>
      <x:c r="C57" s="15" t="str">
        <x:v>Défini</x:v>
      </x:c>
      <x:c r="D57" s="16" t="str">
        <x:v>Établi</x:v>
      </x:c>
      <x:c r="E57" s="16" t="str">
        <x:v>P1</x:v>
      </x:c>
      <x:c r="F57" s="9" t="str">
        <x:v>Mission d’archives.</x:v>
      </x:c>
      <x:c r="G57" s="9" t="str">
        <x:v>Récupérer données culturelles ; entrée de codex séparée du bonus de guerre.</x:v>
      </x:c>
      <x:c r="H57" s="9" t="str">
        <x:v>Récupérer données culturelles ; entrée de codex séparée du bonus de guerre.</x:v>
      </x:c>
      <x:c r="I57" s="9" t="str">
        <x:v>Support numérique d’archive.</x:v>
      </x:c>
      <x:c r="J57" s="9" t="str">
        <x:v>Transitions de caméra et d’interface interruptibles ; aucun délai d’animation ne doit consommer une décision encore ouverte.</x:v>
      </x:c>
      <x:c r="K57" s="9" t="str">
        <x:v>Créer des bruitages et ambiances originaux adaptés au livrable ; sous-titrer les indices utiles et proposer un réglage indépendant des effets. Aucune extraction audio demandée.</x:v>
      </x:c>
      <x:c r="L57" s="9" t="str">
        <x:v>Prévu : fiche de données me3/side_quests/nimbus ; rattacher les ressources et états cités à cet identifiant. Aucun fichier de jeu créé par ce catalogue.</x:v>
      </x:c>
      <x:c r="M57" s="9" t="str"/>
      <x:c r="N57" s="9" t="str">
        <x:v>Le livrable « Nimbus Cluster: Library of Asha » possède une scène ou un scénario de contrôle ; ses règles proposées, ses conditions et ses retours visuels sont vérifiables séparément.</x:v>
      </x:c>
      <x:c r="O57" s="9" t="str"/>
      <x:c r="P57" s="9" t="str">
        <x:v>Nimbus Cluster: Library of Asha</x:v>
      </x:c>
      <x:c r="Q57" s="9" t="str">
        <x:v>ME3-SRC-CITADEL</x:v>
      </x:c>
      <x:c r="R57" s="20" t="str">
        <x:v>https://masseffect.fandom.com/wiki/Citadel</x:v>
      </x:c>
      <x:c r="S57" s="20" t="str">
        <x:v>Spécification à réaliser. Les champs adaptation, gameplay, visual, animation, audio et implementation décrivent le fan game ; ils ne donnent pas des caractéristiques officielles de l’œuvre.</x:v>
      </x:c>
    </x:row>
    <x:row r="58" ht="68" customHeight="1">
      <x:c r="A58" s="19" t="str">
        <x:v>ME3-SQ-SHRIKE</x:v>
      </x:c>
      <x:c r="B58" s="7" t="str">
        <x:v>Shrike Abyssal: Prothean Obelisk</x:v>
      </x:c>
      <x:c r="C58" s="15" t="str">
        <x:v>Défini</x:v>
      </x:c>
      <x:c r="D58" s="17" t="str">
        <x:v>Établi</x:v>
      </x:c>
      <x:c r="E58" s="17" t="str">
        <x:v>P1</x:v>
      </x:c>
      <x:c r="F58" s="7" t="str">
        <x:v>Mission d’obélisque prothéen.</x:v>
      </x:c>
      <x:c r="G58" s="7" t="str">
        <x:v>Nom complet affiché sur objet et remise ; aucun partage d’ID avec Karza.</x:v>
      </x:c>
      <x:c r="H58" s="7" t="str">
        <x:v>Nom complet affiché sur objet et remise ; aucun partage d’ID avec Karza.</x:v>
      </x:c>
      <x:c r="I58" s="7" t="str">
        <x:v>Monolithe sur carte d’inventaire.</x:v>
      </x:c>
      <x:c r="J58" s="7" t="str">
        <x:v>Transitions de caméra et d’interface interruptibles ; aucun délai d’animation ne doit consommer une décision encore ouverte.</x:v>
      </x:c>
      <x:c r="K58" s="7" t="str">
        <x:v>Créer des bruitages et ambiances originaux adaptés au livrable ; sous-titrer les indices utiles et proposer un réglage indépendant des effets. Aucune extraction audio demandée.</x:v>
      </x:c>
      <x:c r="L58" s="7" t="str">
        <x:v>Prévu : fiche de données me3/side_quests/shrike ; rattacher les ressources et états cités à cet identifiant. Aucun fichier de jeu créé par ce catalogue.</x:v>
      </x:c>
      <x:c r="M58" s="7" t="str"/>
      <x:c r="N58" s="7" t="str">
        <x:v>Le livrable « Shrike Abyssal: Prothean Obelisk » possède une scène ou un scénario de contrôle ; ses règles proposées, ses conditions et ses retours visuels sont vérifiables séparément.</x:v>
      </x:c>
      <x:c r="O58" s="7" t="str"/>
      <x:c r="P58" s="7" t="str">
        <x:v>Shrike Abyssal: Prothean Obelisk</x:v>
      </x:c>
      <x:c r="Q58" s="7" t="str">
        <x:v>ME3-SRC-CITADEL</x:v>
      </x:c>
      <x:c r="R58" s="21" t="str">
        <x:v>https://masseffect.fandom.com/wiki/Citadel</x:v>
      </x:c>
      <x:c r="S58" s="21" t="str">
        <x:v>Spécification à réaliser. Les champs adaptation, gameplay, visual, animation, audio et implementation décrivent le fan game ; ils ne donnent pas des caractéristiques officielles de l’œuvre.</x:v>
      </x:c>
    </x:row>
    <x:row r="59" ht="68" customHeight="1">
      <x:c r="A59" s="18" t="str">
        <x:v>ME3-SQ-SILEAN</x:v>
      </x:c>
      <x:c r="B59" s="9" t="str">
        <x:v>Silean Nebula: Rings of Alune</x:v>
      </x:c>
      <x:c r="C59" s="15" t="str">
        <x:v>Défini</x:v>
      </x:c>
      <x:c r="D59" s="16" t="str">
        <x:v>Établi</x:v>
      </x:c>
      <x:c r="E59" s="16" t="str">
        <x:v>P1</x:v>
      </x:c>
      <x:c r="F59" s="9" t="str">
        <x:v>Mission d’artefacts.</x:v>
      </x:c>
      <x:c r="G59" s="9" t="str">
        <x:v>Scan puis remise ; plusieurs anneaux restent un objet de quête cohérent.</x:v>
      </x:c>
      <x:c r="H59" s="9" t="str">
        <x:v>Scan puis remise ; plusieurs anneaux restent un objet de quête cohérent.</x:v>
      </x:c>
      <x:c r="I59" s="9" t="str">
        <x:v>Anneaux entrelacés.</x:v>
      </x:c>
      <x:c r="J59" s="9" t="str">
        <x:v>Transitions de caméra et d’interface interruptibles ; aucun délai d’animation ne doit consommer une décision encore ouverte.</x:v>
      </x:c>
      <x:c r="K59" s="9" t="str">
        <x:v>Créer des bruitages et ambiances originaux adaptés au livrable ; sous-titrer les indices utiles et proposer un réglage indépendant des effets. Aucune extraction audio demandée.</x:v>
      </x:c>
      <x:c r="L59" s="9" t="str">
        <x:v>Prévu : fiche de données me3/side_quests/silean ; rattacher les ressources et états cités à cet identifiant. Aucun fichier de jeu créé par ce catalogue.</x:v>
      </x:c>
      <x:c r="M59" s="9" t="str"/>
      <x:c r="N59" s="9" t="str">
        <x:v>Le livrable « Silean Nebula: Rings of Alune » possède une scène ou un scénario de contrôle ; ses règles proposées, ses conditions et ses retours visuels sont vérifiables séparément.</x:v>
      </x:c>
      <x:c r="O59" s="9" t="str"/>
      <x:c r="P59" s="9" t="str">
        <x:v>Silean Nebula: Rings of Alune</x:v>
      </x:c>
      <x:c r="Q59" s="9" t="str">
        <x:v>ME3-SRC-CITADEL</x:v>
      </x:c>
      <x:c r="R59" s="20" t="str">
        <x:v>https://masseffect.fandom.com/wiki/Citadel</x:v>
      </x:c>
      <x:c r="S59" s="20" t="str">
        <x:v>Spécification à réaliser. Les champs adaptation, gameplay, visual, animation, audio et implementation décrivent le fan game ; ils ne donnent pas des caractéristiques officielles de l’œuvre.</x:v>
      </x:c>
    </x:row>
    <x:row r="60" ht="68" customHeight="1">
      <x:c r="A60" s="19" t="str">
        <x:v>ME3-SQ-VALHALLAN</x:v>
      </x:c>
      <x:c r="B60" s="7" t="str">
        <x:v>Valhallan Threshold: Prothean Data Drives</x:v>
      </x:c>
      <x:c r="C60" s="15" t="str">
        <x:v>Défini</x:v>
      </x:c>
      <x:c r="D60" s="17" t="str">
        <x:v>Établi</x:v>
      </x:c>
      <x:c r="E60" s="17" t="str">
        <x:v>P1</x:v>
      </x:c>
      <x:c r="F60" s="7" t="str">
        <x:v>Mission de données prothéennes.</x:v>
      </x:c>
      <x:c r="G60" s="7" t="str">
        <x:v>Récupérer puis donner les supports ; progression indépendante du codex prothéen de Javik.</x:v>
      </x:c>
      <x:c r="H60" s="7" t="str">
        <x:v>Récupérer puis donner les supports ; progression indépendante du codex prothéen de Javik.</x:v>
      </x:c>
      <x:c r="I60" s="7" t="str">
        <x:v>Petits modules anciens.</x:v>
      </x:c>
      <x:c r="J60" s="7" t="str">
        <x:v>Transitions de caméra et d’interface interruptibles ; aucun délai d’animation ne doit consommer une décision encore ouverte.</x:v>
      </x:c>
      <x:c r="K60" s="7" t="str">
        <x:v>Créer des bruitages et ambiances originaux adaptés au livrable ; sous-titrer les indices utiles et proposer un réglage indépendant des effets. Aucune extraction audio demandée.</x:v>
      </x:c>
      <x:c r="L60" s="7" t="str">
        <x:v>Prévu : fiche de données me3/side_quests/valhallan ; rattacher les ressources et états cités à cet identifiant. Aucun fichier de jeu créé par ce catalogue.</x:v>
      </x:c>
      <x:c r="M60" s="7" t="str"/>
      <x:c r="N60" s="7" t="str">
        <x:v>Le livrable « Valhallan Threshold: Prothean Data Drives » possède une scène ou un scénario de contrôle ; ses règles proposées, ses conditions et ses retours visuels sont vérifiables séparément.</x:v>
      </x:c>
      <x:c r="O60" s="7" t="str"/>
      <x:c r="P60" s="7" t="str">
        <x:v>Valhallan Threshold: Prothean Data Drives</x:v>
      </x:c>
      <x:c r="Q60" s="7" t="str">
        <x:v>ME3-SRC-CITADEL</x:v>
      </x:c>
      <x:c r="R60" s="21" t="str">
        <x:v>https://masseffect.fandom.com/wiki/Citadel</x:v>
      </x:c>
      <x:c r="S60" s="21" t="str">
        <x:v>Spécification à réaliser. Les champs adaptation, gameplay, visual, animation, audio et implementation décrivent le fan game ; ils ne donnent pas des caractéristiques officielles de l’œuvre.</x:v>
      </x:c>
    </x:row>
    <x:row r="61" ht="68" customHeight="1">
      <x:c r="A61" s="18" t="str">
        <x:v>ME3-SQ-EDEN-RESIST</x:v>
      </x:c>
      <x:c r="B61" s="9" t="str">
        <x:v>Eden Prime: Resistance Movement</x:v>
      </x:c>
      <x:c r="C61" s="15" t="str">
        <x:v>Défini</x:v>
      </x:c>
      <x:c r="D61" s="16" t="str">
        <x:v>Établi</x:v>
      </x:c>
      <x:c r="E61" s="16" t="str">
        <x:v>P1</x:v>
      </x:c>
      <x:c r="F61" s="9" t="str">
        <x:v>Mission liée à From Ashes.</x:v>
      </x:c>
      <x:c r="G61" s="9" t="str">
        <x:v>Rechercher les preuves pendant l’opération Eden Prime ; avertir au dernier passage avant extraction.</x:v>
      </x:c>
      <x:c r="H61" s="9" t="str">
        <x:v>Rechercher les preuves pendant l’opération Eden Prime ; avertir au dernier passage avant extraction.</x:v>
      </x:c>
      <x:c r="I61" s="9" t="str">
        <x:v>Trois groupes d’informations identifiables.</x:v>
      </x:c>
      <x:c r="J61" s="9" t="str">
        <x:v>Transitions de caméra et d’interface interruptibles ; aucun délai d’animation ne doit consommer une décision encore ouverte.</x:v>
      </x:c>
      <x:c r="K61" s="9" t="str">
        <x:v>Créer des bruitages et ambiances originaux adaptés au livrable ; sous-titrer les indices utiles et proposer un réglage indépendant des effets. Aucune extraction audio demandée.</x:v>
      </x:c>
      <x:c r="L61" s="9" t="str">
        <x:v>Prévu : fiche de données me3/side_quests/eden-resist ; rattacher les ressources et états cités à cet identifiant. Aucun fichier de jeu créé par ce catalogue.</x:v>
      </x:c>
      <x:c r="M61" s="9" t="str">
        <x:v>DLC / Legendary ; nombre exact à revérifier en jeu.</x:v>
      </x:c>
      <x:c r="N61" s="9" t="str">
        <x:v>Le livrable « Eden Prime: Resistance Movement » possède une scène ou un scénario de contrôle ; ses règles proposées, ses conditions et ses retours visuels sont vérifiables séparément.</x:v>
      </x:c>
      <x:c r="O61" s="9" t="str"/>
      <x:c r="P61" s="9" t="str">
        <x:v>Eden Prime: Resistance Movement</x:v>
      </x:c>
      <x:c r="Q61" s="9" t="str">
        <x:v>ME3-SRC-MISSIONS</x:v>
      </x:c>
      <x:c r="R61" s="20" t="str">
        <x:v>https://masseffect.fandom.com/wiki/Missions</x:v>
      </x:c>
      <x:c r="S61" s="20" t="str">
        <x:v>Spécification à réaliser. Les champs adaptation, gameplay, visual, animation, audio et implementation décrivent le fan game ; ils ne donnent pas des caractéristiques officielles de l’œuvre.</x:v>
      </x:c>
    </x:row>
    <x:row r="62" ht="68" customHeight="1">
      <x:c r="A62" s="19" t="str">
        <x:v>ME3-SQ-OMEGA-HACK</x:v>
      </x:c>
      <x:c r="B62" s="7" t="str">
        <x:v>Omega: Assist the Hacker</x:v>
      </x:c>
      <x:c r="C62" s="15" t="str">
        <x:v>Défini</x:v>
      </x:c>
      <x:c r="D62" s="17" t="str">
        <x:v>Établi</x:v>
      </x:c>
      <x:c r="E62" s="17" t="str">
        <x:v>P1</x:v>
      </x:c>
      <x:c r="F62" s="7" t="str">
        <x:v>Demande locale du DLC Omega.</x:v>
      </x:c>
      <x:c r="G62" s="7" t="str">
        <x:v>Activer les éléments requis pendant le trajet ; retour au bunker sans traversée répétitive ajoutée.</x:v>
      </x:c>
      <x:c r="H62" s="7" t="str">
        <x:v>Activer les éléments requis pendant le trajet ; retour au bunker sans traversée répétitive ajoutée.</x:v>
      </x:c>
      <x:c r="I62" s="7" t="str">
        <x:v>Terminaux et poste de résistants.</x:v>
      </x:c>
      <x:c r="J62" s="7" t="str">
        <x:v>Transitions de caméra et d’interface interruptibles ; aucun délai d’animation ne doit consommer une décision encore ouverte.</x:v>
      </x:c>
      <x:c r="K62" s="7" t="str">
        <x:v>Créer des bruitages et ambiances originaux adaptés au livrable ; sous-titrer les indices utiles et proposer un réglage indépendant des effets. Aucune extraction audio demandée.</x:v>
      </x:c>
      <x:c r="L62" s="7" t="str">
        <x:v>Prévu : fiche de données me3/side_quests/omega-hack ; rattacher les ressources et états cités à cet identifiant. Aucun fichier de jeu créé par ce catalogue.</x:v>
      </x:c>
      <x:c r="M62" s="7" t="str">
        <x:v>DLC Omega.</x:v>
      </x:c>
      <x:c r="N62" s="7" t="str">
        <x:v>Le livrable « Omega: Assist the Hacker » possède une scène ou un scénario de contrôle ; ses règles proposées, ses conditions et ses retours visuels sont vérifiables séparément.</x:v>
      </x:c>
      <x:c r="O62" s="7" t="str"/>
      <x:c r="P62" s="7" t="str">
        <x:v>Omega: Assist the Hacker</x:v>
      </x:c>
      <x:c r="Q62" s="7" t="str">
        <x:v>ME3-SRC-MISSIONS</x:v>
      </x:c>
      <x:c r="R62" s="21" t="str">
        <x:v>https://masseffect.fandom.com/wiki/Missions</x:v>
      </x:c>
      <x:c r="S62" s="21" t="str">
        <x:v>Spécification à réaliser. Les champs adaptation, gameplay, visual, animation, audio et implementation décrivent le fan game ; ils ne donnent pas des caractéristiques officielles de l’œuvre.</x:v>
      </x:c>
    </x:row>
    <x:row r="63" ht="68" customHeight="1">
      <x:c r="A63" s="18" t="str">
        <x:v>ME3-SQ-OMEGA-MECH</x:v>
      </x:c>
      <x:c r="B63" s="9" t="str">
        <x:v>Omega: Assist the Mechanic</x:v>
      </x:c>
      <x:c r="C63" s="15" t="str">
        <x:v>Défini</x:v>
      </x:c>
      <x:c r="D63" s="16" t="str">
        <x:v>Établi</x:v>
      </x:c>
      <x:c r="E63" s="16" t="str">
        <x:v>P1</x:v>
      </x:c>
      <x:c r="F63" s="9" t="str">
        <x:v>Demande locale du DLC Omega.</x:v>
      </x:c>
      <x:c r="G63" s="9" t="str">
        <x:v>Récupération mécanique imbriquée dans la libération ; pas de planète annexe inventée.</x:v>
      </x:c>
      <x:c r="H63" s="9" t="str">
        <x:v>Récupération mécanique imbriquée dans la libération ; pas de planète annexe inventée.</x:v>
      </x:c>
      <x:c r="I63" s="9" t="str">
        <x:v>Outils et composants du bunker.</x:v>
      </x:c>
      <x:c r="J63" s="9" t="str">
        <x:v>Transitions de caméra et d’interface interruptibles ; aucun délai d’animation ne doit consommer une décision encore ouverte.</x:v>
      </x:c>
      <x:c r="K63" s="9" t="str">
        <x:v>Créer des bruitages et ambiances originaux adaptés au livrable ; sous-titrer les indices utiles et proposer un réglage indépendant des effets. Aucune extraction audio demandée.</x:v>
      </x:c>
      <x:c r="L63" s="9" t="str">
        <x:v>Prévu : fiche de données me3/side_quests/omega-mech ; rattacher les ressources et états cités à cet identifiant. Aucun fichier de jeu créé par ce catalogue.</x:v>
      </x:c>
      <x:c r="M63" s="9" t="str">
        <x:v>DLC Omega.</x:v>
      </x:c>
      <x:c r="N63" s="9" t="str">
        <x:v>Le livrable « Omega: Assist the Mechanic » possède une scène ou un scénario de contrôle ; ses règles proposées, ses conditions et ses retours visuels sont vérifiables séparément.</x:v>
      </x:c>
      <x:c r="O63" s="9" t="str"/>
      <x:c r="P63" s="9" t="str">
        <x:v>Omega: Assist the Mechanic</x:v>
      </x:c>
      <x:c r="Q63" s="9" t="str">
        <x:v>ME3-SRC-MISSIONS</x:v>
      </x:c>
      <x:c r="R63" s="20" t="str">
        <x:v>https://masseffect.fandom.com/wiki/Missions</x:v>
      </x:c>
      <x:c r="S63" s="20" t="str">
        <x:v>Spécification à réaliser. Les champs adaptation, gameplay, visual, animation, audio et implementation décrivent le fan game ; ils ne donnent pas des caractéristiques officielles de l’œuvre.</x:v>
      </x:c>
    </x:row>
    <x:row r="64" ht="68" customHeight="1">
      <x:c r="A64" s="19" t="str">
        <x:v>ME3-SQ-OMEGA-HARROT</x:v>
      </x:c>
      <x:c r="B64" s="7" t="str">
        <x:v>Omega: Assist Harrot</x:v>
      </x:c>
      <x:c r="C64" s="15" t="str">
        <x:v>Défini</x:v>
      </x:c>
      <x:c r="D64" s="17" t="str">
        <x:v>Établi</x:v>
      </x:c>
      <x:c r="E64" s="17" t="str">
        <x:v>P1</x:v>
      </x:c>
      <x:c r="F64" s="7" t="str">
        <x:v>Demande locale du DLC Omega.</x:v>
      </x:c>
      <x:c r="G64" s="7" t="str">
        <x:v>Recherche du souvenir d’Aria ; validation avant de quitter les zones à sens unique.</x:v>
      </x:c>
      <x:c r="H64" s="7" t="str">
        <x:v>Recherche du souvenir d’Aria ; validation avant de quitter les zones à sens unique.</x:v>
      </x:c>
      <x:c r="I64" s="7" t="str">
        <x:v>Mobilier familier au milieu des débris.</x:v>
      </x:c>
      <x:c r="J64" s="7" t="str">
        <x:v>Transitions de caméra et d’interface interruptibles ; aucun délai d’animation ne doit consommer une décision encore ouverte.</x:v>
      </x:c>
      <x:c r="K64" s="7" t="str">
        <x:v>Créer des bruitages et ambiances originaux adaptés au livrable ; sous-titrer les indices utiles et proposer un réglage indépendant des effets. Aucune extraction audio demandée.</x:v>
      </x:c>
      <x:c r="L64" s="7" t="str">
        <x:v>Prévu : fiche de données me3/side_quests/omega-harrot ; rattacher les ressources et états cités à cet identifiant. Aucun fichier de jeu créé par ce catalogue.</x:v>
      </x:c>
      <x:c r="M64" s="7" t="str">
        <x:v>DLC Omega.</x:v>
      </x:c>
      <x:c r="N64" s="7" t="str">
        <x:v>Le livrable « Omega: Assist Harrot » possède une scène ou un scénario de contrôle ; ses règles proposées, ses conditions et ses retours visuels sont vérifiables séparément.</x:v>
      </x:c>
      <x:c r="O64" s="7" t="str"/>
      <x:c r="P64" s="7" t="str">
        <x:v>Omega: Assist Harrot</x:v>
      </x:c>
      <x:c r="Q64" s="7" t="str">
        <x:v>ME3-SRC-MISSIONS, ME3-SRC-OMEGA</x:v>
      </x:c>
      <x:c r="R64" s="21" t="str">
        <x:v>https://masseffect.fandom.com/wiki/Missions
https://masseffect.fandom.com/wiki/Omega%3A_Aria_T%27Loak_%28Mass_Effect_3%29</x:v>
      </x:c>
      <x:c r="S64" s="21" t="str">
        <x:v>Spécification à réaliser. Les champs adaptation, gameplay, visual, animation, audio et implementation décrivent le fan game ; ils ne donnent pas des caractéristiques officielles de l’œuvre.</x:v>
      </x:c>
    </x:row>
    <x:row r="65" ht="68" customHeight="1">
      <x:c r="A65" s="18" t="str">
        <x:v>ME3-SQ-ARMAX</x:v>
      </x:c>
      <x:c r="B65" s="9" t="str">
        <x:v>Armax Arsenal Arena — accès et récompenses</x:v>
      </x:c>
      <x:c r="C65" s="15" t="str">
        <x:v>Défini</x:v>
      </x:c>
      <x:c r="D65" s="16" t="str">
        <x:v>Établi</x:v>
      </x:c>
      <x:c r="E65" s="16" t="str">
        <x:v>P1</x:v>
      </x:c>
      <x:c r="F65" s="9" t="str">
        <x:v>Citadel ajoute le simulateur Armax.</x:v>
      </x:c>
      <x:c r="G65" s="9" t="str">
        <x:v>Mode combat séparé de campagne : règles, compagnons, adversaires et récompenses affichés avant lancement.</x:v>
      </x:c>
      <x:c r="H65" s="9" t="str">
        <x:v>Mode combat séparé de campagne : règles, compagnons, adversaires et récompenses affichés avant lancement.</x:v>
      </x:c>
      <x:c r="I65" s="9" t="str">
        <x:v>Arène holographique et comptoir de récompenses.</x:v>
      </x:c>
      <x:c r="J65" s="9" t="str">
        <x:v>Transitions de caméra et d’interface interruptibles ; aucun délai d’animation ne doit consommer une décision encore ouverte.</x:v>
      </x:c>
      <x:c r="K65" s="9" t="str">
        <x:v>Créer des bruitages et ambiances originaux adaptés au livrable ; sous-titrer les indices utiles et proposer un réglage indépendant des effets. Aucune extraction audio demandée.</x:v>
      </x:c>
      <x:c r="L65" s="9" t="str">
        <x:v>Prévu : fiche de données me3/side_quests/armax ; rattacher les ressources et états cités à cet identifiant. Aucun fichier de jeu créé par ce catalogue.</x:v>
      </x:c>
      <x:c r="M65" s="9" t="str">
        <x:v>DLC Citadel.</x:v>
      </x:c>
      <x:c r="N65" s="9" t="str">
        <x:v>Le livrable « Armax Arsenal Arena — accès et récompenses » possède une scène ou un scénario de contrôle ; ses règles proposées, ses conditions et ses retours visuels sont vérifiables séparément.</x:v>
      </x:c>
      <x:c r="O65" s="9" t="str"/>
      <x:c r="P65" s="9" t="str">
        <x:v>Armax Arsenal Arena — accès et récompenses</x:v>
      </x:c>
      <x:c r="Q65" s="9" t="str">
        <x:v>ME3-SRC-BW-CITADEL, ME3-SRC-SQUAD</x:v>
      </x:c>
      <x:c r="R65" s="20" t="str">
        <x:v>https://blog.bioware.com/2013/02/21/mass-effect-3-citadel-reckoning-dlc-announced/
https://masseffect.fandom.com/wiki/Squad_Members_Guide_%28Mass_Effect_3%29</x:v>
      </x:c>
      <x:c r="S65" s="20" t="str">
        <x:v>Spécification à réaliser. Les champs adaptation, gameplay, visual, animation, audio et implementation décrivent le fan game ; ils ne donnent pas des caractéristiques officielles de l’œuvre.</x:v>
      </x:c>
    </x:row>
    <x:row r="66" ht="68" customHeight="1">
      <x:c r="A66" s="19" t="str">
        <x:v>ME3-SQ-ARENA-GETH</x:v>
      </x:c>
      <x:c r="B66" s="7" t="str">
        <x:v>Citadel Arena: Geth Challenge</x:v>
      </x:c>
      <x:c r="C66" s="15" t="str">
        <x:v>Défini</x:v>
      </x:c>
      <x:c r="D66" s="17" t="str">
        <x:v>Établi</x:v>
      </x:c>
      <x:c r="E66" s="17" t="str">
        <x:v>P1</x:v>
      </x:c>
      <x:c r="F66" s="7" t="str">
        <x:v>Défi nommé de l’arène Citadel.</x:v>
      </x:c>
      <x:c r="G66" s="7" t="str">
        <x:v>Sélection de faction geth et critère de score ; chronomètre de simulation distinct de la mission.</x:v>
      </x:c>
      <x:c r="H66" s="7" t="str">
        <x:v>Sélection de faction geth et critère de score ; chronomètre de simulation distinct de la mission.</x:v>
      </x:c>
      <x:c r="I66" s="7" t="str">
        <x:v>Interface de simulateur, paramètres de vague et score.</x:v>
      </x:c>
      <x:c r="J66" s="7" t="str">
        <x:v>Transitions de caméra et d’interface interruptibles ; aucun délai d’animation ne doit consommer une décision encore ouverte.</x:v>
      </x:c>
      <x:c r="K66" s="7" t="str">
        <x:v>Créer des bruitages et ambiances originaux adaptés au livrable ; sous-titrer les indices utiles et proposer un réglage indépendant des effets. Aucune extraction audio demandée.</x:v>
      </x:c>
      <x:c r="L66" s="7" t="str">
        <x:v>Prévu : fiche de données me3/side_quests/arena-geth ; rattacher les ressources et états cités à cet identifiant. Aucun fichier de jeu créé par ce catalogue.</x:v>
      </x:c>
      <x:c r="M66" s="7" t="str">
        <x:v>Simulateur Armax uniquement ; paramètres détaillés à vérifier dans l’édition choisie.</x:v>
      </x:c>
      <x:c r="N66" s="7" t="str">
        <x:v>Le livrable « Citadel Arena: Geth Challenge » possède une scène ou un scénario de contrôle ; ses règles proposées, ses conditions et ses retours visuels sont vérifiables séparément.</x:v>
      </x:c>
      <x:c r="O66" s="7" t="str">
        <x:v>ME3-SQ-ARMAX</x:v>
      </x:c>
      <x:c r="P66" s="7" t="str">
        <x:v>Mass Effect 3: Citadel — missions d’arène</x:v>
      </x:c>
      <x:c r="Q66" s="7" t="str">
        <x:v>ME3-SRC-MISSIONS</x:v>
      </x:c>
      <x:c r="R66" s="21" t="str">
        <x:v>https://masseffect.fandom.com/wiki/Missions</x:v>
      </x:c>
      <x:c r="S66" s="21" t="str">
        <x:v>Spécification à réaliser. Les champs adaptation, gameplay, visual, animation, audio et implementation décrivent le fan game ; ils ne donnent pas des caractéristiques officielles de l’œuvre.</x:v>
      </x:c>
    </x:row>
    <x:row r="67" ht="68" customHeight="1">
      <x:c r="A67" s="18" t="str">
        <x:v>ME3-SQ-ARENA-SPIN</x:v>
      </x:c>
      <x:c r="B67" s="9" t="str">
        <x:v>Citadel Arena: Spin Zone Elite Challenge</x:v>
      </x:c>
      <x:c r="C67" s="15" t="str">
        <x:v>Défini</x:v>
      </x:c>
      <x:c r="D67" s="16" t="str">
        <x:v>Établi</x:v>
      </x:c>
      <x:c r="E67" s="16" t="str">
        <x:v>P1</x:v>
      </x:c>
      <x:c r="F67" s="9" t="str">
        <x:v>Défi nommé de l’arène Citadel.</x:v>
      </x:c>
      <x:c r="G67" s="9" t="str">
        <x:v>Contraintes de carte et de score clairement exposées avant entrée ; valeurs originales à vérifier.</x:v>
      </x:c>
      <x:c r="H67" s="9" t="str">
        <x:v>Contraintes de carte et de score clairement exposées avant entrée ; valeurs originales à vérifier.</x:v>
      </x:c>
      <x:c r="I67" s="9" t="str">
        <x:v>Interface de simulateur, paramètres de vague et score.</x:v>
      </x:c>
      <x:c r="J67" s="9" t="str">
        <x:v>Transitions de caméra et d’interface interruptibles ; aucun délai d’animation ne doit consommer une décision encore ouverte.</x:v>
      </x:c>
      <x:c r="K67" s="9" t="str">
        <x:v>Créer des bruitages et ambiances originaux adaptés au livrable ; sous-titrer les indices utiles et proposer un réglage indépendant des effets. Aucune extraction audio demandée.</x:v>
      </x:c>
      <x:c r="L67" s="9" t="str">
        <x:v>Prévu : fiche de données me3/side_quests/arena-spin ; rattacher les ressources et états cités à cet identifiant. Aucun fichier de jeu créé par ce catalogue.</x:v>
      </x:c>
      <x:c r="M67" s="9" t="str">
        <x:v>Simulateur Armax uniquement ; paramètres détaillés à vérifier dans l’édition choisie.</x:v>
      </x:c>
      <x:c r="N67" s="9" t="str">
        <x:v>Le livrable « Citadel Arena: Spin Zone Elite Challenge » possède une scène ou un scénario de contrôle ; ses règles proposées, ses conditions et ses retours visuels sont vérifiables séparément.</x:v>
      </x:c>
      <x:c r="O67" s="9" t="str">
        <x:v>ME3-SQ-ARMAX</x:v>
      </x:c>
      <x:c r="P67" s="9" t="str">
        <x:v>Mass Effect 3: Citadel — missions d’arène</x:v>
      </x:c>
      <x:c r="Q67" s="9" t="str">
        <x:v>ME3-SRC-MISSIONS</x:v>
      </x:c>
      <x:c r="R67" s="20" t="str">
        <x:v>https://masseffect.fandom.com/wiki/Missions</x:v>
      </x:c>
      <x:c r="S67" s="20" t="str">
        <x:v>Spécification à réaliser. Les champs adaptation, gameplay, visual, animation, audio et implementation décrivent le fan game ; ils ne donnent pas des caractéristiques officielles de l’œuvre.</x:v>
      </x:c>
    </x:row>
    <x:row r="68" ht="68" customHeight="1">
      <x:c r="A68" s="19" t="str">
        <x:v>ME3-SQ-ARENA-MEDIGEL</x:v>
      </x:c>
      <x:c r="B68" s="7" t="str">
        <x:v>Citadel Arena: Medi-Gel Challenge</x:v>
      </x:c>
      <x:c r="C68" s="15" t="str">
        <x:v>Défini</x:v>
      </x:c>
      <x:c r="D68" s="17" t="str">
        <x:v>Établi</x:v>
      </x:c>
      <x:c r="E68" s="17" t="str">
        <x:v>P1</x:v>
      </x:c>
      <x:c r="F68" s="7" t="str">
        <x:v>Défi nommé de l’arène Citadel.</x:v>
      </x:c>
      <x:c r="G68" s="7" t="str">
        <x:v>Règle de ressource explicite avec compteur de soins ; aucune consommation sur inventaire de campagne.</x:v>
      </x:c>
      <x:c r="H68" s="7" t="str">
        <x:v>Règle de ressource explicite avec compteur de soins ; aucune consommation sur inventaire de campagne.</x:v>
      </x:c>
      <x:c r="I68" s="7" t="str">
        <x:v>Interface de simulateur, paramètres de vague et score.</x:v>
      </x:c>
      <x:c r="J68" s="7" t="str">
        <x:v>Transitions de caméra et d’interface interruptibles ; aucun délai d’animation ne doit consommer une décision encore ouverte.</x:v>
      </x:c>
      <x:c r="K68" s="7" t="str">
        <x:v>Créer des bruitages et ambiances originaux adaptés au livrable ; sous-titrer les indices utiles et proposer un réglage indépendant des effets. Aucune extraction audio demandée.</x:v>
      </x:c>
      <x:c r="L68" s="7" t="str">
        <x:v>Prévu : fiche de données me3/side_quests/arena-medigel ; rattacher les ressources et états cités à cet identifiant. Aucun fichier de jeu créé par ce catalogue.</x:v>
      </x:c>
      <x:c r="M68" s="7" t="str">
        <x:v>Simulateur Armax uniquement ; paramètres détaillés à vérifier dans l’édition choisie.</x:v>
      </x:c>
      <x:c r="N68" s="7" t="str">
        <x:v>Le livrable « Citadel Arena: Medi-Gel Challenge » possède une scène ou un scénario de contrôle ; ses règles proposées, ses conditions et ses retours visuels sont vérifiables séparément.</x:v>
      </x:c>
      <x:c r="O68" s="7" t="str">
        <x:v>ME3-SQ-ARMAX</x:v>
      </x:c>
      <x:c r="P68" s="7" t="str">
        <x:v>Mass Effect 3: Citadel — missions d’arène</x:v>
      </x:c>
      <x:c r="Q68" s="7" t="str">
        <x:v>ME3-SRC-MISSIONS</x:v>
      </x:c>
      <x:c r="R68" s="21" t="str">
        <x:v>https://masseffect.fandom.com/wiki/Missions</x:v>
      </x:c>
      <x:c r="S68" s="21" t="str">
        <x:v>Spécification à réaliser. Les champs adaptation, gameplay, visual, animation, audio et implementation décrivent le fan game ; ils ne donnent pas des caractéristiques officielles de l’œuvre.</x:v>
      </x:c>
    </x:row>
    <x:row r="69" ht="68" customHeight="1">
      <x:c r="A69" s="18" t="str">
        <x:v>ME3-SQ-ARENA-REAPER-SOLO</x:v>
      </x:c>
      <x:c r="B69" s="9" t="str">
        <x:v>Citadel Arena: Reaper Solo Challenge</x:v>
      </x:c>
      <x:c r="C69" s="15" t="str">
        <x:v>Défini</x:v>
      </x:c>
      <x:c r="D69" s="16" t="str">
        <x:v>Établi</x:v>
      </x:c>
      <x:c r="E69" s="16" t="str">
        <x:v>P1</x:v>
      </x:c>
      <x:c r="F69" s="9" t="str">
        <x:v>Défi nommé de l’arène Citadel.</x:v>
      </x:c>
      <x:c r="G69" s="9" t="str">
        <x:v>Verrou de groupe solo et faction Moissonneur affichés ; retour du roster normal à la sortie.</x:v>
      </x:c>
      <x:c r="H69" s="9" t="str">
        <x:v>Verrou de groupe solo et faction Moissonneur affichés ; retour du roster normal à la sortie.</x:v>
      </x:c>
      <x:c r="I69" s="9" t="str">
        <x:v>Interface de simulateur, paramètres de vague et score.</x:v>
      </x:c>
      <x:c r="J69" s="9" t="str">
        <x:v>Transitions de caméra et d’interface interruptibles ; aucun délai d’animation ne doit consommer une décision encore ouverte.</x:v>
      </x:c>
      <x:c r="K69" s="9" t="str">
        <x:v>Créer des bruitages et ambiances originaux adaptés au livrable ; sous-titrer les indices utiles et proposer un réglage indépendant des effets. Aucune extraction audio demandée.</x:v>
      </x:c>
      <x:c r="L69" s="9" t="str">
        <x:v>Prévu : fiche de données me3/side_quests/arena-reaper-solo ; rattacher les ressources et états cités à cet identifiant. Aucun fichier de jeu créé par ce catalogue.</x:v>
      </x:c>
      <x:c r="M69" s="9" t="str">
        <x:v>Simulateur Armax uniquement ; paramètres détaillés à vérifier dans l’édition choisie.</x:v>
      </x:c>
      <x:c r="N69" s="9" t="str">
        <x:v>Le livrable « Citadel Arena: Reaper Solo Challenge » possède une scène ou un scénario de contrôle ; ses règles proposées, ses conditions et ses retours visuels sont vérifiables séparément.</x:v>
      </x:c>
      <x:c r="O69" s="9" t="str">
        <x:v>ME3-SQ-ARMAX</x:v>
      </x:c>
      <x:c r="P69" s="9" t="str">
        <x:v>Mass Effect 3: Citadel — missions d’arène</x:v>
      </x:c>
      <x:c r="Q69" s="9" t="str">
        <x:v>ME3-SRC-MISSIONS</x:v>
      </x:c>
      <x:c r="R69" s="20" t="str">
        <x:v>https://masseffect.fandom.com/wiki/Missions</x:v>
      </x:c>
      <x:c r="S69" s="20" t="str">
        <x:v>Spécification à réaliser. Les champs adaptation, gameplay, visual, animation, audio et implementation décrivent le fan game ; ils ne donnent pas des caractéristiques officielles de l’œuvre.</x:v>
      </x:c>
    </x:row>
    <x:row r="70" ht="68" customHeight="1">
      <x:c r="A70" s="19" t="str">
        <x:v>ME3-SQ-ARENA-THERMAL</x:v>
      </x:c>
      <x:c r="B70" s="7" t="str">
        <x:v>Citadel Arena: Thermal Clip Challenge</x:v>
      </x:c>
      <x:c r="C70" s="15" t="str">
        <x:v>Défini</x:v>
      </x:c>
      <x:c r="D70" s="17" t="str">
        <x:v>Établi</x:v>
      </x:c>
      <x:c r="E70" s="17" t="str">
        <x:v>P1</x:v>
      </x:c>
      <x:c r="F70" s="7" t="str">
        <x:v>Défi nommé de l’arène Citadel.</x:v>
      </x:c>
      <x:c r="G70" s="7" t="str">
        <x:v>Restriction de clips et suivi de réserve propre au défi ; armes sans clips gérées explicitement.</x:v>
      </x:c>
      <x:c r="H70" s="7" t="str">
        <x:v>Restriction de clips et suivi de réserve propre au défi ; armes sans clips gérées explicitement.</x:v>
      </x:c>
      <x:c r="I70" s="7" t="str">
        <x:v>Interface de simulateur, paramètres de vague et score.</x:v>
      </x:c>
      <x:c r="J70" s="7" t="str">
        <x:v>Transitions de caméra et d’interface interruptibles ; aucun délai d’animation ne doit consommer une décision encore ouverte.</x:v>
      </x:c>
      <x:c r="K70" s="7" t="str">
        <x:v>Créer des bruitages et ambiances originaux adaptés au livrable ; sous-titrer les indices utiles et proposer un réglage indépendant des effets. Aucune extraction audio demandée.</x:v>
      </x:c>
      <x:c r="L70" s="7" t="str">
        <x:v>Prévu : fiche de données me3/side_quests/arena-thermal ; rattacher les ressources et états cités à cet identifiant. Aucun fichier de jeu créé par ce catalogue.</x:v>
      </x:c>
      <x:c r="M70" s="7" t="str">
        <x:v>Simulateur Armax uniquement ; paramètres détaillés à vérifier dans l’édition choisie.</x:v>
      </x:c>
      <x:c r="N70" s="7" t="str">
        <x:v>Le livrable « Citadel Arena: Thermal Clip Challenge » possède une scène ou un scénario de contrôle ; ses règles proposées, ses conditions et ses retours visuels sont vérifiables séparément.</x:v>
      </x:c>
      <x:c r="O70" s="7" t="str">
        <x:v>ME3-SQ-ARMAX</x:v>
      </x:c>
      <x:c r="P70" s="7" t="str">
        <x:v>Mass Effect 3: Citadel — missions d’arène</x:v>
      </x:c>
      <x:c r="Q70" s="7" t="str">
        <x:v>ME3-SRC-MISSIONS</x:v>
      </x:c>
      <x:c r="R70" s="21" t="str">
        <x:v>https://masseffect.fandom.com/wiki/Missions</x:v>
      </x:c>
      <x:c r="S70" s="21" t="str">
        <x:v>Spécification à réaliser. Les champs adaptation, gameplay, visual, animation, audio et implementation décrivent le fan game ; ils ne donnent pas des caractéristiques officielles de l’œuvre.</x:v>
      </x:c>
    </x:row>
    <x:row r="71" ht="68" customHeight="1">
      <x:c r="A71" s="18" t="str">
        <x:v>ME3-SQ-ARENA-PROTHEAN</x:v>
      </x:c>
      <x:c r="B71" s="9" t="str">
        <x:v>Citadel Arena: Prothean Challenge</x:v>
      </x:c>
      <x:c r="C71" s="15" t="str">
        <x:v>Défini</x:v>
      </x:c>
      <x:c r="D71" s="16" t="str">
        <x:v>Établi</x:v>
      </x:c>
      <x:c r="E71" s="16" t="str">
        <x:v>P1</x:v>
      </x:c>
      <x:c r="F71" s="9" t="str">
        <x:v>Défi nommé de l’arène Citadel.</x:v>
      </x:c>
      <x:c r="G71" s="9" t="str">
        <x:v>Conditions particulières présentées en fiche ; vérifier les paramètres exacts avant reproduction.</x:v>
      </x:c>
      <x:c r="H71" s="9" t="str">
        <x:v>Conditions particulières présentées en fiche ; vérifier les paramètres exacts avant reproduction.</x:v>
      </x:c>
      <x:c r="I71" s="9" t="str">
        <x:v>Interface de simulateur, paramètres de vague et score.</x:v>
      </x:c>
      <x:c r="J71" s="9" t="str">
        <x:v>Transitions de caméra et d’interface interruptibles ; aucun délai d’animation ne doit consommer une décision encore ouverte.</x:v>
      </x:c>
      <x:c r="K71" s="9" t="str">
        <x:v>Créer des bruitages et ambiances originaux adaptés au livrable ; sous-titrer les indices utiles et proposer un réglage indépendant des effets. Aucune extraction audio demandée.</x:v>
      </x:c>
      <x:c r="L71" s="9" t="str">
        <x:v>Prévu : fiche de données me3/side_quests/arena-prothean ; rattacher les ressources et états cités à cet identifiant. Aucun fichier de jeu créé par ce catalogue.</x:v>
      </x:c>
      <x:c r="M71" s="9" t="str">
        <x:v>Simulateur Armax uniquement ; paramètres détaillés à vérifier dans l’édition choisie.</x:v>
      </x:c>
      <x:c r="N71" s="9" t="str">
        <x:v>Le livrable « Citadel Arena: Prothean Challenge » possède une scène ou un scénario de contrôle ; ses règles proposées, ses conditions et ses retours visuels sont vérifiables séparément.</x:v>
      </x:c>
      <x:c r="O71" s="9" t="str">
        <x:v>ME3-SQ-ARMAX</x:v>
      </x:c>
      <x:c r="P71" s="9" t="str">
        <x:v>Mass Effect 3: Citadel — missions d’arène</x:v>
      </x:c>
      <x:c r="Q71" s="9" t="str">
        <x:v>ME3-SRC-MISSIONS</x:v>
      </x:c>
      <x:c r="R71" s="20" t="str">
        <x:v>https://masseffect.fandom.com/wiki/Missions</x:v>
      </x:c>
      <x:c r="S71" s="20" t="str">
        <x:v>Spécification à réaliser. Les champs adaptation, gameplay, visual, animation, audio et implementation décrivent le fan game ; ils ne donnent pas des caractéristiques officielles de l’œuvre.</x:v>
      </x:c>
    </x:row>
    <x:row r="72" ht="68" customHeight="1">
      <x:c r="A72" s="19" t="str">
        <x:v>ME3-SQ-ARENA-CERBERUS</x:v>
      </x:c>
      <x:c r="B72" s="7" t="str">
        <x:v>Citadel Arena: Cerberus Challenge</x:v>
      </x:c>
      <x:c r="C72" s="15" t="str">
        <x:v>Défini</x:v>
      </x:c>
      <x:c r="D72" s="17" t="str">
        <x:v>Établi</x:v>
      </x:c>
      <x:c r="E72" s="17" t="str">
        <x:v>P1</x:v>
      </x:c>
      <x:c r="F72" s="7" t="str">
        <x:v>Défi nommé de l’arène Citadel.</x:v>
      </x:c>
      <x:c r="G72" s="7" t="str">
        <x:v>Composer des vagues Cerberus et afficher la mesure de réussite attendue.</x:v>
      </x:c>
      <x:c r="H72" s="7" t="str">
        <x:v>Composer des vagues Cerberus et afficher la mesure de réussite attendue.</x:v>
      </x:c>
      <x:c r="I72" s="7" t="str">
        <x:v>Interface de simulateur, paramètres de vague et score.</x:v>
      </x:c>
      <x:c r="J72" s="7" t="str">
        <x:v>Transitions de caméra et d’interface interruptibles ; aucun délai d’animation ne doit consommer une décision encore ouverte.</x:v>
      </x:c>
      <x:c r="K72" s="7" t="str">
        <x:v>Créer des bruitages et ambiances originaux adaptés au livrable ; sous-titrer les indices utiles et proposer un réglage indépendant des effets. Aucune extraction audio demandée.</x:v>
      </x:c>
      <x:c r="L72" s="7" t="str">
        <x:v>Prévu : fiche de données me3/side_quests/arena-cerberus ; rattacher les ressources et états cités à cet identifiant. Aucun fichier de jeu créé par ce catalogue.</x:v>
      </x:c>
      <x:c r="M72" s="7" t="str">
        <x:v>Simulateur Armax uniquement ; paramètres détaillés à vérifier dans l’édition choisie.</x:v>
      </x:c>
      <x:c r="N72" s="7" t="str">
        <x:v>Le livrable « Citadel Arena: Cerberus Challenge » possède une scène ou un scénario de contrôle ; ses règles proposées, ses conditions et ses retours visuels sont vérifiables séparément.</x:v>
      </x:c>
      <x:c r="O72" s="7" t="str">
        <x:v>ME3-SQ-ARMAX</x:v>
      </x:c>
      <x:c r="P72" s="7" t="str">
        <x:v>Mass Effect 3: Citadel — missions d’arène</x:v>
      </x:c>
      <x:c r="Q72" s="7" t="str">
        <x:v>ME3-SRC-MISSIONS</x:v>
      </x:c>
      <x:c r="R72" s="21" t="str">
        <x:v>https://masseffect.fandom.com/wiki/Missions</x:v>
      </x:c>
      <x:c r="S72" s="21" t="str">
        <x:v>Spécification à réaliser. Les champs adaptation, gameplay, visual, animation, audio et implementation décrivent le fan game ; ils ne donnent pas des caractéristiques officielles de l’œuvre.</x:v>
      </x:c>
    </x:row>
    <x:row r="73" ht="68" customHeight="1">
      <x:c r="A73" s="18" t="str">
        <x:v>ME3-SQ-ARENA-CHARITY</x:v>
      </x:c>
      <x:c r="B73" s="9" t="str">
        <x:v>Citadel Arena: Charity Reaper Challenge</x:v>
      </x:c>
      <x:c r="C73" s="15" t="str">
        <x:v>Défini</x:v>
      </x:c>
      <x:c r="D73" s="16" t="str">
        <x:v>Établi</x:v>
      </x:c>
      <x:c r="E73" s="16" t="str">
        <x:v>P1</x:v>
      </x:c>
      <x:c r="F73" s="9" t="str">
        <x:v>Défi nommé de l’arène Citadel.</x:v>
      </x:c>
      <x:c r="G73" s="9" t="str">
        <x:v>Contrat d’arène et bénéficiaire narratif séparés ; récompense validée une fois.</x:v>
      </x:c>
      <x:c r="H73" s="9" t="str">
        <x:v>Contrat d’arène et bénéficiaire narratif séparés ; récompense validée une fois.</x:v>
      </x:c>
      <x:c r="I73" s="9" t="str">
        <x:v>Interface de simulateur, paramètres de vague et score.</x:v>
      </x:c>
      <x:c r="J73" s="9" t="str">
        <x:v>Transitions de caméra et d’interface interruptibles ; aucun délai d’animation ne doit consommer une décision encore ouverte.</x:v>
      </x:c>
      <x:c r="K73" s="9" t="str">
        <x:v>Créer des bruitages et ambiances originaux adaptés au livrable ; sous-titrer les indices utiles et proposer un réglage indépendant des effets. Aucune extraction audio demandée.</x:v>
      </x:c>
      <x:c r="L73" s="9" t="str">
        <x:v>Prévu : fiche de données me3/side_quests/arena-charity ; rattacher les ressources et états cités à cet identifiant. Aucun fichier de jeu créé par ce catalogue.</x:v>
      </x:c>
      <x:c r="M73" s="9" t="str">
        <x:v>Simulateur Armax uniquement ; paramètres détaillés à vérifier dans l’édition choisie.</x:v>
      </x:c>
      <x:c r="N73" s="9" t="str">
        <x:v>Le livrable « Citadel Arena: Charity Reaper Challenge » possède une scène ou un scénario de contrôle ; ses règles proposées, ses conditions et ses retours visuels sont vérifiables séparément.</x:v>
      </x:c>
      <x:c r="O73" s="9" t="str">
        <x:v>ME3-SQ-ARMAX</x:v>
      </x:c>
      <x:c r="P73" s="9" t="str">
        <x:v>Mass Effect 3: Citadel — missions d’arène</x:v>
      </x:c>
      <x:c r="Q73" s="9" t="str">
        <x:v>ME3-SRC-MISSIONS</x:v>
      </x:c>
      <x:c r="R73" s="20" t="str">
        <x:v>https://masseffect.fandom.com/wiki/Missions</x:v>
      </x:c>
      <x:c r="S73" s="20" t="str">
        <x:v>Spécification à réaliser. Les champs adaptation, gameplay, visual, animation, audio et implementation décrivent le fan game ; ils ne donnent pas des caractéristiques officielles de l’œuvre.</x:v>
      </x:c>
    </x:row>
    <x:row r="74" ht="68" customHeight="1">
      <x:c r="A74" s="19" t="str">
        <x:v>ME3-SQ-ARENA-UNUSUAL</x:v>
      </x:c>
      <x:c r="B74" s="7" t="str">
        <x:v>Citadel Arena: Unusual Scores</x:v>
      </x:c>
      <x:c r="C74" s="15" t="str">
        <x:v>Défini</x:v>
      </x:c>
      <x:c r="D74" s="17" t="str">
        <x:v>Établi</x:v>
      </x:c>
      <x:c r="E74" s="17" t="str">
        <x:v>P1</x:v>
      </x:c>
      <x:c r="F74" s="7" t="str">
        <x:v>Défi nommé de l’arène Citadel.</x:v>
      </x:c>
      <x:c r="G74" s="7" t="str">
        <x:v>Suite d’anomalies et rencontre de simulation ; tous les adversaires demeurent des copies holographiques.</x:v>
      </x:c>
      <x:c r="H74" s="7" t="str">
        <x:v>Suite d’anomalies et rencontre de simulation ; tous les adversaires demeurent des copies holographiques.</x:v>
      </x:c>
      <x:c r="I74" s="7" t="str">
        <x:v>Interface de simulateur, paramètres de vague et score.</x:v>
      </x:c>
      <x:c r="J74" s="7" t="str">
        <x:v>Transitions de caméra et d’interface interruptibles ; aucun délai d’animation ne doit consommer une décision encore ouverte.</x:v>
      </x:c>
      <x:c r="K74" s="7" t="str">
        <x:v>Créer des bruitages et ambiances originaux adaptés au livrable ; sous-titrer les indices utiles et proposer un réglage indépendant des effets. Aucune extraction audio demandée.</x:v>
      </x:c>
      <x:c r="L74" s="7" t="str">
        <x:v>Prévu : fiche de données me3/side_quests/arena-unusual ; rattacher les ressources et états cités à cet identifiant. Aucun fichier de jeu créé par ce catalogue.</x:v>
      </x:c>
      <x:c r="M74" s="7" t="str">
        <x:v>Simulateur Armax uniquement ; paramètres détaillés à vérifier dans l’édition choisie.</x:v>
      </x:c>
      <x:c r="N74" s="7" t="str">
        <x:v>Le livrable « Citadel Arena: Unusual Scores » possède une scène ou un scénario de contrôle ; ses règles proposées, ses conditions et ses retours visuels sont vérifiables séparément.</x:v>
      </x:c>
      <x:c r="O74" s="7" t="str">
        <x:v>ME3-SQ-ARMAX</x:v>
      </x:c>
      <x:c r="P74" s="7" t="str">
        <x:v>Mass Effect 3: Citadel — missions d’arène</x:v>
      </x:c>
      <x:c r="Q74" s="7" t="str">
        <x:v>ME3-SRC-MISSIONS</x:v>
      </x:c>
      <x:c r="R74" s="21" t="str">
        <x:v>https://masseffect.fandom.com/wiki/Missions</x:v>
      </x:c>
      <x:c r="S74" s="21" t="str">
        <x:v>Spécification à réaliser. Les champs adaptation, gameplay, visual, animation, audio et implementation décrivent le fan game ; ils ne donnent pas des caractéristiques officielles de l’œuvre.</x:v>
      </x:c>
    </x:row>
  </x:sheetData>
  <x:conditionalFormatting sqref="D7:D74">
    <x:cfRule type="cellIs" dxfId="40" priority="1" operator="equal">
      <x:formula>"À vérifier"</x:formula>
    </x:cfRule>
    <x:cfRule type="cellIs" dxfId="41" priority="2" operator="equal">
      <x:formula>"Extrapolation"</x:formula>
    </x:cfRule>
  </x:conditionalFormatting>
  <x:conditionalFormatting sqref="C7:C74">
    <x:cfRule type="cellIs" dxfId="42" priority="3" operator="equal">
      <x:formula>"Validé"</x:formula>
    </x:cfRule>
  </x:conditionalFormatting>
  <x:conditionalFormatting sqref="E7:E74">
    <x:cfRule type="cellIs" dxfId="43" priority="4" operator="equal">
      <x:formula>"P0"</x:formula>
    </x:cfRule>
  </x:conditionalFormatting>
  <x:dataValidations count="3">
    <x:dataValidation type="list" sqref="C7:C74">
      <x:formula1>"Défini,Prototype,Intégré,Validé"</x:formula1>
    </x:dataValidation>
    <x:dataValidation type="list" sqref="D7:D74">
      <x:formula1>"Établi,À vérifier,Extrapolation,Coupé attesté,Concept abandonné,Allégation écartée"</x:formula1>
    </x:dataValidation>
    <x:dataValidation type="list" sqref="E7:E74">
      <x:formula1>"P0,P1,P2"</x:formula1>
    </x:dataValidation>
  </x:dataValidations>
  <x:pageMargins left="0.7" right="0.7" top="0.75" bottom="0.75" header="0.3" footer="0.3"/>
  <x:tableParts count="1">
    <x:tablePart xmlns:r="http://schemas.openxmlformats.org/officeDocument/2006/relationships" r:id="Rff15d7ef68d3482d"/>
  </x:tableParts>
</x:worksheet>
</file>

<file path=xl/worksheets/sheet1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1"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Choix et relations</x:v>
      </x:c>
      <x:c r="B2" s="2"/>
      <x:c r="C2" s="2"/>
      <x:c r="D2" s="2"/>
      <x:c r="E2" s="2"/>
      <x:c r="F2" s="2"/>
      <x:c r="G2" s="2"/>
      <x:c r="H2" s="2"/>
      <x:c r="I2" s="2"/>
      <x:c r="J2" s="2"/>
      <x:c r="K2" s="2"/>
      <x:c r="L2" s="2"/>
      <x:c r="M2" s="2"/>
      <x:c r="N2" s="2"/>
      <x:c r="O2" s="2"/>
      <x:c r="P2" s="2"/>
      <x:c r="Q2" s="2"/>
      <x:c r="R2" s="2"/>
      <x:c r="S2" s="2"/>
    </x:row>
    <x:row r="3" ht="22" customHeight="1">
      <x:c r="A3" s="4" t="str">
        <x:v>Mass Effect 3 — Conséquences persistantes et relations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ME3-CHO-IMPORT</x:v>
      </x:c>
      <x:c r="B7" s="9" t="str">
        <x:v>Importer la survie et les relations</x:v>
      </x:c>
      <x:c r="C7" s="15" t="str">
        <x:v>Défini</x:v>
      </x:c>
      <x:c r="D7" s="16" t="str">
        <x:v>Établi</x:v>
      </x:c>
      <x:c r="E7" s="16" t="str">
        <x:v>P1</x:v>
      </x:c>
      <x:c r="F7" s="9" t="str">
        <x:v>ME3 reprend des décisions antérieures.</x:v>
      </x:c>
      <x:c r="G7" s="9" t="str">
        <x:v>Écran de contrôle des événements majeurs avant prologue ; valeur inconnue distincte de faux, pas d’inférence depuis romance.</x:v>
      </x:c>
      <x:c r="H7" s="9" t="str">
        <x:v>Écran de contrôle des événements majeurs avant prologue ; valeur inconnue distincte de faux, pas d’inférence depuis romance.</x:v>
      </x:c>
      <x:c r="I7" s="9" t="str">
        <x:v>Frise des deux jeux précédents.</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me3/choices/import ; rattacher les ressources et états cités à cet identifiant. Aucun fichier de jeu créé par ce catalogue.</x:v>
      </x:c>
      <x:c r="M7" s="9" t="str"/>
      <x:c r="N7" s="9" t="str">
        <x:v>Le livrable « Importer la survie et les relations » possède une scène ou un scénario de contrôle ; ses règles proposées, ses conditions et ses retours visuels sont vérifiables séparément.</x:v>
      </x:c>
      <x:c r="O7" s="9" t="str"/>
      <x:c r="P7" s="9" t="str">
        <x:v>Importer la survie et les relations</x:v>
      </x:c>
      <x:c r="Q7" s="9" t="str">
        <x:v>ME3-SRC-GUIDE</x:v>
      </x:c>
      <x:c r="R7" s="20" t="str">
        <x:v>https://masseffect.fandom.com/wiki/Mass_Effect_3_Guide</x:v>
      </x:c>
      <x:c r="S7" s="20" t="str">
        <x:v>Spécification à réaliser. Les champs adaptation, gameplay, visual, animation, audio et implementation décrivent le fan game ; ils ne donnent pas des caractéristiques officielles de l’œuvre.</x:v>
      </x:c>
    </x:row>
    <x:row r="8" ht="68" customHeight="1">
      <x:c r="A8" s="19" t="str">
        <x:v>ME3-CHO-COUNCIL</x:v>
      </x:c>
      <x:c r="B8" s="7" t="str">
        <x:v>Survivant de Virmire et confiance</x:v>
      </x:c>
      <x:c r="C8" s="15" t="str">
        <x:v>Défini</x:v>
      </x:c>
      <x:c r="D8" s="17" t="str">
        <x:v>Établi</x:v>
      </x:c>
      <x:c r="E8" s="17" t="str">
        <x:v>P1</x:v>
      </x:c>
      <x:c r="F8" s="7" t="str">
        <x:v>Le retour d’Ashley/Kaidan est conditionnel.</x:v>
      </x:c>
      <x:c r="G8" s="7" t="str">
        <x:v>Mémoriser visites, entretiens et affrontement politique séparément ; preview ne révèle pas la trahison avant scène.</x:v>
      </x:c>
      <x:c r="H8" s="7" t="str">
        <x:v>Mémoriser visites, entretiens et affrontement politique séparément ; preview ne révèle pas la trahison avant scène.</x:v>
      </x:c>
      <x:c r="I8" s="7" t="str">
        <x:v>Portrait unique du survivant.</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me3/choices/council ; rattacher les ressources et états cités à cet identifiant. Aucun fichier de jeu créé par ce catalogue.</x:v>
      </x:c>
      <x:c r="M8" s="7" t="str"/>
      <x:c r="N8" s="7" t="str">
        <x:v>Le livrable « Survivant de Virmire et confiance » possède une scène ou un scénario de contrôle ; ses règles proposées, ses conditions et ses retours visuels sont vérifiables séparément.</x:v>
      </x:c>
      <x:c r="O8" s="7" t="str"/>
      <x:c r="P8" s="7" t="str">
        <x:v>Survivant de Virmire et confiance</x:v>
      </x:c>
      <x:c r="Q8" s="7" t="str">
        <x:v>ME3-SRC-CITADEL2</x:v>
      </x:c>
      <x:c r="R8" s="21" t="str">
        <x:v>https://masseffect.fandom.com/wiki/Priority%3A_The_Citadel_II</x:v>
      </x:c>
      <x:c r="S8" s="21" t="str">
        <x:v>Spécification à réaliser. Les champs adaptation, gameplay, visual, animation, audio et implementation décrivent le fan game ; ils ne donnent pas des caractéristiques officielles de l’œuvre.</x:v>
      </x:c>
    </x:row>
    <x:row r="9" ht="68" customHeight="1">
      <x:c r="A9" s="18" t="str">
        <x:v>ME3-CHO-DOCTOR</x:v>
      </x:c>
      <x:c r="B9" s="9" t="str">
        <x:v>Médecin du Normandy</x:v>
      </x:c>
      <x:c r="C9" s="15" t="str">
        <x:v>Défini</x:v>
      </x:c>
      <x:c r="D9" s="16" t="str">
        <x:v>Établi</x:v>
      </x:c>
      <x:c r="E9" s="16" t="str">
        <x:v>P1</x:v>
      </x:c>
      <x:c r="F9" s="9" t="str">
        <x:v>Des choix de recrutement existent.</x:v>
      </x:c>
      <x:c r="G9" s="9" t="str">
        <x:v>Enregistrer nomination et refus séparément ; un même lit de responsable ne doit pas faire disparaître l’autre PNJ du monde.</x:v>
      </x:c>
      <x:c r="H9" s="9" t="str">
        <x:v>Enregistrer nomination et refus séparément ; un même lit de responsable ne doit pas faire disparaître l’autre PNJ du monde.</x:v>
      </x:c>
      <x:c r="I9" s="9" t="str">
        <x:v>Choix de personnel dans infirmerie.</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me3/choices/doctor ; rattacher les ressources et états cités à cet identifiant. Aucun fichier de jeu créé par ce catalogue.</x:v>
      </x:c>
      <x:c r="M9" s="9" t="str"/>
      <x:c r="N9" s="9" t="str">
        <x:v>Le livrable « Médecin du Normandy » possède une scène ou un scénario de contrôle ; ses règles proposées, ses conditions et ses retours visuels sont vérifiables séparément.</x:v>
      </x:c>
      <x:c r="O9" s="9" t="str"/>
      <x:c r="P9" s="9" t="str">
        <x:v>Médecin du Normandy</x:v>
      </x:c>
      <x:c r="Q9" s="9" t="str">
        <x:v>ME3-SRC-HUERTA</x:v>
      </x:c>
      <x:c r="R9" s="20" t="str">
        <x:v>https://masseffect.fandom.com/wiki/Huerta_Memorial_Hospital</x:v>
      </x:c>
      <x:c r="S9" s="20" t="str">
        <x:v>Spécification à réaliser. Les champs adaptation, gameplay, visual, animation, audio et implementation décrivent le fan game ; ils ne donnent pas des caractéristiques officielles de l’œuvre.</x:v>
      </x:c>
    </x:row>
    <x:row r="10" ht="68" customHeight="1">
      <x:c r="A10" s="19" t="str">
        <x:v>ME3-CHO-KELLY</x:v>
      </x:c>
      <x:c r="B10" s="7" t="str">
        <x:v>Conseils à Kelly</x:v>
      </x:c>
      <x:c r="C10" s="15" t="str">
        <x:v>Défini</x:v>
      </x:c>
      <x:c r="D10" s="17" t="str">
        <x:v>Établi</x:v>
      </x:c>
      <x:c r="E10" s="17" t="str">
        <x:v>P1</x:v>
      </x:c>
      <x:c r="F10" s="7" t="str">
        <x:v>Ses choix de sécurité ont des conséquences.</x:v>
      </x:c>
      <x:c r="G10" s="7" t="str">
        <x:v>Variable de conseil et événement du coup d’État ; réplique nouvelle si identité protégée, aucun effacement sans journal.</x:v>
      </x:c>
      <x:c r="H10" s="7" t="str">
        <x:v>Variable de conseil et événement du coup d’État ; réplique nouvelle si identité protégée, aucun effacement sans journal.</x:v>
      </x:c>
      <x:c r="I10" s="7" t="str">
        <x:v>Refuge et conversation privée.</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me3/choices/kelly ; rattacher les ressources et états cités à cet identifiant. Aucun fichier de jeu créé par ce catalogue.</x:v>
      </x:c>
      <x:c r="M10" s="7" t="str"/>
      <x:c r="N10" s="7" t="str">
        <x:v>Le livrable « Conseils à Kelly » possède une scène ou un scénario de contrôle ; ses règles proposées, ses conditions et ses retours visuels sont vérifiables séparément.</x:v>
      </x:c>
      <x:c r="O10" s="7" t="str"/>
      <x:c r="P10" s="7" t="str">
        <x:v>Conseils à Kelly</x:v>
      </x:c>
      <x:c r="Q10" s="7" t="str">
        <x:v>ME3-SRC-CHAR</x:v>
      </x:c>
      <x:c r="R10" s="21" t="str">
        <x:v>https://masseffect.fandom.com/wiki/Characters/Mass_Effect_3</x:v>
      </x:c>
      <x:c r="S10" s="21" t="str">
        <x:v>Spécification à réaliser. Les champs adaptation, gameplay, visual, animation, audio et implementation décrivent le fan game ; ils ne donnent pas des caractéristiques officielles de l’œuvre.</x:v>
      </x:c>
    </x:row>
    <x:row r="11" ht="68" customHeight="1">
      <x:c r="A11" s="18" t="str">
        <x:v>ME3-CHO-EVE</x:v>
      </x:c>
      <x:c r="B11" s="9" t="str">
        <x:v>Données de Maelon et Eve</x:v>
      </x:c>
      <x:c r="C11" s="15" t="str">
        <x:v>Défini</x:v>
      </x:c>
      <x:c r="D11" s="16" t="str">
        <x:v>Établi</x:v>
      </x:c>
      <x:c r="E11" s="16" t="str">
        <x:v>P1</x:v>
      </x:c>
      <x:c r="F11" s="9" t="str">
        <x:v>L’import influe sur Eve.</x:v>
      </x:c>
      <x:c r="G11" s="9" t="str">
        <x:v>Séparer conservation des données, présence de Mordin et survie d’Eve ; toutes les combinaisons valides disposent d’une scène.</x:v>
      </x:c>
      <x:c r="H11" s="9" t="str">
        <x:v>Séparer conservation des données, présence de Mordin et survie d’Eve ; toutes les combinaisons valides disposent d’une scène.</x:v>
      </x:c>
      <x:c r="I11" s="9" t="str">
        <x:v>Portrait d’Eve et note de laboratoire.</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me3/choices/eve ; rattacher les ressources et états cités à cet identifiant. Aucun fichier de jeu créé par ce catalogue.</x:v>
      </x:c>
      <x:c r="M11" s="9" t="str"/>
      <x:c r="N11" s="9" t="str">
        <x:v>Le livrable « Données de Maelon et Eve » possède une scène ou un scénario de contrôle ; ses règles proposées, ses conditions et ses retours visuels sont vérifiables séparément.</x:v>
      </x:c>
      <x:c r="O11" s="9" t="str"/>
      <x:c r="P11" s="9" t="str">
        <x:v>Données de Maelon et Eve</x:v>
      </x:c>
      <x:c r="Q11" s="9" t="str">
        <x:v>ME3-SRC-TUCH</x:v>
      </x:c>
      <x:c r="R11" s="20" t="str">
        <x:v>https://masseffect.fandom.com/wiki/Priority%3A_Tuchanka</x:v>
      </x:c>
      <x:c r="S11" s="20" t="str">
        <x:v>Spécification à réaliser. Les champs adaptation, gameplay, visual, animation, audio et implementation décrivent le fan game ; ils ne donnent pas des caractéristiques officielles de l’œuvre.</x:v>
      </x:c>
    </x:row>
    <x:row r="12" ht="68" customHeight="1">
      <x:c r="A12" s="19" t="str">
        <x:v>ME3-CHO-REVEAL-SABOTAGE</x:v>
      </x:c>
      <x:c r="B12" s="7" t="str">
        <x:v>Révéler l’offre de sabotage</x:v>
      </x:c>
      <x:c r="C12" s="15" t="str">
        <x:v>Défini</x:v>
      </x:c>
      <x:c r="D12" s="17" t="str">
        <x:v>Établi</x:v>
      </x:c>
      <x:c r="E12" s="17" t="str">
        <x:v>P1</x:v>
      </x:c>
      <x:c r="F12" s="7" t="str">
        <x:v>Le secret influe sur Tuchanka.</x:v>
      </x:c>
      <x:c r="G12" s="7" t="str">
        <x:v>Choix de révélation à plusieurs fenêtres ; une révélation antérieure bloque les dialogues prétendant encore un secret.</x:v>
      </x:c>
      <x:c r="H12" s="7" t="str">
        <x:v>Choix de révélation à plusieurs fenêtres ; une révélation antérieure bloque les dialogues prétendant encore un secret.</x:v>
      </x:c>
      <x:c r="I12" s="7" t="str">
        <x:v>Conversation de trajet ou sommet.</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me3/choices/reveal-sabotage ; rattacher les ressources et états cités à cet identifiant. Aucun fichier de jeu créé par ce catalogue.</x:v>
      </x:c>
      <x:c r="M12" s="7" t="str"/>
      <x:c r="N12" s="7" t="str">
        <x:v>Le livrable « Révéler l’offre de sabotage » possède une scène ou un scénario de contrôle ; ses règles proposées, ses conditions et ses retours visuels sont vérifiables séparément.</x:v>
      </x:c>
      <x:c r="O12" s="7" t="str"/>
      <x:c r="P12" s="7" t="str">
        <x:v>Révéler l’offre de sabotage</x:v>
      </x:c>
      <x:c r="Q12" s="7" t="str">
        <x:v>ME3-SRC-TUCH</x:v>
      </x:c>
      <x:c r="R12" s="21" t="str">
        <x:v>https://masseffect.fandom.com/wiki/Priority%3A_Tuchanka</x:v>
      </x:c>
      <x:c r="S12" s="21" t="str">
        <x:v>Spécification à réaliser. Les champs adaptation, gameplay, visual, animation, audio et implementation décrivent le fan game ; ils ne donnent pas des caractéristiques officielles de l’œuvre.</x:v>
      </x:c>
    </x:row>
    <x:row r="13" ht="68" customHeight="1">
      <x:c r="A13" s="18" t="str">
        <x:v>ME3-CHO-CURE</x:v>
      </x:c>
      <x:c r="B13" s="9" t="str">
        <x:v>Remède effectif ou sabotage</x:v>
      </x:c>
      <x:c r="C13" s="15" t="str">
        <x:v>Défini</x:v>
      </x:c>
      <x:c r="D13" s="16" t="str">
        <x:v>Établi</x:v>
      </x:c>
      <x:c r="E13" s="16" t="str">
        <x:v>P1</x:v>
      </x:c>
      <x:c r="F13" s="9" t="str">
        <x:v>Tuchanka offre des issues divergentes.</x:v>
      </x:c>
      <x:c r="G13" s="9" t="str">
        <x:v>Décision finale rattachée au monde et au savant ; bénéfices politiques et conséquences personnelles restent des états séparés.</x:v>
      </x:c>
      <x:c r="H13" s="9" t="str">
        <x:v>Décision finale rattachée au monde et au savant ; bénéfices politiques et conséquences personnelles restent des états séparés.</x:v>
      </x:c>
      <x:c r="I13" s="9" t="str">
        <x:v>Shroud et hologrammes d’alliés.</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me3/choices/cure ; rattacher les ressources et états cités à cet identifiant. Aucun fichier de jeu créé par ce catalogue.</x:v>
      </x:c>
      <x:c r="M13" s="9" t="str"/>
      <x:c r="N13" s="9" t="str">
        <x:v>Le livrable « Remède effectif ou sabotage » possède une scène ou un scénario de contrôle ; ses règles proposées, ses conditions et ses retours visuels sont vérifiables séparément.</x:v>
      </x:c>
      <x:c r="O13" s="9" t="str"/>
      <x:c r="P13" s="9" t="str">
        <x:v>Remède effectif ou sabotage</x:v>
      </x:c>
      <x:c r="Q13" s="9" t="str">
        <x:v>ME3-SRC-TUCH</x:v>
      </x:c>
      <x:c r="R13" s="20" t="str">
        <x:v>https://masseffect.fandom.com/wiki/Priority%3A_Tuchanka</x:v>
      </x:c>
      <x:c r="S13" s="20" t="str">
        <x:v>Spécification à réaliser. Les champs adaptation, gameplay, visual, animation, audio et implementation décrivent le fan game ; ils ne donnent pas des caractéristiques officielles de l’œuvre.</x:v>
      </x:c>
    </x:row>
    <x:row r="14" ht="82" customHeight="1">
      <x:c r="A14" s="19" t="str">
        <x:v>ME3-CHO-MORDIN-SURVIVE</x:v>
      </x:c>
      <x:c r="B14" s="7" t="str">
        <x:v>Issue exceptionnelle de Mordin</x:v>
      </x:c>
      <x:c r="C14" s="15" t="str">
        <x:v>Défini</x:v>
      </x:c>
      <x:c r="D14" s="17" t="str">
        <x:v>Établi</x:v>
      </x:c>
      <x:c r="E14" s="17" t="str">
        <x:v>P1</x:v>
      </x:c>
      <x:c r="F14" s="7" t="str">
        <x:v>Sa survie exige des conditions précises.</x:v>
      </x:c>
      <x:c r="G14" s="7" t="str">
        <x:v>Branche de persuasion seulement avec Wrex et Eve morts et secret compatible ; vérifier l’ensemble exact en jeu avant reproduction fidèle.</x:v>
      </x:c>
      <x:c r="H14" s="7" t="str">
        <x:v>Branche de persuasion seulement avec Wrex et Eve morts et secret compatible ; vérifier l’ensemble exact en jeu avant reproduction fidèle.</x:v>
      </x:c>
      <x:c r="I14" s="7" t="str">
        <x:v>Ascenseur du Shroud et départ discret.</x:v>
      </x:c>
      <x:c r="J14" s="7" t="str">
        <x:v>Prévoir chaque variante de scène comme état nommé ; lecture, interruption et saut appliquent exactement les mêmes décisions et positions finales. Ascenseur du Shroud et départ discret.</x:v>
      </x:c>
      <x:c r="K14" s="7" t="str">
        <x:v>Dialogues originaux enregistrés par branche, nom du locuteur et sous-titres ; couper les répliques de personnages absents avant mixage, préserver les alertes utiles pendant les transitions.</x:v>
      </x:c>
      <x:c r="L14" s="7" t="str">
        <x:v>Prévu : fiche de données me3/choices/mordin-survive ; rattacher les ressources et états cités à cet identifiant. Aucun fichier de jeu créé par ce catalogue.</x:v>
      </x:c>
      <x:c r="M14" s="7" t="str">
        <x:v>Survie ME2 ; variantes de dialogue à revérifier.</x:v>
      </x:c>
      <x:c r="N14" s="7" t="str">
        <x:v>Tester Wrex vivant, Eve vivante et sabotage révélé séparément : chacun doit bloquer la branche exceptionnelle correspondante. Tester le cas admissible puis vérifier absence de scène de mort et attribution correcte de sa contribution.</x:v>
      </x:c>
      <x:c r="O14" s="7" t="str"/>
      <x:c r="P14" s="7" t="str">
        <x:v>Issue exceptionnelle de Mordin</x:v>
      </x:c>
      <x:c r="Q14" s="7" t="str">
        <x:v>ME3-SRC-TUCH</x:v>
      </x:c>
      <x:c r="R14" s="21" t="str">
        <x:v>https://masseffect.fandom.com/wiki/Priority%3A_Tuchanka</x:v>
      </x:c>
      <x:c r="S14" s="21" t="str">
        <x:v>Spécification à réaliser. Les champs adaptation, gameplay, visual, animation, audio et implementation décrivent le fan game ; ils ne donnent pas des caractéristiques officielles de l’œuvre.</x:v>
      </x:c>
    </x:row>
    <x:row r="15" ht="68" customHeight="1">
      <x:c r="A15" s="18" t="str">
        <x:v>ME3-CHO-WIKS</x:v>
      </x:c>
      <x:c r="B15" s="9" t="str">
        <x:v>Résolution avec Padok Wiks</x:v>
      </x:c>
      <x:c r="C15" s="15" t="str">
        <x:v>Défini</x:v>
      </x:c>
      <x:c r="D15" s="16" t="str">
        <x:v>Établi</x:v>
      </x:c>
      <x:c r="E15" s="16" t="str">
        <x:v>P1</x:v>
      </x:c>
      <x:c r="F15" s="9" t="str">
        <x:v>Wiks remplace Mordin si nécessaire.</x:v>
      </x:c>
      <x:c r="G15" s="9" t="str">
        <x:v>Graphe propre au scientifique ; ne pas réutiliser automatiquement les conditions émotionnelles de Mordin.</x:v>
      </x:c>
      <x:c r="H15" s="9" t="str">
        <x:v>Graphe propre au scientifique ; ne pas réutiliser automatiquement les conditions émotionnelles de Mordin.</x:v>
      </x:c>
      <x:c r="I15" s="9" t="str">
        <x:v>Portrait galarien et salle du Shroud.</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me3/choices/wiks ; rattacher les ressources et états cités à cet identifiant. Aucun fichier de jeu créé par ce catalogue.</x:v>
      </x:c>
      <x:c r="M15" s="9" t="str">
        <x:v>Mordin absent.</x:v>
      </x:c>
      <x:c r="N15" s="9" t="str">
        <x:v>Le livrable « Résolution avec Padok Wiks » possède une scène ou un scénario de contrôle ; ses règles proposées, ses conditions et ses retours visuels sont vérifiables séparément.</x:v>
      </x:c>
      <x:c r="O15" s="9" t="str"/>
      <x:c r="P15" s="9" t="str">
        <x:v>Résolution avec Padok Wiks</x:v>
      </x:c>
      <x:c r="Q15" s="9" t="str">
        <x:v>ME3-SRC-TUCH</x:v>
      </x:c>
      <x:c r="R15" s="20" t="str">
        <x:v>https://masseffect.fandom.com/wiki/Priority%3A_Tuchanka</x:v>
      </x:c>
      <x:c r="S15" s="20" t="str">
        <x:v>Spécification à réaliser. Les champs adaptation, gameplay, visual, animation, audio et implementation décrivent le fan game ; ils ne donnent pas des caractéristiques officielles de l’œuvre.</x:v>
      </x:c>
    </x:row>
    <x:row r="16" ht="68" customHeight="1">
      <x:c r="A16" s="19" t="str">
        <x:v>ME3-CHO-RACHNI</x:v>
      </x:c>
      <x:c r="B16" s="7" t="str">
        <x:v>Reine rachni ou substitut</x:v>
      </x:c>
      <x:c r="C16" s="15" t="str">
        <x:v>Défini</x:v>
      </x:c>
      <x:c r="D16" s="17" t="str">
        <x:v>Établi</x:v>
      </x:c>
      <x:c r="E16" s="17" t="str">
        <x:v>P1</x:v>
      </x:c>
      <x:c r="F16" s="7" t="str">
        <x:v>Le passé modifie l’identité de la captive.</x:v>
      </x:c>
      <x:c r="G16" s="7" t="str">
        <x:v>Deux identités différentes, deux conséquences distinctes ; sauver la reine synthétique n’est pas sauvetage de la reine de ME1.</x:v>
      </x:c>
      <x:c r="H16" s="7" t="str">
        <x:v>Deux identités différentes, deux conséquences distinctes ; sauver la reine synthétique n’est pas sauvetage de la reine de ME1.</x:v>
      </x:c>
      <x:c r="I16" s="7" t="str">
        <x:v>Prison organique et identification préalable.</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me3/choices/rachni ; rattacher les ressources et états cités à cet identifiant. Aucun fichier de jeu créé par ce catalogue.</x:v>
      </x:c>
      <x:c r="M16" s="7" t="str"/>
      <x:c r="N16" s="7" t="str">
        <x:v>Le livrable « Reine rachni ou substitut » possède une scène ou un scénario de contrôle ; ses règles proposées, ses conditions et ses retours visuels sont vérifiables séparément.</x:v>
      </x:c>
      <x:c r="O16" s="7" t="str"/>
      <x:c r="P16" s="7" t="str">
        <x:v>Reine rachni ou substitut</x:v>
      </x:c>
      <x:c r="Q16" s="7" t="str">
        <x:v>ME3-SRC-RACHNI, ME3-SRC-WAR-KROGAN</x:v>
      </x:c>
      <x:c r="R16" s="21" t="str">
        <x:v>https://masseffect.fandom.com/wiki/Attican_Traverse%3A_Krogan_Team
https://masseffect.fandom.com/wiki/War_Assets/Krogan</x:v>
      </x:c>
      <x:c r="S16" s="21" t="str">
        <x:v>Spécification à réaliser. Les champs adaptation, gameplay, visual, animation, audio et implementation décrivent le fan game ; ils ne donnent pas des caractéristiques officielles de l’œuvre.</x:v>
      </x:c>
    </x:row>
    <x:row r="17" ht="68" customHeight="1">
      <x:c r="A17" s="18" t="str">
        <x:v>ME3-CHO-GRUNT</x:v>
      </x:c>
      <x:c r="B17" s="9" t="str">
        <x:v>Destin de l’équipe de Grunt</x:v>
      </x:c>
      <x:c r="C17" s="15" t="str">
        <x:v>Défini</x:v>
      </x:c>
      <x:c r="D17" s="16" t="str">
        <x:v>Établi</x:v>
      </x:c>
      <x:c r="E17" s="16" t="str">
        <x:v>P1</x:v>
      </x:c>
      <x:c r="F17" s="9" t="str">
        <x:v>Sa présence et son passé comptent.</x:v>
      </x:c>
      <x:c r="G17" s="9" t="str">
        <x:v>Tester import, loyauté et décision de sauvetage ; narration ne suppose pas qu’il mène toujours l’équipe.</x:v>
      </x:c>
      <x:c r="H17" s="9" t="str">
        <x:v>Tester import, loyauté et décision de sauvetage ; narration ne suppose pas qu’il mène toujours l’équipe.</x:v>
      </x:c>
      <x:c r="I17" s="9" t="str">
        <x:v>Tunnel et sortie après combat.</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me3/choices/grunt ; rattacher les ressources et états cités à cet identifiant. Aucun fichier de jeu créé par ce catalogue.</x:v>
      </x:c>
      <x:c r="M17" s="9" t="str"/>
      <x:c r="N17" s="9" t="str">
        <x:v>Le livrable « Destin de l’équipe de Grunt » possède une scène ou un scénario de contrôle ; ses règles proposées, ses conditions et ses retours visuels sont vérifiables séparément.</x:v>
      </x:c>
      <x:c r="O17" s="9" t="str"/>
      <x:c r="P17" s="9" t="str">
        <x:v>Destin de l’équipe de Grunt</x:v>
      </x:c>
      <x:c r="Q17" s="9" t="str">
        <x:v>ME3-SRC-RACHNI</x:v>
      </x:c>
      <x:c r="R17" s="20" t="str">
        <x:v>https://masseffect.fandom.com/wiki/Attican_Traverse%3A_Krogan_Team</x:v>
      </x:c>
      <x:c r="S17" s="20" t="str">
        <x:v>Spécification à réaliser. Les champs adaptation, gameplay, visual, animation, audio et implementation décrivent le fan game ; ils ne donnent pas des caractéristiques officielles de l’œuvre.</x:v>
      </x:c>
    </x:row>
    <x:row r="18" ht="68" customHeight="1">
      <x:c r="A18" s="19" t="str">
        <x:v>ME3-CHO-STUDENTS</x:v>
      </x:c>
      <x:c r="B18" s="7" t="str">
        <x:v>Affectation des élèves de Grissom</x:v>
      </x:c>
      <x:c r="C18" s="15" t="str">
        <x:v>Défini</x:v>
      </x:c>
      <x:c r="D18" s="17" t="str">
        <x:v>Établi</x:v>
      </x:c>
      <x:c r="E18" s="17" t="str">
        <x:v>P1</x:v>
      </x:c>
      <x:c r="F18" s="7" t="str">
        <x:v>Les élèves contribuent à la guerre.</x:v>
      </x:c>
      <x:c r="G18" s="7" t="str">
        <x:v>Présenter soutien ou rôle offensif selon options de mission ; recrutement ne conditionne pas rétroactivement le sauvetage.</x:v>
      </x:c>
      <x:c r="H18" s="7" t="str">
        <x:v>Présenter soutien ou rôle offensif selon options de mission ; recrutement ne conditionne pas rétroactivement le sauvetage.</x:v>
      </x:c>
      <x:c r="I18" s="7" t="str">
        <x:v>Débriefing d’évacuation.</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me3/choices/students ; rattacher les ressources et états cités à cet identifiant. Aucun fichier de jeu créé par ce catalogue.</x:v>
      </x:c>
      <x:c r="M18" s="7" t="str"/>
      <x:c r="N18" s="7" t="str">
        <x:v>Le livrable « Affectation des élèves de Grissom » possède une scène ou un scénario de contrôle ; ses règles proposées, ses conditions et ses retours visuels sont vérifiables séparément.</x:v>
      </x:c>
      <x:c r="O18" s="7" t="str"/>
      <x:c r="P18" s="7" t="str">
        <x:v>Affectation des élèves de Grissom</x:v>
      </x:c>
      <x:c r="Q18" s="7" t="str">
        <x:v>ME3-SRC-GRISSOM</x:v>
      </x:c>
      <x:c r="R18" s="21" t="str">
        <x:v>https://masseffect.fandom.com/wiki/Grissom_Academy%3A_Emergency_Evacuation</x:v>
      </x:c>
      <x:c r="S18" s="21" t="str">
        <x:v>Spécification à réaliser. Les champs adaptation, gameplay, visual, animation, audio et implementation décrivent le fan game ; ils ne donnent pas des caractéristiques officielles de l’œuvre.</x:v>
      </x:c>
    </x:row>
    <x:row r="19" ht="68" customHeight="1">
      <x:c r="A19" s="18" t="str">
        <x:v>ME3-CHO-SAMARA</x:v>
      </x:c>
      <x:c r="B19" s="9" t="str">
        <x:v>Intervenir au monastère</x:v>
      </x:c>
      <x:c r="C19" s="15" t="str">
        <x:v>Défini</x:v>
      </x:c>
      <x:c r="D19" s="16" t="str">
        <x:v>Établi</x:v>
      </x:c>
      <x:c r="E19" s="16" t="str">
        <x:v>P1</x:v>
      </x:c>
      <x:c r="F19" s="9" t="str">
        <x:v>Une intervention peut sauver Samara.</x:v>
      </x:c>
      <x:c r="G19" s="9" t="str">
        <x:v>Fenêtre suspendable et alternative de choix non chronométré ; gérer Falere dans la branche où l’intervention manque.</x:v>
      </x:c>
      <x:c r="H19" s="9" t="str">
        <x:v>Fenêtre suspendable et alternative de choix non chronométré ; gérer Falere dans la branche où l’intervention manque.</x:v>
      </x:c>
      <x:c r="I19" s="9" t="str">
        <x:v>Plan rapproché mains/arme et Falere.</x:v>
      </x:c>
      <x:c r="J19" s="9" t="str">
        <x:v>Transitions de caméra et d’interface interruptibles ; aucun délai d’animation ne doit consommer une décision encore ouverte.</x:v>
      </x:c>
      <x:c r="K19" s="9" t="str">
        <x:v>Créer des bruitages et ambiances originaux adaptés au livrable ; sous-titrer les indices utiles et proposer un réglage indépendant des effets. Aucune extraction audio demandée.</x:v>
      </x:c>
      <x:c r="L19" s="9" t="str">
        <x:v>Prévu : fiche de données me3/choices/samara ; rattacher les ressources et états cités à cet identifiant. Aucun fichier de jeu créé par ce catalogue.</x:v>
      </x:c>
      <x:c r="M19" s="9" t="str">
        <x:v>Samara vivante.</x:v>
      </x:c>
      <x:c r="N19" s="9" t="str">
        <x:v>Le livrable « Intervenir au monastère » possède une scène ou un scénario de contrôle ; ses règles proposées, ses conditions et ses retours visuels sont vérifiables séparément.</x:v>
      </x:c>
      <x:c r="O19" s="9" t="str"/>
      <x:c r="P19" s="9" t="str">
        <x:v>Intervenir au monastère</x:v>
      </x:c>
      <x:c r="Q19" s="9" t="str">
        <x:v>ME3-SRC-KALLINI</x:v>
      </x:c>
      <x:c r="R19" s="20" t="str">
        <x:v>https://masseffect.fandom.com/wiki/Kallini%3A_Ardat-Yakshi_Monastery</x:v>
      </x:c>
      <x:c r="S19" s="20" t="str">
        <x:v>Spécification à réaliser. Les champs adaptation, gameplay, visual, animation, audio et implementation décrivent le fan game ; ils ne donnent pas des caractéristiques officielles de l’œuvre.</x:v>
      </x:c>
    </x:row>
    <x:row r="20" ht="68" customHeight="1">
      <x:c r="A20" s="19" t="str">
        <x:v>ME3-CHO-KORIS</x:v>
      </x:c>
      <x:c r="B20" s="7" t="str">
        <x:v>Sauvetage de Koris</x:v>
      </x:c>
      <x:c r="C20" s="15" t="str">
        <x:v>Défini</x:v>
      </x:c>
      <x:c r="D20" s="17" t="str">
        <x:v>Établi</x:v>
      </x:c>
      <x:c r="E20" s="17" t="str">
        <x:v>P1</x:v>
      </x:c>
      <x:c r="F20" s="7" t="str">
        <x:v>La mission de Rannoch permet des choix.</x:v>
      </x:c>
      <x:c r="G20" s="7" t="str">
        <x:v>Isoler décision de secours, présence de l’amiral et bilan quarian ; ne pas déduire paix d’un seul drapeau.</x:v>
      </x:c>
      <x:c r="H20" s="7" t="str">
        <x:v>Isoler décision de secours, présence de l’amiral et bilan quarian ; ne pas déduire paix d’un seul drapeau.</x:v>
      </x:c>
      <x:c r="I20" s="7" t="str">
        <x:v>Radio et point d’extraction.</x:v>
      </x:c>
      <x:c r="J20" s="7" t="str">
        <x:v>Transitions de caméra et d’interface interruptibles ; aucun délai d’animation ne doit consommer une décision encore ouverte.</x:v>
      </x:c>
      <x:c r="K20" s="7" t="str">
        <x:v>Créer des bruitages et ambiances originaux adaptés au livrable ; sous-titrer les indices utiles et proposer un réglage indépendant des effets. Aucune extraction audio demandée.</x:v>
      </x:c>
      <x:c r="L20" s="7" t="str">
        <x:v>Prévu : fiche de données me3/choices/koris ; rattacher les ressources et états cités à cet identifiant. Aucun fichier de jeu créé par ce catalogue.</x:v>
      </x:c>
      <x:c r="M20" s="7" t="str"/>
      <x:c r="N20" s="7" t="str">
        <x:v>Le livrable « Sauvetage de Koris » possède une scène ou un scénario de contrôle ; ses règles proposées, ses conditions et ses retours visuels sont vérifiables séparément.</x:v>
      </x:c>
      <x:c r="O20" s="7" t="str"/>
      <x:c r="P20" s="7" t="str">
        <x:v>Sauvetage de Koris</x:v>
      </x:c>
      <x:c r="Q20" s="7" t="str">
        <x:v>ME3-SRC-RANNOCH</x:v>
      </x:c>
      <x:c r="R20" s="21" t="str">
        <x:v>https://masseffect.fandom.com/wiki/Priority%3A_Rannoch</x:v>
      </x:c>
      <x:c r="S20" s="21" t="str">
        <x:v>Spécification à réaliser. Les champs adaptation, gameplay, visual, animation, audio et implementation décrivent le fan game ; ils ne donnent pas des caractéristiques officielles de l’œuvre.</x:v>
      </x:c>
    </x:row>
    <x:row r="21" ht="82" customHeight="1">
      <x:c r="A21" s="18" t="str">
        <x:v>ME3-CHO-PEACE</x:v>
      </x:c>
      <x:c r="B21" s="9" t="str">
        <x:v>Paix geth/quariens</x:v>
      </x:c>
      <x:c r="C21" s="15" t="str">
        <x:v>Défini</x:v>
      </x:c>
      <x:c r="D21" s="16" t="str">
        <x:v>Établi</x:v>
      </x:c>
      <x:c r="E21" s="16" t="str">
        <x:v>P1</x:v>
      </x:c>
      <x:c r="F21" s="9" t="str">
        <x:v>Une issue de coexistence est conditionnelle.</x:v>
      </x:c>
      <x:c r="G21" s="9" t="str">
        <x:v>Évaluateur lisible par provenance : passé ME2, Tali/Legion et missions de Rannoch ; aucun seuil numérique non vérifié.</x:v>
      </x:c>
      <x:c r="H21" s="9" t="str">
        <x:v>Évaluateur lisible par provenance : passé ME2, Tali/Legion et missions de Rannoch ; aucun seuil numérique non vérifié.</x:v>
      </x:c>
      <x:c r="I21" s="9" t="str">
        <x:v>Flottes, portraits et route de dialogue verrouillée.</x:v>
      </x:c>
      <x:c r="J21" s="9" t="str">
        <x:v>Prévoir chaque variante de scène comme état nommé ; lecture, interruption et saut appliquent exactement les mêmes décisions et positions finales. Flottes, portraits et route de dialogue verrouillée.</x:v>
      </x:c>
      <x:c r="K21" s="9" t="str">
        <x:v>Dialogues originaux enregistrés par branche, nom du locuteur et sous-titres ; couper les répliques de personnages absents avant mixage, préserver les alertes utiles pendant les transitions.</x:v>
      </x:c>
      <x:c r="L21" s="9" t="str">
        <x:v>Prévu : fiche de données me3/choices/peace ; rattacher les ressources et états cités à cet identifiant. Aucun fichier de jeu créé par ce catalogue.</x:v>
      </x:c>
      <x:c r="M21" s="9" t="str"/>
      <x:c r="N21" s="9" t="str">
        <x:v>Tester sauvegardes satisfaisant tous les prérequis puis retirer chacun à tour de rôle ; aucune paix avec Tali ou Legion absents si la table de référence l’exclut. Pas de seuil numérique reconstitué sans preuve.</x:v>
      </x:c>
      <x:c r="O21" s="9" t="str"/>
      <x:c r="P21" s="9" t="str">
        <x:v>Paix geth/quariens</x:v>
      </x:c>
      <x:c r="Q21" s="9" t="str">
        <x:v>ME3-SRC-RANNOCH, ME3-SRC-FIGHTERS</x:v>
      </x:c>
      <x:c r="R21" s="20" t="str">
        <x:v>https://masseffect.fandom.com/wiki/Priority%3A_Rannoch
https://masseffect.fandom.com/wiki/Rannoch%3A_Geth_Fighter_Squadrons</x:v>
      </x:c>
      <x:c r="S21" s="20" t="str">
        <x:v>Spécification à réaliser. Les champs adaptation, gameplay, visual, animation, audio et implementation décrivent le fan game ; ils ne donnent pas des caractéristiques officielles de l’œuvre.</x:v>
      </x:c>
    </x:row>
    <x:row r="22" ht="68" customHeight="1">
      <x:c r="A22" s="19" t="str">
        <x:v>ME3-CHO-GETH-UPDATE</x:v>
      </x:c>
      <x:c r="B22" s="7" t="str">
        <x:v>Accepter ou refuser la mise à jour geth</x:v>
      </x:c>
      <x:c r="C22" s="15" t="str">
        <x:v>Défini</x:v>
      </x:c>
      <x:c r="D22" s="17" t="str">
        <x:v>Établi</x:v>
      </x:c>
      <x:c r="E22" s="17" t="str">
        <x:v>P1</x:v>
      </x:c>
      <x:c r="F22" s="7" t="str">
        <x:v>La conclusion Rannoch diverge.</x:v>
      </x:c>
      <x:c r="G22" s="7" t="str">
        <x:v>Deux résolutions incompatibles, éventuelle médiation avant combat ; maintenir état de Tali et Legion cohérent jusqu’à l’épilogue.</x:v>
      </x:c>
      <x:c r="H22" s="7" t="str">
        <x:v>Deux résolutions incompatibles, éventuelle médiation avant combat ; maintenir état de Tali et Legion cohérent jusqu’à l’épilogue.</x:v>
      </x:c>
      <x:c r="I22" s="7" t="str">
        <x:v>Lien geth et navires quariens.</x:v>
      </x:c>
      <x:c r="J22" s="7" t="str">
        <x:v>Transitions de caméra et d’interface interruptibles ; aucun délai d’animation ne doit consommer une décision encore ouverte.</x:v>
      </x:c>
      <x:c r="K22" s="7" t="str">
        <x:v>Créer des bruitages et ambiances originaux adaptés au livrable ; sous-titrer les indices utiles et proposer un réglage indépendant des effets. Aucune extraction audio demandée.</x:v>
      </x:c>
      <x:c r="L22" s="7" t="str">
        <x:v>Prévu : fiche de données me3/choices/geth-update ; rattacher les ressources et états cités à cet identifiant. Aucun fichier de jeu créé par ce catalogue.</x:v>
      </x:c>
      <x:c r="M22" s="7" t="str"/>
      <x:c r="N22" s="7" t="str">
        <x:v>Le livrable « Accepter ou refuser la mise à jour geth » possède une scène ou un scénario de contrôle ; ses règles proposées, ses conditions et ses retours visuels sont vérifiables séparément.</x:v>
      </x:c>
      <x:c r="O22" s="7" t="str"/>
      <x:c r="P22" s="7" t="str">
        <x:v>Accepter ou refuser la mise à jour geth</x:v>
      </x:c>
      <x:c r="Q22" s="7" t="str">
        <x:v>ME3-SRC-RANNOCH</x:v>
      </x:c>
      <x:c r="R22" s="21" t="str">
        <x:v>https://masseffect.fandom.com/wiki/Priority%3A_Rannoch</x:v>
      </x:c>
      <x:c r="S22" s="21" t="str">
        <x:v>Spécification à réaliser. Les champs adaptation, gameplay, visual, animation, audio et implementation décrivent le fan game ; ils ne donnent pas des caractéristiques officielles de l’œuvre.</x:v>
      </x:c>
    </x:row>
    <x:row r="23" ht="68" customHeight="1">
      <x:c r="A23" s="18" t="str">
        <x:v>ME3-CHO-MIRANDA</x:v>
      </x:c>
      <x:c r="B23" s="9" t="str">
        <x:v>Aide et survie de Miranda</x:v>
      </x:c>
      <x:c r="C23" s="15" t="str">
        <x:v>Défini</x:v>
      </x:c>
      <x:c r="D23" s="16" t="str">
        <x:v>Établi</x:v>
      </x:c>
      <x:c r="E23" s="16" t="str">
        <x:v>P1</x:v>
      </x:c>
      <x:c r="F23" s="9" t="str">
        <x:v>Plusieurs rencontres influencent Horizon.</x:v>
      </x:c>
      <x:c r="G23" s="9" t="str">
        <x:v>Suivre avertissement, aide et relation importée séparément ; une rencontre manquée ne devient pas aide reçue par défaut.</x:v>
      </x:c>
      <x:c r="H23" s="9" t="str">
        <x:v>Suivre avertissement, aide et relation importée séparément ; une rencontre manquée ne devient pas aide reçue par défaut.</x:v>
      </x:c>
      <x:c r="I23" s="9" t="str">
        <x:v>Messages, appartement et Sanctuary.</x:v>
      </x:c>
      <x:c r="J23" s="9" t="str">
        <x:v>Transitions de caméra et d’interface interruptibles ; aucun délai d’animation ne doit consommer une décision encore ouverte.</x:v>
      </x:c>
      <x:c r="K23" s="9" t="str">
        <x:v>Créer des bruitages et ambiances originaux adaptés au livrable ; sous-titrer les indices utiles et proposer un réglage indépendant des effets. Aucune extraction audio demandée.</x:v>
      </x:c>
      <x:c r="L23" s="9" t="str">
        <x:v>Prévu : fiche de données me3/choices/miranda ; rattacher les ressources et états cités à cet identifiant. Aucun fichier de jeu créé par ce catalogue.</x:v>
      </x:c>
      <x:c r="M23" s="9" t="str">
        <x:v>Miranda vivante après ME2.</x:v>
      </x:c>
      <x:c r="N23" s="9" t="str">
        <x:v>Le livrable « Aide et survie de Miranda » possède une scène ou un scénario de contrôle ; ses règles proposées, ses conditions et ses retours visuels sont vérifiables séparément.</x:v>
      </x:c>
      <x:c r="O23" s="9" t="str"/>
      <x:c r="P23" s="9" t="str">
        <x:v>Aide et survie de Miranda</x:v>
      </x:c>
      <x:c r="Q23" s="9" t="str">
        <x:v>ME3-SRC-HORIZON</x:v>
      </x:c>
      <x:c r="R23" s="20" t="str">
        <x:v>https://masseffect.fandom.com/wiki/Priority%3A_Horizon</x:v>
      </x:c>
      <x:c r="S23" s="20" t="str">
        <x:v>Spécification à réaliser. Les champs adaptation, gameplay, visual, animation, audio et implementation décrivent le fan game ; ils ne donnent pas des caractéristiques officielles de l’œuvre.</x:v>
      </x:c>
    </x:row>
    <x:row r="24" ht="68" customHeight="1">
      <x:c r="A24" s="19" t="str">
        <x:v>ME3-CHO-ORIANA</x:v>
      </x:c>
      <x:c r="B24" s="7" t="str">
        <x:v>Confrontation avec Henry Lawson</x:v>
      </x:c>
      <x:c r="C24" s="15" t="str">
        <x:v>Défini</x:v>
      </x:c>
      <x:c r="D24" s="17" t="str">
        <x:v>Établi</x:v>
      </x:c>
      <x:c r="E24" s="17" t="str">
        <x:v>P1</x:v>
      </x:c>
      <x:c r="F24" s="7" t="str">
        <x:v>Horizon conclut l’arc familial.</x:v>
      </x:c>
      <x:c r="G24" s="7" t="str">
        <x:v>Dialogue et intervention ont des variantes ; Oriana, Henry et Miranda reçoivent des états propres après la scène.</x:v>
      </x:c>
      <x:c r="H24" s="7" t="str">
        <x:v>Dialogue et intervention ont des variantes ; Oriana, Henry et Miranda reçoivent des états propres après la scène.</x:v>
      </x:c>
      <x:c r="I24" s="7" t="str">
        <x:v>Baie de Sanctuary.</x:v>
      </x:c>
      <x:c r="J24" s="7" t="str">
        <x:v>Transitions de caméra et d’interface interruptibles ; aucun délai d’animation ne doit consommer une décision encore ouverte.</x:v>
      </x:c>
      <x:c r="K24" s="7" t="str">
        <x:v>Créer des bruitages et ambiances originaux adaptés au livrable ; sous-titrer les indices utiles et proposer un réglage indépendant des effets. Aucune extraction audio demandée.</x:v>
      </x:c>
      <x:c r="L24" s="7" t="str">
        <x:v>Prévu : fiche de données me3/choices/oriana ; rattacher les ressources et états cités à cet identifiant. Aucun fichier de jeu créé par ce catalogue.</x:v>
      </x:c>
      <x:c r="M24" s="7" t="str"/>
      <x:c r="N24" s="7" t="str">
        <x:v>Le livrable « Confrontation avec Henry Lawson » possède une scène ou un scénario de contrôle ; ses règles proposées, ses conditions et ses retours visuels sont vérifiables séparément.</x:v>
      </x:c>
      <x:c r="O24" s="7" t="str"/>
      <x:c r="P24" s="7" t="str">
        <x:v>Confrontation avec Henry Lawson</x:v>
      </x:c>
      <x:c r="Q24" s="7" t="str">
        <x:v>ME3-SRC-HORIZON</x:v>
      </x:c>
      <x:c r="R24" s="21" t="str">
        <x:v>https://masseffect.fandom.com/wiki/Priority%3A_Horizon</x:v>
      </x:c>
      <x:c r="S24" s="21" t="str">
        <x:v>Spécification à réaliser. Les champs adaptation, gameplay, visual, animation, audio et implementation décrivent le fan game ; ils ne donnent pas des caractéristiques officielles de l’œuvre.</x:v>
      </x:c>
    </x:row>
    <x:row r="25" ht="68" customHeight="1">
      <x:c r="A25" s="18" t="str">
        <x:v>ME3-CHO-LEVIATHAN-ANN</x:v>
      </x:c>
      <x:c r="B25" s="9" t="str">
        <x:v>Interrogation d’Ann</x:v>
      </x:c>
      <x:c r="C25" s="15" t="str">
        <x:v>Défini</x:v>
      </x:c>
      <x:c r="D25" s="16" t="str">
        <x:v>Établi</x:v>
      </x:c>
      <x:c r="E25" s="16" t="str">
        <x:v>P1</x:v>
      </x:c>
      <x:c r="F25" s="9" t="str">
        <x:v>L’enquête peut pousser Ann au risque.</x:v>
      </x:c>
      <x:c r="G25" s="9" t="str">
        <x:v>Afficher caractère insistant du choix et résultat d’indice ; pas de jauge médicale inventée présentée comme règle originale.</x:v>
      </x:c>
      <x:c r="H25" s="9" t="str">
        <x:v>Afficher caractère insistant du choix et résultat d’indice ; pas de jauge médicale inventée présentée comme règle originale.</x:v>
      </x:c>
      <x:c r="I25" s="9" t="str">
        <x:v>Fauteuil de laboratoire et écran de signal.</x:v>
      </x:c>
      <x:c r="J25" s="9" t="str">
        <x:v>Transitions de caméra et d’interface interruptibles ; aucun délai d’animation ne doit consommer une décision encore ouverte.</x:v>
      </x:c>
      <x:c r="K25" s="9" t="str">
        <x:v>Créer des bruitages et ambiances originaux adaptés au livrable ; sous-titrer les indices utiles et proposer un réglage indépendant des effets. Aucune extraction audio demandée.</x:v>
      </x:c>
      <x:c r="L25" s="9" t="str">
        <x:v>Prévu : fiche de données me3/choices/leviathan-ann ; rattacher les ressources et états cités à cet identifiant. Aucun fichier de jeu créé par ce catalogue.</x:v>
      </x:c>
      <x:c r="M25" s="9" t="str"/>
      <x:c r="N25" s="9" t="str">
        <x:v>Le livrable « Interrogation d’Ann » possède une scène ou un scénario de contrôle ; ses règles proposées, ses conditions et ses retours visuels sont vérifiables séparément.</x:v>
      </x:c>
      <x:c r="O25" s="9" t="str"/>
      <x:c r="P25" s="9" t="str">
        <x:v>Interrogation d’Ann</x:v>
      </x:c>
      <x:c r="Q25" s="9" t="str">
        <x:v>ME3-SRC-LEV</x:v>
      </x:c>
      <x:c r="R25" s="20" t="str">
        <x:v>https://masseffect.fandom.com/wiki/Mass_Effect_3%3A_Leviathan</x:v>
      </x:c>
      <x:c r="S25" s="20" t="str">
        <x:v>Spécification à réaliser. Les champs adaptation, gameplay, visual, animation, audio et implementation décrivent le fan game ; ils ne donnent pas des caractéristiques officielles de l’œuvre.</x:v>
      </x:c>
    </x:row>
    <x:row r="26" ht="68" customHeight="1">
      <x:c r="A26" s="19" t="str">
        <x:v>ME3-CHO-OMEGA-REACTOR</x:v>
      </x:c>
      <x:c r="B26" s="7" t="str">
        <x:v>Énergie et civils d’Omega</x:v>
      </x:c>
      <x:c r="C26" s="15" t="str">
        <x:v>Défini</x:v>
      </x:c>
      <x:c r="D26" s="17" t="str">
        <x:v>Établi</x:v>
      </x:c>
      <x:c r="E26" s="17" t="str">
        <x:v>P1</x:v>
      </x:c>
      <x:c r="F26" s="7" t="str">
        <x:v>La reprise pose des choix locaux.</x:v>
      </x:c>
      <x:c r="G26" s="7" t="str">
        <x:v>Conserver sauvetage, vitesse et réaction d’Aria dans variables séparées ; feedback du quartier après la décision.</x:v>
      </x:c>
      <x:c r="H26" s="7" t="str">
        <x:v>Conserver sauvetage, vitesse et réaction d’Aria dans variables séparées ; feedback du quartier après la décision.</x:v>
      </x:c>
      <x:c r="I26" s="7" t="str">
        <x:v>Interrupteurs de puissance et communications.</x:v>
      </x:c>
      <x:c r="J26" s="7" t="str">
        <x:v>Transitions de caméra et d’interface interruptibles ; aucun délai d’animation ne doit consommer une décision encore ouverte.</x:v>
      </x:c>
      <x:c r="K26" s="7" t="str">
        <x:v>Créer des bruitages et ambiances originaux adaptés au livrable ; sous-titrer les indices utiles et proposer un réglage indépendant des effets. Aucune extraction audio demandée.</x:v>
      </x:c>
      <x:c r="L26" s="7" t="str">
        <x:v>Prévu : fiche de données me3/choices/omega-reactor ; rattacher les ressources et états cités à cet identifiant. Aucun fichier de jeu créé par ce catalogue.</x:v>
      </x:c>
      <x:c r="M26" s="7" t="str"/>
      <x:c r="N26" s="7" t="str">
        <x:v>Le livrable « Énergie et civils d’Omega » possède une scène ou un scénario de contrôle ; ses règles proposées, ses conditions et ses retours visuels sont vérifiables séparément.</x:v>
      </x:c>
      <x:c r="O26" s="7" t="str"/>
      <x:c r="P26" s="7" t="str">
        <x:v>Énergie et civils d’Omega</x:v>
      </x:c>
      <x:c r="Q26" s="7" t="str">
        <x:v>ME3-SRC-OMEGA</x:v>
      </x:c>
      <x:c r="R26" s="21" t="str">
        <x:v>https://masseffect.fandom.com/wiki/Omega%3A_Aria_T%27Loak_%28Mass_Effect_3%29</x:v>
      </x:c>
      <x:c r="S26" s="21" t="str">
        <x:v>Spécification à réaliser. Les champs adaptation, gameplay, visual, animation, audio et implementation décrivent le fan game ; ils ne donnent pas des caractéristiques officielles de l’œuvre.</x:v>
      </x:c>
    </x:row>
    <x:row r="27" ht="68" customHeight="1">
      <x:c r="A27" s="18" t="str">
        <x:v>ME3-CHO-PETROVSKY</x:v>
      </x:c>
      <x:c r="B27" s="9" t="str">
        <x:v>Sort de Petrovsky</x:v>
      </x:c>
      <x:c r="C27" s="15" t="str">
        <x:v>Défini</x:v>
      </x:c>
      <x:c r="D27" s="16" t="str">
        <x:v>Établi</x:v>
      </x:c>
      <x:c r="E27" s="16" t="str">
        <x:v>P1</x:v>
      </x:c>
      <x:c r="F27" s="9" t="str">
        <x:v>La conclusion d’Omega possède des variantes.</x:v>
      </x:c>
      <x:c r="G27" s="9" t="str">
        <x:v>Choix final et interventions selon relation construite avec Aria ; éviter une seule bascule qui efface les décisions antérieures.</x:v>
      </x:c>
      <x:c r="H27" s="9" t="str">
        <x:v>Choix final et interventions selon relation construite avec Aria ; éviter une seule bascule qui efface les décisions antérieures.</x:v>
      </x:c>
      <x:c r="I27" s="9" t="str">
        <x:v>Afterlife libéré, Aria et général.</x:v>
      </x:c>
      <x:c r="J27" s="9" t="str">
        <x:v>Transitions de caméra et d’interface interruptibles ; aucun délai d’animation ne doit consommer une décision encore ouverte.</x:v>
      </x:c>
      <x:c r="K27" s="9" t="str">
        <x:v>Créer des bruitages et ambiances originaux adaptés au livrable ; sous-titrer les indices utiles et proposer un réglage indépendant des effets. Aucune extraction audio demandée.</x:v>
      </x:c>
      <x:c r="L27" s="9" t="str">
        <x:v>Prévu : fiche de données me3/choices/petrovsky ; rattacher les ressources et états cités à cet identifiant. Aucun fichier de jeu créé par ce catalogue.</x:v>
      </x:c>
      <x:c r="M27" s="9" t="str"/>
      <x:c r="N27" s="9" t="str">
        <x:v>Le livrable « Sort de Petrovsky » possède une scène ou un scénario de contrôle ; ses règles proposées, ses conditions et ses retours visuels sont vérifiables séparément.</x:v>
      </x:c>
      <x:c r="O27" s="9" t="str"/>
      <x:c r="P27" s="9" t="str">
        <x:v>Sort de Petrovsky</x:v>
      </x:c>
      <x:c r="Q27" s="9" t="str">
        <x:v>ME3-SRC-OMEGA</x:v>
      </x:c>
      <x:c r="R27" s="20" t="str">
        <x:v>https://masseffect.fandom.com/wiki/Omega%3A_Aria_T%27Loak_%28Mass_Effect_3%29</x:v>
      </x:c>
      <x:c r="S27" s="20" t="str">
        <x:v>Spécification à réaliser. Les champs adaptation, gameplay, visual, animation, audio et implementation décrivent le fan game ; ils ne donnent pas des caractéristiques officielles de l’œuvre.</x:v>
      </x:c>
    </x:row>
    <x:row r="28" ht="68" customHeight="1">
      <x:c r="A28" s="19" t="str">
        <x:v>ME3-CHO-BROOKS</x:v>
      </x:c>
      <x:c r="B28" s="7" t="str">
        <x:v>Reddition de Brooks</x:v>
      </x:c>
      <x:c r="C28" s="15" t="str">
        <x:v>Défini</x:v>
      </x:c>
      <x:c r="D28" s="17" t="str">
        <x:v>Établi</x:v>
      </x:c>
      <x:c r="E28" s="17" t="str">
        <x:v>P1</x:v>
      </x:c>
      <x:c r="F28" s="7" t="str">
        <x:v>Le DLC conclut son arc par un choix.</x:v>
      </x:c>
      <x:c r="G28" s="7" t="str">
        <x:v>État prisonnière, tentative de fuite et réaction de Shepard sont séquentiels ; pas de relance de combat après validation finale.</x:v>
      </x:c>
      <x:c r="H28" s="7" t="str">
        <x:v>État prisonnière, tentative de fuite et réaction de Shepard sont séquentiels ; pas de relance de combat après validation finale.</x:v>
      </x:c>
      <x:c r="I28" s="7" t="str">
        <x:v>Quai et escorte.</x:v>
      </x:c>
      <x:c r="J28" s="7" t="str">
        <x:v>Transitions de caméra et d’interface interruptibles ; aucun délai d’animation ne doit consommer une décision encore ouverte.</x:v>
      </x:c>
      <x:c r="K28" s="7" t="str">
        <x:v>Créer des bruitages et ambiances originaux adaptés au livrable ; sous-titrer les indices utiles et proposer un réglage indépendant des effets. Aucune extraction audio demandée.</x:v>
      </x:c>
      <x:c r="L28" s="7" t="str">
        <x:v>Prévu : fiche de données me3/choices/brooks ; rattacher les ressources et états cités à cet identifiant. Aucun fichier de jeu créé par ce catalogue.</x:v>
      </x:c>
      <x:c r="M28" s="7" t="str"/>
      <x:c r="N28" s="7" t="str">
        <x:v>Le livrable « Reddition de Brooks » possède une scène ou un scénario de contrôle ; ses règles proposées, ses conditions et ses retours visuels sont vérifiables séparément.</x:v>
      </x:c>
      <x:c r="O28" s="7" t="str"/>
      <x:c r="P28" s="7" t="str">
        <x:v>Reddition de Brooks</x:v>
      </x:c>
      <x:c r="Q28" s="7" t="str">
        <x:v>ME3-SRC-BROOKS</x:v>
      </x:c>
      <x:c r="R28" s="21" t="str">
        <x:v>https://masseffect.fandom.com/wiki/Brooks</x:v>
      </x:c>
      <x:c r="S28" s="21" t="str">
        <x:v>Spécification à réaliser. Les champs adaptation, gameplay, visual, animation, audio et implementation décrivent le fan game ; ils ne donnent pas des caractéristiques officielles de l’œuvre.</x:v>
      </x:c>
    </x:row>
    <x:row r="29" ht="68" customHeight="1">
      <x:c r="A29" s="18" t="str">
        <x:v>ME3-CHO-CLONE</x:v>
      </x:c>
      <x:c r="B29" s="9" t="str">
        <x:v>Dernier geste envers le clone</x:v>
      </x:c>
      <x:c r="C29" s="15" t="str">
        <x:v>Défini</x:v>
      </x:c>
      <x:c r="D29" s="16" t="str">
        <x:v>Établi</x:v>
      </x:c>
      <x:c r="E29" s="16" t="str">
        <x:v>P1</x:v>
      </x:c>
      <x:c r="F29" s="9" t="str">
        <x:v>La fin du duel comporte une réaction.</x:v>
      </x:c>
      <x:c r="G29" s="9" t="str">
        <x:v>Distinguer tentative d’aide et issue narrative ; ne pas proposer un recrutement qui n’existe pas dans l’œuvre.</x:v>
      </x:c>
      <x:c r="H29" s="9" t="str">
        <x:v>Distinguer tentative d’aide et issue narrative ; ne pas proposer un recrutement qui n’existe pas dans l’œuvre.</x:v>
      </x:c>
      <x:c r="I29" s="9" t="str">
        <x:v>Rampe du Normandy.</x:v>
      </x:c>
      <x:c r="J29" s="9" t="str">
        <x:v>Transitions de caméra et d’interface interruptibles ; aucun délai d’animation ne doit consommer une décision encore ouverte.</x:v>
      </x:c>
      <x:c r="K29" s="9" t="str">
        <x:v>Créer des bruitages et ambiances originaux adaptés au livrable ; sous-titrer les indices utiles et proposer un réglage indépendant des effets. Aucune extraction audio demandée.</x:v>
      </x:c>
      <x:c r="L29" s="9" t="str">
        <x:v>Prévu : fiche de données me3/choices/clone ; rattacher les ressources et états cités à cet identifiant. Aucun fichier de jeu créé par ce catalogue.</x:v>
      </x:c>
      <x:c r="M29" s="9" t="str"/>
      <x:c r="N29" s="9" t="str">
        <x:v>Le livrable « Dernier geste envers le clone » possède une scène ou un scénario de contrôle ; ses règles proposées, ses conditions et ses retours visuels sont vérifiables séparément.</x:v>
      </x:c>
      <x:c r="O29" s="9" t="str"/>
      <x:c r="P29" s="9" t="str">
        <x:v>Dernier geste envers le clone</x:v>
      </x:c>
      <x:c r="Q29" s="9" t="str">
        <x:v>ME3-SRC-CLONE</x:v>
      </x:c>
      <x:c r="R29" s="20" t="str">
        <x:v>https://masseffect.fandom.com/wiki/Clone</x:v>
      </x:c>
      <x:c r="S29" s="20" t="str">
        <x:v>Spécification à réaliser. Les champs adaptation, gameplay, visual, animation, audio et implementation décrivent le fan game ; ils ne donnent pas des caractéristiques officielles de l’œuvre.</x:v>
      </x:c>
    </x:row>
    <x:row r="30" ht="82" customHeight="1">
      <x:c r="A30" s="19" t="str">
        <x:v>ME3-CHO-INVITATIONS</x:v>
      </x:c>
      <x:c r="B30" s="7" t="str">
        <x:v>Invités de la fête</x:v>
      </x:c>
      <x:c r="C30" s="15" t="str">
        <x:v>Défini</x:v>
      </x:c>
      <x:c r="D30" s="17" t="str">
        <x:v>Établi</x:v>
      </x:c>
      <x:c r="E30" s="17" t="str">
        <x:v>P1</x:v>
      </x:c>
      <x:c r="F30" s="7" t="str">
        <x:v>Citadel dépend des survivants disponibles.</x:v>
      </x:c>
      <x:c r="G30" s="7" t="str">
        <x:v>Liste fondée sur survie, progression et invitations ; messages expliquent absence sans faire apparaître un mort.</x:v>
      </x:c>
      <x:c r="H30" s="7" t="str">
        <x:v>Liste fondée sur survie, progression et invitations ; messages expliquent absence sans faire apparaître un mort.</x:v>
      </x:c>
      <x:c r="I30" s="7" t="str">
        <x:v>Tablette d’organisation et sièges.</x:v>
      </x:c>
      <x:c r="J30" s="7" t="str">
        <x:v>Prévoir chaque variante de scène comme état nommé ; lecture, interruption et saut appliquent exactement les mêmes décisions et positions finales. Tablette d’organisation et sièges.</x:v>
      </x:c>
      <x:c r="K30" s="7" t="str">
        <x:v>Dialogues originaux enregistrés par branche, nom du locuteur et sous-titres ; couper les répliques de personnages absents avant mixage, préserver les alertes utiles pendant les transitions.</x:v>
      </x:c>
      <x:c r="L30" s="7" t="str">
        <x:v>Prévu : fiche de données me3/choices/invitations ; rattacher les ressources et états cités à cet identifiant. Aucun fichier de jeu créé par ce catalogue.</x:v>
      </x:c>
      <x:c r="M30" s="7" t="str"/>
      <x:c r="N30" s="7" t="str">
        <x:v>Chaque invité satisfait survie et progression ; bouton invité ne duplique pas la personne, la photo et les conversations excluent toute absence et fonctionnent avec le roster minimal.</x:v>
      </x:c>
      <x:c r="O30" s="7" t="str"/>
      <x:c r="P30" s="7" t="str">
        <x:v>Invités de la fête</x:v>
      </x:c>
      <x:c r="Q30" s="7" t="str">
        <x:v>ME3-SRC-CIT-DLC</x:v>
      </x:c>
      <x:c r="R30" s="21" t="str">
        <x:v>https://masseffect.fandom.com/wiki/Mass_Effect_3%3A_Citadel</x:v>
      </x:c>
      <x:c r="S30" s="21" t="str">
        <x:v>Spécification à réaliser. Les champs adaptation, gameplay, visual, animation, audio et implementation décrivent le fan game ; ils ne donnent pas des caractéristiques officielles de l’œuvre.</x:v>
      </x:c>
    </x:row>
    <x:row r="31" ht="68" customHeight="1">
      <x:c r="A31" s="18" t="str">
        <x:v>ME3-CHO-PARTY-TONE</x:v>
      </x:c>
      <x:c r="B31" s="9" t="str">
        <x:v>Ambiance de la fête</x:v>
      </x:c>
      <x:c r="C31" s="15" t="str">
        <x:v>Défini</x:v>
      </x:c>
      <x:c r="D31" s="16" t="str">
        <x:v>Établi</x:v>
      </x:c>
      <x:c r="E31" s="16" t="str">
        <x:v>P1</x:v>
      </x:c>
      <x:c r="F31" s="9" t="str">
        <x:v>Citadel propose des variations sociales.</x:v>
      </x:c>
      <x:c r="G31" s="9" t="str">
        <x:v>Choix d’ambiance par phase ; transitions de musique et placement des invités conservent les conversations déjà vues.</x:v>
      </x:c>
      <x:c r="H31" s="9" t="str">
        <x:v>Choix d’ambiance par phase ; transitions de musique et placement des invités conservent les conversations déjà vues.</x:v>
      </x:c>
      <x:c r="I31" s="9" t="str">
        <x:v>Appartement en soirée.</x:v>
      </x:c>
      <x:c r="J31" s="9" t="str">
        <x:v>Transitions de caméra et d’interface interruptibles ; aucun délai d’animation ne doit consommer une décision encore ouverte.</x:v>
      </x:c>
      <x:c r="K31" s="9" t="str">
        <x:v>Créer des bruitages et ambiances originaux adaptés au livrable ; sous-titrer les indices utiles et proposer un réglage indépendant des effets. Aucune extraction audio demandée.</x:v>
      </x:c>
      <x:c r="L31" s="9" t="str">
        <x:v>Prévu : fiche de données me3/choices/party-tone ; rattacher les ressources et états cités à cet identifiant. Aucun fichier de jeu créé par ce catalogue.</x:v>
      </x:c>
      <x:c r="M31" s="9" t="str"/>
      <x:c r="N31" s="9" t="str">
        <x:v>Le livrable « Ambiance de la fête » possède une scène ou un scénario de contrôle ; ses règles proposées, ses conditions et ses retours visuels sont vérifiables séparément.</x:v>
      </x:c>
      <x:c r="O31" s="9" t="str"/>
      <x:c r="P31" s="9" t="str">
        <x:v>Ambiance de la fête</x:v>
      </x:c>
      <x:c r="Q31" s="9" t="str">
        <x:v>ME3-SRC-CIT-DLC</x:v>
      </x:c>
      <x:c r="R31" s="20" t="str">
        <x:v>https://masseffect.fandom.com/wiki/Mass_Effect_3%3A_Citadel</x:v>
      </x:c>
      <x:c r="S31" s="20" t="str">
        <x:v>Spécification à réaliser. Les champs adaptation, gameplay, visual, animation, audio et implementation décrivent le fan game ; ils ne donnent pas des caractéristiques officielles de l’œuvre.</x:v>
      </x:c>
    </x:row>
    <x:row r="32" ht="68" customHeight="1">
      <x:c r="A32" s="19" t="str">
        <x:v>ME3-CHO-ROMANCE</x:v>
      </x:c>
      <x:c r="B32" s="7" t="str">
        <x:v>Relations et invitations</x:v>
      </x:c>
      <x:c r="C32" s="15" t="str">
        <x:v>Défini</x:v>
      </x:c>
      <x:c r="D32" s="17" t="str">
        <x:v>Établi</x:v>
      </x:c>
      <x:c r="E32" s="17" t="str">
        <x:v>P1</x:v>
      </x:c>
      <x:c r="F32" s="7" t="str">
        <x:v>Les relations influencent les scènes.</x:v>
      </x:c>
      <x:c r="G32" s="7" t="str">
        <x:v>Contrat de relation exclusivité/rupture explicite par personnage ; états ME1, ME2 et ME3 séparés.</x:v>
      </x:c>
      <x:c r="H32" s="7" t="str">
        <x:v>Contrat de relation exclusivité/rupture explicite par personnage ; états ME1, ME2 et ME3 séparés.</x:v>
      </x:c>
      <x:c r="I32" s="7" t="str">
        <x:v>Portraits et souvenir de conversation.</x:v>
      </x:c>
      <x:c r="J32" s="7" t="str">
        <x:v>Transitions de caméra et d’interface interruptibles ; aucun délai d’animation ne doit consommer une décision encore ouverte.</x:v>
      </x:c>
      <x:c r="K32" s="7" t="str">
        <x:v>Créer des bruitages et ambiances originaux adaptés au livrable ; sous-titrer les indices utiles et proposer un réglage indépendant des effets. Aucune extraction audio demandée.</x:v>
      </x:c>
      <x:c r="L32" s="7" t="str">
        <x:v>Prévu : fiche de données me3/choices/romance ; rattacher les ressources et états cités à cet identifiant. Aucun fichier de jeu créé par ce catalogue.</x:v>
      </x:c>
      <x:c r="M32" s="7" t="str">
        <x:v>Conditions exactes par partenaire à vérifier.</x:v>
      </x:c>
      <x:c r="N32" s="7" t="str">
        <x:v>Le livrable « Relations et invitations » possède une scène ou un scénario de contrôle ; ses règles proposées, ses conditions et ses retours visuels sont vérifiables séparément.</x:v>
      </x:c>
      <x:c r="O32" s="7" t="str"/>
      <x:c r="P32" s="7" t="str">
        <x:v>Relations et invitations</x:v>
      </x:c>
      <x:c r="Q32" s="7" t="str">
        <x:v>ME3-SRC-CHAR, ME3-SRC-CIT-DLC</x:v>
      </x:c>
      <x:c r="R32" s="21" t="str">
        <x:v>https://masseffect.fandom.com/wiki/Characters/Mass_Effect_3
https://masseffect.fandom.com/wiki/Mass_Effect_3%3A_Citadel</x:v>
      </x:c>
      <x:c r="S32" s="21" t="str">
        <x:v>Spécification à réaliser. Les champs adaptation, gameplay, visual, animation, audio et implementation décrivent le fan game ; ils ne donnent pas des caractéristiques officielles de l’œuvre.</x:v>
      </x:c>
    </x:row>
    <x:row r="33" ht="68" customHeight="1">
      <x:c r="A33" s="18" t="str">
        <x:v>ME3-CHO-DESTROY</x:v>
      </x:c>
      <x:c r="B33" s="9" t="str">
        <x:v>Fin — Destruction</x:v>
      </x:c>
      <x:c r="C33" s="15" t="str">
        <x:v>Défini</x:v>
      </x:c>
      <x:c r="D33" s="16" t="str">
        <x:v>Établi</x:v>
      </x:c>
      <x:c r="E33" s="16" t="str">
        <x:v>P1</x:v>
      </x:c>
      <x:c r="F33" s="9" t="str">
        <x:v>Une option vise les synthétiques.</x:v>
      </x:c>
      <x:c r="G33" s="9" t="str">
        <x:v>Présenter conséquence annoncée, valider choix puis charger un épilogue de la bonne version et force de guerre.</x:v>
      </x:c>
      <x:c r="H33" s="9" t="str">
        <x:v>Présenter conséquence annoncée, valider choix puis charger un épilogue de la bonne version et force de guerre.</x:v>
      </x:c>
      <x:c r="I33" s="9" t="str">
        <x:v>Flux rouge et galerie d’épilogue.</x:v>
      </x:c>
      <x:c r="J33" s="9" t="str">
        <x:v>Transitions de caméra et d’interface interruptibles ; aucun délai d’animation ne doit consommer une décision encore ouverte.</x:v>
      </x:c>
      <x:c r="K33" s="9" t="str">
        <x:v>Créer des bruitages et ambiances originaux adaptés au livrable ; sous-titrer les indices utiles et proposer un réglage indépendant des effets. Aucune extraction audio demandée.</x:v>
      </x:c>
      <x:c r="L33" s="9" t="str">
        <x:v>Prévu : fiche de données me3/choices/destroy ; rattacher les ressources et états cités à cet identifiant. Aucun fichier de jeu créé par ce catalogue.</x:v>
      </x:c>
      <x:c r="M33" s="9" t="str">
        <x:v>Options disponibles conditionnelles ; aucune fin canon imposée.</x:v>
      </x:c>
      <x:c r="N33" s="9" t="str">
        <x:v>Le livrable « Fin — Destruction » possède une scène ou un scénario de contrôle ; ses règles proposées, ses conditions et ses retours visuels sont vérifiables séparément.</x:v>
      </x:c>
      <x:c r="O33" s="9" t="str"/>
      <x:c r="P33" s="9" t="str">
        <x:v>Fin — Destruction</x:v>
      </x:c>
      <x:c r="Q33" s="9" t="str">
        <x:v>ME3-SRC-EARTH, ME3-SRC-BW-EC</x:v>
      </x:c>
      <x:c r="R33" s="20" t="str">
        <x:v>https://masseffect.fandom.com/wiki/Priority%3A_Earth
https://blog.bioware.com/2012/06/22/mass-effect-3-extended-cut-2/</x:v>
      </x:c>
      <x:c r="S33" s="20" t="str">
        <x:v>Spécification à réaliser. Les champs adaptation, gameplay, visual, animation, audio et implementation décrivent le fan game ; ils ne donnent pas des caractéristiques officielles de l’œuvre.</x:v>
      </x:c>
    </x:row>
    <x:row r="34" ht="68" customHeight="1">
      <x:c r="A34" s="19" t="str">
        <x:v>ME3-CHO-CONTROL</x:v>
      </x:c>
      <x:c r="B34" s="7" t="str">
        <x:v>Fin — Contrôle</x:v>
      </x:c>
      <x:c r="C34" s="15" t="str">
        <x:v>Défini</x:v>
      </x:c>
      <x:c r="D34" s="17" t="str">
        <x:v>Établi</x:v>
      </x:c>
      <x:c r="E34" s="17" t="str">
        <x:v>P1</x:v>
      </x:c>
      <x:c r="F34" s="7" t="str">
        <x:v>Une option porte sur le contrôle des Moissonneurs.</x:v>
      </x:c>
      <x:c r="G34" s="7" t="str">
        <x:v>Décision finale séparée de l’argumentaire de l’Homme trouble ; variantes de voix et d’images vérifiées par état.</x:v>
      </x:c>
      <x:c r="H34" s="7" t="str">
        <x:v>Décision finale séparée de l’argumentaire de l’Homme trouble ; variantes de voix et d’images vérifiées par état.</x:v>
      </x:c>
      <x:c r="I34" s="7" t="str">
        <x:v>Flux bleu et nouvel horizon.</x:v>
      </x:c>
      <x:c r="J34" s="7" t="str">
        <x:v>Transitions de caméra et d’interface interruptibles ; aucun délai d’animation ne doit consommer une décision encore ouverte.</x:v>
      </x:c>
      <x:c r="K34" s="7" t="str">
        <x:v>Créer des bruitages et ambiances originaux adaptés au livrable ; sous-titrer les indices utiles et proposer un réglage indépendant des effets. Aucune extraction audio demandée.</x:v>
      </x:c>
      <x:c r="L34" s="7" t="str">
        <x:v>Prévu : fiche de données me3/choices/control ; rattacher les ressources et états cités à cet identifiant. Aucun fichier de jeu créé par ce catalogue.</x:v>
      </x:c>
      <x:c r="M34" s="7" t="str">
        <x:v>Disponibilité selon version et état.</x:v>
      </x:c>
      <x:c r="N34" s="7" t="str">
        <x:v>Le livrable « Fin — Contrôle » possède une scène ou un scénario de contrôle ; ses règles proposées, ses conditions et ses retours visuels sont vérifiables séparément.</x:v>
      </x:c>
      <x:c r="O34" s="7" t="str"/>
      <x:c r="P34" s="7" t="str">
        <x:v>Fin — Contrôle</x:v>
      </x:c>
      <x:c r="Q34" s="7" t="str">
        <x:v>ME3-SRC-EARTH, ME3-SRC-BW-EC</x:v>
      </x:c>
      <x:c r="R34" s="21" t="str">
        <x:v>https://masseffect.fandom.com/wiki/Priority%3A_Earth
https://blog.bioware.com/2012/06/22/mass-effect-3-extended-cut-2/</x:v>
      </x:c>
      <x:c r="S34" s="21" t="str">
        <x:v>Spécification à réaliser. Les champs adaptation, gameplay, visual, animation, audio et implementation décrivent le fan game ; ils ne donnent pas des caractéristiques officielles de l’œuvre.</x:v>
      </x:c>
    </x:row>
    <x:row r="35" ht="68" customHeight="1">
      <x:c r="A35" s="18" t="str">
        <x:v>ME3-CHO-SYNTHESIS</x:v>
      </x:c>
      <x:c r="B35" s="9" t="str">
        <x:v>Fin — Synthèse</x:v>
      </x:c>
      <x:c r="C35" s="15" t="str">
        <x:v>Défini</x:v>
      </x:c>
      <x:c r="D35" s="16" t="str">
        <x:v>Établi</x:v>
      </x:c>
      <x:c r="E35" s="16" t="str">
        <x:v>P1</x:v>
      </x:c>
      <x:c r="F35" s="9" t="str">
        <x:v>Une option transforme le vivant et le synthétique.</x:v>
      </x:c>
      <x:c r="G35" s="9" t="str">
        <x:v>Annonce du changement et confirmation sans minijeu ajouté ; pas de présentation comme résultat objectivement supérieur.</x:v>
      </x:c>
      <x:c r="H35" s="9" t="str">
        <x:v>Annonce du changement et confirmation sans minijeu ajouté ; pas de présentation comme résultat objectivement supérieur.</x:v>
      </x:c>
      <x:c r="I35" s="9" t="str">
        <x:v>Flux vert et motifs transformés.</x:v>
      </x:c>
      <x:c r="J35" s="9" t="str">
        <x:v>Transitions de caméra et d’interface interruptibles ; aucun délai d’animation ne doit consommer une décision encore ouverte.</x:v>
      </x:c>
      <x:c r="K35" s="9" t="str">
        <x:v>Créer des bruitages et ambiances originaux adaptés au livrable ; sous-titrer les indices utiles et proposer un réglage indépendant des effets. Aucune extraction audio demandée.</x:v>
      </x:c>
      <x:c r="L35" s="9" t="str">
        <x:v>Prévu : fiche de données me3/choices/synthesis ; rattacher les ressources et états cités à cet identifiant. Aucun fichier de jeu créé par ce catalogue.</x:v>
      </x:c>
      <x:c r="M35" s="9" t="str">
        <x:v>Disponibilité selon version et état.</x:v>
      </x:c>
      <x:c r="N35" s="9" t="str">
        <x:v>Le livrable « Fin — Synthèse » possède une scène ou un scénario de contrôle ; ses règles proposées, ses conditions et ses retours visuels sont vérifiables séparément.</x:v>
      </x:c>
      <x:c r="O35" s="9" t="str"/>
      <x:c r="P35" s="9" t="str">
        <x:v>Fin — Synthèse</x:v>
      </x:c>
      <x:c r="Q35" s="9" t="str">
        <x:v>ME3-SRC-EARTH, ME3-SRC-BW-EC</x:v>
      </x:c>
      <x:c r="R35" s="20" t="str">
        <x:v>https://masseffect.fandom.com/wiki/Priority%3A_Earth
https://blog.bioware.com/2012/06/22/mass-effect-3-extended-cut-2/</x:v>
      </x:c>
      <x:c r="S35" s="20" t="str">
        <x:v>Spécification à réaliser. Les champs adaptation, gameplay, visual, animation, audio et implementation décrivent le fan game ; ils ne donnent pas des caractéristiques officielles de l’œuvre.</x:v>
      </x:c>
    </x:row>
    <x:row r="36" ht="68" customHeight="1">
      <x:c r="A36" s="19" t="str">
        <x:v>ME3-CHO-REFUSAL</x:v>
      </x:c>
      <x:c r="B36" s="7" t="str">
        <x:v>Fin — Refus</x:v>
      </x:c>
      <x:c r="C36" s="15" t="str">
        <x:v>Défini</x:v>
      </x:c>
      <x:c r="D36" s="17" t="str">
        <x:v>Établi</x:v>
      </x:c>
      <x:c r="E36" s="17" t="str">
        <x:v>P1</x:v>
      </x:c>
      <x:c r="F36" s="7" t="str">
        <x:v>Extended Cut permet une voie de refus.</x:v>
      </x:c>
      <x:c r="G36" s="7" t="str">
        <x:v>Séparer refus explicite et gestes déclencheurs si reproduits ; sauvegarde finale conserve le choix sans le convertir en échec technique.</x:v>
      </x:c>
      <x:c r="H36" s="7" t="str">
        <x:v>Séparer refus explicite et gestes déclencheurs si reproduits ; sauvegarde finale conserve le choix sans le convertir en échec technique.</x:v>
      </x:c>
      <x:c r="I36" s="7" t="str">
        <x:v>Silence, extinction et témoignage futur.</x:v>
      </x:c>
      <x:c r="J36" s="7" t="str">
        <x:v>Transitions de caméra et d’interface interruptibles ; aucun délai d’animation ne doit consommer une décision encore ouverte.</x:v>
      </x:c>
      <x:c r="K36" s="7" t="str">
        <x:v>Créer des bruitages et ambiances originaux adaptés au livrable ; sous-titrer les indices utiles et proposer un réglage indépendant des effets. Aucune extraction audio demandée.</x:v>
      </x:c>
      <x:c r="L36" s="7" t="str">
        <x:v>Prévu : fiche de données me3/choices/refusal ; rattacher les ressources et états cités à cet identifiant. Aucun fichier de jeu créé par ce catalogue.</x:v>
      </x:c>
      <x:c r="M36" s="7" t="str">
        <x:v>Extended Cut / Legendary.</x:v>
      </x:c>
      <x:c r="N36" s="7" t="str">
        <x:v>Le livrable « Fin — Refus » possède une scène ou un scénario de contrôle ; ses règles proposées, ses conditions et ses retours visuels sont vérifiables séparément.</x:v>
      </x:c>
      <x:c r="O36" s="7" t="str"/>
      <x:c r="P36" s="7" t="str">
        <x:v>Fin — Refus</x:v>
      </x:c>
      <x:c r="Q36" s="7" t="str">
        <x:v>ME3-SRC-EARTH, ME3-SRC-BW-EC</x:v>
      </x:c>
      <x:c r="R36" s="21" t="str">
        <x:v>https://masseffect.fandom.com/wiki/Priority%3A_Earth
https://blog.bioware.com/2012/06/22/mass-effect-3-extended-cut-2/</x:v>
      </x:c>
      <x:c r="S36" s="21" t="str">
        <x:v>Spécification à réaliser. Les champs adaptation, gameplay, visual, animation, audio et implementation décrivent le fan game ; ils ne donnent pas des caractéristiques officielles de l’œuvre.</x:v>
      </x:c>
    </x:row>
  </x:sheetData>
  <x:conditionalFormatting sqref="D7:D36">
    <x:cfRule type="cellIs" dxfId="44" priority="1" operator="equal">
      <x:formula>"À vérifier"</x:formula>
    </x:cfRule>
    <x:cfRule type="cellIs" dxfId="45" priority="2" operator="equal">
      <x:formula>"Extrapolation"</x:formula>
    </x:cfRule>
  </x:conditionalFormatting>
  <x:conditionalFormatting sqref="C7:C36">
    <x:cfRule type="cellIs" dxfId="46" priority="3" operator="equal">
      <x:formula>"Validé"</x:formula>
    </x:cfRule>
  </x:conditionalFormatting>
  <x:conditionalFormatting sqref="E7:E36">
    <x:cfRule type="cellIs" dxfId="47" priority="4" operator="equal">
      <x:formula>"P0"</x:formula>
    </x:cfRule>
  </x:conditionalFormatting>
  <x:dataValidations count="3">
    <x:dataValidation type="list" sqref="C7:C36">
      <x:formula1>"Défini,Prototype,Intégré,Validé"</x:formula1>
    </x:dataValidation>
    <x:dataValidation type="list" sqref="D7:D36">
      <x:formula1>"Établi,À vérifier,Extrapolation,Coupé attesté,Concept abandonné,Allégation écartée"</x:formula1>
    </x:dataValidation>
    <x:dataValidation type="list" sqref="E7:E36">
      <x:formula1>"P0,P1,P2"</x:formula1>
    </x:dataValidation>
  </x:dataValidations>
  <x:pageMargins left="0.7" right="0.7" top="0.75" bottom="0.75" header="0.3" footer="0.3"/>
  <x:tableParts count="1">
    <x:tablePart xmlns:r="http://schemas.openxmlformats.org/officeDocument/2006/relationships" r:id="R70491b88e60a43cf"/>
  </x:tableParts>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Dialogues</x:v>
      </x:c>
      <x:c r="B2" s="2"/>
      <x:c r="C2" s="2"/>
      <x:c r="D2" s="2"/>
      <x:c r="E2" s="2"/>
      <x:c r="F2" s="2"/>
      <x:c r="G2" s="2"/>
      <x:c r="H2" s="2"/>
      <x:c r="I2" s="2"/>
      <x:c r="J2" s="2"/>
      <x:c r="K2" s="2"/>
      <x:c r="L2" s="2"/>
      <x:c r="M2" s="2"/>
      <x:c r="N2" s="2"/>
      <x:c r="O2" s="2"/>
      <x:c r="P2" s="2"/>
      <x:c r="Q2" s="2"/>
      <x:c r="R2" s="2"/>
      <x:c r="S2" s="2"/>
    </x:row>
    <x:row r="3" ht="22" customHeight="1">
      <x:c r="A3" s="4" t="str">
        <x:v>Mass Effect 3 — Situations de dialogue et conditions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ME3-DIA-WAR</x:v>
      </x:c>
      <x:c r="B7" s="9" t="str">
        <x:v>Briefings de Hackett</x:v>
      </x:c>
      <x:c r="C7" s="15" t="str">
        <x:v>Défini</x:v>
      </x:c>
      <x:c r="D7" s="16" t="str">
        <x:v>Extrapolation</x:v>
      </x:c>
      <x:c r="E7" s="16" t="str">
        <x:v>P1</x:v>
      </x:c>
      <x:c r="F7" s="9" t="str">
        <x:v>Livrable original proposé : Briefings de Hackett.</x:v>
      </x:c>
      <x:c r="G7" s="9" t="str">
        <x:v>Répliques originales courtes distinguant objectif, événement accompli et contribution nouvelle ; éviter répétitions à chaque scan.</x:v>
      </x:c>
      <x:c r="H7" s="9" t="str">
        <x:v>Répliques originales courtes distinguant objectif, événement accompli et contribution nouvelle ; éviter répétitions à chaque scan.</x:v>
      </x:c>
      <x:c r="I7" s="9" t="str">
        <x:v>Hologramme Alliance et journal d’écoute.</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me3/dialogues/war ; rattacher les ressources et états cités à cet identifiant. Aucun fichier de jeu créé par ce catalogue.</x:v>
      </x:c>
      <x:c r="M7" s="9" t="str"/>
      <x:c r="N7" s="9" t="str">
        <x:v>Le livrable « Briefings de Hackett » possède une scène ou un scénario de contrôle ; ses règles proposées, ses conditions et ses retours visuels sont vérifiables séparément.</x:v>
      </x:c>
      <x:c r="O7" s="9" t="str">
        <x:v>ME3-NPC-HACKETT</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ME3-DIA-SABOTAGE</x:v>
      </x:c>
      <x:c r="B8" s="7" t="str">
        <x:v>Offre de la dalatrasse</x:v>
      </x:c>
      <x:c r="C8" s="15" t="str">
        <x:v>Défini</x:v>
      </x:c>
      <x:c r="D8" s="17" t="str">
        <x:v>Extrapolation</x:v>
      </x:c>
      <x:c r="E8" s="17" t="str">
        <x:v>P1</x:v>
      </x:c>
      <x:c r="F8" s="7" t="str">
        <x:v>Livrable original proposé : Offre de la dalatrasse.</x:v>
      </x:c>
      <x:c r="G8" s="7" t="str">
        <x:v>Afficher proposition, refus et report de décision ; ne pas attribuer consentement au seul fait d’avoir écouté.</x:v>
      </x:c>
      <x:c r="H8" s="7" t="str">
        <x:v>Afficher proposition, refus et report de décision ; ne pas attribuer consentement au seul fait d’avoir écouté.</x:v>
      </x:c>
      <x:c r="I8" s="7" t="str">
        <x:v>Fenêtre de canal privé.</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me3/dialogues/sabotage ; rattacher les ressources et états cités à cet identifiant. Aucun fichier de jeu créé par ce catalogue.</x:v>
      </x:c>
      <x:c r="M8" s="7" t="str"/>
      <x:c r="N8" s="7" t="str">
        <x:v>Le livrable « Offre de la dalatrasse » possède une scène ou un scénario de contrôle ; ses règles proposées, ses conditions et ses retours visuels sont vérifiables séparément.</x:v>
      </x:c>
      <x:c r="O8" s="7" t="str">
        <x:v>ME3-NPC-DALATRASS, ME3-CHO-REVEAL-SABOTAGE</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ME3-DIA-MORDIN</x:v>
      </x:c>
      <x:c r="B9" s="9" t="str">
        <x:v>Dernier entretien au Shroud</x:v>
      </x:c>
      <x:c r="C9" s="15" t="str">
        <x:v>Défini</x:v>
      </x:c>
      <x:c r="D9" s="16" t="str">
        <x:v>Extrapolation</x:v>
      </x:c>
      <x:c r="E9" s="16" t="str">
        <x:v>P1</x:v>
      </x:c>
      <x:c r="F9" s="9" t="str">
        <x:v>Livrable original proposé : Dernier entretien au Shroud.</x:v>
      </x:c>
      <x:c r="G9" s="9" t="str">
        <x:v>Variantes liées à Eve, Wrex, données et secret ; toute ligne de remords dépend d’un fait réellement vécu dans la sauvegarde.</x:v>
      </x:c>
      <x:c r="H9" s="9" t="str">
        <x:v>Variantes liées à Eve, Wrex, données et secret ; toute ligne de remords dépend d’un fait réellement vécu dans la sauvegarde.</x:v>
      </x:c>
      <x:c r="I9" s="9" t="str">
        <x:v>Ascenseur et plans serrés.</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me3/dialogues/mordin ; rattacher les ressources et états cités à cet identifiant. Aucun fichier de jeu créé par ce catalogue.</x:v>
      </x:c>
      <x:c r="M9" s="9" t="str"/>
      <x:c r="N9" s="9" t="str">
        <x:v>Le livrable « Dernier entretien au Shroud » possède une scène ou un scénario de contrôle ; ses règles proposées, ses conditions et ses retours visuels sont vérifiables séparément.</x:v>
      </x:c>
      <x:c r="O9" s="9" t="str">
        <x:v>ME3-CHO-CURE, ME3-CHO-MORDIN-SURVIVE</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ME3-DIA-TALI-LEGION</x:v>
      </x:c>
      <x:c r="B10" s="7" t="str">
        <x:v>Médiation Rannoch</x:v>
      </x:c>
      <x:c r="C10" s="15" t="str">
        <x:v>Défini</x:v>
      </x:c>
      <x:c r="D10" s="17" t="str">
        <x:v>Extrapolation</x:v>
      </x:c>
      <x:c r="E10" s="17" t="str">
        <x:v>P1</x:v>
      </x:c>
      <x:c r="F10" s="7" t="str">
        <x:v>Livrable original proposé : Médiation Rannoch.</x:v>
      </x:c>
      <x:c r="G10" s="7" t="str">
        <x:v>Écrire les arguments des deux camps puis conditions de médiation ; les choix indisponibles expliquent la catégorie de prérequis sans inventer un chiffre canon.</x:v>
      </x:c>
      <x:c r="H10" s="7" t="str">
        <x:v>Écrire les arguments des deux camps puis conditions de médiation ; les choix indisponibles expliquent la catégorie de prérequis sans inventer un chiffre canon.</x:v>
      </x:c>
      <x:c r="I10" s="7" t="str">
        <x:v>Alternance Tali/Legion et radio de flotte.</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me3/dialogues/tali-legion ; rattacher les ressources et états cités à cet identifiant. Aucun fichier de jeu créé par ce catalogue.</x:v>
      </x:c>
      <x:c r="M10" s="7" t="str"/>
      <x:c r="N10" s="7" t="str">
        <x:v>Le livrable « Médiation Rannoch » possède une scène ou un scénario de contrôle ; ses règles proposées, ses conditions et ses retours visuels sont vérifiables séparément.</x:v>
      </x:c>
      <x:c r="O10" s="7" t="str">
        <x:v>ME3-CHO-PEACE</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ME3-DIA-MIRANDA</x:v>
      </x:c>
      <x:c r="B11" s="9" t="str">
        <x:v>Messages et rencontres Miranda</x:v>
      </x:c>
      <x:c r="C11" s="15" t="str">
        <x:v>Défini</x:v>
      </x:c>
      <x:c r="D11" s="16" t="str">
        <x:v>Extrapolation</x:v>
      </x:c>
      <x:c r="E11" s="16" t="str">
        <x:v>P1</x:v>
      </x:c>
      <x:c r="F11" s="9" t="str">
        <x:v>Livrable original proposé : Messages et rencontres Miranda.</x:v>
      </x:c>
      <x:c r="G11" s="9" t="str">
        <x:v>Trois fenêtres de récit avec sujet propre ; avertissement et aide ont accusé de réception et état persisté.</x:v>
      </x:c>
      <x:c r="H11" s="9" t="str">
        <x:v>Trois fenêtres de récit avec sujet propre ; avertissement et aide ont accusé de réception et état persisté.</x:v>
      </x:c>
      <x:c r="I11" s="9" t="str">
        <x:v>Terminal puis appartement privé.</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me3/dialogues/miranda ; rattacher les ressources et états cités à cet identifiant. Aucun fichier de jeu créé par ce catalogue.</x:v>
      </x:c>
      <x:c r="M11" s="9" t="str"/>
      <x:c r="N11" s="9" t="str">
        <x:v>Le livrable « Messages et rencontres Miranda » possède une scène ou un scénario de contrôle ; ses règles proposées, ses conditions et ses retours visuels sont vérifiables séparément.</x:v>
      </x:c>
      <x:c r="O11" s="9" t="str">
        <x:v>ME3-NPC-MIRANDA, ME3-CHO-MIRANDA</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ME3-DIA-EVE-WREX</x:v>
      </x:c>
      <x:c r="B12" s="7" t="str">
        <x:v>Entretien politique krogan</x:v>
      </x:c>
      <x:c r="C12" s="15" t="str">
        <x:v>Défini</x:v>
      </x:c>
      <x:c r="D12" s="17" t="str">
        <x:v>Extrapolation</x:v>
      </x:c>
      <x:c r="E12" s="17" t="str">
        <x:v>P1</x:v>
      </x:c>
      <x:c r="F12" s="7" t="str">
        <x:v>Livrable original proposé : Entretien politique krogan.</x:v>
      </x:c>
      <x:c r="G12" s="7" t="str">
        <x:v>Distinguer espoir d’Eve et stratégie du dirigeant présent ; variante Wreav réécrite, aucun remplacement de nom mécanique.</x:v>
      </x:c>
      <x:c r="H12" s="7" t="str">
        <x:v>Distinguer espoir d’Eve et stratégie du dirigeant présent ; variante Wreav réécrite, aucun remplacement de nom mécanique.</x:v>
      </x:c>
      <x:c r="I12" s="7" t="str">
        <x:v>Couple de portraits krogan.</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me3/dialogues/eve-wrex ; rattacher les ressources et états cités à cet identifiant. Aucun fichier de jeu créé par ce catalogue.</x:v>
      </x:c>
      <x:c r="M12" s="7" t="str"/>
      <x:c r="N12" s="7" t="str">
        <x:v>Le livrable « Entretien politique krogan » possède une scène ou un scénario de contrôle ; ses règles proposées, ses conditions et ses retours visuels sont vérifiables séparément.</x:v>
      </x:c>
      <x:c r="O12" s="7" t="str">
        <x:v>ME3-NPC-EVE, ME3-NPC-WREAV</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ME3-DIA-JAVIK</x:v>
      </x:c>
      <x:c r="B13" s="9" t="str">
        <x:v>Réactions de Javik aux archives</x:v>
      </x:c>
      <x:c r="C13" s="15" t="str">
        <x:v>Défini</x:v>
      </x:c>
      <x:c r="D13" s="16" t="str">
        <x:v>Extrapolation</x:v>
      </x:c>
      <x:c r="E13" s="16" t="str">
        <x:v>P1</x:v>
      </x:c>
      <x:c r="F13" s="9" t="str">
        <x:v>Livrable original proposé : Réactions de Javik aux archives.</x:v>
      </x:c>
      <x:c r="G13" s="9" t="str">
        <x:v>Interventions conditionnelles au groupe présent ; exposé principal reste compréhensible sans lui.</x:v>
      </x:c>
      <x:c r="H13" s="9" t="str">
        <x:v>Interventions conditionnelles au groupe présent ; exposé principal reste compréhensible sans lui.</x:v>
      </x:c>
      <x:c r="I13" s="9" t="str">
        <x:v>Hologramme ancien et visage prothéen.</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me3/dialogues/javik ; rattacher les ressources et états cités à cet identifiant. Aucun fichier de jeu créé par ce catalogue.</x:v>
      </x:c>
      <x:c r="M13" s="9" t="str"/>
      <x:c r="N13" s="9" t="str">
        <x:v>Le livrable « Réactions de Javik aux archives » possède une scène ou un scénario de contrôle ; ses règles proposées, ses conditions et ses retours visuels sont vérifiables séparément.</x:v>
      </x:c>
      <x:c r="O13" s="9" t="str">
        <x:v>ME3-CHR-JAVIK, ME3-ZON-THESSIA-TEMPLE</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ME3-DIA-ANN</x:v>
      </x:c>
      <x:c r="B14" s="7" t="str">
        <x:v>Interrogatoire d’Ann</x:v>
      </x:c>
      <x:c r="C14" s="15" t="str">
        <x:v>Défini</x:v>
      </x:c>
      <x:c r="D14" s="17" t="str">
        <x:v>Extrapolation</x:v>
      </x:c>
      <x:c r="E14" s="17" t="str">
        <x:v>P1</x:v>
      </x:c>
      <x:c r="F14" s="7" t="str">
        <x:v>Livrable original proposé : Interrogatoire d’Ann.</x:v>
      </x:c>
      <x:c r="G14" s="7" t="str">
        <x:v>Clarifier les propositions risquées et la possibilité d’arrêter ; maintenir les indices déjà obtenus après refus.</x:v>
      </x:c>
      <x:c r="H14" s="7" t="str">
        <x:v>Clarifier les propositions risquées et la possibilité d’arrêter ; maintenir les indices déjà obtenus après refus.</x:v>
      </x:c>
      <x:c r="I14" s="7" t="str">
        <x:v>Laboratoire et pulsation de signal.</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me3/dialogues/ann ; rattacher les ressources et états cités à cet identifiant. Aucun fichier de jeu créé par ce catalogue.</x:v>
      </x:c>
      <x:c r="M14" s="7" t="str"/>
      <x:c r="N14" s="7" t="str">
        <x:v>Le livrable « Interrogatoire d’Ann » possède une scène ou un scénario de contrôle ; ses règles proposées, ses conditions et ses retours visuels sont vérifiables séparément.</x:v>
      </x:c>
      <x:c r="O14" s="7" t="str">
        <x:v>ME3-NPC-ANN, ME3-CHO-LEVIATHAN-ANN</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ME3-DIA-ARIA-NYREEN</x:v>
      </x:c>
      <x:c r="B15" s="9" t="str">
        <x:v>Tension Aria / Nyreen</x:v>
      </x:c>
      <x:c r="C15" s="15" t="str">
        <x:v>Défini</x:v>
      </x:c>
      <x:c r="D15" s="16" t="str">
        <x:v>Extrapolation</x:v>
      </x:c>
      <x:c r="E15" s="16" t="str">
        <x:v>P1</x:v>
      </x:c>
      <x:c r="F15" s="9" t="str">
        <x:v>Livrable original proposé : Tension Aria / Nyreen.</x:v>
      </x:c>
      <x:c r="G15" s="9" t="str">
        <x:v>Écrire des désaccords sur protection civile et reprise de pouvoir ; ne pas transformer les deux voix en simple bon/mauvais choix.</x:v>
      </x:c>
      <x:c r="H15" s="9" t="str">
        <x:v>Écrire des désaccords sur protection civile et reprise de pouvoir ; ne pas transformer les deux voix en simple bon/mauvais choix.</x:v>
      </x:c>
      <x:c r="I15" s="9" t="str">
        <x:v>Plans croisés dans bunker.</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me3/dialogues/aria-nyreen ; rattacher les ressources et états cités à cet identifiant. Aucun fichier de jeu créé par ce catalogue.</x:v>
      </x:c>
      <x:c r="M15" s="9" t="str"/>
      <x:c r="N15" s="9" t="str">
        <x:v>Le livrable « Tension Aria / Nyreen » possède une scène ou un scénario de contrôle ; ses règles proposées, ses conditions et ses retours visuels sont vérifiables séparément.</x:v>
      </x:c>
      <x:c r="O15" s="9" t="str">
        <x:v>ME3-CHR-ARIA, ME3-CHR-NYREEN</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ME3-DIA-CLONE</x:v>
      </x:c>
      <x:c r="B16" s="7" t="str">
        <x:v>Confrontation d’identité</x:v>
      </x:c>
      <x:c r="C16" s="15" t="str">
        <x:v>Défini</x:v>
      </x:c>
      <x:c r="D16" s="17" t="str">
        <x:v>Extrapolation</x:v>
      </x:c>
      <x:c r="E16" s="17" t="str">
        <x:v>P1</x:v>
      </x:c>
      <x:c r="F16" s="7" t="str">
        <x:v>Livrable original proposé : Confrontation d’identité.</x:v>
      </x:c>
      <x:c r="G16" s="7" t="str">
        <x:v>Dialogue original autour de l’identité et des liens ; portraits homonymes portent rôle visuel pour rester compréhensibles.</x:v>
      </x:c>
      <x:c r="H16" s="7" t="str">
        <x:v>Dialogue original autour de l’identité et des liens ; portraits homonymes portent rôle visuel pour rester compréhensibles.</x:v>
      </x:c>
      <x:c r="I16" s="7" t="str">
        <x:v>Deux Shepard éclairés différemment.</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me3/dialogues/clone ; rattacher les ressources et états cités à cet identifiant. Aucun fichier de jeu créé par ce catalogue.</x:v>
      </x:c>
      <x:c r="M16" s="7" t="str"/>
      <x:c r="N16" s="7" t="str">
        <x:v>Le livrable « Confrontation d’identité » possède une scène ou un scénario de contrôle ; ses règles proposées, ses conditions et ses retours visuels sont vérifiables séparément.</x:v>
      </x:c>
      <x:c r="O16" s="7" t="str">
        <x:v>ME3-ENM-CLONE</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ME3-DIA-FAREWELL</x:v>
      </x:c>
      <x:c r="B17" s="9" t="str">
        <x:v>Adieux de Londres</x:v>
      </x:c>
      <x:c r="C17" s="15" t="str">
        <x:v>Défini</x:v>
      </x:c>
      <x:c r="D17" s="16" t="str">
        <x:v>Extrapolation</x:v>
      </x:c>
      <x:c r="E17" s="16" t="str">
        <x:v>P1</x:v>
      </x:c>
      <x:c r="F17" s="9" t="str">
        <x:v>Livrable original proposé : Adieux de Londres.</x:v>
      </x:c>
      <x:c r="G17" s="9" t="str">
        <x:v>Une scène par relation disponible avec reprise après interruption ; l’utilisateur choisit de revoir avant de partir.</x:v>
      </x:c>
      <x:c r="H17" s="9" t="str">
        <x:v>Une scène par relation disponible avec reprise après interruption ; l’utilisateur choisit de revoir avant de partir.</x:v>
      </x:c>
      <x:c r="I17" s="9" t="str">
        <x:v>Base avancée et communication distante.</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me3/dialogues/farewell ; rattacher les ressources et états cités à cet identifiant. Aucun fichier de jeu créé par ce catalogue.</x:v>
      </x:c>
      <x:c r="M17" s="9" t="str"/>
      <x:c r="N17" s="9" t="str">
        <x:v>Le livrable « Adieux de Londres » possède une scène ou un scénario de contrôle ; ses règles proposées, ses conditions et ses retours visuels sont vérifiables séparément.</x:v>
      </x:c>
      <x:c r="O17" s="9" t="str">
        <x:v>ME3-ZON-LONDON-FOB</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ME3-DIA-CATALYST</x:v>
      </x:c>
      <x:c r="B18" s="7" t="str">
        <x:v>Décision finale explicitée</x:v>
      </x:c>
      <x:c r="C18" s="15" t="str">
        <x:v>Défini</x:v>
      </x:c>
      <x:c r="D18" s="17" t="str">
        <x:v>Extrapolation</x:v>
      </x:c>
      <x:c r="E18" s="17" t="str">
        <x:v>P1</x:v>
      </x:c>
      <x:c r="F18" s="7" t="str">
        <x:v>Livrable original proposé : Décision finale explicitée.</x:v>
      </x:c>
      <x:c r="G18" s="7" t="str">
        <x:v>Chaque option dispose d’une explication accessible et d’une confirmation ; ne pas réduire le choix à trois couleurs sans texte.</x:v>
      </x:c>
      <x:c r="H18" s="7" t="str">
        <x:v>Chaque option dispose d’une explication accessible et d’une confirmation ; ne pas réduire le choix à trois couleurs sans texte.</x:v>
      </x:c>
      <x:c r="I18" s="7" t="str">
        <x:v>Espace final et sous-titres contrastés.</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me3/dialogues/catalyst ; rattacher les ressources et états cités à cet identifiant. Aucun fichier de jeu créé par ce catalogue.</x:v>
      </x:c>
      <x:c r="M18" s="7" t="str"/>
      <x:c r="N18" s="7" t="str">
        <x:v>Le livrable « Décision finale explicitée » possède une scène ou un scénario de contrôle ; ses règles proposées, ses conditions et ses retours visuels sont vérifiables séparément.</x:v>
      </x:c>
      <x:c r="O18" s="7" t="str">
        <x:v>ME3-CHO-DESTROY, ME3-CHO-CONTROL, ME3-CHO-SYNTHESIS, ME3-CHO-REFUSAL</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ME3-DIA-PARTY</x:v>
      </x:c>
      <x:c r="B19" s="9" t="str">
        <x:v>Conversations de la fête</x:v>
      </x:c>
      <x:c r="C19" s="15" t="str">
        <x:v>Défini</x:v>
      </x:c>
      <x:c r="D19" s="16" t="str">
        <x:v>Extrapolation</x:v>
      </x:c>
      <x:c r="E19" s="16" t="str">
        <x:v>P1</x:v>
      </x:c>
      <x:c r="F19" s="9" t="str">
        <x:v>Livrable original proposé : Conversations de la fête.</x:v>
      </x:c>
      <x:c r="G19" s="9" t="str">
        <x:v>Groupes de discussion selon invités et ambiance ; priorité aux répliques non vues et pas de chevauchement de sous-titres.</x:v>
      </x:c>
      <x:c r="H19" s="9" t="str">
        <x:v>Groupes de discussion selon invités et ambiance ; priorité aux répliques non vues et pas de chevauchement de sous-titres.</x:v>
      </x:c>
      <x:c r="I19" s="9" t="str">
        <x:v>Petit cercle d’invités et caméra stable.</x:v>
      </x:c>
      <x:c r="J19" s="9" t="str">
        <x:v>Transitions de caméra et d’interface interruptibles ; aucun délai d’animation ne doit consommer une décision encore ouverte.</x:v>
      </x:c>
      <x:c r="K19" s="9" t="str">
        <x:v>Créer des bruitages et ambiances originaux adaptés au livrable ; sous-titrer les indices utiles et proposer un réglage indépendant des effets. Aucune extraction audio demandée.</x:v>
      </x:c>
      <x:c r="L19" s="9" t="str">
        <x:v>Prévu : fiche de données me3/dialogues/party ; rattacher les ressources et états cités à cet identifiant. Aucun fichier de jeu créé par ce catalogue.</x:v>
      </x:c>
      <x:c r="M19" s="9" t="str"/>
      <x:c r="N19" s="9" t="str">
        <x:v>Le livrable « Conversations de la fête » possède une scène ou un scénario de contrôle ; ses règles proposées, ses conditions et ses retours visuels sont vérifiables séparément.</x:v>
      </x:c>
      <x:c r="O19" s="9" t="str">
        <x:v>ME3-CHO-PARTY-TONE</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sheetData>
  <x:conditionalFormatting sqref="D7:D19">
    <x:cfRule type="cellIs" dxfId="48" priority="1" operator="equal">
      <x:formula>"À vérifier"</x:formula>
    </x:cfRule>
    <x:cfRule type="cellIs" dxfId="49" priority="2" operator="equal">
      <x:formula>"Extrapolation"</x:formula>
    </x:cfRule>
  </x:conditionalFormatting>
  <x:conditionalFormatting sqref="C7:C19">
    <x:cfRule type="cellIs" dxfId="50" priority="3" operator="equal">
      <x:formula>"Validé"</x:formula>
    </x:cfRule>
  </x:conditionalFormatting>
  <x:conditionalFormatting sqref="E7:E19">
    <x:cfRule type="cellIs" dxfId="51" priority="4" operator="equal">
      <x:formula>"P0"</x:formula>
    </x:cfRule>
  </x:conditionalFormatting>
  <x:dataValidations count="3">
    <x:dataValidation type="list" sqref="C7:C19">
      <x:formula1>"Défini,Prototype,Intégré,Validé"</x:formula1>
    </x:dataValidation>
    <x:dataValidation type="list" sqref="D7:D19">
      <x:formula1>"Établi,À vérifier,Extrapolation,Coupé attesté,Concept abandonné,Allégation écartée"</x:formula1>
    </x:dataValidation>
    <x:dataValidation type="list" sqref="E7:E19">
      <x:formula1>"P0,P1,P2"</x:formula1>
    </x:dataValidation>
  </x:dataValidations>
  <x:pageMargins left="0.7" right="0.7" top="0.75" bottom="0.75" header="0.3" footer="0.3"/>
  <x:tableParts count="1">
    <x:tablePart xmlns:r="http://schemas.openxmlformats.org/officeDocument/2006/relationships" r:id="R895ae93c3ba14f77"/>
  </x:tableParts>
</x:worksheet>
</file>

<file path=xl/worksheets/sheet1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Cinématiques</x:v>
      </x:c>
      <x:c r="B2" s="2"/>
      <x:c r="C2" s="2"/>
      <x:c r="D2" s="2"/>
      <x:c r="E2" s="2"/>
      <x:c r="F2" s="2"/>
      <x:c r="G2" s="2"/>
      <x:c r="H2" s="2"/>
      <x:c r="I2" s="2"/>
      <x:c r="J2" s="2"/>
      <x:c r="K2" s="2"/>
      <x:c r="L2" s="2"/>
      <x:c r="M2" s="2"/>
      <x:c r="N2" s="2"/>
      <x:c r="O2" s="2"/>
      <x:c r="P2" s="2"/>
      <x:c r="Q2" s="2"/>
      <x:c r="R2" s="2"/>
      <x:c r="S2" s="2"/>
    </x:row>
    <x:row r="3" ht="22" customHeight="1">
      <x:c r="A3" s="4" t="str">
        <x:v>Mass Effect 3 — Séquences et mise en scène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ME3-CIN-EARTH-DEPARTURE</x:v>
      </x:c>
      <x:c r="B7" s="9" t="str">
        <x:v>Évacuation de la Terre</x:v>
      </x:c>
      <x:c r="C7" s="15" t="str">
        <x:v>Défini</x:v>
      </x:c>
      <x:c r="D7" s="16" t="str">
        <x:v>Extrapolation</x:v>
      </x:c>
      <x:c r="E7" s="16" t="str">
        <x:v>P1</x:v>
      </x:c>
      <x:c r="F7" s="9" t="str">
        <x:v>Livrable original proposé : Évacuation de la Terre.</x:v>
      </x:c>
      <x:c r="G7" s="9" t="str">
        <x:v>Découper attaque, parcours et décollage ; garder sentiment d’échelle avec caméra stable et flashes réglables.</x:v>
      </x:c>
      <x:c r="H7" s="9" t="str">
        <x:v>Découper attaque, parcours et décollage ; garder sentiment d’échelle avec caméra stable et flashes réglables.</x:v>
      </x:c>
      <x:c r="I7" s="9" t="str">
        <x:v>Navette, Normandy et ville attaquée.</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me3/cinematics/earth-departure ; rattacher les ressources et états cités à cet identifiant. Aucun fichier de jeu créé par ce catalogue.</x:v>
      </x:c>
      <x:c r="M7" s="9" t="str"/>
      <x:c r="N7" s="9" t="str">
        <x:v>Le livrable « Évacuation de la Terre » possède une scène ou un scénario de contrôle ; ses règles proposées, ses conditions et ses retours visuels sont vérifiables séparément.</x:v>
      </x:c>
      <x:c r="O7" s="9" t="str">
        <x:v>ME3-MQ-EARTH-PROLOGUE</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ME3-CIN-MARS-REVEAL</x:v>
      </x:c>
      <x:c r="B8" s="7" t="str">
        <x:v>Révélation de Mars</x:v>
      </x:c>
      <x:c r="C8" s="15" t="str">
        <x:v>Défini</x:v>
      </x:c>
      <x:c r="D8" s="17" t="str">
        <x:v>Extrapolation</x:v>
      </x:c>
      <x:c r="E8" s="17" t="str">
        <x:v>P1</x:v>
      </x:c>
      <x:c r="F8" s="7" t="str">
        <x:v>Livrable original proposé : Révélation de Mars.</x:v>
      </x:c>
      <x:c r="G8" s="7" t="str">
        <x:v>Poursuite puis révélation d’Eva avec état final unique ; skip applique les mêmes conséquences que lecture complète.</x:v>
      </x:c>
      <x:c r="H8" s="7" t="str">
        <x:v>Poursuite puis révélation d’Eva avec état final unique ; skip applique les mêmes conséquences que lecture complète.</x:v>
      </x:c>
      <x:c r="I8" s="7" t="str">
        <x:v>Couloir de tempête et visage synthétique.</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me3/cinematics/mars-reveal ; rattacher les ressources et états cités à cet identifiant. Aucun fichier de jeu créé par ce catalogue.</x:v>
      </x:c>
      <x:c r="M8" s="7" t="str"/>
      <x:c r="N8" s="7" t="str">
        <x:v>Le livrable « Révélation de Mars » possède une scène ou un scénario de contrôle ; ses règles proposées, ses conditions et ses retours visuels sont vérifiables séparément.</x:v>
      </x:c>
      <x:c r="O8" s="7" t="str">
        <x:v>ME3-MQ-MARS</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ME3-CIN-CURE</x:v>
      </x:c>
      <x:c r="B9" s="9" t="str">
        <x:v>Dispersion du remède</x:v>
      </x:c>
      <x:c r="C9" s="15" t="str">
        <x:v>Défini</x:v>
      </x:c>
      <x:c r="D9" s="16" t="str">
        <x:v>Extrapolation</x:v>
      </x:c>
      <x:c r="E9" s="16" t="str">
        <x:v>P1</x:v>
      </x:c>
      <x:c r="F9" s="9" t="str">
        <x:v>Livrable original proposé : Dispersion du remède.</x:v>
      </x:c>
      <x:c r="G9" s="9" t="str">
        <x:v>Version de cure et version de sabotage ont plans et bilan cohérents ; aucune image de guérison complète dans branche mensongère.</x:v>
      </x:c>
      <x:c r="H9" s="9" t="str">
        <x:v>Version de cure et version de sabotage ont plans et bilan cohérents ; aucune image de guérison complète dans branche mensongère.</x:v>
      </x:c>
      <x:c r="I9" s="9" t="str">
        <x:v>Tour, ciel et réactions krogan.</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me3/cinematics/cure ; rattacher les ressources et états cités à cet identifiant. Aucun fichier de jeu créé par ce catalogue.</x:v>
      </x:c>
      <x:c r="M9" s="9" t="str"/>
      <x:c r="N9" s="9" t="str">
        <x:v>Le livrable « Dispersion du remède » possède une scène ou un scénario de contrôle ; ses règles proposées, ses conditions et ses retours visuels sont vérifiables séparément.</x:v>
      </x:c>
      <x:c r="O9" s="9" t="str">
        <x:v>ME3-CHO-CURE</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ME3-CIN-KALROS</x:v>
      </x:c>
      <x:c r="B10" s="7" t="str">
        <x:v>Kalros et le Moissonneur</x:v>
      </x:c>
      <x:c r="C10" s="15" t="str">
        <x:v>Défini</x:v>
      </x:c>
      <x:c r="D10" s="17" t="str">
        <x:v>Extrapolation</x:v>
      </x:c>
      <x:c r="E10" s="17" t="str">
        <x:v>P1</x:v>
      </x:c>
      <x:c r="F10" s="7" t="str">
        <x:v>Livrable original proposé : Kalros et le Moissonneur.</x:v>
      </x:c>
      <x:c r="G10" s="7" t="str">
        <x:v>Combat gigantesque en arrière-plan, puis retour au groupe sur repère stable ; pas d’ennemi ciblable géant par accident.</x:v>
      </x:c>
      <x:c r="H10" s="7" t="str">
        <x:v>Combat gigantesque en arrière-plan, puis retour au groupe sur repère stable ; pas d’ennemi ciblable géant par accident.</x:v>
      </x:c>
      <x:c r="I10" s="7" t="str">
        <x:v>Silhouettes colossales et poussière.</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me3/cinematics/kalros ; rattacher les ressources et états cités à cet identifiant. Aucun fichier de jeu créé par ce catalogue.</x:v>
      </x:c>
      <x:c r="M10" s="7" t="str"/>
      <x:c r="N10" s="7" t="str">
        <x:v>Le livrable « Kalros et le Moissonneur » possède une scène ou un scénario de contrôle ; ses règles proposées, ses conditions et ses retours visuels sont vérifiables séparément.</x:v>
      </x:c>
      <x:c r="O10" s="7" t="str">
        <x:v>ME3-MQ-TUCHANKA</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ME3-CIN-COUP</x:v>
      </x:c>
      <x:c r="B11" s="9" t="str">
        <x:v>Affrontement du coup d’État</x:v>
      </x:c>
      <x:c r="C11" s="15" t="str">
        <x:v>Défini</x:v>
      </x:c>
      <x:c r="D11" s="16" t="str">
        <x:v>Extrapolation</x:v>
      </x:c>
      <x:c r="E11" s="16" t="str">
        <x:v>P1</x:v>
      </x:c>
      <x:c r="F11" s="9" t="str">
        <x:v>Livrable original proposé : Affrontement du coup d’État.</x:v>
      </x:c>
      <x:c r="G11" s="9" t="str">
        <x:v>Placer survivant de Virmire, Udina et Shepard ; arme et orientation dépendent de l’auteur effectif de l’action.</x:v>
      </x:c>
      <x:c r="H11" s="9" t="str">
        <x:v>Placer survivant de Virmire, Udina et Shepard ; arme et orientation dépendent de l’auteur effectif de l’action.</x:v>
      </x:c>
      <x:c r="I11" s="9" t="str">
        <x:v>Ascenseur et couloir du Conseil.</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me3/cinematics/coup ; rattacher les ressources et états cités à cet identifiant. Aucun fichier de jeu créé par ce catalogue.</x:v>
      </x:c>
      <x:c r="M11" s="9" t="str"/>
      <x:c r="N11" s="9" t="str">
        <x:v>Le livrable « Affrontement du coup d’État » possède une scène ou un scénario de contrôle ; ses règles proposées, ses conditions et ses retours visuels sont vérifiables séparément.</x:v>
      </x:c>
      <x:c r="O11" s="9" t="str">
        <x:v>ME3-MQ-CITADEL2</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ME3-CIN-RANNOCH</x:v>
      </x:c>
      <x:c r="B12" s="7" t="str">
        <x:v>Résolution des flottes</x:v>
      </x:c>
      <x:c r="C12" s="15" t="str">
        <x:v>Défini</x:v>
      </x:c>
      <x:c r="D12" s="17" t="str">
        <x:v>Extrapolation</x:v>
      </x:c>
      <x:c r="E12" s="17" t="str">
        <x:v>P1</x:v>
      </x:c>
      <x:c r="F12" s="7" t="str">
        <x:v>Livrable original proposé : Résolution des flottes.</x:v>
      </x:c>
      <x:c r="G12" s="7" t="str">
        <x:v>Trois montages conditionnels sans couper un personnage vivant au mauvais endroit ; résultat explicite au retour du contrôle.</x:v>
      </x:c>
      <x:c r="H12" s="7" t="str">
        <x:v>Trois montages conditionnels sans couper un personnage vivant au mauvais endroit ; résultat explicite au retour du contrôle.</x:v>
      </x:c>
      <x:c r="I12" s="7" t="str">
        <x:v>Flottes et ciel de Rannoch.</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me3/cinematics/rannoch ; rattacher les ressources et états cités à cet identifiant. Aucun fichier de jeu créé par ce catalogue.</x:v>
      </x:c>
      <x:c r="M12" s="7" t="str"/>
      <x:c r="N12" s="7" t="str">
        <x:v>Le livrable « Résolution des flottes » possède une scène ou un scénario de contrôle ; ses règles proposées, ses conditions et ses retours visuels sont vérifiables séparément.</x:v>
      </x:c>
      <x:c r="O12" s="7" t="str">
        <x:v>ME3-CHO-PEACE, ME3-CHO-GETH-UPDATE</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ME3-CIN-THESSIA</x:v>
      </x:c>
      <x:c r="B13" s="9" t="str">
        <x:v>Chute de Thessia</x:v>
      </x:c>
      <x:c r="C13" s="15" t="str">
        <x:v>Défini</x:v>
      </x:c>
      <x:c r="D13" s="16" t="str">
        <x:v>Extrapolation</x:v>
      </x:c>
      <x:c r="E13" s="16" t="str">
        <x:v>P1</x:v>
      </x:c>
      <x:c r="F13" s="9" t="str">
        <x:v>Livrable original proposé : Chute de Thessia.</x:v>
      </x:c>
      <x:c r="G13" s="9" t="str">
        <x:v>Échec narratif lisible après confrontation ; le joueur n’est pas puni par un faux écran de mort/retry impossible.</x:v>
      </x:c>
      <x:c r="H13" s="9" t="str">
        <x:v>Échec narratif lisible après confrontation ; le joueur n’est pas puni par un faux écran de mort/retry impossible.</x:v>
      </x:c>
      <x:c r="I13" s="9" t="str">
        <x:v>Temple endommagé et navette ennemie.</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me3/cinematics/thessia ; rattacher les ressources et états cités à cet identifiant. Aucun fichier de jeu créé par ce catalogue.</x:v>
      </x:c>
      <x:c r="M13" s="9" t="str"/>
      <x:c r="N13" s="9" t="str">
        <x:v>Le livrable « Chute de Thessia » possède une scène ou un scénario de contrôle ; ses règles proposées, ses conditions et ses retours visuels sont vérifiables séparément.</x:v>
      </x:c>
      <x:c r="O13" s="9" t="str">
        <x:v>ME3-MQ-THESSIA</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ME3-CIN-SANCTUARY</x:v>
      </x:c>
      <x:c r="B14" s="7" t="str">
        <x:v>Confrontation des Lawson</x:v>
      </x:c>
      <x:c r="C14" s="15" t="str">
        <x:v>Défini</x:v>
      </x:c>
      <x:c r="D14" s="17" t="str">
        <x:v>Extrapolation</x:v>
      </x:c>
      <x:c r="E14" s="17" t="str">
        <x:v>P1</x:v>
      </x:c>
      <x:c r="F14" s="7" t="str">
        <x:v>Livrable original proposé : Confrontation des Lawson.</x:v>
      </x:c>
      <x:c r="G14" s="7" t="str">
        <x:v>Variantes selon Miranda, aide et décision ; poser Oriana à un emplacement sûr après la scène.</x:v>
      </x:c>
      <x:c r="H14" s="7" t="str">
        <x:v>Variantes selon Miranda, aide et décision ; poser Oriana à un emplacement sûr après la scène.</x:v>
      </x:c>
      <x:c r="I14" s="7" t="str">
        <x:v>Passerelle et baie de Sanctuary.</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me3/cinematics/sanctuary ; rattacher les ressources et états cités à cet identifiant. Aucun fichier de jeu créé par ce catalogue.</x:v>
      </x:c>
      <x:c r="M14" s="7" t="str"/>
      <x:c r="N14" s="7" t="str">
        <x:v>Le livrable « Confrontation des Lawson » possède une scène ou un scénario de contrôle ; ses règles proposées, ses conditions et ses retours visuels sont vérifiables séparément.</x:v>
      </x:c>
      <x:c r="O14" s="7" t="str">
        <x:v>ME3-CHO-ORIANA</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ME3-CIN-LEVIATHAN</x:v>
      </x:c>
      <x:c r="B15" s="9" t="str">
        <x:v>Rencontre abyssale</x:v>
      </x:c>
      <x:c r="C15" s="15" t="str">
        <x:v>Défini</x:v>
      </x:c>
      <x:c r="D15" s="16" t="str">
        <x:v>Extrapolation</x:v>
      </x:c>
      <x:c r="E15" s="16" t="str">
        <x:v>P1</x:v>
      </x:c>
      <x:c r="F15" s="9" t="str">
        <x:v>Livrable original proposé : Rencontre abyssale.</x:v>
      </x:c>
      <x:c r="G15" s="9" t="str">
        <x:v>Échelle par silhouettes et lumière, dialogue sous-titré ; toutes les réponses restent accessibles en mode réduction de mouvement.</x:v>
      </x:c>
      <x:c r="H15" s="9" t="str">
        <x:v>Échelle par silhouettes et lumière, dialogue sous-titré ; toutes les réponses restent accessibles en mode réduction de mouvement.</x:v>
      </x:c>
      <x:c r="I15" s="9" t="str">
        <x:v>Visages abyssaux et cockpit minuscule.</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me3/cinematics/leviathan ; rattacher les ressources et états cités à cet identifiant. Aucun fichier de jeu créé par ce catalogue.</x:v>
      </x:c>
      <x:c r="M15" s="9" t="str"/>
      <x:c r="N15" s="9" t="str">
        <x:v>Le livrable « Rencontre abyssale » possède une scène ou un scénario de contrôle ; ses règles proposées, ses conditions et ses retours visuels sont vérifiables séparément.</x:v>
      </x:c>
      <x:c r="O15" s="9" t="str">
        <x:v>ME3-MQ-DESPOINA</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ME3-CIN-OMEGA</x:v>
      </x:c>
      <x:c r="B16" s="7" t="str">
        <x:v>Conclusion d’Omega</x:v>
      </x:c>
      <x:c r="C16" s="15" t="str">
        <x:v>Défini</x:v>
      </x:c>
      <x:c r="D16" s="17" t="str">
        <x:v>Extrapolation</x:v>
      </x:c>
      <x:c r="E16" s="17" t="str">
        <x:v>P1</x:v>
      </x:c>
      <x:c r="F16" s="7" t="str">
        <x:v>Livrable original proposé : Conclusion d’Omega.</x:v>
      </x:c>
      <x:c r="G16" s="7" t="str">
        <x:v>Mort ou reddition de Petrovsky, réponse d’Aria puis départ ; journal final s’écrit avant transition de retour.</x:v>
      </x:c>
      <x:c r="H16" s="7" t="str">
        <x:v>Mort ou reddition de Petrovsky, réponse d’Aria puis départ ; journal final s’écrit avant transition de retour.</x:v>
      </x:c>
      <x:c r="I16" s="7" t="str">
        <x:v>Afterlife et foule libérée.</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me3/cinematics/omega ; rattacher les ressources et états cités à cet identifiant. Aucun fichier de jeu créé par ce catalogue.</x:v>
      </x:c>
      <x:c r="M16" s="7" t="str"/>
      <x:c r="N16" s="7" t="str">
        <x:v>Le livrable « Conclusion d’Omega » possède une scène ou un scénario de contrôle ; ses règles proposées, ses conditions et ses retours visuels sont vérifiables séparément.</x:v>
      </x:c>
      <x:c r="O16" s="7" t="str">
        <x:v>ME3-CHO-PETROVSKY</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ME3-CIN-NORMANDY-DUEL</x:v>
      </x:c>
      <x:c r="B17" s="9" t="str">
        <x:v>Duel final du clone</x:v>
      </x:c>
      <x:c r="C17" s="15" t="str">
        <x:v>Défini</x:v>
      </x:c>
      <x:c r="D17" s="16" t="str">
        <x:v>Extrapolation</x:v>
      </x:c>
      <x:c r="E17" s="16" t="str">
        <x:v>P1</x:v>
      </x:c>
      <x:c r="F17" s="9" t="str">
        <x:v>Livrable original proposé : Duel final du clone.</x:v>
      </x:c>
      <x:c r="G17" s="9" t="str">
        <x:v>Animation de rampe avec acteur principal et clone identifiables ; skip conserve état de Brooks et équipement rendu.</x:v>
      </x:c>
      <x:c r="H17" s="9" t="str">
        <x:v>Animation de rampe avec acteur principal et clone identifiables ; skip conserve état de Brooks et équipement rendu.</x:v>
      </x:c>
      <x:c r="I17" s="9" t="str">
        <x:v>Rampe du Normandy et espace ouvert.</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me3/cinematics/normandy-duel ; rattacher les ressources et états cités à cet identifiant. Aucun fichier de jeu créé par ce catalogue.</x:v>
      </x:c>
      <x:c r="M17" s="9" t="str"/>
      <x:c r="N17" s="9" t="str">
        <x:v>Le livrable « Duel final du clone » possède une scène ou un scénario de contrôle ; ses règles proposées, ses conditions et ses retours visuels sont vérifiables séparément.</x:v>
      </x:c>
      <x:c r="O17" s="9" t="str">
        <x:v>ME3-CHO-CLONE, ME3-CHO-BROOKS</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ME3-CIN-FINALE</x:v>
      </x:c>
      <x:c r="B18" s="7" t="str">
        <x:v>Épilogues Extended Cut</x:v>
      </x:c>
      <x:c r="C18" s="15" t="str">
        <x:v>Défini</x:v>
      </x:c>
      <x:c r="D18" s="17" t="str">
        <x:v>Extrapolation</x:v>
      </x:c>
      <x:c r="E18" s="17" t="str">
        <x:v>P1</x:v>
      </x:c>
      <x:c r="F18" s="7" t="str">
        <x:v>Livrable original proposé : Épilogues Extended Cut.</x:v>
      </x:c>
      <x:c r="G18" s="7" t="str">
        <x:v>Assemblage à partir de choix final, version et grands états politiques ; index de plans vérifié sans déclarer un montage canon unique.</x:v>
      </x:c>
      <x:c r="H18" s="7" t="str">
        <x:v>Assemblage à partir de choix final, version et grands états politiques ; index de plans vérifié sans déclarer un montage canon unique.</x:v>
      </x:c>
      <x:c r="I18" s="7" t="str">
        <x:v>Terre, relais, Normandy et peuples.</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me3/cinematics/finale ; rattacher les ressources et états cités à cet identifiant. Aucun fichier de jeu créé par ce catalogue.</x:v>
      </x:c>
      <x:c r="M18" s="7" t="str"/>
      <x:c r="N18" s="7" t="str">
        <x:v>Le livrable « Épilogues Extended Cut » possède une scène ou un scénario de contrôle ; ses règles proposées, ses conditions et ses retours visuels sont vérifiables séparément.</x:v>
      </x:c>
      <x:c r="O18" s="7" t="str">
        <x:v>ME3-CHO-DESTROY, ME3-CHO-CONTROL, ME3-CHO-SYNTHESIS, ME3-CHO-REFUSAL</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sheetData>
  <x:conditionalFormatting sqref="D7:D18">
    <x:cfRule type="cellIs" dxfId="52" priority="1" operator="equal">
      <x:formula>"À vérifier"</x:formula>
    </x:cfRule>
    <x:cfRule type="cellIs" dxfId="53" priority="2" operator="equal">
      <x:formula>"Extrapolation"</x:formula>
    </x:cfRule>
  </x:conditionalFormatting>
  <x:conditionalFormatting sqref="C7:C18">
    <x:cfRule type="cellIs" dxfId="54" priority="3" operator="equal">
      <x:formula>"Validé"</x:formula>
    </x:cfRule>
  </x:conditionalFormatting>
  <x:conditionalFormatting sqref="E7:E18">
    <x:cfRule type="cellIs" dxfId="55" priority="4" operator="equal">
      <x:formula>"P0"</x:formula>
    </x:cfRule>
  </x:conditionalFormatting>
  <x:dataValidations count="3">
    <x:dataValidation type="list" sqref="C7:C18">
      <x:formula1>"Défini,Prototype,Intégré,Validé"</x:formula1>
    </x:dataValidation>
    <x:dataValidation type="list" sqref="D7:D18">
      <x:formula1>"Établi,À vérifier,Extrapolation,Coupé attesté,Concept abandonné,Allégation écartée"</x:formula1>
    </x:dataValidation>
    <x:dataValidation type="list" sqref="E7:E18">
      <x:formula1>"P0,P1,P2"</x:formula1>
    </x:dataValidation>
  </x:dataValidations>
  <x:pageMargins left="0.7" right="0.7" top="0.75" bottom="0.75" header="0.3" footer="0.3"/>
  <x:tableParts count="1">
    <x:tablePart xmlns:r="http://schemas.openxmlformats.org/officeDocument/2006/relationships" r:id="R838b76fc6971467e"/>
  </x:tableParts>
</x:worksheet>
</file>

<file path=xl/worksheets/sheet1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88"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Armes</x:v>
      </x:c>
      <x:c r="B2" s="2"/>
      <x:c r="C2" s="2"/>
      <x:c r="D2" s="2"/>
      <x:c r="E2" s="2"/>
      <x:c r="F2" s="2"/>
      <x:c r="G2" s="2"/>
      <x:c r="H2" s="2"/>
      <x:c r="I2" s="2"/>
      <x:c r="J2" s="2"/>
      <x:c r="K2" s="2"/>
      <x:c r="L2" s="2"/>
      <x:c r="M2" s="2"/>
      <x:c r="N2" s="2"/>
      <x:c r="O2" s="2"/>
      <x:c r="P2" s="2"/>
      <x:c r="Q2" s="2"/>
      <x:c r="R2" s="2"/>
      <x:c r="S2" s="2"/>
    </x:row>
    <x:row r="3" ht="22" customHeight="1">
      <x:c r="A3" s="4" t="str">
        <x:v>Mass Effect 3 — Familles, modèles et comportements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ME3-WPN-AVENGER</x:v>
      </x:c>
      <x:c r="B7" s="9" t="str">
        <x:v>M-8 Avenger</x:v>
      </x:c>
      <x:c r="C7" s="15" t="str">
        <x:v>Défini</x:v>
      </x:c>
      <x:c r="D7" s="16" t="str">
        <x:v>Établi</x:v>
      </x:c>
      <x:c r="E7" s="16" t="str">
        <x:v>P1</x:v>
      </x:c>
      <x:c r="F7" s="9" t="str">
        <x:v>Fusil d’assaut.</x:v>
      </x:c>
      <x:c r="G7" s="9" t="str">
        <x:v>Arme témoin : rafale stable et coût ATB modéré proposé ; calibrer les autres profils par sa lisibilité.</x:v>
      </x:c>
      <x:c r="H7" s="9" t="str">
        <x:v>Arme témoin : rafale stable et coût ATB modéré proposé ; calibrer les autres profils par sa lisibilité.</x:v>
      </x:c>
      <x:c r="I7" s="9" t="str">
        <x:v>Carcasse Alliance compacte.</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me3/weapons/avenger ; rattacher les ressources et états cités à cet identifiant. Aucun fichier de jeu créé par ce catalogue.</x:v>
      </x:c>
      <x:c r="M7" s="9" t="str"/>
      <x:c r="N7" s="9" t="str">
        <x:v>Le livrable « M-8 Avenger » possède une scène ou un scénario de contrôle ; ses règles proposées, ses conditions et ses retours visuels sont vérifiables séparément.</x:v>
      </x:c>
      <x:c r="O7" s="9" t="str"/>
      <x:c r="P7" s="9" t="str">
        <x:v>M-8 Avenger</x:v>
      </x:c>
      <x:c r="Q7" s="9" t="str">
        <x:v>ME3-SRC-EQUIP</x:v>
      </x:c>
      <x:c r="R7" s="20" t="str">
        <x:v>https://masseffect.fandom.com/wiki/Equipment_Guide_%28Mass_Effect_3%29</x:v>
      </x:c>
      <x:c r="S7" s="20" t="str">
        <x:v>Spécification à réaliser. Les champs adaptation, gameplay, visual, animation, audio et implementation décrivent le fan game ; ils ne donnent pas des caractéristiques officielles de l’œuvre.</x:v>
      </x:c>
    </x:row>
    <x:row r="8" ht="68" customHeight="1">
      <x:c r="A8" s="19" t="str">
        <x:v>ME3-WPN-VINDICATOR</x:v>
      </x:c>
      <x:c r="B8" s="7" t="str">
        <x:v>M-15 Vindicator</x:v>
      </x:c>
      <x:c r="C8" s="15" t="str">
        <x:v>Défini</x:v>
      </x:c>
      <x:c r="D8" s="17" t="str">
        <x:v>Établi</x:v>
      </x:c>
      <x:c r="E8" s="17" t="str">
        <x:v>P1</x:v>
      </x:c>
      <x:c r="F8" s="7" t="str">
        <x:v>Fusil d’assaut.</x:v>
      </x:c>
      <x:c r="G8" s="7" t="str">
        <x:v>Rafale courte indivisible ; la file affiche le nombre de projectiles déjà résolus avant interruption.</x:v>
      </x:c>
      <x:c r="H8" s="7" t="str">
        <x:v>Rafale courte indivisible ; la file affiche le nombre de projectiles déjà résolus avant interruption.</x:v>
      </x:c>
      <x:c r="I8" s="7" t="str">
        <x:v>Fusil à cadence en salve.</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me3/weapons/vindicator ; rattacher les ressources et états cités à cet identifiant. Aucun fichier de jeu créé par ce catalogue.</x:v>
      </x:c>
      <x:c r="M8" s="7" t="str"/>
      <x:c r="N8" s="7" t="str">
        <x:v>Le livrable « M-15 Vindicator » possède une scène ou un scénario de contrôle ; ses règles proposées, ses conditions et ses retours visuels sont vérifiables séparément.</x:v>
      </x:c>
      <x:c r="O8" s="7" t="str"/>
      <x:c r="P8" s="7" t="str">
        <x:v>M-15 Vindicator</x:v>
      </x:c>
      <x:c r="Q8" s="7" t="str">
        <x:v>ME3-SRC-EQUIP</x:v>
      </x:c>
      <x:c r="R8" s="21" t="str">
        <x:v>https://masseffect.fandom.com/wiki/Equipment_Guide_%28Mass_Effect_3%29</x:v>
      </x:c>
      <x:c r="S8" s="21" t="str">
        <x:v>Spécification à réaliser. Les champs adaptation, gameplay, visual, animation, audio et implementation décrivent le fan game ; ils ne donnent pas des caractéristiques officielles de l’œuvre.</x:v>
      </x:c>
    </x:row>
    <x:row r="9" ht="68" customHeight="1">
      <x:c r="A9" s="18" t="str">
        <x:v>ME3-WPN-MATTOCK</x:v>
      </x:c>
      <x:c r="B9" s="9" t="str">
        <x:v>M-96 Mattock</x:v>
      </x:c>
      <x:c r="C9" s="15" t="str">
        <x:v>Défini</x:v>
      </x:c>
      <x:c r="D9" s="16" t="str">
        <x:v>Établi</x:v>
      </x:c>
      <x:c r="E9" s="16" t="str">
        <x:v>P1</x:v>
      </x:c>
      <x:c r="F9" s="9" t="str">
        <x:v>Fusil semi-automatique.</x:v>
      </x:c>
      <x:c r="G9" s="9" t="str">
        <x:v>Visée posée et dépense par coup ; garder choix entre deux cibles plutôt qu’une rafale imposée.</x:v>
      </x:c>
      <x:c r="H9" s="9" t="str">
        <x:v>Visée posée et dépense par coup ; garder choix entre deux cibles plutôt qu’une rafale imposée.</x:v>
      </x:c>
      <x:c r="I9" s="9" t="str">
        <x:v>Crosse longue et boîtier sombre.</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me3/weapons/mattock ; rattacher les ressources et états cités à cet identifiant. Aucun fichier de jeu créé par ce catalogue.</x:v>
      </x:c>
      <x:c r="M9" s="9" t="str"/>
      <x:c r="N9" s="9" t="str">
        <x:v>Le livrable « M-96 Mattock » possède une scène ou un scénario de contrôle ; ses règles proposées, ses conditions et ses retours visuels sont vérifiables séparément.</x:v>
      </x:c>
      <x:c r="O9" s="9" t="str"/>
      <x:c r="P9" s="9" t="str">
        <x:v>M-96 Mattock</x:v>
      </x:c>
      <x:c r="Q9" s="9" t="str">
        <x:v>ME3-SRC-EQUIP</x:v>
      </x:c>
      <x:c r="R9" s="20" t="str">
        <x:v>https://masseffect.fandom.com/wiki/Equipment_Guide_%28Mass_Effect_3%29</x:v>
      </x:c>
      <x:c r="S9" s="20" t="str">
        <x:v>Spécification à réaliser. Les champs adaptation, gameplay, visual, animation, audio et implementation décrivent le fan game ; ils ne donnent pas des caractéristiques officielles de l’œuvre.</x:v>
      </x:c>
    </x:row>
    <x:row r="10" ht="68" customHeight="1">
      <x:c r="A10" s="19" t="str">
        <x:v>ME3-WPN-REVENANT</x:v>
      </x:c>
      <x:c r="B10" s="7" t="str">
        <x:v>M-76 Revenant</x:v>
      </x:c>
      <x:c r="C10" s="15" t="str">
        <x:v>Défini</x:v>
      </x:c>
      <x:c r="D10" s="17" t="str">
        <x:v>Établi</x:v>
      </x:c>
      <x:c r="E10" s="17" t="str">
        <x:v>P1</x:v>
      </x:c>
      <x:c r="F10" s="7" t="str">
        <x:v>Fusil d’assaut lourd.</x:v>
      </x:c>
      <x:c r="G10" s="7" t="str">
        <x:v>Suppression prolongée avec stabilité croissante en couvert ; déplacement rompt l’engagement.</x:v>
      </x:c>
      <x:c r="H10" s="7" t="str">
        <x:v>Suppression prolongée avec stabilité croissante en couvert ; déplacement rompt l’engagement.</x:v>
      </x:c>
      <x:c r="I10" s="7" t="str">
        <x:v>Large canon et chargeur massif.</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me3/weapons/revenant ; rattacher les ressources et états cités à cet identifiant. Aucun fichier de jeu créé par ce catalogue.</x:v>
      </x:c>
      <x:c r="M10" s="7" t="str"/>
      <x:c r="N10" s="7" t="str">
        <x:v>Le livrable « M-76 Revenant » possède une scène ou un scénario de contrôle ; ses règles proposées, ses conditions et ses retours visuels sont vérifiables séparément.</x:v>
      </x:c>
      <x:c r="O10" s="7" t="str"/>
      <x:c r="P10" s="7" t="str">
        <x:v>M-76 Revenant</x:v>
      </x:c>
      <x:c r="Q10" s="7" t="str">
        <x:v>ME3-SRC-EQUIP</x:v>
      </x:c>
      <x:c r="R10" s="21" t="str">
        <x:v>https://masseffect.fandom.com/wiki/Equipment_Guide_%28Mass_Effect_3%29</x:v>
      </x:c>
      <x:c r="S10" s="21" t="str">
        <x:v>Spécification à réaliser. Les champs adaptation, gameplay, visual, animation, audio et implementation décrivent le fan game ; ils ne donnent pas des caractéristiques officielles de l’œuvre.</x:v>
      </x:c>
    </x:row>
    <x:row r="11" ht="68" customHeight="1">
      <x:c r="A11" s="18" t="str">
        <x:v>ME3-WPN-PHAESTON</x:v>
      </x:c>
      <x:c r="B11" s="9" t="str">
        <x:v>Phaeston</x:v>
      </x:c>
      <x:c r="C11" s="15" t="str">
        <x:v>Défini</x:v>
      </x:c>
      <x:c r="D11" s="16" t="str">
        <x:v>Établi</x:v>
      </x:c>
      <x:c r="E11" s="16" t="str">
        <x:v>P1</x:v>
      </x:c>
      <x:c r="F11" s="9" t="str">
        <x:v>Fusil turien.</x:v>
      </x:c>
      <x:c r="G11" s="9" t="str">
        <x:v>Rafale régulière avec silhouette et son propres ; aucune égalité automatique avec fusil humain.</x:v>
      </x:c>
      <x:c r="H11" s="9" t="str">
        <x:v>Rafale régulière avec silhouette et son propres ; aucune égalité automatique avec fusil humain.</x:v>
      </x:c>
      <x:c r="I11" s="9" t="str">
        <x:v>Carcasse angulaire turienne.</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me3/weapons/phaeston ; rattacher les ressources et états cités à cet identifiant. Aucun fichier de jeu créé par ce catalogue.</x:v>
      </x:c>
      <x:c r="M11" s="9" t="str"/>
      <x:c r="N11" s="9" t="str">
        <x:v>Le livrable « Phaeston » possède une scène ou un scénario de contrôle ; ses règles proposées, ses conditions et ses retours visuels sont vérifiables séparément.</x:v>
      </x:c>
      <x:c r="O11" s="9" t="str"/>
      <x:c r="P11" s="9" t="str">
        <x:v>Phaeston</x:v>
      </x:c>
      <x:c r="Q11" s="9" t="str">
        <x:v>ME3-SRC-PHAESTON</x:v>
      </x:c>
      <x:c r="R11" s="20" t="str">
        <x:v>https://masseffect.fandom.com/wiki/Phaeston</x:v>
      </x:c>
      <x:c r="S11" s="20" t="str">
        <x:v>Spécification à réaliser. Les champs adaptation, gameplay, visual, animation, audio et implementation décrivent le fan game ; ils ne donnent pas des caractéristiques officielles de l’œuvre.</x:v>
      </x:c>
    </x:row>
    <x:row r="12" ht="68" customHeight="1">
      <x:c r="A12" s="19" t="str">
        <x:v>ME3-WPN-FALCON</x:v>
      </x:c>
      <x:c r="B12" s="7" t="str">
        <x:v>M-37 Falcon</x:v>
      </x:c>
      <x:c r="C12" s="15" t="str">
        <x:v>Défini</x:v>
      </x:c>
      <x:c r="D12" s="17" t="str">
        <x:v>Établi</x:v>
      </x:c>
      <x:c r="E12" s="17" t="str">
        <x:v>P1</x:v>
      </x:c>
      <x:c r="F12" s="7" t="str">
        <x:v>Lance-grenades classé fusil.</x:v>
      </x:c>
      <x:c r="G12" s="7" t="str">
        <x:v>Arc de tir et zone d’impact visibles ; rebond proposé limité aux surfaces compatibles.</x:v>
      </x:c>
      <x:c r="H12" s="7" t="str">
        <x:v>Arc de tir et zone d’impact visibles ; rebond proposé limité aux surfaces compatibles.</x:v>
      </x:c>
      <x:c r="I12" s="7" t="str">
        <x:v>Canon de projectile large.</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me3/weapons/falcon ; rattacher les ressources et états cités à cet identifiant. Aucun fichier de jeu créé par ce catalogue.</x:v>
      </x:c>
      <x:c r="M12" s="7" t="str"/>
      <x:c r="N12" s="7" t="str">
        <x:v>Le livrable « M-37 Falcon » possède une scène ou un scénario de contrôle ; ses règles proposées, ses conditions et ses retours visuels sont vérifiables séparément.</x:v>
      </x:c>
      <x:c r="O12" s="7" t="str"/>
      <x:c r="P12" s="7" t="str">
        <x:v>M-37 Falcon</x:v>
      </x:c>
      <x:c r="Q12" s="7" t="str">
        <x:v>ME3-SRC-EQUIP</x:v>
      </x:c>
      <x:c r="R12" s="21" t="str">
        <x:v>https://masseffect.fandom.com/wiki/Equipment_Guide_%28Mass_Effect_3%29</x:v>
      </x:c>
      <x:c r="S12" s="21" t="str">
        <x:v>Spécification à réaliser. Les champs adaptation, gameplay, visual, animation, audio et implementation décrivent le fan game ; ils ne donnent pas des caractéristiques officielles de l’œuvre.</x:v>
      </x:c>
    </x:row>
    <x:row r="13" ht="68" customHeight="1">
      <x:c r="A13" s="18" t="str">
        <x:v>ME3-WPN-SABER</x:v>
      </x:c>
      <x:c r="B13" s="9" t="str">
        <x:v>M-99 Saber</x:v>
      </x:c>
      <x:c r="C13" s="15" t="str">
        <x:v>Défini</x:v>
      </x:c>
      <x:c r="D13" s="16" t="str">
        <x:v>Établi</x:v>
      </x:c>
      <x:c r="E13" s="16" t="str">
        <x:v>P1</x:v>
      </x:c>
      <x:c r="F13" s="9" t="str">
        <x:v>Fusil lourd.</x:v>
      </x:c>
      <x:c r="G13" s="9" t="str">
        <x:v>Tir lent de précision ; longue récupération expose le tireur si ordre donné hors couvert.</x:v>
      </x:c>
      <x:c r="H13" s="9" t="str">
        <x:v>Tir lent de précision ; longue récupération expose le tireur si ordre donné hors couvert.</x:v>
      </x:c>
      <x:c r="I13" s="9" t="str">
        <x:v>Fusil massif à long canon.</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me3/weapons/saber ; rattacher les ressources et états cités à cet identifiant. Aucun fichier de jeu créé par ce catalogue.</x:v>
      </x:c>
      <x:c r="M13" s="9" t="str"/>
      <x:c r="N13" s="9" t="str">
        <x:v>Le livrable « M-99 Saber » possède une scène ou un scénario de contrôle ; ses règles proposées, ses conditions et ses retours visuels sont vérifiables séparément.</x:v>
      </x:c>
      <x:c r="O13" s="9" t="str"/>
      <x:c r="P13" s="9" t="str">
        <x:v>M-99 Saber</x:v>
      </x:c>
      <x:c r="Q13" s="9" t="str">
        <x:v>ME3-SRC-SABER</x:v>
      </x:c>
      <x:c r="R13" s="20" t="str">
        <x:v>https://masseffect.fandom.com/wiki/M-99_Saber</x:v>
      </x:c>
      <x:c r="S13" s="20" t="str">
        <x:v>Spécification à réaliser. Les champs adaptation, gameplay, visual, animation, audio et implementation décrivent le fan game ; ils ne donnent pas des caractéristiques officielles de l’œuvre.</x:v>
      </x:c>
    </x:row>
    <x:row r="14" ht="68" customHeight="1">
      <x:c r="A14" s="19" t="str">
        <x:v>ME3-WPN-PARTICLE</x:v>
      </x:c>
      <x:c r="B14" s="7" t="str">
        <x:v>Particle Rifle</x:v>
      </x:c>
      <x:c r="C14" s="15" t="str">
        <x:v>Défini</x:v>
      </x:c>
      <x:c r="D14" s="17" t="str">
        <x:v>Établi</x:v>
      </x:c>
      <x:c r="E14" s="17" t="str">
        <x:v>P1</x:v>
      </x:c>
      <x:c r="F14" s="7" t="str">
        <x:v>Arme prothéenne de From Ashes.</x:v>
      </x:c>
      <x:c r="G14" s="7" t="str">
        <x:v>Canalisation à jauge thermique ; relâcher avant surchauffe économise la reprise, sans clip inventé.</x:v>
      </x:c>
      <x:c r="H14" s="7" t="str">
        <x:v>Canalisation à jauge thermique ; relâcher avant surchauffe économise la reprise, sans clip inventé.</x:v>
      </x:c>
      <x:c r="I14" s="7" t="str">
        <x:v>Rayon continu et arme prothéenne.</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me3/weapons/particle ; rattacher les ressources et états cités à cet identifiant. Aucun fichier de jeu créé par ce catalogue.</x:v>
      </x:c>
      <x:c r="M14" s="7" t="str">
        <x:v>DLC / Legendary.</x:v>
      </x:c>
      <x:c r="N14" s="7" t="str">
        <x:v>Le livrable « Particle Rifle » possède une scène ou un scénario de contrôle ; ses règles proposées, ses conditions et ses retours visuels sont vérifiables séparément.</x:v>
      </x:c>
      <x:c r="O14" s="7" t="str"/>
      <x:c r="P14" s="7" t="str">
        <x:v>Particle Rifle</x:v>
      </x:c>
      <x:c r="Q14" s="7" t="str">
        <x:v>ME3-SRC-PARTICLE</x:v>
      </x:c>
      <x:c r="R14" s="21" t="str">
        <x:v>https://masseffect.fandom.com/wiki/Particle_Rifle</x:v>
      </x:c>
      <x:c r="S14" s="21" t="str">
        <x:v>Spécification à réaliser. Les champs adaptation, gameplay, visual, animation, audio et implementation décrivent le fan game ; ils ne donnent pas des caractéristiques officielles de l’œuvre.</x:v>
      </x:c>
    </x:row>
    <x:row r="15" ht="68" customHeight="1">
      <x:c r="A15" s="18" t="str">
        <x:v>ME3-WPN-CHAKRAM</x:v>
      </x:c>
      <x:c r="B15" s="9" t="str">
        <x:v>Chakram Launcher</x:v>
      </x:c>
      <x:c r="C15" s="15" t="str">
        <x:v>Défini</x:v>
      </x:c>
      <x:c r="D15" s="16" t="str">
        <x:v>Établi</x:v>
      </x:c>
      <x:c r="E15" s="16" t="str">
        <x:v>P1</x:v>
      </x:c>
      <x:c r="F15" s="9" t="str">
        <x:v>Arme additionnelle de ME3.</x:v>
      </x:c>
      <x:c r="G15" s="9" t="str">
        <x:v>Préparation de projectile visible ; variante de charge proposée explicite, collisions de disque testées sur arêtes.</x:v>
      </x:c>
      <x:c r="H15" s="9" t="str">
        <x:v>Préparation de projectile visible ; variante de charge proposée explicite, collisions de disque testées sur arêtes.</x:v>
      </x:c>
      <x:c r="I15" s="9" t="str">
        <x:v>Disque énergétique et lanceur compact.</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me3/weapons/chakram ; rattacher les ressources et états cités à cet identifiant. Aucun fichier de jeu créé par ce catalogue.</x:v>
      </x:c>
      <x:c r="M15" s="9" t="str">
        <x:v>Disponibilité selon édition et pack.</x:v>
      </x:c>
      <x:c r="N15" s="9" t="str">
        <x:v>Le livrable « Chakram Launcher » possède une scène ou un scénario de contrôle ; ses règles proposées, ses conditions et ses retours visuels sont vérifiables séparément.</x:v>
      </x:c>
      <x:c r="O15" s="9" t="str"/>
      <x:c r="P15" s="9" t="str">
        <x:v>Chakram Launcher</x:v>
      </x:c>
      <x:c r="Q15" s="9" t="str">
        <x:v>ME3-SRC-CHAKRAM</x:v>
      </x:c>
      <x:c r="R15" s="20" t="str">
        <x:v>https://masseffect.fandom.com/wiki/Chakram_Launcher</x:v>
      </x:c>
      <x:c r="S15" s="20" t="str">
        <x:v>Spécification à réaliser. Les champs adaptation, gameplay, visual, animation, audio et implementation décrivent le fan game ; ils ne donnent pas des caractéristiques officielles de l’œuvre.</x:v>
      </x:c>
    </x:row>
    <x:row r="16" ht="68" customHeight="1">
      <x:c r="A16" s="19" t="str">
        <x:v>ME3-WPN-HARRIER</x:v>
      </x:c>
      <x:c r="B16" s="7" t="str">
        <x:v>Cerberus Harrier</x:v>
      </x:c>
      <x:c r="C16" s="15" t="str">
        <x:v>Défini</x:v>
      </x:c>
      <x:c r="D16" s="17" t="str">
        <x:v>Établi</x:v>
      </x:c>
      <x:c r="E16" s="17" t="str">
        <x:v>P1</x:v>
      </x:c>
      <x:c r="F16" s="7" t="str">
        <x:v>Fusil de l’arsenal étendu.</x:v>
      </x:c>
      <x:c r="G16" s="7" t="str">
        <x:v>Rafale rapide et réserve courte proposée ; rendement affiché sans imposer un classement absolu.</x:v>
      </x:c>
      <x:c r="H16" s="7" t="str">
        <x:v>Rafale rapide et réserve courte proposée ; rendement affiché sans imposer un classement absolu.</x:v>
      </x:c>
      <x:c r="I16" s="7" t="str">
        <x:v>Marquages Cerberus.</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me3/weapons/harrier ; rattacher les ressources et états cités à cet identifiant. Aucun fichier de jeu créé par ce catalogue.</x:v>
      </x:c>
      <x:c r="M16" s="7" t="str">
        <x:v>Pack et acquisition selon édition.</x:v>
      </x:c>
      <x:c r="N16" s="7" t="str">
        <x:v>Le livrable « Cerberus Harrier » possède une scène ou un scénario de contrôle ; ses règles proposées, ses conditions et ses retours visuels sont vérifiables séparément.</x:v>
      </x:c>
      <x:c r="O16" s="7" t="str"/>
      <x:c r="P16" s="7" t="str">
        <x:v>Cerberus Harrier</x:v>
      </x:c>
      <x:c r="Q16" s="7" t="str">
        <x:v>ME3-SRC-EQUIP</x:v>
      </x:c>
      <x:c r="R16" s="21" t="str">
        <x:v>https://masseffect.fandom.com/wiki/Equipment_Guide_%28Mass_Effect_3%29</x:v>
      </x:c>
      <x:c r="S16" s="21" t="str">
        <x:v>Spécification à réaliser. Les champs adaptation, gameplay, visual, animation, audio et implementation décrivent le fan game ; ils ne donnent pas des caractéristiques officielles de l’œuvre.</x:v>
      </x:c>
    </x:row>
    <x:row r="17" ht="68" customHeight="1">
      <x:c r="A17" s="18" t="str">
        <x:v>ME3-WPN-TYPHOON</x:v>
      </x:c>
      <x:c r="B17" s="9" t="str">
        <x:v>N7 Typhoon</x:v>
      </x:c>
      <x:c r="C17" s="15" t="str">
        <x:v>Défini</x:v>
      </x:c>
      <x:c r="D17" s="16" t="str">
        <x:v>Établi</x:v>
      </x:c>
      <x:c r="E17" s="16" t="str">
        <x:v>P1</x:v>
      </x:c>
      <x:c r="F17" s="9" t="str">
        <x:v>Fusil de l’arsenal étendu.</x:v>
      </x:c>
      <x:c r="G17" s="9" t="str">
        <x:v>Montée en régime puis suppression ; annulation précoce autorisée avec coût indiqué.</x:v>
      </x:c>
      <x:c r="H17" s="9" t="str">
        <x:v>Montée en régime puis suppression ; annulation précoce autorisée avec coût indiqué.</x:v>
      </x:c>
      <x:c r="I17" s="9" t="str">
        <x:v>Arme lourde N7 et protection frontale.</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me3/weapons/typhoon ; rattacher les ressources et états cités à cet identifiant. Aucun fichier de jeu créé par ce catalogue.</x:v>
      </x:c>
      <x:c r="M17" s="9" t="str">
        <x:v>Pack / édition à vérifier.</x:v>
      </x:c>
      <x:c r="N17" s="9" t="str">
        <x:v>Le livrable « N7 Typhoon » possède une scène ou un scénario de contrôle ; ses règles proposées, ses conditions et ses retours visuels sont vérifiables séparément.</x:v>
      </x:c>
      <x:c r="O17" s="9" t="str"/>
      <x:c r="P17" s="9" t="str">
        <x:v>N7 Typhoon</x:v>
      </x:c>
      <x:c r="Q17" s="9" t="str">
        <x:v>ME3-SRC-EQUIP</x:v>
      </x:c>
      <x:c r="R17" s="20" t="str">
        <x:v>https://masseffect.fandom.com/wiki/Equipment_Guide_%28Mass_Effect_3%29</x:v>
      </x:c>
      <x:c r="S17" s="20" t="str">
        <x:v>Spécification à réaliser. Les champs adaptation, gameplay, visual, animation, audio et implementation décrivent le fan game ; ils ne donnent pas des caractéristiques officielles de l’œuvre.</x:v>
      </x:c>
    </x:row>
    <x:row r="18" ht="68" customHeight="1">
      <x:c r="A18" s="19" t="str">
        <x:v>ME3-WPN-VALKYRIE</x:v>
      </x:c>
      <x:c r="B18" s="7" t="str">
        <x:v>N7 Valkyrie</x:v>
      </x:c>
      <x:c r="C18" s="15" t="str">
        <x:v>Défini</x:v>
      </x:c>
      <x:c r="D18" s="17" t="str">
        <x:v>Établi</x:v>
      </x:c>
      <x:c r="E18" s="17" t="str">
        <x:v>P1</x:v>
      </x:c>
      <x:c r="F18" s="7" t="str">
        <x:v>Fusil N7.</x:v>
      </x:c>
      <x:c r="G18" s="7" t="str">
        <x:v>Double impulsion proposée et stabilité de couverture ; les bonus ne doublent pas le coût à chaque projectile.</x:v>
      </x:c>
      <x:c r="H18" s="7" t="str">
        <x:v>Double impulsion proposée et stabilité de couverture ; les bonus ne doublent pas le coût à chaque projectile.</x:v>
      </x:c>
      <x:c r="I18" s="7" t="str">
        <x:v>Fusil N7 distinct du Mattock.</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me3/weapons/valkyrie ; rattacher les ressources et états cités à cet identifiant. Aucun fichier de jeu créé par ce catalogue.</x:v>
      </x:c>
      <x:c r="M18" s="7" t="str">
        <x:v>Pack / édition à vérifier.</x:v>
      </x:c>
      <x:c r="N18" s="7" t="str">
        <x:v>Le livrable « N7 Valkyrie » possède une scène ou un scénario de contrôle ; ses règles proposées, ses conditions et ses retours visuels sont vérifiables séparément.</x:v>
      </x:c>
      <x:c r="O18" s="7" t="str"/>
      <x:c r="P18" s="7" t="str">
        <x:v>N7 Valkyrie</x:v>
      </x:c>
      <x:c r="Q18" s="7" t="str">
        <x:v>ME3-SRC-EQUIP</x:v>
      </x:c>
      <x:c r="R18" s="21" t="str">
        <x:v>https://masseffect.fandom.com/wiki/Equipment_Guide_%28Mass_Effect_3%29</x:v>
      </x:c>
      <x:c r="S18" s="21" t="str">
        <x:v>Spécification à réaliser. Les champs adaptation, gameplay, visual, animation, audio et implementation décrivent le fan game ; ils ne donnent pas des caractéristiques officielles de l’œuvre.</x:v>
      </x:c>
    </x:row>
    <x:row r="19" ht="68" customHeight="1">
      <x:c r="A19" s="18" t="str">
        <x:v>ME3-WPN-ADAS</x:v>
      </x:c>
      <x:c r="B19" s="9" t="str">
        <x:v>Adas Anti-Synthetic Rifle</x:v>
      </x:c>
      <x:c r="C19" s="15" t="str">
        <x:v>Défini</x:v>
      </x:c>
      <x:c r="D19" s="16" t="str">
        <x:v>Établi</x:v>
      </x:c>
      <x:c r="E19" s="16" t="str">
        <x:v>P1</x:v>
      </x:c>
      <x:c r="F19" s="9" t="str">
        <x:v>Fusil de l’arsenal étendu.</x:v>
      </x:c>
      <x:c r="G19" s="9" t="str">
        <x:v>Projectile énergétique adapté aux protections techniques ; indiquer règles de résistance avant tir.</x:v>
      </x:c>
      <x:c r="H19" s="9" t="str">
        <x:v>Projectile énergétique adapté aux protections techniques ; indiquer règles de résistance avant tir.</x:v>
      </x:c>
      <x:c r="I19" s="9" t="str">
        <x:v>Arme compacte et arcs lumineux.</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me3/weapons/adas ; rattacher les ressources et états cités à cet identifiant. Aucun fichier de jeu créé par ce catalogue.</x:v>
      </x:c>
      <x:c r="M19" s="9" t="str">
        <x:v>Pack / édition à vérifier.</x:v>
      </x:c>
      <x:c r="N19" s="9" t="str">
        <x:v>Le livrable « Adas Anti-Synthetic Rifle » possède une scène ou un scénario de contrôle ; ses règles proposées, ses conditions et ses retours visuels sont vérifiables séparément.</x:v>
      </x:c>
      <x:c r="O19" s="9" t="str"/>
      <x:c r="P19" s="9" t="str">
        <x:v>Adas Anti-Synthetic Rifle</x:v>
      </x:c>
      <x:c r="Q19" s="9" t="str">
        <x:v>ME3-SRC-EQUIP</x:v>
      </x:c>
      <x:c r="R19" s="20" t="str">
        <x:v>https://masseffect.fandom.com/wiki/Equipment_Guide_%28Mass_Effect_3%29</x:v>
      </x:c>
      <x:c r="S19" s="20" t="str">
        <x:v>Spécification à réaliser. Les champs adaptation, gameplay, visual, animation, audio et implementation décrivent le fan game ; ils ne donnent pas des caractéristiques officielles de l’œuvre.</x:v>
      </x:c>
    </x:row>
    <x:row r="20" ht="68" customHeight="1">
      <x:c r="A20" s="19" t="str">
        <x:v>ME3-WPN-LANCER</x:v>
      </x:c>
      <x:c r="B20" s="7" t="str">
        <x:v>M-7 Lancer</x:v>
      </x:c>
      <x:c r="C20" s="15" t="str">
        <x:v>Défini</x:v>
      </x:c>
      <x:c r="D20" s="17" t="str">
        <x:v>Établi</x:v>
      </x:c>
      <x:c r="E20" s="17" t="str">
        <x:v>P1</x:v>
      </x:c>
      <x:c r="F20" s="7" t="str">
        <x:v>Arme du DLC Citadel.</x:v>
      </x:c>
      <x:c r="G20" s="7" t="str">
        <x:v>Cycle de chaleur avec récupération ; tutoriel sépare réserve thermique et clips des autres fusils.</x:v>
      </x:c>
      <x:c r="H20" s="7" t="str">
        <x:v>Cycle de chaleur avec récupération ; tutoriel sépare réserve thermique et clips des autres fusils.</x:v>
      </x:c>
      <x:c r="I20" s="7" t="str">
        <x:v>Fusil ancien aux marques N7.</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me3/weapons/lancer ; rattacher les ressources et états cités à cet identifiant. Aucun fichier de jeu créé par ce catalogue.</x:v>
      </x:c>
      <x:c r="M20" s="7" t="str">
        <x:v>DLC Citadel.</x:v>
      </x:c>
      <x:c r="N20" s="7" t="str">
        <x:v>Le livrable « M-7 Lancer » possède une scène ou un scénario de contrôle ; ses règles proposées, ses conditions et ses retours visuels sont vérifiables séparément.</x:v>
      </x:c>
      <x:c r="O20" s="7" t="str"/>
      <x:c r="P20" s="7" t="str">
        <x:v>M-7 Lancer</x:v>
      </x:c>
      <x:c r="Q20" s="7" t="str">
        <x:v>ME3-SRC-SUPPRESSOR</x:v>
      </x:c>
      <x:c r="R20" s="21" t="str">
        <x:v>https://masseffect.fandom.com/wiki/M-11_Suppressor</x:v>
      </x:c>
      <x:c r="S20" s="21" t="str">
        <x:v>Spécification à réaliser. Les champs adaptation, gameplay, visual, animation, audio et implementation décrivent le fan game ; ils ne donnent pas des caractéristiques officielles de l’œuvre.</x:v>
      </x:c>
    </x:row>
    <x:row r="21" ht="68" customHeight="1">
      <x:c r="A21" s="18" t="str">
        <x:v>ME3-WPN-GETH-RIFLE</x:v>
      </x:c>
      <x:c r="B21" s="9" t="str">
        <x:v>Geth Pulse Rifle</x:v>
      </x:c>
      <x:c r="C21" s="15" t="str">
        <x:v>Défini</x:v>
      </x:c>
      <x:c r="D21" s="16" t="str">
        <x:v>Établi</x:v>
      </x:c>
      <x:c r="E21" s="16" t="str">
        <x:v>P1</x:v>
      </x:c>
      <x:c r="F21" s="9" t="str">
        <x:v>Fusil geth.</x:v>
      </x:c>
      <x:c r="G21" s="9" t="str">
        <x:v>Projectiles rapides et lecture synthétique ; audio distinct du Prime pour ne pas confondre ami et ennemi.</x:v>
      </x:c>
      <x:c r="H21" s="9" t="str">
        <x:v>Projectiles rapides et lecture synthétique ; audio distinct du Prime pour ne pas confondre ami et ennemi.</x:v>
      </x:c>
      <x:c r="I21" s="9" t="str">
        <x:v>Carcasse courbe et lumière bleue.</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me3/weapons/geth-rifle ; rattacher les ressources et états cités à cet identifiant. Aucun fichier de jeu créé par ce catalogue.</x:v>
      </x:c>
      <x:c r="M21" s="9" t="str"/>
      <x:c r="N21" s="9" t="str">
        <x:v>Le livrable « Geth Pulse Rifle » possède une scène ou un scénario de contrôle ; ses règles proposées, ses conditions et ses retours visuels sont vérifiables séparément.</x:v>
      </x:c>
      <x:c r="O21" s="9" t="str"/>
      <x:c r="P21" s="9" t="str">
        <x:v>Geth Pulse Rifle</x:v>
      </x:c>
      <x:c r="Q21" s="9" t="str">
        <x:v>ME3-SRC-EQUIP</x:v>
      </x:c>
      <x:c r="R21" s="20" t="str">
        <x:v>https://masseffect.fandom.com/wiki/Equipment_Guide_%28Mass_Effect_3%29</x:v>
      </x:c>
      <x:c r="S21" s="20" t="str">
        <x:v>Spécification à réaliser. Les champs adaptation, gameplay, visual, animation, audio et implementation décrivent le fan game ; ils ne donnent pas des caractéristiques officielles de l’œuvre.</x:v>
      </x:c>
    </x:row>
    <x:row r="22" ht="68" customHeight="1">
      <x:c r="A22" s="19" t="str">
        <x:v>ME3-WPN-PREDATOR</x:v>
      </x:c>
      <x:c r="B22" s="7" t="str">
        <x:v>M-3 Predator</x:v>
      </x:c>
      <x:c r="C22" s="15" t="str">
        <x:v>Défini</x:v>
      </x:c>
      <x:c r="D22" s="17" t="str">
        <x:v>Établi</x:v>
      </x:c>
      <x:c r="E22" s="17" t="str">
        <x:v>P1</x:v>
      </x:c>
      <x:c r="F22" s="7" t="str">
        <x:v>Pistolet.</x:v>
      </x:c>
      <x:c r="G22" s="7" t="str">
        <x:v>Arme légère de secours : tir court compatible avec récupération rapide des pouvoirs proposée.</x:v>
      </x:c>
      <x:c r="H22" s="7" t="str">
        <x:v>Arme légère de secours : tir court compatible avec récupération rapide des pouvoirs proposée.</x:v>
      </x:c>
      <x:c r="I22" s="7" t="str">
        <x:v>Pistolet compact noir et blanc.</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me3/weapons/predator ; rattacher les ressources et états cités à cet identifiant. Aucun fichier de jeu créé par ce catalogue.</x:v>
      </x:c>
      <x:c r="M22" s="7" t="str"/>
      <x:c r="N22" s="7" t="str">
        <x:v>Le livrable « M-3 Predator » possède une scène ou un scénario de contrôle ; ses règles proposées, ses conditions et ses retours visuels sont vérifiables séparément.</x:v>
      </x:c>
      <x:c r="O22" s="7" t="str"/>
      <x:c r="P22" s="7" t="str">
        <x:v>M-3 Predator</x:v>
      </x:c>
      <x:c r="Q22" s="7" t="str">
        <x:v>ME3-SRC-EQUIP</x:v>
      </x:c>
      <x:c r="R22" s="21" t="str">
        <x:v>https://masseffect.fandom.com/wiki/Equipment_Guide_%28Mass_Effect_3%29</x:v>
      </x:c>
      <x:c r="S22" s="21" t="str">
        <x:v>Spécification à réaliser. Les champs adaptation, gameplay, visual, animation, audio et implementation décrivent le fan game ; ils ne donnent pas des caractéristiques officielles de l’œuvre.</x:v>
      </x:c>
    </x:row>
    <x:row r="23" ht="68" customHeight="1">
      <x:c r="A23" s="18" t="str">
        <x:v>ME3-WPN-PHALANX</x:v>
      </x:c>
      <x:c r="B23" s="9" t="str">
        <x:v>M-5 Phalanx</x:v>
      </x:c>
      <x:c r="C23" s="15" t="str">
        <x:v>Défini</x:v>
      </x:c>
      <x:c r="D23" s="16" t="str">
        <x:v>Établi</x:v>
      </x:c>
      <x:c r="E23" s="16" t="str">
        <x:v>P1</x:v>
      </x:c>
      <x:c r="F23" s="9" t="str">
        <x:v>Pistolet lourd.</x:v>
      </x:c>
      <x:c r="G23" s="9" t="str">
        <x:v>Tir posé à silhouette intermédiaire ; ne pas recopier sans vérification le laser de sa version ME2.</x:v>
      </x:c>
      <x:c r="H23" s="9" t="str">
        <x:v>Tir posé à silhouette intermédiaire ; ne pas recopier sans vérification le laser de sa version ME2.</x:v>
      </x:c>
      <x:c r="I23" s="9" t="str">
        <x:v>Pistolet militaire trapu.</x:v>
      </x:c>
      <x:c r="J23" s="9" t="str">
        <x:v>Préparer état de repos, anticipation, activation et retour au repos ; aligner les événements visuels sur la résolution de l’action ATB.</x:v>
      </x:c>
      <x:c r="K23" s="9" t="str">
        <x:v>Créer des bruitages et ambiances originaux adaptés au livrable ; sous-titrer les indices utiles et proposer un réglage indépendant des effets. Aucune extraction audio demandée.</x:v>
      </x:c>
      <x:c r="L23" s="9" t="str">
        <x:v>Prévu : fiche de données me3/weapons/phalanx ; rattacher les ressources et états cités à cet identifiant. Aucun fichier de jeu créé par ce catalogue.</x:v>
      </x:c>
      <x:c r="M23" s="9" t="str"/>
      <x:c r="N23" s="9" t="str">
        <x:v>Le livrable « M-5 Phalanx » possède une scène ou un scénario de contrôle ; ses règles proposées, ses conditions et ses retours visuels sont vérifiables séparément.</x:v>
      </x:c>
      <x:c r="O23" s="9" t="str"/>
      <x:c r="P23" s="9" t="str">
        <x:v>M-5 Phalanx</x:v>
      </x:c>
      <x:c r="Q23" s="9" t="str">
        <x:v>ME3-SRC-EQUIP</x:v>
      </x:c>
      <x:c r="R23" s="20" t="str">
        <x:v>https://masseffect.fandom.com/wiki/Equipment_Guide_%28Mass_Effect_3%29</x:v>
      </x:c>
      <x:c r="S23" s="20" t="str">
        <x:v>Spécification à réaliser. Les champs adaptation, gameplay, visual, animation, audio et implementation décrivent le fan game ; ils ne donnent pas des caractéristiques officielles de l’œuvre.</x:v>
      </x:c>
    </x:row>
    <x:row r="24" ht="68" customHeight="1">
      <x:c r="A24" s="19" t="str">
        <x:v>ME3-WPN-CARNIFEX</x:v>
      </x:c>
      <x:c r="B24" s="7" t="str">
        <x:v>M-6 Carnifex</x:v>
      </x:c>
      <x:c r="C24" s="15" t="str">
        <x:v>Défini</x:v>
      </x:c>
      <x:c r="D24" s="17" t="str">
        <x:v>Établi</x:v>
      </x:c>
      <x:c r="E24" s="17" t="str">
        <x:v>P1</x:v>
      </x:c>
      <x:c r="F24" s="7" t="str">
        <x:v>Pistolet lourd.</x:v>
      </x:c>
      <x:c r="G24" s="7" t="str">
        <x:v>Impact ponctuel et recul prononcé ; intérêt de coup d’arrêt contre ennemi déjà préparé.</x:v>
      </x:c>
      <x:c r="H24" s="7" t="str">
        <x:v>Impact ponctuel et recul prononcé ; intérêt de coup d’arrêt contre ennemi déjà préparé.</x:v>
      </x:c>
      <x:c r="I24" s="7" t="str">
        <x:v>Grande carcasse grise.</x:v>
      </x:c>
      <x:c r="J24" s="7" t="str">
        <x:v>Préparer état de repos, anticipation, activation et retour au repos ; aligner les événements visuels sur la résolution de l’action ATB.</x:v>
      </x:c>
      <x:c r="K24" s="7" t="str">
        <x:v>Créer des bruitages et ambiances originaux adaptés au livrable ; sous-titrer les indices utiles et proposer un réglage indépendant des effets. Aucune extraction audio demandée.</x:v>
      </x:c>
      <x:c r="L24" s="7" t="str">
        <x:v>Prévu : fiche de données me3/weapons/carnifex ; rattacher les ressources et états cités à cet identifiant. Aucun fichier de jeu créé par ce catalogue.</x:v>
      </x:c>
      <x:c r="M24" s="7" t="str"/>
      <x:c r="N24" s="7" t="str">
        <x:v>Le livrable « M-6 Carnifex » possède une scène ou un scénario de contrôle ; ses règles proposées, ses conditions et ses retours visuels sont vérifiables séparément.</x:v>
      </x:c>
      <x:c r="O24" s="7" t="str"/>
      <x:c r="P24" s="7" t="str">
        <x:v>M-6 Carnifex</x:v>
      </x:c>
      <x:c r="Q24" s="7" t="str">
        <x:v>ME3-SRC-EQUIP</x:v>
      </x:c>
      <x:c r="R24" s="21" t="str">
        <x:v>https://masseffect.fandom.com/wiki/Equipment_Guide_%28Mass_Effect_3%29</x:v>
      </x:c>
      <x:c r="S24" s="21" t="str">
        <x:v>Spécification à réaliser. Les champs adaptation, gameplay, visual, animation, audio et implementation décrivent le fan game ; ils ne donnent pas des caractéristiques officielles de l’œuvre.</x:v>
      </x:c>
    </x:row>
    <x:row r="25" ht="68" customHeight="1">
      <x:c r="A25" s="18" t="str">
        <x:v>ME3-WPN-PALADIN</x:v>
      </x:c>
      <x:c r="B25" s="9" t="str">
        <x:v>M-77 Paladin</x:v>
      </x:c>
      <x:c r="C25" s="15" t="str">
        <x:v>Défini</x:v>
      </x:c>
      <x:c r="D25" s="16" t="str">
        <x:v>Établi</x:v>
      </x:c>
      <x:c r="E25" s="16" t="str">
        <x:v>P1</x:v>
      </x:c>
      <x:c r="F25" s="9" t="str">
        <x:v>Pistolet lourd.</x:v>
      </x:c>
      <x:c r="G25" s="9" t="str">
        <x:v>Puissance ponctuelle avec réserve réduite proposée ; indication du nombre de tirs restants avant ordre.</x:v>
      </x:c>
      <x:c r="H25" s="9" t="str">
        <x:v>Puissance ponctuelle avec réserve réduite proposée ; indication du nombre de tirs restants avant ordre.</x:v>
      </x:c>
      <x:c r="I25" s="9" t="str">
        <x:v>Profil de gros pistolet.</x:v>
      </x:c>
      <x:c r="J25" s="9" t="str">
        <x:v>Préparer état de repos, anticipation, activation et retour au repos ; aligner les événements visuels sur la résolution de l’action ATB.</x:v>
      </x:c>
      <x:c r="K25" s="9" t="str">
        <x:v>Créer des bruitages et ambiances originaux adaptés au livrable ; sous-titrer les indices utiles et proposer un réglage indépendant des effets. Aucune extraction audio demandée.</x:v>
      </x:c>
      <x:c r="L25" s="9" t="str">
        <x:v>Prévu : fiche de données me3/weapons/paladin ; rattacher les ressources et états cités à cet identifiant. Aucun fichier de jeu créé par ce catalogue.</x:v>
      </x:c>
      <x:c r="M25" s="9" t="str"/>
      <x:c r="N25" s="9" t="str">
        <x:v>Le livrable « M-77 Paladin » possède une scène ou un scénario de contrôle ; ses règles proposées, ses conditions et ses retours visuels sont vérifiables séparément.</x:v>
      </x:c>
      <x:c r="O25" s="9" t="str"/>
      <x:c r="P25" s="9" t="str">
        <x:v>M-77 Paladin</x:v>
      </x:c>
      <x:c r="Q25" s="9" t="str">
        <x:v>ME3-SRC-EQUIP</x:v>
      </x:c>
      <x:c r="R25" s="20" t="str">
        <x:v>https://masseffect.fandom.com/wiki/Equipment_Guide_%28Mass_Effect_3%29</x:v>
      </x:c>
      <x:c r="S25" s="20" t="str">
        <x:v>Spécification à réaliser. Les champs adaptation, gameplay, visual, animation, audio et implementation décrivent le fan game ; ils ne donnent pas des caractéristiques officielles de l’œuvre.</x:v>
      </x:c>
    </x:row>
    <x:row r="26" ht="68" customHeight="1">
      <x:c r="A26" s="19" t="str">
        <x:v>ME3-WPN-TALON</x:v>
      </x:c>
      <x:c r="B26" s="7" t="str">
        <x:v>M-358 Talon</x:v>
      </x:c>
      <x:c r="C26" s="15" t="str">
        <x:v>Défini</x:v>
      </x:c>
      <x:c r="D26" s="17" t="str">
        <x:v>Établi</x:v>
      </x:c>
      <x:c r="E26" s="17" t="str">
        <x:v>P1</x:v>
      </x:c>
      <x:c r="F26" s="7" t="str">
        <x:v>Pistolet à dispersion.</x:v>
      </x:c>
      <x:c r="G26" s="7" t="str">
        <x:v>Cône court avec aperçu des cibles touchées ; éviter une fausse promesse de tir de sniper.</x:v>
      </x:c>
      <x:c r="H26" s="7" t="str">
        <x:v>Cône court avec aperçu des cibles touchées ; éviter une fausse promesse de tir de sniper.</x:v>
      </x:c>
      <x:c r="I26" s="7" t="str">
        <x:v>Canon court et silhouette massive.</x:v>
      </x:c>
      <x:c r="J26" s="7" t="str">
        <x:v>Préparer état de repos, anticipation, activation et retour au repos ; aligner les événements visuels sur la résolution de l’action ATB.</x:v>
      </x:c>
      <x:c r="K26" s="7" t="str">
        <x:v>Créer des bruitages et ambiances originaux adaptés au livrable ; sous-titrer les indices utiles et proposer un réglage indépendant des effets. Aucune extraction audio demandée.</x:v>
      </x:c>
      <x:c r="L26" s="7" t="str">
        <x:v>Prévu : fiche de données me3/weapons/talon ; rattacher les ressources et états cités à cet identifiant. Aucun fichier de jeu créé par ce catalogue.</x:v>
      </x:c>
      <x:c r="M26" s="7" t="str"/>
      <x:c r="N26" s="7" t="str">
        <x:v>Le livrable « M-358 Talon » possède une scène ou un scénario de contrôle ; ses règles proposées, ses conditions et ses retours visuels sont vérifiables séparément.</x:v>
      </x:c>
      <x:c r="O26" s="7" t="str"/>
      <x:c r="P26" s="7" t="str">
        <x:v>M-358 Talon</x:v>
      </x:c>
      <x:c r="Q26" s="7" t="str">
        <x:v>ME3-SRC-EQUIP</x:v>
      </x:c>
      <x:c r="R26" s="21" t="str">
        <x:v>https://masseffect.fandom.com/wiki/Equipment_Guide_%28Mass_Effect_3%29</x:v>
      </x:c>
      <x:c r="S26" s="21" t="str">
        <x:v>Spécification à réaliser. Les champs adaptation, gameplay, visual, animation, audio et implementation décrivent le fan game ; ils ne donnent pas des caractéristiques officielles de l’œuvre.</x:v>
      </x:c>
    </x:row>
    <x:row r="27" ht="68" customHeight="1">
      <x:c r="A27" s="18" t="str">
        <x:v>ME3-WPN-SCORPION</x:v>
      </x:c>
      <x:c r="B27" s="9" t="str">
        <x:v>Scorpion</x:v>
      </x:c>
      <x:c r="C27" s="15" t="str">
        <x:v>Défini</x:v>
      </x:c>
      <x:c r="D27" s="16" t="str">
        <x:v>Établi</x:v>
      </x:c>
      <x:c r="E27" s="16" t="str">
        <x:v>P1</x:v>
      </x:c>
      <x:c r="F27" s="9" t="str">
        <x:v>Pistolet à projectile explosif.</x:v>
      </x:c>
      <x:c r="G27" s="9" t="str">
        <x:v>Charge adhésive puis détonation différée ; marquer cibles et sols sans doubler la zone après déplacement.</x:v>
      </x:c>
      <x:c r="H27" s="9" t="str">
        <x:v>Charge adhésive puis détonation différée ; marquer cibles et sols sans doubler la zone après déplacement.</x:v>
      </x:c>
      <x:c r="I27" s="9" t="str">
        <x:v>Projectile collant lumineux.</x:v>
      </x:c>
      <x:c r="J27" s="9" t="str">
        <x:v>Préparer état de repos, anticipation, activation et retour au repos ; aligner les événements visuels sur la résolution de l’action ATB.</x:v>
      </x:c>
      <x:c r="K27" s="9" t="str">
        <x:v>Créer des bruitages et ambiances originaux adaptés au livrable ; sous-titrer les indices utiles et proposer un réglage indépendant des effets. Aucune extraction audio demandée.</x:v>
      </x:c>
      <x:c r="L27" s="9" t="str">
        <x:v>Prévu : fiche de données me3/weapons/scorpion ; rattacher les ressources et états cités à cet identifiant. Aucun fichier de jeu créé par ce catalogue.</x:v>
      </x:c>
      <x:c r="M27" s="9" t="str"/>
      <x:c r="N27" s="9" t="str">
        <x:v>Le livrable « Scorpion » possède une scène ou un scénario de contrôle ; ses règles proposées, ses conditions et ses retours visuels sont vérifiables séparément.</x:v>
      </x:c>
      <x:c r="O27" s="9" t="str"/>
      <x:c r="P27" s="9" t="str">
        <x:v>Scorpion</x:v>
      </x:c>
      <x:c r="Q27" s="9" t="str">
        <x:v>ME3-SRC-EQUIP</x:v>
      </x:c>
      <x:c r="R27" s="20" t="str">
        <x:v>https://masseffect.fandom.com/wiki/Equipment_Guide_%28Mass_Effect_3%29</x:v>
      </x:c>
      <x:c r="S27" s="20" t="str">
        <x:v>Spécification à réaliser. Les champs adaptation, gameplay, visual, animation, audio et implementation décrivent le fan game ; ils ne donnent pas des caractéristiques officielles de l’œuvre.</x:v>
      </x:c>
    </x:row>
    <x:row r="28" ht="68" customHeight="1">
      <x:c r="A28" s="19" t="str">
        <x:v>ME3-WPN-ARC</x:v>
      </x:c>
      <x:c r="B28" s="7" t="str">
        <x:v>Arc Pistol</x:v>
      </x:c>
      <x:c r="C28" s="15" t="str">
        <x:v>Défini</x:v>
      </x:c>
      <x:c r="D28" s="17" t="str">
        <x:v>Établi</x:v>
      </x:c>
      <x:c r="E28" s="17" t="str">
        <x:v>P1</x:v>
      </x:c>
      <x:c r="F28" s="7" t="str">
        <x:v>Pistolet énergétique.</x:v>
      </x:c>
      <x:c r="G28" s="7" t="str">
        <x:v>Choisir impulsion ou charge proposée ; déplacement pendant préparation peut annuler sans tir fantôme.</x:v>
      </x:c>
      <x:c r="H28" s="7" t="str">
        <x:v>Choisir impulsion ou charge proposée ; déplacement pendant préparation peut annuler sans tir fantôme.</x:v>
      </x:c>
      <x:c r="I28" s="7" t="str">
        <x:v>Arme électrique et chambre lumineuse.</x:v>
      </x:c>
      <x:c r="J28" s="7" t="str">
        <x:v>Préparer état de repos, anticipation, activation et retour au repos ; aligner les événements visuels sur la résolution de l’action ATB.</x:v>
      </x:c>
      <x:c r="K28" s="7" t="str">
        <x:v>Créer des bruitages et ambiances originaux adaptés au livrable ; sous-titrer les indices utiles et proposer un réglage indépendant des effets. Aucune extraction audio demandée.</x:v>
      </x:c>
      <x:c r="L28" s="7" t="str">
        <x:v>Prévu : fiche de données me3/weapons/arc ; rattacher les ressources et états cités à cet identifiant. Aucun fichier de jeu créé par ce catalogue.</x:v>
      </x:c>
      <x:c r="M28" s="7" t="str"/>
      <x:c r="N28" s="7" t="str">
        <x:v>Le livrable « Arc Pistol » possède une scène ou un scénario de contrôle ; ses règles proposées, ses conditions et ses retours visuels sont vérifiables séparément.</x:v>
      </x:c>
      <x:c r="O28" s="7" t="str"/>
      <x:c r="P28" s="7" t="str">
        <x:v>Arc Pistol</x:v>
      </x:c>
      <x:c r="Q28" s="7" t="str">
        <x:v>ME3-SRC-EQUIP</x:v>
      </x:c>
      <x:c r="R28" s="21" t="str">
        <x:v>https://masseffect.fandom.com/wiki/Equipment_Guide_%28Mass_Effect_3%29</x:v>
      </x:c>
      <x:c r="S28" s="21" t="str">
        <x:v>Spécification à réaliser. Les champs adaptation, gameplay, visual, animation, audio et implementation décrivent le fan game ; ils ne donnent pas des caractéristiques officielles de l’œuvre.</x:v>
      </x:c>
    </x:row>
    <x:row r="29" ht="68" customHeight="1">
      <x:c r="A29" s="18" t="str">
        <x:v>ME3-WPN-ACOLYTE</x:v>
      </x:c>
      <x:c r="B29" s="9" t="str">
        <x:v>Acolyte</x:v>
      </x:c>
      <x:c r="C29" s="15" t="str">
        <x:v>Défini</x:v>
      </x:c>
      <x:c r="D29" s="16" t="str">
        <x:v>Établi</x:v>
      </x:c>
      <x:c r="E29" s="16" t="str">
        <x:v>P1</x:v>
      </x:c>
      <x:c r="F29" s="9" t="str">
        <x:v>Arme de l’arsenal étendu.</x:v>
      </x:c>
      <x:c r="G29" s="9" t="str">
        <x:v>Tir préparé de zone anti-protection ; rebond affiché avant engagement dans l’adaptation.</x:v>
      </x:c>
      <x:c r="H29" s="9" t="str">
        <x:v>Tir préparé de zone anti-protection ; rebond affiché avant engagement dans l’adaptation.</x:v>
      </x:c>
      <x:c r="I29" s="9" t="str">
        <x:v>Forme asari et projectile énergétique.</x:v>
      </x:c>
      <x:c r="J29" s="9" t="str">
        <x:v>Préparer état de repos, anticipation, activation et retour au repos ; aligner les événements visuels sur la résolution de l’action ATB.</x:v>
      </x:c>
      <x:c r="K29" s="9" t="str">
        <x:v>Créer des bruitages et ambiances originaux adaptés au livrable ; sous-titrer les indices utiles et proposer un réglage indépendant des effets. Aucune extraction audio demandée.</x:v>
      </x:c>
      <x:c r="L29" s="9" t="str">
        <x:v>Prévu : fiche de données me3/weapons/acolyte ; rattacher les ressources et états cités à cet identifiant. Aucun fichier de jeu créé par ce catalogue.</x:v>
      </x:c>
      <x:c r="M29" s="9" t="str">
        <x:v>Pack / édition à vérifier.</x:v>
      </x:c>
      <x:c r="N29" s="9" t="str">
        <x:v>Le livrable « Acolyte » possède une scène ou un scénario de contrôle ; ses règles proposées, ses conditions et ses retours visuels sont vérifiables séparément.</x:v>
      </x:c>
      <x:c r="O29" s="9" t="str"/>
      <x:c r="P29" s="9" t="str">
        <x:v>Acolyte</x:v>
      </x:c>
      <x:c r="Q29" s="9" t="str">
        <x:v>ME3-SRC-EQUIP</x:v>
      </x:c>
      <x:c r="R29" s="20" t="str">
        <x:v>https://masseffect.fandom.com/wiki/Equipment_Guide_%28Mass_Effect_3%29</x:v>
      </x:c>
      <x:c r="S29" s="20" t="str">
        <x:v>Spécification à réaliser. Les champs adaptation, gameplay, visual, animation, audio et implementation décrivent le fan game ; ils ne donnent pas des caractéristiques officielles de l’œuvre.</x:v>
      </x:c>
    </x:row>
    <x:row r="30" ht="68" customHeight="1">
      <x:c r="A30" s="19" t="str">
        <x:v>ME3-WPN-SUPPRESSOR</x:v>
      </x:c>
      <x:c r="B30" s="7" t="str">
        <x:v>M-11 Suppressor</x:v>
      </x:c>
      <x:c r="C30" s="15" t="str">
        <x:v>Défini</x:v>
      </x:c>
      <x:c r="D30" s="17" t="str">
        <x:v>Établi</x:v>
      </x:c>
      <x:c r="E30" s="17" t="str">
        <x:v>P1</x:v>
      </x:c>
      <x:c r="F30" s="7" t="str">
        <x:v>Pistolet de Citadel.</x:v>
      </x:c>
      <x:c r="G30" s="7" t="str">
        <x:v>Profil de précision discret ; bonus ciblé proposé exige une visée lisible sans encourager un clic minuscule.</x:v>
      </x:c>
      <x:c r="H30" s="7" t="str">
        <x:v>Profil de précision discret ; bonus ciblé proposé exige une visée lisible sans encourager un clic minuscule.</x:v>
      </x:c>
      <x:c r="I30" s="7" t="str">
        <x:v>Silencieux et modèle compact.</x:v>
      </x:c>
      <x:c r="J30" s="7" t="str">
        <x:v>Préparer état de repos, anticipation, activation et retour au repos ; aligner les événements visuels sur la résolution de l’action ATB.</x:v>
      </x:c>
      <x:c r="K30" s="7" t="str">
        <x:v>Créer des bruitages et ambiances originaux adaptés au livrable ; sous-titrer les indices utiles et proposer un réglage indépendant des effets. Aucune extraction audio demandée.</x:v>
      </x:c>
      <x:c r="L30" s="7" t="str">
        <x:v>Prévu : fiche de données me3/weapons/suppressor ; rattacher les ressources et états cités à cet identifiant. Aucun fichier de jeu créé par ce catalogue.</x:v>
      </x:c>
      <x:c r="M30" s="7" t="str">
        <x:v>DLC Citadel.</x:v>
      </x:c>
      <x:c r="N30" s="7" t="str">
        <x:v>Le livrable « M-11 Suppressor » possède une scène ou un scénario de contrôle ; ses règles proposées, ses conditions et ses retours visuels sont vérifiables séparément.</x:v>
      </x:c>
      <x:c r="O30" s="7" t="str"/>
      <x:c r="P30" s="7" t="str">
        <x:v>M-11 Suppressor</x:v>
      </x:c>
      <x:c r="Q30" s="7" t="str">
        <x:v>ME3-SRC-SUPPRESSOR</x:v>
      </x:c>
      <x:c r="R30" s="21" t="str">
        <x:v>https://masseffect.fandom.com/wiki/M-11_Suppressor</x:v>
      </x:c>
      <x:c r="S30" s="21" t="str">
        <x:v>Spécification à réaliser. Les champs adaptation, gameplay, visual, animation, audio et implementation décrivent le fan game ; ils ne donnent pas des caractéristiques officielles de l’œuvre.</x:v>
      </x:c>
    </x:row>
    <x:row r="31" ht="68" customHeight="1">
      <x:c r="A31" s="18" t="str">
        <x:v>ME3-WPN-KATANA</x:v>
      </x:c>
      <x:c r="B31" s="9" t="str">
        <x:v>M-23 Katana</x:v>
      </x:c>
      <x:c r="C31" s="15" t="str">
        <x:v>Défini</x:v>
      </x:c>
      <x:c r="D31" s="16" t="str">
        <x:v>Établi</x:v>
      </x:c>
      <x:c r="E31" s="16" t="str">
        <x:v>P1</x:v>
      </x:c>
      <x:c r="F31" s="9" t="str">
        <x:v>Fusil à pompe.</x:v>
      </x:c>
      <x:c r="G31" s="9" t="str">
        <x:v>Cône de proximité simple servant de référence pour les autres shotguns.</x:v>
      </x:c>
      <x:c r="H31" s="9" t="str">
        <x:v>Cône de proximité simple servant de référence pour les autres shotguns.</x:v>
      </x:c>
      <x:c r="I31" s="9" t="str">
        <x:v>Fusil court à pompe.</x:v>
      </x:c>
      <x:c r="J31" s="9" t="str">
        <x:v>Préparer état de repos, anticipation, activation et retour au repos ; aligner les événements visuels sur la résolution de l’action ATB.</x:v>
      </x:c>
      <x:c r="K31" s="9" t="str">
        <x:v>Créer des bruitages et ambiances originaux adaptés au livrable ; sous-titrer les indices utiles et proposer un réglage indépendant des effets. Aucune extraction audio demandée.</x:v>
      </x:c>
      <x:c r="L31" s="9" t="str">
        <x:v>Prévu : fiche de données me3/weapons/katana ; rattacher les ressources et états cités à cet identifiant. Aucun fichier de jeu créé par ce catalogue.</x:v>
      </x:c>
      <x:c r="M31" s="9" t="str"/>
      <x:c r="N31" s="9" t="str">
        <x:v>Le livrable « M-23 Katana » possède une scène ou un scénario de contrôle ; ses règles proposées, ses conditions et ses retours visuels sont vérifiables séparément.</x:v>
      </x:c>
      <x:c r="O31" s="9" t="str"/>
      <x:c r="P31" s="9" t="str">
        <x:v>M-23 Katana</x:v>
      </x:c>
      <x:c r="Q31" s="9" t="str">
        <x:v>ME3-SRC-EQUIP</x:v>
      </x:c>
      <x:c r="R31" s="20" t="str">
        <x:v>https://masseffect.fandom.com/wiki/Equipment_Guide_%28Mass_Effect_3%29</x:v>
      </x:c>
      <x:c r="S31" s="20" t="str">
        <x:v>Spécification à réaliser. Les champs adaptation, gameplay, visual, animation, audio et implementation décrivent le fan game ; ils ne donnent pas des caractéristiques officielles de l’œuvre.</x:v>
      </x:c>
    </x:row>
    <x:row r="32" ht="68" customHeight="1">
      <x:c r="A32" s="19" t="str">
        <x:v>ME3-WPN-SCIMITAR</x:v>
      </x:c>
      <x:c r="B32" s="7" t="str">
        <x:v>M-27 Scimitar</x:v>
      </x:c>
      <x:c r="C32" s="15" t="str">
        <x:v>Défini</x:v>
      </x:c>
      <x:c r="D32" s="17" t="str">
        <x:v>Établi</x:v>
      </x:c>
      <x:c r="E32" s="17" t="str">
        <x:v>P1</x:v>
      </x:c>
      <x:c r="F32" s="7" t="str">
        <x:v>Fusil à pompe.</x:v>
      </x:c>
      <x:c r="G32" s="7" t="str">
        <x:v>Succession rapide de coups courts ; réserve et déplacement empêchent une boucle sans décision.</x:v>
      </x:c>
      <x:c r="H32" s="7" t="str">
        <x:v>Succession rapide de coups courts ; réserve et déplacement empêchent une boucle sans décision.</x:v>
      </x:c>
      <x:c r="I32" s="7" t="str">
        <x:v>Fusil compact à cadence rapide.</x:v>
      </x:c>
      <x:c r="J32" s="7" t="str">
        <x:v>Préparer état de repos, anticipation, activation et retour au repos ; aligner les événements visuels sur la résolution de l’action ATB.</x:v>
      </x:c>
      <x:c r="K32" s="7" t="str">
        <x:v>Créer des bruitages et ambiances originaux adaptés au livrable ; sous-titrer les indices utiles et proposer un réglage indépendant des effets. Aucune extraction audio demandée.</x:v>
      </x:c>
      <x:c r="L32" s="7" t="str">
        <x:v>Prévu : fiche de données me3/weapons/scimitar ; rattacher les ressources et états cités à cet identifiant. Aucun fichier de jeu créé par ce catalogue.</x:v>
      </x:c>
      <x:c r="M32" s="7" t="str"/>
      <x:c r="N32" s="7" t="str">
        <x:v>Le livrable « M-27 Scimitar » possède une scène ou un scénario de contrôle ; ses règles proposées, ses conditions et ses retours visuels sont vérifiables séparément.</x:v>
      </x:c>
      <x:c r="O32" s="7" t="str"/>
      <x:c r="P32" s="7" t="str">
        <x:v>M-27 Scimitar</x:v>
      </x:c>
      <x:c r="Q32" s="7" t="str">
        <x:v>ME3-SRC-EQUIP</x:v>
      </x:c>
      <x:c r="R32" s="21" t="str">
        <x:v>https://masseffect.fandom.com/wiki/Equipment_Guide_%28Mass_Effect_3%29</x:v>
      </x:c>
      <x:c r="S32" s="21" t="str">
        <x:v>Spécification à réaliser. Les champs adaptation, gameplay, visual, animation, audio et implementation décrivent le fan game ; ils ne donnent pas des caractéristiques officielles de l’œuvre.</x:v>
      </x:c>
    </x:row>
    <x:row r="33" ht="68" customHeight="1">
      <x:c r="A33" s="18" t="str">
        <x:v>ME3-WPN-CLAYMORE</x:v>
      </x:c>
      <x:c r="B33" s="9" t="str">
        <x:v>M-300 Claymore</x:v>
      </x:c>
      <x:c r="C33" s="15" t="str">
        <x:v>Défini</x:v>
      </x:c>
      <x:c r="D33" s="16" t="str">
        <x:v>Établi</x:v>
      </x:c>
      <x:c r="E33" s="16" t="str">
        <x:v>P1</x:v>
      </x:c>
      <x:c r="F33" s="9" t="str">
        <x:v>Fusil krogan.</x:v>
      </x:c>
      <x:c r="G33" s="9" t="str">
        <x:v>Gros impact puis recharge exposée ; annonce de dispersion et des cibles secondaires.</x:v>
      </x:c>
      <x:c r="H33" s="9" t="str">
        <x:v>Gros impact puis recharge exposée ; annonce de dispersion et des cibles secondaires.</x:v>
      </x:c>
      <x:c r="I33" s="9" t="str">
        <x:v>Carcasse krogan très massive.</x:v>
      </x:c>
      <x:c r="J33" s="9" t="str">
        <x:v>Préparer état de repos, anticipation, activation et retour au repos ; aligner les événements visuels sur la résolution de l’action ATB.</x:v>
      </x:c>
      <x:c r="K33" s="9" t="str">
        <x:v>Créer des bruitages et ambiances originaux adaptés au livrable ; sous-titrer les indices utiles et proposer un réglage indépendant des effets. Aucune extraction audio demandée.</x:v>
      </x:c>
      <x:c r="L33" s="9" t="str">
        <x:v>Prévu : fiche de données me3/weapons/claymore ; rattacher les ressources et états cités à cet identifiant. Aucun fichier de jeu créé par ce catalogue.</x:v>
      </x:c>
      <x:c r="M33" s="9" t="str"/>
      <x:c r="N33" s="9" t="str">
        <x:v>Le livrable « M-300 Claymore » possède une scène ou un scénario de contrôle ; ses règles proposées, ses conditions et ses retours visuels sont vérifiables séparément.</x:v>
      </x:c>
      <x:c r="O33" s="9" t="str"/>
      <x:c r="P33" s="9" t="str">
        <x:v>M-300 Claymore</x:v>
      </x:c>
      <x:c r="Q33" s="9" t="str">
        <x:v>ME3-SRC-EQUIP</x:v>
      </x:c>
      <x:c r="R33" s="20" t="str">
        <x:v>https://masseffect.fandom.com/wiki/Equipment_Guide_%28Mass_Effect_3%29</x:v>
      </x:c>
      <x:c r="S33" s="20" t="str">
        <x:v>Spécification à réaliser. Les champs adaptation, gameplay, visual, animation, audio et implementation décrivent le fan game ; ils ne donnent pas des caractéristiques officielles de l’œuvre.</x:v>
      </x:c>
    </x:row>
    <x:row r="34" ht="68" customHeight="1">
      <x:c r="A34" s="19" t="str">
        <x:v>ME3-WPN-EVISCERATOR</x:v>
      </x:c>
      <x:c r="B34" s="7" t="str">
        <x:v>M-22 Eviscerator</x:v>
      </x:c>
      <x:c r="C34" s="15" t="str">
        <x:v>Défini</x:v>
      </x:c>
      <x:c r="D34" s="17" t="str">
        <x:v>Établi</x:v>
      </x:c>
      <x:c r="E34" s="17" t="str">
        <x:v>P1</x:v>
      </x:c>
      <x:c r="F34" s="7" t="str">
        <x:v>Fusil à pompe.</x:v>
      </x:c>
      <x:c r="G34" s="7" t="str">
        <x:v>Portée intermédiaire proposée avec cône plus étroit ; profil distinct sans modifier le canon de l’objet.</x:v>
      </x:c>
      <x:c r="H34" s="7" t="str">
        <x:v>Portée intermédiaire proposée avec cône plus étroit ; profil distinct sans modifier le canon de l’objet.</x:v>
      </x:c>
      <x:c r="I34" s="7" t="str">
        <x:v>Arme courte sombre.</x:v>
      </x:c>
      <x:c r="J34" s="7" t="str">
        <x:v>Préparer état de repos, anticipation, activation et retour au repos ; aligner les événements visuels sur la résolution de l’action ATB.</x:v>
      </x:c>
      <x:c r="K34" s="7" t="str">
        <x:v>Créer des bruitages et ambiances originaux adaptés au livrable ; sous-titrer les indices utiles et proposer un réglage indépendant des effets. Aucune extraction audio demandée.</x:v>
      </x:c>
      <x:c r="L34" s="7" t="str">
        <x:v>Prévu : fiche de données me3/weapons/eviscerator ; rattacher les ressources et états cités à cet identifiant. Aucun fichier de jeu créé par ce catalogue.</x:v>
      </x:c>
      <x:c r="M34" s="7" t="str"/>
      <x:c r="N34" s="7" t="str">
        <x:v>Le livrable « M-22 Eviscerator » possède une scène ou un scénario de contrôle ; ses règles proposées, ses conditions et ses retours visuels sont vérifiables séparément.</x:v>
      </x:c>
      <x:c r="O34" s="7" t="str"/>
      <x:c r="P34" s="7" t="str">
        <x:v>M-22 Eviscerator</x:v>
      </x:c>
      <x:c r="Q34" s="7" t="str">
        <x:v>ME3-SRC-EQUIP</x:v>
      </x:c>
      <x:c r="R34" s="21" t="str">
        <x:v>https://masseffect.fandom.com/wiki/Equipment_Guide_%28Mass_Effect_3%29</x:v>
      </x:c>
      <x:c r="S34" s="21" t="str">
        <x:v>Spécification à réaliser. Les champs adaptation, gameplay, visual, animation, audio et implementation décrivent le fan game ; ils ne donnent pas des caractéristiques officielles de l’œuvre.</x:v>
      </x:c>
    </x:row>
    <x:row r="35" ht="68" customHeight="1">
      <x:c r="A35" s="18" t="str">
        <x:v>ME3-WPN-DISCIPLE</x:v>
      </x:c>
      <x:c r="B35" s="9" t="str">
        <x:v>Disciple</x:v>
      </x:c>
      <x:c r="C35" s="15" t="str">
        <x:v>Défini</x:v>
      </x:c>
      <x:c r="D35" s="16" t="str">
        <x:v>Établi</x:v>
      </x:c>
      <x:c r="E35" s="16" t="str">
        <x:v>P1</x:v>
      </x:c>
      <x:c r="F35" s="9" t="str">
        <x:v>Fusil à pompe asari.</x:v>
      </x:c>
      <x:c r="G35" s="9" t="str">
        <x:v>Impact de contrôle et faible masse proposée ; pouvoir suivant reste identifiable dans la file ATB.</x:v>
      </x:c>
      <x:c r="H35" s="9" t="str">
        <x:v>Impact de contrôle et faible masse proposée ; pouvoir suivant reste identifiable dans la file ATB.</x:v>
      </x:c>
      <x:c r="I35" s="9" t="str">
        <x:v>Courbes asari et teinte claire.</x:v>
      </x:c>
      <x:c r="J35" s="9" t="str">
        <x:v>Préparer état de repos, anticipation, activation et retour au repos ; aligner les événements visuels sur la résolution de l’action ATB.</x:v>
      </x:c>
      <x:c r="K35" s="9" t="str">
        <x:v>Créer des bruitages et ambiances originaux adaptés au livrable ; sous-titrer les indices utiles et proposer un réglage indépendant des effets. Aucune extraction audio demandée.</x:v>
      </x:c>
      <x:c r="L35" s="9" t="str">
        <x:v>Prévu : fiche de données me3/weapons/disciple ; rattacher les ressources et états cités à cet identifiant. Aucun fichier de jeu créé par ce catalogue.</x:v>
      </x:c>
      <x:c r="M35" s="9" t="str"/>
      <x:c r="N35" s="9" t="str">
        <x:v>Le livrable « Disciple » possède une scène ou un scénario de contrôle ; ses règles proposées, ses conditions et ses retours visuels sont vérifiables séparément.</x:v>
      </x:c>
      <x:c r="O35" s="9" t="str"/>
      <x:c r="P35" s="9" t="str">
        <x:v>Disciple</x:v>
      </x:c>
      <x:c r="Q35" s="9" t="str">
        <x:v>ME3-SRC-EQUIP</x:v>
      </x:c>
      <x:c r="R35" s="20" t="str">
        <x:v>https://masseffect.fandom.com/wiki/Equipment_Guide_%28Mass_Effect_3%29</x:v>
      </x:c>
      <x:c r="S35" s="20" t="str">
        <x:v>Spécification à réaliser. Les champs adaptation, gameplay, visual, animation, audio et implementation décrivent le fan game ; ils ne donnent pas des caractéristiques officielles de l’œuvre.</x:v>
      </x:c>
    </x:row>
    <x:row r="36" ht="68" customHeight="1">
      <x:c r="A36" s="19" t="str">
        <x:v>ME3-WPN-GRAAL</x:v>
      </x:c>
      <x:c r="B36" s="7" t="str">
        <x:v>Graal Spike Thrower</x:v>
      </x:c>
      <x:c r="C36" s="15" t="str">
        <x:v>Défini</x:v>
      </x:c>
      <x:c r="D36" s="17" t="str">
        <x:v>Établi</x:v>
      </x:c>
      <x:c r="E36" s="17" t="str">
        <x:v>P1</x:v>
      </x:c>
      <x:c r="F36" s="7" t="str">
        <x:v>Arme à pointes.</x:v>
      </x:c>
      <x:c r="G36" s="7" t="str">
        <x:v>Salve ou charge de pointes proposée ; visuel de projectiles solides distinct d’un rayon.</x:v>
      </x:c>
      <x:c r="H36" s="7" t="str">
        <x:v>Salve ou charge de pointes proposée ; visuel de projectiles solides distinct d’un rayon.</x:v>
      </x:c>
      <x:c r="I36" s="7" t="str">
        <x:v>Grand fusil organique et pointes.</x:v>
      </x:c>
      <x:c r="J36" s="7" t="str">
        <x:v>Préparer état de repos, anticipation, activation et retour au repos ; aligner les événements visuels sur la résolution de l’action ATB.</x:v>
      </x:c>
      <x:c r="K36" s="7" t="str">
        <x:v>Créer des bruitages et ambiances originaux adaptés au livrable ; sous-titrer les indices utiles et proposer un réglage indépendant des effets. Aucune extraction audio demandée.</x:v>
      </x:c>
      <x:c r="L36" s="7" t="str">
        <x:v>Prévu : fiche de données me3/weapons/graal ; rattacher les ressources et états cités à cet identifiant. Aucun fichier de jeu créé par ce catalogue.</x:v>
      </x:c>
      <x:c r="M36" s="7" t="str"/>
      <x:c r="N36" s="7" t="str">
        <x:v>Le livrable « Graal Spike Thrower » possède une scène ou un scénario de contrôle ; ses règles proposées, ses conditions et ses retours visuels sont vérifiables séparément.</x:v>
      </x:c>
      <x:c r="O36" s="7" t="str"/>
      <x:c r="P36" s="7" t="str">
        <x:v>Graal Spike Thrower</x:v>
      </x:c>
      <x:c r="Q36" s="7" t="str">
        <x:v>ME3-SRC-EQUIP</x:v>
      </x:c>
      <x:c r="R36" s="21" t="str">
        <x:v>https://masseffect.fandom.com/wiki/Equipment_Guide_%28Mass_Effect_3%29</x:v>
      </x:c>
      <x:c r="S36" s="21" t="str">
        <x:v>Spécification à réaliser. Les champs adaptation, gameplay, visual, animation, audio et implementation décrivent le fan game ; ils ne donnent pas des caractéristiques officielles de l’œuvre.</x:v>
      </x:c>
    </x:row>
    <x:row r="37" ht="68" customHeight="1">
      <x:c r="A37" s="18" t="str">
        <x:v>ME3-WPN-REEGAR</x:v>
      </x:c>
      <x:c r="B37" s="9" t="str">
        <x:v>Reegar Carbine</x:v>
      </x:c>
      <x:c r="C37" s="15" t="str">
        <x:v>Défini</x:v>
      </x:c>
      <x:c r="D37" s="16" t="str">
        <x:v>Établi</x:v>
      </x:c>
      <x:c r="E37" s="16" t="str">
        <x:v>P1</x:v>
      </x:c>
      <x:c r="F37" s="9" t="str">
        <x:v>Arme électrique de courte portée.</x:v>
      </x:c>
      <x:c r="G37" s="9" t="str">
        <x:v>Canalisation en cône bref ; le joueur voit la zone exacte et la consommation continue.</x:v>
      </x:c>
      <x:c r="H37" s="9" t="str">
        <x:v>Canalisation en cône bref ; le joueur voit la zone exacte et la consommation continue.</x:v>
      </x:c>
      <x:c r="I37" s="9" t="str">
        <x:v>Arc électrique entre arme et cible.</x:v>
      </x:c>
      <x:c r="J37" s="9" t="str">
        <x:v>Préparer état de repos, anticipation, activation et retour au repos ; aligner les événements visuels sur la résolution de l’action ATB.</x:v>
      </x:c>
      <x:c r="K37" s="9" t="str">
        <x:v>Créer des bruitages et ambiances originaux adaptés au livrable ; sous-titrer les indices utiles et proposer un réglage indépendant des effets. Aucune extraction audio demandée.</x:v>
      </x:c>
      <x:c r="L37" s="9" t="str">
        <x:v>Prévu : fiche de données me3/weapons/reegar ; rattacher les ressources et états cités à cet identifiant. Aucun fichier de jeu créé par ce catalogue.</x:v>
      </x:c>
      <x:c r="M37" s="9" t="str">
        <x:v>Pack / édition à vérifier.</x:v>
      </x:c>
      <x:c r="N37" s="9" t="str">
        <x:v>Le livrable « Reegar Carbine » possède une scène ou un scénario de contrôle ; ses règles proposées, ses conditions et ses retours visuels sont vérifiables séparément.</x:v>
      </x:c>
      <x:c r="O37" s="9" t="str"/>
      <x:c r="P37" s="9" t="str">
        <x:v>Reegar Carbine</x:v>
      </x:c>
      <x:c r="Q37" s="9" t="str">
        <x:v>ME3-SRC-EQUIP</x:v>
      </x:c>
      <x:c r="R37" s="20" t="str">
        <x:v>https://masseffect.fandom.com/wiki/Equipment_Guide_%28Mass_Effect_3%29</x:v>
      </x:c>
      <x:c r="S37" s="20" t="str">
        <x:v>Spécification à réaliser. Les champs adaptation, gameplay, visual, animation, audio et implementation décrivent le fan game ; ils ne donnent pas des caractéristiques officielles de l’œuvre.</x:v>
      </x:c>
    </x:row>
    <x:row r="38" ht="68" customHeight="1">
      <x:c r="A38" s="19" t="str">
        <x:v>ME3-WPN-PIRANHA</x:v>
      </x:c>
      <x:c r="B38" s="7" t="str">
        <x:v>N7 Piranha</x:v>
      </x:c>
      <x:c r="C38" s="15" t="str">
        <x:v>Défini</x:v>
      </x:c>
      <x:c r="D38" s="17" t="str">
        <x:v>Établi</x:v>
      </x:c>
      <x:c r="E38" s="17" t="str">
        <x:v>P1</x:v>
      </x:c>
      <x:c r="F38" s="7" t="str">
        <x:v>Fusil à pompe N7.</x:v>
      </x:c>
      <x:c r="G38" s="7" t="str">
        <x:v>Rafale de proximité qui engage la position ; récupération plus longue si l’ordre est poursuivi.</x:v>
      </x:c>
      <x:c r="H38" s="7" t="str">
        <x:v>Rafale de proximité qui engage la position ; récupération plus longue si l’ordre est poursuivi.</x:v>
      </x:c>
      <x:c r="I38" s="7" t="str">
        <x:v>Arme N7 compacte.</x:v>
      </x:c>
      <x:c r="J38" s="7" t="str">
        <x:v>Préparer état de repos, anticipation, activation et retour au repos ; aligner les événements visuels sur la résolution de l’action ATB.</x:v>
      </x:c>
      <x:c r="K38" s="7" t="str">
        <x:v>Créer des bruitages et ambiances originaux adaptés au livrable ; sous-titrer les indices utiles et proposer un réglage indépendant des effets. Aucune extraction audio demandée.</x:v>
      </x:c>
      <x:c r="L38" s="7" t="str">
        <x:v>Prévu : fiche de données me3/weapons/piranha ; rattacher les ressources et états cités à cet identifiant. Aucun fichier de jeu créé par ce catalogue.</x:v>
      </x:c>
      <x:c r="M38" s="7" t="str">
        <x:v>Pack / édition à vérifier.</x:v>
      </x:c>
      <x:c r="N38" s="7" t="str">
        <x:v>Le livrable « N7 Piranha » possède une scène ou un scénario de contrôle ; ses règles proposées, ses conditions et ses retours visuels sont vérifiables séparément.</x:v>
      </x:c>
      <x:c r="O38" s="7" t="str"/>
      <x:c r="P38" s="7" t="str">
        <x:v>N7 Piranha</x:v>
      </x:c>
      <x:c r="Q38" s="7" t="str">
        <x:v>ME3-SRC-EQUIP</x:v>
      </x:c>
      <x:c r="R38" s="21" t="str">
        <x:v>https://masseffect.fandom.com/wiki/Equipment_Guide_%28Mass_Effect_3%29</x:v>
      </x:c>
      <x:c r="S38" s="21" t="str">
        <x:v>Spécification à réaliser. Les champs adaptation, gameplay, visual, animation, audio et implementation décrivent le fan game ; ils ne donnent pas des caractéristiques officielles de l’œuvre.</x:v>
      </x:c>
    </x:row>
    <x:row r="39" ht="68" customHeight="1">
      <x:c r="A39" s="18" t="str">
        <x:v>ME3-WPN-RAIDER</x:v>
      </x:c>
      <x:c r="B39" s="9" t="str">
        <x:v>AT-12 Raider</x:v>
      </x:c>
      <x:c r="C39" s="15" t="str">
        <x:v>Défini</x:v>
      </x:c>
      <x:c r="D39" s="16" t="str">
        <x:v>Établi</x:v>
      </x:c>
      <x:c r="E39" s="16" t="str">
        <x:v>P1</x:v>
      </x:c>
      <x:c r="F39" s="9" t="str">
        <x:v>Arme ajoutée avec Leviathan.</x:v>
      </x:c>
      <x:c r="G39" s="9" t="str">
        <x:v>Deux temps de tir puis reprise proposée ; ne pas remplacer la vérification des valeurs par celles de ME2.</x:v>
      </x:c>
      <x:c r="H39" s="9" t="str">
        <x:v>Deux temps de tir puis reprise proposée ; ne pas remplacer la vérification des valeurs par celles de ME2.</x:v>
      </x:c>
      <x:c r="I39" s="9" t="str">
        <x:v>Fusil court massif.</x:v>
      </x:c>
      <x:c r="J39" s="9" t="str">
        <x:v>Préparer état de repos, anticipation, activation et retour au repos ; aligner les événements visuels sur la résolution de l’action ATB.</x:v>
      </x:c>
      <x:c r="K39" s="9" t="str">
        <x:v>Créer des bruitages et ambiances originaux adaptés au livrable ; sous-titrer les indices utiles et proposer un réglage indépendant des effets. Aucune extraction audio demandée.</x:v>
      </x:c>
      <x:c r="L39" s="9" t="str">
        <x:v>Prévu : fiche de données me3/weapons/raider ; rattacher les ressources et états cités à cet identifiant. Aucun fichier de jeu créé par ce catalogue.</x:v>
      </x:c>
      <x:c r="M39" s="9" t="str">
        <x:v>Leviathan / édition.</x:v>
      </x:c>
      <x:c r="N39" s="9" t="str">
        <x:v>Le livrable « AT-12 Raider » possède une scène ou un scénario de contrôle ; ses règles proposées, ses conditions et ses retours visuels sont vérifiables séparément.</x:v>
      </x:c>
      <x:c r="O39" s="9" t="str"/>
      <x:c r="P39" s="9" t="str">
        <x:v>AT-12 Raider</x:v>
      </x:c>
      <x:c r="Q39" s="9" t="str">
        <x:v>ME3-SRC-BW-LEV</x:v>
      </x:c>
      <x:c r="R39" s="20" t="str">
        <x:v>https://blog.bioware.com/2012/08/02/mass-effect-3-leviathan-firefight-dlc-and-wii-u-information/</x:v>
      </x:c>
      <x:c r="S39" s="20" t="str">
        <x:v>Spécification à réaliser. Les champs adaptation, gameplay, visual, animation, audio et implementation décrivent le fan game ; ils ne donnent pas des caractéristiques officielles de l’œuvre.</x:v>
      </x:c>
    </x:row>
    <x:row r="40" ht="68" customHeight="1">
      <x:c r="A40" s="19" t="str">
        <x:v>ME3-WPN-VENOM</x:v>
      </x:c>
      <x:c r="B40" s="7" t="str">
        <x:v>Venom</x:v>
      </x:c>
      <x:c r="C40" s="15" t="str">
        <x:v>Défini</x:v>
      </x:c>
      <x:c r="D40" s="17" t="str">
        <x:v>Établi</x:v>
      </x:c>
      <x:c r="E40" s="17" t="str">
        <x:v>P1</x:v>
      </x:c>
      <x:c r="F40" s="7" t="str">
        <x:v>Arme de l’arsenal étendu.</x:v>
      </x:c>
      <x:c r="G40" s="7" t="str">
        <x:v>Zone explosive à trajectoire prévisualisée ; charge complète et tir court ont icônes distinctes.</x:v>
      </x:c>
      <x:c r="H40" s="7" t="str">
        <x:v>Zone explosive à trajectoire prévisualisée ; charge complète et tir court ont icônes distinctes.</x:v>
      </x:c>
      <x:c r="I40" s="7" t="str">
        <x:v>Lanceur lourd et projectile lumineux.</x:v>
      </x:c>
      <x:c r="J40" s="7" t="str">
        <x:v>Préparer état de repos, anticipation, activation et retour au repos ; aligner les événements visuels sur la résolution de l’action ATB.</x:v>
      </x:c>
      <x:c r="K40" s="7" t="str">
        <x:v>Créer des bruitages et ambiances originaux adaptés au livrable ; sous-titrer les indices utiles et proposer un réglage indépendant des effets. Aucune extraction audio demandée.</x:v>
      </x:c>
      <x:c r="L40" s="7" t="str">
        <x:v>Prévu : fiche de données me3/weapons/venom ; rattacher les ressources et états cités à cet identifiant. Aucun fichier de jeu créé par ce catalogue.</x:v>
      </x:c>
      <x:c r="M40" s="7" t="str">
        <x:v>Solo selon pack ; aussi Reckoning multi.</x:v>
      </x:c>
      <x:c r="N40" s="7" t="str">
        <x:v>Le livrable « Venom » possède une scène ou un scénario de contrôle ; ses règles proposées, ses conditions et ses retours visuels sont vérifiables séparément.</x:v>
      </x:c>
      <x:c r="O40" s="7" t="str"/>
      <x:c r="P40" s="7" t="str">
        <x:v>Venom</x:v>
      </x:c>
      <x:c r="Q40" s="7" t="str">
        <x:v>ME3-SRC-EQUIP, ME3-SRC-BW-CITADEL</x:v>
      </x:c>
      <x:c r="R40" s="21" t="str">
        <x:v>https://masseffect.fandom.com/wiki/Equipment_Guide_%28Mass_Effect_3%29
https://blog.bioware.com/2013/02/21/mass-effect-3-citadel-reckoning-dlc-announced/</x:v>
      </x:c>
      <x:c r="S40" s="21" t="str">
        <x:v>Spécification à réaliser. Les champs adaptation, gameplay, visual, animation, audio et implementation décrivent le fan game ; ils ne donnent pas des caractéristiques officielles de l’œuvre.</x:v>
      </x:c>
    </x:row>
    <x:row r="41" ht="68" customHeight="1">
      <x:c r="A41" s="18" t="str">
        <x:v>ME3-WPN-MANTIS</x:v>
      </x:c>
      <x:c r="B41" s="9" t="str">
        <x:v>M-92 Mantis</x:v>
      </x:c>
      <x:c r="C41" s="15" t="str">
        <x:v>Défini</x:v>
      </x:c>
      <x:c r="D41" s="16" t="str">
        <x:v>Établi</x:v>
      </x:c>
      <x:c r="E41" s="16" t="str">
        <x:v>P1</x:v>
      </x:c>
      <x:c r="F41" s="9" t="str">
        <x:v>Fusil de précision.</x:v>
      </x:c>
      <x:c r="G41" s="9" t="str">
        <x:v>Tir préparé, ligne dégagée puis récupération ; évite tout tir à travers un obstacle opaque non autorisé.</x:v>
      </x:c>
      <x:c r="H41" s="9" t="str">
        <x:v>Tir préparé, ligne dégagée puis récupération ; évite tout tir à travers un obstacle opaque non autorisé.</x:v>
      </x:c>
      <x:c r="I41" s="9" t="str">
        <x:v>Long fusil de sniper.</x:v>
      </x:c>
      <x:c r="J41" s="9" t="str">
        <x:v>Préparer état de repos, anticipation, activation et retour au repos ; aligner les événements visuels sur la résolution de l’action ATB.</x:v>
      </x:c>
      <x:c r="K41" s="9" t="str">
        <x:v>Créer des bruitages et ambiances originaux adaptés au livrable ; sous-titrer les indices utiles et proposer un réglage indépendant des effets. Aucune extraction audio demandée.</x:v>
      </x:c>
      <x:c r="L41" s="9" t="str">
        <x:v>Prévu : fiche de données me3/weapons/mantis ; rattacher les ressources et états cités à cet identifiant. Aucun fichier de jeu créé par ce catalogue.</x:v>
      </x:c>
      <x:c r="M41" s="9" t="str"/>
      <x:c r="N41" s="9" t="str">
        <x:v>Le livrable « M-92 Mantis » possède une scène ou un scénario de contrôle ; ses règles proposées, ses conditions et ses retours visuels sont vérifiables séparément.</x:v>
      </x:c>
      <x:c r="O41" s="9" t="str"/>
      <x:c r="P41" s="9" t="str">
        <x:v>M-92 Mantis</x:v>
      </x:c>
      <x:c r="Q41" s="9" t="str">
        <x:v>ME3-SRC-EQUIP</x:v>
      </x:c>
      <x:c r="R41" s="20" t="str">
        <x:v>https://masseffect.fandom.com/wiki/Equipment_Guide_%28Mass_Effect_3%29</x:v>
      </x:c>
      <x:c r="S41" s="20" t="str">
        <x:v>Spécification à réaliser. Les champs adaptation, gameplay, visual, animation, audio et implementation décrivent le fan game ; ils ne donnent pas des caractéristiques officielles de l’œuvre.</x:v>
      </x:c>
    </x:row>
    <x:row r="42" ht="68" customHeight="1">
      <x:c r="A42" s="19" t="str">
        <x:v>ME3-WPN-VIPER</x:v>
      </x:c>
      <x:c r="B42" s="7" t="str">
        <x:v>M-97 Viper</x:v>
      </x:c>
      <x:c r="C42" s="15" t="str">
        <x:v>Défini</x:v>
      </x:c>
      <x:c r="D42" s="17" t="str">
        <x:v>Établi</x:v>
      </x:c>
      <x:c r="E42" s="17" t="str">
        <x:v>P1</x:v>
      </x:c>
      <x:c r="F42" s="7" t="str">
        <x:v>Fusil de précision.</x:v>
      </x:c>
      <x:c r="G42" s="7" t="str">
        <x:v>Tirs successifs avec fenêtre de retargeting ; qualité de visée proposée visible.</x:v>
      </x:c>
      <x:c r="H42" s="7" t="str">
        <x:v>Tirs successifs avec fenêtre de retargeting ; qualité de visée proposée visible.</x:v>
      </x:c>
      <x:c r="I42" s="7" t="str">
        <x:v>Fusil semi-automatique fin.</x:v>
      </x:c>
      <x:c r="J42" s="7" t="str">
        <x:v>Préparer état de repos, anticipation, activation et retour au repos ; aligner les événements visuels sur la résolution de l’action ATB.</x:v>
      </x:c>
      <x:c r="K42" s="7" t="str">
        <x:v>Créer des bruitages et ambiances originaux adaptés au livrable ; sous-titrer les indices utiles et proposer un réglage indépendant des effets. Aucune extraction audio demandée.</x:v>
      </x:c>
      <x:c r="L42" s="7" t="str">
        <x:v>Prévu : fiche de données me3/weapons/viper ; rattacher les ressources et états cités à cet identifiant. Aucun fichier de jeu créé par ce catalogue.</x:v>
      </x:c>
      <x:c r="M42" s="7" t="str"/>
      <x:c r="N42" s="7" t="str">
        <x:v>Le livrable « M-97 Viper » possède une scène ou un scénario de contrôle ; ses règles proposées, ses conditions et ses retours visuels sont vérifiables séparément.</x:v>
      </x:c>
      <x:c r="O42" s="7" t="str"/>
      <x:c r="P42" s="7" t="str">
        <x:v>M-97 Viper</x:v>
      </x:c>
      <x:c r="Q42" s="7" t="str">
        <x:v>ME3-SRC-EQUIP</x:v>
      </x:c>
      <x:c r="R42" s="21" t="str">
        <x:v>https://masseffect.fandom.com/wiki/Equipment_Guide_%28Mass_Effect_3%29</x:v>
      </x:c>
      <x:c r="S42" s="21" t="str">
        <x:v>Spécification à réaliser. Les champs adaptation, gameplay, visual, animation, audio et implementation décrivent le fan game ; ils ne donnent pas des caractéristiques officielles de l’œuvre.</x:v>
      </x:c>
    </x:row>
    <x:row r="43" ht="68" customHeight="1">
      <x:c r="A43" s="18" t="str">
        <x:v>ME3-WPN-WIDOW</x:v>
      </x:c>
      <x:c r="B43" s="9" t="str">
        <x:v>M-98 Widow</x:v>
      </x:c>
      <x:c r="C43" s="15" t="str">
        <x:v>Défini</x:v>
      </x:c>
      <x:c r="D43" s="16" t="str">
        <x:v>Établi</x:v>
      </x:c>
      <x:c r="E43" s="16" t="str">
        <x:v>P1</x:v>
      </x:c>
      <x:c r="F43" s="9" t="str">
        <x:v>Fusil lourd de précision.</x:v>
      </x:c>
      <x:c r="G43" s="9" t="str">
        <x:v>Pénétration définie par matériau du fan game ; un aperçu signale couvert traversable ou bloquant.</x:v>
      </x:c>
      <x:c r="H43" s="9" t="str">
        <x:v>Pénétration définie par matériau du fan game ; un aperçu signale couvert traversable ou bloquant.</x:v>
      </x:c>
      <x:c r="I43" s="9" t="str">
        <x:v>Canon massif et bipied.</x:v>
      </x:c>
      <x:c r="J43" s="9" t="str">
        <x:v>Préparer état de repos, anticipation, activation et retour au repos ; aligner les événements visuels sur la résolution de l’action ATB.</x:v>
      </x:c>
      <x:c r="K43" s="9" t="str">
        <x:v>Créer des bruitages et ambiances originaux adaptés au livrable ; sous-titrer les indices utiles et proposer un réglage indépendant des effets. Aucune extraction audio demandée.</x:v>
      </x:c>
      <x:c r="L43" s="9" t="str">
        <x:v>Prévu : fiche de données me3/weapons/widow ; rattacher les ressources et états cités à cet identifiant. Aucun fichier de jeu créé par ce catalogue.</x:v>
      </x:c>
      <x:c r="M43" s="9" t="str"/>
      <x:c r="N43" s="9" t="str">
        <x:v>Le livrable « M-98 Widow » possède une scène ou un scénario de contrôle ; ses règles proposées, ses conditions et ses retours visuels sont vérifiables séparément.</x:v>
      </x:c>
      <x:c r="O43" s="9" t="str"/>
      <x:c r="P43" s="9" t="str">
        <x:v>M-98 Widow</x:v>
      </x:c>
      <x:c r="Q43" s="9" t="str">
        <x:v>ME3-SRC-EQUIP</x:v>
      </x:c>
      <x:c r="R43" s="20" t="str">
        <x:v>https://masseffect.fandom.com/wiki/Equipment_Guide_%28Mass_Effect_3%29</x:v>
      </x:c>
      <x:c r="S43" s="20" t="str">
        <x:v>Spécification à réaliser. Les champs adaptation, gameplay, visual, animation, audio et implementation décrivent le fan game ; ils ne donnent pas des caractéristiques officielles de l’œuvre.</x:v>
      </x:c>
    </x:row>
    <x:row r="44" ht="68" customHeight="1">
      <x:c r="A44" s="19" t="str">
        <x:v>ME3-WPN-BLACK-WIDOW</x:v>
      </x:c>
      <x:c r="B44" s="7" t="str">
        <x:v>Black Widow</x:v>
      </x:c>
      <x:c r="C44" s="15" t="str">
        <x:v>Défini</x:v>
      </x:c>
      <x:c r="D44" s="17" t="str">
        <x:v>Établi</x:v>
      </x:c>
      <x:c r="E44" s="17" t="str">
        <x:v>P1</x:v>
      </x:c>
      <x:c r="F44" s="7" t="str">
        <x:v>Fusil de précision.</x:v>
      </x:c>
      <x:c r="G44" s="7" t="str">
        <x:v>Petite série de tirs puissants ; afficher réserve du chargeur dans menu d’ordre.</x:v>
      </x:c>
      <x:c r="H44" s="7" t="str">
        <x:v>Petite série de tirs puissants ; afficher réserve du chargeur dans menu d’ordre.</x:v>
      </x:c>
      <x:c r="I44" s="7" t="str">
        <x:v>Grande carcasse sombre.</x:v>
      </x:c>
      <x:c r="J44" s="7" t="str">
        <x:v>Préparer état de repos, anticipation, activation et retour au repos ; aligner les événements visuels sur la résolution de l’action ATB.</x:v>
      </x:c>
      <x:c r="K44" s="7" t="str">
        <x:v>Créer des bruitages et ambiances originaux adaptés au livrable ; sous-titrer les indices utiles et proposer un réglage indépendant des effets. Aucune extraction audio demandée.</x:v>
      </x:c>
      <x:c r="L44" s="7" t="str">
        <x:v>Prévu : fiche de données me3/weapons/black-widow ; rattacher les ressources et états cités à cet identifiant. Aucun fichier de jeu créé par ce catalogue.</x:v>
      </x:c>
      <x:c r="M44" s="7" t="str"/>
      <x:c r="N44" s="7" t="str">
        <x:v>Le livrable « Black Widow » possède une scène ou un scénario de contrôle ; ses règles proposées, ses conditions et ses retours visuels sont vérifiables séparément.</x:v>
      </x:c>
      <x:c r="O44" s="7" t="str"/>
      <x:c r="P44" s="7" t="str">
        <x:v>Black Widow</x:v>
      </x:c>
      <x:c r="Q44" s="7" t="str">
        <x:v>ME3-SRC-EQUIP</x:v>
      </x:c>
      <x:c r="R44" s="21" t="str">
        <x:v>https://masseffect.fandom.com/wiki/Equipment_Guide_%28Mass_Effect_3%29</x:v>
      </x:c>
      <x:c r="S44" s="21" t="str">
        <x:v>Spécification à réaliser. Les champs adaptation, gameplay, visual, animation, audio et implementation décrivent le fan game ; ils ne donnent pas des caractéristiques officielles de l’œuvre.</x:v>
      </x:c>
    </x:row>
    <x:row r="45" ht="68" customHeight="1">
      <x:c r="A45" s="18" t="str">
        <x:v>ME3-WPN-JAVELIN</x:v>
      </x:c>
      <x:c r="B45" s="9" t="str">
        <x:v>Javelin</x:v>
      </x:c>
      <x:c r="C45" s="15" t="str">
        <x:v>Défini</x:v>
      </x:c>
      <x:c r="D45" s="16" t="str">
        <x:v>Établi</x:v>
      </x:c>
      <x:c r="E45" s="16" t="str">
        <x:v>P1</x:v>
      </x:c>
      <x:c r="F45" s="9" t="str">
        <x:v>Fusil geth de précision.</x:v>
      </x:c>
      <x:c r="G45" s="9" t="str">
        <x:v>Préparation avant projectile ; la cible réserve une fenêtre de fuite, évitant un impact instantané injuste.</x:v>
      </x:c>
      <x:c r="H45" s="9" t="str">
        <x:v>Préparation avant projectile ; la cible réserve une fenêtre de fuite, évitant un impact instantané injuste.</x:v>
      </x:c>
      <x:c r="I45" s="9" t="str">
        <x:v>Arme geth à ligne énergétique.</x:v>
      </x:c>
      <x:c r="J45" s="9" t="str">
        <x:v>Préparer état de repos, anticipation, activation et retour au repos ; aligner les événements visuels sur la résolution de l’action ATB.</x:v>
      </x:c>
      <x:c r="K45" s="9" t="str">
        <x:v>Créer des bruitages et ambiances originaux adaptés au livrable ; sous-titrer les indices utiles et proposer un réglage indépendant des effets. Aucune extraction audio demandée.</x:v>
      </x:c>
      <x:c r="L45" s="9" t="str">
        <x:v>Prévu : fiche de données me3/weapons/javelin ; rattacher les ressources et états cités à cet identifiant. Aucun fichier de jeu créé par ce catalogue.</x:v>
      </x:c>
      <x:c r="M45" s="9" t="str"/>
      <x:c r="N45" s="9" t="str">
        <x:v>Le livrable « Javelin » possède une scène ou un scénario de contrôle ; ses règles proposées, ses conditions et ses retours visuels sont vérifiables séparément.</x:v>
      </x:c>
      <x:c r="O45" s="9" t="str"/>
      <x:c r="P45" s="9" t="str">
        <x:v>Javelin</x:v>
      </x:c>
      <x:c r="Q45" s="9" t="str">
        <x:v>ME3-SRC-EQUIP</x:v>
      </x:c>
      <x:c r="R45" s="20" t="str">
        <x:v>https://masseffect.fandom.com/wiki/Equipment_Guide_%28Mass_Effect_3%29</x:v>
      </x:c>
      <x:c r="S45" s="20" t="str">
        <x:v>Spécification à réaliser. Les champs adaptation, gameplay, visual, animation, audio et implementation décrivent le fan game ; ils ne donnent pas des caractéristiques officielles de l’œuvre.</x:v>
      </x:c>
    </x:row>
    <x:row r="46" ht="68" customHeight="1">
      <x:c r="A46" s="19" t="str">
        <x:v>ME3-WPN-RAPTOR</x:v>
      </x:c>
      <x:c r="B46" s="7" t="str">
        <x:v>M-13 Raptor</x:v>
      </x:c>
      <x:c r="C46" s="15" t="str">
        <x:v>Défini</x:v>
      </x:c>
      <x:c r="D46" s="17" t="str">
        <x:v>Établi</x:v>
      </x:c>
      <x:c r="E46" s="17" t="str">
        <x:v>P1</x:v>
      </x:c>
      <x:c r="F46" s="7" t="str">
        <x:v>Fusil semi-automatique.</x:v>
      </x:c>
      <x:c r="G46" s="7" t="str">
        <x:v>Précision légère, récupération rapide proposée ; peut accompagner un build de pouvoirs.</x:v>
      </x:c>
      <x:c r="H46" s="7" t="str">
        <x:v>Précision légère, récupération rapide proposée ; peut accompagner un build de pouvoirs.</x:v>
      </x:c>
      <x:c r="I46" s="7" t="str">
        <x:v>Fusil fin à lunette.</x:v>
      </x:c>
      <x:c r="J46" s="7" t="str">
        <x:v>Préparer état de repos, anticipation, activation et retour au repos ; aligner les événements visuels sur la résolution de l’action ATB.</x:v>
      </x:c>
      <x:c r="K46" s="7" t="str">
        <x:v>Créer des bruitages et ambiances originaux adaptés au livrable ; sous-titrer les indices utiles et proposer un réglage indépendant des effets. Aucune extraction audio demandée.</x:v>
      </x:c>
      <x:c r="L46" s="7" t="str">
        <x:v>Prévu : fiche de données me3/weapons/raptor ; rattacher les ressources et états cités à cet identifiant. Aucun fichier de jeu créé par ce catalogue.</x:v>
      </x:c>
      <x:c r="M46" s="7" t="str"/>
      <x:c r="N46" s="7" t="str">
        <x:v>Le livrable « M-13 Raptor » possède une scène ou un scénario de contrôle ; ses règles proposées, ses conditions et ses retours visuels sont vérifiables séparément.</x:v>
      </x:c>
      <x:c r="O46" s="7" t="str"/>
      <x:c r="P46" s="7" t="str">
        <x:v>M-13 Raptor</x:v>
      </x:c>
      <x:c r="Q46" s="7" t="str">
        <x:v>ME3-SRC-EQUIP</x:v>
      </x:c>
      <x:c r="R46" s="21" t="str">
        <x:v>https://masseffect.fandom.com/wiki/Equipment_Guide_%28Mass_Effect_3%29</x:v>
      </x:c>
      <x:c r="S46" s="21" t="str">
        <x:v>Spécification à réaliser. Les champs adaptation, gameplay, visual, animation, audio et implementation décrivent le fan game ; ils ne donnent pas des caractéristiques officielles de l’œuvre.</x:v>
      </x:c>
    </x:row>
    <x:row r="47" ht="68" customHeight="1">
      <x:c r="A47" s="18" t="str">
        <x:v>ME3-WPN-INDRA</x:v>
      </x:c>
      <x:c r="B47" s="9" t="str">
        <x:v>M-90 Indra</x:v>
      </x:c>
      <x:c r="C47" s="15" t="str">
        <x:v>Défini</x:v>
      </x:c>
      <x:c r="D47" s="16" t="str">
        <x:v>Établi</x:v>
      </x:c>
      <x:c r="E47" s="16" t="str">
        <x:v>P1</x:v>
      </x:c>
      <x:c r="F47" s="9" t="str">
        <x:v>Fusil automatique de précision.</x:v>
      </x:c>
      <x:c r="G47" s="9" t="str">
        <x:v>Maintien du tir avec dispersion graduelle ; interruption au changement de ligne de vue.</x:v>
      </x:c>
      <x:c r="H47" s="9" t="str">
        <x:v>Maintien du tir avec dispersion graduelle ; interruption au changement de ligne de vue.</x:v>
      </x:c>
      <x:c r="I47" s="9" t="str">
        <x:v>Long canon et chargeur.</x:v>
      </x:c>
      <x:c r="J47" s="9" t="str">
        <x:v>Préparer état de repos, anticipation, activation et retour au repos ; aligner les événements visuels sur la résolution de l’action ATB.</x:v>
      </x:c>
      <x:c r="K47" s="9" t="str">
        <x:v>Créer des bruitages et ambiances originaux adaptés au livrable ; sous-titrer les indices utiles et proposer un réglage indépendant des effets. Aucune extraction audio demandée.</x:v>
      </x:c>
      <x:c r="L47" s="9" t="str">
        <x:v>Prévu : fiche de données me3/weapons/indra ; rattacher les ressources et états cités à cet identifiant. Aucun fichier de jeu créé par ce catalogue.</x:v>
      </x:c>
      <x:c r="M47" s="9" t="str">
        <x:v>Arsenal étendu selon édition.</x:v>
      </x:c>
      <x:c r="N47" s="9" t="str">
        <x:v>Le livrable « M-90 Indra » possède une scène ou un scénario de contrôle ; ses règles proposées, ses conditions et ses retours visuels sont vérifiables séparément.</x:v>
      </x:c>
      <x:c r="O47" s="9" t="str"/>
      <x:c r="P47" s="9" t="str">
        <x:v>M-90 Indra</x:v>
      </x:c>
      <x:c r="Q47" s="9" t="str">
        <x:v>ME3-SRC-EQUIP</x:v>
      </x:c>
      <x:c r="R47" s="20" t="str">
        <x:v>https://masseffect.fandom.com/wiki/Equipment_Guide_%28Mass_Effect_3%29</x:v>
      </x:c>
      <x:c r="S47" s="20" t="str">
        <x:v>Spécification à réaliser. Les champs adaptation, gameplay, visual, animation, audio et implementation décrivent le fan game ; ils ne donnent pas des caractéristiques officielles de l’œuvre.</x:v>
      </x:c>
    </x:row>
    <x:row r="48" ht="68" customHeight="1">
      <x:c r="A48" s="19" t="str">
        <x:v>ME3-WPN-VALIANT</x:v>
      </x:c>
      <x:c r="B48" s="7" t="str">
        <x:v>N7 Valiant</x:v>
      </x:c>
      <x:c r="C48" s="15" t="str">
        <x:v>Défini</x:v>
      </x:c>
      <x:c r="D48" s="17" t="str">
        <x:v>Établi</x:v>
      </x:c>
      <x:c r="E48" s="17" t="str">
        <x:v>P1</x:v>
      </x:c>
      <x:c r="F48" s="7" t="str">
        <x:v>Fusil de précision N7.</x:v>
      </x:c>
      <x:c r="G48" s="7" t="str">
        <x:v>Cadence contrôlée et réserve visible ; rôle mobile proposé distinct du Widow.</x:v>
      </x:c>
      <x:c r="H48" s="7" t="str">
        <x:v>Cadence contrôlée et réserve visible ; rôle mobile proposé distinct du Widow.</x:v>
      </x:c>
      <x:c r="I48" s="7" t="str">
        <x:v>Fusil N7 blanc et noir.</x:v>
      </x:c>
      <x:c r="J48" s="7" t="str">
        <x:v>Préparer état de repos, anticipation, activation et retour au repos ; aligner les événements visuels sur la résolution de l’action ATB.</x:v>
      </x:c>
      <x:c r="K48" s="7" t="str">
        <x:v>Créer des bruitages et ambiances originaux adaptés au livrable ; sous-titrer les indices utiles et proposer un réglage indépendant des effets. Aucune extraction audio demandée.</x:v>
      </x:c>
      <x:c r="L48" s="7" t="str">
        <x:v>Prévu : fiche de données me3/weapons/valiant ; rattacher les ressources et états cités à cet identifiant. Aucun fichier de jeu créé par ce catalogue.</x:v>
      </x:c>
      <x:c r="M48" s="7" t="str">
        <x:v>Arsenal étendu selon édition.</x:v>
      </x:c>
      <x:c r="N48" s="7" t="str">
        <x:v>Le livrable « N7 Valiant » possède une scène ou un scénario de contrôle ; ses règles proposées, ses conditions et ses retours visuels sont vérifiables séparément.</x:v>
      </x:c>
      <x:c r="O48" s="7" t="str"/>
      <x:c r="P48" s="7" t="str">
        <x:v>N7 Valiant</x:v>
      </x:c>
      <x:c r="Q48" s="7" t="str">
        <x:v>ME3-SRC-EQUIP</x:v>
      </x:c>
      <x:c r="R48" s="21" t="str">
        <x:v>https://masseffect.fandom.com/wiki/Equipment_Guide_%28Mass_Effect_3%29</x:v>
      </x:c>
      <x:c r="S48" s="21" t="str">
        <x:v>Spécification à réaliser. Les champs adaptation, gameplay, visual, animation, audio et implementation décrivent le fan game ; ils ne donnent pas des caractéristiques officielles de l’œuvre.</x:v>
      </x:c>
    </x:row>
    <x:row r="49" ht="68" customHeight="1">
      <x:c r="A49" s="18" t="str">
        <x:v>ME3-WPN-SHURIKEN</x:v>
      </x:c>
      <x:c r="B49" s="9" t="str">
        <x:v>M-4 Shuriken</x:v>
      </x:c>
      <x:c r="C49" s="15" t="str">
        <x:v>Défini</x:v>
      </x:c>
      <x:c r="D49" s="16" t="str">
        <x:v>Établi</x:v>
      </x:c>
      <x:c r="E49" s="16" t="str">
        <x:v>P1</x:v>
      </x:c>
      <x:c r="F49" s="9" t="str">
        <x:v>Pistolet mitrailleur.</x:v>
      </x:c>
      <x:c r="G49" s="9" t="str">
        <x:v>Rafale légère et courte ; choisir sa cible avant chaque salve.</x:v>
      </x:c>
      <x:c r="H49" s="9" t="str">
        <x:v>Rafale légère et courte ; choisir sa cible avant chaque salve.</x:v>
      </x:c>
      <x:c r="I49" s="9" t="str">
        <x:v>SMG compact.</x:v>
      </x:c>
      <x:c r="J49" s="9" t="str">
        <x:v>Préparer état de repos, anticipation, activation et retour au repos ; aligner les événements visuels sur la résolution de l’action ATB.</x:v>
      </x:c>
      <x:c r="K49" s="9" t="str">
        <x:v>Créer des bruitages et ambiances originaux adaptés au livrable ; sous-titrer les indices utiles et proposer un réglage indépendant des effets. Aucune extraction audio demandée.</x:v>
      </x:c>
      <x:c r="L49" s="9" t="str">
        <x:v>Prévu : fiche de données me3/weapons/shuriken ; rattacher les ressources et états cités à cet identifiant. Aucun fichier de jeu créé par ce catalogue.</x:v>
      </x:c>
      <x:c r="M49" s="9" t="str"/>
      <x:c r="N49" s="9" t="str">
        <x:v>Le livrable « M-4 Shuriken » possède une scène ou un scénario de contrôle ; ses règles proposées, ses conditions et ses retours visuels sont vérifiables séparément.</x:v>
      </x:c>
      <x:c r="O49" s="9" t="str"/>
      <x:c r="P49" s="9" t="str">
        <x:v>M-4 Shuriken</x:v>
      </x:c>
      <x:c r="Q49" s="9" t="str">
        <x:v>ME3-SRC-EQUIP</x:v>
      </x:c>
      <x:c r="R49" s="20" t="str">
        <x:v>https://masseffect.fandom.com/wiki/Equipment_Guide_%28Mass_Effect_3%29</x:v>
      </x:c>
      <x:c r="S49" s="20" t="str">
        <x:v>Spécification à réaliser. Les champs adaptation, gameplay, visual, animation, audio et implementation décrivent le fan game ; ils ne donnent pas des caractéristiques officielles de l’œuvre.</x:v>
      </x:c>
    </x:row>
    <x:row r="50" ht="68" customHeight="1">
      <x:c r="A50" s="19" t="str">
        <x:v>ME3-WPN-TEMPEST</x:v>
      </x:c>
      <x:c r="B50" s="7" t="str">
        <x:v>M-9 Tempest</x:v>
      </x:c>
      <x:c r="C50" s="15" t="str">
        <x:v>Défini</x:v>
      </x:c>
      <x:c r="D50" s="17" t="str">
        <x:v>Établi</x:v>
      </x:c>
      <x:c r="E50" s="17" t="str">
        <x:v>P1</x:v>
      </x:c>
      <x:c r="F50" s="7" t="str">
        <x:v>Pistolet mitrailleur.</x:v>
      </x:c>
      <x:c r="G50" s="7" t="str">
        <x:v>Suppression légère à proximité ; échange de précision contre flexibilité proposé.</x:v>
      </x:c>
      <x:c r="H50" s="7" t="str">
        <x:v>Suppression légère à proximité ; échange de précision contre flexibilité proposé.</x:v>
      </x:c>
      <x:c r="I50" s="7" t="str">
        <x:v>Chargeur et canon courts.</x:v>
      </x:c>
      <x:c r="J50" s="7" t="str">
        <x:v>Préparer état de repos, anticipation, activation et retour au repos ; aligner les événements visuels sur la résolution de l’action ATB.</x:v>
      </x:c>
      <x:c r="K50" s="7" t="str">
        <x:v>Créer des bruitages et ambiances originaux adaptés au livrable ; sous-titrer les indices utiles et proposer un réglage indépendant des effets. Aucune extraction audio demandée.</x:v>
      </x:c>
      <x:c r="L50" s="7" t="str">
        <x:v>Prévu : fiche de données me3/weapons/tempest ; rattacher les ressources et états cités à cet identifiant. Aucun fichier de jeu créé par ce catalogue.</x:v>
      </x:c>
      <x:c r="M50" s="7" t="str"/>
      <x:c r="N50" s="7" t="str">
        <x:v>Le livrable « M-9 Tempest » possède une scène ou un scénario de contrôle ; ses règles proposées, ses conditions et ses retours visuels sont vérifiables séparément.</x:v>
      </x:c>
      <x:c r="O50" s="7" t="str"/>
      <x:c r="P50" s="7" t="str">
        <x:v>M-9 Tempest</x:v>
      </x:c>
      <x:c r="Q50" s="7" t="str">
        <x:v>ME3-SRC-EQUIP</x:v>
      </x:c>
      <x:c r="R50" s="21" t="str">
        <x:v>https://masseffect.fandom.com/wiki/Equipment_Guide_%28Mass_Effect_3%29</x:v>
      </x:c>
      <x:c r="S50" s="21" t="str">
        <x:v>Spécification à réaliser. Les champs adaptation, gameplay, visual, animation, audio et implementation décrivent le fan game ; ils ne donnent pas des caractéristiques officielles de l’œuvre.</x:v>
      </x:c>
    </x:row>
    <x:row r="51" ht="68" customHeight="1">
      <x:c r="A51" s="18" t="str">
        <x:v>ME3-WPN-LOCUST</x:v>
      </x:c>
      <x:c r="B51" s="9" t="str">
        <x:v>M-12 Locust</x:v>
      </x:c>
      <x:c r="C51" s="15" t="str">
        <x:v>Défini</x:v>
      </x:c>
      <x:c r="D51" s="16" t="str">
        <x:v>Établi</x:v>
      </x:c>
      <x:c r="E51" s="16" t="str">
        <x:v>P1</x:v>
      </x:c>
      <x:c r="F51" s="9" t="str">
        <x:v>Pistolet mitrailleur.</x:v>
      </x:c>
      <x:c r="G51" s="9" t="str">
        <x:v>Tir précis de soutien ; coût de préparation réduit à couvert dans l’adaptation.</x:v>
      </x:c>
      <x:c r="H51" s="9" t="str">
        <x:v>Tir précis de soutien ; coût de préparation réduit à couvert dans l’adaptation.</x:v>
      </x:c>
      <x:c r="I51" s="9" t="str">
        <x:v>Silhouette fine de SMG.</x:v>
      </x:c>
      <x:c r="J51" s="9" t="str">
        <x:v>Préparer état de repos, anticipation, activation et retour au repos ; aligner les événements visuels sur la résolution de l’action ATB.</x:v>
      </x:c>
      <x:c r="K51" s="9" t="str">
        <x:v>Créer des bruitages et ambiances originaux adaptés au livrable ; sous-titrer les indices utiles et proposer un réglage indépendant des effets. Aucune extraction audio demandée.</x:v>
      </x:c>
      <x:c r="L51" s="9" t="str">
        <x:v>Prévu : fiche de données me3/weapons/locust ; rattacher les ressources et états cités à cet identifiant. Aucun fichier de jeu créé par ce catalogue.</x:v>
      </x:c>
      <x:c r="M51" s="9" t="str"/>
      <x:c r="N51" s="9" t="str">
        <x:v>Le livrable « M-12 Locust » possède une scène ou un scénario de contrôle ; ses règles proposées, ses conditions et ses retours visuels sont vérifiables séparément.</x:v>
      </x:c>
      <x:c r="O51" s="9" t="str"/>
      <x:c r="P51" s="9" t="str">
        <x:v>M-12 Locust</x:v>
      </x:c>
      <x:c r="Q51" s="9" t="str">
        <x:v>ME3-SRC-EQUIP</x:v>
      </x:c>
      <x:c r="R51" s="20" t="str">
        <x:v>https://masseffect.fandom.com/wiki/Equipment_Guide_%28Mass_Effect_3%29</x:v>
      </x:c>
      <x:c r="S51" s="20" t="str">
        <x:v>Spécification à réaliser. Les champs adaptation, gameplay, visual, animation, audio et implementation décrivent le fan game ; ils ne donnent pas des caractéristiques officielles de l’œuvre.</x:v>
      </x:c>
    </x:row>
    <x:row r="52" ht="68" customHeight="1">
      <x:c r="A52" s="19" t="str">
        <x:v>ME3-WPN-HORNET</x:v>
      </x:c>
      <x:c r="B52" s="7" t="str">
        <x:v>M-25 Hornet</x:v>
      </x:c>
      <x:c r="C52" s="15" t="str">
        <x:v>Défini</x:v>
      </x:c>
      <x:c r="D52" s="17" t="str">
        <x:v>Établi</x:v>
      </x:c>
      <x:c r="E52" s="17" t="str">
        <x:v>P1</x:v>
      </x:c>
      <x:c r="F52" s="7" t="str">
        <x:v>Pistolet mitrailleur.</x:v>
      </x:c>
      <x:c r="G52" s="7" t="str">
        <x:v>Salves courtes avec recul lisible ; aucun tir continu caché derrière animation de rafale.</x:v>
      </x:c>
      <x:c r="H52" s="7" t="str">
        <x:v>Salves courtes avec recul lisible ; aucun tir continu caché derrière animation de rafale.</x:v>
      </x:c>
      <x:c r="I52" s="7" t="str">
        <x:v>Boîtier Cerberus compact.</x:v>
      </x:c>
      <x:c r="J52" s="7" t="str">
        <x:v>Préparer état de repos, anticipation, activation et retour au repos ; aligner les événements visuels sur la résolution de l’action ATB.</x:v>
      </x:c>
      <x:c r="K52" s="7" t="str">
        <x:v>Créer des bruitages et ambiances originaux adaptés au livrable ; sous-titrer les indices utiles et proposer un réglage indépendant des effets. Aucune extraction audio demandée.</x:v>
      </x:c>
      <x:c r="L52" s="7" t="str">
        <x:v>Prévu : fiche de données me3/weapons/hornet ; rattacher les ressources et états cités à cet identifiant. Aucun fichier de jeu créé par ce catalogue.</x:v>
      </x:c>
      <x:c r="M52" s="7" t="str"/>
      <x:c r="N52" s="7" t="str">
        <x:v>Le livrable « M-25 Hornet » possède une scène ou un scénario de contrôle ; ses règles proposées, ses conditions et ses retours visuels sont vérifiables séparément.</x:v>
      </x:c>
      <x:c r="O52" s="7" t="str"/>
      <x:c r="P52" s="7" t="str">
        <x:v>M-25 Hornet</x:v>
      </x:c>
      <x:c r="Q52" s="7" t="str">
        <x:v>ME3-SRC-EQUIP</x:v>
      </x:c>
      <x:c r="R52" s="21" t="str">
        <x:v>https://masseffect.fandom.com/wiki/Equipment_Guide_%28Mass_Effect_3%29</x:v>
      </x:c>
      <x:c r="S52" s="21" t="str">
        <x:v>Spécification à réaliser. Les champs adaptation, gameplay, visual, animation, audio et implementation décrivent le fan game ; ils ne donnent pas des caractéristiques officielles de l’œuvre.</x:v>
      </x:c>
    </x:row>
    <x:row r="53" ht="68" customHeight="1">
      <x:c r="A53" s="18" t="str">
        <x:v>ME3-WPN-HURRICANE</x:v>
      </x:c>
      <x:c r="B53" s="9" t="str">
        <x:v>N7 Hurricane</x:v>
      </x:c>
      <x:c r="C53" s="15" t="str">
        <x:v>Défini</x:v>
      </x:c>
      <x:c r="D53" s="16" t="str">
        <x:v>Établi</x:v>
      </x:c>
      <x:c r="E53" s="16" t="str">
        <x:v>P1</x:v>
      </x:c>
      <x:c r="F53" s="9" t="str">
        <x:v>Pistolet mitrailleur N7.</x:v>
      </x:c>
      <x:c r="G53" s="9" t="str">
        <x:v>Débit très court et intense ; saturation proposée compensée par consommation affichée.</x:v>
      </x:c>
      <x:c r="H53" s="9" t="str">
        <x:v>Débit très court et intense ; saturation proposée compensée par consommation affichée.</x:v>
      </x:c>
      <x:c r="I53" s="9" t="str">
        <x:v>Arme N7 légère.</x:v>
      </x:c>
      <x:c r="J53" s="9" t="str">
        <x:v>Préparer état de repos, anticipation, activation et retour au repos ; aligner les événements visuels sur la résolution de l’action ATB.</x:v>
      </x:c>
      <x:c r="K53" s="9" t="str">
        <x:v>Créer des bruitages et ambiances originaux adaptés au livrable ; sous-titrer les indices utiles et proposer un réglage indépendant des effets. Aucune extraction audio demandée.</x:v>
      </x:c>
      <x:c r="L53" s="9" t="str">
        <x:v>Prévu : fiche de données me3/weapons/hurricane ; rattacher les ressources et états cités à cet identifiant. Aucun fichier de jeu créé par ce catalogue.</x:v>
      </x:c>
      <x:c r="M53" s="9" t="str">
        <x:v>Arsenal étendu selon édition.</x:v>
      </x:c>
      <x:c r="N53" s="9" t="str">
        <x:v>Le livrable « N7 Hurricane » possède une scène ou un scénario de contrôle ; ses règles proposées, ses conditions et ses retours visuels sont vérifiables séparément.</x:v>
      </x:c>
      <x:c r="O53" s="9" t="str"/>
      <x:c r="P53" s="9" t="str">
        <x:v>N7 Hurricane</x:v>
      </x:c>
      <x:c r="Q53" s="9" t="str">
        <x:v>ME3-SRC-EQUIP</x:v>
      </x:c>
      <x:c r="R53" s="20" t="str">
        <x:v>https://masseffect.fandom.com/wiki/Equipment_Guide_%28Mass_Effect_3%29</x:v>
      </x:c>
      <x:c r="S53" s="20" t="str">
        <x:v>Spécification à réaliser. Les champs adaptation, gameplay, visual, animation, audio et implementation décrivent le fan game ; ils ne donnent pas des caractéristiques officielles de l’œuvre.</x:v>
      </x:c>
    </x:row>
    <x:row r="54" ht="68" customHeight="1">
      <x:c r="A54" s="19" t="str">
        <x:v>ME3-WPN-CAIN</x:v>
      </x:c>
      <x:c r="B54" s="7" t="str">
        <x:v>M-920 Cain — local</x:v>
      </x:c>
      <x:c r="C54" s="15" t="str">
        <x:v>Défini</x:v>
      </x:c>
      <x:c r="D54" s="17" t="str">
        <x:v>Établi</x:v>
      </x:c>
      <x:c r="E54" s="17" t="str">
        <x:v>P1</x:v>
      </x:c>
      <x:c r="F54" s="7" t="str">
        <x:v>Arme lourde de mission.</x:v>
      </x:c>
      <x:c r="G54" s="7" t="str">
        <x:v>Objet local à préparation forte et zone d’explosion immense ; empêcher auto-tir après annulation.</x:v>
      </x:c>
      <x:c r="H54" s="7" t="str">
        <x:v>Objet local à préparation forte et zone d’explosion immense ; empêcher auto-tir après annulation.</x:v>
      </x:c>
      <x:c r="I54" s="7" t="str">
        <x:v>Gros lanceur et charge visible.</x:v>
      </x:c>
      <x:c r="J54" s="7" t="str">
        <x:v>Préparer état de repos, anticipation, activation et retour au repos ; aligner les événements visuels sur la résolution de l’action ATB.</x:v>
      </x:c>
      <x:c r="K54" s="7" t="str">
        <x:v>Créer des bruitages et ambiances originaux adaptés au livrable ; sous-titrer les indices utiles et proposer un réglage indépendant des effets. Aucune extraction audio demandée.</x:v>
      </x:c>
      <x:c r="L54" s="7" t="str">
        <x:v>Prévu : fiche de données me3/weapons/cain ; rattacher les ressources et états cités à cet identifiant. Aucun fichier de jeu créé par ce catalogue.</x:v>
      </x:c>
      <x:c r="M54" s="7" t="str">
        <x:v>Ne devient pas inventaire lourd permanent de ME2.</x:v>
      </x:c>
      <x:c r="N54" s="7" t="str">
        <x:v>Le livrable « M-920 Cain — local » possède une scène ou un scénario de contrôle ; ses règles proposées, ses conditions et ses retours visuels sont vérifiables séparément.</x:v>
      </x:c>
      <x:c r="O54" s="7" t="str"/>
      <x:c r="P54" s="7" t="str">
        <x:v>M-920 Cain — local</x:v>
      </x:c>
      <x:c r="Q54" s="7" t="str">
        <x:v>ME3-SRC-EQUIP</x:v>
      </x:c>
      <x:c r="R54" s="21" t="str">
        <x:v>https://masseffect.fandom.com/wiki/Equipment_Guide_%28Mass_Effect_3%29</x:v>
      </x:c>
      <x:c r="S54" s="21" t="str">
        <x:v>Spécification à réaliser. Les champs adaptation, gameplay, visual, animation, audio et implementation décrivent le fan game ; ils ne donnent pas des caractéristiques officielles de l’œuvre.</x:v>
      </x:c>
    </x:row>
    <x:row r="55" ht="68" customHeight="1">
      <x:c r="A55" s="18" t="str">
        <x:v>ME3-WPN-HYDRA</x:v>
      </x:c>
      <x:c r="B55" s="9" t="str">
        <x:v>M-560 Hydra — local</x:v>
      </x:c>
      <x:c r="C55" s="15" t="str">
        <x:v>Défini</x:v>
      </x:c>
      <x:c r="D55" s="16" t="str">
        <x:v>Établi</x:v>
      </x:c>
      <x:c r="E55" s="16" t="str">
        <x:v>P1</x:v>
      </x:c>
      <x:c r="F55" s="9" t="str">
        <x:v>Lanceur lourd local.</x:v>
      </x:c>
      <x:c r="G55" s="9" t="str">
        <x:v>Salve à verrouillage visible ; cible valide exigée avant consommation de la charge locale.</x:v>
      </x:c>
      <x:c r="H55" s="9" t="str">
        <x:v>Salve à verrouillage visible ; cible valide exigée avant consommation de la charge locale.</x:v>
      </x:c>
      <x:c r="I55" s="9" t="str">
        <x:v>Lanceur de missiles lourd.</x:v>
      </x:c>
      <x:c r="J55" s="9" t="str">
        <x:v>Préparer état de repos, anticipation, activation et retour au repos ; aligner les événements visuels sur la résolution de l’action ATB.</x:v>
      </x:c>
      <x:c r="K55" s="9" t="str">
        <x:v>Créer des bruitages et ambiances originaux adaptés au livrable ; sous-titrer les indices utiles et proposer un réglage indépendant des effets. Aucune extraction audio demandée.</x:v>
      </x:c>
      <x:c r="L55" s="9" t="str">
        <x:v>Prévu : fiche de données me3/weapons/hydra ; rattacher les ressources et états cités à cet identifiant. Aucun fichier de jeu créé par ce catalogue.</x:v>
      </x:c>
      <x:c r="M55" s="9" t="str">
        <x:v>Rencontre du site de bombe.</x:v>
      </x:c>
      <x:c r="N55" s="9" t="str">
        <x:v>Le livrable « M-560 Hydra — local » possède une scène ou un scénario de contrôle ; ses règles proposées, ses conditions et ses retours visuels sont vérifiables séparément.</x:v>
      </x:c>
      <x:c r="O55" s="9" t="str"/>
      <x:c r="P55" s="9" t="str">
        <x:v>M-560 Hydra — local</x:v>
      </x:c>
      <x:c r="Q55" s="9" t="str">
        <x:v>ME3-SRC-HYDRA</x:v>
      </x:c>
      <x:c r="R55" s="20" t="str">
        <x:v>https://masseffect.fandom.com/wiki/M-560_Hydra</x:v>
      </x:c>
      <x:c r="S55" s="20" t="str">
        <x:v>Spécification à réaliser. Les champs adaptation, gameplay, visual, animation, audio et implementation décrivent le fan game ; ils ne donnent pas des caractéristiques officielles de l’œuvre.</x:v>
      </x:c>
    </x:row>
    <x:row r="56" ht="68" customHeight="1">
      <x:c r="A56" s="19" t="str">
        <x:v>ME3-WPN-BLACKSTAR</x:v>
      </x:c>
      <x:c r="B56" s="7" t="str">
        <x:v>Reaper Blackstar — local</x:v>
      </x:c>
      <x:c r="C56" s="15" t="str">
        <x:v>Défini</x:v>
      </x:c>
      <x:c r="D56" s="17" t="str">
        <x:v>Établi</x:v>
      </x:c>
      <x:c r="E56" s="17" t="str">
        <x:v>P1</x:v>
      </x:c>
      <x:c r="F56" s="7" t="str">
        <x:v>Arme lourde trouvée en mission.</x:v>
      </x:c>
      <x:c r="G56" s="7" t="str">
        <x:v>Charge unique locale avec confirmation de zone ; état laissé sur place si non utilisé.</x:v>
      </x:c>
      <x:c r="H56" s="7" t="str">
        <x:v>Charge unique locale avec confirmation de zone ; état laissé sur place si non utilisé.</x:v>
      </x:c>
      <x:c r="I56" s="7" t="str">
        <x:v>Arme organique sombre.</x:v>
      </x:c>
      <x:c r="J56" s="7" t="str">
        <x:v>Préparer état de repos, anticipation, activation et retour au repos ; aligner les événements visuels sur la résolution de l’action ATB.</x:v>
      </x:c>
      <x:c r="K56" s="7" t="str">
        <x:v>Créer des bruitages et ambiances originaux adaptés au livrable ; sous-titrer les indices utiles et proposer un réglage indépendant des effets. Aucune extraction audio demandée.</x:v>
      </x:c>
      <x:c r="L56" s="7" t="str">
        <x:v>Prévu : fiche de données me3/weapons/blackstar ; rattacher les ressources et états cités à cet identifiant. Aucun fichier de jeu créé par ce catalogue.</x:v>
      </x:c>
      <x:c r="M56" s="7" t="str">
        <x:v>Ramassage en mission compatible.</x:v>
      </x:c>
      <x:c r="N56" s="7" t="str">
        <x:v>Le livrable « Reaper Blackstar — local » possède une scène ou un scénario de contrôle ; ses règles proposées, ses conditions et ses retours visuels sont vérifiables séparément.</x:v>
      </x:c>
      <x:c r="O56" s="7" t="str"/>
      <x:c r="P56" s="7" t="str">
        <x:v>Reaper Blackstar — local</x:v>
      </x:c>
      <x:c r="Q56" s="7" t="str">
        <x:v>ME3-SRC-BLACKSTAR</x:v>
      </x:c>
      <x:c r="R56" s="21" t="str">
        <x:v>https://masseffect.fandom.com/wiki/Reaper_Blackstar</x:v>
      </x:c>
      <x:c r="S56" s="21" t="str">
        <x:v>Spécification à réaliser. Les champs adaptation, gameplay, visual, animation, audio et implementation décrivent le fan game ; ils ne donnent pas des caractéristiques officielles de l’œuvre.</x:v>
      </x:c>
    </x:row>
    <x:row r="57" ht="68" customHeight="1">
      <x:c r="A57" s="18" t="str">
        <x:v>ME3-WPN-GETH-SOFT</x:v>
      </x:c>
      <x:c r="B57" s="9" t="str">
        <x:v>Geth Combat Software</x:v>
      </x:c>
      <x:c r="C57" s="15" t="str">
        <x:v>Défini</x:v>
      </x:c>
      <x:c r="D57" s="16" t="str">
        <x:v>Établi</x:v>
      </x:c>
      <x:c r="E57" s="16" t="str">
        <x:v>P1</x:v>
      </x:c>
      <x:c r="F57" s="9" t="str">
        <x:v>Outil du consensus geth.</x:v>
      </x:c>
      <x:c r="G57" s="9" t="str">
        <x:v>Action de nettoyage numérique seulement ; pas de dégâts sur organiques ni export dans loadout.</x:v>
      </x:c>
      <x:c r="H57" s="9" t="str">
        <x:v>Action de nettoyage numérique seulement ; pas de dégâts sur organiques ni export dans loadout.</x:v>
      </x:c>
      <x:c r="I57" s="9" t="str">
        <x:v>Faisceau et particules de données.</x:v>
      </x:c>
      <x:c r="J57" s="9" t="str">
        <x:v>Préparer état de repos, anticipation, activation et retour au repos ; aligner les événements visuels sur la résolution de l’action ATB.</x:v>
      </x:c>
      <x:c r="K57" s="9" t="str">
        <x:v>Créer des bruitages et ambiances originaux adaptés au livrable ; sous-titrer les indices utiles et proposer un réglage indépendant des effets. Aucune extraction audio demandée.</x:v>
      </x:c>
      <x:c r="L57" s="9" t="str">
        <x:v>Prévu : fiche de données me3/weapons/geth-soft ; rattacher les ressources et états cités à cet identifiant. Aucun fichier de jeu créé par ce catalogue.</x:v>
      </x:c>
      <x:c r="M57" s="9" t="str">
        <x:v>Consensus uniquement.</x:v>
      </x:c>
      <x:c r="N57" s="9" t="str">
        <x:v>Le livrable « Geth Combat Software » possède une scène ou un scénario de contrôle ; ses règles proposées, ses conditions et ses retours visuels sont vérifiables séparément.</x:v>
      </x:c>
      <x:c r="O57" s="9" t="str"/>
      <x:c r="P57" s="9" t="str">
        <x:v>Geth Combat Software</x:v>
      </x:c>
      <x:c r="Q57" s="9" t="str">
        <x:v>ME3-SRC-GETH-SOFT</x:v>
      </x:c>
      <x:c r="R57" s="20" t="str">
        <x:v>https://masseffect.fandom.com/wiki/Geth_Combat_Software</x:v>
      </x:c>
      <x:c r="S57" s="20" t="str">
        <x:v>Spécification à réaliser. Les champs adaptation, gameplay, visual, animation, audio et implementation décrivent le fan game ; ils ne donnent pas des caractéristiques officielles de l’œuvre.</x:v>
      </x:c>
    </x:row>
  </x:sheetData>
  <x:conditionalFormatting sqref="D7:D57">
    <x:cfRule type="cellIs" dxfId="56" priority="1" operator="equal">
      <x:formula>"À vérifier"</x:formula>
    </x:cfRule>
    <x:cfRule type="cellIs" dxfId="57" priority="2" operator="equal">
      <x:formula>"Extrapolation"</x:formula>
    </x:cfRule>
  </x:conditionalFormatting>
  <x:conditionalFormatting sqref="C7:C57">
    <x:cfRule type="cellIs" dxfId="58" priority="3" operator="equal">
      <x:formula>"Validé"</x:formula>
    </x:cfRule>
  </x:conditionalFormatting>
  <x:conditionalFormatting sqref="E7:E57">
    <x:cfRule type="cellIs" dxfId="59" priority="4" operator="equal">
      <x:formula>"P0"</x:formula>
    </x:cfRule>
  </x:conditionalFormatting>
  <x:dataValidations count="3">
    <x:dataValidation type="list" sqref="C7:C57">
      <x:formula1>"Défini,Prototype,Intégré,Validé"</x:formula1>
    </x:dataValidation>
    <x:dataValidation type="list" sqref="D7:D57">
      <x:formula1>"Établi,À vérifier,Extrapolation,Coupé attesté,Concept abandonné,Allégation écartée"</x:formula1>
    </x:dataValidation>
    <x:dataValidation type="list" sqref="E7:E57">
      <x:formula1>"P0,P1,P2"</x:formula1>
    </x:dataValidation>
  </x:dataValidations>
  <x:pageMargins left="0.7" right="0.7" top="0.75" bottom="0.75" header="0.3" footer="0.3"/>
  <x:tableParts count="1">
    <x:tablePart xmlns:r="http://schemas.openxmlformats.org/officeDocument/2006/relationships" r:id="Rca25fd15462d4f6b"/>
  </x:tableParts>
</x:worksheet>
</file>

<file path=xl/worksheets/sheet1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Armures et équipement</x:v>
      </x:c>
      <x:c r="B2" s="2"/>
      <x:c r="C2" s="2"/>
      <x:c r="D2" s="2"/>
      <x:c r="E2" s="2"/>
      <x:c r="F2" s="2"/>
      <x:c r="G2" s="2"/>
      <x:c r="H2" s="2"/>
      <x:c r="I2" s="2"/>
      <x:c r="J2" s="2"/>
      <x:c r="K2" s="2"/>
      <x:c r="L2" s="2"/>
      <x:c r="M2" s="2"/>
      <x:c r="N2" s="2"/>
      <x:c r="O2" s="2"/>
      <x:c r="P2" s="2"/>
      <x:c r="Q2" s="2"/>
      <x:c r="R2" s="2"/>
      <x:c r="S2" s="2"/>
    </x:row>
    <x:row r="3" ht="22" customHeight="1">
      <x:c r="A3" s="4" t="str">
        <x:v>Mass Effect 3 — Protections, modules et consommables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ME3-EQP-N7</x:v>
      </x:c>
      <x:c r="B7" s="9" t="str">
        <x:v>Armure N7 personnalisable</x:v>
      </x:c>
      <x:c r="C7" s="15" t="str">
        <x:v>Défini</x:v>
      </x:c>
      <x:c r="D7" s="16" t="str">
        <x:v>Établi</x:v>
      </x:c>
      <x:c r="E7" s="16" t="str">
        <x:v>P1</x:v>
      </x:c>
      <x:c r="F7" s="9" t="str">
        <x:v>Shepard dispose d’une armure modulaire.</x:v>
      </x:c>
      <x:c r="G7" s="9" t="str">
        <x:v>Séparer apparence, pièces et effet de statistiques proposé ; aperçu avant achat et restauration de la tenue précédente.</x:v>
      </x:c>
      <x:c r="H7" s="9" t="str">
        <x:v>Séparer apparence, pièces et effet de statistiques proposé ; aperçu avant achat et restauration de la tenue précédente.</x:v>
      </x:c>
      <x:c r="I7" s="9" t="str">
        <x:v>Plaques N7, couleur et matériau réglables.</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me3/equipment/n7 ; rattacher les ressources et états cités à cet identifiant. Aucun fichier de jeu créé par ce catalogue.</x:v>
      </x:c>
      <x:c r="M7" s="9" t="str"/>
      <x:c r="N7" s="9" t="str">
        <x:v>Le livrable « Armure N7 personnalisable » possède une scène ou un scénario de contrôle ; ses règles proposées, ses conditions et ses retours visuels sont vérifiables séparément.</x:v>
      </x:c>
      <x:c r="O7" s="9" t="str"/>
      <x:c r="P7" s="9" t="str">
        <x:v>Armure N7 personnalisable</x:v>
      </x:c>
      <x:c r="Q7" s="9" t="str">
        <x:v>ME3-SRC-EQUIP</x:v>
      </x:c>
      <x:c r="R7" s="20" t="str">
        <x:v>https://masseffect.fandom.com/wiki/Equipment_Guide_%28Mass_Effect_3%29</x:v>
      </x:c>
      <x:c r="S7" s="20" t="str">
        <x:v>Spécification à réaliser. Les champs adaptation, gameplay, visual, animation, audio et implementation décrivent le fan game ; ils ne donnent pas des caractéristiques officielles de l’œuvre.</x:v>
      </x:c>
    </x:row>
    <x:row r="8" ht="68" customHeight="1">
      <x:c r="A8" s="19" t="str">
        <x:v>ME3-EQP-AJAX</x:v>
      </x:c>
      <x:c r="B8" s="7" t="str">
        <x:v>Cerberus Ajax Armor</x:v>
      </x:c>
      <x:c r="C8" s="15" t="str">
        <x:v>Défini</x:v>
      </x:c>
      <x:c r="D8" s="17" t="str">
        <x:v>Établi</x:v>
      </x:c>
      <x:c r="E8" s="17" t="str">
        <x:v>P1</x:v>
      </x:c>
      <x:c r="F8" s="7" t="str">
        <x:v>Armure additionnelle.</x:v>
      </x:c>
      <x:c r="G8" s="7" t="str">
        <x:v>Preset d’armure complet avec silhouette Cerberus ; afficher les avantages proposés sans les attribuer au jeu source.</x:v>
      </x:c>
      <x:c r="H8" s="7" t="str">
        <x:v>Preset d’armure complet avec silhouette Cerberus ; afficher les avantages proposés sans les attribuer au jeu source.</x:v>
      </x:c>
      <x:c r="I8" s="7" t="str">
        <x:v>Armure Cerberus lourde.</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me3/equipment/ajax ; rattacher les ressources et états cités à cet identifiant. Aucun fichier de jeu créé par ce catalogue.</x:v>
      </x:c>
      <x:c r="M8" s="7" t="str">
        <x:v>Acquisition différente en Legendary.</x:v>
      </x:c>
      <x:c r="N8" s="7" t="str">
        <x:v>Le livrable « Cerberus Ajax Armor » possède une scène ou un scénario de contrôle ; ses règles proposées, ses conditions et ses retours visuels sont vérifiables séparément.</x:v>
      </x:c>
      <x:c r="O8" s="7" t="str"/>
      <x:c r="P8" s="7" t="str">
        <x:v>Cerberus Ajax Armor</x:v>
      </x:c>
      <x:c r="Q8" s="7" t="str">
        <x:v>ME3-SRC-EA-CAL, ME3-SRC-EQUIP</x:v>
      </x:c>
      <x:c r="R8" s="21" t="str">
        <x:v>https://www.ea.com/ea-play/news/gameplay-calibrations
https://masseffect.fandom.com/wiki/Equipment_Guide_%28Mass_Effect_3%29</x:v>
      </x:c>
      <x:c r="S8" s="21" t="str">
        <x:v>Spécification à réaliser. Les champs adaptation, gameplay, visual, animation, audio et implementation décrivent le fan game ; ils ne donnent pas des caractéristiques officielles de l’œuvre.</x:v>
      </x:c>
    </x:row>
    <x:row r="9" ht="68" customHeight="1">
      <x:c r="A9" s="18" t="str">
        <x:v>ME3-EQP-INFERNO</x:v>
      </x:c>
      <x:c r="B9" s="9" t="str">
        <x:v>Inferno Armor</x:v>
      </x:c>
      <x:c r="C9" s="15" t="str">
        <x:v>Défini</x:v>
      </x:c>
      <x:c r="D9" s="16" t="str">
        <x:v>Établi</x:v>
      </x:c>
      <x:c r="E9" s="16" t="str">
        <x:v>P1</x:v>
      </x:c>
      <x:c r="F9" s="9" t="str">
        <x:v>Armure additionnelle.</x:v>
      </x:c>
      <x:c r="G9" s="9" t="str">
        <x:v>Preset orienté pouvoirs proposé ; pas de cumul caché avec pièces de tenue modulaire.</x:v>
      </x:c>
      <x:c r="H9" s="9" t="str">
        <x:v>Preset orienté pouvoirs proposé ; pas de cumul caché avec pièces de tenue modulaire.</x:v>
      </x:c>
      <x:c r="I9" s="9" t="str">
        <x:v>Armure orange profilée.</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me3/equipment/inferno ; rattacher les ressources et états cités à cet identifiant. Aucun fichier de jeu créé par ce catalogue.</x:v>
      </x:c>
      <x:c r="M9" s="9" t="str">
        <x:v>Pack / édition.</x:v>
      </x:c>
      <x:c r="N9" s="9" t="str">
        <x:v>Le livrable « Inferno Armor » possède une scène ou un scénario de contrôle ; ses règles proposées, ses conditions et ses retours visuels sont vérifiables séparément.</x:v>
      </x:c>
      <x:c r="O9" s="9" t="str"/>
      <x:c r="P9" s="9" t="str">
        <x:v>Inferno Armor</x:v>
      </x:c>
      <x:c r="Q9" s="9" t="str">
        <x:v>ME3-SRC-EQUIP</x:v>
      </x:c>
      <x:c r="R9" s="20" t="str">
        <x:v>https://masseffect.fandom.com/wiki/Equipment_Guide_%28Mass_Effect_3%29</x:v>
      </x:c>
      <x:c r="S9" s="20" t="str">
        <x:v>Spécification à réaliser. Les champs adaptation, gameplay, visual, animation, audio et implementation décrivent le fan game ; ils ne donnent pas des caractéristiques officielles de l’œuvre.</x:v>
      </x:c>
    </x:row>
    <x:row r="10" ht="68" customHeight="1">
      <x:c r="A10" s="19" t="str">
        <x:v>ME3-EQP-BLOOD-DRAGON</x:v>
      </x:c>
      <x:c r="B10" s="7" t="str">
        <x:v>Blood Dragon Armor</x:v>
      </x:c>
      <x:c r="C10" s="15" t="str">
        <x:v>Défini</x:v>
      </x:c>
      <x:c r="D10" s="17" t="str">
        <x:v>Établi</x:v>
      </x:c>
      <x:c r="E10" s="17" t="str">
        <x:v>P1</x:v>
      </x:c>
      <x:c r="F10" s="7" t="str">
        <x:v>Armure additionnelle.</x:v>
      </x:c>
      <x:c r="G10" s="7" t="str">
        <x:v>Tenue de récompense avec identité visuelle particulière ; garder sa provenance promotionnelle hors diégèse.</x:v>
      </x:c>
      <x:c r="H10" s="7" t="str">
        <x:v>Tenue de récompense avec identité visuelle particulière ; garder sa provenance promotionnelle hors diégèse.</x:v>
      </x:c>
      <x:c r="I10" s="7" t="str">
        <x:v>Plaques médiévales stylisées et motif rouge.</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me3/equipment/blood-dragon ; rattacher les ressources et états cités à cet identifiant. Aucun fichier de jeu créé par ce catalogue.</x:v>
      </x:c>
      <x:c r="M10" s="7" t="str">
        <x:v>Pack / édition.</x:v>
      </x:c>
      <x:c r="N10" s="7" t="str">
        <x:v>Le livrable « Blood Dragon Armor » possède une scène ou un scénario de contrôle ; ses règles proposées, ses conditions et ses retours visuels sont vérifiables séparément.</x:v>
      </x:c>
      <x:c r="O10" s="7" t="str"/>
      <x:c r="P10" s="7" t="str">
        <x:v>Blood Dragon Armor</x:v>
      </x:c>
      <x:c r="Q10" s="7" t="str">
        <x:v>ME3-SRC-EQUIP</x:v>
      </x:c>
      <x:c r="R10" s="21" t="str">
        <x:v>https://masseffect.fandom.com/wiki/Equipment_Guide_%28Mass_Effect_3%29</x:v>
      </x:c>
      <x:c r="S10" s="21" t="str">
        <x:v>Spécification à réaliser. Les champs adaptation, gameplay, visual, animation, audio et implementation décrivent le fan game ; ils ne donnent pas des caractéristiques officielles de l’œuvre.</x:v>
      </x:c>
    </x:row>
    <x:row r="11" ht="68" customHeight="1">
      <x:c r="A11" s="18" t="str">
        <x:v>ME3-EQP-COLLECTOR</x:v>
      </x:c>
      <x:c r="B11" s="9" t="str">
        <x:v>Collector Armor</x:v>
      </x:c>
      <x:c r="C11" s="15" t="str">
        <x:v>Défini</x:v>
      </x:c>
      <x:c r="D11" s="16" t="str">
        <x:v>Établi</x:v>
      </x:c>
      <x:c r="E11" s="16" t="str">
        <x:v>P1</x:v>
      </x:c>
      <x:c r="F11" s="9" t="str">
        <x:v>Armure additionnelle.</x:v>
      </x:c>
      <x:c r="G11" s="9" t="str">
        <x:v>Preset organique avec masque ; sous-titres et portrait assurent la lecture des dialogues.</x:v>
      </x:c>
      <x:c r="H11" s="9" t="str">
        <x:v>Preset organique avec masque ; sous-titres et portrait assurent la lecture des dialogues.</x:v>
      </x:c>
      <x:c r="I11" s="9" t="str">
        <x:v>Carapace de type Récolteur.</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me3/equipment/collector ; rattacher les ressources et états cités à cet identifiant. Aucun fichier de jeu créé par ce catalogue.</x:v>
      </x:c>
      <x:c r="M11" s="9" t="str">
        <x:v>Pack / édition.</x:v>
      </x:c>
      <x:c r="N11" s="9" t="str">
        <x:v>Le livrable « Collector Armor » possède une scène ou un scénario de contrôle ; ses règles proposées, ses conditions et ses retours visuels sont vérifiables séparément.</x:v>
      </x:c>
      <x:c r="O11" s="9" t="str"/>
      <x:c r="P11" s="9" t="str">
        <x:v>Collector Armor</x:v>
      </x:c>
      <x:c r="Q11" s="9" t="str">
        <x:v>ME3-SRC-EQUIP</x:v>
      </x:c>
      <x:c r="R11" s="20" t="str">
        <x:v>https://masseffect.fandom.com/wiki/Equipment_Guide_%28Mass_Effect_3%29</x:v>
      </x:c>
      <x:c r="S11" s="20" t="str">
        <x:v>Spécification à réaliser. Les champs adaptation, gameplay, visual, animation, audio et implementation décrivent le fan game ; ils ne donnent pas des caractéristiques officielles de l’œuvre.</x:v>
      </x:c>
    </x:row>
    <x:row r="12" ht="68" customHeight="1">
      <x:c r="A12" s="19" t="str">
        <x:v>ME3-EQP-TERMINUS</x:v>
      </x:c>
      <x:c r="B12" s="7" t="str">
        <x:v>Terminus Assault Armor</x:v>
      </x:c>
      <x:c r="C12" s="15" t="str">
        <x:v>Défini</x:v>
      </x:c>
      <x:c r="D12" s="17" t="str">
        <x:v>Établi</x:v>
      </x:c>
      <x:c r="E12" s="17" t="str">
        <x:v>P1</x:v>
      </x:c>
      <x:c r="F12" s="7" t="str">
        <x:v>Armure additionnelle.</x:v>
      </x:c>
      <x:c r="G12" s="7" t="str">
        <x:v>Preset sombre de combat ; contraste de bord adapté aux couloirs noirs.</x:v>
      </x:c>
      <x:c r="H12" s="7" t="str">
        <x:v>Preset sombre de combat ; contraste de bord adapté aux couloirs noirs.</x:v>
      </x:c>
      <x:c r="I12" s="7" t="str">
        <x:v>Armure noire et casque fermé.</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me3/equipment/terminus ; rattacher les ressources et états cités à cet identifiant. Aucun fichier de jeu créé par ce catalogue.</x:v>
      </x:c>
      <x:c r="M12" s="7" t="str">
        <x:v>Pack / édition.</x:v>
      </x:c>
      <x:c r="N12" s="7" t="str">
        <x:v>Le livrable « Terminus Assault Armor » possède une scène ou un scénario de contrôle ; ses règles proposées, ses conditions et ses retours visuels sont vérifiables séparément.</x:v>
      </x:c>
      <x:c r="O12" s="7" t="str"/>
      <x:c r="P12" s="7" t="str">
        <x:v>Terminus Assault Armor</x:v>
      </x:c>
      <x:c r="Q12" s="7" t="str">
        <x:v>ME3-SRC-EQUIP</x:v>
      </x:c>
      <x:c r="R12" s="21" t="str">
        <x:v>https://masseffect.fandom.com/wiki/Equipment_Guide_%28Mass_Effect_3%29</x:v>
      </x:c>
      <x:c r="S12" s="21" t="str">
        <x:v>Spécification à réaliser. Les champs adaptation, gameplay, visual, animation, audio et implementation décrivent le fan game ; ils ne donnent pas des caractéristiques officielles de l’œuvre.</x:v>
      </x:c>
    </x:row>
    <x:row r="13" ht="68" customHeight="1">
      <x:c r="A13" s="18" t="str">
        <x:v>ME3-EQP-CERBERUS</x:v>
      </x:c>
      <x:c r="B13" s="9" t="str">
        <x:v>Cerberus Assault Armor</x:v>
      </x:c>
      <x:c r="C13" s="15" t="str">
        <x:v>Défini</x:v>
      </x:c>
      <x:c r="D13" s="16" t="str">
        <x:v>Établi</x:v>
      </x:c>
      <x:c r="E13" s="16" t="str">
        <x:v>P1</x:v>
      </x:c>
      <x:c r="F13" s="9" t="str">
        <x:v>Armure additionnelle.</x:v>
      </x:c>
      <x:c r="G13" s="9" t="str">
        <x:v>Tenue complète distincte de l’Ajax ; inspecteur de pièces interdit les combinaisons non prévues.</x:v>
      </x:c>
      <x:c r="H13" s="9" t="str">
        <x:v>Tenue complète distincte de l’Ajax ; inspecteur de pièces interdit les combinaisons non prévues.</x:v>
      </x:c>
      <x:c r="I13" s="9" t="str">
        <x:v>Blanc, noir et orange.</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me3/equipment/cerberus ; rattacher les ressources et états cités à cet identifiant. Aucun fichier de jeu créé par ce catalogue.</x:v>
      </x:c>
      <x:c r="M13" s="9" t="str">
        <x:v>Pack / édition.</x:v>
      </x:c>
      <x:c r="N13" s="9" t="str">
        <x:v>Le livrable « Cerberus Assault Armor » possède une scène ou un scénario de contrôle ; ses règles proposées, ses conditions et ses retours visuels sont vérifiables séparément.</x:v>
      </x:c>
      <x:c r="O13" s="9" t="str"/>
      <x:c r="P13" s="9" t="str">
        <x:v>Cerberus Assault Armor</x:v>
      </x:c>
      <x:c r="Q13" s="9" t="str">
        <x:v>ME3-SRC-EQUIP</x:v>
      </x:c>
      <x:c r="R13" s="20" t="str">
        <x:v>https://masseffect.fandom.com/wiki/Equipment_Guide_%28Mass_Effect_3%29</x:v>
      </x:c>
      <x:c r="S13" s="20" t="str">
        <x:v>Spécification à réaliser. Les champs adaptation, gameplay, visual, animation, audio et implementation décrivent le fan game ; ils ne donnent pas des caractéristiques officielles de l’œuvre.</x:v>
      </x:c>
    </x:row>
    <x:row r="14" ht="68" customHeight="1">
      <x:c r="A14" s="19" t="str">
        <x:v>ME3-EQP-ROSENKOV</x:v>
      </x:c>
      <x:c r="B14" s="7" t="str">
        <x:v>Pièces Rosenkov Materials</x:v>
      </x:c>
      <x:c r="C14" s="15" t="str">
        <x:v>Défini</x:v>
      </x:c>
      <x:c r="D14" s="17" t="str">
        <x:v>Établi</x:v>
      </x:c>
      <x:c r="E14" s="17" t="str">
        <x:v>P1</x:v>
      </x:c>
      <x:c r="F14" s="7" t="str">
        <x:v>Fabricant d’armure présent dans ME3.</x:v>
      </x:c>
      <x:c r="G14" s="7" t="str">
        <x:v>Composants à tags et emplacement ; tableau de comparaison par rôle de pouvoir proposé.</x:v>
      </x:c>
      <x:c r="H14" s="7" t="str">
        <x:v>Composants à tags et emplacement ; tableau de comparaison par rôle de pouvoir proposé.</x:v>
      </x:c>
      <x:c r="I14" s="7" t="str">
        <x:v>Pièces tactiques uniformes.</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me3/equipment/rosenkov ; rattacher les ressources et états cités à cet identifiant. Aucun fichier de jeu créé par ce catalogue.</x:v>
      </x:c>
      <x:c r="M14" s="7" t="str"/>
      <x:c r="N14" s="7" t="str">
        <x:v>Le livrable « Pièces Rosenkov Materials » possède une scène ou un scénario de contrôle ; ses règles proposées, ses conditions et ses retours visuels sont vérifiables séparément.</x:v>
      </x:c>
      <x:c r="O14" s="7" t="str"/>
      <x:c r="P14" s="7" t="str">
        <x:v>Pièces Rosenkov Materials</x:v>
      </x:c>
      <x:c r="Q14" s="7" t="str">
        <x:v>ME3-SRC-EQUIP</x:v>
      </x:c>
      <x:c r="R14" s="21" t="str">
        <x:v>https://masseffect.fandom.com/wiki/Equipment_Guide_%28Mass_Effect_3%29</x:v>
      </x:c>
      <x:c r="S14" s="21" t="str">
        <x:v>Spécification à réaliser. Les champs adaptation, gameplay, visual, animation, audio et implementation décrivent le fan game ; ils ne donnent pas des caractéristiques officielles de l’œuvre.</x:v>
      </x:c>
    </x:row>
    <x:row r="15" ht="68" customHeight="1">
      <x:c r="A15" s="18" t="str">
        <x:v>ME3-EQP-SERRICE</x:v>
      </x:c>
      <x:c r="B15" s="9" t="str">
        <x:v>Pièces Serrice Council</x:v>
      </x:c>
      <x:c r="C15" s="15" t="str">
        <x:v>Défini</x:v>
      </x:c>
      <x:c r="D15" s="16" t="str">
        <x:v>Établi</x:v>
      </x:c>
      <x:c r="E15" s="16" t="str">
        <x:v>P1</x:v>
      </x:c>
      <x:c r="F15" s="9" t="str">
        <x:v>Famille d’armure.</x:v>
      </x:c>
      <x:c r="G15" s="9" t="str">
        <x:v>Pièces orientées biotique dans l’adaptation ; effets lisibles sans bonus de set inventé comme canon.</x:v>
      </x:c>
      <x:c r="H15" s="9" t="str">
        <x:v>Pièces orientées biotique dans l’adaptation ; effets lisibles sans bonus de set inventé comme canon.</x:v>
      </x:c>
      <x:c r="I15" s="9" t="str">
        <x:v>Formes lisses et détails techniques.</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me3/equipment/serrice ; rattacher les ressources et états cités à cet identifiant. Aucun fichier de jeu créé par ce catalogue.</x:v>
      </x:c>
      <x:c r="M15" s="9" t="str"/>
      <x:c r="N15" s="9" t="str">
        <x:v>Le livrable « Pièces Serrice Council » possède une scène ou un scénario de contrôle ; ses règles proposées, ses conditions et ses retours visuels sont vérifiables séparément.</x:v>
      </x:c>
      <x:c r="O15" s="9" t="str"/>
      <x:c r="P15" s="9" t="str">
        <x:v>Pièces Serrice Council</x:v>
      </x:c>
      <x:c r="Q15" s="9" t="str">
        <x:v>ME3-SRC-EQUIP</x:v>
      </x:c>
      <x:c r="R15" s="20" t="str">
        <x:v>https://masseffect.fandom.com/wiki/Equipment_Guide_%28Mass_Effect_3%29</x:v>
      </x:c>
      <x:c r="S15" s="20" t="str">
        <x:v>Spécification à réaliser. Les champs adaptation, gameplay, visual, animation, audio et implementation décrivent le fan game ; ils ne donnent pas des caractéristiques officielles de l’œuvre.</x:v>
      </x:c>
    </x:row>
    <x:row r="16" ht="68" customHeight="1">
      <x:c r="A16" s="19" t="str">
        <x:v>ME3-EQP-HANNES</x:v>
      </x:c>
      <x:c r="B16" s="7" t="str">
        <x:v>Pièces Hahne-Kedar</x:v>
      </x:c>
      <x:c r="C16" s="15" t="str">
        <x:v>Défini</x:v>
      </x:c>
      <x:c r="D16" s="17" t="str">
        <x:v>Établi</x:v>
      </x:c>
      <x:c r="E16" s="17" t="str">
        <x:v>P1</x:v>
      </x:c>
      <x:c r="F16" s="7" t="str">
        <x:v>Famille d’armure.</x:v>
      </x:c>
      <x:c r="G16" s="7" t="str">
        <x:v>Proposition de bonus d’arme par emplacement ; rendre visibles les contreparties choisies.</x:v>
      </x:c>
      <x:c r="H16" s="7" t="str">
        <x:v>Proposition de bonus d’arme par emplacement ; rendre visibles les contreparties choisies.</x:v>
      </x:c>
      <x:c r="I16" s="7" t="str">
        <x:v>Plaques militaires fonctionnelles.</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me3/equipment/hannes ; rattacher les ressources et états cités à cet identifiant. Aucun fichier de jeu créé par ce catalogue.</x:v>
      </x:c>
      <x:c r="M16" s="7" t="str"/>
      <x:c r="N16" s="7" t="str">
        <x:v>Le livrable « Pièces Hahne-Kedar » possède une scène ou un scénario de contrôle ; ses règles proposées, ses conditions et ses retours visuels sont vérifiables séparément.</x:v>
      </x:c>
      <x:c r="O16" s="7" t="str"/>
      <x:c r="P16" s="7" t="str">
        <x:v>Pièces Hahne-Kedar</x:v>
      </x:c>
      <x:c r="Q16" s="7" t="str">
        <x:v>ME3-SRC-EQUIP</x:v>
      </x:c>
      <x:c r="R16" s="21" t="str">
        <x:v>https://masseffect.fandom.com/wiki/Equipment_Guide_%28Mass_Effect_3%29</x:v>
      </x:c>
      <x:c r="S16" s="21" t="str">
        <x:v>Spécification à réaliser. Les champs adaptation, gameplay, visual, animation, audio et implementation décrivent le fan game ; ils ne donnent pas des caractéristiques officielles de l’œuvre.</x:v>
      </x:c>
    </x:row>
    <x:row r="17" ht="68" customHeight="1">
      <x:c r="A17" s="18" t="str">
        <x:v>ME3-EQP-KASSA</x:v>
      </x:c>
      <x:c r="B17" s="9" t="str">
        <x:v>Pièces Kassa Fabrication</x:v>
      </x:c>
      <x:c r="C17" s="15" t="str">
        <x:v>Défini</x:v>
      </x:c>
      <x:c r="D17" s="16" t="str">
        <x:v>Établi</x:v>
      </x:c>
      <x:c r="E17" s="16" t="str">
        <x:v>P1</x:v>
      </x:c>
      <x:c r="F17" s="9" t="str">
        <x:v>Famille d’armure.</x:v>
      </x:c>
      <x:c r="G17" s="9" t="str">
        <x:v>Proposition de résistance et maintien des protections ; effets séparés par pièce.</x:v>
      </x:c>
      <x:c r="H17" s="9" t="str">
        <x:v>Proposition de résistance et maintien des protections ; effets séparés par pièce.</x:v>
      </x:c>
      <x:c r="I17" s="9" t="str">
        <x:v>Plaques renforcées.</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me3/equipment/kassa ; rattacher les ressources et états cités à cet identifiant. Aucun fichier de jeu créé par ce catalogue.</x:v>
      </x:c>
      <x:c r="M17" s="9" t="str"/>
      <x:c r="N17" s="9" t="str">
        <x:v>Le livrable « Pièces Kassa Fabrication » possède une scène ou un scénario de contrôle ; ses règles proposées, ses conditions et ses retours visuels sont vérifiables séparément.</x:v>
      </x:c>
      <x:c r="O17" s="9" t="str"/>
      <x:c r="P17" s="9" t="str">
        <x:v>Pièces Kassa Fabrication</x:v>
      </x:c>
      <x:c r="Q17" s="9" t="str">
        <x:v>ME3-SRC-EQUIP</x:v>
      </x:c>
      <x:c r="R17" s="20" t="str">
        <x:v>https://masseffect.fandom.com/wiki/Equipment_Guide_%28Mass_Effect_3%29</x:v>
      </x:c>
      <x:c r="S17" s="20" t="str">
        <x:v>Spécification à réaliser. Les champs adaptation, gameplay, visual, animation, audio et implementation décrivent le fan game ; ils ne donnent pas des caractéristiques officielles de l’œuvre.</x:v>
      </x:c>
    </x:row>
    <x:row r="18" ht="68" customHeight="1">
      <x:c r="A18" s="19" t="str">
        <x:v>ME3-EQP-ARIAKE</x:v>
      </x:c>
      <x:c r="B18" s="7" t="str">
        <x:v>Pièces Ariake Technologies</x:v>
      </x:c>
      <x:c r="C18" s="15" t="str">
        <x:v>Défini</x:v>
      </x:c>
      <x:c r="D18" s="17" t="str">
        <x:v>Établi</x:v>
      </x:c>
      <x:c r="E18" s="17" t="str">
        <x:v>P1</x:v>
      </x:c>
      <x:c r="F18" s="7" t="str">
        <x:v>Famille d’armure.</x:v>
      </x:c>
      <x:c r="G18" s="7" t="str">
        <x:v>Effets de mobilité et mêlée proposés ; ne pas partager l’ID d’un objet nommé d’un autre fabricant.</x:v>
      </x:c>
      <x:c r="H18" s="7" t="str">
        <x:v>Effets de mobilité et mêlée proposés ; ne pas partager l’ID d’un objet nommé d’un autre fabricant.</x:v>
      </x:c>
      <x:c r="I18" s="7" t="str">
        <x:v>Plaques articulées.</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me3/equipment/ariake ; rattacher les ressources et états cités à cet identifiant. Aucun fichier de jeu créé par ce catalogue.</x:v>
      </x:c>
      <x:c r="M18" s="7" t="str"/>
      <x:c r="N18" s="7" t="str">
        <x:v>Le livrable « Pièces Ariake Technologies » possède une scène ou un scénario de contrôle ; ses règles proposées, ses conditions et ses retours visuels sont vérifiables séparément.</x:v>
      </x:c>
      <x:c r="O18" s="7" t="str"/>
      <x:c r="P18" s="7" t="str">
        <x:v>Pièces Ariake Technologies</x:v>
      </x:c>
      <x:c r="Q18" s="7" t="str">
        <x:v>ME3-SRC-EQUIP</x:v>
      </x:c>
      <x:c r="R18" s="21" t="str">
        <x:v>https://masseffect.fandom.com/wiki/Equipment_Guide_%28Mass_Effect_3%29</x:v>
      </x:c>
      <x:c r="S18" s="21" t="str">
        <x:v>Spécification à réaliser. Les champs adaptation, gameplay, visual, animation, audio et implementation décrivent le fan game ; ils ne donnent pas des caractéristiques officielles de l’œuvre.</x:v>
      </x:c>
    </x:row>
    <x:row r="19" ht="68" customHeight="1">
      <x:c r="A19" s="18" t="str">
        <x:v>ME3-EQP-SENTRY</x:v>
      </x:c>
      <x:c r="B19" s="9" t="str">
        <x:v>Sentry Interface</x:v>
      </x:c>
      <x:c r="C19" s="15" t="str">
        <x:v>Défini</x:v>
      </x:c>
      <x:c r="D19" s="16" t="str">
        <x:v>Établi</x:v>
      </x:c>
      <x:c r="E19" s="16" t="str">
        <x:v>P1</x:v>
      </x:c>
      <x:c r="F19" s="9" t="str">
        <x:v>Casque de l’arsenal.</x:v>
      </x:c>
      <x:c r="G19" s="9" t="str">
        <x:v>Affichage de protection proposé ; option casque masqué en dialogue sans retirer ses effets.</x:v>
      </x:c>
      <x:c r="H19" s="9" t="str">
        <x:v>Affichage de protection proposé ; option casque masqué en dialogue sans retirer ses effets.</x:v>
      </x:c>
      <x:c r="I19" s="9" t="str">
        <x:v>Visière électronique.</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me3/equipment/sentry ; rattacher les ressources et états cités à cet identifiant. Aucun fichier de jeu créé par ce catalogue.</x:v>
      </x:c>
      <x:c r="M19" s="9" t="str"/>
      <x:c r="N19" s="9" t="str">
        <x:v>Le livrable « Sentry Interface » possède une scène ou un scénario de contrôle ; ses règles proposées, ses conditions et ses retours visuels sont vérifiables séparément.</x:v>
      </x:c>
      <x:c r="O19" s="9" t="str"/>
      <x:c r="P19" s="9" t="str">
        <x:v>Sentry Interface</x:v>
      </x:c>
      <x:c r="Q19" s="9" t="str">
        <x:v>ME3-SRC-EQUIP</x:v>
      </x:c>
      <x:c r="R19" s="20" t="str">
        <x:v>https://masseffect.fandom.com/wiki/Equipment_Guide_%28Mass_Effect_3%29</x:v>
      </x:c>
      <x:c r="S19" s="20" t="str">
        <x:v>Spécification à réaliser. Les champs adaptation, gameplay, visual, animation, audio et implementation décrivent le fan game ; ils ne donnent pas des caractéristiques officielles de l’œuvre.</x:v>
      </x:c>
    </x:row>
    <x:row r="20" ht="68" customHeight="1">
      <x:c r="A20" s="19" t="str">
        <x:v>ME3-EQP-DEATH-MASK</x:v>
      </x:c>
      <x:c r="B20" s="7" t="str">
        <x:v>Death Mask</x:v>
      </x:c>
      <x:c r="C20" s="15" t="str">
        <x:v>Défini</x:v>
      </x:c>
      <x:c r="D20" s="17" t="str">
        <x:v>Établi</x:v>
      </x:c>
      <x:c r="E20" s="17" t="str">
        <x:v>P1</x:v>
      </x:c>
      <x:c r="F20" s="7" t="str">
        <x:v>Casque de l’arsenal.</x:v>
      </x:c>
      <x:c r="G20" s="7" t="str">
        <x:v>Silhouette alternative ; préserver lisibilité des expressions par portrait en dialogue.</x:v>
      </x:c>
      <x:c r="H20" s="7" t="str">
        <x:v>Silhouette alternative ; préserver lisibilité des expressions par portrait en dialogue.</x:v>
      </x:c>
      <x:c r="I20" s="7" t="str">
        <x:v>Masque fermé sombre.</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me3/equipment/death-mask ; rattacher les ressources et états cités à cet identifiant. Aucun fichier de jeu créé par ce catalogue.</x:v>
      </x:c>
      <x:c r="M20" s="7" t="str"/>
      <x:c r="N20" s="7" t="str">
        <x:v>Le livrable « Death Mask » possède une scène ou un scénario de contrôle ; ses règles proposées, ses conditions et ses retours visuels sont vérifiables séparément.</x:v>
      </x:c>
      <x:c r="O20" s="7" t="str"/>
      <x:c r="P20" s="7" t="str">
        <x:v>Death Mask</x:v>
      </x:c>
      <x:c r="Q20" s="7" t="str">
        <x:v>ME3-SRC-EQUIP</x:v>
      </x:c>
      <x:c r="R20" s="21" t="str">
        <x:v>https://masseffect.fandom.com/wiki/Equipment_Guide_%28Mass_Effect_3%29</x:v>
      </x:c>
      <x:c r="S20" s="21" t="str">
        <x:v>Spécification à réaliser. Les champs adaptation, gameplay, visual, animation, audio et implementation décrivent le fan game ; ils ne donnent pas des caractéristiques officielles de l’œuvre.</x:v>
      </x:c>
    </x:row>
    <x:row r="21" ht="68" customHeight="1">
      <x:c r="A21" s="18" t="str">
        <x:v>ME3-EQP-WEAPON-MODS</x:v>
      </x:c>
      <x:c r="B21" s="9" t="str">
        <x:v>Mods d’armes</x:v>
      </x:c>
      <x:c r="C21" s="15" t="str">
        <x:v>Défini</x:v>
      </x:c>
      <x:c r="D21" s="16" t="str">
        <x:v>Établi</x:v>
      </x:c>
      <x:c r="E21" s="16" t="str">
        <x:v>P1</x:v>
      </x:c>
      <x:c r="F21" s="9" t="str">
        <x:v>Les armes reçoivent des modifications.</x:v>
      </x:c>
      <x:c r="G21" s="9" t="str">
        <x:v>Deux emplacements proposés si retenus par design ; compatibilités par catégorie, aucun double mod incompatible silencieux.</x:v>
      </x:c>
      <x:c r="H21" s="9" t="str">
        <x:v>Deux emplacements proposés si retenus par design ; compatibilités par catégorie, aucun double mod incompatible silencieux.</x:v>
      </x:c>
      <x:c r="I21" s="9" t="str">
        <x:v>Slots et aperçu sur arme.</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me3/equipment/weapon-mods ; rattacher les ressources et états cités à cet identifiant. Aucun fichier de jeu créé par ce catalogue.</x:v>
      </x:c>
      <x:c r="M21" s="9" t="str"/>
      <x:c r="N21" s="9" t="str">
        <x:v>Le livrable « Mods d’armes » possède une scène ou un scénario de contrôle ; ses règles proposées, ses conditions et ses retours visuels sont vérifiables séparément.</x:v>
      </x:c>
      <x:c r="O21" s="9" t="str"/>
      <x:c r="P21" s="9" t="str">
        <x:v>Mods d’armes</x:v>
      </x:c>
      <x:c r="Q21" s="9" t="str">
        <x:v>ME3-SRC-EQUIP</x:v>
      </x:c>
      <x:c r="R21" s="20" t="str">
        <x:v>https://masseffect.fandom.com/wiki/Equipment_Guide_%28Mass_Effect_3%29</x:v>
      </x:c>
      <x:c r="S21" s="20" t="str">
        <x:v>Spécification à réaliser. Les champs adaptation, gameplay, visual, animation, audio et implementation décrivent le fan game ; ils ne donnent pas des caractéristiques officielles de l’œuvre.</x:v>
      </x:c>
    </x:row>
    <x:row r="22" ht="68" customHeight="1">
      <x:c r="A22" s="19" t="str">
        <x:v>ME3-EQP-BARREL</x:v>
      </x:c>
      <x:c r="B22" s="7" t="str">
        <x:v>Canon et dégâts — mod</x:v>
      </x:c>
      <x:c r="C22" s="15" t="str">
        <x:v>Défini</x:v>
      </x:c>
      <x:c r="D22" s="17" t="str">
        <x:v>Établi</x:v>
      </x:c>
      <x:c r="E22" s="17" t="str">
        <x:v>P1</x:v>
      </x:c>
      <x:c r="F22" s="7" t="str">
        <x:v>Famille de modification.</x:v>
      </x:c>
      <x:c r="G22" s="7" t="str">
        <x:v>Compromis de puissance proposé visible avant validation ; recalcul unique, pas de double application au projectile.</x:v>
      </x:c>
      <x:c r="H22" s="7" t="str">
        <x:v>Compromis de puissance proposé visible avant validation ; recalcul unique, pas de double application au projectile.</x:v>
      </x:c>
      <x:c r="I22" s="7" t="str">
        <x:v>Icône canon et comparaison chiffrée de fan game.</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me3/equipment/barrel ; rattacher les ressources et états cités à cet identifiant. Aucun fichier de jeu créé par ce catalogue.</x:v>
      </x:c>
      <x:c r="M22" s="7" t="str"/>
      <x:c r="N22" s="7" t="str">
        <x:v>Le livrable « Canon et dégâts — mod » possède une scène ou un scénario de contrôle ; ses règles proposées, ses conditions et ses retours visuels sont vérifiables séparément.</x:v>
      </x:c>
      <x:c r="O22" s="7" t="str"/>
      <x:c r="P22" s="7" t="str">
        <x:v>Canon et dégâts — mod</x:v>
      </x:c>
      <x:c r="Q22" s="7" t="str">
        <x:v>ME3-SRC-EQUIP</x:v>
      </x:c>
      <x:c r="R22" s="21" t="str">
        <x:v>https://masseffect.fandom.com/wiki/Equipment_Guide_%28Mass_Effect_3%29</x:v>
      </x:c>
      <x:c r="S22" s="21" t="str">
        <x:v>Spécification à réaliser. Les champs adaptation, gameplay, visual, animation, audio et implementation décrivent le fan game ; ils ne donnent pas des caractéristiques officielles de l’œuvre.</x:v>
      </x:c>
    </x:row>
    <x:row r="23" ht="68" customHeight="1">
      <x:c r="A23" s="18" t="str">
        <x:v>ME3-EQP-SCOPE</x:v>
      </x:c>
      <x:c r="B23" s="9" t="str">
        <x:v>Lunette — mod</x:v>
      </x:c>
      <x:c r="C23" s="15" t="str">
        <x:v>Défini</x:v>
      </x:c>
      <x:c r="D23" s="16" t="str">
        <x:v>Établi</x:v>
      </x:c>
      <x:c r="E23" s="16" t="str">
        <x:v>P1</x:v>
      </x:c>
      <x:c r="F23" s="9" t="str">
        <x:v>Famille de modification.</x:v>
      </x:c>
      <x:c r="G23" s="9" t="str">
        <x:v>Aide de cible et précision proposées ; caméra ne change pas brutalement en ATB isométrique.</x:v>
      </x:c>
      <x:c r="H23" s="9" t="str">
        <x:v>Aide de cible et précision proposées ; caméra ne change pas brutalement en ATB isométrique.</x:v>
      </x:c>
      <x:c r="I23" s="9" t="str">
        <x:v>Petit viseur et cône de précision.</x:v>
      </x:c>
      <x:c r="J23" s="9" t="str">
        <x:v>Préparer état de repos, anticipation, activation et retour au repos ; aligner les événements visuels sur la résolution de l’action ATB.</x:v>
      </x:c>
      <x:c r="K23" s="9" t="str">
        <x:v>Créer des bruitages et ambiances originaux adaptés au livrable ; sous-titrer les indices utiles et proposer un réglage indépendant des effets. Aucune extraction audio demandée.</x:v>
      </x:c>
      <x:c r="L23" s="9" t="str">
        <x:v>Prévu : fiche de données me3/equipment/scope ; rattacher les ressources et états cités à cet identifiant. Aucun fichier de jeu créé par ce catalogue.</x:v>
      </x:c>
      <x:c r="M23" s="9" t="str"/>
      <x:c r="N23" s="9" t="str">
        <x:v>Le livrable « Lunette — mod » possède une scène ou un scénario de contrôle ; ses règles proposées, ses conditions et ses retours visuels sont vérifiables séparément.</x:v>
      </x:c>
      <x:c r="O23" s="9" t="str"/>
      <x:c r="P23" s="9" t="str">
        <x:v>Lunette — mod</x:v>
      </x:c>
      <x:c r="Q23" s="9" t="str">
        <x:v>ME3-SRC-EQUIP</x:v>
      </x:c>
      <x:c r="R23" s="20" t="str">
        <x:v>https://masseffect.fandom.com/wiki/Equipment_Guide_%28Mass_Effect_3%29</x:v>
      </x:c>
      <x:c r="S23" s="20" t="str">
        <x:v>Spécification à réaliser. Les champs adaptation, gameplay, visual, animation, audio et implementation décrivent le fan game ; ils ne donnent pas des caractéristiques officielles de l’œuvre.</x:v>
      </x:c>
    </x:row>
    <x:row r="24" ht="68" customHeight="1">
      <x:c r="A24" s="19" t="str">
        <x:v>ME3-EQP-MAGAZINE</x:v>
      </x:c>
      <x:c r="B24" s="7" t="str">
        <x:v>Chargeur — mod</x:v>
      </x:c>
      <x:c r="C24" s="15" t="str">
        <x:v>Défini</x:v>
      </x:c>
      <x:c r="D24" s="17" t="str">
        <x:v>Établi</x:v>
      </x:c>
      <x:c r="E24" s="17" t="str">
        <x:v>P1</x:v>
      </x:c>
      <x:c r="F24" s="7" t="str">
        <x:v>Famille de modification.</x:v>
      </x:c>
      <x:c r="G24" s="7" t="str">
        <x:v>Augmenter réserve de chargeur proposée ; rechargement plein lors d’un changement interdit hors zone sûre.</x:v>
      </x:c>
      <x:c r="H24" s="7" t="str">
        <x:v>Augmenter réserve de chargeur proposée ; rechargement plein lors d’un changement interdit hors zone sûre.</x:v>
      </x:c>
      <x:c r="I24" s="7" t="str">
        <x:v>Chargeur et compteur.</x:v>
      </x:c>
      <x:c r="J24" s="7" t="str">
        <x:v>Préparer état de repos, anticipation, activation et retour au repos ; aligner les événements visuels sur la résolution de l’action ATB.</x:v>
      </x:c>
      <x:c r="K24" s="7" t="str">
        <x:v>Créer des bruitages et ambiances originaux adaptés au livrable ; sous-titrer les indices utiles et proposer un réglage indépendant des effets. Aucune extraction audio demandée.</x:v>
      </x:c>
      <x:c r="L24" s="7" t="str">
        <x:v>Prévu : fiche de données me3/equipment/magazine ; rattacher les ressources et états cités à cet identifiant. Aucun fichier de jeu créé par ce catalogue.</x:v>
      </x:c>
      <x:c r="M24" s="7" t="str"/>
      <x:c r="N24" s="7" t="str">
        <x:v>Le livrable « Chargeur — mod » possède une scène ou un scénario de contrôle ; ses règles proposées, ses conditions et ses retours visuels sont vérifiables séparément.</x:v>
      </x:c>
      <x:c r="O24" s="7" t="str"/>
      <x:c r="P24" s="7" t="str">
        <x:v>Chargeur — mod</x:v>
      </x:c>
      <x:c r="Q24" s="7" t="str">
        <x:v>ME3-SRC-EQUIP</x:v>
      </x:c>
      <x:c r="R24" s="21" t="str">
        <x:v>https://masseffect.fandom.com/wiki/Equipment_Guide_%28Mass_Effect_3%29</x:v>
      </x:c>
      <x:c r="S24" s="21" t="str">
        <x:v>Spécification à réaliser. Les champs adaptation, gameplay, visual, animation, audio et implementation décrivent le fan game ; ils ne donnent pas des caractéristiques officielles de l’œuvre.</x:v>
      </x:c>
    </x:row>
    <x:row r="25" ht="68" customHeight="1">
      <x:c r="A25" s="18" t="str">
        <x:v>ME3-EQP-ULTRALIGHT</x:v>
      </x:c>
      <x:c r="B25" s="9" t="str">
        <x:v>Matériaux ultralégers — mod</x:v>
      </x:c>
      <x:c r="C25" s="15" t="str">
        <x:v>Défini</x:v>
      </x:c>
      <x:c r="D25" s="16" t="str">
        <x:v>Établi</x:v>
      </x:c>
      <x:c r="E25" s="16" t="str">
        <x:v>P1</x:v>
      </x:c>
      <x:c r="F25" s="9" t="str">
        <x:v>Famille de modification.</x:v>
      </x:c>
      <x:c r="G25" s="9" t="str">
        <x:v>Réduire la masse proposée et recalculer récupération de pouvoirs ; afficher le changement total du loadout.</x:v>
      </x:c>
      <x:c r="H25" s="9" t="str">
        <x:v>Réduire la masse proposée et recalculer récupération de pouvoirs ; afficher le changement total du loadout.</x:v>
      </x:c>
      <x:c r="I25" s="9" t="str">
        <x:v>Plume technique et jauge de masse.</x:v>
      </x:c>
      <x:c r="J25" s="9" t="str">
        <x:v>Préparer état de repos, anticipation, activation et retour au repos ; aligner les événements visuels sur la résolution de l’action ATB.</x:v>
      </x:c>
      <x:c r="K25" s="9" t="str">
        <x:v>Créer des bruitages et ambiances originaux adaptés au livrable ; sous-titrer les indices utiles et proposer un réglage indépendant des effets. Aucune extraction audio demandée.</x:v>
      </x:c>
      <x:c r="L25" s="9" t="str">
        <x:v>Prévu : fiche de données me3/equipment/ultralight ; rattacher les ressources et états cités à cet identifiant. Aucun fichier de jeu créé par ce catalogue.</x:v>
      </x:c>
      <x:c r="M25" s="9" t="str"/>
      <x:c r="N25" s="9" t="str">
        <x:v>Le livrable « Matériaux ultralégers — mod » possède une scène ou un scénario de contrôle ; ses règles proposées, ses conditions et ses retours visuels sont vérifiables séparément.</x:v>
      </x:c>
      <x:c r="O25" s="9" t="str"/>
      <x:c r="P25" s="9" t="str">
        <x:v>Matériaux ultralégers — mod</x:v>
      </x:c>
      <x:c r="Q25" s="9" t="str">
        <x:v>ME3-SRC-EQUIP</x:v>
      </x:c>
      <x:c r="R25" s="20" t="str">
        <x:v>https://masseffect.fandom.com/wiki/Equipment_Guide_%28Mass_Effect_3%29</x:v>
      </x:c>
      <x:c r="S25" s="20" t="str">
        <x:v>Spécification à réaliser. Les champs adaptation, gameplay, visual, animation, audio et implementation décrivent le fan game ; ils ne donnent pas des caractéristiques officielles de l’œuvre.</x:v>
      </x:c>
    </x:row>
    <x:row r="26" ht="68" customHeight="1">
      <x:c r="A26" s="19" t="str">
        <x:v>ME3-EQP-MEDIGEL</x:v>
      </x:c>
      <x:c r="B26" s="7" t="str">
        <x:v>Medi-gel</x:v>
      </x:c>
      <x:c r="C26" s="15" t="str">
        <x:v>Défini</x:v>
      </x:c>
      <x:c r="D26" s="17" t="str">
        <x:v>Établi</x:v>
      </x:c>
      <x:c r="E26" s="17" t="str">
        <x:v>P1</x:v>
      </x:c>
      <x:c r="F26" s="7" t="str">
        <x:v>Ressource de secours.</x:v>
      </x:c>
      <x:c r="G26" s="7" t="str">
        <x:v>Inventaire partagé lisible, cibles relevables choisies avant dépense ; action annulée sur changement de scène restaure la réserve.</x:v>
      </x:c>
      <x:c r="H26" s="7" t="str">
        <x:v>Inventaire partagé lisible, cibles relevables choisies avant dépense ; action annulée sur changement de scène restaure la réserve.</x:v>
      </x:c>
      <x:c r="I26" s="7" t="str">
        <x:v>Bande médicale et compteur.</x:v>
      </x:c>
      <x:c r="J26" s="7" t="str">
        <x:v>Préparer état de repos, anticipation, activation et retour au repos ; aligner les événements visuels sur la résolution de l’action ATB.</x:v>
      </x:c>
      <x:c r="K26" s="7" t="str">
        <x:v>Créer des bruitages et ambiances originaux adaptés au livrable ; sous-titrer les indices utiles et proposer un réglage indépendant des effets. Aucune extraction audio demandée.</x:v>
      </x:c>
      <x:c r="L26" s="7" t="str">
        <x:v>Prévu : fiche de données me3/equipment/medigel ; rattacher les ressources et états cités à cet identifiant. Aucun fichier de jeu créé par ce catalogue.</x:v>
      </x:c>
      <x:c r="M26" s="7" t="str"/>
      <x:c r="N26" s="7" t="str">
        <x:v>Le livrable « Medi-gel » possède une scène ou un scénario de contrôle ; ses règles proposées, ses conditions et ses retours visuels sont vérifiables séparément.</x:v>
      </x:c>
      <x:c r="O26" s="7" t="str"/>
      <x:c r="P26" s="7" t="str">
        <x:v>Medi-gel</x:v>
      </x:c>
      <x:c r="Q26" s="7" t="str">
        <x:v>ME3-SRC-COMBAT</x:v>
      </x:c>
      <x:c r="R26" s="21" t="str">
        <x:v>https://masseffect.fandom.com/wiki/Combat_%28Mass_Effect_3%29</x:v>
      </x:c>
      <x:c r="S26" s="21" t="str">
        <x:v>Spécification à réaliser. Les champs adaptation, gameplay, visual, animation, audio et implementation décrivent le fan game ; ils ne donnent pas des caractéristiques officielles de l’œuvre.</x:v>
      </x:c>
    </x:row>
    <x:row r="27" ht="68" customHeight="1">
      <x:c r="A27" s="18" t="str">
        <x:v>ME3-EQP-GRENADE-STOCK</x:v>
      </x:c>
      <x:c r="B27" s="9" t="str">
        <x:v>Réserve de grenades</x:v>
      </x:c>
      <x:c r="C27" s="15" t="str">
        <x:v>Défini</x:v>
      </x:c>
      <x:c r="D27" s="16" t="str">
        <x:v>Établi</x:v>
      </x:c>
      <x:c r="E27" s="16" t="str">
        <x:v>P1</x:v>
      </x:c>
      <x:c r="F27" s="9" t="str">
        <x:v>Plusieurs pouvoirs utilisent des grenades.</x:v>
      </x:c>
      <x:c r="G27" s="9" t="str">
        <x:v>Capacité affichée par porteur et classe d’action ; ramassage inutilisable explique pourquoi.</x:v>
      </x:c>
      <x:c r="H27" s="9" t="str">
        <x:v>Capacité affichée par porteur et classe d’action ; ramassage inutilisable explique pourquoi.</x:v>
      </x:c>
      <x:c r="I27" s="9" t="str">
        <x:v>Grenade physique et jauge discrète.</x:v>
      </x:c>
      <x:c r="J27" s="9" t="str">
        <x:v>Préparer état de repos, anticipation, activation et retour au repos ; aligner les événements visuels sur la résolution de l’action ATB.</x:v>
      </x:c>
      <x:c r="K27" s="9" t="str">
        <x:v>Créer des bruitages et ambiances originaux adaptés au livrable ; sous-titrer les indices utiles et proposer un réglage indépendant des effets. Aucune extraction audio demandée.</x:v>
      </x:c>
      <x:c r="L27" s="9" t="str">
        <x:v>Prévu : fiche de données me3/equipment/grenade-stock ; rattacher les ressources et états cités à cet identifiant. Aucun fichier de jeu créé par ce catalogue.</x:v>
      </x:c>
      <x:c r="M27" s="9" t="str"/>
      <x:c r="N27" s="9" t="str">
        <x:v>Le livrable « Réserve de grenades » possède une scène ou un scénario de contrôle ; ses règles proposées, ses conditions et ses retours visuels sont vérifiables séparément.</x:v>
      </x:c>
      <x:c r="O27" s="9" t="str"/>
      <x:c r="P27" s="9" t="str">
        <x:v>Réserve de grenades</x:v>
      </x:c>
      <x:c r="Q27" s="9" t="str">
        <x:v>ME3-SRC-POWERS</x:v>
      </x:c>
      <x:c r="R27" s="20" t="str">
        <x:v>https://masseffect.fandom.com/wiki/Powers_%28Mass_Effect_3%29</x:v>
      </x:c>
      <x:c r="S27" s="20" t="str">
        <x:v>Spécification à réaliser. Les champs adaptation, gameplay, visual, animation, audio et implementation décrivent le fan game ; ils ne donnent pas des caractéristiques officielles de l’œuvre.</x:v>
      </x:c>
    </x:row>
    <x:row r="28" ht="68" customHeight="1">
      <x:c r="A28" s="19" t="str">
        <x:v>ME3-EQP-THERMAL</x:v>
      </x:c>
      <x:c r="B28" s="7" t="str">
        <x:v>Clips thermiques</x:v>
      </x:c>
      <x:c r="C28" s="15" t="str">
        <x:v>Défini</x:v>
      </x:c>
      <x:c r="D28" s="17" t="str">
        <x:v>Établi</x:v>
      </x:c>
      <x:c r="E28" s="17" t="str">
        <x:v>P1</x:v>
      </x:c>
      <x:c r="F28" s="7" t="str">
        <x:v>Munition commune aux armes compatibles.</x:v>
      </x:c>
      <x:c r="G28" s="7" t="str">
        <x:v>Ramassage réparti selon arme équipée et règles proposées ; armes thermiques spéciales exclues explicitement.</x:v>
      </x:c>
      <x:c r="H28" s="7" t="str">
        <x:v>Ramassage réparti selon arme équipée et règles proposées ; armes thermiques spéciales exclues explicitement.</x:v>
      </x:c>
      <x:c r="I28" s="7" t="str">
        <x:v>Clips lumineux à échelle lisible.</x:v>
      </x:c>
      <x:c r="J28" s="7" t="str">
        <x:v>Préparer état de repos, anticipation, activation et retour au repos ; aligner les événements visuels sur la résolution de l’action ATB.</x:v>
      </x:c>
      <x:c r="K28" s="7" t="str">
        <x:v>Créer des bruitages et ambiances originaux adaptés au livrable ; sous-titrer les indices utiles et proposer un réglage indépendant des effets. Aucune extraction audio demandée.</x:v>
      </x:c>
      <x:c r="L28" s="7" t="str">
        <x:v>Prévu : fiche de données me3/equipment/thermal ; rattacher les ressources et états cités à cet identifiant. Aucun fichier de jeu créé par ce catalogue.</x:v>
      </x:c>
      <x:c r="M28" s="7" t="str"/>
      <x:c r="N28" s="7" t="str">
        <x:v>Le livrable « Clips thermiques » possède une scène ou un scénario de contrôle ; ses règles proposées, ses conditions et ses retours visuels sont vérifiables séparément.</x:v>
      </x:c>
      <x:c r="O28" s="7" t="str"/>
      <x:c r="P28" s="7" t="str">
        <x:v>Clips thermiques</x:v>
      </x:c>
      <x:c r="Q28" s="7" t="str">
        <x:v>ME3-SRC-COMBAT</x:v>
      </x:c>
      <x:c r="R28" s="21" t="str">
        <x:v>https://masseffect.fandom.com/wiki/Combat_%28Mass_Effect_3%29</x:v>
      </x:c>
      <x:c r="S28" s="21" t="str">
        <x:v>Spécification à réaliser. Les champs adaptation, gameplay, visual, animation, audio et implementation décrivent le fan game ; ils ne donnent pas des caractéristiques officielles de l’œuvre.</x:v>
      </x:c>
    </x:row>
  </x:sheetData>
  <x:conditionalFormatting sqref="D7:D28">
    <x:cfRule type="cellIs" dxfId="60" priority="1" operator="equal">
      <x:formula>"À vérifier"</x:formula>
    </x:cfRule>
    <x:cfRule type="cellIs" dxfId="61" priority="2" operator="equal">
      <x:formula>"Extrapolation"</x:formula>
    </x:cfRule>
  </x:conditionalFormatting>
  <x:conditionalFormatting sqref="C7:C28">
    <x:cfRule type="cellIs" dxfId="62" priority="3" operator="equal">
      <x:formula>"Validé"</x:formula>
    </x:cfRule>
  </x:conditionalFormatting>
  <x:conditionalFormatting sqref="E7:E28">
    <x:cfRule type="cellIs" dxfId="63" priority="4" operator="equal">
      <x:formula>"P0"</x:formula>
    </x:cfRule>
  </x:conditionalFormatting>
  <x:dataValidations count="3">
    <x:dataValidation type="list" sqref="C7:C28">
      <x:formula1>"Défini,Prototype,Intégré,Validé"</x:formula1>
    </x:dataValidation>
    <x:dataValidation type="list" sqref="D7:D28">
      <x:formula1>"Établi,À vérifier,Extrapolation,Coupé attesté,Concept abandonné,Allégation écartée"</x:formula1>
    </x:dataValidation>
    <x:dataValidation type="list" sqref="E7:E28">
      <x:formula1>"P0,P1,P2"</x:formula1>
    </x:dataValidation>
  </x:dataValidations>
  <x:pageMargins left="0.7" right="0.7" top="0.75" bottom="0.75" header="0.3" footer="0.3"/>
  <x:tableParts count="1">
    <x:tablePart xmlns:r="http://schemas.openxmlformats.org/officeDocument/2006/relationships" r:id="R57df6ac97c294bc7"/>
  </x:tableParts>
</x:worksheet>
</file>

<file path=xl/worksheets/sheet1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Pouvoirs</x:v>
      </x:c>
      <x:c r="B2" s="2"/>
      <x:c r="C2" s="2"/>
      <x:c r="D2" s="2"/>
      <x:c r="E2" s="2"/>
      <x:c r="F2" s="2"/>
      <x:c r="G2" s="2"/>
      <x:c r="H2" s="2"/>
      <x:c r="I2" s="2"/>
      <x:c r="J2" s="2"/>
      <x:c r="K2" s="2"/>
      <x:c r="L2" s="2"/>
      <x:c r="M2" s="2"/>
      <x:c r="N2" s="2"/>
      <x:c r="O2" s="2"/>
      <x:c r="P2" s="2"/>
      <x:c r="Q2" s="2"/>
      <x:c r="R2" s="2"/>
      <x:c r="S2" s="2"/>
    </x:row>
    <x:row r="3" ht="22" customHeight="1">
      <x:c r="A3" s="4" t="str">
        <x:v>Mass Effect 3 — Capacités canoniques et traduction ATB</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ME3-POW-PULL</x:v>
      </x:c>
      <x:c r="B7" s="9" t="str">
        <x:v>Pull</x:v>
      </x:c>
      <x:c r="C7" s="15" t="str">
        <x:v>Défini</x:v>
      </x:c>
      <x:c r="D7" s="16" t="str">
        <x:v>Établi</x:v>
      </x:c>
      <x:c r="E7" s="16" t="str">
        <x:v>P1</x:v>
      </x:c>
      <x:c r="F7" s="9" t="str">
        <x:v>Pouvoir présent dans l’arsenal ME3.</x:v>
      </x:c>
      <x:c r="G7" s="9" t="str">
        <x:v>Conversion ATB originale : Soulever une cible dépouillée de protection ; une icône de résistance explique l’échec sur armure.</x:v>
      </x:c>
      <x:c r="H7" s="9" t="str">
        <x:v>Conversion ATB originale : Soulever une cible dépouillée de protection ; une icône de résistance explique l’échec sur armure.</x:v>
      </x:c>
      <x:c r="I7" s="9" t="str">
        <x:v>Fil biotique ascendant et cible suspendue.</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me3/powers/pull ; rattacher les ressources et états cités à cet identifiant. Aucun fichier de jeu créé par ce catalogue.</x:v>
      </x:c>
      <x:c r="M7" s="9" t="str"/>
      <x:c r="N7" s="9" t="str">
        <x:v>Vérifier cible organique/synthétique, chaque protection, durée et fin d’état ; une cible non admissible garde ressources et action disponibles.</x:v>
      </x:c>
      <x:c r="O7" s="9" t="str"/>
      <x:c r="P7" s="9" t="str">
        <x:v>Pull</x:v>
      </x:c>
      <x:c r="Q7" s="9" t="str">
        <x:v>ME3-SRC-POWERS</x:v>
      </x:c>
      <x:c r="R7" s="20" t="str">
        <x:v>https://masseffect.fandom.com/wiki/Powers_%28Mass_Effect_3%29</x:v>
      </x:c>
      <x:c r="S7" s="20" t="str">
        <x:v>Spécification à réaliser. Les champs adaptation, gameplay, visual, animation, audio et implementation décrivent le fan game ; ils ne donnent pas des caractéristiques officielles de l’œuvre.</x:v>
      </x:c>
    </x:row>
    <x:row r="8" ht="68" customHeight="1">
      <x:c r="A8" s="19" t="str">
        <x:v>ME3-POW-THROW</x:v>
      </x:c>
      <x:c r="B8" s="7" t="str">
        <x:v>Throw</x:v>
      </x:c>
      <x:c r="C8" s="15" t="str">
        <x:v>Défini</x:v>
      </x:c>
      <x:c r="D8" s="17" t="str">
        <x:v>Établi</x:v>
      </x:c>
      <x:c r="E8" s="17" t="str">
        <x:v>P1</x:v>
      </x:c>
      <x:c r="F8" s="7" t="str">
        <x:v>Pouvoir présent dans l’arsenal ME3.</x:v>
      </x:c>
      <x:c r="G8" s="7" t="str">
        <x:v>Conversion ATB originale : Pousser une cible selon l’axe prévisualisé ; un mur arrête le recul sans téléportation.</x:v>
      </x:c>
      <x:c r="H8" s="7" t="str">
        <x:v>Conversion ATB originale : Pousser une cible selon l’axe prévisualisé ; un mur arrête le recul sans téléportation.</x:v>
      </x:c>
      <x:c r="I8" s="7" t="str">
        <x:v>Impulsion bleue et trajectoire au sol.</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me3/powers/throw ; rattacher les ressources et états cités à cet identifiant. Aucun fichier de jeu créé par ce catalogue.</x:v>
      </x:c>
      <x:c r="M8" s="7" t="str"/>
      <x:c r="N8" s="7" t="str">
        <x:v>Vérifier cible organique/synthétique, chaque protection, durée et fin d’état ; une cible non admissible garde ressources et action disponibles.</x:v>
      </x:c>
      <x:c r="O8" s="7" t="str"/>
      <x:c r="P8" s="7" t="str">
        <x:v>Throw</x:v>
      </x:c>
      <x:c r="Q8" s="7" t="str">
        <x:v>ME3-SRC-POWERS</x:v>
      </x:c>
      <x:c r="R8" s="21" t="str">
        <x:v>https://masseffect.fandom.com/wiki/Powers_%28Mass_Effect_3%29</x:v>
      </x:c>
      <x:c r="S8" s="21" t="str">
        <x:v>Spécification à réaliser. Les champs adaptation, gameplay, visual, animation, audio et implementation décrivent le fan game ; ils ne donnent pas des caractéristiques officielles de l’œuvre.</x:v>
      </x:c>
    </x:row>
    <x:row r="9" ht="68" customHeight="1">
      <x:c r="A9" s="18" t="str">
        <x:v>ME3-POW-WARP</x:v>
      </x:c>
      <x:c r="B9" s="9" t="str">
        <x:v>Warp</x:v>
      </x:c>
      <x:c r="C9" s="15" t="str">
        <x:v>Défini</x:v>
      </x:c>
      <x:c r="D9" s="16" t="str">
        <x:v>Établi</x:v>
      </x:c>
      <x:c r="E9" s="16" t="str">
        <x:v>P1</x:v>
      </x:c>
      <x:c r="F9" s="9" t="str">
        <x:v>Pouvoir présent dans l’arsenal ME3.</x:v>
      </x:c>
      <x:c r="G9" s="9" t="str">
        <x:v>Conversion ATB originale : Dégrader une défense puis exploiter une suspension ; séparer dégâts et détonation proposée.</x:v>
      </x:c>
      <x:c r="H9" s="9" t="str">
        <x:v>Conversion ATB originale : Dégrader une défense puis exploiter une suspension ; séparer dégâts et détonation proposée.</x:v>
      </x:c>
      <x:c r="I9" s="9" t="str">
        <x:v>Tourbillon violet serré.</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me3/powers/warp ; rattacher les ressources et états cités à cet identifiant. Aucun fichier de jeu créé par ce catalogue.</x:v>
      </x:c>
      <x:c r="M9" s="9" t="str"/>
      <x:c r="N9" s="9" t="str">
        <x:v>Vérifier cible organique/synthétique, chaque protection, durée et fin d’état ; une cible non admissible garde ressources et action disponibles.</x:v>
      </x:c>
      <x:c r="O9" s="9" t="str"/>
      <x:c r="P9" s="9" t="str">
        <x:v>Warp</x:v>
      </x:c>
      <x:c r="Q9" s="9" t="str">
        <x:v>ME3-SRC-POWERS</x:v>
      </x:c>
      <x:c r="R9" s="20" t="str">
        <x:v>https://masseffect.fandom.com/wiki/Powers_%28Mass_Effect_3%29</x:v>
      </x:c>
      <x:c r="S9" s="20" t="str">
        <x:v>Spécification à réaliser. Les champs adaptation, gameplay, visual, animation, audio et implementation décrivent le fan game ; ils ne donnent pas des caractéristiques officielles de l’œuvre.</x:v>
      </x:c>
    </x:row>
    <x:row r="10" ht="68" customHeight="1">
      <x:c r="A10" s="19" t="str">
        <x:v>ME3-POW-SINGULARITY</x:v>
      </x:c>
      <x:c r="B10" s="7" t="str">
        <x:v>Singularity</x:v>
      </x:c>
      <x:c r="C10" s="15" t="str">
        <x:v>Défini</x:v>
      </x:c>
      <x:c r="D10" s="17" t="str">
        <x:v>Établi</x:v>
      </x:c>
      <x:c r="E10" s="17" t="str">
        <x:v>P1</x:v>
      </x:c>
      <x:c r="F10" s="7" t="str">
        <x:v>Pouvoir présent dans l’arsenal ME3.</x:v>
      </x:c>
      <x:c r="G10" s="7" t="str">
        <x:v>Conversion ATB originale : Créer une zone persistante de contrôle ; petite silhouette de centre évitant de masquer les cibles.</x:v>
      </x:c>
      <x:c r="H10" s="7" t="str">
        <x:v>Conversion ATB originale : Créer une zone persistante de contrôle ; petite silhouette de centre évitant de masquer les cibles.</x:v>
      </x:c>
      <x:c r="I10" s="7" t="str">
        <x:v>Noyau sombre et anneaux bleus.</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me3/powers/singularity ; rattacher les ressources et états cités à cet identifiant. Aucun fichier de jeu créé par ce catalogue.</x:v>
      </x:c>
      <x:c r="M10" s="7" t="str"/>
      <x:c r="N10" s="7" t="str">
        <x:v>Vérifier cible organique/synthétique, chaque protection, durée et fin d’état ; une cible non admissible garde ressources et action disponibles.</x:v>
      </x:c>
      <x:c r="O10" s="7" t="str"/>
      <x:c r="P10" s="7" t="str">
        <x:v>Singularity</x:v>
      </x:c>
      <x:c r="Q10" s="7" t="str">
        <x:v>ME3-SRC-POWERS</x:v>
      </x:c>
      <x:c r="R10" s="21" t="str">
        <x:v>https://masseffect.fandom.com/wiki/Powers_%28Mass_Effect_3%29</x:v>
      </x:c>
      <x:c r="S10" s="21" t="str">
        <x:v>Spécification à réaliser. Les champs adaptation, gameplay, visual, animation, audio et implementation décrivent le fan game ; ils ne donnent pas des caractéristiques officielles de l’œuvre.</x:v>
      </x:c>
    </x:row>
    <x:row r="11" ht="68" customHeight="1">
      <x:c r="A11" s="18" t="str">
        <x:v>ME3-POW-SHOCKWAVE</x:v>
      </x:c>
      <x:c r="B11" s="9" t="str">
        <x:v>Shockwave</x:v>
      </x:c>
      <x:c r="C11" s="15" t="str">
        <x:v>Défini</x:v>
      </x:c>
      <x:c r="D11" s="16" t="str">
        <x:v>Établi</x:v>
      </x:c>
      <x:c r="E11" s="16" t="str">
        <x:v>P1</x:v>
      </x:c>
      <x:c r="F11" s="9" t="str">
        <x:v>Pouvoir présent dans l’arsenal ME3.</x:v>
      </x:c>
      <x:c r="G11" s="9" t="str">
        <x:v>Conversion ATB originale : Dessiner une ligne d’impulsions par bandes ; couvert bas franchi, mur plein bloquant.</x:v>
      </x:c>
      <x:c r="H11" s="9" t="str">
        <x:v>Conversion ATB originale : Dessiner une ligne d’impulsions par bandes ; couvert bas franchi, mur plein bloquant.</x:v>
      </x:c>
      <x:c r="I11" s="9" t="str">
        <x:v>Vagues successives au sol.</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me3/powers/shockwave ; rattacher les ressources et états cités à cet identifiant. Aucun fichier de jeu créé par ce catalogue.</x:v>
      </x:c>
      <x:c r="M11" s="9" t="str"/>
      <x:c r="N11" s="9" t="str">
        <x:v>Vérifier cible organique/synthétique, chaque protection, durée et fin d’état ; une cible non admissible garde ressources et action disponibles.</x:v>
      </x:c>
      <x:c r="O11" s="9" t="str"/>
      <x:c r="P11" s="9" t="str">
        <x:v>Shockwave</x:v>
      </x:c>
      <x:c r="Q11" s="9" t="str">
        <x:v>ME3-SRC-POWERS</x:v>
      </x:c>
      <x:c r="R11" s="20" t="str">
        <x:v>https://masseffect.fandom.com/wiki/Powers_%28Mass_Effect_3%29</x:v>
      </x:c>
      <x:c r="S11" s="20" t="str">
        <x:v>Spécification à réaliser. Les champs adaptation, gameplay, visual, animation, audio et implementation décrivent le fan game ; ils ne donnent pas des caractéristiques officielles de l’œuvre.</x:v>
      </x:c>
    </x:row>
    <x:row r="12" ht="68" customHeight="1">
      <x:c r="A12" s="19" t="str">
        <x:v>ME3-POW-SLAM</x:v>
      </x:c>
      <x:c r="B12" s="7" t="str">
        <x:v>Slam</x:v>
      </x:c>
      <x:c r="C12" s="15" t="str">
        <x:v>Défini</x:v>
      </x:c>
      <x:c r="D12" s="17" t="str">
        <x:v>Établi</x:v>
      </x:c>
      <x:c r="E12" s="17" t="str">
        <x:v>P1</x:v>
      </x:c>
      <x:c r="F12" s="7" t="str">
        <x:v>Pouvoir présent dans l’arsenal ME3.</x:v>
      </x:c>
      <x:c r="G12" s="7" t="str">
        <x:v>Conversion ATB originale : Levée brève puis chute ; indiquer le point d’impact, immunité de boss partielle proposée.</x:v>
      </x:c>
      <x:c r="H12" s="7" t="str">
        <x:v>Conversion ATB originale : Levée brève puis chute ; indiquer le point d’impact, immunité de boss partielle proposée.</x:v>
      </x:c>
      <x:c r="I12" s="7" t="str">
        <x:v>Colonne biotique et choc vertical.</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me3/powers/slam ; rattacher les ressources et états cités à cet identifiant. Aucun fichier de jeu créé par ce catalogue.</x:v>
      </x:c>
      <x:c r="M12" s="7" t="str"/>
      <x:c r="N12" s="7" t="str">
        <x:v>Vérifier cible organique/synthétique, chaque protection, durée et fin d’état ; une cible non admissible garde ressources et action disponibles.</x:v>
      </x:c>
      <x:c r="O12" s="7" t="str"/>
      <x:c r="P12" s="7" t="str">
        <x:v>Slam</x:v>
      </x:c>
      <x:c r="Q12" s="7" t="str">
        <x:v>ME3-SRC-POWERS</x:v>
      </x:c>
      <x:c r="R12" s="21" t="str">
        <x:v>https://masseffect.fandom.com/wiki/Powers_%28Mass_Effect_3%29</x:v>
      </x:c>
      <x:c r="S12" s="21" t="str">
        <x:v>Spécification à réaliser. Les champs adaptation, gameplay, visual, animation, audio et implementation décrivent le fan game ; ils ne donnent pas des caractéristiques officielles de l’œuvre.</x:v>
      </x:c>
    </x:row>
    <x:row r="13" ht="68" customHeight="1">
      <x:c r="A13" s="18" t="str">
        <x:v>ME3-POW-REAVE</x:v>
      </x:c>
      <x:c r="B13" s="9" t="str">
        <x:v>Reave</x:v>
      </x:c>
      <x:c r="C13" s="15" t="str">
        <x:v>Défini</x:v>
      </x:c>
      <x:c r="D13" s="16" t="str">
        <x:v>Établi</x:v>
      </x:c>
      <x:c r="E13" s="16" t="str">
        <x:v>P1</x:v>
      </x:c>
      <x:c r="F13" s="9" t="str">
        <x:v>Pouvoir présent dans l’arsenal ME3.</x:v>
      </x:c>
      <x:c r="G13" s="9" t="str">
        <x:v>Conversion ATB originale : Affaiblir une cible organique et accorder une protection temporaire proposée à l’utilisateur ; statut visible.</x:v>
      </x:c>
      <x:c r="H13" s="9" t="str">
        <x:v>Conversion ATB originale : Affaiblir une cible organique et accorder une protection temporaire proposée à l’utilisateur ; statut visible.</x:v>
      </x:c>
      <x:c r="I13" s="9" t="str">
        <x:v>Aura biotique rouge-violette.</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me3/powers/reave ; rattacher les ressources et états cités à cet identifiant. Aucun fichier de jeu créé par ce catalogue.</x:v>
      </x:c>
      <x:c r="M13" s="9" t="str"/>
      <x:c r="N13" s="9" t="str">
        <x:v>Vérifier cible organique/synthétique, chaque protection, durée et fin d’état ; une cible non admissible garde ressources et action disponibles.</x:v>
      </x:c>
      <x:c r="O13" s="9" t="str"/>
      <x:c r="P13" s="9" t="str">
        <x:v>Reave</x:v>
      </x:c>
      <x:c r="Q13" s="9" t="str">
        <x:v>ME3-SRC-POWERS</x:v>
      </x:c>
      <x:c r="R13" s="20" t="str">
        <x:v>https://masseffect.fandom.com/wiki/Powers_%28Mass_Effect_3%29</x:v>
      </x:c>
      <x:c r="S13" s="20" t="str">
        <x:v>Spécification à réaliser. Les champs adaptation, gameplay, visual, animation, audio et implementation décrivent le fan game ; ils ne donnent pas des caractéristiques officielles de l’œuvre.</x:v>
      </x:c>
    </x:row>
    <x:row r="14" ht="68" customHeight="1">
      <x:c r="A14" s="19" t="str">
        <x:v>ME3-POW-DOMINATE</x:v>
      </x:c>
      <x:c r="B14" s="7" t="str">
        <x:v>Dominate</x:v>
      </x:c>
      <x:c r="C14" s="15" t="str">
        <x:v>Défini</x:v>
      </x:c>
      <x:c r="D14" s="17" t="str">
        <x:v>Établi</x:v>
      </x:c>
      <x:c r="E14" s="17" t="str">
        <x:v>P1</x:v>
      </x:c>
      <x:c r="F14" s="7" t="str">
        <x:v>Pouvoir présent dans l’arsenal ME3.</x:v>
      </x:c>
      <x:c r="G14" s="7" t="str">
        <x:v>Conversion ATB originale : Contrôle temporaire d’organique vulnérable ; empêcher le ciblage amical pendant sa conversion.</x:v>
      </x:c>
      <x:c r="H14" s="7" t="str">
        <x:v>Conversion ATB originale : Contrôle temporaire d’organique vulnérable ; empêcher le ciblage amical pendant sa conversion.</x:v>
      </x:c>
      <x:c r="I14" s="7" t="str">
        <x:v>Lien violet et icône de durée.</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me3/powers/dominate ; rattacher les ressources et états cités à cet identifiant. Aucun fichier de jeu créé par ce catalogue.</x:v>
      </x:c>
      <x:c r="M14" s="7" t="str"/>
      <x:c r="N14" s="7" t="str">
        <x:v>Vérifier cible organique/synthétique, chaque protection, durée et fin d’état ; une cible non admissible garde ressources et action disponibles.</x:v>
      </x:c>
      <x:c r="O14" s="7" t="str"/>
      <x:c r="P14" s="7" t="str">
        <x:v>Dominate</x:v>
      </x:c>
      <x:c r="Q14" s="7" t="str">
        <x:v>ME3-SRC-POWERS</x:v>
      </x:c>
      <x:c r="R14" s="21" t="str">
        <x:v>https://masseffect.fandom.com/wiki/Powers_%28Mass_Effect_3%29</x:v>
      </x:c>
      <x:c r="S14" s="21" t="str">
        <x:v>Spécification à réaliser. Les champs adaptation, gameplay, visual, animation, audio et implementation décrivent le fan game ; ils ne donnent pas des caractéristiques officielles de l’œuvre.</x:v>
      </x:c>
    </x:row>
    <x:row r="15" ht="68" customHeight="1">
      <x:c r="A15" s="18" t="str">
        <x:v>ME3-POW-BARRIER</x:v>
      </x:c>
      <x:c r="B15" s="9" t="str">
        <x:v>Barrier</x:v>
      </x:c>
      <x:c r="C15" s="15" t="str">
        <x:v>Défini</x:v>
      </x:c>
      <x:c r="D15" s="16" t="str">
        <x:v>Établi</x:v>
      </x:c>
      <x:c r="E15" s="16" t="str">
        <x:v>P1</x:v>
      </x:c>
      <x:c r="F15" s="9" t="str">
        <x:v>Pouvoir présent dans l’arsenal ME3.</x:v>
      </x:c>
      <x:c r="G15" s="9" t="str">
        <x:v>Conversion ATB originale : Ajouter une réserve biotique séparée ; son activation ne réinitialise pas tous les temps de récupération.</x:v>
      </x:c>
      <x:c r="H15" s="9" t="str">
        <x:v>Conversion ATB originale : Ajouter une réserve biotique séparée ; son activation ne réinitialise pas tous les temps de récupération.</x:v>
      </x:c>
      <x:c r="I15" s="9" t="str">
        <x:v>Dôme bref et bord de portrait violet.</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me3/powers/barrier ; rattacher les ressources et états cités à cet identifiant. Aucun fichier de jeu créé par ce catalogue.</x:v>
      </x:c>
      <x:c r="M15" s="9" t="str"/>
      <x:c r="N15" s="9" t="str">
        <x:v>Vérifier cible organique/synthétique, chaque protection, durée et fin d’état ; une cible non admissible garde ressources et action disponibles.</x:v>
      </x:c>
      <x:c r="O15" s="9" t="str"/>
      <x:c r="P15" s="9" t="str">
        <x:v>Barrier</x:v>
      </x:c>
      <x:c r="Q15" s="9" t="str">
        <x:v>ME3-SRC-POWERS</x:v>
      </x:c>
      <x:c r="R15" s="20" t="str">
        <x:v>https://masseffect.fandom.com/wiki/Powers_%28Mass_Effect_3%29</x:v>
      </x:c>
      <x:c r="S15" s="20" t="str">
        <x:v>Spécification à réaliser. Les champs adaptation, gameplay, visual, animation, audio et implementation décrivent le fan game ; ils ne donnent pas des caractéristiques officielles de l’œuvre.</x:v>
      </x:c>
    </x:row>
    <x:row r="16" ht="68" customHeight="1">
      <x:c r="A16" s="19" t="str">
        <x:v>ME3-POW-CHARGE</x:v>
      </x:c>
      <x:c r="B16" s="7" t="str">
        <x:v>Biotic Charge</x:v>
      </x:c>
      <x:c r="C16" s="15" t="str">
        <x:v>Défini</x:v>
      </x:c>
      <x:c r="D16" s="17" t="str">
        <x:v>Établi</x:v>
      </x:c>
      <x:c r="E16" s="17" t="str">
        <x:v>P1</x:v>
      </x:c>
      <x:c r="F16" s="7" t="str">
        <x:v>Pouvoir présent dans l’arsenal ME3.</x:v>
      </x:c>
      <x:c r="G16" s="7" t="str">
        <x:v>Conversion ATB originale : Déplacement offensif vers une cible valide ; vérifier chemin d’atterrissage et espace du sprite avant paiement.</x:v>
      </x:c>
      <x:c r="H16" s="7" t="str">
        <x:v>Conversion ATB originale : Déplacement offensif vers une cible valide ; vérifier chemin d’atterrissage et espace du sprite avant paiement.</x:v>
      </x:c>
      <x:c r="I16" s="7" t="str">
        <x:v>Trainée bleue et choc de contact.</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me3/powers/charge ; rattacher les ressources et états cités à cet identifiant. Aucun fichier de jeu créé par ce catalogue.</x:v>
      </x:c>
      <x:c r="M16" s="7" t="str"/>
      <x:c r="N16" s="7" t="str">
        <x:v>Vérifier cible organique/synthétique, chaque protection, durée et fin d’état ; une cible non admissible garde ressources et action disponibles.</x:v>
      </x:c>
      <x:c r="O16" s="7" t="str"/>
      <x:c r="P16" s="7" t="str">
        <x:v>Biotic Charge</x:v>
      </x:c>
      <x:c r="Q16" s="7" t="str">
        <x:v>ME3-SRC-POWERS</x:v>
      </x:c>
      <x:c r="R16" s="21" t="str">
        <x:v>https://masseffect.fandom.com/wiki/Powers_%28Mass_Effect_3%29</x:v>
      </x:c>
      <x:c r="S16" s="21" t="str">
        <x:v>Spécification à réaliser. Les champs adaptation, gameplay, visual, animation, audio et implementation décrivent le fan game ; ils ne donnent pas des caractéristiques officielles de l’œuvre.</x:v>
      </x:c>
    </x:row>
    <x:row r="17" ht="68" customHeight="1">
      <x:c r="A17" s="18" t="str">
        <x:v>ME3-POW-OVERLOAD</x:v>
      </x:c>
      <x:c r="B17" s="9" t="str">
        <x:v>Overload</x:v>
      </x:c>
      <x:c r="C17" s="15" t="str">
        <x:v>Défini</x:v>
      </x:c>
      <x:c r="D17" s="16" t="str">
        <x:v>Établi</x:v>
      </x:c>
      <x:c r="E17" s="16" t="str">
        <x:v>P1</x:v>
      </x:c>
      <x:c r="F17" s="9" t="str">
        <x:v>Pouvoir présent dans l’arsenal ME3.</x:v>
      </x:c>
      <x:c r="G17" s="9" t="str">
        <x:v>Conversion ATB originale : Retirer une protection électrique et interrompre une machine ; ne pas assimiler barrière biotique et bouclier.</x:v>
      </x:c>
      <x:c r="H17" s="9" t="str">
        <x:v>Conversion ATB originale : Retirer une protection électrique et interrompre une machine ; ne pas assimiler barrière biotique et bouclier.</x:v>
      </x:c>
      <x:c r="I17" s="9" t="str">
        <x:v>Arc sur circuit et flash de cible.</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me3/powers/overload ; rattacher les ressources et états cités à cet identifiant. Aucun fichier de jeu créé par ce catalogue.</x:v>
      </x:c>
      <x:c r="M17" s="9" t="str"/>
      <x:c r="N17" s="9" t="str">
        <x:v>Vérifier cible organique/synthétique, chaque protection, durée et fin d’état ; une cible non admissible garde ressources et action disponibles.</x:v>
      </x:c>
      <x:c r="O17" s="9" t="str"/>
      <x:c r="P17" s="9" t="str">
        <x:v>Overload</x:v>
      </x:c>
      <x:c r="Q17" s="9" t="str">
        <x:v>ME3-SRC-POWERS</x:v>
      </x:c>
      <x:c r="R17" s="20" t="str">
        <x:v>https://masseffect.fandom.com/wiki/Powers_%28Mass_Effect_3%29</x:v>
      </x:c>
      <x:c r="S17" s="20" t="str">
        <x:v>Spécification à réaliser. Les champs adaptation, gameplay, visual, animation, audio et implementation décrivent le fan game ; ils ne donnent pas des caractéristiques officielles de l’œuvre.</x:v>
      </x:c>
    </x:row>
    <x:row r="18" ht="68" customHeight="1">
      <x:c r="A18" s="19" t="str">
        <x:v>ME3-POW-INCINERATE</x:v>
      </x:c>
      <x:c r="B18" s="7" t="str">
        <x:v>Incinerate</x:v>
      </x:c>
      <x:c r="C18" s="15" t="str">
        <x:v>Défini</x:v>
      </x:c>
      <x:c r="D18" s="17" t="str">
        <x:v>Établi</x:v>
      </x:c>
      <x:c r="E18" s="17" t="str">
        <x:v>P1</x:v>
      </x:c>
      <x:c r="F18" s="7" t="str">
        <x:v>Pouvoir présent dans l’arsenal ME3.</x:v>
      </x:c>
      <x:c r="G18" s="7" t="str">
        <x:v>Conversion ATB originale : Appliquer combustion contre armure ; effet de panique limité aux cibles compatibles.</x:v>
      </x:c>
      <x:c r="H18" s="7" t="str">
        <x:v>Conversion ATB originale : Appliquer combustion contre armure ; effet de panique limité aux cibles compatibles.</x:v>
      </x:c>
      <x:c r="I18" s="7" t="str">
        <x:v>Projectile orange et lueur résiduelle.</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me3/powers/incinerate ; rattacher les ressources et états cités à cet identifiant. Aucun fichier de jeu créé par ce catalogue.</x:v>
      </x:c>
      <x:c r="M18" s="7" t="str"/>
      <x:c r="N18" s="7" t="str">
        <x:v>Vérifier cible organique/synthétique, chaque protection, durée et fin d’état ; une cible non admissible garde ressources et action disponibles.</x:v>
      </x:c>
      <x:c r="O18" s="7" t="str"/>
      <x:c r="P18" s="7" t="str">
        <x:v>Incinerate</x:v>
      </x:c>
      <x:c r="Q18" s="7" t="str">
        <x:v>ME3-SRC-POWERS</x:v>
      </x:c>
      <x:c r="R18" s="21" t="str">
        <x:v>https://masseffect.fandom.com/wiki/Powers_%28Mass_Effect_3%29</x:v>
      </x:c>
      <x:c r="S18" s="21" t="str">
        <x:v>Spécification à réaliser. Les champs adaptation, gameplay, visual, animation, audio et implementation décrivent le fan game ; ils ne donnent pas des caractéristiques officielles de l’œuvre.</x:v>
      </x:c>
    </x:row>
    <x:row r="19" ht="68" customHeight="1">
      <x:c r="A19" s="18" t="str">
        <x:v>ME3-POW-CRYO</x:v>
      </x:c>
      <x:c r="B19" s="9" t="str">
        <x:v>Cryo Blast</x:v>
      </x:c>
      <x:c r="C19" s="15" t="str">
        <x:v>Défini</x:v>
      </x:c>
      <x:c r="D19" s="16" t="str">
        <x:v>Établi</x:v>
      </x:c>
      <x:c r="E19" s="16" t="str">
        <x:v>P1</x:v>
      </x:c>
      <x:c r="F19" s="9" t="str">
        <x:v>Pouvoir présent dans l’arsenal ME3.</x:v>
      </x:c>
      <x:c r="G19" s="9" t="str">
        <x:v>Conversion ATB originale : Refroidir puis geler une cible vulnérable ; boss ralenti sans pose brisée.</x:v>
      </x:c>
      <x:c r="H19" s="9" t="str">
        <x:v>Conversion ATB originale : Refroidir puis geler une cible vulnérable ; boss ralenti sans pose brisée.</x:v>
      </x:c>
      <x:c r="I19" s="9" t="str">
        <x:v>Brume blanche et givre à contour épais.</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me3/powers/cryo ; rattacher les ressources et états cités à cet identifiant. Aucun fichier de jeu créé par ce catalogue.</x:v>
      </x:c>
      <x:c r="M19" s="9" t="str"/>
      <x:c r="N19" s="9" t="str">
        <x:v>Vérifier cible organique/synthétique, chaque protection, durée et fin d’état ; une cible non admissible garde ressources et action disponibles.</x:v>
      </x:c>
      <x:c r="O19" s="9" t="str"/>
      <x:c r="P19" s="9" t="str">
        <x:v>Cryo Blast</x:v>
      </x:c>
      <x:c r="Q19" s="9" t="str">
        <x:v>ME3-SRC-POWERS</x:v>
      </x:c>
      <x:c r="R19" s="20" t="str">
        <x:v>https://masseffect.fandom.com/wiki/Powers_%28Mass_Effect_3%29</x:v>
      </x:c>
      <x:c r="S19" s="20" t="str">
        <x:v>Spécification à réaliser. Les champs adaptation, gameplay, visual, animation, audio et implementation décrivent le fan game ; ils ne donnent pas des caractéristiques officielles de l’œuvre.</x:v>
      </x:c>
    </x:row>
    <x:row r="20" ht="68" customHeight="1">
      <x:c r="A20" s="19" t="str">
        <x:v>ME3-POW-DRONE</x:v>
      </x:c>
      <x:c r="B20" s="7" t="str">
        <x:v>Combat Drone</x:v>
      </x:c>
      <x:c r="C20" s="15" t="str">
        <x:v>Défini</x:v>
      </x:c>
      <x:c r="D20" s="17" t="str">
        <x:v>Établi</x:v>
      </x:c>
      <x:c r="E20" s="17" t="str">
        <x:v>P1</x:v>
      </x:c>
      <x:c r="F20" s="7" t="str">
        <x:v>Pouvoir présent dans l’arsenal ME3.</x:v>
      </x:c>
      <x:c r="G20" s="7" t="str">
        <x:v>Conversion ATB originale : Placer une diversion sur un emplacement libre ; le drone agit après un signal d’apparition.</x:v>
      </x:c>
      <x:c r="H20" s="7" t="str">
        <x:v>Conversion ATB originale : Placer une diversion sur un emplacement libre ; le drone agit après un signal d’apparition.</x:v>
      </x:c>
      <x:c r="I20" s="7" t="str">
        <x:v>Petite sphère holographique et ombre.</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me3/powers/drone ; rattacher les ressources et états cités à cet identifiant. Aucun fichier de jeu créé par ce catalogue.</x:v>
      </x:c>
      <x:c r="M20" s="7" t="str"/>
      <x:c r="N20" s="7" t="str">
        <x:v>Vérifier cible organique/synthétique, chaque protection, durée et fin d’état ; une cible non admissible garde ressources et action disponibles.</x:v>
      </x:c>
      <x:c r="O20" s="7" t="str"/>
      <x:c r="P20" s="7" t="str">
        <x:v>Combat Drone</x:v>
      </x:c>
      <x:c r="Q20" s="7" t="str">
        <x:v>ME3-SRC-POWERS</x:v>
      </x:c>
      <x:c r="R20" s="21" t="str">
        <x:v>https://masseffect.fandom.com/wiki/Powers_%28Mass_Effect_3%29</x:v>
      </x:c>
      <x:c r="S20" s="21" t="str">
        <x:v>Spécification à réaliser. Les champs adaptation, gameplay, visual, animation, audio et implementation décrivent le fan game ; ils ne donnent pas des caractéristiques officielles de l’œuvre.</x:v>
      </x:c>
    </x:row>
    <x:row r="21" ht="68" customHeight="1">
      <x:c r="A21" s="18" t="str">
        <x:v>ME3-POW-ENERGY-DRAIN</x:v>
      </x:c>
      <x:c r="B21" s="9" t="str">
        <x:v>Energy Drain</x:v>
      </x:c>
      <x:c r="C21" s="15" t="str">
        <x:v>Défini</x:v>
      </x:c>
      <x:c r="D21" s="16" t="str">
        <x:v>Établi</x:v>
      </x:c>
      <x:c r="E21" s="16" t="str">
        <x:v>P1</x:v>
      </x:c>
      <x:c r="F21" s="9" t="str">
        <x:v>Pouvoir présent dans l’arsenal ME3.</x:v>
      </x:c>
      <x:c r="G21" s="9" t="str">
        <x:v>Conversion ATB originale : Voler une part de bouclier disponible ; aucun gain sur cible incompatible selon la règle proposée.</x:v>
      </x:c>
      <x:c r="H21" s="9" t="str">
        <x:v>Conversion ATB originale : Voler une part de bouclier disponible ; aucun gain sur cible incompatible selon la règle proposée.</x:v>
      </x:c>
      <x:c r="I21" s="9" t="str">
        <x:v>Arc dirigé de la cible vers l’allié.</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me3/powers/energy-drain ; rattacher les ressources et états cités à cet identifiant. Aucun fichier de jeu créé par ce catalogue.</x:v>
      </x:c>
      <x:c r="M21" s="9" t="str"/>
      <x:c r="N21" s="9" t="str">
        <x:v>Vérifier cible organique/synthétique, chaque protection, durée et fin d’état ; une cible non admissible garde ressources et action disponibles.</x:v>
      </x:c>
      <x:c r="O21" s="9" t="str"/>
      <x:c r="P21" s="9" t="str">
        <x:v>Energy Drain</x:v>
      </x:c>
      <x:c r="Q21" s="9" t="str">
        <x:v>ME3-SRC-POWERS</x:v>
      </x:c>
      <x:c r="R21" s="20" t="str">
        <x:v>https://masseffect.fandom.com/wiki/Powers_%28Mass_Effect_3%29</x:v>
      </x:c>
      <x:c r="S21" s="20" t="str">
        <x:v>Spécification à réaliser. Les champs adaptation, gameplay, visual, animation, audio et implementation décrivent le fan game ; ils ne donnent pas des caractéristiques officielles de l’œuvre.</x:v>
      </x:c>
    </x:row>
    <x:row r="22" ht="68" customHeight="1">
      <x:c r="A22" s="19" t="str">
        <x:v>ME3-POW-TACTICAL</x:v>
      </x:c>
      <x:c r="B22" s="7" t="str">
        <x:v>Tactical Cloak</x:v>
      </x:c>
      <x:c r="C22" s="15" t="str">
        <x:v>Défini</x:v>
      </x:c>
      <x:c r="D22" s="17" t="str">
        <x:v>Établi</x:v>
      </x:c>
      <x:c r="E22" s="17" t="str">
        <x:v>P1</x:v>
      </x:c>
      <x:c r="F22" s="7" t="str">
        <x:v>Pouvoir présent dans l’arsenal ME3.</x:v>
      </x:c>
      <x:c r="G22" s="7" t="str">
        <x:v>Conversion ATB originale : Réduire la sélection ennemie, puis sortir au tir ; une attaque déjà résolue ne disparaît pas rétroactivement.</x:v>
      </x:c>
      <x:c r="H22" s="7" t="str">
        <x:v>Conversion ATB originale : Réduire la sélection ennemie, puis sortir au tir ; une attaque déjà résolue ne disparaît pas rétroactivement.</x:v>
      </x:c>
      <x:c r="I22" s="7" t="str">
        <x:v>Réfraction et bord lumineux accessible.</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me3/powers/tactical ; rattacher les ressources et états cités à cet identifiant. Aucun fichier de jeu créé par ce catalogue.</x:v>
      </x:c>
      <x:c r="M22" s="7" t="str"/>
      <x:c r="N22" s="7" t="str">
        <x:v>Vérifier cible organique/synthétique, chaque protection, durée et fin d’état ; une cible non admissible garde ressources et action disponibles.</x:v>
      </x:c>
      <x:c r="O22" s="7" t="str"/>
      <x:c r="P22" s="7" t="str">
        <x:v>Tactical Cloak</x:v>
      </x:c>
      <x:c r="Q22" s="7" t="str">
        <x:v>ME3-SRC-POWERS</x:v>
      </x:c>
      <x:c r="R22" s="21" t="str">
        <x:v>https://masseffect.fandom.com/wiki/Powers_%28Mass_Effect_3%29</x:v>
      </x:c>
      <x:c r="S22" s="21" t="str">
        <x:v>Spécification à réaliser. Les champs adaptation, gameplay, visual, animation, audio et implementation décrivent le fan game ; ils ne donnent pas des caractéristiques officielles de l’œuvre.</x:v>
      </x:c>
    </x:row>
    <x:row r="23" ht="68" customHeight="1">
      <x:c r="A23" s="18" t="str">
        <x:v>ME3-POW-TECH-ARMOR</x:v>
      </x:c>
      <x:c r="B23" s="9" t="str">
        <x:v>Tech Armor</x:v>
      </x:c>
      <x:c r="C23" s="15" t="str">
        <x:v>Défini</x:v>
      </x:c>
      <x:c r="D23" s="16" t="str">
        <x:v>Établi</x:v>
      </x:c>
      <x:c r="E23" s="16" t="str">
        <x:v>P1</x:v>
      </x:c>
      <x:c r="F23" s="9" t="str">
        <x:v>Pouvoir présent dans l’arsenal ME3.</x:v>
      </x:c>
      <x:c r="G23" s="9" t="str">
        <x:v>Conversion ATB originale : Protection technique avec rupture de proximité ; rendre visible le compromis de récupération.</x:v>
      </x:c>
      <x:c r="H23" s="9" t="str">
        <x:v>Conversion ATB originale : Protection technique avec rupture de proximité ; rendre visible le compromis de récupération.</x:v>
      </x:c>
      <x:c r="I23" s="9" t="str">
        <x:v>Plaques holographiques segmentées.</x:v>
      </x:c>
      <x:c r="J23" s="9" t="str">
        <x:v>Préparer état de repos, anticipation, activation et retour au repos ; aligner les événements visuels sur la résolution de l’action ATB.</x:v>
      </x:c>
      <x:c r="K23" s="9" t="str">
        <x:v>Créer des bruitages et ambiances originaux adaptés au livrable ; sous-titrer les indices utiles et proposer un réglage indépendant des effets. Aucune extraction audio demandée.</x:v>
      </x:c>
      <x:c r="L23" s="9" t="str">
        <x:v>Prévu : fiche de données me3/powers/tech-armor ; rattacher les ressources et états cités à cet identifiant. Aucun fichier de jeu créé par ce catalogue.</x:v>
      </x:c>
      <x:c r="M23" s="9" t="str"/>
      <x:c r="N23" s="9" t="str">
        <x:v>Vérifier cible organique/synthétique, chaque protection, durée et fin d’état ; une cible non admissible garde ressources et action disponibles.</x:v>
      </x:c>
      <x:c r="O23" s="9" t="str"/>
      <x:c r="P23" s="9" t="str">
        <x:v>Tech Armor</x:v>
      </x:c>
      <x:c r="Q23" s="9" t="str">
        <x:v>ME3-SRC-POWERS</x:v>
      </x:c>
      <x:c r="R23" s="20" t="str">
        <x:v>https://masseffect.fandom.com/wiki/Powers_%28Mass_Effect_3%29</x:v>
      </x:c>
      <x:c r="S23" s="20" t="str">
        <x:v>Spécification à réaliser. Les champs adaptation, gameplay, visual, animation, audio et implementation décrivent le fan game ; ils ne donnent pas des caractéristiques officielles de l’œuvre.</x:v>
      </x:c>
    </x:row>
    <x:row r="24" ht="68" customHeight="1">
      <x:c r="A24" s="19" t="str">
        <x:v>ME3-POW-FORTIFICATION</x:v>
      </x:c>
      <x:c r="B24" s="7" t="str">
        <x:v>Fortification</x:v>
      </x:c>
      <x:c r="C24" s="15" t="str">
        <x:v>Défini</x:v>
      </x:c>
      <x:c r="D24" s="17" t="str">
        <x:v>Établi</x:v>
      </x:c>
      <x:c r="E24" s="17" t="str">
        <x:v>P1</x:v>
      </x:c>
      <x:c r="F24" s="7" t="str">
        <x:v>Pouvoir présent dans l’arsenal ME3.</x:v>
      </x:c>
      <x:c r="G24" s="7" t="str">
        <x:v>Conversion ATB originale : Défense de front qui engage le personnage ; retirer le buff après dépense de contre-charge proposée.</x:v>
      </x:c>
      <x:c r="H24" s="7" t="str">
        <x:v>Conversion ATB originale : Défense de front qui engage le personnage ; retirer le buff après dépense de contre-charge proposée.</x:v>
      </x:c>
      <x:c r="I24" s="7" t="str">
        <x:v>Halo dense et posture plantée.</x:v>
      </x:c>
      <x:c r="J24" s="7" t="str">
        <x:v>Préparer état de repos, anticipation, activation et retour au repos ; aligner les événements visuels sur la résolution de l’action ATB.</x:v>
      </x:c>
      <x:c r="K24" s="7" t="str">
        <x:v>Créer des bruitages et ambiances originaux adaptés au livrable ; sous-titrer les indices utiles et proposer un réglage indépendant des effets. Aucune extraction audio demandée.</x:v>
      </x:c>
      <x:c r="L24" s="7" t="str">
        <x:v>Prévu : fiche de données me3/powers/fortification ; rattacher les ressources et états cités à cet identifiant. Aucun fichier de jeu créé par ce catalogue.</x:v>
      </x:c>
      <x:c r="M24" s="7" t="str"/>
      <x:c r="N24" s="7" t="str">
        <x:v>Vérifier cible organique/synthétique, chaque protection, durée et fin d’état ; une cible non admissible garde ressources et action disponibles.</x:v>
      </x:c>
      <x:c r="O24" s="7" t="str"/>
      <x:c r="P24" s="7" t="str">
        <x:v>Fortification</x:v>
      </x:c>
      <x:c r="Q24" s="7" t="str">
        <x:v>ME3-SRC-POWERS</x:v>
      </x:c>
      <x:c r="R24" s="21" t="str">
        <x:v>https://masseffect.fandom.com/wiki/Powers_%28Mass_Effect_3%29</x:v>
      </x:c>
      <x:c r="S24" s="21" t="str">
        <x:v>Spécification à réaliser. Les champs adaptation, gameplay, visual, animation, audio et implementation décrivent le fan game ; ils ne donnent pas des caractéristiques officielles de l’œuvre.</x:v>
      </x:c>
    </x:row>
    <x:row r="25" ht="68" customHeight="1">
      <x:c r="A25" s="18" t="str">
        <x:v>ME3-POW-CONCUSSIVE</x:v>
      </x:c>
      <x:c r="B25" s="9" t="str">
        <x:v>Concussive Shot</x:v>
      </x:c>
      <x:c r="C25" s="15" t="str">
        <x:v>Défini</x:v>
      </x:c>
      <x:c r="D25" s="16" t="str">
        <x:v>Établi</x:v>
      </x:c>
      <x:c r="E25" s="16" t="str">
        <x:v>P1</x:v>
      </x:c>
      <x:c r="F25" s="9" t="str">
        <x:v>Pouvoir présent dans l’arsenal ME3.</x:v>
      </x:c>
      <x:c r="G25" s="9" t="str">
        <x:v>Conversion ATB originale : Tir de déséquilibre ; la résistance réduit le recul sans supprimer la lecture de l’impact.</x:v>
      </x:c>
      <x:c r="H25" s="9" t="str">
        <x:v>Conversion ATB originale : Tir de déséquilibre ; la résistance réduit le recul sans supprimer la lecture de l’impact.</x:v>
      </x:c>
      <x:c r="I25" s="9" t="str">
        <x:v>Projectile blanc et recul bref.</x:v>
      </x:c>
      <x:c r="J25" s="9" t="str">
        <x:v>Préparer état de repos, anticipation, activation et retour au repos ; aligner les événements visuels sur la résolution de l’action ATB.</x:v>
      </x:c>
      <x:c r="K25" s="9" t="str">
        <x:v>Créer des bruitages et ambiances originaux adaptés au livrable ; sous-titrer les indices utiles et proposer un réglage indépendant des effets. Aucune extraction audio demandée.</x:v>
      </x:c>
      <x:c r="L25" s="9" t="str">
        <x:v>Prévu : fiche de données me3/powers/concussive ; rattacher les ressources et états cités à cet identifiant. Aucun fichier de jeu créé par ce catalogue.</x:v>
      </x:c>
      <x:c r="M25" s="9" t="str"/>
      <x:c r="N25" s="9" t="str">
        <x:v>Vérifier cible organique/synthétique, chaque protection, durée et fin d’état ; une cible non admissible garde ressources et action disponibles.</x:v>
      </x:c>
      <x:c r="O25" s="9" t="str"/>
      <x:c r="P25" s="9" t="str">
        <x:v>Concussive Shot</x:v>
      </x:c>
      <x:c r="Q25" s="9" t="str">
        <x:v>ME3-SRC-POWERS</x:v>
      </x:c>
      <x:c r="R25" s="20" t="str">
        <x:v>https://masseffect.fandom.com/wiki/Powers_%28Mass_Effect_3%29</x:v>
      </x:c>
      <x:c r="S25" s="20" t="str">
        <x:v>Spécification à réaliser. Les champs adaptation, gameplay, visual, animation, audio et implementation décrivent le fan game ; ils ne donnent pas des caractéristiques officielles de l’œuvre.</x:v>
      </x:c>
    </x:row>
    <x:row r="26" ht="68" customHeight="1">
      <x:c r="A26" s="19" t="str">
        <x:v>ME3-POW-ADRENALINE</x:v>
      </x:c>
      <x:c r="B26" s="7" t="str">
        <x:v>Adrenaline Rush</x:v>
      </x:c>
      <x:c r="C26" s="15" t="str">
        <x:v>Défini</x:v>
      </x:c>
      <x:c r="D26" s="17" t="str">
        <x:v>Établi</x:v>
      </x:c>
      <x:c r="E26" s="17" t="str">
        <x:v>P1</x:v>
      </x:c>
      <x:c r="F26" s="7" t="str">
        <x:v>Pouvoir présent dans l’arsenal ME3.</x:v>
      </x:c>
      <x:c r="G26" s="7" t="str">
        <x:v>Conversion ATB originale : Accélérer la prochaine action armée de Shepard ; l’ATB global des autres ne change pas sans règle explicite.</x:v>
      </x:c>
      <x:c r="H26" s="7" t="str">
        <x:v>Conversion ATB originale : Accélérer la prochaine action armée de Shepard ; l’ATB global des autres ne change pas sans règle explicite.</x:v>
      </x:c>
      <x:c r="I26" s="7" t="str">
        <x:v>Traînée de visée et assourdissement modulable.</x:v>
      </x:c>
      <x:c r="J26" s="7" t="str">
        <x:v>Préparer état de repos, anticipation, activation et retour au repos ; aligner les événements visuels sur la résolution de l’action ATB.</x:v>
      </x:c>
      <x:c r="K26" s="7" t="str">
        <x:v>Créer des bruitages et ambiances originaux adaptés au livrable ; sous-titrer les indices utiles et proposer un réglage indépendant des effets. Aucune extraction audio demandée.</x:v>
      </x:c>
      <x:c r="L26" s="7" t="str">
        <x:v>Prévu : fiche de données me3/powers/adrenaline ; rattacher les ressources et états cités à cet identifiant. Aucun fichier de jeu créé par ce catalogue.</x:v>
      </x:c>
      <x:c r="M26" s="7" t="str"/>
      <x:c r="N26" s="7" t="str">
        <x:v>Vérifier cible organique/synthétique, chaque protection, durée et fin d’état ; une cible non admissible garde ressources et action disponibles.</x:v>
      </x:c>
      <x:c r="O26" s="7" t="str"/>
      <x:c r="P26" s="7" t="str">
        <x:v>Adrenaline Rush</x:v>
      </x:c>
      <x:c r="Q26" s="7" t="str">
        <x:v>ME3-SRC-POWERS</x:v>
      </x:c>
      <x:c r="R26" s="21" t="str">
        <x:v>https://masseffect.fandom.com/wiki/Powers_%28Mass_Effect_3%29</x:v>
      </x:c>
      <x:c r="S26" s="21" t="str">
        <x:v>Spécification à réaliser. Les champs adaptation, gameplay, visual, animation, audio et implementation décrivent le fan game ; ils ne donnent pas des caractéristiques officielles de l’œuvre.</x:v>
      </x:c>
    </x:row>
    <x:row r="27" ht="68" customHeight="1">
      <x:c r="A27" s="18" t="str">
        <x:v>ME3-POW-INFERNO</x:v>
      </x:c>
      <x:c r="B27" s="9" t="str">
        <x:v>Inferno Grenade</x:v>
      </x:c>
      <x:c r="C27" s="15" t="str">
        <x:v>Défini</x:v>
      </x:c>
      <x:c r="D27" s="16" t="str">
        <x:v>Établi</x:v>
      </x:c>
      <x:c r="E27" s="16" t="str">
        <x:v>P1</x:v>
      </x:c>
      <x:c r="F27" s="9" t="str">
        <x:v>Pouvoir présent dans l’arsenal ME3.</x:v>
      </x:c>
      <x:c r="G27" s="9" t="str">
        <x:v>Conversion ATB originale : Éclats incendiaires de Zaeed ; zone de danger annoncée et dégagement allié.</x:v>
      </x:c>
      <x:c r="H27" s="9" t="str">
        <x:v>Conversion ATB originale : Éclats incendiaires de Zaeed ; zone de danger annoncée et dégagement allié.</x:v>
      </x:c>
      <x:c r="I27" s="9" t="str">
        <x:v>Éclats orange en éventail.</x:v>
      </x:c>
      <x:c r="J27" s="9" t="str">
        <x:v>Préparer état de repos, anticipation, activation et retour au repos ; aligner les événements visuels sur la résolution de l’action ATB.</x:v>
      </x:c>
      <x:c r="K27" s="9" t="str">
        <x:v>Créer des bruitages et ambiances originaux adaptés au livrable ; sous-titrer les indices utiles et proposer un réglage indépendant des effets. Aucune extraction audio demandée.</x:v>
      </x:c>
      <x:c r="L27" s="9" t="str">
        <x:v>Prévu : fiche de données me3/powers/inferno ; rattacher les ressources et états cités à cet identifiant. Aucun fichier de jeu créé par ce catalogue.</x:v>
      </x:c>
      <x:c r="M27" s="9" t="str"/>
      <x:c r="N27" s="9" t="str">
        <x:v>Vérifier cible organique/synthétique, chaque protection, durée et fin d’état ; une cible non admissible garde ressources et action disponibles.</x:v>
      </x:c>
      <x:c r="O27" s="9" t="str"/>
      <x:c r="P27" s="9" t="str">
        <x:v>Inferno Grenade</x:v>
      </x:c>
      <x:c r="Q27" s="9" t="str">
        <x:v>ME3-SRC-POWERS</x:v>
      </x:c>
      <x:c r="R27" s="20" t="str">
        <x:v>https://masseffect.fandom.com/wiki/Powers_%28Mass_Effect_3%29</x:v>
      </x:c>
      <x:c r="S27" s="20" t="str">
        <x:v>Spécification à réaliser. Les champs adaptation, gameplay, visual, animation, audio et implementation décrivent le fan game ; ils ne donnent pas des caractéristiques officielles de l’œuvre.</x:v>
      </x:c>
    </x:row>
    <x:row r="28" ht="68" customHeight="1">
      <x:c r="A28" s="19" t="str">
        <x:v>ME3-POW-AMMO-INCENDIARY</x:v>
      </x:c>
      <x:c r="B28" s="7" t="str">
        <x:v>Incendiary Ammo</x:v>
      </x:c>
      <x:c r="C28" s="15" t="str">
        <x:v>Défini</x:v>
      </x:c>
      <x:c r="D28" s="17" t="str">
        <x:v>Établi</x:v>
      </x:c>
      <x:c r="E28" s="17" t="str">
        <x:v>P1</x:v>
      </x:c>
      <x:c r="F28" s="7" t="str">
        <x:v>Pouvoir présent dans l’arsenal ME3.</x:v>
      </x:c>
      <x:c r="G28" s="7" t="str">
        <x:v>Conversion ATB originale : Mode de munitions de feu ; un seul mode actif par arme et aperçu du remplacement.</x:v>
      </x:c>
      <x:c r="H28" s="7" t="str">
        <x:v>Conversion ATB originale : Mode de munitions de feu ; un seul mode actif par arme et aperçu du remplacement.</x:v>
      </x:c>
      <x:c r="I28" s="7" t="str">
        <x:v>Marque orange au chargeur.</x:v>
      </x:c>
      <x:c r="J28" s="7" t="str">
        <x:v>Préparer état de repos, anticipation, activation et retour au repos ; aligner les événements visuels sur la résolution de l’action ATB.</x:v>
      </x:c>
      <x:c r="K28" s="7" t="str">
        <x:v>Créer des bruitages et ambiances originaux adaptés au livrable ; sous-titrer les indices utiles et proposer un réglage indépendant des effets. Aucune extraction audio demandée.</x:v>
      </x:c>
      <x:c r="L28" s="7" t="str">
        <x:v>Prévu : fiche de données me3/powers/ammo-incendiary ; rattacher les ressources et états cités à cet identifiant. Aucun fichier de jeu créé par ce catalogue.</x:v>
      </x:c>
      <x:c r="M28" s="7" t="str"/>
      <x:c r="N28" s="7" t="str">
        <x:v>Vérifier cible organique/synthétique, chaque protection, durée et fin d’état ; une cible non admissible garde ressources et action disponibles.</x:v>
      </x:c>
      <x:c r="O28" s="7" t="str"/>
      <x:c r="P28" s="7" t="str">
        <x:v>Incendiary Ammo</x:v>
      </x:c>
      <x:c r="Q28" s="7" t="str">
        <x:v>ME3-SRC-POWERS</x:v>
      </x:c>
      <x:c r="R28" s="21" t="str">
        <x:v>https://masseffect.fandom.com/wiki/Powers_%28Mass_Effect_3%29</x:v>
      </x:c>
      <x:c r="S28" s="21" t="str">
        <x:v>Spécification à réaliser. Les champs adaptation, gameplay, visual, animation, audio et implementation décrivent le fan game ; ils ne donnent pas des caractéristiques officielles de l’œuvre.</x:v>
      </x:c>
    </x:row>
    <x:row r="29" ht="68" customHeight="1">
      <x:c r="A29" s="18" t="str">
        <x:v>ME3-POW-AMMO-DISRUPTOR</x:v>
      </x:c>
      <x:c r="B29" s="9" t="str">
        <x:v>Disruptor Ammo</x:v>
      </x:c>
      <x:c r="C29" s="15" t="str">
        <x:v>Défini</x:v>
      </x:c>
      <x:c r="D29" s="16" t="str">
        <x:v>Établi</x:v>
      </x:c>
      <x:c r="E29" s="16" t="str">
        <x:v>P1</x:v>
      </x:c>
      <x:c r="F29" s="9" t="str">
        <x:v>Pouvoir présent dans l’arsenal ME3.</x:v>
      </x:c>
      <x:c r="G29" s="9" t="str">
        <x:v>Conversion ATB originale : Mode anti-bouclier ; effets et munitions comptés séparément.</x:v>
      </x:c>
      <x:c r="H29" s="9" t="str">
        <x:v>Conversion ATB originale : Mode anti-bouclier ; effets et munitions comptés séparément.</x:v>
      </x:c>
      <x:c r="I29" s="9" t="str">
        <x:v>Éclats électriques bleus.</x:v>
      </x:c>
      <x:c r="J29" s="9" t="str">
        <x:v>Préparer état de repos, anticipation, activation et retour au repos ; aligner les événements visuels sur la résolution de l’action ATB.</x:v>
      </x:c>
      <x:c r="K29" s="9" t="str">
        <x:v>Créer des bruitages et ambiances originaux adaptés au livrable ; sous-titrer les indices utiles et proposer un réglage indépendant des effets. Aucune extraction audio demandée.</x:v>
      </x:c>
      <x:c r="L29" s="9" t="str">
        <x:v>Prévu : fiche de données me3/powers/ammo-disruptor ; rattacher les ressources et états cités à cet identifiant. Aucun fichier de jeu créé par ce catalogue.</x:v>
      </x:c>
      <x:c r="M29" s="9" t="str"/>
      <x:c r="N29" s="9" t="str">
        <x:v>Vérifier cible organique/synthétique, chaque protection, durée et fin d’état ; une cible non admissible garde ressources et action disponibles.</x:v>
      </x:c>
      <x:c r="O29" s="9" t="str"/>
      <x:c r="P29" s="9" t="str">
        <x:v>Disruptor Ammo</x:v>
      </x:c>
      <x:c r="Q29" s="9" t="str">
        <x:v>ME3-SRC-POWERS</x:v>
      </x:c>
      <x:c r="R29" s="20" t="str">
        <x:v>https://masseffect.fandom.com/wiki/Powers_%28Mass_Effect_3%29</x:v>
      </x:c>
      <x:c r="S29" s="20" t="str">
        <x:v>Spécification à réaliser. Les champs adaptation, gameplay, visual, animation, audio et implementation décrivent le fan game ; ils ne donnent pas des caractéristiques officielles de l’œuvre.</x:v>
      </x:c>
    </x:row>
    <x:row r="30" ht="68" customHeight="1">
      <x:c r="A30" s="19" t="str">
        <x:v>ME3-POW-AMMO-CRYO</x:v>
      </x:c>
      <x:c r="B30" s="7" t="str">
        <x:v>Cryo Ammo</x:v>
      </x:c>
      <x:c r="C30" s="15" t="str">
        <x:v>Défini</x:v>
      </x:c>
      <x:c r="D30" s="17" t="str">
        <x:v>Établi</x:v>
      </x:c>
      <x:c r="E30" s="17" t="str">
        <x:v>P1</x:v>
      </x:c>
      <x:c r="F30" s="7" t="str">
        <x:v>Pouvoir présent dans l’arsenal ME3.</x:v>
      </x:c>
      <x:c r="G30" s="7" t="str">
        <x:v>Conversion ATB originale : Mode de refroidissement progressif ; gel déclenché par seuil proposé affiché.</x:v>
      </x:c>
      <x:c r="H30" s="7" t="str">
        <x:v>Conversion ATB originale : Mode de refroidissement progressif ; gel déclenché par seuil proposé affiché.</x:v>
      </x:c>
      <x:c r="I30" s="7" t="str">
        <x:v>Liseré blanc au projectile.</x:v>
      </x:c>
      <x:c r="J30" s="7" t="str">
        <x:v>Préparer état de repos, anticipation, activation et retour au repos ; aligner les événements visuels sur la résolution de l’action ATB.</x:v>
      </x:c>
      <x:c r="K30" s="7" t="str">
        <x:v>Créer des bruitages et ambiances originaux adaptés au livrable ; sous-titrer les indices utiles et proposer un réglage indépendant des effets. Aucune extraction audio demandée.</x:v>
      </x:c>
      <x:c r="L30" s="7" t="str">
        <x:v>Prévu : fiche de données me3/powers/ammo-cryo ; rattacher les ressources et états cités à cet identifiant. Aucun fichier de jeu créé par ce catalogue.</x:v>
      </x:c>
      <x:c r="M30" s="7" t="str"/>
      <x:c r="N30" s="7" t="str">
        <x:v>Vérifier cible organique/synthétique, chaque protection, durée et fin d’état ; une cible non admissible garde ressources et action disponibles.</x:v>
      </x:c>
      <x:c r="O30" s="7" t="str"/>
      <x:c r="P30" s="7" t="str">
        <x:v>Cryo Ammo</x:v>
      </x:c>
      <x:c r="Q30" s="7" t="str">
        <x:v>ME3-SRC-POWERS</x:v>
      </x:c>
      <x:c r="R30" s="21" t="str">
        <x:v>https://masseffect.fandom.com/wiki/Powers_%28Mass_Effect_3%29</x:v>
      </x:c>
      <x:c r="S30" s="21" t="str">
        <x:v>Spécification à réaliser. Les champs adaptation, gameplay, visual, animation, audio et implementation décrivent le fan game ; ils ne donnent pas des caractéristiques officielles de l’œuvre.</x:v>
      </x:c>
    </x:row>
    <x:row r="31" ht="68" customHeight="1">
      <x:c r="A31" s="18" t="str">
        <x:v>ME3-POW-AMMO-AP</x:v>
      </x:c>
      <x:c r="B31" s="9" t="str">
        <x:v>Armor-Piercing Ammo</x:v>
      </x:c>
      <x:c r="C31" s="15" t="str">
        <x:v>Défini</x:v>
      </x:c>
      <x:c r="D31" s="16" t="str">
        <x:v>Établi</x:v>
      </x:c>
      <x:c r="E31" s="16" t="str">
        <x:v>P1</x:v>
      </x:c>
      <x:c r="F31" s="9" t="str">
        <x:v>Pouvoir présent dans l’arsenal ME3.</x:v>
      </x:c>
      <x:c r="G31" s="9" t="str">
        <x:v>Conversion ATB originale : Mode contre armure ; ne pas promettre pénétration de chaque décor sans règle du fan game.</x:v>
      </x:c>
      <x:c r="H31" s="9" t="str">
        <x:v>Conversion ATB originale : Mode contre armure ; ne pas promettre pénétration de chaque décor sans règle du fan game.</x:v>
      </x:c>
      <x:c r="I31" s="9" t="str">
        <x:v>Icône de plaque perforée.</x:v>
      </x:c>
      <x:c r="J31" s="9" t="str">
        <x:v>Préparer état de repos, anticipation, activation et retour au repos ; aligner les événements visuels sur la résolution de l’action ATB.</x:v>
      </x:c>
      <x:c r="K31" s="9" t="str">
        <x:v>Créer des bruitages et ambiances originaux adaptés au livrable ; sous-titrer les indices utiles et proposer un réglage indépendant des effets. Aucune extraction audio demandée.</x:v>
      </x:c>
      <x:c r="L31" s="9" t="str">
        <x:v>Prévu : fiche de données me3/powers/ammo-ap ; rattacher les ressources et états cités à cet identifiant. Aucun fichier de jeu créé par ce catalogue.</x:v>
      </x:c>
      <x:c r="M31" s="9" t="str"/>
      <x:c r="N31" s="9" t="str">
        <x:v>Vérifier cible organique/synthétique, chaque protection, durée et fin d’état ; une cible non admissible garde ressources et action disponibles.</x:v>
      </x:c>
      <x:c r="O31" s="9" t="str"/>
      <x:c r="P31" s="9" t="str">
        <x:v>Armor-Piercing Ammo</x:v>
      </x:c>
      <x:c r="Q31" s="9" t="str">
        <x:v>ME3-SRC-POWERS</x:v>
      </x:c>
      <x:c r="R31" s="20" t="str">
        <x:v>https://masseffect.fandom.com/wiki/Powers_%28Mass_Effect_3%29</x:v>
      </x:c>
      <x:c r="S31" s="20" t="str">
        <x:v>Spécification à réaliser. Les champs adaptation, gameplay, visual, animation, audio et implementation décrivent le fan game ; ils ne donnent pas des caractéristiques officielles de l’œuvre.</x:v>
      </x:c>
    </x:row>
    <x:row r="32" ht="68" customHeight="1">
      <x:c r="A32" s="19" t="str">
        <x:v>ME3-POW-AMMO-WARP</x:v>
      </x:c>
      <x:c r="B32" s="7" t="str">
        <x:v>Warp Ammo</x:v>
      </x:c>
      <x:c r="C32" s="15" t="str">
        <x:v>Défini</x:v>
      </x:c>
      <x:c r="D32" s="17" t="str">
        <x:v>Établi</x:v>
      </x:c>
      <x:c r="E32" s="17" t="str">
        <x:v>P1</x:v>
      </x:c>
      <x:c r="F32" s="7" t="str">
        <x:v>Pouvoir présent dans l’arsenal ME3.</x:v>
      </x:c>
      <x:c r="G32" s="7" t="str">
        <x:v>Conversion ATB originale : Mode associé aux défenses biotiques ; bonus sur cible suspendue si retenu au réglage.</x:v>
      </x:c>
      <x:c r="H32" s="7" t="str">
        <x:v>Conversion ATB originale : Mode associé aux défenses biotiques ; bonus sur cible suspendue si retenu au réglage.</x:v>
      </x:c>
      <x:c r="I32" s="7" t="str">
        <x:v>Impact violet.</x:v>
      </x:c>
      <x:c r="J32" s="7" t="str">
        <x:v>Préparer état de repos, anticipation, activation et retour au repos ; aligner les événements visuels sur la résolution de l’action ATB.</x:v>
      </x:c>
      <x:c r="K32" s="7" t="str">
        <x:v>Créer des bruitages et ambiances originaux adaptés au livrable ; sous-titrer les indices utiles et proposer un réglage indépendant des effets. Aucune extraction audio demandée.</x:v>
      </x:c>
      <x:c r="L32" s="7" t="str">
        <x:v>Prévu : fiche de données me3/powers/ammo-warp ; rattacher les ressources et états cités à cet identifiant. Aucun fichier de jeu créé par ce catalogue.</x:v>
      </x:c>
      <x:c r="M32" s="7" t="str"/>
      <x:c r="N32" s="7" t="str">
        <x:v>Vérifier cible organique/synthétique, chaque protection, durée et fin d’état ; une cible non admissible garde ressources et action disponibles.</x:v>
      </x:c>
      <x:c r="O32" s="7" t="str"/>
      <x:c r="P32" s="7" t="str">
        <x:v>Warp Ammo</x:v>
      </x:c>
      <x:c r="Q32" s="7" t="str">
        <x:v>ME3-SRC-POWERS</x:v>
      </x:c>
      <x:c r="R32" s="21" t="str">
        <x:v>https://masseffect.fandom.com/wiki/Powers_%28Mass_Effect_3%29</x:v>
      </x:c>
      <x:c r="S32" s="21" t="str">
        <x:v>Spécification à réaliser. Les champs adaptation, gameplay, visual, animation, audio et implementation décrivent le fan game ; ils ne donnent pas des caractéristiques officielles de l’œuvre.</x:v>
      </x:c>
    </x:row>
    <x:row r="33" ht="68" customHeight="1">
      <x:c r="A33" s="18" t="str">
        <x:v>ME3-POW-STASIS</x:v>
      </x:c>
      <x:c r="B33" s="9" t="str">
        <x:v>Stasis</x:v>
      </x:c>
      <x:c r="C33" s="15" t="str">
        <x:v>Défini</x:v>
      </x:c>
      <x:c r="D33" s="16" t="str">
        <x:v>Établi</x:v>
      </x:c>
      <x:c r="E33" s="16" t="str">
        <x:v>P1</x:v>
      </x:c>
      <x:c r="F33" s="9" t="str">
        <x:v>Pouvoir présent dans l’arsenal ME3.</x:v>
      </x:c>
      <x:c r="G33" s="9" t="str">
        <x:v>Conversion ATB originale : Immobiliser une cible pendant une durée bornée ; mesurer précisément entrée et sortie de la fenêtre.</x:v>
      </x:c>
      <x:c r="H33" s="9" t="str">
        <x:v>Conversion ATB originale : Immobiliser une cible pendant une durée bornée ; mesurer précisément entrée et sortie de la fenêtre.</x:v>
      </x:c>
      <x:c r="I33" s="9" t="str">
        <x:v>Silhouette figée dans un cadre bleu.</x:v>
      </x:c>
      <x:c r="J33" s="9" t="str">
        <x:v>Préparer état de repos, anticipation, activation et retour au repos ; aligner les événements visuels sur la résolution de l’action ATB.</x:v>
      </x:c>
      <x:c r="K33" s="9" t="str">
        <x:v>Créer des bruitages et ambiances originaux adaptés au livrable ; sous-titrer les indices utiles et proposer un réglage indépendant des effets. Aucune extraction audio demandée.</x:v>
      </x:c>
      <x:c r="L33" s="9" t="str">
        <x:v>Prévu : fiche de données me3/powers/stasis ; rattacher les ressources et états cités à cet identifiant. Aucun fichier de jeu créé par ce catalogue.</x:v>
      </x:c>
      <x:c r="M33" s="9" t="str"/>
      <x:c r="N33" s="9" t="str">
        <x:v>Vérifier cible organique/synthétique, chaque protection, durée et fin d’état ; une cible non admissible garde ressources et action disponibles.</x:v>
      </x:c>
      <x:c r="O33" s="9" t="str"/>
      <x:c r="P33" s="9" t="str">
        <x:v>Stasis</x:v>
      </x:c>
      <x:c r="Q33" s="9" t="str">
        <x:v>ME3-SRC-POWERS</x:v>
      </x:c>
      <x:c r="R33" s="20" t="str">
        <x:v>https://masseffect.fandom.com/wiki/Powers_%28Mass_Effect_3%29</x:v>
      </x:c>
      <x:c r="S33" s="20" t="str">
        <x:v>Spécification à réaliser. Les champs adaptation, gameplay, visual, animation, audio et implementation décrivent le fan game ; ils ne donnent pas des caractéristiques officielles de l’œuvre.</x:v>
      </x:c>
    </x:row>
    <x:row r="34" ht="68" customHeight="1">
      <x:c r="A34" s="19" t="str">
        <x:v>ME3-POW-NOVA</x:v>
      </x:c>
      <x:c r="B34" s="7" t="str">
        <x:v>Nova</x:v>
      </x:c>
      <x:c r="C34" s="15" t="str">
        <x:v>Défini</x:v>
      </x:c>
      <x:c r="D34" s="17" t="str">
        <x:v>Établi</x:v>
      </x:c>
      <x:c r="E34" s="17" t="str">
        <x:v>P1</x:v>
      </x:c>
      <x:c r="F34" s="7" t="str">
        <x:v>Pouvoir biotique de ME3.</x:v>
      </x:c>
      <x:c r="G34" s="7" t="str">
        <x:v>Dépenser une protection pour choc de proximité ; prévisualiser défense restante et risque de contre-attaque.</x:v>
      </x:c>
      <x:c r="H34" s="7" t="str">
        <x:v>Dépenser une protection pour choc de proximité ; prévisualiser défense restante et risque de contre-attaque.</x:v>
      </x:c>
      <x:c r="I34" s="7" t="str">
        <x:v>Onde circulaire au sol.</x:v>
      </x:c>
      <x:c r="J34" s="7" t="str">
        <x:v>Préparer état de repos, anticipation, activation et retour au repos ; aligner les événements visuels sur la résolution de l’action ATB.</x:v>
      </x:c>
      <x:c r="K34" s="7" t="str">
        <x:v>Créer des bruitages et ambiances originaux adaptés au livrable ; sous-titrer les indices utiles et proposer un réglage indépendant des effets. Aucune extraction audio demandée.</x:v>
      </x:c>
      <x:c r="L34" s="7" t="str">
        <x:v>Prévu : fiche de données me3/powers/nova ; rattacher les ressources et états cités à cet identifiant. Aucun fichier de jeu créé par ce catalogue.</x:v>
      </x:c>
      <x:c r="M34" s="7" t="str"/>
      <x:c r="N34" s="7" t="str">
        <x:v>Le livrable « Nova » possède une scène ou un scénario de contrôle ; ses règles proposées, ses conditions et ses retours visuels sont vérifiables séparément.</x:v>
      </x:c>
      <x:c r="O34" s="7" t="str"/>
      <x:c r="P34" s="7" t="str">
        <x:v>Nova</x:v>
      </x:c>
      <x:c r="Q34" s="7" t="str">
        <x:v>ME3-SRC-POWERS</x:v>
      </x:c>
      <x:c r="R34" s="21" t="str">
        <x:v>https://masseffect.fandom.com/wiki/Powers_%28Mass_Effect_3%29</x:v>
      </x:c>
      <x:c r="S34" s="21" t="str">
        <x:v>Spécification à réaliser. Les champs adaptation, gameplay, visual, animation, audio et implementation décrivent le fan game ; ils ne donnent pas des caractéristiques officielles de l’œuvre.</x:v>
      </x:c>
    </x:row>
    <x:row r="35" ht="68" customHeight="1">
      <x:c r="A35" s="18" t="str">
        <x:v>ME3-POW-DARK-CHANNEL</x:v>
      </x:c>
      <x:c r="B35" s="9" t="str">
        <x:v>Dark Channel</x:v>
      </x:c>
      <x:c r="C35" s="15" t="str">
        <x:v>Défini</x:v>
      </x:c>
      <x:c r="D35" s="16" t="str">
        <x:v>Établi</x:v>
      </x:c>
      <x:c r="E35" s="16" t="str">
        <x:v>P1</x:v>
      </x:c>
      <x:c r="F35" s="9" t="str">
        <x:v>Pouvoir de Javik.</x:v>
      </x:c>
      <x:c r="G35" s="9" t="str">
        <x:v>Marque persistante puis transfert proposé sur cible valide à sa mort ; une seule instance à suivre dans l’UI.</x:v>
      </x:c>
      <x:c r="H35" s="9" t="str">
        <x:v>Marque persistante puis transfert proposé sur cible valide à sa mort ; une seule instance à suivre dans l’UI.</x:v>
      </x:c>
      <x:c r="I35" s="9" t="str">
        <x:v>Lueur sombre et lien de transfert.</x:v>
      </x:c>
      <x:c r="J35" s="9" t="str">
        <x:v>Préparer état de repos, anticipation, activation et retour au repos ; aligner les événements visuels sur la résolution de l’action ATB.</x:v>
      </x:c>
      <x:c r="K35" s="9" t="str">
        <x:v>Créer des bruitages et ambiances originaux adaptés au livrable ; sous-titrer les indices utiles et proposer un réglage indépendant des effets. Aucune extraction audio demandée.</x:v>
      </x:c>
      <x:c r="L35" s="9" t="str">
        <x:v>Prévu : fiche de données me3/powers/dark-channel ; rattacher les ressources et états cités à cet identifiant. Aucun fichier de jeu créé par ce catalogue.</x:v>
      </x:c>
      <x:c r="M35" s="9" t="str"/>
      <x:c r="N35" s="9" t="str">
        <x:v>Le livrable « Dark Channel » possède une scène ou un scénario de contrôle ; ses règles proposées, ses conditions et ses retours visuels sont vérifiables séparément.</x:v>
      </x:c>
      <x:c r="O35" s="9" t="str"/>
      <x:c r="P35" s="9" t="str">
        <x:v>Dark Channel</x:v>
      </x:c>
      <x:c r="Q35" s="9" t="str">
        <x:v>ME3-SRC-SQUAD, ME3-SRC-POWERS</x:v>
      </x:c>
      <x:c r="R35" s="20" t="str">
        <x:v>https://masseffect.fandom.com/wiki/Squad_Members_Guide_%28Mass_Effect_3%29
https://masseffect.fandom.com/wiki/Powers_%28Mass_Effect_3%29</x:v>
      </x:c>
      <x:c r="S35" s="20" t="str">
        <x:v>Spécification à réaliser. Les champs adaptation, gameplay, visual, animation, audio et implementation décrivent le fan game ; ils ne donnent pas des caractéristiques officielles de l’œuvre.</x:v>
      </x:c>
    </x:row>
    <x:row r="36" ht="68" customHeight="1">
      <x:c r="A36" s="19" t="str">
        <x:v>ME3-POW-FLARE</x:v>
      </x:c>
      <x:c r="B36" s="7" t="str">
        <x:v>Flare</x:v>
      </x:c>
      <x:c r="C36" s="15" t="str">
        <x:v>Défini</x:v>
      </x:c>
      <x:c r="D36" s="17" t="str">
        <x:v>Établi</x:v>
      </x:c>
      <x:c r="E36" s="17" t="str">
        <x:v>P1</x:v>
      </x:c>
      <x:c r="F36" s="7" t="str">
        <x:v>Pouvoir associé à Aria.</x:v>
      </x:c>
      <x:c r="G36" s="7" t="str">
        <x:v>Grande zone explosive à longue préparation ; équipe libre de se déplacer pendant la charge.</x:v>
      </x:c>
      <x:c r="H36" s="7" t="str">
        <x:v>Grande zone explosive à longue préparation ; équipe libre de se déplacer pendant la charge.</x:v>
      </x:c>
      <x:c r="I36" s="7" t="str">
        <x:v>Sphère biotique puis onde large.</x:v>
      </x:c>
      <x:c r="J36" s="7" t="str">
        <x:v>Préparer état de repos, anticipation, activation et retour au repos ; aligner les événements visuels sur la résolution de l’action ATB.</x:v>
      </x:c>
      <x:c r="K36" s="7" t="str">
        <x:v>Créer des bruitages et ambiances originaux adaptés au livrable ; sous-titrer les indices utiles et proposer un réglage indépendant des effets. Aucune extraction audio demandée.</x:v>
      </x:c>
      <x:c r="L36" s="7" t="str">
        <x:v>Prévu : fiche de données me3/powers/flare ; rattacher les ressources et états cités à cet identifiant. Aucun fichier de jeu créé par ce catalogue.</x:v>
      </x:c>
      <x:c r="M36" s="7" t="str">
        <x:v>DLC Omega / déblocage selon campagne.</x:v>
      </x:c>
      <x:c r="N36" s="7" t="str">
        <x:v>Le livrable « Flare » possède une scène ou un scénario de contrôle ; ses règles proposées, ses conditions et ses retours visuels sont vérifiables séparément.</x:v>
      </x:c>
      <x:c r="O36" s="7" t="str"/>
      <x:c r="P36" s="7" t="str">
        <x:v>Flare</x:v>
      </x:c>
      <x:c r="Q36" s="7" t="str">
        <x:v>ME3-SRC-SQUAD</x:v>
      </x:c>
      <x:c r="R36" s="21" t="str">
        <x:v>https://masseffect.fandom.com/wiki/Squad_Members_Guide_%28Mass_Effect_3%29</x:v>
      </x:c>
      <x:c r="S36" s="21" t="str">
        <x:v>Spécification à réaliser. Les champs adaptation, gameplay, visual, animation, audio et implementation décrivent le fan game ; ils ne donnent pas des caractéristiques officielles de l’œuvre.</x:v>
      </x:c>
    </x:row>
    <x:row r="37" ht="68" customHeight="1">
      <x:c r="A37" s="18" t="str">
        <x:v>ME3-POW-LASH</x:v>
      </x:c>
      <x:c r="B37" s="9" t="str">
        <x:v>Lash</x:v>
      </x:c>
      <x:c r="C37" s="15" t="str">
        <x:v>Défini</x:v>
      </x:c>
      <x:c r="D37" s="16" t="str">
        <x:v>Établi</x:v>
      </x:c>
      <x:c r="E37" s="16" t="str">
        <x:v>P1</x:v>
      </x:c>
      <x:c r="F37" s="9" t="str">
        <x:v>Pouvoir d’Aria.</x:v>
      </x:c>
      <x:c r="G37" s="9" t="str">
        <x:v>Traction suivant un axe prévisualisé ; collision et cibles protégées contrôlées avant dépense.</x:v>
      </x:c>
      <x:c r="H37" s="9" t="str">
        <x:v>Traction suivant un axe prévisualisé ; collision et cibles protégées contrôlées avant dépense.</x:v>
      </x:c>
      <x:c r="I37" s="9" t="str">
        <x:v>Fouet biotique et trajectoire.</x:v>
      </x:c>
      <x:c r="J37" s="9" t="str">
        <x:v>Préparer état de repos, anticipation, activation et retour au repos ; aligner les événements visuels sur la résolution de l’action ATB.</x:v>
      </x:c>
      <x:c r="K37" s="9" t="str">
        <x:v>Créer des bruitages et ambiances originaux adaptés au livrable ; sous-titrer les indices utiles et proposer un réglage indépendant des effets. Aucune extraction audio demandée.</x:v>
      </x:c>
      <x:c r="L37" s="9" t="str">
        <x:v>Prévu : fiche de données me3/powers/lash ; rattacher les ressources et états cités à cet identifiant. Aucun fichier de jeu créé par ce catalogue.</x:v>
      </x:c>
      <x:c r="M37" s="9" t="str">
        <x:v>DLC Omega / déblocage selon campagne.</x:v>
      </x:c>
      <x:c r="N37" s="9" t="str">
        <x:v>Le livrable « Lash » possède une scène ou un scénario de contrôle ; ses règles proposées, ses conditions et ses retours visuels sont vérifiables séparément.</x:v>
      </x:c>
      <x:c r="O37" s="9" t="str"/>
      <x:c r="P37" s="9" t="str">
        <x:v>Lash</x:v>
      </x:c>
      <x:c r="Q37" s="9" t="str">
        <x:v>ME3-SRC-SQUAD</x:v>
      </x:c>
      <x:c r="R37" s="20" t="str">
        <x:v>https://masseffect.fandom.com/wiki/Squad_Members_Guide_%28Mass_Effect_3%29</x:v>
      </x:c>
      <x:c r="S37" s="20" t="str">
        <x:v>Spécification à réaliser. Les champs adaptation, gameplay, visual, animation, audio et implementation décrivent le fan game ; ils ne donnent pas des caractéristiques officielles de l’œuvre.</x:v>
      </x:c>
    </x:row>
    <x:row r="38" ht="68" customHeight="1">
      <x:c r="A38" s="19" t="str">
        <x:v>ME3-POW-LIFT-GRENADE</x:v>
      </x:c>
      <x:c r="B38" s="7" t="str">
        <x:v>Lift Grenade</x:v>
      </x:c>
      <x:c r="C38" s="15" t="str">
        <x:v>Défini</x:v>
      </x:c>
      <x:c r="D38" s="17" t="str">
        <x:v>Établi</x:v>
      </x:c>
      <x:c r="E38" s="17" t="str">
        <x:v>P1</x:v>
      </x:c>
      <x:c r="F38" s="7" t="str">
        <x:v>Grenade biotique.</x:v>
      </x:c>
      <x:c r="G38" s="7" t="str">
        <x:v>Zone de lévitation consommable ; séparer réserve de grenade et récupération des pouvoirs.</x:v>
      </x:c>
      <x:c r="H38" s="7" t="str">
        <x:v>Zone de lévitation consommable ; séparer réserve de grenade et récupération des pouvoirs.</x:v>
      </x:c>
      <x:c r="I38" s="7" t="str">
        <x:v>Arc puis suspension de groupe.</x:v>
      </x:c>
      <x:c r="J38" s="7" t="str">
        <x:v>Préparer état de repos, anticipation, activation et retour au repos ; aligner les événements visuels sur la résolution de l’action ATB.</x:v>
      </x:c>
      <x:c r="K38" s="7" t="str">
        <x:v>Créer des bruitages et ambiances originaux adaptés au livrable ; sous-titrer les indices utiles et proposer un réglage indépendant des effets. Aucune extraction audio demandée.</x:v>
      </x:c>
      <x:c r="L38" s="7" t="str">
        <x:v>Prévu : fiche de données me3/powers/lift-grenade ; rattacher les ressources et états cités à cet identifiant. Aucun fichier de jeu créé par ce catalogue.</x:v>
      </x:c>
      <x:c r="M38" s="7" t="str"/>
      <x:c r="N38" s="7" t="str">
        <x:v>Le livrable « Lift Grenade » possède une scène ou un scénario de contrôle ; ses règles proposées, ses conditions et ses retours visuels sont vérifiables séparément.</x:v>
      </x:c>
      <x:c r="O38" s="7" t="str"/>
      <x:c r="P38" s="7" t="str">
        <x:v>Lift Grenade</x:v>
      </x:c>
      <x:c r="Q38" s="7" t="str">
        <x:v>ME3-SRC-POWERS</x:v>
      </x:c>
      <x:c r="R38" s="21" t="str">
        <x:v>https://masseffect.fandom.com/wiki/Powers_%28Mass_Effect_3%29</x:v>
      </x:c>
      <x:c r="S38" s="21" t="str">
        <x:v>Spécification à réaliser. Les champs adaptation, gameplay, visual, animation, audio et implementation décrivent le fan game ; ils ne donnent pas des caractéristiques officielles de l’œuvre.</x:v>
      </x:c>
    </x:row>
    <x:row r="39" ht="68" customHeight="1">
      <x:c r="A39" s="18" t="str">
        <x:v>ME3-POW-FRAG</x:v>
      </x:c>
      <x:c r="B39" s="9" t="str">
        <x:v>Frag Grenade</x:v>
      </x:c>
      <x:c r="C39" s="15" t="str">
        <x:v>Défini</x:v>
      </x:c>
      <x:c r="D39" s="16" t="str">
        <x:v>Établi</x:v>
      </x:c>
      <x:c r="E39" s="16" t="str">
        <x:v>P1</x:v>
      </x:c>
      <x:c r="F39" s="9" t="str">
        <x:v>Grenade offensive.</x:v>
      </x:c>
      <x:c r="G39" s="9" t="str">
        <x:v>Trajectoire lobée et rayon visible ; grenade déjà lancée continue après incapacité du lanceur.</x:v>
      </x:c>
      <x:c r="H39" s="9" t="str">
        <x:v>Trajectoire lobée et rayon visible ; grenade déjà lancée continue après incapacité du lanceur.</x:v>
      </x:c>
      <x:c r="I39" s="9" t="str">
        <x:v>Grenade physique puis éclats atténués.</x:v>
      </x:c>
      <x:c r="J39" s="9" t="str">
        <x:v>Préparer état de repos, anticipation, activation et retour au repos ; aligner les événements visuels sur la résolution de l’action ATB.</x:v>
      </x:c>
      <x:c r="K39" s="9" t="str">
        <x:v>Créer des bruitages et ambiances originaux adaptés au livrable ; sous-titrer les indices utiles et proposer un réglage indépendant des effets. Aucune extraction audio demandée.</x:v>
      </x:c>
      <x:c r="L39" s="9" t="str">
        <x:v>Prévu : fiche de données me3/powers/frag ; rattacher les ressources et états cités à cet identifiant. Aucun fichier de jeu créé par ce catalogue.</x:v>
      </x:c>
      <x:c r="M39" s="9" t="str"/>
      <x:c r="N39" s="9" t="str">
        <x:v>Le livrable « Frag Grenade » possède une scène ou un scénario de contrôle ; ses règles proposées, ses conditions et ses retours visuels sont vérifiables séparément.</x:v>
      </x:c>
      <x:c r="O39" s="9" t="str"/>
      <x:c r="P39" s="9" t="str">
        <x:v>Frag Grenade</x:v>
      </x:c>
      <x:c r="Q39" s="9" t="str">
        <x:v>ME3-SRC-POWERS</x:v>
      </x:c>
      <x:c r="R39" s="20" t="str">
        <x:v>https://masseffect.fandom.com/wiki/Powers_%28Mass_Effect_3%29</x:v>
      </x:c>
      <x:c r="S39" s="20" t="str">
        <x:v>Spécification à réaliser. Les champs adaptation, gameplay, visual, animation, audio et implementation décrivent le fan game ; ils ne donnent pas des caractéristiques officielles de l’œuvre.</x:v>
      </x:c>
    </x:row>
    <x:row r="40" ht="68" customHeight="1">
      <x:c r="A40" s="19" t="str">
        <x:v>ME3-POW-CARNAGE</x:v>
      </x:c>
      <x:c r="B40" s="7" t="str">
        <x:v>Carnage</x:v>
      </x:c>
      <x:c r="C40" s="15" t="str">
        <x:v>Défini</x:v>
      </x:c>
      <x:c r="D40" s="17" t="str">
        <x:v>Établi</x:v>
      </x:c>
      <x:c r="E40" s="17" t="str">
        <x:v>P1</x:v>
      </x:c>
      <x:c r="F40" s="7" t="str">
        <x:v>Pouvoir offensif de plusieurs équipiers.</x:v>
      </x:c>
      <x:c r="G40" s="7" t="str">
        <x:v>Projectile lourd de zone ; position de cible figée à résolution, pas au premier clic de menu.</x:v>
      </x:c>
      <x:c r="H40" s="7" t="str">
        <x:v>Projectile lourd de zone ; position de cible figée à résolution, pas au premier clic de menu.</x:v>
      </x:c>
      <x:c r="I40" s="7" t="str">
        <x:v>Projectile rouge-orange.</x:v>
      </x:c>
      <x:c r="J40" s="7" t="str">
        <x:v>Préparer état de repos, anticipation, activation et retour au repos ; aligner les événements visuels sur la résolution de l’action ATB.</x:v>
      </x:c>
      <x:c r="K40" s="7" t="str">
        <x:v>Créer des bruitages et ambiances originaux adaptés au livrable ; sous-titrer les indices utiles et proposer un réglage indépendant des effets. Aucune extraction audio demandée.</x:v>
      </x:c>
      <x:c r="L40" s="7" t="str">
        <x:v>Prévu : fiche de données me3/powers/carnage ; rattacher les ressources et états cités à cet identifiant. Aucun fichier de jeu créé par ce catalogue.</x:v>
      </x:c>
      <x:c r="M40" s="7" t="str"/>
      <x:c r="N40" s="7" t="str">
        <x:v>Le livrable « Carnage » possède une scène ou un scénario de contrôle ; ses règles proposées, ses conditions et ses retours visuels sont vérifiables séparément.</x:v>
      </x:c>
      <x:c r="O40" s="7" t="str"/>
      <x:c r="P40" s="7" t="str">
        <x:v>Carnage</x:v>
      </x:c>
      <x:c r="Q40" s="7" t="str">
        <x:v>ME3-SRC-SQUAD</x:v>
      </x:c>
      <x:c r="R40" s="21" t="str">
        <x:v>https://masseffect.fandom.com/wiki/Squad_Members_Guide_%28Mass_Effect_3%29</x:v>
      </x:c>
      <x:c r="S40" s="21" t="str">
        <x:v>Spécification à réaliser. Les champs adaptation, gameplay, visual, animation, audio et implementation décrivent le fan game ; ils ne donnent pas des caractéristiques officielles de l’œuvre.</x:v>
      </x:c>
    </x:row>
    <x:row r="41" ht="68" customHeight="1">
      <x:c r="A41" s="18" t="str">
        <x:v>ME3-POW-PROXIMITY</x:v>
      </x:c>
      <x:c r="B41" s="9" t="str">
        <x:v>Proximity Mine</x:v>
      </x:c>
      <x:c r="C41" s="15" t="str">
        <x:v>Défini</x:v>
      </x:c>
      <x:c r="D41" s="16" t="str">
        <x:v>Établi</x:v>
      </x:c>
      <x:c r="E41" s="16" t="str">
        <x:v>P1</x:v>
      </x:c>
      <x:c r="F41" s="9" t="str">
        <x:v>Pouvoir de Garrus.</x:v>
      </x:c>
      <x:c r="G41" s="9" t="str">
        <x:v>Poser mine sur surface admise ; aire de déclenchement distincte de l’explosion.</x:v>
      </x:c>
      <x:c r="H41" s="9" t="str">
        <x:v>Poser mine sur surface admise ; aire de déclenchement distincte de l’explosion.</x:v>
      </x:c>
      <x:c r="I41" s="9" t="str">
        <x:v>Mine au sol et halo de détection.</x:v>
      </x:c>
      <x:c r="J41" s="9" t="str">
        <x:v>Préparer état de repos, anticipation, activation et retour au repos ; aligner les événements visuels sur la résolution de l’action ATB.</x:v>
      </x:c>
      <x:c r="K41" s="9" t="str">
        <x:v>Créer des bruitages et ambiances originaux adaptés au livrable ; sous-titrer les indices utiles et proposer un réglage indépendant des effets. Aucune extraction audio demandée.</x:v>
      </x:c>
      <x:c r="L41" s="9" t="str">
        <x:v>Prévu : fiche de données me3/powers/proximity ; rattacher les ressources et états cités à cet identifiant. Aucun fichier de jeu créé par ce catalogue.</x:v>
      </x:c>
      <x:c r="M41" s="9" t="str"/>
      <x:c r="N41" s="9" t="str">
        <x:v>Le livrable « Proximity Mine » possède une scène ou un scénario de contrôle ; ses règles proposées, ses conditions et ses retours visuels sont vérifiables séparément.</x:v>
      </x:c>
      <x:c r="O41" s="9" t="str"/>
      <x:c r="P41" s="9" t="str">
        <x:v>Proximity Mine</x:v>
      </x:c>
      <x:c r="Q41" s="9" t="str">
        <x:v>ME3-SRC-SQUAD</x:v>
      </x:c>
      <x:c r="R41" s="20" t="str">
        <x:v>https://masseffect.fandom.com/wiki/Squad_Members_Guide_%28Mass_Effect_3%29</x:v>
      </x:c>
      <x:c r="S41" s="20" t="str">
        <x:v>Spécification à réaliser. Les champs adaptation, gameplay, visual, animation, audio et implementation décrivent le fan game ; ils ne donnent pas des caractéristiques officielles de l’œuvre.</x:v>
      </x:c>
    </x:row>
    <x:row r="42" ht="68" customHeight="1">
      <x:c r="A42" s="19" t="str">
        <x:v>ME3-POW-SABOTAGE</x:v>
      </x:c>
      <x:c r="B42" s="7" t="str">
        <x:v>Sabotage</x:v>
      </x:c>
      <x:c r="C42" s="15" t="str">
        <x:v>Défini</x:v>
      </x:c>
      <x:c r="D42" s="17" t="str">
        <x:v>Établi</x:v>
      </x:c>
      <x:c r="E42" s="17" t="str">
        <x:v>P1</x:v>
      </x:c>
      <x:c r="F42" s="7" t="str">
        <x:v>Pouvoir de Tali.</x:v>
      </x:c>
      <x:c r="G42" s="7" t="str">
        <x:v>Perturber machine ou arme selon type ; fiche d’effet affiche le résultat réellement applicable.</x:v>
      </x:c>
      <x:c r="H42" s="7" t="str">
        <x:v>Perturber machine ou arme selon type ; fiche d’effet affiche le résultat réellement applicable.</x:v>
      </x:c>
      <x:c r="I42" s="7" t="str">
        <x:v>Omni-outil et parasites orange.</x:v>
      </x:c>
      <x:c r="J42" s="7" t="str">
        <x:v>Préparer état de repos, anticipation, activation et retour au repos ; aligner les événements visuels sur la résolution de l’action ATB.</x:v>
      </x:c>
      <x:c r="K42" s="7" t="str">
        <x:v>Créer des bruitages et ambiances originaux adaptés au livrable ; sous-titrer les indices utiles et proposer un réglage indépendant des effets. Aucune extraction audio demandée.</x:v>
      </x:c>
      <x:c r="L42" s="7" t="str">
        <x:v>Prévu : fiche de données me3/powers/sabotage ; rattacher les ressources et états cités à cet identifiant. Aucun fichier de jeu créé par ce catalogue.</x:v>
      </x:c>
      <x:c r="M42" s="7" t="str"/>
      <x:c r="N42" s="7" t="str">
        <x:v>Le livrable « Sabotage » possède une scène ou un scénario de contrôle ; ses règles proposées, ses conditions et ses retours visuels sont vérifiables séparément.</x:v>
      </x:c>
      <x:c r="O42" s="7" t="str"/>
      <x:c r="P42" s="7" t="str">
        <x:v>Sabotage</x:v>
      </x:c>
      <x:c r="Q42" s="7" t="str">
        <x:v>ME3-SRC-SQUAD</x:v>
      </x:c>
      <x:c r="R42" s="21" t="str">
        <x:v>https://masseffect.fandom.com/wiki/Squad_Members_Guide_%28Mass_Effect_3%29</x:v>
      </x:c>
      <x:c r="S42" s="21" t="str">
        <x:v>Spécification à réaliser. Les champs adaptation, gameplay, visual, animation, audio et implementation décrivent le fan game ; ils ne donnent pas des caractéristiques officielles de l’œuvre.</x:v>
      </x:c>
    </x:row>
    <x:row r="43" ht="68" customHeight="1">
      <x:c r="A43" s="18" t="str">
        <x:v>ME3-POW-DEFENSE-DRONE</x:v>
      </x:c>
      <x:c r="B43" s="9" t="str">
        <x:v>Defense Drone</x:v>
      </x:c>
      <x:c r="C43" s="15" t="str">
        <x:v>Défini</x:v>
      </x:c>
      <x:c r="D43" s="16" t="str">
        <x:v>Établi</x:v>
      </x:c>
      <x:c r="E43" s="16" t="str">
        <x:v>P1</x:v>
      </x:c>
      <x:c r="F43" s="9" t="str">
        <x:v>Pouvoir de Tali.</x:v>
      </x:c>
      <x:c r="G43" s="9" t="str">
        <x:v>Drone proche du protecteur, attaque de réaction limitée ; aucun blocage de chemin au pied d’un allié.</x:v>
      </x:c>
      <x:c r="H43" s="9" t="str">
        <x:v>Drone proche du protecteur, attaque de réaction limitée ; aucun blocage de chemin au pied d’un allié.</x:v>
      </x:c>
      <x:c r="I43" s="9" t="str">
        <x:v>Sphère de défense et petit arc.</x:v>
      </x:c>
      <x:c r="J43" s="9" t="str">
        <x:v>Préparer état de repos, anticipation, activation et retour au repos ; aligner les événements visuels sur la résolution de l’action ATB.</x:v>
      </x:c>
      <x:c r="K43" s="9" t="str">
        <x:v>Créer des bruitages et ambiances originaux adaptés au livrable ; sous-titrer les indices utiles et proposer un réglage indépendant des effets. Aucune extraction audio demandée.</x:v>
      </x:c>
      <x:c r="L43" s="9" t="str">
        <x:v>Prévu : fiche de données me3/powers/defense-drone ; rattacher les ressources et états cités à cet identifiant. Aucun fichier de jeu créé par ce catalogue.</x:v>
      </x:c>
      <x:c r="M43" s="9" t="str"/>
      <x:c r="N43" s="9" t="str">
        <x:v>Le livrable « Defense Drone » possède une scène ou un scénario de contrôle ; ses règles proposées, ses conditions et ses retours visuels sont vérifiables séparément.</x:v>
      </x:c>
      <x:c r="O43" s="9" t="str"/>
      <x:c r="P43" s="9" t="str">
        <x:v>Defense Drone</x:v>
      </x:c>
      <x:c r="Q43" s="9" t="str">
        <x:v>ME3-SRC-SQUAD</x:v>
      </x:c>
      <x:c r="R43" s="20" t="str">
        <x:v>https://masseffect.fandom.com/wiki/Squad_Members_Guide_%28Mass_Effect_3%29</x:v>
      </x:c>
      <x:c r="S43" s="20" t="str">
        <x:v>Spécification à réaliser. Les champs adaptation, gameplay, visual, animation, audio et implementation décrivent le fan game ; ils ne donnent pas des caractéristiques officielles de l’œuvre.</x:v>
      </x:c>
    </x:row>
    <x:row r="44" ht="68" customHeight="1">
      <x:c r="A44" s="19" t="str">
        <x:v>ME3-POW-DEFENSE-MATRIX</x:v>
      </x:c>
      <x:c r="B44" s="7" t="str">
        <x:v>Defense Matrix</x:v>
      </x:c>
      <x:c r="C44" s="15" t="str">
        <x:v>Défini</x:v>
      </x:c>
      <x:c r="D44" s="17" t="str">
        <x:v>Établi</x:v>
      </x:c>
      <x:c r="E44" s="17" t="str">
        <x:v>P1</x:v>
      </x:c>
      <x:c r="F44" s="7" t="str">
        <x:v>Pouvoir d’EDI.</x:v>
      </x:c>
      <x:c r="G44" s="7" t="str">
        <x:v>Protection entretenue avec purge de secours proposée ; coût de récupération visible.</x:v>
      </x:c>
      <x:c r="H44" s="7" t="str">
        <x:v>Protection entretenue avec purge de secours proposée ; coût de récupération visible.</x:v>
      </x:c>
      <x:c r="I44" s="7" t="str">
        <x:v>Trame technique et segments de bouclier.</x:v>
      </x:c>
      <x:c r="J44" s="7" t="str">
        <x:v>Préparer état de repos, anticipation, activation et retour au repos ; aligner les événements visuels sur la résolution de l’action ATB.</x:v>
      </x:c>
      <x:c r="K44" s="7" t="str">
        <x:v>Créer des bruitages et ambiances originaux adaptés au livrable ; sous-titrer les indices utiles et proposer un réglage indépendant des effets. Aucune extraction audio demandée.</x:v>
      </x:c>
      <x:c r="L44" s="7" t="str">
        <x:v>Prévu : fiche de données me3/powers/defense-matrix ; rattacher les ressources et états cités à cet identifiant. Aucun fichier de jeu créé par ce catalogue.</x:v>
      </x:c>
      <x:c r="M44" s="7" t="str"/>
      <x:c r="N44" s="7" t="str">
        <x:v>Le livrable « Defense Matrix » possède une scène ou un scénario de contrôle ; ses règles proposées, ses conditions et ses retours visuels sont vérifiables séparément.</x:v>
      </x:c>
      <x:c r="O44" s="7" t="str"/>
      <x:c r="P44" s="7" t="str">
        <x:v>Defense Matrix</x:v>
      </x:c>
      <x:c r="Q44" s="7" t="str">
        <x:v>ME3-SRC-SQUAD</x:v>
      </x:c>
      <x:c r="R44" s="21" t="str">
        <x:v>https://masseffect.fandom.com/wiki/Squad_Members_Guide_%28Mass_Effect_3%29</x:v>
      </x:c>
      <x:c r="S44" s="21" t="str">
        <x:v>Spécification à réaliser. Les champs adaptation, gameplay, visual, animation, audio et implementation décrivent le fan game ; ils ne donnent pas des caractéristiques officielles de l’œuvre.</x:v>
      </x:c>
    </x:row>
    <x:row r="45" ht="68" customHeight="1">
      <x:c r="A45" s="18" t="str">
        <x:v>ME3-POW-DECOY</x:v>
      </x:c>
      <x:c r="B45" s="9" t="str">
        <x:v>Decoy</x:v>
      </x:c>
      <x:c r="C45" s="15" t="str">
        <x:v>Défini</x:v>
      </x:c>
      <x:c r="D45" s="16" t="str">
        <x:v>Établi</x:v>
      </x:c>
      <x:c r="E45" s="16" t="str">
        <x:v>P1</x:v>
      </x:c>
      <x:c r="F45" s="9" t="str">
        <x:v>Pouvoir d’EDI et d’Armax.</x:v>
      </x:c>
      <x:c r="G45" s="9" t="str">
        <x:v>Leurre à emplacement réservé ; les ennemis déjà engagés ne changent pas tous instantanément de cible.</x:v>
      </x:c>
      <x:c r="H45" s="9" t="str">
        <x:v>Leurre à emplacement réservé ; les ennemis déjà engagés ne changent pas tous instantanément de cible.</x:v>
      </x:c>
      <x:c r="I45" s="9" t="str">
        <x:v>Copie holographique distincte.</x:v>
      </x:c>
      <x:c r="J45" s="9" t="str">
        <x:v>Préparer état de repos, anticipation, activation et retour au repos ; aligner les événements visuels sur la résolution de l’action ATB.</x:v>
      </x:c>
      <x:c r="K45" s="9" t="str">
        <x:v>Créer des bruitages et ambiances originaux adaptés au livrable ; sous-titrer les indices utiles et proposer un réglage indépendant des effets. Aucune extraction audio demandée.</x:v>
      </x:c>
      <x:c r="L45" s="9" t="str">
        <x:v>Prévu : fiche de données me3/powers/decoy ; rattacher les ressources et états cités à cet identifiant. Aucun fichier de jeu créé par ce catalogue.</x:v>
      </x:c>
      <x:c r="M45" s="9" t="str"/>
      <x:c r="N45" s="9" t="str">
        <x:v>Le livrable « Decoy » possède une scène ou un scénario de contrôle ; ses règles proposées, ses conditions et ses retours visuels sont vérifiables séparément.</x:v>
      </x:c>
      <x:c r="O45" s="9" t="str"/>
      <x:c r="P45" s="9" t="str">
        <x:v>Decoy</x:v>
      </x:c>
      <x:c r="Q45" s="9" t="str">
        <x:v>ME3-SRC-SQUAD</x:v>
      </x:c>
      <x:c r="R45" s="20" t="str">
        <x:v>https://masseffect.fandom.com/wiki/Squad_Members_Guide_%28Mass_Effect_3%29</x:v>
      </x:c>
      <x:c r="S45" s="20" t="str">
        <x:v>Spécification à réaliser. Les champs adaptation, gameplay, visual, animation, audio et implementation décrivent le fan game ; ils ne donnent pas des caractéristiques officielles de l’œuvre.</x:v>
      </x:c>
    </x:row>
    <x:row r="46" ht="68" customHeight="1">
      <x:c r="A46" s="19" t="str">
        <x:v>ME3-POW-MARKSMAN</x:v>
      </x:c>
      <x:c r="B46" s="7" t="str">
        <x:v>Marksman</x:v>
      </x:c>
      <x:c r="C46" s="15" t="str">
        <x:v>Défini</x:v>
      </x:c>
      <x:c r="D46" s="17" t="str">
        <x:v>Établi</x:v>
      </x:c>
      <x:c r="E46" s="17" t="str">
        <x:v>P1</x:v>
      </x:c>
      <x:c r="F46" s="7" t="str">
        <x:v>Pouvoir d’Ashley.</x:v>
      </x:c>
      <x:c r="G46" s="7" t="str">
        <x:v>Bonus temporaire de visée/rythme proposé ; durée commence à activation et non au premier tir.</x:v>
      </x:c>
      <x:c r="H46" s="7" t="str">
        <x:v>Bonus temporaire de visée/rythme proposé ; durée commence à activation et non au premier tir.</x:v>
      </x:c>
      <x:c r="I46" s="7" t="str">
        <x:v>Viseur stabilisé et portrait marqué.</x:v>
      </x:c>
      <x:c r="J46" s="7" t="str">
        <x:v>Préparer état de repos, anticipation, activation et retour au repos ; aligner les événements visuels sur la résolution de l’action ATB.</x:v>
      </x:c>
      <x:c r="K46" s="7" t="str">
        <x:v>Créer des bruitages et ambiances originaux adaptés au livrable ; sous-titrer les indices utiles et proposer un réglage indépendant des effets. Aucune extraction audio demandée.</x:v>
      </x:c>
      <x:c r="L46" s="7" t="str">
        <x:v>Prévu : fiche de données me3/powers/marksman ; rattacher les ressources et états cités à cet identifiant. Aucun fichier de jeu créé par ce catalogue.</x:v>
      </x:c>
      <x:c r="M46" s="7" t="str"/>
      <x:c r="N46" s="7" t="str">
        <x:v>Le livrable « Marksman » possède une scène ou un scénario de contrôle ; ses règles proposées, ses conditions et ses retours visuels sont vérifiables séparément.</x:v>
      </x:c>
      <x:c r="O46" s="7" t="str"/>
      <x:c r="P46" s="7" t="str">
        <x:v>Marksman</x:v>
      </x:c>
      <x:c r="Q46" s="7" t="str">
        <x:v>ME3-SRC-SQUAD</x:v>
      </x:c>
      <x:c r="R46" s="21" t="str">
        <x:v>https://masseffect.fandom.com/wiki/Squad_Members_Guide_%28Mass_Effect_3%29</x:v>
      </x:c>
      <x:c r="S46" s="21" t="str">
        <x:v>Spécification à réaliser. Les champs adaptation, gameplay, visual, animation, audio et implementation décrivent le fan game ; ils ne donnent pas des caractéristiques officielles de l’œuvre.</x:v>
      </x:c>
    </x:row>
    <x:row r="47" ht="68" customHeight="1">
      <x:c r="A47" s="18" t="str">
        <x:v>ME3-POW-BIOTIC-PROTECTOR</x:v>
      </x:c>
      <x:c r="B47" s="9" t="str">
        <x:v>Biotic Protector</x:v>
      </x:c>
      <x:c r="C47" s="15" t="str">
        <x:v>Défini</x:v>
      </x:c>
      <x:c r="D47" s="16" t="str">
        <x:v>Établi</x:v>
      </x:c>
      <x:c r="E47" s="16" t="str">
        <x:v>P1</x:v>
      </x:c>
      <x:c r="F47" s="9" t="str">
        <x:v>Pouvoir de Nyreen.</x:v>
      </x:c>
      <x:c r="G47" s="9" t="str">
        <x:v>Bulle locale de protection avec durée et portée visibles ; distinguer la pose narrative de ses règles de combat.</x:v>
      </x:c>
      <x:c r="H47" s="9" t="str">
        <x:v>Bulle locale de protection avec durée et portée visibles ; distinguer la pose narrative de ses règles de combat.</x:v>
      </x:c>
      <x:c r="I47" s="9" t="str">
        <x:v>Dôme biotique et mains ouvertes.</x:v>
      </x:c>
      <x:c r="J47" s="9" t="str">
        <x:v>Préparer état de repos, anticipation, activation et retour au repos ; aligner les événements visuels sur la résolution de l’action ATB.</x:v>
      </x:c>
      <x:c r="K47" s="9" t="str">
        <x:v>Créer des bruitages et ambiances originaux adaptés au livrable ; sous-titrer les indices utiles et proposer un réglage indépendant des effets. Aucune extraction audio demandée.</x:v>
      </x:c>
      <x:c r="L47" s="9" t="str">
        <x:v>Prévu : fiche de données me3/powers/biotic-protector ; rattacher les ressources et états cités à cet identifiant. Aucun fichier de jeu créé par ce catalogue.</x:v>
      </x:c>
      <x:c r="M47" s="9" t="str">
        <x:v>Omega, Nyreen uniquement.</x:v>
      </x:c>
      <x:c r="N47" s="9" t="str">
        <x:v>Le livrable « Biotic Protector » possède une scène ou un scénario de contrôle ; ses règles proposées, ses conditions et ses retours visuels sont vérifiables séparément.</x:v>
      </x:c>
      <x:c r="O47" s="9" t="str"/>
      <x:c r="P47" s="9" t="str">
        <x:v>Biotic Protector</x:v>
      </x:c>
      <x:c r="Q47" s="9" t="str">
        <x:v>ME3-SRC-SQUAD</x:v>
      </x:c>
      <x:c r="R47" s="20" t="str">
        <x:v>https://masseffect.fandom.com/wiki/Squad_Members_Guide_%28Mass_Effect_3%29</x:v>
      </x:c>
      <x:c r="S47" s="20" t="str">
        <x:v>Spécification à réaliser. Les champs adaptation, gameplay, visual, animation, audio et implementation décrivent le fan game ; ils ne donnent pas des caractéristiques officielles de l’œuvre.</x:v>
      </x:c>
    </x:row>
    <x:row r="48" ht="68" customHeight="1">
      <x:c r="A48" s="19" t="str">
        <x:v>ME3-POW-STIMULANT</x:v>
      </x:c>
      <x:c r="B48" s="7" t="str">
        <x:v>Stimulant Pack</x:v>
      </x:c>
      <x:c r="C48" s="15" t="str">
        <x:v>Défini</x:v>
      </x:c>
      <x:c r="D48" s="17" t="str">
        <x:v>Établi</x:v>
      </x:c>
      <x:c r="E48" s="17" t="str">
        <x:v>P1</x:v>
      </x:c>
      <x:c r="F48" s="7" t="str">
        <x:v>Pouvoir de Wrex dans Citadel.</x:v>
      </x:c>
      <x:c r="G48" s="7" t="str">
        <x:v>Activation de réserve personnelle ; icône et stock propres, séparés du medi-gel partagé.</x:v>
      </x:c>
      <x:c r="H48" s="7" t="str">
        <x:v>Activation de réserve personnelle ; icône et stock propres, séparés du medi-gel partagé.</x:v>
      </x:c>
      <x:c r="I48" s="7" t="str">
        <x:v>Injection stylisée et regain de posture.</x:v>
      </x:c>
      <x:c r="J48" s="7" t="str">
        <x:v>Préparer état de repos, anticipation, activation et retour au repos ; aligner les événements visuels sur la résolution de l’action ATB.</x:v>
      </x:c>
      <x:c r="K48" s="7" t="str">
        <x:v>Créer des bruitages et ambiances originaux adaptés au livrable ; sous-titrer les indices utiles et proposer un réglage indépendant des effets. Aucune extraction audio demandée.</x:v>
      </x:c>
      <x:c r="L48" s="7" t="str">
        <x:v>Prévu : fiche de données me3/powers/stimulant ; rattacher les ressources et états cités à cet identifiant. Aucun fichier de jeu créé par ce catalogue.</x:v>
      </x:c>
      <x:c r="M48" s="7" t="str">
        <x:v>Citadel / Armax selon roster.</x:v>
      </x:c>
      <x:c r="N48" s="7" t="str">
        <x:v>Le livrable « Stimulant Pack » possède une scène ou un scénario de contrôle ; ses règles proposées, ses conditions et ses retours visuels sont vérifiables séparément.</x:v>
      </x:c>
      <x:c r="O48" s="7" t="str"/>
      <x:c r="P48" s="7" t="str">
        <x:v>Stimulant Pack</x:v>
      </x:c>
      <x:c r="Q48" s="7" t="str">
        <x:v>ME3-SRC-SQUAD</x:v>
      </x:c>
      <x:c r="R48" s="21" t="str">
        <x:v>https://masseffect.fandom.com/wiki/Squad_Members_Guide_%28Mass_Effect_3%29</x:v>
      </x:c>
      <x:c r="S48" s="21" t="str">
        <x:v>Spécification à réaliser. Les champs adaptation, gameplay, visual, animation, audio et implementation décrivent le fan game ; ils ne donnent pas des caractéristiques officielles de l’œuvre.</x:v>
      </x:c>
    </x:row>
    <x:row r="49" ht="68" customHeight="1">
      <x:c r="A49" s="18" t="str">
        <x:v>ME3-POW-FIRST-AID</x:v>
      </x:c>
      <x:c r="B49" s="9" t="str">
        <x:v>First Aid</x:v>
      </x:c>
      <x:c r="C49" s="15" t="str">
        <x:v>Défini</x:v>
      </x:c>
      <x:c r="D49" s="16" t="str">
        <x:v>Établi</x:v>
      </x:c>
      <x:c r="E49" s="16" t="str">
        <x:v>P1</x:v>
      </x:c>
      <x:c r="F49" s="9" t="str">
        <x:v>Remplace Unity dans ME3.</x:v>
      </x:c>
      <x:c r="G49" s="9" t="str">
        <x:v>Secours via medi-gel séparé de la récupération universelle ; adaptation conserve un ordre médical propre, cibles et coût visibles.</x:v>
      </x:c>
      <x:c r="H49" s="9" t="str">
        <x:v>Secours via medi-gel séparé de la récupération universelle ; adaptation conserve un ordre médical propre, cibles et coût visibles.</x:v>
      </x:c>
      <x:c r="I49" s="9" t="str">
        <x:v>Omni-outil médical et portraits relevés.</x:v>
      </x:c>
      <x:c r="J49" s="9" t="str">
        <x:v>Préparer état de repos, anticipation, activation et retour au repos ; aligner les événements visuels sur la résolution de l’action ATB.</x:v>
      </x:c>
      <x:c r="K49" s="9" t="str">
        <x:v>Créer des bruitages et ambiances originaux adaptés au livrable ; sous-titrer les indices utiles et proposer un réglage indépendant des effets. Aucune extraction audio demandée.</x:v>
      </x:c>
      <x:c r="L49" s="9" t="str">
        <x:v>Prévu : fiche de données me3/powers/first-aid ; rattacher les ressources et états cités à cet identifiant. Aucun fichier de jeu créé par ce catalogue.</x:v>
      </x:c>
      <x:c r="M49" s="9" t="str"/>
      <x:c r="N49" s="9" t="str">
        <x:v>Le livrable « First Aid » possède une scène ou un scénario de contrôle ; ses règles proposées, ses conditions et ses retours visuels sont vérifiables séparément.</x:v>
      </x:c>
      <x:c r="O49" s="9" t="str"/>
      <x:c r="P49" s="9" t="str">
        <x:v>First Aid</x:v>
      </x:c>
      <x:c r="Q49" s="9" t="str">
        <x:v>ME3-SRC-FIRST-AID</x:v>
      </x:c>
      <x:c r="R49" s="20" t="str">
        <x:v>https://masseffect.fandom.com/wiki/First_Aid</x:v>
      </x:c>
      <x:c r="S49" s="20" t="str">
        <x:v>Spécification à réaliser. Les champs adaptation, gameplay, visual, animation, audio et implementation décrivent le fan game ; ils ne donnent pas des caractéristiques officielles de l’œuvre.</x:v>
      </x:c>
    </x:row>
    <x:row r="50" ht="68" customHeight="1">
      <x:c r="A50" s="19" t="str">
        <x:v>ME3-POW-CLUSTER</x:v>
      </x:c>
      <x:c r="B50" s="7" t="str">
        <x:v>Cluster Grenade</x:v>
      </x:c>
      <x:c r="C50" s="15" t="str">
        <x:v>Défini</x:v>
      </x:c>
      <x:c r="D50" s="17" t="str">
        <x:v>Établi</x:v>
      </x:c>
      <x:c r="E50" s="17" t="str">
        <x:v>P1</x:v>
      </x:c>
      <x:c r="F50" s="7" t="str">
        <x:v>Grenade biotique de l’adepte.</x:v>
      </x:c>
      <x:c r="G50" s="7" t="str">
        <x:v>Dispersion en sous-projectiles annoncée ; cap du nombre de zones pour garder lisibles les cibles multiples.</x:v>
      </x:c>
      <x:c r="H50" s="7" t="str">
        <x:v>Dispersion en sous-projectiles annoncée ; cap du nombre de zones pour garder lisibles les cibles multiples.</x:v>
      </x:c>
      <x:c r="I50" s="7" t="str">
        <x:v>Petites charges et halos biotiques.</x:v>
      </x:c>
      <x:c r="J50" s="7" t="str">
        <x:v>Préparer état de repos, anticipation, activation et retour au repos ; aligner les événements visuels sur la résolution de l’action ATB.</x:v>
      </x:c>
      <x:c r="K50" s="7" t="str">
        <x:v>Créer des bruitages et ambiances originaux adaptés au livrable ; sous-titrer les indices utiles et proposer un réglage indépendant des effets. Aucune extraction audio demandée.</x:v>
      </x:c>
      <x:c r="L50" s="7" t="str">
        <x:v>Prévu : fiche de données me3/powers/cluster ; rattacher les ressources et états cités à cet identifiant. Aucun fichier de jeu créé par ce catalogue.</x:v>
      </x:c>
      <x:c r="M50" s="7" t="str"/>
      <x:c r="N50" s="7" t="str">
        <x:v>Le livrable « Cluster Grenade » possède une scène ou un scénario de contrôle ; ses règles proposées, ses conditions et ses retours visuels sont vérifiables séparément.</x:v>
      </x:c>
      <x:c r="O50" s="7" t="str"/>
      <x:c r="P50" s="7" t="str">
        <x:v>Cluster Grenade</x:v>
      </x:c>
      <x:c r="Q50" s="7" t="str">
        <x:v>ME3-SRC-POWERS</x:v>
      </x:c>
      <x:c r="R50" s="21" t="str">
        <x:v>https://masseffect.fandom.com/wiki/Powers_%28Mass_Effect_3%29</x:v>
      </x:c>
      <x:c r="S50" s="21" t="str">
        <x:v>Spécification à réaliser. Les champs adaptation, gameplay, visual, animation, audio et implementation décrivent le fan game ; ils ne donnent pas des caractéristiques officielles de l’œuvre.</x:v>
      </x:c>
    </x:row>
    <x:row r="51" ht="68" customHeight="1">
      <x:c r="A51" s="18" t="str">
        <x:v>ME3-POW-STICKY</x:v>
      </x:c>
      <x:c r="B51" s="9" t="str">
        <x:v>Sticky Grenade</x:v>
      </x:c>
      <x:c r="C51" s="15" t="str">
        <x:v>Défini</x:v>
      </x:c>
      <x:c r="D51" s="16" t="str">
        <x:v>Établi</x:v>
      </x:c>
      <x:c r="E51" s="16" t="str">
        <x:v>P1</x:v>
      </x:c>
      <x:c r="F51" s="9" t="str">
        <x:v>Grenade de l’infiltré.</x:v>
      </x:c>
      <x:c r="G51" s="9" t="str">
        <x:v>Adhérence sur cible ou surface puis délai de détonation ; retrait du porteur de scène nettoie la charge sans explosion fantôme.</x:v>
      </x:c>
      <x:c r="H51" s="9" t="str">
        <x:v>Adhérence sur cible ou surface puis délai de détonation ; retrait du porteur de scène nettoie la charge sans explosion fantôme.</x:v>
      </x:c>
      <x:c r="I51" s="9" t="str">
        <x:v>Charge collée et décompte visuel.</x:v>
      </x:c>
      <x:c r="J51" s="9" t="str">
        <x:v>Préparer état de repos, anticipation, activation et retour au repos ; aligner les événements visuels sur la résolution de l’action ATB.</x:v>
      </x:c>
      <x:c r="K51" s="9" t="str">
        <x:v>Créer des bruitages et ambiances originaux adaptés au livrable ; sous-titrer les indices utiles et proposer un réglage indépendant des effets. Aucune extraction audio demandée.</x:v>
      </x:c>
      <x:c r="L51" s="9" t="str">
        <x:v>Prévu : fiche de données me3/powers/sticky ; rattacher les ressources et états cités à cet identifiant. Aucun fichier de jeu créé par ce catalogue.</x:v>
      </x:c>
      <x:c r="M51" s="9" t="str"/>
      <x:c r="N51" s="9" t="str">
        <x:v>Le livrable « Sticky Grenade » possède une scène ou un scénario de contrôle ; ses règles proposées, ses conditions et ses retours visuels sont vérifiables séparément.</x:v>
      </x:c>
      <x:c r="O51" s="9" t="str"/>
      <x:c r="P51" s="9" t="str">
        <x:v>Sticky Grenade</x:v>
      </x:c>
      <x:c r="Q51" s="9" t="str">
        <x:v>ME3-SRC-POWERS</x:v>
      </x:c>
      <x:c r="R51" s="20" t="str">
        <x:v>https://masseffect.fandom.com/wiki/Powers_%28Mass_Effect_3%29</x:v>
      </x:c>
      <x:c r="S51" s="20" t="str">
        <x:v>Spécification à réaliser. Les champs adaptation, gameplay, visual, animation, audio et implementation décrivent le fan game ; ils ne donnent pas des caractéristiques officielles de l’œuvre.</x:v>
      </x:c>
    </x:row>
    <x:row r="52" ht="68" customHeight="1">
      <x:c r="A52" s="19" t="str">
        <x:v>ME3-POW-SENTRY</x:v>
      </x:c>
      <x:c r="B52" s="7" t="str">
        <x:v>Sentry Turret</x:v>
      </x:c>
      <x:c r="C52" s="15" t="str">
        <x:v>Défini</x:v>
      </x:c>
      <x:c r="D52" s="17" t="str">
        <x:v>Établi</x:v>
      </x:c>
      <x:c r="E52" s="17" t="str">
        <x:v>P1</x:v>
      </x:c>
      <x:c r="F52" s="7" t="str">
        <x:v>Pouvoir d’ingénieur.</x:v>
      </x:c>
      <x:c r="G52" s="7" t="str">
        <x:v>Tourelle placée dans une cellule libre et orientée ; déplacement interdit pendant résolution d’un tir propre.</x:v>
      </x:c>
      <x:c r="H52" s="7" t="str">
        <x:v>Tourelle placée dans une cellule libre et orientée ; déplacement interdit pendant résolution d’un tir propre.</x:v>
      </x:c>
      <x:c r="I52" s="7" t="str">
        <x:v>Tourelle holographique et cône.</x:v>
      </x:c>
      <x:c r="J52" s="7" t="str">
        <x:v>Préparer état de repos, anticipation, activation et retour au repos ; aligner les événements visuels sur la résolution de l’action ATB.</x:v>
      </x:c>
      <x:c r="K52" s="7" t="str">
        <x:v>Créer des bruitages et ambiances originaux adaptés au livrable ; sous-titrer les indices utiles et proposer un réglage indépendant des effets. Aucune extraction audio demandée.</x:v>
      </x:c>
      <x:c r="L52" s="7" t="str">
        <x:v>Prévu : fiche de données me3/powers/sentry ; rattacher les ressources et états cités à cet identifiant. Aucun fichier de jeu créé par ce catalogue.</x:v>
      </x:c>
      <x:c r="M52" s="7" t="str"/>
      <x:c r="N52" s="7" t="str">
        <x:v>Le livrable « Sentry Turret » possède une scène ou un scénario de contrôle ; ses règles proposées, ses conditions et ses retours visuels sont vérifiables séparément.</x:v>
      </x:c>
      <x:c r="O52" s="7" t="str"/>
      <x:c r="P52" s="7" t="str">
        <x:v>Sentry Turret</x:v>
      </x:c>
      <x:c r="Q52" s="7" t="str">
        <x:v>ME3-SRC-POWERS</x:v>
      </x:c>
      <x:c r="R52" s="21" t="str">
        <x:v>https://masseffect.fandom.com/wiki/Powers_%28Mass_Effect_3%29</x:v>
      </x:c>
      <x:c r="S52" s="21" t="str">
        <x:v>Spécification à réaliser. Les champs adaptation, gameplay, visual, animation, audio et implementation décrivent le fan game ; ils ne donnent pas des caractéristiques officielles de l’œuvre.</x:v>
      </x:c>
    </x:row>
    <x:row r="53" ht="68" customHeight="1">
      <x:c r="A53" s="18" t="str">
        <x:v>ME3-POW-FITNESS</x:v>
      </x:c>
      <x:c r="B53" s="9" t="str">
        <x:v>Fitness</x:v>
      </x:c>
      <x:c r="C53" s="15" t="str">
        <x:v>Défini</x:v>
      </x:c>
      <x:c r="D53" s="16" t="str">
        <x:v>Établi</x:v>
      </x:c>
      <x:c r="E53" s="16" t="str">
        <x:v>P1</x:v>
      </x:c>
      <x:c r="F53" s="9" t="str">
        <x:v>Passif commun des classes.</x:v>
      </x:c>
      <x:c r="G53" s="9" t="str">
        <x:v>Santé, protection et mêlée proposées dans un arbre sans ambiguïté ; aucune animation active factice pour un passif.</x:v>
      </x:c>
      <x:c r="H53" s="9" t="str">
        <x:v>Santé, protection et mêlée proposées dans un arbre sans ambiguïté ; aucune animation active factice pour un passif.</x:v>
      </x:c>
      <x:c r="I53" s="9" t="str">
        <x:v>Icône corporelle et résumé des effets.</x:v>
      </x:c>
      <x:c r="J53" s="9" t="str">
        <x:v>Préparer état de repos, anticipation, activation et retour au repos ; aligner les événements visuels sur la résolution de l’action ATB.</x:v>
      </x:c>
      <x:c r="K53" s="9" t="str">
        <x:v>Créer des bruitages et ambiances originaux adaptés au livrable ; sous-titrer les indices utiles et proposer un réglage indépendant des effets. Aucune extraction audio demandée.</x:v>
      </x:c>
      <x:c r="L53" s="9" t="str">
        <x:v>Prévu : fiche de données me3/powers/fitness ; rattacher les ressources et états cités à cet identifiant. Aucun fichier de jeu créé par ce catalogue.</x:v>
      </x:c>
      <x:c r="M53" s="9" t="str"/>
      <x:c r="N53" s="9" t="str">
        <x:v>Le livrable « Fitness » possède une scène ou un scénario de contrôle ; ses règles proposées, ses conditions et ses retours visuels sont vérifiables séparément.</x:v>
      </x:c>
      <x:c r="O53" s="9" t="str"/>
      <x:c r="P53" s="9" t="str">
        <x:v>Fitness</x:v>
      </x:c>
      <x:c r="Q53" s="9" t="str">
        <x:v>ME3-SRC-POWERS</x:v>
      </x:c>
      <x:c r="R53" s="20" t="str">
        <x:v>https://masseffect.fandom.com/wiki/Powers_%28Mass_Effect_3%29</x:v>
      </x:c>
      <x:c r="S53" s="20" t="str">
        <x:v>Spécification à réaliser. Les champs adaptation, gameplay, visual, animation, audio et implementation décrivent le fan game ; ils ne donnent pas des caractéristiques officielles de l’œuvre.</x:v>
      </x:c>
    </x:row>
    <x:row r="54" ht="68" customHeight="1">
      <x:c r="A54" s="19" t="str">
        <x:v>ME3-POW-CLASS-PASSIVES</x:v>
      </x:c>
      <x:c r="B54" s="7" t="str">
        <x:v>Maîtrises de classe</x:v>
      </x:c>
      <x:c r="C54" s="15" t="str">
        <x:v>Défini</x:v>
      </x:c>
      <x:c r="D54" s="17" t="str">
        <x:v>Établi</x:v>
      </x:c>
      <x:c r="E54" s="17" t="str">
        <x:v>P1</x:v>
      </x:c>
      <x:c r="F54" s="7" t="str">
        <x:v>Chaque classe possède un passif.</x:v>
      </x:c>
      <x:c r="G54" s="7" t="str">
        <x:v>Six profils de données : Biotic, Tech, Operational, Offensive, Combat et Assault Mastery ; afficher gains par rang plutôt que traduire en six attaques actives.</x:v>
      </x:c>
      <x:c r="H54" s="7" t="str">
        <x:v>Six profils de données : Biotic, Tech, Operational, Offensive, Combat et Assault Mastery ; afficher gains par rang plutôt que traduire en six attaques actives.</x:v>
      </x:c>
      <x:c r="I54" s="7" t="str">
        <x:v>Six emblèmes de classe.</x:v>
      </x:c>
      <x:c r="J54" s="7" t="str">
        <x:v>Préparer état de repos, anticipation, activation et retour au repos ; aligner les événements visuels sur la résolution de l’action ATB.</x:v>
      </x:c>
      <x:c r="K54" s="7" t="str">
        <x:v>Créer des bruitages et ambiances originaux adaptés au livrable ; sous-titrer les indices utiles et proposer un réglage indépendant des effets. Aucune extraction audio demandée.</x:v>
      </x:c>
      <x:c r="L54" s="7" t="str">
        <x:v>Prévu : fiche de données me3/powers/class-passives ; rattacher les ressources et états cités à cet identifiant. Aucun fichier de jeu créé par ce catalogue.</x:v>
      </x:c>
      <x:c r="M54" s="7" t="str"/>
      <x:c r="N54" s="7" t="str">
        <x:v>Le livrable « Maîtrises de classe » possède une scène ou un scénario de contrôle ; ses règles proposées, ses conditions et ses retours visuels sont vérifiables séparément.</x:v>
      </x:c>
      <x:c r="O54" s="7" t="str"/>
      <x:c r="P54" s="7" t="str">
        <x:v>Maîtrises de classe</x:v>
      </x:c>
      <x:c r="Q54" s="7" t="str">
        <x:v>ME3-SRC-POWERS</x:v>
      </x:c>
      <x:c r="R54" s="21" t="str">
        <x:v>https://masseffect.fandom.com/wiki/Powers_%28Mass_Effect_3%29</x:v>
      </x:c>
      <x:c r="S54" s="21" t="str">
        <x:v>Spécification à réaliser. Les champs adaptation, gameplay, visual, animation, audio et implementation décrivent le fan game ; ils ne donnent pas des caractéristiques officielles de l’œuvre.</x:v>
      </x:c>
    </x:row>
  </x:sheetData>
  <x:conditionalFormatting sqref="D7:D54">
    <x:cfRule type="cellIs" dxfId="64" priority="1" operator="equal">
      <x:formula>"À vérifier"</x:formula>
    </x:cfRule>
    <x:cfRule type="cellIs" dxfId="65" priority="2" operator="equal">
      <x:formula>"Extrapolation"</x:formula>
    </x:cfRule>
  </x:conditionalFormatting>
  <x:conditionalFormatting sqref="C7:C54">
    <x:cfRule type="cellIs" dxfId="66" priority="3" operator="equal">
      <x:formula>"Validé"</x:formula>
    </x:cfRule>
  </x:conditionalFormatting>
  <x:conditionalFormatting sqref="E7:E54">
    <x:cfRule type="cellIs" dxfId="67" priority="4" operator="equal">
      <x:formula>"P0"</x:formula>
    </x:cfRule>
  </x:conditionalFormatting>
  <x:dataValidations count="3">
    <x:dataValidation type="list" sqref="C7:C54">
      <x:formula1>"Défini,Prototype,Intégré,Validé"</x:formula1>
    </x:dataValidation>
    <x:dataValidation type="list" sqref="D7:D54">
      <x:formula1>"Établi,À vérifier,Extrapolation,Coupé attesté,Concept abandonné,Allégation écartée"</x:formula1>
    </x:dataValidation>
    <x:dataValidation type="list" sqref="E7:E54">
      <x:formula1>"P0,P1,P2"</x:formula1>
    </x:dataValidation>
  </x:dataValidations>
  <x:pageMargins left="0.7" right="0.7" top="0.75" bottom="0.75" header="0.3" footer="0.3"/>
  <x:tableParts count="1">
    <x:tablePart xmlns:r="http://schemas.openxmlformats.org/officeDocument/2006/relationships" r:id="R2117a740064141b2"/>
  </x:tableParts>
</x:worksheet>
</file>

<file path=xl/worksheets/sheet1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alliés</x:v>
      </x:c>
      <x:c r="B2" s="2"/>
      <x:c r="C2" s="2"/>
      <x:c r="D2" s="2"/>
      <x:c r="E2" s="2"/>
      <x:c r="F2" s="2"/>
      <x:c r="G2" s="2"/>
      <x:c r="H2" s="2"/>
      <x:c r="I2" s="2"/>
      <x:c r="J2" s="2"/>
      <x:c r="K2" s="2"/>
      <x:c r="L2" s="2"/>
      <x:c r="M2" s="2"/>
      <x:c r="N2" s="2"/>
      <x:c r="O2" s="2"/>
      <x:c r="P2" s="2"/>
      <x:c r="Q2" s="2"/>
      <x:c r="R2" s="2"/>
      <x:c r="S2" s="2"/>
    </x:row>
    <x:row r="3" ht="22" customHeight="1">
      <x:c r="A3" s="4" t="str">
        <x:v>Mass Effect 3 — Actions et contraintes par équipier</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ME3-AMV-LIARA-GARRUS</x:v>
      </x:c>
      <x:c r="B7" s="9" t="str">
        <x:v>Liara + Garrus — préparer puis percer</x:v>
      </x:c>
      <x:c r="C7" s="15" t="str">
        <x:v>Défini</x:v>
      </x:c>
      <x:c r="D7" s="16" t="str">
        <x:v>Extrapolation</x:v>
      </x:c>
      <x:c r="E7" s="16" t="str">
        <x:v>P1</x:v>
      </x:c>
      <x:c r="F7" s="9" t="str">
        <x:v>Livrable original proposé : Liara + Garrus — préparer puis percer.</x:v>
      </x:c>
      <x:c r="G7" s="9" t="str">
        <x:v>Singularity prépare la zone, Overload traite la protection compatible, tir ciblé au bon moment ; file d’ordres montre les étapes sans promettre un combo biotique invalide.</x:v>
      </x:c>
      <x:c r="H7" s="9" t="str">
        <x:v>Singularity prépare la zone, Overload traite la protection compatible, tir ciblé au bon moment ; file d’ordres montre les étapes sans promettre un combo biotique invalide.</x:v>
      </x:c>
      <x:c r="I7" s="9" t="str">
        <x:v>Violet de contrôle puis éclair bleu.</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me3/ally_moves/liara-garrus ; rattacher les ressources et états cités à cet identifiant. Aucun fichier de jeu créé par ce catalogue.</x:v>
      </x:c>
      <x:c r="M7" s="9" t="str">
        <x:v>Deux équipiers disponibles.</x:v>
      </x:c>
      <x:c r="N7" s="9" t="str">
        <x:v>Le livrable « Liara + Garrus — préparer puis percer » possède une scène ou un scénario de contrôle ; ses règles proposées, ses conditions et ses retours visuels sont vérifiables séparément.</x:v>
      </x:c>
      <x:c r="O7" s="9" t="str">
        <x:v>ME3-CHR-LIARA, ME3-CHR-GARRUS, ME3-POW-SINGULARITY, ME3-POW-OVERLOAD</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ME3-AMV-EDI-JAMES</x:v>
      </x:c>
      <x:c r="B8" s="7" t="str">
        <x:v>EDI + James — tenir un passage</x:v>
      </x:c>
      <x:c r="C8" s="15" t="str">
        <x:v>Défini</x:v>
      </x:c>
      <x:c r="D8" s="17" t="str">
        <x:v>Extrapolation</x:v>
      </x:c>
      <x:c r="E8" s="17" t="str">
        <x:v>P1</x:v>
      </x:c>
      <x:c r="F8" s="7" t="str">
        <x:v>Livrable original proposé : EDI + James — tenir un passage.</x:v>
      </x:c>
      <x:c r="G8" s="7" t="str">
        <x:v>Decoy détourne un flanc pendant que Fortification protège James ; les ennemis engagés peuvent terminer leur action pour éviter un aggro artificiel.</x:v>
      </x:c>
      <x:c r="H8" s="7" t="str">
        <x:v>Decoy détourne un flanc pendant que Fortification protège James ; les ennemis engagés peuvent terminer leur action pour éviter un aggro artificiel.</x:v>
      </x:c>
      <x:c r="I8" s="7" t="str">
        <x:v>Leurre translucide et silhouette de garde.</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me3/ally_moves/edi-james ; rattacher les ressources et états cités à cet identifiant. Aucun fichier de jeu créé par ce catalogue.</x:v>
      </x:c>
      <x:c r="M8" s="7" t="str"/>
      <x:c r="N8" s="7" t="str">
        <x:v>Le livrable « EDI + James — tenir un passage » possède une scène ou un scénario de contrôle ; ses règles proposées, ses conditions et ses retours visuels sont vérifiables séparément.</x:v>
      </x:c>
      <x:c r="O8" s="7" t="str">
        <x:v>ME3-CHR-EDI, ME3-CHR-JAMES, ME3-POW-DECOY, ME3-POW-FORTIFICATION</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ME3-AMV-TALI-GARRUS</x:v>
      </x:c>
      <x:c r="B9" s="9" t="str">
        <x:v>Tali + Garrus — couper le réseau</x:v>
      </x:c>
      <x:c r="C9" s="15" t="str">
        <x:v>Défini</x:v>
      </x:c>
      <x:c r="D9" s="16" t="str">
        <x:v>Extrapolation</x:v>
      </x:c>
      <x:c r="E9" s="16" t="str">
        <x:v>P1</x:v>
      </x:c>
      <x:c r="F9" s="9" t="str">
        <x:v>Livrable original proposé : Tali + Garrus — couper le réseau.</x:v>
      </x:c>
      <x:c r="G9" s="9" t="str">
        <x:v>Sabotage perturbe la plateforme admissible, Overload retire la protection ; priorité d’état interdit double conversion ou piratage de boss immune.</x:v>
      </x:c>
      <x:c r="H9" s="9" t="str">
        <x:v>Sabotage perturbe la plateforme admissible, Overload retire la protection ; priorité d’état interdit double conversion ou piratage de boss immune.</x:v>
      </x:c>
      <x:c r="I9" s="9" t="str">
        <x:v>Lien orange puis arc électrique.</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me3/ally_moves/tali-garrus ; rattacher les ressources et états cités à cet identifiant. Aucun fichier de jeu créé par ce catalogue.</x:v>
      </x:c>
      <x:c r="M9" s="9" t="str">
        <x:v>Survivants présents.</x:v>
      </x:c>
      <x:c r="N9" s="9" t="str">
        <x:v>Le livrable « Tali + Garrus — couper le réseau » possède une scène ou un scénario de contrôle ; ses règles proposées, ses conditions et ses retours visuels sont vérifiables séparément.</x:v>
      </x:c>
      <x:c r="O9" s="9" t="str">
        <x:v>ME3-CHR-TALI, ME3-CHR-GARRUS, ME3-POW-SABOTAGE</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ME3-AMV-JAVIK-LIARA</x:v>
      </x:c>
      <x:c r="B10" s="7" t="str">
        <x:v>Javik + Liara — marquer et regrouper</x:v>
      </x:c>
      <x:c r="C10" s="15" t="str">
        <x:v>Défini</x:v>
      </x:c>
      <x:c r="D10" s="17" t="str">
        <x:v>Extrapolation</x:v>
      </x:c>
      <x:c r="E10" s="17" t="str">
        <x:v>P1</x:v>
      </x:c>
      <x:c r="F10" s="7" t="str">
        <x:v>Livrable original proposé : Javik + Liara — marquer et regrouper.</x:v>
      </x:c>
      <x:c r="G10" s="7" t="str">
        <x:v>Dark Channel désigne une cible ; Singularity attire ses voisins compatibles ; transfert choisi à mort de la marque, affiché dans l’aperçu.</x:v>
      </x:c>
      <x:c r="H10" s="7" t="str">
        <x:v>Dark Channel désigne une cible ; Singularity attire ses voisins compatibles ; transfert choisi à mort de la marque, affiché dans l’aperçu.</x:v>
      </x:c>
      <x:c r="I10" s="7" t="str">
        <x:v>Aura sombre au sein du noyau bleu.</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me3/ally_moves/javik-liara ; rattacher les ressources et états cités à cet identifiant. Aucun fichier de jeu créé par ce catalogue.</x:v>
      </x:c>
      <x:c r="M10" s="7" t="str">
        <x:v>Javik recruté.</x:v>
      </x:c>
      <x:c r="N10" s="7" t="str">
        <x:v>Le livrable « Javik + Liara — marquer et regrouper » possède une scène ou un scénario de contrôle ; ses règles proposées, ses conditions et ses retours visuels sont vérifiables séparément.</x:v>
      </x:c>
      <x:c r="O10" s="7" t="str">
        <x:v>ME3-CHR-JAVIK, ME3-CHR-LIARA, ME3-POW-DARK-CHANNEL</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ME3-AMV-KAIDAN-EDI</x:v>
      </x:c>
      <x:c r="B11" s="9" t="str">
        <x:v>Kaidan + EDI — relais de protection</x:v>
      </x:c>
      <x:c r="C11" s="15" t="str">
        <x:v>Défini</x:v>
      </x:c>
      <x:c r="D11" s="16" t="str">
        <x:v>Extrapolation</x:v>
      </x:c>
      <x:c r="E11" s="16" t="str">
        <x:v>P1</x:v>
      </x:c>
      <x:c r="F11" s="9" t="str">
        <x:v>Livrable original proposé : Kaidan + EDI — relais de protection.</x:v>
      </x:c>
      <x:c r="G11" s="9" t="str">
        <x:v>Kaidan couvre la récupération d’EDI puis son Incinerate ouvre un état de feu ; éviter d’associer tout pouvoir à une détonation automatique.</x:v>
      </x:c>
      <x:c r="H11" s="9" t="str">
        <x:v>Kaidan couvre la récupération d’EDI puis son Incinerate ouvre un état de feu ; éviter d’associer tout pouvoir à une détonation automatique.</x:v>
      </x:c>
      <x:c r="I11" s="9" t="str">
        <x:v>Barrière violette et projectile orange.</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me3/ally_moves/kaidan-edi ; rattacher les ressources et états cités à cet identifiant. Aucun fichier de jeu créé par ce catalogue.</x:v>
      </x:c>
      <x:c r="M11" s="9" t="str">
        <x:v>Kaidan disponible.</x:v>
      </x:c>
      <x:c r="N11" s="9" t="str">
        <x:v>Le livrable « Kaidan + EDI — relais de protection » possède une scène ou un scénario de contrôle ; ses règles proposées, ses conditions et ses retours visuels sont vérifiables séparément.</x:v>
      </x:c>
      <x:c r="O11" s="9" t="str">
        <x:v>ME3-CHR-KAIDAN, ME3-CHR-EDI, ME3-POW-INCINERATE</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ME3-AMV-ASHLEY-JAMES</x:v>
      </x:c>
      <x:c r="B12" s="7" t="str">
        <x:v>Ashley + James — assaut coordonné</x:v>
      </x:c>
      <x:c r="C12" s="15" t="str">
        <x:v>Défini</x:v>
      </x:c>
      <x:c r="D12" s="17" t="str">
        <x:v>Extrapolation</x:v>
      </x:c>
      <x:c r="E12" s="17" t="str">
        <x:v>P1</x:v>
      </x:c>
      <x:c r="F12" s="7" t="str">
        <x:v>Livrable original proposé : Ashley + James — assaut coordonné.</x:v>
      </x:c>
      <x:c r="G12" s="7" t="str">
        <x:v>Marksman fournit une fenêtre de tir, Carnage déloge un couvert ; verrouiller le tir allié tant que l’explosion proposée coupe la ligne.</x:v>
      </x:c>
      <x:c r="H12" s="7" t="str">
        <x:v>Marksman fournit une fenêtre de tir, Carnage déloge un couvert ; verrouiller le tir allié tant que l’explosion proposée coupe la ligne.</x:v>
      </x:c>
      <x:c r="I12" s="7" t="str">
        <x:v>Visée stabilisée et impact rouge.</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me3/ally_moves/ashley-james ; rattacher les ressources et états cités à cet identifiant. Aucun fichier de jeu créé par ce catalogue.</x:v>
      </x:c>
      <x:c r="M12" s="7" t="str">
        <x:v>Ashley disponible.</x:v>
      </x:c>
      <x:c r="N12" s="7" t="str">
        <x:v>Le livrable « Ashley + James — assaut coordonné » possède une scène ou un scénario de contrôle ; ses règles proposées, ses conditions et ses retours visuels sont vérifiables séparément.</x:v>
      </x:c>
      <x:c r="O12" s="7" t="str">
        <x:v>ME3-CHR-ASHLEY, ME3-CHR-JAMES, ME3-POW-MARKSMAN</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ME3-AMV-ARIA-NYREEN</x:v>
      </x:c>
      <x:c r="B13" s="9" t="str">
        <x:v>Aria + Nyreen — traversée protégée</x:v>
      </x:c>
      <x:c r="C13" s="15" t="str">
        <x:v>Défini</x:v>
      </x:c>
      <x:c r="D13" s="16" t="str">
        <x:v>Extrapolation</x:v>
      </x:c>
      <x:c r="E13" s="16" t="str">
        <x:v>P1</x:v>
      </x:c>
      <x:c r="F13" s="9" t="str">
        <x:v>Livrable original proposé : Aria + Nyreen — traversée protégée.</x:v>
      </x:c>
      <x:c r="G13" s="9" t="str">
        <x:v>Nyreen déploie une protection pendant préparation de Flare ; la durée de protection est visible pour choisir repli ou engagement.</x:v>
      </x:c>
      <x:c r="H13" s="9" t="str">
        <x:v>Nyreen déploie une protection pendant préparation de Flare ; la durée de protection est visible pour choisir repli ou engagement.</x:v>
      </x:c>
      <x:c r="I13" s="9" t="str">
        <x:v>Dôme bleu et charge violette.</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me3/ally_moves/aria-nyreen ; rattacher les ressources et états cités à cet identifiant. Aucun fichier de jeu créé par ce catalogue.</x:v>
      </x:c>
      <x:c r="M13" s="9" t="str">
        <x:v>Omega et disponibilité de Nyreen.</x:v>
      </x:c>
      <x:c r="N13" s="9" t="str">
        <x:v>Le livrable « Aria + Nyreen — traversée protégée » possède une scène ou un scénario de contrôle ; ses règles proposées, ses conditions et ses retours visuels sont vérifiables séparément.</x:v>
      </x:c>
      <x:c r="O13" s="9" t="str">
        <x:v>ME3-CHR-ARIA, ME3-CHR-NYREEN, ME3-POW-FLARE</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ME3-AMV-WREX-SHEPARD</x:v>
      </x:c>
      <x:c r="B14" s="7" t="str">
        <x:v>Wrex + Shepard — rupture de front</x:v>
      </x:c>
      <x:c r="C14" s="15" t="str">
        <x:v>Défini</x:v>
      </x:c>
      <x:c r="D14" s="17" t="str">
        <x:v>Extrapolation</x:v>
      </x:c>
      <x:c r="E14" s="17" t="str">
        <x:v>P1</x:v>
      </x:c>
      <x:c r="F14" s="7" t="str">
        <x:v>Livrable original proposé : Wrex + Shepard — rupture de front.</x:v>
      </x:c>
      <x:c r="G14" s="7" t="str">
        <x:v>Wrex engage une unité lourde pendant que Shepard traverse une ligne de tir réservée ; aucune traversée forcée d’une collision de bouclier.</x:v>
      </x:c>
      <x:c r="H14" s="7" t="str">
        <x:v>Wrex engage une unité lourde pendant que Shepard traverse une ligne de tir réservée ; aucune traversée forcée d’une collision de bouclier.</x:v>
      </x:c>
      <x:c r="I14" s="7" t="str">
        <x:v>Krogan de face et marque latérale.</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me3/ally_moves/wrex-shepard ; rattacher les ressources et états cités à cet identifiant. Aucun fichier de jeu créé par ce catalogue.</x:v>
      </x:c>
      <x:c r="M14" s="7" t="str">
        <x:v>Citadel seulement hors Armax.</x:v>
      </x:c>
      <x:c r="N14" s="7" t="str">
        <x:v>Le livrable « Wrex + Shepard — rupture de front » possède une scène ou un scénario de contrôle ; ses règles proposées, ses conditions et ses retours visuels sont vérifiables séparément.</x:v>
      </x:c>
      <x:c r="O14" s="7" t="str">
        <x:v>ME3-CHR-WREX, ME3-CHR-SHEPARD</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ME3-AMV-TALI-DRONES</x:v>
      </x:c>
      <x:c r="B15" s="9" t="str">
        <x:v>Tali — couverture de drones</x:v>
      </x:c>
      <x:c r="C15" s="15" t="str">
        <x:v>Défini</x:v>
      </x:c>
      <x:c r="D15" s="16" t="str">
        <x:v>Extrapolation</x:v>
      </x:c>
      <x:c r="E15" s="16" t="str">
        <x:v>P1</x:v>
      </x:c>
      <x:c r="F15" s="9" t="str">
        <x:v>Livrable original proposé : Tali — couverture de drones.</x:v>
      </x:c>
      <x:c r="G15" s="9" t="str">
        <x:v>Un Combat Drone attire une cible pendant que Defense Drone sécurise le retour ; deux rôles et deux icônes empêchent la confusion.</x:v>
      </x:c>
      <x:c r="H15" s="9" t="str">
        <x:v>Un Combat Drone attire une cible pendant que Defense Drone sécurise le retour ; deux rôles et deux icônes empêchent la confusion.</x:v>
      </x:c>
      <x:c r="I15" s="9" t="str">
        <x:v>Sphères de couleur et forme différentes.</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me3/ally_moves/tali-drones ; rattacher les ressources et états cités à cet identifiant. Aucun fichier de jeu créé par ce catalogue.</x:v>
      </x:c>
      <x:c r="M15" s="9" t="str"/>
      <x:c r="N15" s="9" t="str">
        <x:v>Le livrable « Tali — couverture de drones » possède une scène ou un scénario de contrôle ; ses règles proposées, ses conditions et ses retours visuels sont vérifiables séparément.</x:v>
      </x:c>
      <x:c r="O15" s="9" t="str">
        <x:v>ME3-CHR-TALI, ME3-POW-DRONE, ME3-POW-DEFENSE-DRONE</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ME3-AMV-EDI-PURGE</x:v>
      </x:c>
      <x:c r="B16" s="7" t="str">
        <x:v>EDI — purge et redirection</x:v>
      </x:c>
      <x:c r="C16" s="15" t="str">
        <x:v>Défini</x:v>
      </x:c>
      <x:c r="D16" s="17" t="str">
        <x:v>Extrapolation</x:v>
      </x:c>
      <x:c r="E16" s="17" t="str">
        <x:v>P1</x:v>
      </x:c>
      <x:c r="F16" s="7" t="str">
        <x:v>Livrable original proposé : EDI — purge et redirection.</x:v>
      </x:c>
      <x:c r="G16" s="7" t="str">
        <x:v>Defense Matrix stocke une protection proposée ; la purge offre un secours au prix de sa réserve, puis Decoy ouvre le repli.</x:v>
      </x:c>
      <x:c r="H16" s="7" t="str">
        <x:v>Defense Matrix stocke une protection proposée ; la purge offre un secours au prix de sa réserve, puis Decoy ouvre le repli.</x:v>
      </x:c>
      <x:c r="I16" s="7" t="str">
        <x:v>Segments qui se détachent puis leurre.</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me3/ally_moves/edi-purge ; rattacher les ressources et états cités à cet identifiant. Aucun fichier de jeu créé par ce catalogue.</x:v>
      </x:c>
      <x:c r="M16" s="7" t="str"/>
      <x:c r="N16" s="7" t="str">
        <x:v>Le livrable « EDI — purge et redirection » possède une scène ou un scénario de contrôle ; ses règles proposées, ses conditions et ses retours visuels sont vérifiables séparément.</x:v>
      </x:c>
      <x:c r="O16" s="7" t="str">
        <x:v>ME3-CHR-EDI, ME3-POW-DEFENSE-MATRIX</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ME3-AMV-JAMES-GRENADE</x:v>
      </x:c>
      <x:c r="B17" s="9" t="str">
        <x:v>James — couverture d’évacuation</x:v>
      </x:c>
      <x:c r="C17" s="15" t="str">
        <x:v>Défini</x:v>
      </x:c>
      <x:c r="D17" s="16" t="str">
        <x:v>Extrapolation</x:v>
      </x:c>
      <x:c r="E17" s="16" t="str">
        <x:v>P1</x:v>
      </x:c>
      <x:c r="F17" s="9" t="str">
        <x:v>Livrable original proposé : James — couverture d’évacuation.</x:v>
      </x:c>
      <x:c r="G17" s="9" t="str">
        <x:v>Tir de suppression suivi d’une grenade sur un chemin vide de civils ; cible de zone interdite si civil dans rayon affiché.</x:v>
      </x:c>
      <x:c r="H17" s="9" t="str">
        <x:v>Tir de suppression suivi d’une grenade sur un chemin vide de civils ; cible de zone interdite si civil dans rayon affiché.</x:v>
      </x:c>
      <x:c r="I17" s="9" t="str">
        <x:v>Bras en lancer et flèche d’évacuation.</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me3/ally_moves/james-grenade ; rattacher les ressources et états cités à cet identifiant. Aucun fichier de jeu créé par ce catalogue.</x:v>
      </x:c>
      <x:c r="M17" s="9" t="str"/>
      <x:c r="N17" s="9" t="str">
        <x:v>Le livrable « James — couverture d’évacuation » possède une scène ou un scénario de contrôle ; ses règles proposées, ses conditions et ses retours visuels sont vérifiables séparément.</x:v>
      </x:c>
      <x:c r="O17" s="9" t="str">
        <x:v>ME3-CHR-JAMES, ME3-POW-FRAG</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ME3-AMV-LIARA-STASIS</x:v>
      </x:c>
      <x:c r="B18" s="7" t="str">
        <x:v>Liara — verrou de cible prioritaire</x:v>
      </x:c>
      <x:c r="C18" s="15" t="str">
        <x:v>Défini</x:v>
      </x:c>
      <x:c r="D18" s="17" t="str">
        <x:v>Extrapolation</x:v>
      </x:c>
      <x:c r="E18" s="17" t="str">
        <x:v>P1</x:v>
      </x:c>
      <x:c r="F18" s="7" t="str">
        <x:v>Livrable original proposé : Liara — verrou de cible prioritaire.</x:v>
      </x:c>
      <x:c r="G18" s="7" t="str">
        <x:v>Stasis suspend la menace compatible, puis repositionnement du groupe ; la cible non contrôlable affiche résistance et aucun piège de commande.</x:v>
      </x:c>
      <x:c r="H18" s="7" t="str">
        <x:v>Stasis suspend la menace compatible, puis repositionnement du groupe ; la cible non contrôlable affiche résistance et aucun piège de commande.</x:v>
      </x:c>
      <x:c r="I18" s="7" t="str">
        <x:v>Cadre biotique autour d’une silhouette.</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me3/ally_moves/liara-stasis ; rattacher les ressources et états cités à cet identifiant. Aucun fichier de jeu créé par ce catalogue.</x:v>
      </x:c>
      <x:c r="M18" s="7" t="str"/>
      <x:c r="N18" s="7" t="str">
        <x:v>Le livrable « Liara — verrou de cible prioritaire » possède une scène ou un scénario de contrôle ; ses règles proposées, ses conditions et ses retours visuels sont vérifiables séparément.</x:v>
      </x:c>
      <x:c r="O18" s="7" t="str">
        <x:v>ME3-CHR-LIARA, ME3-POW-STASIS</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ME3-AMV-GARRUS-MINE</x:v>
      </x:c>
      <x:c r="B19" s="9" t="str">
        <x:v>Garrus — embuscade de flanc</x:v>
      </x:c>
      <x:c r="C19" s="15" t="str">
        <x:v>Défini</x:v>
      </x:c>
      <x:c r="D19" s="16" t="str">
        <x:v>Extrapolation</x:v>
      </x:c>
      <x:c r="E19" s="16" t="str">
        <x:v>P1</x:v>
      </x:c>
      <x:c r="F19" s="9" t="str">
        <x:v>Livrable original proposé : Garrus — embuscade de flanc.</x:v>
      </x:c>
      <x:c r="G19" s="9" t="str">
        <x:v>Mine sur accès annoncé et tir de précision sur une autre cible ; mine persiste jusqu’à déclenchement ou fin de rencontre définie.</x:v>
      </x:c>
      <x:c r="H19" s="9" t="str">
        <x:v>Mine sur accès annoncé et tir de précision sur une autre cible ; mine persiste jusqu’à déclenchement ou fin de rencontre définie.</x:v>
      </x:c>
      <x:c r="I19" s="9" t="str">
        <x:v>Mine basse et marque de visée.</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me3/ally_moves/garrus-mine ; rattacher les ressources et états cités à cet identifiant. Aucun fichier de jeu créé par ce catalogue.</x:v>
      </x:c>
      <x:c r="M19" s="9" t="str"/>
      <x:c r="N19" s="9" t="str">
        <x:v>Le livrable « Garrus — embuscade de flanc » possède une scène ou un scénario de contrôle ; ses règles proposées, ses conditions et ses retours visuels sont vérifiables séparément.</x:v>
      </x:c>
      <x:c r="O19" s="9" t="str">
        <x:v>ME3-CHR-GARRUS, ME3-POW-PROXIMITY</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68" customHeight="1">
      <x:c r="A20" s="19" t="str">
        <x:v>ME3-AMV-JAVIK-SLAM</x:v>
      </x:c>
      <x:c r="B20" s="7" t="str">
        <x:v>Javik — chute contrôlée</x:v>
      </x:c>
      <x:c r="C20" s="15" t="str">
        <x:v>Défini</x:v>
      </x:c>
      <x:c r="D20" s="17" t="str">
        <x:v>Extrapolation</x:v>
      </x:c>
      <x:c r="E20" s="17" t="str">
        <x:v>P1</x:v>
      </x:c>
      <x:c r="F20" s="7" t="str">
        <x:v>Livrable original proposé : Javik — chute contrôlée.</x:v>
      </x:c>
      <x:c r="G20" s="7" t="str">
        <x:v>Pull puis Slam sur cible admissible ; verrou au sol évite que la chute déplace le sprite dans un couvert interdit.</x:v>
      </x:c>
      <x:c r="H20" s="7" t="str">
        <x:v>Pull puis Slam sur cible admissible ; verrou au sol évite que la chute déplace le sprite dans un couvert interdit.</x:v>
      </x:c>
      <x:c r="I20" s="7" t="str">
        <x:v>Trajet vertical et impact.</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me3/ally_moves/javik-slam ; rattacher les ressources et états cités à cet identifiant. Aucun fichier de jeu créé par ce catalogue.</x:v>
      </x:c>
      <x:c r="M20" s="7" t="str"/>
      <x:c r="N20" s="7" t="str">
        <x:v>Le livrable « Javik — chute contrôlée » possède une scène ou un scénario de contrôle ; ses règles proposées, ses conditions et ses retours visuels sont vérifiables séparément.</x:v>
      </x:c>
      <x:c r="O20" s="7" t="str">
        <x:v>ME3-CHR-JAVIK, ME3-POW-PULL, ME3-POW-SLAM</x:v>
      </x:c>
      <x:c r="P20" s="7" t="str">
        <x:v>Adaptation originale — spécification de production</x:v>
      </x:c>
      <x:c r="Q20" s="7" t="str"/>
      <x:c r="R20" s="21" t="str"/>
      <x:c r="S20" s="21" t="str">
        <x:v>Spécification à réaliser. Les champs adaptation, gameplay, visual, animation, audio et implementation décrivent le fan game ; ils ne donnent pas des caractéristiques officielles de l’œuvre.</x:v>
      </x:c>
    </x:row>
    <x:row r="21" ht="68" customHeight="1">
      <x:c r="A21" s="18" t="str">
        <x:v>ME3-AMV-NYREEN-RESCUE</x:v>
      </x:c>
      <x:c r="B21" s="9" t="str">
        <x:v>Nyreen — relais de secours</x:v>
      </x:c>
      <x:c r="C21" s="15" t="str">
        <x:v>Défini</x:v>
      </x:c>
      <x:c r="D21" s="16" t="str">
        <x:v>Extrapolation</x:v>
      </x:c>
      <x:c r="E21" s="16" t="str">
        <x:v>P1</x:v>
      </x:c>
      <x:c r="F21" s="9" t="str">
        <x:v>Livrable original proposé : Nyreen — relais de secours.</x:v>
      </x:c>
      <x:c r="G21" s="9" t="str">
        <x:v>Préparer la protection avant d’ouvrir un chemin aux civils ; action de soutien validée par passage du groupe, sans compte de morts caché.</x:v>
      </x:c>
      <x:c r="H21" s="9" t="str">
        <x:v>Préparer la protection avant d’ouvrir un chemin aux civils ; action de soutien validée par passage du groupe, sans compte de morts caché.</x:v>
      </x:c>
      <x:c r="I21" s="9" t="str">
        <x:v>Dôme et trajectoire civile.</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me3/ally_moves/nyreen-rescue ; rattacher les ressources et états cités à cet identifiant. Aucun fichier de jeu créé par ce catalogue.</x:v>
      </x:c>
      <x:c r="M21" s="9" t="str">
        <x:v>Omega seulement.</x:v>
      </x:c>
      <x:c r="N21" s="9" t="str">
        <x:v>Le livrable « Nyreen — relais de secours » possède une scène ou un scénario de contrôle ; ses règles proposées, ses conditions et ses retours visuels sont vérifiables séparément.</x:v>
      </x:c>
      <x:c r="O21" s="9" t="str">
        <x:v>ME3-CHR-NYREEN, ME3-POW-BIOTIC-PROTECTOR</x:v>
      </x:c>
      <x:c r="P21" s="9" t="str">
        <x:v>Adaptation originale — spécification de production</x:v>
      </x:c>
      <x:c r="Q21" s="9" t="str"/>
      <x:c r="R21" s="20" t="str"/>
      <x:c r="S21" s="20" t="str">
        <x:v>Spécification à réaliser. Les champs adaptation, gameplay, visual, animation, audio et implementation décrivent le fan game ; ils ne donnent pas des caractéristiques officielles de l’œuvre.</x:v>
      </x:c>
    </x:row>
    <x:row r="22" ht="68" customHeight="1">
      <x:c r="A22" s="19" t="str">
        <x:v>ME3-AMV-ARENA-KASUMI</x:v>
      </x:c>
      <x:c r="B22" s="7" t="str">
        <x:v>Kasumi — diversion de simulation</x:v>
      </x:c>
      <x:c r="C22" s="15" t="str">
        <x:v>Défini</x:v>
      </x:c>
      <x:c r="D22" s="17" t="str">
        <x:v>Extrapolation</x:v>
      </x:c>
      <x:c r="E22" s="17" t="str">
        <x:v>P1</x:v>
      </x:c>
      <x:c r="F22" s="7" t="str">
        <x:v>Livrable original proposé : Kasumi — diversion de simulation.</x:v>
      </x:c>
      <x:c r="G22" s="7" t="str">
        <x:v>Cloak et Decoy alternent pour ouvrir un angle ; l’arsenal de ME2 ne s’importe pas automatiquement dans son moveset Armax.</x:v>
      </x:c>
      <x:c r="H22" s="7" t="str">
        <x:v>Cloak et Decoy alternent pour ouvrir un angle ; l’arsenal de ME2 ne s’importe pas automatiquement dans son moveset Armax.</x:v>
      </x:c>
      <x:c r="I22" s="7" t="str">
        <x:v>Deux silhouettes dont une holographique.</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me3/ally_moves/arena-kasumi ; rattacher les ressources et états cités à cet identifiant. Aucun fichier de jeu créé par ce catalogue.</x:v>
      </x:c>
      <x:c r="M22" s="7" t="str">
        <x:v>Armax seulement.</x:v>
      </x:c>
      <x:c r="N22" s="7" t="str">
        <x:v>Le livrable « Kasumi — diversion de simulation » possède une scène ou un scénario de contrôle ; ses règles proposées, ses conditions et ses retours visuels sont vérifiables séparément.</x:v>
      </x:c>
      <x:c r="O22" s="7" t="str">
        <x:v>ME3-CHR-ARENA-KASUMI</x:v>
      </x:c>
      <x:c r="P22" s="7" t="str">
        <x:v>Adaptation originale — spécification de production</x:v>
      </x:c>
      <x:c r="Q22" s="7" t="str"/>
      <x:c r="R22" s="21" t="str"/>
      <x:c r="S22" s="21" t="str">
        <x:v>Spécification à réaliser. Les champs adaptation, gameplay, visual, animation, audio et implementation décrivent le fan game ; ils ne donnent pas des caractéristiques officielles de l’œuvre.</x:v>
      </x:c>
    </x:row>
    <x:row r="23" ht="68" customHeight="1">
      <x:c r="A23" s="18" t="str">
        <x:v>ME3-AMV-ARENA-MIRANDA</x:v>
      </x:c>
      <x:c r="B23" s="9" t="str">
        <x:v>Miranda — rupture mixte d’arène</x:v>
      </x:c>
      <x:c r="C23" s="15" t="str">
        <x:v>Défini</x:v>
      </x:c>
      <x:c r="D23" s="16" t="str">
        <x:v>Extrapolation</x:v>
      </x:c>
      <x:c r="E23" s="16" t="str">
        <x:v>P1</x:v>
      </x:c>
      <x:c r="F23" s="9" t="str">
        <x:v>Livrable original proposé : Miranda — rupture mixte d’arène.</x:v>
      </x:c>
      <x:c r="G23" s="9" t="str">
        <x:v>Overload puis Warp selon la protection affichée ; menu évite de proposer une efficacité de bouclier identique contre barrière.</x:v>
      </x:c>
      <x:c r="H23" s="9" t="str">
        <x:v>Overload puis Warp selon la protection affichée ; menu évite de proposer une efficacité de bouclier identique contre barrière.</x:v>
      </x:c>
      <x:c r="I23" s="9" t="str">
        <x:v>Orange tech et violet biotique.</x:v>
      </x:c>
      <x:c r="J23" s="9" t="str">
        <x:v>Préparer état de repos, anticipation, activation et retour au repos ; aligner les événements visuels sur la résolution de l’action ATB.</x:v>
      </x:c>
      <x:c r="K23" s="9" t="str">
        <x:v>Créer des bruitages et ambiances originaux adaptés au livrable ; sous-titrer les indices utiles et proposer un réglage indépendant des effets. Aucune extraction audio demandée.</x:v>
      </x:c>
      <x:c r="L23" s="9" t="str">
        <x:v>Prévu : fiche de données me3/ally_moves/arena-miranda ; rattacher les ressources et états cités à cet identifiant. Aucun fichier de jeu créé par ce catalogue.</x:v>
      </x:c>
      <x:c r="M23" s="9" t="str">
        <x:v>Armax seulement.</x:v>
      </x:c>
      <x:c r="N23" s="9" t="str">
        <x:v>Le livrable « Miranda — rupture mixte d’arène » possède une scène ou un scénario de contrôle ; ses règles proposées, ses conditions et ses retours visuels sont vérifiables séparément.</x:v>
      </x:c>
      <x:c r="O23" s="9" t="str">
        <x:v>ME3-CHR-ARENA-MIRANDA</x:v>
      </x:c>
      <x:c r="P23" s="9" t="str">
        <x:v>Adaptation originale — spécification de production</x:v>
      </x:c>
      <x:c r="Q23" s="9" t="str"/>
      <x:c r="R23" s="20" t="str"/>
      <x:c r="S23" s="20" t="str">
        <x:v>Spécification à réaliser. Les champs adaptation, gameplay, visual, animation, audio et implementation décrivent le fan game ; ils ne donnent pas des caractéristiques officielles de l’œuvre.</x:v>
      </x:c>
    </x:row>
    <x:row r="24" ht="68" customHeight="1">
      <x:c r="A24" s="19" t="str">
        <x:v>ME3-AMV-RESCUE</x:v>
      </x:c>
      <x:c r="B24" s="7" t="str">
        <x:v>Ordre commun — secourir un allié</x:v>
      </x:c>
      <x:c r="C24" s="15" t="str">
        <x:v>Défini</x:v>
      </x:c>
      <x:c r="D24" s="17" t="str">
        <x:v>Extrapolation</x:v>
      </x:c>
      <x:c r="E24" s="17" t="str">
        <x:v>P1</x:v>
      </x:c>
      <x:c r="F24" s="7" t="str">
        <x:v>Livrable original proposé : Ordre commun — secourir un allié.</x:v>
      </x:c>
      <x:c r="G24" s="7" t="str">
        <x:v>Réserver un chemin et un emplacement de soin ; si la cible est relevée avant arrivée, annuler proprement sans double consommation.</x:v>
      </x:c>
      <x:c r="H24" s="7" t="str">
        <x:v>Réserver un chemin et un emplacement de soin ; si la cible est relevée avant arrivée, annuler proprement sans double consommation.</x:v>
      </x:c>
      <x:c r="I24" s="7" t="str">
        <x:v>Contour médical et zone de contact.</x:v>
      </x:c>
      <x:c r="J24" s="7" t="str">
        <x:v>Préparer état de repos, anticipation, activation et retour au repos ; aligner les événements visuels sur la résolution de l’action ATB.</x:v>
      </x:c>
      <x:c r="K24" s="7" t="str">
        <x:v>Créer des bruitages et ambiances originaux adaptés au livrable ; sous-titrer les indices utiles et proposer un réglage indépendant des effets. Aucune extraction audio demandée.</x:v>
      </x:c>
      <x:c r="L24" s="7" t="str">
        <x:v>Prévu : fiche de données me3/ally_moves/rescue ; rattacher les ressources et états cités à cet identifiant. Aucun fichier de jeu créé par ce catalogue.</x:v>
      </x:c>
      <x:c r="M24" s="7" t="str"/>
      <x:c r="N24" s="7" t="str">
        <x:v>Le livrable « Ordre commun — secourir un allié » possède une scène ou un scénario de contrôle ; ses règles proposées, ses conditions et ses retours visuels sont vérifiables séparément.</x:v>
      </x:c>
      <x:c r="O24" s="7" t="str">
        <x:v>ME3-EQP-MEDIGEL</x:v>
      </x:c>
      <x:c r="P24" s="7" t="str">
        <x:v>Adaptation originale — spécification de production</x:v>
      </x:c>
      <x:c r="Q24" s="7" t="str"/>
      <x:c r="R24" s="21" t="str"/>
      <x:c r="S24" s="21" t="str">
        <x:v>Spécification à réaliser. Les champs adaptation, gameplay, visual, animation, audio et implementation décrivent le fan game ; ils ne donnent pas des caractéristiques officielles de l’œuvre.</x:v>
      </x:c>
    </x:row>
  </x:sheetData>
  <x:conditionalFormatting sqref="D7:D24">
    <x:cfRule type="cellIs" dxfId="68" priority="1" operator="equal">
      <x:formula>"À vérifier"</x:formula>
    </x:cfRule>
    <x:cfRule type="cellIs" dxfId="69" priority="2" operator="equal">
      <x:formula>"Extrapolation"</x:formula>
    </x:cfRule>
  </x:conditionalFormatting>
  <x:conditionalFormatting sqref="C7:C24">
    <x:cfRule type="cellIs" dxfId="70" priority="3" operator="equal">
      <x:formula>"Validé"</x:formula>
    </x:cfRule>
  </x:conditionalFormatting>
  <x:conditionalFormatting sqref="E7:E24">
    <x:cfRule type="cellIs" dxfId="71" priority="4" operator="equal">
      <x:formula>"P0"</x:formula>
    </x:cfRule>
  </x:conditionalFormatting>
  <x:dataValidations count="3">
    <x:dataValidation type="list" sqref="C7:C24">
      <x:formula1>"Défini,Prototype,Intégré,Validé"</x:formula1>
    </x:dataValidation>
    <x:dataValidation type="list" sqref="D7:D24">
      <x:formula1>"Établi,À vérifier,Extrapolation,Coupé attesté,Concept abandonné,Allégation écartée"</x:formula1>
    </x:dataValidation>
    <x:dataValidation type="list" sqref="E7:E24">
      <x:formula1>"P0,P1,P2"</x:formula1>
    </x:dataValidation>
  </x:dataValidations>
  <x:pageMargins left="0.7" right="0.7" top="0.75" bottom="0.75" header="0.3" footer="0.3"/>
  <x:tableParts count="1">
    <x:tablePart xmlns:r="http://schemas.openxmlformats.org/officeDocument/2006/relationships" r:id="Rfe2545043f9847ce"/>
  </x:tableParts>
</x:worksheet>
</file>

<file path=xl/worksheets/sheet2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ennemis</x:v>
      </x:c>
      <x:c r="B2" s="2"/>
      <x:c r="C2" s="2"/>
      <x:c r="D2" s="2"/>
      <x:c r="E2" s="2"/>
      <x:c r="F2" s="2"/>
      <x:c r="G2" s="2"/>
      <x:c r="H2" s="2"/>
      <x:c r="I2" s="2"/>
      <x:c r="J2" s="2"/>
      <x:c r="K2" s="2"/>
      <x:c r="L2" s="2"/>
      <x:c r="M2" s="2"/>
      <x:c r="N2" s="2"/>
      <x:c r="O2" s="2"/>
      <x:c r="P2" s="2"/>
      <x:c r="Q2" s="2"/>
      <x:c r="R2" s="2"/>
      <x:c r="S2" s="2"/>
    </x:row>
    <x:row r="3" ht="22" customHeight="1">
      <x:c r="A3" s="4" t="str">
        <x:v>Mass Effect 3 — Télégraphes, actions et réponses tactiques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ME3-EMV-ASSAULT</x:v>
      </x:c>
      <x:c r="B7" s="9" t="str">
        <x:v>Séquence adverse — Cerberus Assault Trooper</x:v>
      </x:c>
      <x:c r="C7" s="15" t="str">
        <x:v>Défini</x:v>
      </x:c>
      <x:c r="D7" s="16" t="str">
        <x:v>Extrapolation</x:v>
      </x:c>
      <x:c r="E7" s="16" t="str">
        <x:v>P1</x:v>
      </x:c>
      <x:c r="F7" s="9" t="str">
        <x:v>Livrable original proposé : Séquence adverse — Cerberus Assault Trooper.</x:v>
      </x:c>
      <x:c r="G7" s="9" t="str">
        <x:v>Avance de couvert en couvert et lance une grenade de délogement ; sortie sûre affichée avant résolution.</x:v>
      </x:c>
      <x:c r="H7" s="9" t="str">
        <x:v>Avance de couvert en couvert et lance une grenade de délogement ; sortie sûre affichée avant résolution.</x:v>
      </x:c>
      <x:c r="I7" s="9" t="str">
        <x:v>Armure blanche, noir et visière rouge.</x:v>
      </x:c>
      <x:c r="J7" s="9" t="str">
        <x:v>Préparation orientée, événement de résolution unique, retour au contrôle ; pour bond ou charge, réserver départ et arrivée avant mouvement.</x:v>
      </x:c>
      <x:c r="K7" s="9" t="str">
        <x:v>Un seul événement de danger et un seul impact par résolution ; pas de répétition lors d’un retour de pause tactique.</x:v>
      </x:c>
      <x:c r="L7" s="9" t="str">
        <x:v>Prévu : fiche de données me3/enemy_moves/assault ; rattacher les ressources et états cités à cet identifiant. Aucun fichier de jeu créé par ce catalogue.</x:v>
      </x:c>
      <x:c r="M7" s="9" t="str">
        <x:v>Campagne et simulation.</x:v>
      </x:c>
      <x:c r="N7" s="9" t="str">
        <x:v>La séquence de Cerberus Assault Trooper respecte son aire de menace, conserve sa cible réservée pendant la préparation et annule proprement coût/effets si la scène change.</x:v>
      </x:c>
      <x:c r="O7" s="9" t="str">
        <x:v>ME3-ENM-ASSAULT</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ME3-EMV-CENTURION</x:v>
      </x:c>
      <x:c r="B8" s="7" t="str">
        <x:v>Séquence adverse — Cerberus Centurion</x:v>
      </x:c>
      <x:c r="C8" s="15" t="str">
        <x:v>Défini</x:v>
      </x:c>
      <x:c r="D8" s="17" t="str">
        <x:v>Extrapolation</x:v>
      </x:c>
      <x:c r="E8" s="17" t="str">
        <x:v>P1</x:v>
      </x:c>
      <x:c r="F8" s="7" t="str">
        <x:v>Livrable original proposé : Séquence adverse — Cerberus Centurion.</x:v>
      </x:c>
      <x:c r="G8" s="7" t="str">
        <x:v>Fumée de protection et rafale ; son écran brouille la visée mais jamais les marqueurs de menace du fan game.</x:v>
      </x:c>
      <x:c r="H8" s="7" t="str">
        <x:v>Fumée de protection et rafale ; son écran brouille la visée mais jamais les marqueurs de menace du fan game.</x:v>
      </x:c>
      <x:c r="I8" s="7" t="str">
        <x:v>Armure renforcée et fumigène.</x:v>
      </x:c>
      <x:c r="J8" s="7" t="str">
        <x:v>Préparation orientée, événement de résolution unique, retour au contrôle ; pour bond ou charge, réserver départ et arrivée avant mouvement.</x:v>
      </x:c>
      <x:c r="K8" s="7" t="str">
        <x:v>Un seul événement de danger et un seul impact par résolution ; pas de répétition lors d’un retour de pause tactique.</x:v>
      </x:c>
      <x:c r="L8" s="7" t="str">
        <x:v>Prévu : fiche de données me3/enemy_moves/centurion ; rattacher les ressources et états cités à cet identifiant. Aucun fichier de jeu créé par ce catalogue.</x:v>
      </x:c>
      <x:c r="M8" s="7" t="str">
        <x:v>Campagne et simulation.</x:v>
      </x:c>
      <x:c r="N8" s="7" t="str">
        <x:v>La séquence de Cerberus Centurion respecte son aire de menace, conserve sa cible réservée pendant la préparation et annule proprement coût/effets si la scène change.</x:v>
      </x:c>
      <x:c r="O8" s="7" t="str">
        <x:v>ME3-ENM-CENTURION</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ME3-EMV-ENGINEER</x:v>
      </x:c>
      <x:c r="B9" s="9" t="str">
        <x:v>Séquence adverse — Cerberus Combat Engineer</x:v>
      </x:c>
      <x:c r="C9" s="15" t="str">
        <x:v>Défini</x:v>
      </x:c>
      <x:c r="D9" s="16" t="str">
        <x:v>Extrapolation</x:v>
      </x:c>
      <x:c r="E9" s="16" t="str">
        <x:v>P1</x:v>
      </x:c>
      <x:c r="F9" s="9" t="str">
        <x:v>Livrable original proposé : Séquence adverse — Cerberus Combat Engineer.</x:v>
      </x:c>
      <x:c r="G9" s="9" t="str">
        <x:v>Pose une tourelle à un emplacement annoncé ; interrompre le montage évite l’activation, détruire l’ingénieur ne téléporte pas l’objet.</x:v>
      </x:c>
      <x:c r="H9" s="9" t="str">
        <x:v>Pose une tourelle à un emplacement annoncé ; interrompre le montage évite l’activation, détruire l’ingénieur ne téléporte pas l’objet.</x:v>
      </x:c>
      <x:c r="I9" s="9" t="str">
        <x:v>Omni-outil et sac technique.</x:v>
      </x:c>
      <x:c r="J9" s="9" t="str">
        <x:v>Préparation orientée, événement de résolution unique, retour au contrôle ; pour bond ou charge, réserver départ et arrivée avant mouvement.</x:v>
      </x:c>
      <x:c r="K9" s="9" t="str">
        <x:v>Un seul événement de danger et un seul impact par résolution ; pas de répétition lors d’un retour de pause tactique.</x:v>
      </x:c>
      <x:c r="L9" s="9" t="str">
        <x:v>Prévu : fiche de données me3/enemy_moves/engineer ; rattacher les ressources et états cités à cet identifiant. Aucun fichier de jeu créé par ce catalogue.</x:v>
      </x:c>
      <x:c r="M9" s="9" t="str">
        <x:v>Campagne et simulation.</x:v>
      </x:c>
      <x:c r="N9" s="9" t="str">
        <x:v>La séquence de Cerberus Combat Engineer respecte son aire de menace, conserve sa cible réservée pendant la préparation et annule proprement coût/effets si la scène change.</x:v>
      </x:c>
      <x:c r="O9" s="9" t="str">
        <x:v>ME3-ENM-ENGINEER</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ME3-EMV-GUARDIAN</x:v>
      </x:c>
      <x:c r="B10" s="7" t="str">
        <x:v>Séquence adverse — Cerberus Guardian</x:v>
      </x:c>
      <x:c r="C10" s="15" t="str">
        <x:v>Défini</x:v>
      </x:c>
      <x:c r="D10" s="17" t="str">
        <x:v>Extrapolation</x:v>
      </x:c>
      <x:c r="E10" s="17" t="str">
        <x:v>P1</x:v>
      </x:c>
      <x:c r="F10" s="7" t="str">
        <x:v>Livrable original proposé : Séquence adverse — Cerberus Guardian.</x:v>
      </x:c>
      <x:c r="G10" s="7" t="str">
        <x:v>Avancée frontale ; flanc et ouverture de tir clairement prévisualisés, résistance ne se réduit pas à une santé arbitraire.</x:v>
      </x:c>
      <x:c r="H10" s="7" t="str">
        <x:v>Avancée frontale ; flanc et ouverture de tir clairement prévisualisés, résistance ne se réduit pas à une santé arbitraire.</x:v>
      </x:c>
      <x:c r="I10" s="7" t="str">
        <x:v>Bouclier rectangulaire à meurtrière.</x:v>
      </x:c>
      <x:c r="J10" s="7" t="str">
        <x:v>Préparation orientée, événement de résolution unique, retour au contrôle ; pour bond ou charge, réserver départ et arrivée avant mouvement.</x:v>
      </x:c>
      <x:c r="K10" s="7" t="str">
        <x:v>Un seul événement de danger et un seul impact par résolution ; pas de répétition lors d’un retour de pause tactique.</x:v>
      </x:c>
      <x:c r="L10" s="7" t="str">
        <x:v>Prévu : fiche de données me3/enemy_moves/guardian ; rattacher les ressources et états cités à cet identifiant. Aucun fichier de jeu créé par ce catalogue.</x:v>
      </x:c>
      <x:c r="M10" s="7" t="str">
        <x:v>Campagne et simulation.</x:v>
      </x:c>
      <x:c r="N10" s="7" t="str">
        <x:v>La séquence de Cerberus Guardian respecte son aire de menace, conserve sa cible réservée pendant la préparation et annule proprement coût/effets si la scène change.</x:v>
      </x:c>
      <x:c r="O10" s="7" t="str">
        <x:v>ME3-ENM-GUARDIAN</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ME3-EMV-NEMESIS</x:v>
      </x:c>
      <x:c r="B11" s="9" t="str">
        <x:v>Séquence adverse — Cerberus Nemesis</x:v>
      </x:c>
      <x:c r="C11" s="15" t="str">
        <x:v>Défini</x:v>
      </x:c>
      <x:c r="D11" s="16" t="str">
        <x:v>Extrapolation</x:v>
      </x:c>
      <x:c r="E11" s="16" t="str">
        <x:v>P1</x:v>
      </x:c>
      <x:c r="F11" s="9" t="str">
        <x:v>Livrable original proposé : Séquence adverse — Cerberus Nemesis.</x:v>
      </x:c>
      <x:c r="G11" s="9" t="str">
        <x:v>Marque sa cible par laser avant tir ; briser la ligne ou l’interrompre annule la charge.</x:v>
      </x:c>
      <x:c r="H11" s="9" t="str">
        <x:v>Marque sa cible par laser avant tir ; briser la ligne ou l’interrompre annule la charge.</x:v>
      </x:c>
      <x:c r="I11" s="9" t="str">
        <x:v>Silhouette fine et viseur rouge.</x:v>
      </x:c>
      <x:c r="J11" s="9" t="str">
        <x:v>Préparation orientée, événement de résolution unique, retour au contrôle ; pour bond ou charge, réserver départ et arrivée avant mouvement.</x:v>
      </x:c>
      <x:c r="K11" s="9" t="str">
        <x:v>Un seul événement de danger et un seul impact par résolution ; pas de répétition lors d’un retour de pause tactique.</x:v>
      </x:c>
      <x:c r="L11" s="9" t="str">
        <x:v>Prévu : fiche de données me3/enemy_moves/nemesis ; rattacher les ressources et états cités à cet identifiant. Aucun fichier de jeu créé par ce catalogue.</x:v>
      </x:c>
      <x:c r="M11" s="9" t="str">
        <x:v>Campagne et simulation.</x:v>
      </x:c>
      <x:c r="N11" s="9" t="str">
        <x:v>La séquence de Cerberus Nemesis respecte son aire de menace, conserve sa cible réservée pendant la préparation et annule proprement coût/effets si la scène change.</x:v>
      </x:c>
      <x:c r="O11" s="9" t="str">
        <x:v>ME3-ENM-NEMESIS</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ME3-EMV-PHANTOM</x:v>
      </x:c>
      <x:c r="B12" s="7" t="str">
        <x:v>Séquence adverse — Cerberus Phantom</x:v>
      </x:c>
      <x:c r="C12" s="15" t="str">
        <x:v>Défini</x:v>
      </x:c>
      <x:c r="D12" s="17" t="str">
        <x:v>Extrapolation</x:v>
      </x:c>
      <x:c r="E12" s="17" t="str">
        <x:v>P1</x:v>
      </x:c>
      <x:c r="F12" s="7" t="str">
        <x:v>Livrable original proposé : Séquence adverse — Cerberus Phantom.</x:v>
      </x:c>
      <x:c r="G12" s="7" t="str">
        <x:v>Approche furtive, barrière puis attaque de lame ; prise létale originale convertie en saisie télégraphiée avec possibilité de secours.</x:v>
      </x:c>
      <x:c r="H12" s="7" t="str">
        <x:v>Approche furtive, barrière puis attaque de lame ; prise létale originale convertie en saisie télégraphiée avec possibilité de secours.</x:v>
      </x:c>
      <x:c r="I12" s="7" t="str">
        <x:v>Lame, corps agile et voile de camouflage.</x:v>
      </x:c>
      <x:c r="J12" s="7" t="str">
        <x:v>Préparation orientée, événement de résolution unique, retour au contrôle ; pour bond ou charge, réserver départ et arrivée avant mouvement.</x:v>
      </x:c>
      <x:c r="K12" s="7" t="str">
        <x:v>Un seul événement de danger et un seul impact par résolution ; pas de répétition lors d’un retour de pause tactique.</x:v>
      </x:c>
      <x:c r="L12" s="7" t="str">
        <x:v>Prévu : fiche de données me3/enemy_moves/phantom ; rattacher les ressources et états cités à cet identifiant. Aucun fichier de jeu créé par ce catalogue.</x:v>
      </x:c>
      <x:c r="M12" s="7" t="str">
        <x:v>Campagne et simulation.</x:v>
      </x:c>
      <x:c r="N12" s="7" t="str">
        <x:v>La séquence de Cerberus Phantom respecte son aire de menace, conserve sa cible réservée pendant la préparation et annule proprement coût/effets si la scène change.</x:v>
      </x:c>
      <x:c r="O12" s="7" t="str">
        <x:v>ME3-ENM-PHANTOM</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ME3-EMV-ATLAS</x:v>
      </x:c>
      <x:c r="B13" s="9" t="str">
        <x:v>Séquence adverse — Atlas</x:v>
      </x:c>
      <x:c r="C13" s="15" t="str">
        <x:v>Défini</x:v>
      </x:c>
      <x:c r="D13" s="16" t="str">
        <x:v>Extrapolation</x:v>
      </x:c>
      <x:c r="E13" s="16" t="str">
        <x:v>P1</x:v>
      </x:c>
      <x:c r="F13" s="9" t="str">
        <x:v>Livrable original proposé : Séquence adverse — Atlas.</x:v>
      </x:c>
      <x:c r="G13" s="9" t="str">
        <x:v>Missile de zone, canon puis récupération ; pilote visible comme point ciblable si la rencontre autorise cette interaction.</x:v>
      </x:c>
      <x:c r="H13" s="9" t="str">
        <x:v>Missile de zone, canon puis récupération ; pilote visible comme point ciblable si la rencontre autorise cette interaction.</x:v>
      </x:c>
      <x:c r="I13" s="9" t="str">
        <x:v>Cockpit vitré et châssis massif.</x:v>
      </x:c>
      <x:c r="J13" s="9" t="str">
        <x:v>Préparation orientée, événement de résolution unique, retour au contrôle ; pour bond ou charge, réserver départ et arrivée avant mouvement.</x:v>
      </x:c>
      <x:c r="K13" s="9" t="str">
        <x:v>Un seul événement de danger et un seul impact par résolution ; pas de répétition lors d’un retour de pause tactique.</x:v>
      </x:c>
      <x:c r="L13" s="9" t="str">
        <x:v>Prévu : fiche de données me3/enemy_moves/atlas ; rattacher les ressources et états cités à cet identifiant. Aucun fichier de jeu créé par ce catalogue.</x:v>
      </x:c>
      <x:c r="M13" s="9" t="str">
        <x:v>Campagne ; variantes de pilotage à vérifier.</x:v>
      </x:c>
      <x:c r="N13" s="9" t="str">
        <x:v>La séquence de Atlas respecte son aire de menace, conserve sa cible réservée pendant la préparation et annule proprement coût/effets si la scène change.</x:v>
      </x:c>
      <x:c r="O13" s="9" t="str">
        <x:v>ME3-ENM-ATLAS</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ME3-EMV-TURRET</x:v>
      </x:c>
      <x:c r="B14" s="7" t="str">
        <x:v>Séquence adverse — Tourelle Cerberus</x:v>
      </x:c>
      <x:c r="C14" s="15" t="str">
        <x:v>Défini</x:v>
      </x:c>
      <x:c r="D14" s="17" t="str">
        <x:v>Extrapolation</x:v>
      </x:c>
      <x:c r="E14" s="17" t="str">
        <x:v>P1</x:v>
      </x:c>
      <x:c r="F14" s="7" t="str">
        <x:v>Livrable original proposé : Séquence adverse — Tourelle Cerberus.</x:v>
      </x:c>
      <x:c r="G14" s="7" t="str">
        <x:v>Pivot limité et cône de suppression ; l’interface montre sa ligne de tir même derrière un sprite allié.</x:v>
      </x:c>
      <x:c r="H14" s="7" t="str">
        <x:v>Pivot limité et cône de suppression ; l’interface montre sa ligne de tir même derrière un sprite allié.</x:v>
      </x:c>
      <x:c r="I14" s="7" t="str">
        <x:v>Trépied et canon automatique.</x:v>
      </x:c>
      <x:c r="J14" s="7" t="str">
        <x:v>Préparation orientée, événement de résolution unique, retour au contrôle ; pour bond ou charge, réserver départ et arrivée avant mouvement.</x:v>
      </x:c>
      <x:c r="K14" s="7" t="str">
        <x:v>Un seul événement de danger et un seul impact par résolution ; pas de répétition lors d’un retour de pause tactique.</x:v>
      </x:c>
      <x:c r="L14" s="7" t="str">
        <x:v>Prévu : fiche de données me3/enemy_moves/turret ; rattacher les ressources et états cités à cet identifiant. Aucun fichier de jeu créé par ce catalogue.</x:v>
      </x:c>
      <x:c r="M14" s="7" t="str">
        <x:v>Campagne et simulation.</x:v>
      </x:c>
      <x:c r="N14" s="7" t="str">
        <x:v>La séquence de Tourelle Cerberus respecte son aire de menace, conserve sa cible réservée pendant la préparation et annule proprement coût/effets si la scène change.</x:v>
      </x:c>
      <x:c r="O14" s="7" t="str">
        <x:v>ME3-ENM-TURRET</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ME3-EMV-EVA</x:v>
      </x:c>
      <x:c r="B15" s="9" t="str">
        <x:v>Séquence adverse — Dr Eva Coré — confrontation</x:v>
      </x:c>
      <x:c r="C15" s="15" t="str">
        <x:v>Défini</x:v>
      </x:c>
      <x:c r="D15" s="16" t="str">
        <x:v>Extrapolation</x:v>
      </x:c>
      <x:c r="E15" s="16" t="str">
        <x:v>P1</x:v>
      </x:c>
      <x:c r="F15" s="9" t="str">
        <x:v>Livrable original proposé : Séquence adverse — Dr Eva Coré — confrontation.</x:v>
      </x:c>
      <x:c r="G15" s="9" t="str">
        <x:v>Course avec jalons de poursuite puis confrontation courte ; aucun combat d’endurance inventé comme événement source.</x:v>
      </x:c>
      <x:c r="H15" s="9" t="str">
        <x:v>Course avec jalons de poursuite puis confrontation courte ; aucun combat d’endurance inventé comme événement source.</x:v>
      </x:c>
      <x:c r="I15" s="9" t="str">
        <x:v>Corps androïde sous identité médicale.</x:v>
      </x:c>
      <x:c r="J15" s="9" t="str">
        <x:v>Préparation orientée, événement de résolution unique, retour au contrôle ; pour bond ou charge, réserver départ et arrivée avant mouvement.</x:v>
      </x:c>
      <x:c r="K15" s="9" t="str">
        <x:v>Un seul événement de danger et un seul impact par résolution ; pas de répétition lors d’un retour de pause tactique.</x:v>
      </x:c>
      <x:c r="L15" s="9" t="str">
        <x:v>Prévu : fiche de données me3/enemy_moves/eva ; rattacher les ressources et états cités à cet identifiant. Aucun fichier de jeu créé par ce catalogue.</x:v>
      </x:c>
      <x:c r="M15" s="9" t="str">
        <x:v>Mars uniquement.</x:v>
      </x:c>
      <x:c r="N15" s="9" t="str">
        <x:v>La séquence de Dr Eva Coré — confrontation respecte son aire de menace, conserve sa cible réservée pendant la préparation et annule proprement coût/effets si la scène change.</x:v>
      </x:c>
      <x:c r="O15" s="9" t="str">
        <x:v>ME3-ENM-EVA</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ME3-EMV-KAI</x:v>
      </x:c>
      <x:c r="B16" s="7" t="str">
        <x:v>Séquence adverse — Kai Leng</x:v>
      </x:c>
      <x:c r="C16" s="15" t="str">
        <x:v>Défini</x:v>
      </x:c>
      <x:c r="D16" s="17" t="str">
        <x:v>Extrapolation</x:v>
      </x:c>
      <x:c r="E16" s="17" t="str">
        <x:v>P1</x:v>
      </x:c>
      <x:c r="F16" s="7" t="str">
        <x:v>Livrable original proposé : Séquence adverse — Kai Leng.</x:v>
      </x:c>
      <x:c r="G16" s="7" t="str">
        <x:v>Rush de lame et phases de protection ; afficher ce qui relève d’une phase narrative invulnérable et ce qui peut être interrompu.</x:v>
      </x:c>
      <x:c r="H16" s="7" t="str">
        <x:v>Rush de lame et phases de protection ; afficher ce qui relève d’une phase narrative invulnérable et ce qui peut être interrompu.</x:v>
      </x:c>
      <x:c r="I16" s="7" t="str">
        <x:v>Lame, armure sombre et visière.</x:v>
      </x:c>
      <x:c r="J16" s="7" t="str">
        <x:v>Préparation orientée, événement de résolution unique, retour au contrôle ; pour bond ou charge, réserver départ et arrivée avant mouvement.</x:v>
      </x:c>
      <x:c r="K16" s="7" t="str">
        <x:v>Un seul événement de danger et un seul impact par résolution ; pas de répétition lors d’un retour de pause tactique.</x:v>
      </x:c>
      <x:c r="L16" s="7" t="str">
        <x:v>Prévu : fiche de données me3/enemy_moves/kai ; rattacher les ressources et états cités à cet identifiant. Aucun fichier de jeu créé par ce catalogue.</x:v>
      </x:c>
      <x:c r="M16" s="7" t="str">
        <x:v>Thessia et QG ; tables de phases distinctes.</x:v>
      </x:c>
      <x:c r="N16" s="7" t="str">
        <x:v>La séquence de Kai Leng respecte son aire de menace, conserve sa cible réservée pendant la préparation et annule proprement coût/effets si la scène change.</x:v>
      </x:c>
      <x:c r="O16" s="7" t="str">
        <x:v>ME3-ENM-KAI</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ME3-EMV-RAMPART</x:v>
      </x:c>
      <x:c r="B17" s="9" t="str">
        <x:v>Séquence adverse — Rampart Mech</x:v>
      </x:c>
      <x:c r="C17" s="15" t="str">
        <x:v>Défini</x:v>
      </x:c>
      <x:c r="D17" s="16" t="str">
        <x:v>Extrapolation</x:v>
      </x:c>
      <x:c r="E17" s="16" t="str">
        <x:v>P1</x:v>
      </x:c>
      <x:c r="F17" s="9" t="str">
        <x:v>Livrable original proposé : Séquence adverse — Rampart Mech.</x:v>
      </x:c>
      <x:c r="G17" s="9" t="str">
        <x:v>Avance directe et rafale ; un noyau de faiblesse proposé encourage la rotation du groupe autour des couverts.</x:v>
      </x:c>
      <x:c r="H17" s="9" t="str">
        <x:v>Avance directe et rafale ; un noyau de faiblesse proposé encourage la rotation du groupe autour des couverts.</x:v>
      </x:c>
      <x:c r="I17" s="9" t="str">
        <x:v>Robot bipède blanc et rouge.</x:v>
      </x:c>
      <x:c r="J17" s="9" t="str">
        <x:v>Préparation orientée, événement de résolution unique, retour au contrôle ; pour bond ou charge, réserver départ et arrivée avant mouvement.</x:v>
      </x:c>
      <x:c r="K17" s="9" t="str">
        <x:v>Un seul événement de danger et un seul impact par résolution ; pas de répétition lors d’un retour de pause tactique.</x:v>
      </x:c>
      <x:c r="L17" s="9" t="str">
        <x:v>Prévu : fiche de données me3/enemy_moves/rampart ; rattacher les ressources et états cités à cet identifiant. Aucun fichier de jeu créé par ce catalogue.</x:v>
      </x:c>
      <x:c r="M17" s="9" t="str">
        <x:v>DLC Omega.</x:v>
      </x:c>
      <x:c r="N17" s="9" t="str">
        <x:v>La séquence de Rampart Mech respecte son aire de menace, conserve sa cible réservée pendant la préparation et annule proprement coût/effets si la scène change.</x:v>
      </x:c>
      <x:c r="O17" s="9" t="str">
        <x:v>ME3-ENM-RAMPART</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ME3-EMV-ADJUTANT</x:v>
      </x:c>
      <x:c r="B18" s="7" t="str">
        <x:v>Séquence adverse — Adjutant</x:v>
      </x:c>
      <x:c r="C18" s="15" t="str">
        <x:v>Défini</x:v>
      </x:c>
      <x:c r="D18" s="17" t="str">
        <x:v>Extrapolation</x:v>
      </x:c>
      <x:c r="E18" s="17" t="str">
        <x:v>P1</x:v>
      </x:c>
      <x:c r="F18" s="7" t="str">
        <x:v>Livrable original proposé : Séquence adverse — Adjutant.</x:v>
      </x:c>
      <x:c r="G18" s="7" t="str">
        <x:v>Bond à zone d’arrivée visible, projectile puis ruée ; empêcher deux saisies simultanées non évitables dans couloir.</x:v>
      </x:c>
      <x:c r="H18" s="7" t="str">
        <x:v>Bond à zone d’arrivée visible, projectile puis ruée ; empêcher deux saisies simultanées non évitables dans couloir.</x:v>
      </x:c>
      <x:c r="I18" s="7" t="str">
        <x:v>Masse déformée, membres allongés et lueur interne.</x:v>
      </x:c>
      <x:c r="J18" s="7" t="str">
        <x:v>Préparation orientée, événement de résolution unique, retour au contrôle ; pour bond ou charge, réserver départ et arrivée avant mouvement.</x:v>
      </x:c>
      <x:c r="K18" s="7" t="str">
        <x:v>Un seul événement de danger et un seul impact par résolution ; pas de répétition lors d’un retour de pause tactique.</x:v>
      </x:c>
      <x:c r="L18" s="7" t="str">
        <x:v>Prévu : fiche de données me3/enemy_moves/adjutant ; rattacher les ressources et états cités à cet identifiant. Aucun fichier de jeu créé par ce catalogue.</x:v>
      </x:c>
      <x:c r="M18" s="7" t="str">
        <x:v>DLC Omega.</x:v>
      </x:c>
      <x:c r="N18" s="7" t="str">
        <x:v>La séquence de Adjutant respecte son aire de menace, conserve sa cible réservée pendant la préparation et annule proprement coût/effets si la scène change.</x:v>
      </x:c>
      <x:c r="O18" s="7" t="str">
        <x:v>ME3-ENM-ADJUTANT</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ME3-EMV-HUSK</x:v>
      </x:c>
      <x:c r="B19" s="9" t="str">
        <x:v>Séquence adverse — Husk</x:v>
      </x:c>
      <x:c r="C19" s="15" t="str">
        <x:v>Défini</x:v>
      </x:c>
      <x:c r="D19" s="16" t="str">
        <x:v>Extrapolation</x:v>
      </x:c>
      <x:c r="E19" s="16" t="str">
        <x:v>P1</x:v>
      </x:c>
      <x:c r="F19" s="9" t="str">
        <x:v>Livrable original proposé : Séquence adverse — Husk.</x:v>
      </x:c>
      <x:c r="G19" s="9" t="str">
        <x:v>Course de contact et encerclement ; grappin contestable par allié et indicateur de pression plutôt que spam de touche.</x:v>
      </x:c>
      <x:c r="H19" s="9" t="str">
        <x:v>Course de contact et encerclement ; grappin contestable par allié et indicateur de pression plutôt que spam de touche.</x:v>
      </x:c>
      <x:c r="I19" s="9" t="str">
        <x:v>Silhouette humanoïde et implants bleus.</x:v>
      </x:c>
      <x:c r="J19" s="9" t="str">
        <x:v>Préparation orientée, événement de résolution unique, retour au contrôle ; pour bond ou charge, réserver départ et arrivée avant mouvement.</x:v>
      </x:c>
      <x:c r="K19" s="9" t="str">
        <x:v>Un seul événement de danger et un seul impact par résolution ; pas de répétition lors d’un retour de pause tactique.</x:v>
      </x:c>
      <x:c r="L19" s="9" t="str">
        <x:v>Prévu : fiche de données me3/enemy_moves/husk ; rattacher les ressources et états cités à cet identifiant. Aucun fichier de jeu créé par ce catalogue.</x:v>
      </x:c>
      <x:c r="M19" s="9" t="str">
        <x:v>Campagne et simulation.</x:v>
      </x:c>
      <x:c r="N19" s="9" t="str">
        <x:v>La séquence de Husk respecte son aire de menace, conserve sa cible réservée pendant la préparation et annule proprement coût/effets si la scène change.</x:v>
      </x:c>
      <x:c r="O19" s="9" t="str">
        <x:v>ME3-ENM-HUSK</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68" customHeight="1">
      <x:c r="A20" s="19" t="str">
        <x:v>ME3-EMV-CANNIBAL</x:v>
      </x:c>
      <x:c r="B20" s="7" t="str">
        <x:v>Séquence adverse — Cannibal</x:v>
      </x:c>
      <x:c r="C20" s="15" t="str">
        <x:v>Défini</x:v>
      </x:c>
      <x:c r="D20" s="17" t="str">
        <x:v>Extrapolation</x:v>
      </x:c>
      <x:c r="E20" s="17" t="str">
        <x:v>P1</x:v>
      </x:c>
      <x:c r="F20" s="7" t="str">
        <x:v>Livrable original proposé : Séquence adverse — Cannibal.</x:v>
      </x:c>
      <x:c r="G20" s="7" t="str">
        <x:v>Tir, grenade et consommation de cadavre ; annoncer le gain de protection, neutraliser le cadavre comme interaction facultative.</x:v>
      </x:c>
      <x:c r="H20" s="7" t="str">
        <x:v>Tir, grenade et consommation de cadavre ; annoncer le gain de protection, neutraliser le cadavre comme interaction facultative.</x:v>
      </x:c>
      <x:c r="I20" s="7" t="str">
        <x:v>Corps massif et arme greffée.</x:v>
      </x:c>
      <x:c r="J20" s="7" t="str">
        <x:v>Préparation orientée, événement de résolution unique, retour au contrôle ; pour bond ou charge, réserver départ et arrivée avant mouvement.</x:v>
      </x:c>
      <x:c r="K20" s="7" t="str">
        <x:v>Un seul événement de danger et un seul impact par résolution ; pas de répétition lors d’un retour de pause tactique.</x:v>
      </x:c>
      <x:c r="L20" s="7" t="str">
        <x:v>Prévu : fiche de données me3/enemy_moves/cannibal ; rattacher les ressources et états cités à cet identifiant. Aucun fichier de jeu créé par ce catalogue.</x:v>
      </x:c>
      <x:c r="M20" s="7" t="str">
        <x:v>Campagne et simulation.</x:v>
      </x:c>
      <x:c r="N20" s="7" t="str">
        <x:v>La séquence de Cannibal respecte son aire de menace, conserve sa cible réservée pendant la préparation et annule proprement coût/effets si la scène change.</x:v>
      </x:c>
      <x:c r="O20" s="7" t="str">
        <x:v>ME3-ENM-CANNIBAL</x:v>
      </x:c>
      <x:c r="P20" s="7" t="str">
        <x:v>Adaptation originale — spécification de production</x:v>
      </x:c>
      <x:c r="Q20" s="7" t="str"/>
      <x:c r="R20" s="21" t="str"/>
      <x:c r="S20" s="21" t="str">
        <x:v>Spécification à réaliser. Les champs adaptation, gameplay, visual, animation, audio et implementation décrivent le fan game ; ils ne donnent pas des caractéristiques officielles de l’œuvre.</x:v>
      </x:c>
    </x:row>
    <x:row r="21" ht="68" customHeight="1">
      <x:c r="A21" s="18" t="str">
        <x:v>ME3-EMV-MARAUDER</x:v>
      </x:c>
      <x:c r="B21" s="9" t="str">
        <x:v>Séquence adverse — Marauder</x:v>
      </x:c>
      <x:c r="C21" s="15" t="str">
        <x:v>Défini</x:v>
      </x:c>
      <x:c r="D21" s="16" t="str">
        <x:v>Extrapolation</x:v>
      </x:c>
      <x:c r="E21" s="16" t="str">
        <x:v>P1</x:v>
      </x:c>
      <x:c r="F21" s="9" t="str">
        <x:v>Livrable original proposé : Séquence adverse — Marauder.</x:v>
      </x:c>
      <x:c r="G21" s="9" t="str">
        <x:v>Renforce les voisins compatibles et tire en couverture ; aura de soutien relie visuellement les bénéficiaires.</x:v>
      </x:c>
      <x:c r="H21" s="9" t="str">
        <x:v>Renforce les voisins compatibles et tire en couverture ; aura de soutien relie visuellement les bénéficiaires.</x:v>
      </x:c>
      <x:c r="I21" s="9" t="str">
        <x:v>Traits turiens et carapace synthétique.</x:v>
      </x:c>
      <x:c r="J21" s="9" t="str">
        <x:v>Préparation orientée, événement de résolution unique, retour au contrôle ; pour bond ou charge, réserver départ et arrivée avant mouvement.</x:v>
      </x:c>
      <x:c r="K21" s="9" t="str">
        <x:v>Un seul événement de danger et un seul impact par résolution ; pas de répétition lors d’un retour de pause tactique.</x:v>
      </x:c>
      <x:c r="L21" s="9" t="str">
        <x:v>Prévu : fiche de données me3/enemy_moves/marauder ; rattacher les ressources et états cités à cet identifiant. Aucun fichier de jeu créé par ce catalogue.</x:v>
      </x:c>
      <x:c r="M21" s="9" t="str">
        <x:v>Campagne et simulation.</x:v>
      </x:c>
      <x:c r="N21" s="9" t="str">
        <x:v>La séquence de Marauder respecte son aire de menace, conserve sa cible réservée pendant la préparation et annule proprement coût/effets si la scène change.</x:v>
      </x:c>
      <x:c r="O21" s="9" t="str">
        <x:v>ME3-ENM-MARAUDER</x:v>
      </x:c>
      <x:c r="P21" s="9" t="str">
        <x:v>Adaptation originale — spécification de production</x:v>
      </x:c>
      <x:c r="Q21" s="9" t="str"/>
      <x:c r="R21" s="20" t="str"/>
      <x:c r="S21" s="20" t="str">
        <x:v>Spécification à réaliser. Les champs adaptation, gameplay, visual, animation, audio et implementation décrivent le fan game ; ils ne donnent pas des caractéristiques officielles de l’œuvre.</x:v>
      </x:c>
    </x:row>
    <x:row r="22" ht="68" customHeight="1">
      <x:c r="A22" s="19" t="str">
        <x:v>ME3-EMV-BRUTE</x:v>
      </x:c>
      <x:c r="B22" s="7" t="str">
        <x:v>Séquence adverse — Brute</x:v>
      </x:c>
      <x:c r="C22" s="15" t="str">
        <x:v>Défini</x:v>
      </x:c>
      <x:c r="D22" s="17" t="str">
        <x:v>Extrapolation</x:v>
      </x:c>
      <x:c r="E22" s="17" t="str">
        <x:v>P1</x:v>
      </x:c>
      <x:c r="F22" s="7" t="str">
        <x:v>Livrable original proposé : Séquence adverse — Brute.</x:v>
      </x:c>
      <x:c r="G22" s="7" t="str">
        <x:v>Charge en couloir puis balayage ; zone d’impact au sol et fenêtre latérale après collision.</x:v>
      </x:c>
      <x:c r="H22" s="7" t="str">
        <x:v>Charge en couloir puis balayage ; zone d’impact au sol et fenêtre latérale après collision.</x:v>
      </x:c>
      <x:c r="I22" s="7" t="str">
        <x:v>Grand corps cuirassé et bras massif.</x:v>
      </x:c>
      <x:c r="J22" s="7" t="str">
        <x:v>Préparation orientée, événement de résolution unique, retour au contrôle ; pour bond ou charge, réserver départ et arrivée avant mouvement.</x:v>
      </x:c>
      <x:c r="K22" s="7" t="str">
        <x:v>Un seul événement de danger et un seul impact par résolution ; pas de répétition lors d’un retour de pause tactique.</x:v>
      </x:c>
      <x:c r="L22" s="7" t="str">
        <x:v>Prévu : fiche de données me3/enemy_moves/brute ; rattacher les ressources et états cités à cet identifiant. Aucun fichier de jeu créé par ce catalogue.</x:v>
      </x:c>
      <x:c r="M22" s="7" t="str">
        <x:v>Campagne et simulation.</x:v>
      </x:c>
      <x:c r="N22" s="7" t="str">
        <x:v>La séquence de Brute respecte son aire de menace, conserve sa cible réservée pendant la préparation et annule proprement coût/effets si la scène change.</x:v>
      </x:c>
      <x:c r="O22" s="7" t="str">
        <x:v>ME3-ENM-BRUTE</x:v>
      </x:c>
      <x:c r="P22" s="7" t="str">
        <x:v>Adaptation originale — spécification de production</x:v>
      </x:c>
      <x:c r="Q22" s="7" t="str"/>
      <x:c r="R22" s="21" t="str"/>
      <x:c r="S22" s="21" t="str">
        <x:v>Spécification à réaliser. Les champs adaptation, gameplay, visual, animation, audio et implementation décrivent le fan game ; ils ne donnent pas des caractéristiques officielles de l’œuvre.</x:v>
      </x:c>
    </x:row>
    <x:row r="23" ht="68" customHeight="1">
      <x:c r="A23" s="18" t="str">
        <x:v>ME3-EMV-RAVAGER</x:v>
      </x:c>
      <x:c r="B23" s="9" t="str">
        <x:v>Séquence adverse — Ravager</x:v>
      </x:c>
      <x:c r="C23" s="15" t="str">
        <x:v>Défini</x:v>
      </x:c>
      <x:c r="D23" s="16" t="str">
        <x:v>Extrapolation</x:v>
      </x:c>
      <x:c r="E23" s="16" t="str">
        <x:v>P1</x:v>
      </x:c>
      <x:c r="F23" s="9" t="str">
        <x:v>Livrable original proposé : Séquence adverse — Ravager.</x:v>
      </x:c>
      <x:c r="G23" s="9" t="str">
        <x:v>Salves à zone ciblée et sacs fragiles ; rupture des sacs libère des Swarmers à places réservées.</x:v>
      </x:c>
      <x:c r="H23" s="9" t="str">
        <x:v>Salves à zone ciblée et sacs fragiles ; rupture des sacs libère des Swarmers à places réservées.</x:v>
      </x:c>
      <x:c r="I23" s="9" t="str">
        <x:v>Pattes, canons dorsaux et poches lumineuses.</x:v>
      </x:c>
      <x:c r="J23" s="9" t="str">
        <x:v>Préparation orientée, événement de résolution unique, retour au contrôle ; pour bond ou charge, réserver départ et arrivée avant mouvement.</x:v>
      </x:c>
      <x:c r="K23" s="9" t="str">
        <x:v>Un seul événement de danger et un seul impact par résolution ; pas de répétition lors d’un retour de pause tactique.</x:v>
      </x:c>
      <x:c r="L23" s="9" t="str">
        <x:v>Prévu : fiche de données me3/enemy_moves/ravager ; rattacher les ressources et états cités à cet identifiant. Aucun fichier de jeu créé par ce catalogue.</x:v>
      </x:c>
      <x:c r="M23" s="9" t="str">
        <x:v>Campagne et simulation.</x:v>
      </x:c>
      <x:c r="N23" s="9" t="str">
        <x:v>La séquence de Ravager respecte son aire de menace, conserve sa cible réservée pendant la préparation et annule proprement coût/effets si la scène change.</x:v>
      </x:c>
      <x:c r="O23" s="9" t="str">
        <x:v>ME3-ENM-RAVAGER</x:v>
      </x:c>
      <x:c r="P23" s="9" t="str">
        <x:v>Adaptation originale — spécification de production</x:v>
      </x:c>
      <x:c r="Q23" s="9" t="str"/>
      <x:c r="R23" s="20" t="str"/>
      <x:c r="S23" s="20" t="str">
        <x:v>Spécification à réaliser. Les champs adaptation, gameplay, visual, animation, audio et implementation décrivent le fan game ; ils ne donnent pas des caractéristiques officielles de l’œuvre.</x:v>
      </x:c>
    </x:row>
    <x:row r="24" ht="68" customHeight="1">
      <x:c r="A24" s="19" t="str">
        <x:v>ME3-EMV-SWARMER</x:v>
      </x:c>
      <x:c r="B24" s="7" t="str">
        <x:v>Séquence adverse — Swarmer</x:v>
      </x:c>
      <x:c r="C24" s="15" t="str">
        <x:v>Défini</x:v>
      </x:c>
      <x:c r="D24" s="17" t="str">
        <x:v>Extrapolation</x:v>
      </x:c>
      <x:c r="E24" s="17" t="str">
        <x:v>P1</x:v>
      </x:c>
      <x:c r="F24" s="7" t="str">
        <x:v>Livrable original proposé : Séquence adverse — Swarmer.</x:v>
      </x:c>
      <x:c r="G24" s="7" t="str">
        <x:v>Approche rapide par groupes limités ; indicateur collectif de danger et sélection par grappe pour ne pas viser des pixels.</x:v>
      </x:c>
      <x:c r="H24" s="7" t="str">
        <x:v>Approche rapide par groupes limités ; indicateur collectif de danger et sélection par grappe pour ne pas viser des pixels.</x:v>
      </x:c>
      <x:c r="I24" s="7" t="str">
        <x:v>Petites formes organiques au sol.</x:v>
      </x:c>
      <x:c r="J24" s="7" t="str">
        <x:v>Préparation orientée, événement de résolution unique, retour au contrôle ; pour bond ou charge, réserver départ et arrivée avant mouvement.</x:v>
      </x:c>
      <x:c r="K24" s="7" t="str">
        <x:v>Un seul événement de danger et un seul impact par résolution ; pas de répétition lors d’un retour de pause tactique.</x:v>
      </x:c>
      <x:c r="L24" s="7" t="str">
        <x:v>Prévu : fiche de données me3/enemy_moves/swarmer ; rattacher les ressources et états cités à cet identifiant. Aucun fichier de jeu créé par ce catalogue.</x:v>
      </x:c>
      <x:c r="M24" s="7" t="str">
        <x:v>Campagne et simulation.</x:v>
      </x:c>
      <x:c r="N24" s="7" t="str">
        <x:v>La séquence de Swarmer respecte son aire de menace, conserve sa cible réservée pendant la préparation et annule proprement coût/effets si la scène change.</x:v>
      </x:c>
      <x:c r="O24" s="7" t="str">
        <x:v>ME3-ENM-SWARMER</x:v>
      </x:c>
      <x:c r="P24" s="7" t="str">
        <x:v>Adaptation originale — spécification de production</x:v>
      </x:c>
      <x:c r="Q24" s="7" t="str"/>
      <x:c r="R24" s="21" t="str"/>
      <x:c r="S24" s="21" t="str">
        <x:v>Spécification à réaliser. Les champs adaptation, gameplay, visual, animation, audio et implementation décrivent le fan game ; ils ne donnent pas des caractéristiques officielles de l’œuvre.</x:v>
      </x:c>
    </x:row>
    <x:row r="25" ht="68" customHeight="1">
      <x:c r="A25" s="18" t="str">
        <x:v>ME3-EMV-BANSHEE</x:v>
      </x:c>
      <x:c r="B25" s="9" t="str">
        <x:v>Séquence adverse — Banshee</x:v>
      </x:c>
      <x:c r="C25" s="15" t="str">
        <x:v>Défini</x:v>
      </x:c>
      <x:c r="D25" s="16" t="str">
        <x:v>Extrapolation</x:v>
      </x:c>
      <x:c r="E25" s="16" t="str">
        <x:v>P1</x:v>
      </x:c>
      <x:c r="F25" s="9" t="str">
        <x:v>Livrable original proposé : Séquence adverse — Banshee.</x:v>
      </x:c>
      <x:c r="G25" s="9" t="str">
        <x:v>Téléportations préparées, projectile et saisie ; halo de portée et signal sonore distinct avant menace de contact.</x:v>
      </x:c>
      <x:c r="H25" s="9" t="str">
        <x:v>Téléportations préparées, projectile et saisie ; halo de portée et signal sonore distinct avant menace de contact.</x:v>
      </x:c>
      <x:c r="I25" s="9" t="str">
        <x:v>Silhouette asari allongée et aura biotique.</x:v>
      </x:c>
      <x:c r="J25" s="9" t="str">
        <x:v>Préparation orientée, événement de résolution unique, retour au contrôle ; pour bond ou charge, réserver départ et arrivée avant mouvement.</x:v>
      </x:c>
      <x:c r="K25" s="9" t="str">
        <x:v>Un seul événement de danger et un seul impact par résolution ; pas de répétition lors d’un retour de pause tactique.</x:v>
      </x:c>
      <x:c r="L25" s="9" t="str">
        <x:v>Prévu : fiche de données me3/enemy_moves/banshee ; rattacher les ressources et états cités à cet identifiant. Aucun fichier de jeu créé par ce catalogue.</x:v>
      </x:c>
      <x:c r="M25" s="9" t="str">
        <x:v>Campagne et simulation.</x:v>
      </x:c>
      <x:c r="N25" s="9" t="str">
        <x:v>La séquence de Banshee respecte son aire de menace, conserve sa cible réservée pendant la préparation et annule proprement coût/effets si la scène change.</x:v>
      </x:c>
      <x:c r="O25" s="9" t="str">
        <x:v>ME3-ENM-BANSHEE</x:v>
      </x:c>
      <x:c r="P25" s="9" t="str">
        <x:v>Adaptation originale — spécification de production</x:v>
      </x:c>
      <x:c r="Q25" s="9" t="str"/>
      <x:c r="R25" s="20" t="str"/>
      <x:c r="S25" s="20" t="str">
        <x:v>Spécification à réaliser. Les champs adaptation, gameplay, visual, animation, audio et implementation décrivent le fan game ; ils ne donnent pas des caractéristiques officielles de l’œuvre.</x:v>
      </x:c>
    </x:row>
    <x:row r="26" ht="68" customHeight="1">
      <x:c r="A26" s="19" t="str">
        <x:v>ME3-EMV-HARVESTER</x:v>
      </x:c>
      <x:c r="B26" s="7" t="str">
        <x:v>Séquence adverse — Harvester</x:v>
      </x:c>
      <x:c r="C26" s="15" t="str">
        <x:v>Défini</x:v>
      </x:c>
      <x:c r="D26" s="17" t="str">
        <x:v>Extrapolation</x:v>
      </x:c>
      <x:c r="E26" s="17" t="str">
        <x:v>P1</x:v>
      </x:c>
      <x:c r="F26" s="7" t="str">
        <x:v>Livrable original proposé : Séquence adverse — Harvester.</x:v>
      </x:c>
      <x:c r="G26" s="7" t="str">
        <x:v>Passage de bombardement puis exposition au tir ; altitude visuelle séparée du point ciblable projeté au sol.</x:v>
      </x:c>
      <x:c r="H26" s="7" t="str">
        <x:v>Passage de bombardement puis exposition au tir ; altitude visuelle séparée du point ciblable projeté au sol.</x:v>
      </x:c>
      <x:c r="I26" s="7" t="str">
        <x:v>Ailes massives et carapace sombre.</x:v>
      </x:c>
      <x:c r="J26" s="7" t="str">
        <x:v>Préparation orientée, événement de résolution unique, retour au contrôle ; pour bond ou charge, réserver départ et arrivée avant mouvement.</x:v>
      </x:c>
      <x:c r="K26" s="7" t="str">
        <x:v>Un seul événement de danger et un seul impact par résolution ; pas de répétition lors d’un retour de pause tactique.</x:v>
      </x:c>
      <x:c r="L26" s="7" t="str">
        <x:v>Prévu : fiche de données me3/enemy_moves/harvester ; rattacher les ressources et états cités à cet identifiant. Aucun fichier de jeu créé par ce catalogue.</x:v>
      </x:c>
      <x:c r="M26" s="7" t="str">
        <x:v>Rencontres terrestres prévues.</x:v>
      </x:c>
      <x:c r="N26" s="7" t="str">
        <x:v>La séquence de Harvester respecte son aire de menace, conserve sa cible réservée pendant la préparation et annule proprement coût/effets si la scène change.</x:v>
      </x:c>
      <x:c r="O26" s="7" t="str">
        <x:v>ME3-ENM-HARVESTER</x:v>
      </x:c>
      <x:c r="P26" s="7" t="str">
        <x:v>Adaptation originale — spécification de production</x:v>
      </x:c>
      <x:c r="Q26" s="7" t="str"/>
      <x:c r="R26" s="21" t="str"/>
      <x:c r="S26" s="21" t="str">
        <x:v>Spécification à réaliser. Les champs adaptation, gameplay, visual, animation, audio et implementation décrivent le fan game ; ils ne donnent pas des caractéristiques officielles de l’œuvre.</x:v>
      </x:c>
    </x:row>
    <x:row r="27" ht="68" customHeight="1">
      <x:c r="A27" s="18" t="str">
        <x:v>ME3-EMV-REAPER-RANNOCH</x:v>
      </x:c>
      <x:c r="B27" s="9" t="str">
        <x:v>Séquence adverse — Moissonneur de Rannoch</x:v>
      </x:c>
      <x:c r="C27" s="15" t="str">
        <x:v>Défini</x:v>
      </x:c>
      <x:c r="D27" s="16" t="str">
        <x:v>Extrapolation</x:v>
      </x:c>
      <x:c r="E27" s="16" t="str">
        <x:v>P1</x:v>
      </x:c>
      <x:c r="F27" s="9" t="str">
        <x:v>Livrable original proposé : Séquence adverse — Moissonneur de Rannoch.</x:v>
      </x:c>
      <x:c r="G27" s="9" t="str">
        <x:v>Alternance acquisition laser et déplacement latéral ; assistances de maintien de visée et de rythme proposées.</x:v>
      </x:c>
      <x:c r="H27" s="9" t="str">
        <x:v>Alternance acquisition laser et déplacement latéral ; assistances de maintien de visée et de rythme proposées.</x:v>
      </x:c>
      <x:c r="I27" s="9" t="str">
        <x:v>Œil lumineux et rayon lourd.</x:v>
      </x:c>
      <x:c r="J27" s="9" t="str">
        <x:v>Préparation orientée, événement de résolution unique, retour au contrôle ; pour bond ou charge, réserver départ et arrivée avant mouvement.</x:v>
      </x:c>
      <x:c r="K27" s="9" t="str">
        <x:v>Un seul événement de danger et un seul impact par résolution ; pas de répétition lors d’un retour de pause tactique.</x:v>
      </x:c>
      <x:c r="L27" s="9" t="str">
        <x:v>Prévu : fiche de données me3/enemy_moves/reaper-rannoch ; rattacher les ressources et états cités à cet identifiant. Aucun fichier de jeu créé par ce catalogue.</x:v>
      </x:c>
      <x:c r="M27" s="9" t="str">
        <x:v>Rannoch uniquement.</x:v>
      </x:c>
      <x:c r="N27" s="9" t="str">
        <x:v>La séquence de Moissonneur de Rannoch respecte son aire de menace, conserve sa cible réservée pendant la préparation et annule proprement coût/effets si la scène change.</x:v>
      </x:c>
      <x:c r="O27" s="9" t="str">
        <x:v>ME3-ENM-REAPER-RANNOCH</x:v>
      </x:c>
      <x:c r="P27" s="9" t="str">
        <x:v>Adaptation originale — spécification de production</x:v>
      </x:c>
      <x:c r="Q27" s="9" t="str"/>
      <x:c r="R27" s="20" t="str"/>
      <x:c r="S27" s="20" t="str">
        <x:v>Spécification à réaliser. Les champs adaptation, gameplay, visual, animation, audio et implementation décrivent le fan game ; ils ne donnent pas des caractéristiques officielles de l’œuvre.</x:v>
      </x:c>
    </x:row>
    <x:row r="28" ht="68" customHeight="1">
      <x:c r="A28" s="19" t="str">
        <x:v>ME3-EMV-GETH-TROOPER</x:v>
      </x:c>
      <x:c r="B28" s="7" t="str">
        <x:v>Séquence adverse — Geth Trooper</x:v>
      </x:c>
      <x:c r="C28" s="15" t="str">
        <x:v>Défini</x:v>
      </x:c>
      <x:c r="D28" s="17" t="str">
        <x:v>Extrapolation</x:v>
      </x:c>
      <x:c r="E28" s="17" t="str">
        <x:v>P1</x:v>
      </x:c>
      <x:c r="F28" s="7" t="str">
        <x:v>Livrable original proposé : Séquence adverse — Geth Trooper.</x:v>
      </x:c>
      <x:c r="G28" s="7" t="str">
        <x:v>Tir soutenu et déplacement coordonné ; signal réseau lors du changement de cible pour lire le groupe.</x:v>
      </x:c>
      <x:c r="H28" s="7" t="str">
        <x:v>Tir soutenu et déplacement coordonné ; signal réseau lors du changement de cible pour lire le groupe.</x:v>
      </x:c>
      <x:c r="I28" s="7" t="str">
        <x:v>Plateforme synthétique et lampe centrale.</x:v>
      </x:c>
      <x:c r="J28" s="7" t="str">
        <x:v>Préparation orientée, événement de résolution unique, retour au contrôle ; pour bond ou charge, réserver départ et arrivée avant mouvement.</x:v>
      </x:c>
      <x:c r="K28" s="7" t="str">
        <x:v>Un seul événement de danger et un seul impact par résolution ; pas de répétition lors d’un retour de pause tactique.</x:v>
      </x:c>
      <x:c r="L28" s="7" t="str">
        <x:v>Prévu : fiche de données me3/enemy_moves/geth-trooper ; rattacher les ressources et états cités à cet identifiant. Aucun fichier de jeu créé par ce catalogue.</x:v>
      </x:c>
      <x:c r="M28" s="7" t="str">
        <x:v>Arc geth, Armax ou multijoueur selon rencontre.</x:v>
      </x:c>
      <x:c r="N28" s="7" t="str">
        <x:v>La séquence de Geth Trooper respecte son aire de menace, conserve sa cible réservée pendant la préparation et annule proprement coût/effets si la scène change.</x:v>
      </x:c>
      <x:c r="O28" s="7" t="str">
        <x:v>ME3-ENM-GETH-TROOPER</x:v>
      </x:c>
      <x:c r="P28" s="7" t="str">
        <x:v>Adaptation originale — spécification de production</x:v>
      </x:c>
      <x:c r="Q28" s="7" t="str"/>
      <x:c r="R28" s="21" t="str"/>
      <x:c r="S28" s="21" t="str">
        <x:v>Spécification à réaliser. Les champs adaptation, gameplay, visual, animation, audio et implementation décrivent le fan game ; ils ne donnent pas des caractéristiques officielles de l’œuvre.</x:v>
      </x:c>
    </x:row>
    <x:row r="29" ht="68" customHeight="1">
      <x:c r="A29" s="18" t="str">
        <x:v>ME3-EMV-GETH-ROCKET</x:v>
      </x:c>
      <x:c r="B29" s="9" t="str">
        <x:v>Séquence adverse — Geth Rocket Trooper</x:v>
      </x:c>
      <x:c r="C29" s="15" t="str">
        <x:v>Défini</x:v>
      </x:c>
      <x:c r="D29" s="16" t="str">
        <x:v>Extrapolation</x:v>
      </x:c>
      <x:c r="E29" s="16" t="str">
        <x:v>P1</x:v>
      </x:c>
      <x:c r="F29" s="9" t="str">
        <x:v>Livrable original proposé : Séquence adverse — Geth Rocket Trooper.</x:v>
      </x:c>
      <x:c r="G29" s="9" t="str">
        <x:v>Charge d’un tir explosif puis récupération ; trajectoire et rayon d’explosion annoncés.</x:v>
      </x:c>
      <x:c r="H29" s="9" t="str">
        <x:v>Charge d’un tir explosif puis récupération ; trajectoire et rayon d’explosion annoncés.</x:v>
      </x:c>
      <x:c r="I29" s="9" t="str">
        <x:v>Lanceur d’épaule et optique.</x:v>
      </x:c>
      <x:c r="J29" s="9" t="str">
        <x:v>Préparation orientée, événement de résolution unique, retour au contrôle ; pour bond ou charge, réserver départ et arrivée avant mouvement.</x:v>
      </x:c>
      <x:c r="K29" s="9" t="str">
        <x:v>Un seul événement de danger et un seul impact par résolution ; pas de répétition lors d’un retour de pause tactique.</x:v>
      </x:c>
      <x:c r="L29" s="9" t="str">
        <x:v>Prévu : fiche de données me3/enemy_moves/geth-rocket ; rattacher les ressources et états cités à cet identifiant. Aucun fichier de jeu créé par ce catalogue.</x:v>
      </x:c>
      <x:c r="M29" s="9" t="str">
        <x:v>Arc geth, Armax ou multijoueur selon rencontre.</x:v>
      </x:c>
      <x:c r="N29" s="9" t="str">
        <x:v>La séquence de Geth Rocket Trooper respecte son aire de menace, conserve sa cible réservée pendant la préparation et annule proprement coût/effets si la scène change.</x:v>
      </x:c>
      <x:c r="O29" s="9" t="str">
        <x:v>ME3-ENM-GETH-ROCKET</x:v>
      </x:c>
      <x:c r="P29" s="9" t="str">
        <x:v>Adaptation originale — spécification de production</x:v>
      </x:c>
      <x:c r="Q29" s="9" t="str"/>
      <x:c r="R29" s="20" t="str"/>
      <x:c r="S29" s="20" t="str">
        <x:v>Spécification à réaliser. Les champs adaptation, gameplay, visual, animation, audio et implementation décrivent le fan game ; ils ne donnent pas des caractéristiques officielles de l’œuvre.</x:v>
      </x:c>
    </x:row>
    <x:row r="30" ht="68" customHeight="1">
      <x:c r="A30" s="19" t="str">
        <x:v>ME3-EMV-GETH-HUNTER</x:v>
      </x:c>
      <x:c r="B30" s="7" t="str">
        <x:v>Séquence adverse — Geth Hunter</x:v>
      </x:c>
      <x:c r="C30" s="15" t="str">
        <x:v>Défini</x:v>
      </x:c>
      <x:c r="D30" s="17" t="str">
        <x:v>Extrapolation</x:v>
      </x:c>
      <x:c r="E30" s="17" t="str">
        <x:v>P1</x:v>
      </x:c>
      <x:c r="F30" s="7" t="str">
        <x:v>Livrable original proposé : Séquence adverse — Geth Hunter.</x:v>
      </x:c>
      <x:c r="G30" s="7" t="str">
        <x:v>Approche furtive et tir proche ; perturbation visible au sol et bruit directionnel accessibles sans vision parfaite.</x:v>
      </x:c>
      <x:c r="H30" s="7" t="str">
        <x:v>Approche furtive et tir proche ; perturbation visible au sol et bruit directionnel accessibles sans vision parfaite.</x:v>
      </x:c>
      <x:c r="I30" s="7" t="str">
        <x:v>Réfraction, lampe et fusil court.</x:v>
      </x:c>
      <x:c r="J30" s="7" t="str">
        <x:v>Préparation orientée, événement de résolution unique, retour au contrôle ; pour bond ou charge, réserver départ et arrivée avant mouvement.</x:v>
      </x:c>
      <x:c r="K30" s="7" t="str">
        <x:v>Un seul événement de danger et un seul impact par résolution ; pas de répétition lors d’un retour de pause tactique.</x:v>
      </x:c>
      <x:c r="L30" s="7" t="str">
        <x:v>Prévu : fiche de données me3/enemy_moves/geth-hunter ; rattacher les ressources et états cités à cet identifiant. Aucun fichier de jeu créé par ce catalogue.</x:v>
      </x:c>
      <x:c r="M30" s="7" t="str">
        <x:v>Arc geth, Armax ou multijoueur selon rencontre.</x:v>
      </x:c>
      <x:c r="N30" s="7" t="str">
        <x:v>La séquence de Geth Hunter respecte son aire de menace, conserve sa cible réservée pendant la préparation et annule proprement coût/effets si la scène change.</x:v>
      </x:c>
      <x:c r="O30" s="7" t="str">
        <x:v>ME3-ENM-GETH-HUNTER</x:v>
      </x:c>
      <x:c r="P30" s="7" t="str">
        <x:v>Adaptation originale — spécification de production</x:v>
      </x:c>
      <x:c r="Q30" s="7" t="str"/>
      <x:c r="R30" s="21" t="str"/>
      <x:c r="S30" s="21" t="str">
        <x:v>Spécification à réaliser. Les champs adaptation, gameplay, visual, animation, audio et implementation décrivent le fan game ; ils ne donnent pas des caractéristiques officielles de l’œuvre.</x:v>
      </x:c>
    </x:row>
    <x:row r="31" ht="68" customHeight="1">
      <x:c r="A31" s="18" t="str">
        <x:v>ME3-EMV-GETH-PYRO</x:v>
      </x:c>
      <x:c r="B31" s="9" t="str">
        <x:v>Séquence adverse — Geth Pyro</x:v>
      </x:c>
      <x:c r="C31" s="15" t="str">
        <x:v>Défini</x:v>
      </x:c>
      <x:c r="D31" s="16" t="str">
        <x:v>Extrapolation</x:v>
      </x:c>
      <x:c r="E31" s="16" t="str">
        <x:v>P1</x:v>
      </x:c>
      <x:c r="F31" s="9" t="str">
        <x:v>Livrable original proposé : Séquence adverse — Geth Pyro.</x:v>
      </x:c>
      <x:c r="G31" s="9" t="str">
        <x:v>Cône de feu court, rotation lente proposée ; flanquement et rupture de jet ouvrent une fenêtre de secours.</x:v>
      </x:c>
      <x:c r="H31" s="9" t="str">
        <x:v>Cône de feu court, rotation lente proposée ; flanquement et rupture de jet ouvrent une fenêtre de secours.</x:v>
      </x:c>
      <x:c r="I31" s="9" t="str">
        <x:v>Réservoirs et tuyau de flamme.</x:v>
      </x:c>
      <x:c r="J31" s="9" t="str">
        <x:v>Préparation orientée, événement de résolution unique, retour au contrôle ; pour bond ou charge, réserver départ et arrivée avant mouvement.</x:v>
      </x:c>
      <x:c r="K31" s="9" t="str">
        <x:v>Un seul événement de danger et un seul impact par résolution ; pas de répétition lors d’un retour de pause tactique.</x:v>
      </x:c>
      <x:c r="L31" s="9" t="str">
        <x:v>Prévu : fiche de données me3/enemy_moves/geth-pyro ; rattacher les ressources et états cités à cet identifiant. Aucun fichier de jeu créé par ce catalogue.</x:v>
      </x:c>
      <x:c r="M31" s="9" t="str">
        <x:v>Arc geth, Armax ou multijoueur selon rencontre.</x:v>
      </x:c>
      <x:c r="N31" s="9" t="str">
        <x:v>La séquence de Geth Pyro respecte son aire de menace, conserve sa cible réservée pendant la préparation et annule proprement coût/effets si la scène change.</x:v>
      </x:c>
      <x:c r="O31" s="9" t="str">
        <x:v>ME3-ENM-GETH-PYRO</x:v>
      </x:c>
      <x:c r="P31" s="9" t="str">
        <x:v>Adaptation originale — spécification de production</x:v>
      </x:c>
      <x:c r="Q31" s="9" t="str"/>
      <x:c r="R31" s="20" t="str"/>
      <x:c r="S31" s="20" t="str">
        <x:v>Spécification à réaliser. Les champs adaptation, gameplay, visual, animation, audio et implementation décrivent le fan game ; ils ne donnent pas des caractéristiques officielles de l’œuvre.</x:v>
      </x:c>
    </x:row>
    <x:row r="32" ht="68" customHeight="1">
      <x:c r="A32" s="19" t="str">
        <x:v>ME3-EMV-GETH-PRIME</x:v>
      </x:c>
      <x:c r="B32" s="7" t="str">
        <x:v>Séquence adverse — Geth Prime</x:v>
      </x:c>
      <x:c r="C32" s="15" t="str">
        <x:v>Défini</x:v>
      </x:c>
      <x:c r="D32" s="17" t="str">
        <x:v>Extrapolation</x:v>
      </x:c>
      <x:c r="E32" s="17" t="str">
        <x:v>P1</x:v>
      </x:c>
      <x:c r="F32" s="7" t="str">
        <x:v>Livrable original proposé : Séquence adverse — Geth Prime.</x:v>
      </x:c>
      <x:c r="G32" s="7" t="str">
        <x:v>Tir lourd et soutien de machines ; limites de créations actives pour conserver une arène lisible.</x:v>
      </x:c>
      <x:c r="H32" s="7" t="str">
        <x:v>Tir lourd et soutien de machines ; limites de créations actives pour conserver une arène lisible.</x:v>
      </x:c>
      <x:c r="I32" s="7" t="str">
        <x:v>Châssis imposant et optique rouge.</x:v>
      </x:c>
      <x:c r="J32" s="7" t="str">
        <x:v>Préparation orientée, événement de résolution unique, retour au contrôle ; pour bond ou charge, réserver départ et arrivée avant mouvement.</x:v>
      </x:c>
      <x:c r="K32" s="7" t="str">
        <x:v>Un seul événement de danger et un seul impact par résolution ; pas de répétition lors d’un retour de pause tactique.</x:v>
      </x:c>
      <x:c r="L32" s="7" t="str">
        <x:v>Prévu : fiche de données me3/enemy_moves/geth-prime ; rattacher les ressources et états cités à cet identifiant. Aucun fichier de jeu créé par ce catalogue.</x:v>
      </x:c>
      <x:c r="M32" s="7" t="str">
        <x:v>Arc geth, Armax ou multijoueur selon rencontre.</x:v>
      </x:c>
      <x:c r="N32" s="7" t="str">
        <x:v>La séquence de Geth Prime respecte son aire de menace, conserve sa cible réservée pendant la préparation et annule proprement coût/effets si la scène change.</x:v>
      </x:c>
      <x:c r="O32" s="7" t="str">
        <x:v>ME3-ENM-GETH-PRIME</x:v>
      </x:c>
      <x:c r="P32" s="7" t="str">
        <x:v>Adaptation originale — spécification de production</x:v>
      </x:c>
      <x:c r="Q32" s="7" t="str"/>
      <x:c r="R32" s="21" t="str"/>
      <x:c r="S32" s="21" t="str">
        <x:v>Spécification à réaliser. Les champs adaptation, gameplay, visual, animation, audio et implementation décrivent le fan game ; ils ne donnent pas des caractéristiques officielles de l’œuvre.</x:v>
      </x:c>
    </x:row>
    <x:row r="33" ht="68" customHeight="1">
      <x:c r="A33" s="18" t="str">
        <x:v>ME3-EMV-GETH-TURRET</x:v>
      </x:c>
      <x:c r="B33" s="9" t="str">
        <x:v>Séquence adverse — Tourelle geth</x:v>
      </x:c>
      <x:c r="C33" s="15" t="str">
        <x:v>Défini</x:v>
      </x:c>
      <x:c r="D33" s="16" t="str">
        <x:v>Extrapolation</x:v>
      </x:c>
      <x:c r="E33" s="16" t="str">
        <x:v>P1</x:v>
      </x:c>
      <x:c r="F33" s="9" t="str">
        <x:v>Livrable original proposé : Séquence adverse — Tourelle geth.</x:v>
      </x:c>
      <x:c r="G33" s="9" t="str">
        <x:v>Conserve l’orientation acquise pendant préparation ; pas de pivot instantané vers une cible hors de son arc.</x:v>
      </x:c>
      <x:c r="H33" s="9" t="str">
        <x:v>Conserve l’orientation acquise pendant préparation ; pas de pivot instantané vers une cible hors de son arc.</x:v>
      </x:c>
      <x:c r="I33" s="9" t="str">
        <x:v>Dispositif compact et lumière geth.</x:v>
      </x:c>
      <x:c r="J33" s="9" t="str">
        <x:v>Préparation orientée, événement de résolution unique, retour au contrôle ; pour bond ou charge, réserver départ et arrivée avant mouvement.</x:v>
      </x:c>
      <x:c r="K33" s="9" t="str">
        <x:v>Un seul événement de danger et un seul impact par résolution ; pas de répétition lors d’un retour de pause tactique.</x:v>
      </x:c>
      <x:c r="L33" s="9" t="str">
        <x:v>Prévu : fiche de données me3/enemy_moves/geth-turret ; rattacher les ressources et états cités à cet identifiant. Aucun fichier de jeu créé par ce catalogue.</x:v>
      </x:c>
      <x:c r="M33" s="9" t="str">
        <x:v>Rencontres et simulations compatibles.</x:v>
      </x:c>
      <x:c r="N33" s="9" t="str">
        <x:v>La séquence de Tourelle geth respecte son aire de menace, conserve sa cible réservée pendant la préparation et annule proprement coût/effets si la scène change.</x:v>
      </x:c>
      <x:c r="O33" s="9" t="str">
        <x:v>ME3-ENM-GETH-TURRET</x:v>
      </x:c>
      <x:c r="P33" s="9" t="str">
        <x:v>Adaptation originale — spécification de production</x:v>
      </x:c>
      <x:c r="Q33" s="9" t="str"/>
      <x:c r="R33" s="20" t="str"/>
      <x:c r="S33" s="20" t="str">
        <x:v>Spécification à réaliser. Les champs adaptation, gameplay, visual, animation, audio et implementation décrivent le fan game ; ils ne donnent pas des caractéristiques officielles de l’œuvre.</x:v>
      </x:c>
    </x:row>
    <x:row r="34" ht="68" customHeight="1">
      <x:c r="A34" s="19" t="str">
        <x:v>ME3-EMV-CAT6-MERC</x:v>
      </x:c>
      <x:c r="B34" s="7" t="str">
        <x:v>Séquence adverse — CAT6 Mercenary</x:v>
      </x:c>
      <x:c r="C34" s="15" t="str">
        <x:v>Défini</x:v>
      </x:c>
      <x:c r="D34" s="17" t="str">
        <x:v>Extrapolation</x:v>
      </x:c>
      <x:c r="E34" s="17" t="str">
        <x:v>P1</x:v>
      </x:c>
      <x:c r="F34" s="7" t="str">
        <x:v>Livrable original proposé : Séquence adverse — CAT6 Mercenary.</x:v>
      </x:c>
      <x:c r="G34" s="7" t="str">
        <x:v>Rafale et grenade de délogement ; marquage d’équipe propre à CAT6 malgré gabarit humain partagé.</x:v>
      </x:c>
      <x:c r="H34" s="7" t="str">
        <x:v>Rafale et grenade de délogement ; marquage d’équipe propre à CAT6 malgré gabarit humain partagé.</x:v>
      </x:c>
      <x:c r="I34" s="7" t="str">
        <x:v>Armure sombre et casque.</x:v>
      </x:c>
      <x:c r="J34" s="7" t="str">
        <x:v>Préparation orientée, événement de résolution unique, retour au contrôle ; pour bond ou charge, réserver départ et arrivée avant mouvement.</x:v>
      </x:c>
      <x:c r="K34" s="7" t="str">
        <x:v>Un seul événement de danger et un seul impact par résolution ; pas de répétition lors d’un retour de pause tactique.</x:v>
      </x:c>
      <x:c r="L34" s="7" t="str">
        <x:v>Prévu : fiche de données me3/enemy_moves/cat6-merc ; rattacher les ressources et états cités à cet identifiant. Aucun fichier de jeu créé par ce catalogue.</x:v>
      </x:c>
      <x:c r="M34" s="7" t="str">
        <x:v>DLC Citadel / Armax.</x:v>
      </x:c>
      <x:c r="N34" s="7" t="str">
        <x:v>La séquence de CAT6 Mercenary respecte son aire de menace, conserve sa cible réservée pendant la préparation et annule proprement coût/effets si la scène change.</x:v>
      </x:c>
      <x:c r="O34" s="7" t="str">
        <x:v>ME3-ENM-CAT6-MERC</x:v>
      </x:c>
      <x:c r="P34" s="7" t="str">
        <x:v>Adaptation originale — spécification de production</x:v>
      </x:c>
      <x:c r="Q34" s="7" t="str"/>
      <x:c r="R34" s="21" t="str"/>
      <x:c r="S34" s="21" t="str">
        <x:v>Spécification à réaliser. Les champs adaptation, gameplay, visual, animation, audio et implementation décrivent le fan game ; ils ne donnent pas des caractéristiques officielles de l’œuvre.</x:v>
      </x:c>
    </x:row>
    <x:row r="35" ht="68" customHeight="1">
      <x:c r="A35" s="18" t="str">
        <x:v>ME3-EMV-CAT6-SPECIALIST</x:v>
      </x:c>
      <x:c r="B35" s="9" t="str">
        <x:v>Séquence adverse — CAT6 Specialist</x:v>
      </x:c>
      <x:c r="C35" s="15" t="str">
        <x:v>Défini</x:v>
      </x:c>
      <x:c r="D35" s="16" t="str">
        <x:v>Extrapolation</x:v>
      </x:c>
      <x:c r="E35" s="16" t="str">
        <x:v>P1</x:v>
      </x:c>
      <x:c r="F35" s="9" t="str">
        <x:v>Livrable original proposé : Séquence adverse — CAT6 Specialist.</x:v>
      </x:c>
      <x:c r="G35" s="9" t="str">
        <x:v>Déploie un Disruption Drone ; un lien de commande discret facilite l’identification de la source.</x:v>
      </x:c>
      <x:c r="H35" s="9" t="str">
        <x:v>Déploie un Disruption Drone ; un lien de commande discret facilite l’identification de la source.</x:v>
      </x:c>
      <x:c r="I35" s="9" t="str">
        <x:v>Armure technique et omni-outil.</x:v>
      </x:c>
      <x:c r="J35" s="9" t="str">
        <x:v>Préparation orientée, événement de résolution unique, retour au contrôle ; pour bond ou charge, réserver départ et arrivée avant mouvement.</x:v>
      </x:c>
      <x:c r="K35" s="9" t="str">
        <x:v>Un seul événement de danger et un seul impact par résolution ; pas de répétition lors d’un retour de pause tactique.</x:v>
      </x:c>
      <x:c r="L35" s="9" t="str">
        <x:v>Prévu : fiche de données me3/enemy_moves/cat6-specialist ; rattacher les ressources et états cités à cet identifiant. Aucun fichier de jeu créé par ce catalogue.</x:v>
      </x:c>
      <x:c r="M35" s="9" t="str">
        <x:v>DLC Citadel.</x:v>
      </x:c>
      <x:c r="N35" s="9" t="str">
        <x:v>La séquence de CAT6 Specialist respecte son aire de menace, conserve sa cible réservée pendant la préparation et annule proprement coût/effets si la scène change.</x:v>
      </x:c>
      <x:c r="O35" s="9" t="str">
        <x:v>ME3-ENM-CAT6-SPECIALIST</x:v>
      </x:c>
      <x:c r="P35" s="9" t="str">
        <x:v>Adaptation originale — spécification de production</x:v>
      </x:c>
      <x:c r="Q35" s="9" t="str"/>
      <x:c r="R35" s="20" t="str"/>
      <x:c r="S35" s="20" t="str">
        <x:v>Spécification à réaliser. Les champs adaptation, gameplay, visual, animation, audio et implementation décrivent le fan game ; ils ne donnent pas des caractéristiques officielles de l’œuvre.</x:v>
      </x:c>
    </x:row>
    <x:row r="36" ht="68" customHeight="1">
      <x:c r="A36" s="19" t="str">
        <x:v>ME3-EMV-CAT6-HEAVY</x:v>
      </x:c>
      <x:c r="B36" s="7" t="str">
        <x:v>Séquence adverse — CAT6 Heavy</x:v>
      </x:c>
      <x:c r="C36" s="15" t="str">
        <x:v>Défini</x:v>
      </x:c>
      <x:c r="D36" s="17" t="str">
        <x:v>Extrapolation</x:v>
      </x:c>
      <x:c r="E36" s="17" t="str">
        <x:v>P1</x:v>
      </x:c>
      <x:c r="F36" s="7" t="str">
        <x:v>Livrable original proposé : Séquence adverse — CAT6 Heavy.</x:v>
      </x:c>
      <x:c r="G36" s="7" t="str">
        <x:v>Avance avec protection frontale ; contourner ou interrompre la posture expose une fenêtre de tir.</x:v>
      </x:c>
      <x:c r="H36" s="7" t="str">
        <x:v>Avance avec protection frontale ; contourner ou interrompre la posture expose une fenêtre de tir.</x:v>
      </x:c>
      <x:c r="I36" s="7" t="str">
        <x:v>Grand bouclier énergétique et silhouette lourde.</x:v>
      </x:c>
      <x:c r="J36" s="7" t="str">
        <x:v>Préparation orientée, événement de résolution unique, retour au contrôle ; pour bond ou charge, réserver départ et arrivée avant mouvement.</x:v>
      </x:c>
      <x:c r="K36" s="7" t="str">
        <x:v>Un seul événement de danger et un seul impact par résolution ; pas de répétition lors d’un retour de pause tactique.</x:v>
      </x:c>
      <x:c r="L36" s="7" t="str">
        <x:v>Prévu : fiche de données me3/enemy_moves/cat6-heavy ; rattacher les ressources et états cités à cet identifiant. Aucun fichier de jeu créé par ce catalogue.</x:v>
      </x:c>
      <x:c r="M36" s="7" t="str">
        <x:v>DLC Citadel.</x:v>
      </x:c>
      <x:c r="N36" s="7" t="str">
        <x:v>La séquence de CAT6 Heavy respecte son aire de menace, conserve sa cible réservée pendant la préparation et annule proprement coût/effets si la scène change.</x:v>
      </x:c>
      <x:c r="O36" s="7" t="str">
        <x:v>ME3-ENM-CAT6-HEAVY</x:v>
      </x:c>
      <x:c r="P36" s="7" t="str">
        <x:v>Adaptation originale — spécification de production</x:v>
      </x:c>
      <x:c r="Q36" s="7" t="str"/>
      <x:c r="R36" s="21" t="str"/>
      <x:c r="S36" s="21" t="str">
        <x:v>Spécification à réaliser. Les champs adaptation, gameplay, visual, animation, audio et implementation décrivent le fan game ; ils ne donnent pas des caractéristiques officielles de l’œuvre.</x:v>
      </x:c>
    </x:row>
    <x:row r="37" ht="68" customHeight="1">
      <x:c r="A37" s="18" t="str">
        <x:v>ME3-EMV-DISRUPTION</x:v>
      </x:c>
      <x:c r="B37" s="9" t="str">
        <x:v>Séquence adverse — Disruption Drone</x:v>
      </x:c>
      <x:c r="C37" s="15" t="str">
        <x:v>Défini</x:v>
      </x:c>
      <x:c r="D37" s="16" t="str">
        <x:v>Extrapolation</x:v>
      </x:c>
      <x:c r="E37" s="16" t="str">
        <x:v>P1</x:v>
      </x:c>
      <x:c r="F37" s="9" t="str">
        <x:v>Livrable original proposé : Séquence adverse — Disruption Drone.</x:v>
      </x:c>
      <x:c r="G37" s="9" t="str">
        <x:v>Approche et perturbation locale ; zone de brouillage n’empêche jamais d’ouvrir le menu accessible.</x:v>
      </x:c>
      <x:c r="H37" s="9" t="str">
        <x:v>Approche et perturbation locale ; zone de brouillage n’empêche jamais d’ouvrir le menu accessible.</x:v>
      </x:c>
      <x:c r="I37" s="9" t="str">
        <x:v>Sphère volante et arc d’énergie.</x:v>
      </x:c>
      <x:c r="J37" s="9" t="str">
        <x:v>Préparation orientée, événement de résolution unique, retour au contrôle ; pour bond ou charge, réserver départ et arrivée avant mouvement.</x:v>
      </x:c>
      <x:c r="K37" s="9" t="str">
        <x:v>Un seul événement de danger et un seul impact par résolution ; pas de répétition lors d’un retour de pause tactique.</x:v>
      </x:c>
      <x:c r="L37" s="9" t="str">
        <x:v>Prévu : fiche de données me3/enemy_moves/disruption ; rattacher les ressources et états cités à cet identifiant. Aucun fichier de jeu créé par ce catalogue.</x:v>
      </x:c>
      <x:c r="M37" s="9" t="str">
        <x:v>DLC Citadel.</x:v>
      </x:c>
      <x:c r="N37" s="9" t="str">
        <x:v>La séquence de Disruption Drone respecte son aire de menace, conserve sa cible réservée pendant la préparation et annule proprement coût/effets si la scène change.</x:v>
      </x:c>
      <x:c r="O37" s="9" t="str">
        <x:v>ME3-ENM-DISRUPTION</x:v>
      </x:c>
      <x:c r="P37" s="9" t="str">
        <x:v>Adaptation originale — spécification de production</x:v>
      </x:c>
      <x:c r="Q37" s="9" t="str"/>
      <x:c r="R37" s="20" t="str"/>
      <x:c r="S37" s="20" t="str">
        <x:v>Spécification à réaliser. Les champs adaptation, gameplay, visual, animation, audio et implementation décrivent le fan game ; ils ne donnent pas des caractéristiques officielles de l’œuvre.</x:v>
      </x:c>
    </x:row>
    <x:row r="38" ht="68" customHeight="1">
      <x:c r="A38" s="19" t="str">
        <x:v>ME3-EMV-CLONE</x:v>
      </x:c>
      <x:c r="B38" s="7" t="str">
        <x:v>Séquence adverse — Clone de Shepard</x:v>
      </x:c>
      <x:c r="C38" s="15" t="str">
        <x:v>Défini</x:v>
      </x:c>
      <x:c r="D38" s="17" t="str">
        <x:v>Extrapolation</x:v>
      </x:c>
      <x:c r="E38" s="17" t="str">
        <x:v>P1</x:v>
      </x:c>
      <x:c r="F38" s="7" t="str">
        <x:v>Livrable original proposé : Séquence adverse — Clone de Shepard.</x:v>
      </x:c>
      <x:c r="G38" s="7" t="str">
        <x:v>Construire un miroir de la classe sélectionnée avec télégraphes propres ; ses soins et changements de phase sont visibles.</x:v>
      </x:c>
      <x:c r="H38" s="7" t="str">
        <x:v>Construire un miroir de la classe sélectionnée avec télégraphes propres ; ses soins et changements de phase sont visibles.</x:v>
      </x:c>
      <x:c r="I38" s="7" t="str">
        <x:v>Ressemblance Shepard, tenue et éclairage adverses.</x:v>
      </x:c>
      <x:c r="J38" s="7" t="str">
        <x:v>Préparation orientée, événement de résolution unique, retour au contrôle ; pour bond ou charge, réserver départ et arrivée avant mouvement.</x:v>
      </x:c>
      <x:c r="K38" s="7" t="str">
        <x:v>Un seul événement de danger et un seul impact par résolution ; pas de répétition lors d’un retour de pause tactique.</x:v>
      </x:c>
      <x:c r="L38" s="7" t="str">
        <x:v>Prévu : fiche de données me3/enemy_moves/clone ; rattacher les ressources et états cités à cet identifiant. Aucun fichier de jeu créé par ce catalogue.</x:v>
      </x:c>
      <x:c r="M38" s="7" t="str">
        <x:v>DLC Citadel ; classe du joueur prise en compte.</x:v>
      </x:c>
      <x:c r="N38" s="7" t="str">
        <x:v>La séquence de Clone de Shepard respecte son aire de menace, conserve sa cible réservée pendant la préparation et annule proprement coût/effets si la scène change.</x:v>
      </x:c>
      <x:c r="O38" s="7" t="str">
        <x:v>ME3-ENM-CLONE</x:v>
      </x:c>
      <x:c r="P38" s="7" t="str">
        <x:v>Adaptation originale — spécification de production</x:v>
      </x:c>
      <x:c r="Q38" s="7" t="str"/>
      <x:c r="R38" s="21" t="str"/>
      <x:c r="S38" s="21" t="str">
        <x:v>Spécification à réaliser. Les champs adaptation, gameplay, visual, animation, audio et implementation décrivent le fan game ; ils ne donnent pas des caractéristiques officielles de l’œuvre.</x:v>
      </x:c>
    </x:row>
    <x:row r="39" ht="68" customHeight="1">
      <x:c r="A39" s="18" t="str">
        <x:v>ME3-EMV-BROOKS</x:v>
      </x:c>
      <x:c r="B39" s="9" t="str">
        <x:v>Séquence adverse — Maya Brooks — combat</x:v>
      </x:c>
      <x:c r="C39" s="15" t="str">
        <x:v>Défini</x:v>
      </x:c>
      <x:c r="D39" s="16" t="str">
        <x:v>Extrapolation</x:v>
      </x:c>
      <x:c r="E39" s="16" t="str">
        <x:v>P1</x:v>
      </x:c>
      <x:c r="F39" s="9" t="str">
        <x:v>Livrable original proposé : Séquence adverse — Maya Brooks — combat.</x:v>
      </x:c>
      <x:c r="G39" s="9" t="str">
        <x:v>Tir de soutien pendant duel du clone ; la cibler interrompt son appui sans faire disparaître la scène de reddition.</x:v>
      </x:c>
      <x:c r="H39" s="9" t="str">
        <x:v>Tir de soutien pendant duel du clone ; la cibler interrompt son appui sans faire disparaître la scène de reddition.</x:v>
      </x:c>
      <x:c r="I39" s="9" t="str">
        <x:v>Tenue tactique et arme de précision.</x:v>
      </x:c>
      <x:c r="J39" s="9" t="str">
        <x:v>Préparation orientée, événement de résolution unique, retour au contrôle ; pour bond ou charge, réserver départ et arrivée avant mouvement.</x:v>
      </x:c>
      <x:c r="K39" s="9" t="str">
        <x:v>Un seul événement de danger et un seul impact par résolution ; pas de répétition lors d’un retour de pause tactique.</x:v>
      </x:c>
      <x:c r="L39" s="9" t="str">
        <x:v>Prévu : fiche de données me3/enemy_moves/brooks ; rattacher les ressources et états cités à cet identifiant. Aucun fichier de jeu créé par ce catalogue.</x:v>
      </x:c>
      <x:c r="M39" s="9" t="str">
        <x:v>DLC Citadel.</x:v>
      </x:c>
      <x:c r="N39" s="9" t="str">
        <x:v>La séquence de Maya Brooks — combat respecte son aire de menace, conserve sa cible réservée pendant la préparation et annule proprement coût/effets si la scène change.</x:v>
      </x:c>
      <x:c r="O39" s="9" t="str">
        <x:v>ME3-ENM-BROOKS</x:v>
      </x:c>
      <x:c r="P39" s="9" t="str">
        <x:v>Adaptation originale — spécification de production</x:v>
      </x:c>
      <x:c r="Q39" s="9" t="str"/>
      <x:c r="R39" s="20" t="str"/>
      <x:c r="S39" s="20" t="str">
        <x:v>Spécification à réaliser. Les champs adaptation, gameplay, visual, animation, audio et implementation décrivent le fan game ; ils ne donnent pas des caractéristiques officielles de l’œuvre.</x:v>
      </x:c>
    </x:row>
    <x:row r="40" ht="68" customHeight="1">
      <x:c r="A40" s="19" t="str">
        <x:v>ME3-EMV-COLLECTOR-TROOPER</x:v>
      </x:c>
      <x:c r="B40" s="7" t="str">
        <x:v>Séquence adverse — Collector Trooper — simulation / multi</x:v>
      </x:c>
      <x:c r="C40" s="15" t="str">
        <x:v>Défini</x:v>
      </x:c>
      <x:c r="D40" s="17" t="str">
        <x:v>Extrapolation</x:v>
      </x:c>
      <x:c r="E40" s="17" t="str">
        <x:v>P1</x:v>
      </x:c>
      <x:c r="F40" s="7" t="str">
        <x:v>Livrable original proposé : Séquence adverse — Collector Trooper — simulation / multi.</x:v>
      </x:c>
      <x:c r="G40" s="7" t="str">
        <x:v>Tir en couverture avec possible possession de vague ; aucune présence réelle ajoutée à l’histoire ME3.</x:v>
      </x:c>
      <x:c r="H40" s="7" t="str">
        <x:v>Tir en couverture avec possible possession de vague ; aucune présence réelle ajoutée à l’histoire ME3.</x:v>
      </x:c>
      <x:c r="I40" s="7" t="str">
        <x:v>Carapace insectoïde et arme organique.</x:v>
      </x:c>
      <x:c r="J40" s="7" t="str">
        <x:v>Préparation orientée, événement de résolution unique, retour au contrôle ; pour bond ou charge, réserver départ et arrivée avant mouvement.</x:v>
      </x:c>
      <x:c r="K40" s="7" t="str">
        <x:v>Un seul événement de danger et un seul impact par résolution ; pas de répétition lors d’un retour de pause tactique.</x:v>
      </x:c>
      <x:c r="L40" s="7" t="str">
        <x:v>Prévu : fiche de données me3/enemy_moves/collector-trooper ; rattacher les ressources et états cités à cet identifiant. Aucun fichier de jeu créé par ce catalogue.</x:v>
      </x:c>
      <x:c r="M40" s="7" t="str">
        <x:v>Multijoueur Retaliation ou simulation Armax uniquement.</x:v>
      </x:c>
      <x:c r="N40" s="7" t="str">
        <x:v>La séquence de Collector Trooper — simulation / multi respecte son aire de menace, conserve sa cible réservée pendant la préparation et annule proprement coût/effets si la scène change.</x:v>
      </x:c>
      <x:c r="O40" s="7" t="str">
        <x:v>ME3-ENM-COLLECTOR-TROOPER</x:v>
      </x:c>
      <x:c r="P40" s="7" t="str">
        <x:v>Adaptation originale — spécification de production</x:v>
      </x:c>
      <x:c r="Q40" s="7" t="str"/>
      <x:c r="R40" s="21" t="str"/>
      <x:c r="S40" s="21" t="str">
        <x:v>Spécification à réaliser. Les champs adaptation, gameplay, visual, animation, audio et implementation décrivent le fan game ; ils ne donnent pas des caractéristiques officielles de l’œuvre.</x:v>
      </x:c>
    </x:row>
    <x:row r="41" ht="68" customHeight="1">
      <x:c r="A41" s="18" t="str">
        <x:v>ME3-EMV-COLLECTOR-CAPTAIN</x:v>
      </x:c>
      <x:c r="B41" s="9" t="str">
        <x:v>Séquence adverse — Collector Captain — simulation / multi</x:v>
      </x:c>
      <x:c r="C41" s="15" t="str">
        <x:v>Défini</x:v>
      </x:c>
      <x:c r="D41" s="16" t="str">
        <x:v>Extrapolation</x:v>
      </x:c>
      <x:c r="E41" s="16" t="str">
        <x:v>P1</x:v>
      </x:c>
      <x:c r="F41" s="9" t="str">
        <x:v>Livrable original proposé : Séquence adverse — Collector Captain — simulation / multi.</x:v>
      </x:c>
      <x:c r="G41" s="9" t="str">
        <x:v>Soutien de groupe et harcèlement ; possession signalée par transformation d’aura et priorité tactique.</x:v>
      </x:c>
      <x:c r="H41" s="9" t="str">
        <x:v>Soutien de groupe et harcèlement ; possession signalée par transformation d’aura et priorité tactique.</x:v>
      </x:c>
      <x:c r="I41" s="9" t="str">
        <x:v>Carapace plus visible et lueur de contrôle.</x:v>
      </x:c>
      <x:c r="J41" s="9" t="str">
        <x:v>Préparation orientée, événement de résolution unique, retour au contrôle ; pour bond ou charge, réserver départ et arrivée avant mouvement.</x:v>
      </x:c>
      <x:c r="K41" s="9" t="str">
        <x:v>Un seul événement de danger et un seul impact par résolution ; pas de répétition lors d’un retour de pause tactique.</x:v>
      </x:c>
      <x:c r="L41" s="9" t="str">
        <x:v>Prévu : fiche de données me3/enemy_moves/collector-captain ; rattacher les ressources et états cités à cet identifiant. Aucun fichier de jeu créé par ce catalogue.</x:v>
      </x:c>
      <x:c r="M41" s="9" t="str">
        <x:v>Multijoueur Retaliation / simulations prévues.</x:v>
      </x:c>
      <x:c r="N41" s="9" t="str">
        <x:v>La séquence de Collector Captain — simulation / multi respecte son aire de menace, conserve sa cible réservée pendant la préparation et annule proprement coût/effets si la scène change.</x:v>
      </x:c>
      <x:c r="O41" s="9" t="str">
        <x:v>ME3-ENM-COLLECTOR-CAPTAIN</x:v>
      </x:c>
      <x:c r="P41" s="9" t="str">
        <x:v>Adaptation originale — spécification de production</x:v>
      </x:c>
      <x:c r="Q41" s="9" t="str"/>
      <x:c r="R41" s="20" t="str"/>
      <x:c r="S41" s="20" t="str">
        <x:v>Spécification à réaliser. Les champs adaptation, gameplay, visual, animation, audio et implementation décrivent le fan game ; ils ne donnent pas des caractéristiques officielles de l’œuvre.</x:v>
      </x:c>
    </x:row>
    <x:row r="42" ht="68" customHeight="1">
      <x:c r="A42" s="19" t="str">
        <x:v>ME3-EMV-ABOMINATION</x:v>
      </x:c>
      <x:c r="B42" s="7" t="str">
        <x:v>Séquence adverse — Abomination — simulation / multi</x:v>
      </x:c>
      <x:c r="C42" s="15" t="str">
        <x:v>Défini</x:v>
      </x:c>
      <x:c r="D42" s="17" t="str">
        <x:v>Extrapolation</x:v>
      </x:c>
      <x:c r="E42" s="17" t="str">
        <x:v>P1</x:v>
      </x:c>
      <x:c r="F42" s="7" t="str">
        <x:v>Livrable original proposé : Séquence adverse — Abomination — simulation / multi.</x:v>
      </x:c>
      <x:c r="G42" s="7" t="str">
        <x:v>Course puis explosion avec zone d’évacuation ; distinguer cadavre inerte et charge encore active.</x:v>
      </x:c>
      <x:c r="H42" s="7" t="str">
        <x:v>Course puis explosion avec zone d’évacuation ; distinguer cadavre inerte et charge encore active.</x:v>
      </x:c>
      <x:c r="I42" s="7" t="str">
        <x:v>Forme humanoïde instable et pulsation.</x:v>
      </x:c>
      <x:c r="J42" s="7" t="str">
        <x:v>Préparation orientée, événement de résolution unique, retour au contrôle ; pour bond ou charge, réserver départ et arrivée avant mouvement.</x:v>
      </x:c>
      <x:c r="K42" s="7" t="str">
        <x:v>Un seul événement de danger et un seul impact par résolution ; pas de répétition lors d’un retour de pause tactique.</x:v>
      </x:c>
      <x:c r="L42" s="7" t="str">
        <x:v>Prévu : fiche de données me3/enemy_moves/abomination ; rattacher les ressources et états cités à cet identifiant. Aucun fichier de jeu créé par ce catalogue.</x:v>
      </x:c>
      <x:c r="M42" s="7" t="str">
        <x:v>Multijoueur Retaliation / simulations prévues.</x:v>
      </x:c>
      <x:c r="N42" s="7" t="str">
        <x:v>La séquence de Abomination — simulation / multi respecte son aire de menace, conserve sa cible réservée pendant la préparation et annule proprement coût/effets si la scène change.</x:v>
      </x:c>
      <x:c r="O42" s="7" t="str">
        <x:v>ME3-ENM-ABOMINATION</x:v>
      </x:c>
      <x:c r="P42" s="7" t="str">
        <x:v>Adaptation originale — spécification de production</x:v>
      </x:c>
      <x:c r="Q42" s="7" t="str"/>
      <x:c r="R42" s="21" t="str"/>
      <x:c r="S42" s="21" t="str">
        <x:v>Spécification à réaliser. Les champs adaptation, gameplay, visual, animation, audio et implementation décrivent le fan game ; ils ne donnent pas des caractéristiques officielles de l’œuvre.</x:v>
      </x:c>
    </x:row>
    <x:row r="43" ht="68" customHeight="1">
      <x:c r="A43" s="18" t="str">
        <x:v>ME3-EMV-SCION</x:v>
      </x:c>
      <x:c r="B43" s="9" t="str">
        <x:v>Séquence adverse — Scion — simulation / multi</x:v>
      </x:c>
      <x:c r="C43" s="15" t="str">
        <x:v>Défini</x:v>
      </x:c>
      <x:c r="D43" s="16" t="str">
        <x:v>Extrapolation</x:v>
      </x:c>
      <x:c r="E43" s="16" t="str">
        <x:v>P1</x:v>
      </x:c>
      <x:c r="F43" s="9" t="str">
        <x:v>Livrable original proposé : Séquence adverse — Scion — simulation / multi.</x:v>
      </x:c>
      <x:c r="G43" s="9" t="str">
        <x:v>Onde linéaire et attaque proche ; origine du cône et fenêtre de sortie visibles depuis toute caméra.</x:v>
      </x:c>
      <x:c r="H43" s="9" t="str">
        <x:v>Onde linéaire et attaque proche ; origine du cône et fenêtre de sortie visibles depuis toute caméra.</x:v>
      </x:c>
      <x:c r="I43" s="9" t="str">
        <x:v>Corps massif et bras canon.</x:v>
      </x:c>
      <x:c r="J43" s="9" t="str">
        <x:v>Préparation orientée, événement de résolution unique, retour au contrôle ; pour bond ou charge, réserver départ et arrivée avant mouvement.</x:v>
      </x:c>
      <x:c r="K43" s="9" t="str">
        <x:v>Un seul événement de danger et un seul impact par résolution ; pas de répétition lors d’un retour de pause tactique.</x:v>
      </x:c>
      <x:c r="L43" s="9" t="str">
        <x:v>Prévu : fiche de données me3/enemy_moves/scion ; rattacher les ressources et états cités à cet identifiant. Aucun fichier de jeu créé par ce catalogue.</x:v>
      </x:c>
      <x:c r="M43" s="9" t="str">
        <x:v>Multijoueur Retaliation / simulations prévues.</x:v>
      </x:c>
      <x:c r="N43" s="9" t="str">
        <x:v>La séquence de Scion — simulation / multi respecte son aire de menace, conserve sa cible réservée pendant la préparation et annule proprement coût/effets si la scène change.</x:v>
      </x:c>
      <x:c r="O43" s="9" t="str">
        <x:v>ME3-ENM-SCION</x:v>
      </x:c>
      <x:c r="P43" s="9" t="str">
        <x:v>Adaptation originale — spécification de production</x:v>
      </x:c>
      <x:c r="Q43" s="9" t="str"/>
      <x:c r="R43" s="20" t="str"/>
      <x:c r="S43" s="20" t="str">
        <x:v>Spécification à réaliser. Les champs adaptation, gameplay, visual, animation, audio et implementation décrivent le fan game ; ils ne donnent pas des caractéristiques officielles de l’œuvre.</x:v>
      </x:c>
    </x:row>
    <x:row r="44" ht="68" customHeight="1">
      <x:c r="A44" s="19" t="str">
        <x:v>ME3-EMV-PRAETORIAN</x:v>
      </x:c>
      <x:c r="B44" s="7" t="str">
        <x:v>Séquence adverse — Praetorian — simulation / multi</x:v>
      </x:c>
      <x:c r="C44" s="15" t="str">
        <x:v>Défini</x:v>
      </x:c>
      <x:c r="D44" s="17" t="str">
        <x:v>Extrapolation</x:v>
      </x:c>
      <x:c r="E44" s="17" t="str">
        <x:v>P1</x:v>
      </x:c>
      <x:c r="F44" s="7" t="str">
        <x:v>Livrable original proposé : Séquence adverse — Praetorian — simulation / multi.</x:v>
      </x:c>
      <x:c r="G44" s="7" t="str">
        <x:v>Descente de protection puis rayons ; zones sûres indépendantes de sa grande image en surplomb.</x:v>
      </x:c>
      <x:c r="H44" s="7" t="str">
        <x:v>Descente de protection puis rayons ; zones sûres indépendantes de sa grande image en surplomb.</x:v>
      </x:c>
      <x:c r="I44" s="7" t="str">
        <x:v>Carapace volante et optiques lumineuses.</x:v>
      </x:c>
      <x:c r="J44" s="7" t="str">
        <x:v>Préparation orientée, événement de résolution unique, retour au contrôle ; pour bond ou charge, réserver départ et arrivée avant mouvement.</x:v>
      </x:c>
      <x:c r="K44" s="7" t="str">
        <x:v>Un seul événement de danger et un seul impact par résolution ; pas de répétition lors d’un retour de pause tactique.</x:v>
      </x:c>
      <x:c r="L44" s="7" t="str">
        <x:v>Prévu : fiche de données me3/enemy_moves/praetorian ; rattacher les ressources et états cités à cet identifiant. Aucun fichier de jeu créé par ce catalogue.</x:v>
      </x:c>
      <x:c r="M44" s="7" t="str">
        <x:v>Multijoueur Retaliation / simulations prévues.</x:v>
      </x:c>
      <x:c r="N44" s="7" t="str">
        <x:v>La séquence de Praetorian — simulation / multi respecte son aire de menace, conserve sa cible réservée pendant la préparation et annule proprement coût/effets si la scène change.</x:v>
      </x:c>
      <x:c r="O44" s="7" t="str">
        <x:v>ME3-ENM-PRAETORIAN</x:v>
      </x:c>
      <x:c r="P44" s="7" t="str">
        <x:v>Adaptation originale — spécification de production</x:v>
      </x:c>
      <x:c r="Q44" s="7" t="str"/>
      <x:c r="R44" s="21" t="str"/>
      <x:c r="S44" s="21" t="str">
        <x:v>Spécification à réaliser. Les champs adaptation, gameplay, visual, animation, audio et implementation décrivent le fan game ; ils ne donnent pas des caractéristiques officielles de l’œuvre.</x:v>
      </x:c>
    </x:row>
    <x:row r="45" ht="68" customHeight="1">
      <x:c r="A45" s="18" t="str">
        <x:v>ME3-EMV-DRAGOON</x:v>
      </x:c>
      <x:c r="B45" s="9" t="str">
        <x:v>Séquence adverse — Cerberus Dragoon — multi</x:v>
      </x:c>
      <x:c r="C45" s="15" t="str">
        <x:v>Défini</x:v>
      </x:c>
      <x:c r="D45" s="16" t="str">
        <x:v>Extrapolation</x:v>
      </x:c>
      <x:c r="E45" s="16" t="str">
        <x:v>P1</x:v>
      </x:c>
      <x:c r="F45" s="9" t="str">
        <x:v>Livrable original proposé : Séquence adverse — Cerberus Dragoon — multi.</x:v>
      </x:c>
      <x:c r="G45" s="9" t="str">
        <x:v>Rush et combo rapproché séparés par une préparation ; le groupe peut rompre l’approche.</x:v>
      </x:c>
      <x:c r="H45" s="9" t="str">
        <x:v>Rush et combo rapproché séparés par une préparation ; le groupe peut rompre l’approche.</x:v>
      </x:c>
      <x:c r="I45" s="9" t="str">
        <x:v>Fouets énergétiques et armure sombre.</x:v>
      </x:c>
      <x:c r="J45" s="9" t="str">
        <x:v>Préparation orientée, événement de résolution unique, retour au contrôle ; pour bond ou charge, réserver départ et arrivée avant mouvement.</x:v>
      </x:c>
      <x:c r="K45" s="9" t="str">
        <x:v>Un seul événement de danger et un seul impact par résolution ; pas de répétition lors d’un retour de pause tactique.</x:v>
      </x:c>
      <x:c r="L45" s="9" t="str">
        <x:v>Prévu : fiche de données me3/enemy_moves/dragoon ; rattacher les ressources et états cités à cet identifiant. Aucun fichier de jeu créé par ce catalogue.</x:v>
      </x:c>
      <x:c r="M45" s="9" t="str">
        <x:v>Multijoueur Retaliation ; absence de campagne imposée.</x:v>
      </x:c>
      <x:c r="N45" s="9" t="str">
        <x:v>La séquence de Cerberus Dragoon — multi respecte son aire de menace, conserve sa cible réservée pendant la préparation et annule proprement coût/effets si la scène change.</x:v>
      </x:c>
      <x:c r="O45" s="9" t="str">
        <x:v>ME3-ENM-DRAGOON</x:v>
      </x:c>
      <x:c r="P45" s="9" t="str">
        <x:v>Adaptation originale — spécification de production</x:v>
      </x:c>
      <x:c r="Q45" s="9" t="str"/>
      <x:c r="R45" s="20" t="str"/>
      <x:c r="S45" s="20" t="str">
        <x:v>Spécification à réaliser. Les champs adaptation, gameplay, visual, animation, audio et implementation décrivent le fan game ; ils ne donnent pas des caractéristiques officielles de l’œuvre.</x:v>
      </x:c>
    </x:row>
  </x:sheetData>
  <x:conditionalFormatting sqref="D7:D45">
    <x:cfRule type="cellIs" dxfId="72" priority="1" operator="equal">
      <x:formula>"À vérifier"</x:formula>
    </x:cfRule>
    <x:cfRule type="cellIs" dxfId="73" priority="2" operator="equal">
      <x:formula>"Extrapolation"</x:formula>
    </x:cfRule>
  </x:conditionalFormatting>
  <x:conditionalFormatting sqref="C7:C45">
    <x:cfRule type="cellIs" dxfId="74" priority="3" operator="equal">
      <x:formula>"Validé"</x:formula>
    </x:cfRule>
  </x:conditionalFormatting>
  <x:conditionalFormatting sqref="E7:E45">
    <x:cfRule type="cellIs" dxfId="75" priority="4" operator="equal">
      <x:formula>"P0"</x:formula>
    </x:cfRule>
  </x:conditionalFormatting>
  <x:dataValidations count="3">
    <x:dataValidation type="list" sqref="C7:C45">
      <x:formula1>"Défini,Prototype,Intégré,Validé"</x:formula1>
    </x:dataValidation>
    <x:dataValidation type="list" sqref="D7:D45">
      <x:formula1>"Établi,À vérifier,Extrapolation,Coupé attesté,Concept abandonné,Allégation écartée"</x:formula1>
    </x:dataValidation>
    <x:dataValidation type="list" sqref="E7:E45">
      <x:formula1>"P0,P1,P2"</x:formula1>
    </x:dataValidation>
  </x:dataValidations>
  <x:pageMargins left="0.7" right="0.7" top="0.75" bottom="0.75" header="0.3" footer="0.3"/>
  <x:tableParts count="1">
    <x:tablePart xmlns:r="http://schemas.openxmlformats.org/officeDocument/2006/relationships" r:id="R0362f00f673b41bb"/>
  </x:tableParts>
</x:worksheet>
</file>

<file path=xl/worksheets/sheet2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Animations</x:v>
      </x:c>
      <x:c r="B2" s="2"/>
      <x:c r="C2" s="2"/>
      <x:c r="D2" s="2"/>
      <x:c r="E2" s="2"/>
      <x:c r="F2" s="2"/>
      <x:c r="G2" s="2"/>
      <x:c r="H2" s="2"/>
      <x:c r="I2" s="2"/>
      <x:c r="J2" s="2"/>
      <x:c r="K2" s="2"/>
      <x:c r="L2" s="2"/>
      <x:c r="M2" s="2"/>
      <x:c r="N2" s="2"/>
      <x:c r="O2" s="2"/>
      <x:c r="P2" s="2"/>
      <x:c r="Q2" s="2"/>
      <x:c r="R2" s="2"/>
      <x:c r="S2" s="2"/>
    </x:row>
    <x:row r="3" ht="22" customHeight="1">
      <x:c r="A3" s="4" t="str">
        <x:v>Mass Effect 3 — Bibliothèque d’animation pour sprites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ME3-ANI-COVER</x:v>
      </x:c>
      <x:c r="B7" s="9" t="str">
        <x:v>Couvert et changement d’épaule</x:v>
      </x:c>
      <x:c r="C7" s="15" t="str">
        <x:v>Défini</x:v>
      </x:c>
      <x:c r="D7" s="16" t="str">
        <x:v>Extrapolation</x:v>
      </x:c>
      <x:c r="E7" s="16" t="str">
        <x:v>P1</x:v>
      </x:c>
      <x:c r="F7" s="9" t="str">
        <x:v>Livrable original proposé : Couvert et changement d’épaule.</x:v>
      </x:c>
      <x:c r="G7" s="9" t="str">
        <x:v>Conserver pieds ancrés et profondeur ; sortie de couvert avant tir visible, retour sans glissement sur les angles.</x:v>
      </x:c>
      <x:c r="H7" s="9" t="str">
        <x:v>Conserver pieds ancrés et profondeur ; sortie de couvert avant tir visible, retour sans glissement sur les angles.</x:v>
      </x:c>
      <x:c r="I7" s="9" t="str">
        <x:v>Sprites bas/haut et repères au sol.</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me3/animations/cover ; rattacher les ressources et états cités à cet identifiant. Aucun fichier de jeu créé par ce catalogue.</x:v>
      </x:c>
      <x:c r="M7" s="9" t="str"/>
      <x:c r="N7" s="9" t="str">
        <x:v>Le livrable « Couvert et changement d’épaule » possède une scène ou un scénario de contrôle ; ses règles proposées, ses conditions et ses retours visuels sont vérifiables séparément.</x:v>
      </x:c>
      <x:c r="O7" s="9" t="str">
        <x:v>ME3-SYS-COVER</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ME3-ANI-VAULT</x:v>
      </x:c>
      <x:c r="B8" s="7" t="str">
        <x:v>Franchissement de couvert bas</x:v>
      </x:c>
      <x:c r="C8" s="15" t="str">
        <x:v>Défini</x:v>
      </x:c>
      <x:c r="D8" s="17" t="str">
        <x:v>Extrapolation</x:v>
      </x:c>
      <x:c r="E8" s="17" t="str">
        <x:v>P1</x:v>
      </x:c>
      <x:c r="F8" s="7" t="str">
        <x:v>Livrable original proposé : Franchissement de couvert bas.</x:v>
      </x:c>
      <x:c r="G8" s="7" t="str">
        <x:v>Réserver la cellule d’arrivée avant saut ; annuler si allié la bloque et ne pas traverser un couvert haut.</x:v>
      </x:c>
      <x:c r="H8" s="7" t="str">
        <x:v>Réserver la cellule d’arrivée avant saut ; annuler si allié la bloque et ne pas traverser un couvert haut.</x:v>
      </x:c>
      <x:c r="I8" s="7" t="str">
        <x:v>Arc court et ombre continue.</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me3/animations/vault ; rattacher les ressources et états cités à cet identifiant. Aucun fichier de jeu créé par ce catalogue.</x:v>
      </x:c>
      <x:c r="M8" s="7" t="str"/>
      <x:c r="N8" s="7" t="str">
        <x:v>Le livrable « Franchissement de couvert bas » possède une scène ou un scénario de contrôle ; ses règles proposées, ses conditions et ses retours visuels sont vérifiables séparément.</x:v>
      </x:c>
      <x:c r="O8" s="7" t="str">
        <x:v>ME3-SYS-TRAVERSAL</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ME3-ANI-OMNIBLADE</x:v>
      </x:c>
      <x:c r="B9" s="9" t="str">
        <x:v>Mêlée lourde de Shepard</x:v>
      </x:c>
      <x:c r="C9" s="15" t="str">
        <x:v>Défini</x:v>
      </x:c>
      <x:c r="D9" s="16" t="str">
        <x:v>Extrapolation</x:v>
      </x:c>
      <x:c r="E9" s="16" t="str">
        <x:v>P1</x:v>
      </x:c>
      <x:c r="F9" s="9" t="str">
        <x:v>Livrable original proposé : Mêlée lourde de Shepard.</x:v>
      </x:c>
      <x:c r="G9" s="9" t="str">
        <x:v>Anticipation du bras, extension de lame puis récupération ; contrôle de hitbox indépendant de l’illustration lumineuse.</x:v>
      </x:c>
      <x:c r="H9" s="9" t="str">
        <x:v>Anticipation du bras, extension de lame puis récupération ; contrôle de hitbox indépendant de l’illustration lumineuse.</x:v>
      </x:c>
      <x:c r="I9" s="9" t="str">
        <x:v>Omni-lame orange et pose de fente.</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me3/animations/omniblade ; rattacher les ressources et états cités à cet identifiant. Aucun fichier de jeu créé par ce catalogue.</x:v>
      </x:c>
      <x:c r="M9" s="9" t="str"/>
      <x:c r="N9" s="9" t="str">
        <x:v>Le livrable « Mêlée lourde de Shepard » possède une scène ou un scénario de contrôle ; ses règles proposées, ses conditions et ses retours visuels sont vérifiables séparément.</x:v>
      </x:c>
      <x:c r="O9" s="9" t="str">
        <x:v>ME3-CHR-SHEPARD</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ME3-ANI-BIOTIC-CAST</x:v>
      </x:c>
      <x:c r="B10" s="7" t="str">
        <x:v>Gestuelle biotique d’équipe</x:v>
      </x:c>
      <x:c r="C10" s="15" t="str">
        <x:v>Défini</x:v>
      </x:c>
      <x:c r="D10" s="17" t="str">
        <x:v>Extrapolation</x:v>
      </x:c>
      <x:c r="E10" s="17" t="str">
        <x:v>P1</x:v>
      </x:c>
      <x:c r="F10" s="7" t="str">
        <x:v>Livrable original proposé : Gestuelle biotique d’équipe.</x:v>
      </x:c>
      <x:c r="G10" s="7" t="str">
        <x:v>Variantes humain/asari/krogan/turien ; la main de cast conserve arme et silhouette sans duplication.</x:v>
      </x:c>
      <x:c r="H10" s="7" t="str">
        <x:v>Variantes humain/asari/krogan/turien ; la main de cast conserve arme et silhouette sans duplication.</x:v>
      </x:c>
      <x:c r="I10" s="7" t="str">
        <x:v>Main ouverte et déformation légère.</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me3/animations/biotic-cast ; rattacher les ressources et états cités à cet identifiant. Aucun fichier de jeu créé par ce catalogue.</x:v>
      </x:c>
      <x:c r="M10" s="7" t="str"/>
      <x:c r="N10" s="7" t="str">
        <x:v>Le livrable « Gestuelle biotique d’équipe » possède une scène ou un scénario de contrôle ; ses règles proposées, ses conditions et ses retours visuels sont vérifiables séparément.</x:v>
      </x:c>
      <x:c r="O10" s="7" t="str">
        <x:v>ME3-POW-WARP</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ME3-ANI-TECH-CAST</x:v>
      </x:c>
      <x:c r="B11" s="9" t="str">
        <x:v>Omni-outil et activation tech</x:v>
      </x:c>
      <x:c r="C11" s="15" t="str">
        <x:v>Défini</x:v>
      </x:c>
      <x:c r="D11" s="16" t="str">
        <x:v>Extrapolation</x:v>
      </x:c>
      <x:c r="E11" s="16" t="str">
        <x:v>P1</x:v>
      </x:c>
      <x:c r="F11" s="9" t="str">
        <x:v>Livrable original proposé : Omni-outil et activation tech.</x:v>
      </x:c>
      <x:c r="G11" s="9" t="str">
        <x:v>Projeter outil du bon bras selon sprite original ; événement de pouvoir une seule fois même si pause tactique.</x:v>
      </x:c>
      <x:c r="H11" s="9" t="str">
        <x:v>Projeter outil du bon bras selon sprite original ; événement de pouvoir une seule fois même si pause tactique.</x:v>
      </x:c>
      <x:c r="I11" s="9" t="str">
        <x:v>Anneau d’interface orange.</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me3/animations/tech-cast ; rattacher les ressources et états cités à cet identifiant. Aucun fichier de jeu créé par ce catalogue.</x:v>
      </x:c>
      <x:c r="M11" s="9" t="str"/>
      <x:c r="N11" s="9" t="str">
        <x:v>Le livrable « Omni-outil et activation tech » possède une scène ou un scénario de contrôle ; ses règles proposées, ses conditions et ses retours visuels sont vérifiables séparément.</x:v>
      </x:c>
      <x:c r="O11" s="9" t="str">
        <x:v>ME3-POW-OVERLOAD</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ME3-ANI-GRENADE</x:v>
      </x:c>
      <x:c r="B12" s="7" t="str">
        <x:v>Lancer de grenade</x:v>
      </x:c>
      <x:c r="C12" s="15" t="str">
        <x:v>Défini</x:v>
      </x:c>
      <x:c r="D12" s="17" t="str">
        <x:v>Extrapolation</x:v>
      </x:c>
      <x:c r="E12" s="17" t="str">
        <x:v>P1</x:v>
      </x:c>
      <x:c r="F12" s="7" t="str">
        <x:v>Livrable original proposé : Lancer de grenade.</x:v>
      </x:c>
      <x:c r="G12" s="7" t="str">
        <x:v>Préparation, lâcher et retour au fusil ; projectile créé au lâcher, réserve débitée à ce moment précis.</x:v>
      </x:c>
      <x:c r="H12" s="7" t="str">
        <x:v>Préparation, lâcher et retour au fusil ; projectile créé au lâcher, réserve débitée à ce moment précis.</x:v>
      </x:c>
      <x:c r="I12" s="7" t="str">
        <x:v>Main, grenade et parabole.</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me3/animations/grenade ; rattacher les ressources et états cités à cet identifiant. Aucun fichier de jeu créé par ce catalogue.</x:v>
      </x:c>
      <x:c r="M12" s="7" t="str"/>
      <x:c r="N12" s="7" t="str">
        <x:v>Le livrable « Lancer de grenade » possède une scène ou un scénario de contrôle ; ses règles proposées, ses conditions et ses retours visuels sont vérifiables séparément.</x:v>
      </x:c>
      <x:c r="O12" s="7" t="str">
        <x:v>ME3-POW-FRAG</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ME3-ANI-REVIVE</x:v>
      </x:c>
      <x:c r="B13" s="9" t="str">
        <x:v>Secours manuel et First Aid</x:v>
      </x:c>
      <x:c r="C13" s="15" t="str">
        <x:v>Défini</x:v>
      </x:c>
      <x:c r="D13" s="16" t="str">
        <x:v>Extrapolation</x:v>
      </x:c>
      <x:c r="E13" s="16" t="str">
        <x:v>P1</x:v>
      </x:c>
      <x:c r="F13" s="9" t="str">
        <x:v>Livrable original proposé : Secours manuel et First Aid.</x:v>
      </x:c>
      <x:c r="G13" s="9" t="str">
        <x:v>Deux poses distinctes, contact au corps ou omni-outil ; vérifier orientation et absence de traversée de mur.</x:v>
      </x:c>
      <x:c r="H13" s="9" t="str">
        <x:v>Deux poses distinctes, contact au corps ou omni-outil ; vérifier orientation et absence de traversée de mur.</x:v>
      </x:c>
      <x:c r="I13" s="9" t="str">
        <x:v>Geste de soin et reprise de station.</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me3/animations/revive ; rattacher les ressources et états cités à cet identifiant. Aucun fichier de jeu créé par ce catalogue.</x:v>
      </x:c>
      <x:c r="M13" s="9" t="str"/>
      <x:c r="N13" s="9" t="str">
        <x:v>Le livrable « Secours manuel et First Aid » possède une scène ou un scénario de contrôle ; ses règles proposées, ses conditions et ses retours visuels sont vérifiables séparément.</x:v>
      </x:c>
      <x:c r="O13" s="9" t="str">
        <x:v>ME3-POW-FIRST-AID</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ME3-ANI-PHANTOM</x:v>
      </x:c>
      <x:c r="B14" s="7" t="str">
        <x:v>Phantom — menace de lame</x:v>
      </x:c>
      <x:c r="C14" s="15" t="str">
        <x:v>Défini</x:v>
      </x:c>
      <x:c r="D14" s="17" t="str">
        <x:v>Extrapolation</x:v>
      </x:c>
      <x:c r="E14" s="17" t="str">
        <x:v>P1</x:v>
      </x:c>
      <x:c r="F14" s="7" t="str">
        <x:v>Livrable original proposé : Phantom — menace de lame.</x:v>
      </x:c>
      <x:c r="G14" s="7" t="str">
        <x:v>Camouflage lisible, sortie, pose de menace puis frappe ; réduire possibilité de saisie instantanée hors champ.</x:v>
      </x:c>
      <x:c r="H14" s="7" t="str">
        <x:v>Camouflage lisible, sortie, pose de menace puis frappe ; réduire possibilité de saisie instantanée hors champ.</x:v>
      </x:c>
      <x:c r="I14" s="7" t="str">
        <x:v>Lame et contour de menace.</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me3/animations/phantom ; rattacher les ressources et états cités à cet identifiant. Aucun fichier de jeu créé par ce catalogue.</x:v>
      </x:c>
      <x:c r="M14" s="7" t="str"/>
      <x:c r="N14" s="7" t="str">
        <x:v>Le livrable « Phantom — menace de lame » possède une scène ou un scénario de contrôle ; ses règles proposées, ses conditions et ses retours visuels sont vérifiables séparément.</x:v>
      </x:c>
      <x:c r="O14" s="7" t="str">
        <x:v>ME3-ENM-PHANTOM</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ME3-ANI-BANSHEE</x:v>
      </x:c>
      <x:c r="B15" s="9" t="str">
        <x:v>Banshee — téléportation et prise</x:v>
      </x:c>
      <x:c r="C15" s="15" t="str">
        <x:v>Défini</x:v>
      </x:c>
      <x:c r="D15" s="16" t="str">
        <x:v>Extrapolation</x:v>
      </x:c>
      <x:c r="E15" s="16" t="str">
        <x:v>P1</x:v>
      </x:c>
      <x:c r="F15" s="9" t="str">
        <x:v>Livrable original proposé : Banshee — téléportation et prise.</x:v>
      </x:c>
      <x:c r="G15" s="9" t="str">
        <x:v>Départ et arrivée reliés par signal ; phase de saisie distincte de l’attaque normale, durée lisible.</x:v>
      </x:c>
      <x:c r="H15" s="9" t="str">
        <x:v>Départ et arrivée reliés par signal ; phase de saisie distincte de l’attaque normale, durée lisible.</x:v>
      </x:c>
      <x:c r="I15" s="9" t="str">
        <x:v>Aura, silhouette étirée et main tendue.</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me3/animations/banshee ; rattacher les ressources et états cités à cet identifiant. Aucun fichier de jeu créé par ce catalogue.</x:v>
      </x:c>
      <x:c r="M15" s="9" t="str"/>
      <x:c r="N15" s="9" t="str">
        <x:v>Le livrable « Banshee — téléportation et prise » possède une scène ou un scénario de contrôle ; ses règles proposées, ses conditions et ses retours visuels sont vérifiables séparément.</x:v>
      </x:c>
      <x:c r="O15" s="9" t="str">
        <x:v>ME3-ENM-BANSHEE</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ME3-ANI-BRUTE</x:v>
      </x:c>
      <x:c r="B16" s="7" t="str">
        <x:v>Brute — charge arrêtée</x:v>
      </x:c>
      <x:c r="C16" s="15" t="str">
        <x:v>Défini</x:v>
      </x:c>
      <x:c r="D16" s="17" t="str">
        <x:v>Extrapolation</x:v>
      </x:c>
      <x:c r="E16" s="17" t="str">
        <x:v>P1</x:v>
      </x:c>
      <x:c r="F16" s="7" t="str">
        <x:v>Livrable original proposé : Brute — charge arrêtée.</x:v>
      </x:c>
      <x:c r="G16" s="7" t="str">
        <x:v>Épaules baissées, poussée, collision puis déstabilisation ; pas de correction de trajectoire invisible après charge.</x:v>
      </x:c>
      <x:c r="H16" s="7" t="str">
        <x:v>Épaules baissées, poussée, collision puis déstabilisation ; pas de correction de trajectoire invisible après charge.</x:v>
      </x:c>
      <x:c r="I16" s="7" t="str">
        <x:v>Masse projetée et poussière.</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me3/animations/brute ; rattacher les ressources et états cités à cet identifiant. Aucun fichier de jeu créé par ce catalogue.</x:v>
      </x:c>
      <x:c r="M16" s="7" t="str"/>
      <x:c r="N16" s="7" t="str">
        <x:v>Le livrable « Brute — charge arrêtée » possède une scène ou un scénario de contrôle ; ses règles proposées, ses conditions et ses retours visuels sont vérifiables séparément.</x:v>
      </x:c>
      <x:c r="O16" s="7" t="str">
        <x:v>ME3-ENM-BRUTE</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ME3-ANI-ATLAS</x:v>
      </x:c>
      <x:c r="B17" s="9" t="str">
        <x:v>Atlas — marche et cockpit</x:v>
      </x:c>
      <x:c r="C17" s="15" t="str">
        <x:v>Défini</x:v>
      </x:c>
      <x:c r="D17" s="16" t="str">
        <x:v>Extrapolation</x:v>
      </x:c>
      <x:c r="E17" s="16" t="str">
        <x:v>P1</x:v>
      </x:c>
      <x:c r="F17" s="9" t="str">
        <x:v>Livrable original proposé : Atlas — marche et cockpit.</x:v>
      </x:c>
      <x:c r="G17" s="9" t="str">
        <x:v>Cycle lourd sans déplacer artificiellement la hitbox ; ouverture et destruction de vitre sont états séparés si utilisés.</x:v>
      </x:c>
      <x:c r="H17" s="9" t="str">
        <x:v>Cycle lourd sans déplacer artificiellement la hitbox ; ouverture et destruction de vitre sont états séparés si utilisés.</x:v>
      </x:c>
      <x:c r="I17" s="9" t="str">
        <x:v>Pistons, genoux et cockpit.</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me3/animations/atlas ; rattacher les ressources et états cités à cet identifiant. Aucun fichier de jeu créé par ce catalogue.</x:v>
      </x:c>
      <x:c r="M17" s="9" t="str"/>
      <x:c r="N17" s="9" t="str">
        <x:v>Le livrable « Atlas — marche et cockpit » possède une scène ou un scénario de contrôle ; ses règles proposées, ses conditions et ses retours visuels sont vérifiables séparément.</x:v>
      </x:c>
      <x:c r="O17" s="9" t="str">
        <x:v>ME3-ENM-ATLAS</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ME3-ANI-RAVAGER</x:v>
      </x:c>
      <x:c r="B18" s="7" t="str">
        <x:v>Ravager — sacs et émergence</x:v>
      </x:c>
      <x:c r="C18" s="15" t="str">
        <x:v>Défini</x:v>
      </x:c>
      <x:c r="D18" s="17" t="str">
        <x:v>Extrapolation</x:v>
      </x:c>
      <x:c r="E18" s="17" t="str">
        <x:v>P1</x:v>
      </x:c>
      <x:c r="F18" s="7" t="str">
        <x:v>Livrable original proposé : Ravager — sacs et émergence.</x:v>
      </x:c>
      <x:c r="G18" s="7" t="str">
        <x:v>Réaction locale à la rupture d’un sac ; Swarmers apparaissent à emplacements libres et non sur pieds alliés.</x:v>
      </x:c>
      <x:c r="H18" s="7" t="str">
        <x:v>Réaction locale à la rupture d’un sac ; Swarmers apparaissent à emplacements libres et non sur pieds alliés.</x:v>
      </x:c>
      <x:c r="I18" s="7" t="str">
        <x:v>Sacs pulsants et petites sorties.</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me3/animations/ravager ; rattacher les ressources et états cités à cet identifiant. Aucun fichier de jeu créé par ce catalogue.</x:v>
      </x:c>
      <x:c r="M18" s="7" t="str"/>
      <x:c r="N18" s="7" t="str">
        <x:v>Le livrable « Ravager — sacs et émergence » possède une scène ou un scénario de contrôle ; ses règles proposées, ses conditions et ses retours visuels sont vérifiables séparément.</x:v>
      </x:c>
      <x:c r="O18" s="7" t="str">
        <x:v>ME3-ENM-RAVAGER</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ME3-ANI-ADJUTANT</x:v>
      </x:c>
      <x:c r="B19" s="9" t="str">
        <x:v>Adjutant — bond annoncé</x:v>
      </x:c>
      <x:c r="C19" s="15" t="str">
        <x:v>Défini</x:v>
      </x:c>
      <x:c r="D19" s="16" t="str">
        <x:v>Extrapolation</x:v>
      </x:c>
      <x:c r="E19" s="16" t="str">
        <x:v>P1</x:v>
      </x:c>
      <x:c r="F19" s="9" t="str">
        <x:v>Livrable original proposé : Adjutant — bond annoncé.</x:v>
      </x:c>
      <x:c r="G19" s="9" t="str">
        <x:v>Compression du corps, ombre d’arrivée et bond ; contact seulement après réception valide.</x:v>
      </x:c>
      <x:c r="H19" s="9" t="str">
        <x:v>Compression du corps, ombre d’arrivée et bond ; contact seulement après réception valide.</x:v>
      </x:c>
      <x:c r="I19" s="9" t="str">
        <x:v>Grande silhouette en arc.</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me3/animations/adjutant ; rattacher les ressources et états cités à cet identifiant. Aucun fichier de jeu créé par ce catalogue.</x:v>
      </x:c>
      <x:c r="M19" s="9" t="str"/>
      <x:c r="N19" s="9" t="str">
        <x:v>Le livrable « Adjutant — bond annoncé » possède une scène ou un scénario de contrôle ; ses règles proposées, ses conditions et ses retours visuels sont vérifiables séparément.</x:v>
      </x:c>
      <x:c r="O19" s="9" t="str">
        <x:v>ME3-ENM-ADJUTANT</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68" customHeight="1">
      <x:c r="A20" s="19" t="str">
        <x:v>ME3-ANI-CLONE</x:v>
      </x:c>
      <x:c r="B20" s="7" t="str">
        <x:v>Clone — miroir de classe</x:v>
      </x:c>
      <x:c r="C20" s="15" t="str">
        <x:v>Défini</x:v>
      </x:c>
      <x:c r="D20" s="17" t="str">
        <x:v>Extrapolation</x:v>
      </x:c>
      <x:c r="E20" s="17" t="str">
        <x:v>P1</x:v>
      </x:c>
      <x:c r="F20" s="7" t="str">
        <x:v>Livrable original proposé : Clone — miroir de classe.</x:v>
      </x:c>
      <x:c r="G20" s="7" t="str">
        <x:v>Conserver le modèle personnalisé et varier les gestes selon classe ; ne pas reproduire une arme absente du loadout de boss.</x:v>
      </x:c>
      <x:c r="H20" s="7" t="str">
        <x:v>Conserver le modèle personnalisé et varier les gestes selon classe ; ne pas reproduire une arme absente du loadout de boss.</x:v>
      </x:c>
      <x:c r="I20" s="7" t="str">
        <x:v>Silhouette Shepard avec posture hostile.</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me3/animations/clone ; rattacher les ressources et états cités à cet identifiant. Aucun fichier de jeu créé par ce catalogue.</x:v>
      </x:c>
      <x:c r="M20" s="7" t="str"/>
      <x:c r="N20" s="7" t="str">
        <x:v>Le livrable « Clone — miroir de classe » possède une scène ou un scénario de contrôle ; ses règles proposées, ses conditions et ses retours visuels sont vérifiables séparément.</x:v>
      </x:c>
      <x:c r="O20" s="7" t="str">
        <x:v>ME3-ENM-CLONE</x:v>
      </x:c>
      <x:c r="P20" s="7" t="str">
        <x:v>Adaptation originale — spécification de production</x:v>
      </x:c>
      <x:c r="Q20" s="7" t="str"/>
      <x:c r="R20" s="21" t="str"/>
      <x:c r="S20" s="21" t="str">
        <x:v>Spécification à réaliser. Les champs adaptation, gameplay, visual, animation, audio et implementation décrivent le fan game ; ils ne donnent pas des caractéristiques officielles de l’œuvre.</x:v>
      </x:c>
    </x:row>
    <x:row r="21" ht="68" customHeight="1">
      <x:c r="A21" s="18" t="str">
        <x:v>ME3-ANI-DIALOGUE</x:v>
      </x:c>
      <x:c r="B21" s="9" t="str">
        <x:v>Visages et regard en conversation</x:v>
      </x:c>
      <x:c r="C21" s="15" t="str">
        <x:v>Défini</x:v>
      </x:c>
      <x:c r="D21" s="16" t="str">
        <x:v>Extrapolation</x:v>
      </x:c>
      <x:c r="E21" s="16" t="str">
        <x:v>P1</x:v>
      </x:c>
      <x:c r="F21" s="9" t="str">
        <x:v>Livrable original proposé : Visages et regard en conversation.</x:v>
      </x:c>
      <x:c r="G21" s="9" t="str">
        <x:v>Jeu de bouches original sobre, regard sur interlocuteur actif ; distances de caméra compatibles avec aliens à yeux multiples.</x:v>
      </x:c>
      <x:c r="H21" s="9" t="str">
        <x:v>Jeu de bouches original sobre, regard sur interlocuteur actif ; distances de caméra compatibles avec aliens à yeux multiples.</x:v>
      </x:c>
      <x:c r="I21" s="9" t="str">
        <x:v>Portraits et buste en surimpression.</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me3/animations/dialogue ; rattacher les ressources et états cités à cet identifiant. Aucun fichier de jeu créé par ce catalogue.</x:v>
      </x:c>
      <x:c r="M21" s="9" t="str"/>
      <x:c r="N21" s="9" t="str">
        <x:v>Le livrable « Visages et regard en conversation » possède une scène ou un scénario de contrôle ; ses règles proposées, ses conditions et ses retours visuels sont vérifiables séparément.</x:v>
      </x:c>
      <x:c r="O21" s="9" t="str">
        <x:v>ME3-CHR-JAVIK</x:v>
      </x:c>
      <x:c r="P21" s="9" t="str">
        <x:v>Adaptation originale — spécification de production</x:v>
      </x:c>
      <x:c r="Q21" s="9" t="str"/>
      <x:c r="R21" s="20" t="str"/>
      <x:c r="S21" s="20" t="str">
        <x:v>Spécification à réaliser. Les champs adaptation, gameplay, visual, animation, audio et implementation décrivent le fan game ; ils ne donnent pas des caractéristiques officielles de l’œuvre.</x:v>
      </x:c>
    </x:row>
    <x:row r="22" ht="68" customHeight="1">
      <x:c r="A22" s="19" t="str">
        <x:v>ME3-ANI-CIVILIANS</x:v>
      </x:c>
      <x:c r="B22" s="7" t="str">
        <x:v>Évacuation des civils</x:v>
      </x:c>
      <x:c r="C22" s="15" t="str">
        <x:v>Défini</x:v>
      </x:c>
      <x:c r="D22" s="17" t="str">
        <x:v>Extrapolation</x:v>
      </x:c>
      <x:c r="E22" s="17" t="str">
        <x:v>P1</x:v>
      </x:c>
      <x:c r="F22" s="7" t="str">
        <x:v>Livrable original proposé : Évacuation des civils.</x:v>
      </x:c>
      <x:c r="G22" s="7" t="str">
        <x:v>Groupes courts avec espace autour des sprites ; panique, arrêt et reprise sans collision en boucle devant porte.</x:v>
      </x:c>
      <x:c r="H22" s="7" t="str">
        <x:v>Groupes courts avec espace autour des sprites ; panique, arrêt et reprise sans collision en boucle devant porte.</x:v>
      </x:c>
      <x:c r="I22" s="7" t="str">
        <x:v>Marche pressée et mains de protection.</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me3/animations/civilians ; rattacher les ressources et états cités à cet identifiant. Aucun fichier de jeu créé par ce catalogue.</x:v>
      </x:c>
      <x:c r="M22" s="7" t="str"/>
      <x:c r="N22" s="7" t="str">
        <x:v>Le livrable « Évacuation des civils » possède une scène ou un scénario de contrôle ; ses règles proposées, ses conditions et ses retours visuels sont vérifiables séparément.</x:v>
      </x:c>
      <x:c r="O22" s="7" t="str">
        <x:v>ME3-SQ-GRISSOM</x:v>
      </x:c>
      <x:c r="P22" s="7" t="str">
        <x:v>Adaptation originale — spécification de production</x:v>
      </x:c>
      <x:c r="Q22" s="7" t="str"/>
      <x:c r="R22" s="21" t="str"/>
      <x:c r="S22" s="21" t="str">
        <x:v>Spécification à réaliser. Les champs adaptation, gameplay, visual, animation, audio et implementation décrivent le fan game ; ils ne donnent pas des caractéristiques officielles de l’œuvre.</x:v>
      </x:c>
    </x:row>
    <x:row r="23" ht="68" customHeight="1">
      <x:c r="A23" s="18" t="str">
        <x:v>ME3-ANI-PARTY</x:v>
      </x:c>
      <x:c r="B23" s="9" t="str">
        <x:v>Gestes sociaux de la fête</x:v>
      </x:c>
      <x:c r="C23" s="15" t="str">
        <x:v>Défini</x:v>
      </x:c>
      <x:c r="D23" s="16" t="str">
        <x:v>Extrapolation</x:v>
      </x:c>
      <x:c r="E23" s="16" t="str">
        <x:v>P1</x:v>
      </x:c>
      <x:c r="F23" s="9" t="str">
        <x:v>Livrable original proposé : Gestes sociaux de la fête.</x:v>
      </x:c>
      <x:c r="G23" s="9" t="str">
        <x:v>S’asseoir, boire, rire et danser avec ancres de meubles ; vérifier variantes grandes/petites silhouettes.</x:v>
      </x:c>
      <x:c r="H23" s="9" t="str">
        <x:v>S’asseoir, boire, rire et danser avec ancres de meubles ; vérifier variantes grandes/petites silhouettes.</x:v>
      </x:c>
      <x:c r="I23" s="9" t="str">
        <x:v>Groupes de salon et piste improvisée.</x:v>
      </x:c>
      <x:c r="J23" s="9" t="str">
        <x:v>Préparer état de repos, anticipation, activation et retour au repos ; aligner les événements visuels sur la résolution de l’action ATB.</x:v>
      </x:c>
      <x:c r="K23" s="9" t="str">
        <x:v>Créer des bruitages et ambiances originaux adaptés au livrable ; sous-titrer les indices utiles et proposer un réglage indépendant des effets. Aucune extraction audio demandée.</x:v>
      </x:c>
      <x:c r="L23" s="9" t="str">
        <x:v>Prévu : fiche de données me3/animations/party ; rattacher les ressources et états cités à cet identifiant. Aucun fichier de jeu créé par ce catalogue.</x:v>
      </x:c>
      <x:c r="M23" s="9" t="str"/>
      <x:c r="N23" s="9" t="str">
        <x:v>Le livrable « Gestes sociaux de la fête » possède une scène ou un scénario de contrôle ; ses règles proposées, ses conditions et ses retours visuels sont vérifiables séparément.</x:v>
      </x:c>
      <x:c r="O23" s="9" t="str">
        <x:v>ME3-ZON-APARTMENT</x:v>
      </x:c>
      <x:c r="P23" s="9" t="str">
        <x:v>Adaptation originale — spécification de production</x:v>
      </x:c>
      <x:c r="Q23" s="9" t="str"/>
      <x:c r="R23" s="20" t="str"/>
      <x:c r="S23" s="20" t="str">
        <x:v>Spécification à réaliser. Les champs adaptation, gameplay, visual, animation, audio et implementation décrivent le fan game ; ils ne donnent pas des caractéristiques officielles de l’œuvre.</x:v>
      </x:c>
    </x:row>
  </x:sheetData>
  <x:conditionalFormatting sqref="D7:D23">
    <x:cfRule type="cellIs" dxfId="76" priority="1" operator="equal">
      <x:formula>"À vérifier"</x:formula>
    </x:cfRule>
    <x:cfRule type="cellIs" dxfId="77" priority="2" operator="equal">
      <x:formula>"Extrapolation"</x:formula>
    </x:cfRule>
  </x:conditionalFormatting>
  <x:conditionalFormatting sqref="C7:C23">
    <x:cfRule type="cellIs" dxfId="78" priority="3" operator="equal">
      <x:formula>"Validé"</x:formula>
    </x:cfRule>
  </x:conditionalFormatting>
  <x:conditionalFormatting sqref="E7:E23">
    <x:cfRule type="cellIs" dxfId="79" priority="4" operator="equal">
      <x:formula>"P0"</x:formula>
    </x:cfRule>
  </x:conditionalFormatting>
  <x:dataValidations count="3">
    <x:dataValidation type="list" sqref="C7:C23">
      <x:formula1>"Défini,Prototype,Intégré,Validé"</x:formula1>
    </x:dataValidation>
    <x:dataValidation type="list" sqref="D7:D23">
      <x:formula1>"Établi,À vérifier,Extrapolation,Coupé attesté,Concept abandonné,Allégation écartée"</x:formula1>
    </x:dataValidation>
    <x:dataValidation type="list" sqref="E7:E23">
      <x:formula1>"P0,P1,P2"</x:formula1>
    </x:dataValidation>
  </x:dataValidations>
  <x:pageMargins left="0.7" right="0.7" top="0.75" bottom="0.75" header="0.3" footer="0.3"/>
  <x:tableParts count="1">
    <x:tablePart xmlns:r="http://schemas.openxmlformats.org/officeDocument/2006/relationships" r:id="R2f82d1e81692410d"/>
  </x:tableParts>
</x:worksheet>
</file>

<file path=xl/worksheets/sheet2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Sprites</x:v>
      </x:c>
      <x:c r="B2" s="2"/>
      <x:c r="C2" s="2"/>
      <x:c r="D2" s="2"/>
      <x:c r="E2" s="2"/>
      <x:c r="F2" s="2"/>
      <x:c r="G2" s="2"/>
      <x:c r="H2" s="2"/>
      <x:c r="I2" s="2"/>
      <x:c r="J2" s="2"/>
      <x:c r="K2" s="2"/>
      <x:c r="L2" s="2"/>
      <x:c r="M2" s="2"/>
      <x:c r="N2" s="2"/>
      <x:c r="O2" s="2"/>
      <x:c r="P2" s="2"/>
      <x:c r="Q2" s="2"/>
      <x:c r="R2" s="2"/>
      <x:c r="S2" s="2"/>
    </x:row>
    <x:row r="3" ht="22" customHeight="1">
      <x:c r="A3" s="4" t="str">
        <x:v>Mass Effect 3 — Livrables 2D, portraits et variantes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ME3-SPR-CHR-SHEPARD</x:v>
      </x:c>
      <x:c r="B7" s="9" t="str">
        <x:v>Planche sprites — Commandant Shepard</x:v>
      </x:c>
      <x:c r="C7" s="15" t="str">
        <x:v>Défini</x:v>
      </x:c>
      <x:c r="D7" s="16" t="str">
        <x:v>Extrapolation</x:v>
      </x:c>
      <x:c r="E7" s="16" t="str">
        <x:v>P1</x:v>
      </x:c>
      <x:c r="F7" s="9" t="str">
        <x:v>Livrable original proposé : Planche sprites — Commandant Shepard.</x:v>
      </x:c>
      <x:c r="G7" s="9" t="str">
        <x:v>Produire une planche originale de Commandant Shepard pour le groupe 2D sur décor 3D. Séparer visage, arme et effets pour préserver les variantes d’état décrites dans la fiche de rôle.</x:v>
      </x:c>
      <x:c r="H7" s="9" t="str">
        <x:v>Le sprite ne définit pas la hitbox. Distinguer position au sol, hauteur visuelle et zone ciblable afin que les grandes silhouettes ne cachent pas les cibles voisines.</x:v>
      </x:c>
      <x:c r="I7" s="9" t="str">
        <x:v>Armure N7, personnalisation et cicatrices importées.</x:v>
      </x:c>
      <x:c r="J7" s="9" t="str">
        <x:v>Prévoir un état neutre, déplacement, préparation de l’action signature, impact reçu, mise à terre et retour en contrôle pour Commandant Shepard. Éviter la duplication miroir des signes asymétriques.</x:v>
      </x:c>
      <x:c r="K7" s="9" t="str">
        <x:v>Sans bande sonore embarquée dans la planche ; émettre uniquement des événements nommés vers le système audio pour éviter les doublons.</x:v>
      </x:c>
      <x:c r="L7" s="9" t="str">
        <x:v>Prévu : fiche de données me3/sprites/chr-shepard ; rattacher les ressources et états cités à cet identifiant. Aucun fichier de jeu créé par ce catalogue.</x:v>
      </x:c>
      <x:c r="M7" s="9" t="str"/>
      <x:c r="N7" s="9" t="str">
        <x:v>À l’échelle de jeu, Commandant Shepard est identifiable en silhouette ; pivot aux pieds, masque de profondeur et huit orientations proposés restent stables devant les couverts.</x:v>
      </x:c>
      <x:c r="O7" s="9" t="str">
        <x:v>ME3-CHR-SHEPARD</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ME3-SPR-CHR-JAMES</x:v>
      </x:c>
      <x:c r="B8" s="7" t="str">
        <x:v>Planche sprites — James Vega</x:v>
      </x:c>
      <x:c r="C8" s="15" t="str">
        <x:v>Défini</x:v>
      </x:c>
      <x:c r="D8" s="17" t="str">
        <x:v>Extrapolation</x:v>
      </x:c>
      <x:c r="E8" s="17" t="str">
        <x:v>P1</x:v>
      </x:c>
      <x:c r="F8" s="7" t="str">
        <x:v>Livrable original proposé : Planche sprites — James Vega.</x:v>
      </x:c>
      <x:c r="G8" s="7" t="str">
        <x:v>Produire une planche originale de James Vega pour le groupe 2D sur décor 3D. Séparer visage, arme et effets pour préserver les variantes d’état décrites dans la fiche de rôle.</x:v>
      </x:c>
      <x:c r="H8" s="7" t="str">
        <x:v>Le sprite ne définit pas la hitbox. Distinguer position au sol, hauteur visuelle et zone ciblable afin que les grandes silhouettes ne cachent pas les cibles voisines.</x:v>
      </x:c>
      <x:c r="I8" s="7" t="str">
        <x:v>Carrure massive, coupe courte et armure Alliance.</x:v>
      </x:c>
      <x:c r="J8" s="7" t="str">
        <x:v>Prévoir un état neutre, déplacement, préparation de l’action signature, impact reçu, mise à terre et retour en contrôle pour James Vega. Éviter la duplication miroir des signes asymétriques.</x:v>
      </x:c>
      <x:c r="K8" s="7" t="str">
        <x:v>Sans bande sonore embarquée dans la planche ; émettre uniquement des événements nommés vers le système audio pour éviter les doublons.</x:v>
      </x:c>
      <x:c r="L8" s="7" t="str">
        <x:v>Prévu : fiche de données me3/sprites/chr-james ; rattacher les ressources et états cités à cet identifiant. Aucun fichier de jeu créé par ce catalogue.</x:v>
      </x:c>
      <x:c r="M8" s="7" t="str"/>
      <x:c r="N8" s="7" t="str">
        <x:v>À l’échelle de jeu, James Vega est identifiable en silhouette ; pivot aux pieds, masque de profondeur et huit orientations proposés restent stables devant les couverts.</x:v>
      </x:c>
      <x:c r="O8" s="7" t="str">
        <x:v>ME3-CHR-JAMES</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ME3-SPR-CHR-LIARA</x:v>
      </x:c>
      <x:c r="B9" s="9" t="str">
        <x:v>Planche sprites — Liara T’Soni</x:v>
      </x:c>
      <x:c r="C9" s="15" t="str">
        <x:v>Défini</x:v>
      </x:c>
      <x:c r="D9" s="16" t="str">
        <x:v>Extrapolation</x:v>
      </x:c>
      <x:c r="E9" s="16" t="str">
        <x:v>P1</x:v>
      </x:c>
      <x:c r="F9" s="9" t="str">
        <x:v>Livrable original proposé : Planche sprites — Liara T’Soni.</x:v>
      </x:c>
      <x:c r="G9" s="9" t="str">
        <x:v>Produire une planche originale de Liara T’Soni pour le groupe 2D sur décor 3D. Séparer visage, arme et effets pour préserver les variantes d’état décrites dans la fiche de rôle.</x:v>
      </x:c>
      <x:c r="H9" s="9" t="str">
        <x:v>Le sprite ne définit pas la hitbox. Distinguer position au sol, hauteur visuelle et zone ciblable afin que les grandes silhouettes ne cachent pas les cibles voisines.</x:v>
      </x:c>
      <x:c r="I9" s="9" t="str">
        <x:v>Armure claire, bleu asari, tenue de Courtier hors combat.</x:v>
      </x:c>
      <x:c r="J9" s="9" t="str">
        <x:v>Prévoir un état neutre, déplacement, préparation de l’action signature, impact reçu, mise à terre et retour en contrôle pour Liara T’Soni. Éviter la duplication miroir des signes asymétriques.</x:v>
      </x:c>
      <x:c r="K9" s="9" t="str">
        <x:v>Sans bande sonore embarquée dans la planche ; émettre uniquement des événements nommés vers le système audio pour éviter les doublons.</x:v>
      </x:c>
      <x:c r="L9" s="9" t="str">
        <x:v>Prévu : fiche de données me3/sprites/chr-liara ; rattacher les ressources et états cités à cet identifiant. Aucun fichier de jeu créé par ce catalogue.</x:v>
      </x:c>
      <x:c r="M9" s="9" t="str"/>
      <x:c r="N9" s="9" t="str">
        <x:v>À l’échelle de jeu, Liara T’Soni est identifiable en silhouette ; pivot aux pieds, masque de profondeur et huit orientations proposés restent stables devant les couverts.</x:v>
      </x:c>
      <x:c r="O9" s="9" t="str">
        <x:v>ME3-CHR-LIARA</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ME3-SPR-CHR-GARRUS</x:v>
      </x:c>
      <x:c r="B10" s="7" t="str">
        <x:v>Planche sprites — Garrus Vakarian</x:v>
      </x:c>
      <x:c r="C10" s="15" t="str">
        <x:v>Défini</x:v>
      </x:c>
      <x:c r="D10" s="17" t="str">
        <x:v>Extrapolation</x:v>
      </x:c>
      <x:c r="E10" s="17" t="str">
        <x:v>P1</x:v>
      </x:c>
      <x:c r="F10" s="7" t="str">
        <x:v>Livrable original proposé : Planche sprites — Garrus Vakarian.</x:v>
      </x:c>
      <x:c r="G10" s="7" t="str">
        <x:v>Produire une planche originale de Garrus Vakarian pour le groupe 2D sur décor 3D. Séparer visage, arme et effets pour préserver les variantes d’état décrites dans la fiche de rôle.</x:v>
      </x:c>
      <x:c r="H10" s="7" t="str">
        <x:v>Le sprite ne définit pas la hitbox. Distinguer position au sol, hauteur visuelle et zone ciblable afin que les grandes silhouettes ne cachent pas les cibles voisines.</x:v>
      </x:c>
      <x:c r="I10" s="7" t="str">
        <x:v>Armure bleue marquée et viseur asymétrique.</x:v>
      </x:c>
      <x:c r="J10" s="7" t="str">
        <x:v>Prévoir un état neutre, déplacement, préparation de l’action signature, impact reçu, mise à terre et retour en contrôle pour Garrus Vakarian. Éviter la duplication miroir des signes asymétriques.</x:v>
      </x:c>
      <x:c r="K10" s="7" t="str">
        <x:v>Sans bande sonore embarquée dans la planche ; émettre uniquement des événements nommés vers le système audio pour éviter les doublons.</x:v>
      </x:c>
      <x:c r="L10" s="7" t="str">
        <x:v>Prévu : fiche de données me3/sprites/chr-garrus ; rattacher les ressources et états cités à cet identifiant. Aucun fichier de jeu créé par ce catalogue.</x:v>
      </x:c>
      <x:c r="M10" s="7" t="str">
        <x:v>Survie ME2 requise.</x:v>
      </x:c>
      <x:c r="N10" s="7" t="str">
        <x:v>À l’échelle de jeu, Garrus Vakarian est identifiable en silhouette ; pivot aux pieds, masque de profondeur et huit orientations proposés restent stables devant les couverts.</x:v>
      </x:c>
      <x:c r="O10" s="7" t="str">
        <x:v>ME3-CHR-GARRUS</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82" customHeight="1">
      <x:c r="A11" s="18" t="str">
        <x:v>ME3-SPR-CHR-EDI</x:v>
      </x:c>
      <x:c r="B11" s="9" t="str">
        <x:v>Planche sprites — EDI — corps synthétique</x:v>
      </x:c>
      <x:c r="C11" s="15" t="str">
        <x:v>Défini</x:v>
      </x:c>
      <x:c r="D11" s="16" t="str">
        <x:v>Extrapolation</x:v>
      </x:c>
      <x:c r="E11" s="16" t="str">
        <x:v>P1</x:v>
      </x:c>
      <x:c r="F11" s="9" t="str">
        <x:v>Livrable original proposé : Planche sprites — EDI — corps synthétique.</x:v>
      </x:c>
      <x:c r="G11" s="9" t="str">
        <x:v>Produire une planche originale de EDI — corps synthétique pour le groupe 2D sur décor 3D. Séparer visage, arme et effets pour préserver les variantes d’état décrites dans la fiche de rôle.</x:v>
      </x:c>
      <x:c r="H11" s="9" t="str">
        <x:v>Le sprite ne définit pas la hitbox. Distinguer position au sol, hauteur visuelle et zone ciblable afin que les grandes silhouettes ne cachent pas les cibles voisines.</x:v>
      </x:c>
      <x:c r="I11" s="9" t="str">
        <x:v>Corps synthétique argenté et segments noirs.</x:v>
      </x:c>
      <x:c r="J11" s="9" t="str">
        <x:v>Prévoir un état neutre, déplacement, préparation de l’action signature, impact reçu, mise à terre et retour en contrôle pour EDI — corps synthétique. Éviter la duplication miroir des signes asymétriques.</x:v>
      </x:c>
      <x:c r="K11" s="9" t="str">
        <x:v>Sans bande sonore embarquée dans la planche ; émettre uniquement des événements nommés vers le système audio pour éviter les doublons.</x:v>
      </x:c>
      <x:c r="L11" s="9" t="str">
        <x:v>Prévu : fiche de données me3/sprites/chr-edi ; rattacher les ressources et états cités à cet identifiant. Aucun fichier de jeu créé par ce catalogue.</x:v>
      </x:c>
      <x:c r="M11" s="9" t="str"/>
      <x:c r="N11" s="9" t="str">
        <x:v>À l’échelle de jeu, EDI — corps synthétique est identifiable en silhouette ; pivot aux pieds, masque de profondeur et huit orientations proposés restent stables devant les couverts.</x:v>
      </x:c>
      <x:c r="O11" s="9" t="str">
        <x:v>ME3-CHR-EDI</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ME3-SPR-CHR-JAVIK</x:v>
      </x:c>
      <x:c r="B12" s="7" t="str">
        <x:v>Planche sprites — Javik</x:v>
      </x:c>
      <x:c r="C12" s="15" t="str">
        <x:v>Défini</x:v>
      </x:c>
      <x:c r="D12" s="17" t="str">
        <x:v>Extrapolation</x:v>
      </x:c>
      <x:c r="E12" s="17" t="str">
        <x:v>P1</x:v>
      </x:c>
      <x:c r="F12" s="7" t="str">
        <x:v>Livrable original proposé : Planche sprites — Javik.</x:v>
      </x:c>
      <x:c r="G12" s="7" t="str">
        <x:v>Produire une planche originale de Javik pour le groupe 2D sur décor 3D. Séparer visage, arme et effets pour préserver les variantes d’état décrites dans la fiche de rôle.</x:v>
      </x:c>
      <x:c r="H12" s="7" t="str">
        <x:v>Le sprite ne définit pas la hitbox. Distinguer position au sol, hauteur visuelle et zone ciblable afin que les grandes silhouettes ne cachent pas les cibles voisines.</x:v>
      </x:c>
      <x:c r="I12" s="7" t="str">
        <x:v>Carapace prothéenne, yeux multiples et armure rouge sombre.</x:v>
      </x:c>
      <x:c r="J12" s="7" t="str">
        <x:v>Prévoir un état neutre, déplacement, préparation de l’action signature, impact reçu, mise à terre et retour en contrôle pour Javik. Éviter la duplication miroir des signes asymétriques.</x:v>
      </x:c>
      <x:c r="K12" s="7" t="str">
        <x:v>Sans bande sonore embarquée dans la planche ; émettre uniquement des événements nommés vers le système audio pour éviter les doublons.</x:v>
      </x:c>
      <x:c r="L12" s="7" t="str">
        <x:v>Prévu : fiche de données me3/sprites/chr-javik ; rattacher les ressources et états cités à cet identifiant. Aucun fichier de jeu créé par ce catalogue.</x:v>
      </x:c>
      <x:c r="M12" s="7" t="str">
        <x:v>DLC / Legendary.</x:v>
      </x:c>
      <x:c r="N12" s="7" t="str">
        <x:v>À l’échelle de jeu, Javik est identifiable en silhouette ; pivot aux pieds, masque de profondeur et huit orientations proposés restent stables devant les couverts.</x:v>
      </x:c>
      <x:c r="O12" s="7" t="str">
        <x:v>ME3-CHR-JAVIK</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ME3-SPR-CHR-ASHLEY</x:v>
      </x:c>
      <x:c r="B13" s="9" t="str">
        <x:v>Planche sprites — Ashley Williams</x:v>
      </x:c>
      <x:c r="C13" s="15" t="str">
        <x:v>Défini</x:v>
      </x:c>
      <x:c r="D13" s="16" t="str">
        <x:v>Extrapolation</x:v>
      </x:c>
      <x:c r="E13" s="16" t="str">
        <x:v>P1</x:v>
      </x:c>
      <x:c r="F13" s="9" t="str">
        <x:v>Livrable original proposé : Planche sprites — Ashley Williams.</x:v>
      </x:c>
      <x:c r="G13" s="9" t="str">
        <x:v>Produire une planche originale de Ashley Williams pour le groupe 2D sur décor 3D. Séparer visage, arme et effets pour préserver les variantes d’état décrites dans la fiche de rôle.</x:v>
      </x:c>
      <x:c r="H13" s="9" t="str">
        <x:v>Le sprite ne définit pas la hitbox. Distinguer position au sol, hauteur visuelle et zone ciblable afin que les grandes silhouettes ne cachent pas les cibles voisines.</x:v>
      </x:c>
      <x:c r="I13" s="9" t="str">
        <x:v>Armure Alliance bleue, silhouette humaine et cheveux propres au modèle.</x:v>
      </x:c>
      <x:c r="J13" s="9" t="str">
        <x:v>Prévoir un état neutre, déplacement, préparation de l’action signature, impact reçu, mise à terre et retour en contrôle pour Ashley Williams. Éviter la duplication miroir des signes asymétriques.</x:v>
      </x:c>
      <x:c r="K13" s="9" t="str">
        <x:v>Sans bande sonore embarquée dans la planche ; émettre uniquement des événements nommés vers le système audio pour éviter les doublons.</x:v>
      </x:c>
      <x:c r="L13" s="9" t="str">
        <x:v>Prévu : fiche de données me3/sprites/chr-ashley ; rattacher les ressources et états cités à cet identifiant. Aucun fichier de jeu créé par ce catalogue.</x:v>
      </x:c>
      <x:c r="M13" s="9" t="str">
        <x:v>Exclusive de Kaidan ; autres conditions narratives.</x:v>
      </x:c>
      <x:c r="N13" s="9" t="str">
        <x:v>À l’échelle de jeu, Ashley Williams est identifiable en silhouette ; pivot aux pieds, masque de profondeur et huit orientations proposés restent stables devant les couverts.</x:v>
      </x:c>
      <x:c r="O13" s="9" t="str">
        <x:v>ME3-CHR-ASHLEY</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ME3-SPR-CHR-KAIDAN</x:v>
      </x:c>
      <x:c r="B14" s="7" t="str">
        <x:v>Planche sprites — Kaidan Alenko</x:v>
      </x:c>
      <x:c r="C14" s="15" t="str">
        <x:v>Défini</x:v>
      </x:c>
      <x:c r="D14" s="17" t="str">
        <x:v>Extrapolation</x:v>
      </x:c>
      <x:c r="E14" s="17" t="str">
        <x:v>P1</x:v>
      </x:c>
      <x:c r="F14" s="7" t="str">
        <x:v>Livrable original proposé : Planche sprites — Kaidan Alenko.</x:v>
      </x:c>
      <x:c r="G14" s="7" t="str">
        <x:v>Produire une planche originale de Kaidan Alenko pour le groupe 2D sur décor 3D. Séparer visage, arme et effets pour préserver les variantes d’état décrites dans la fiche de rôle.</x:v>
      </x:c>
      <x:c r="H14" s="7" t="str">
        <x:v>Le sprite ne définit pas la hitbox. Distinguer position au sol, hauteur visuelle et zone ciblable afin que les grandes silhouettes ne cachent pas les cibles voisines.</x:v>
      </x:c>
      <x:c r="I14" s="7" t="str">
        <x:v>Armure Alliance et posture contenue.</x:v>
      </x:c>
      <x:c r="J14" s="7" t="str">
        <x:v>Prévoir un état neutre, déplacement, préparation de l’action signature, impact reçu, mise à terre et retour en contrôle pour Kaidan Alenko. Éviter la duplication miroir des signes asymétriques.</x:v>
      </x:c>
      <x:c r="K14" s="7" t="str">
        <x:v>Sans bande sonore embarquée dans la planche ; émettre uniquement des événements nommés vers le système audio pour éviter les doublons.</x:v>
      </x:c>
      <x:c r="L14" s="7" t="str">
        <x:v>Prévu : fiche de données me3/sprites/chr-kaidan ; rattacher les ressources et états cités à cet identifiant. Aucun fichier de jeu créé par ce catalogue.</x:v>
      </x:c>
      <x:c r="M14" s="7" t="str">
        <x:v>Exclusif d’Ashley ; autres conditions narratives.</x:v>
      </x:c>
      <x:c r="N14" s="7" t="str">
        <x:v>À l’échelle de jeu, Kaidan Alenko est identifiable en silhouette ; pivot aux pieds, masque de profondeur et huit orientations proposés restent stables devant les couverts.</x:v>
      </x:c>
      <x:c r="O14" s="7" t="str">
        <x:v>ME3-CHR-KAIDAN</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82" customHeight="1">
      <x:c r="A15" s="18" t="str">
        <x:v>ME3-SPR-CHR-TALI</x:v>
      </x:c>
      <x:c r="B15" s="9" t="str">
        <x:v>Planche sprites — Tali’Zorah vas Normandy</x:v>
      </x:c>
      <x:c r="C15" s="15" t="str">
        <x:v>Défini</x:v>
      </x:c>
      <x:c r="D15" s="16" t="str">
        <x:v>Extrapolation</x:v>
      </x:c>
      <x:c r="E15" s="16" t="str">
        <x:v>P1</x:v>
      </x:c>
      <x:c r="F15" s="9" t="str">
        <x:v>Livrable original proposé : Planche sprites — Tali’Zorah vas Normandy.</x:v>
      </x:c>
      <x:c r="G15" s="9" t="str">
        <x:v>Produire une planche originale de Tali’Zorah vas Normandy pour le groupe 2D sur décor 3D. Séparer visage, arme et effets pour préserver les variantes d’état décrites dans la fiche de rôle.</x:v>
      </x:c>
      <x:c r="H15" s="9" t="str">
        <x:v>Le sprite ne définit pas la hitbox. Distinguer position au sol, hauteur visuelle et zone ciblable afin que les grandes silhouettes ne cachent pas les cibles voisines.</x:v>
      </x:c>
      <x:c r="I15" s="9" t="str">
        <x:v>Capuche violette, visière et tenue quariène.</x:v>
      </x:c>
      <x:c r="J15" s="9" t="str">
        <x:v>Prévoir un état neutre, déplacement, préparation de l’action signature, impact reçu, mise à terre et retour en contrôle pour Tali’Zorah vas Normandy. Éviter la duplication miroir des signes asymétriques.</x:v>
      </x:c>
      <x:c r="K15" s="9" t="str">
        <x:v>Sans bande sonore embarquée dans la planche ; émettre uniquement des événements nommés vers le système audio pour éviter les doublons.</x:v>
      </x:c>
      <x:c r="L15" s="9" t="str">
        <x:v>Prévu : fiche de données me3/sprites/chr-tali ; rattacher les ressources et états cités à cet identifiant. Aucun fichier de jeu créé par ce catalogue.</x:v>
      </x:c>
      <x:c r="M15" s="9" t="str">
        <x:v>Survie et dénouement Rannoch conditionnels.</x:v>
      </x:c>
      <x:c r="N15" s="9" t="str">
        <x:v>À l’échelle de jeu, Tali’Zorah vas Normandy est identifiable en silhouette ; pivot aux pieds, masque de profondeur et huit orientations proposés restent stables devant les couverts.</x:v>
      </x:c>
      <x:c r="O15" s="9" t="str">
        <x:v>ME3-CHR-TALI</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82" customHeight="1">
      <x:c r="A16" s="19" t="str">
        <x:v>ME3-SPR-CHR-ANDERSON</x:v>
      </x:c>
      <x:c r="B16" s="7" t="str">
        <x:v>Planche sprites — David Anderson — temporaire</x:v>
      </x:c>
      <x:c r="C16" s="15" t="str">
        <x:v>Défini</x:v>
      </x:c>
      <x:c r="D16" s="17" t="str">
        <x:v>Extrapolation</x:v>
      </x:c>
      <x:c r="E16" s="17" t="str">
        <x:v>P1</x:v>
      </x:c>
      <x:c r="F16" s="7" t="str">
        <x:v>Livrable original proposé : Planche sprites — David Anderson — temporaire.</x:v>
      </x:c>
      <x:c r="G16" s="7" t="str">
        <x:v>Produire une planche originale de David Anderson — temporaire pour le groupe 2D sur décor 3D. Séparer visage, arme et effets pour préserver les variantes d’état décrites dans la fiche de rôle.</x:v>
      </x:c>
      <x:c r="H16" s="7" t="str">
        <x:v>Le sprite ne définit pas la hitbox. Distinguer position au sol, hauteur visuelle et zone ciblable afin que les grandes silhouettes ne cachent pas les cibles voisines.</x:v>
      </x:c>
      <x:c r="I16" s="7" t="str">
        <x:v>Uniforme Alliance et arme de poing.</x:v>
      </x:c>
      <x:c r="J16" s="7" t="str">
        <x:v>Prévoir un état neutre, déplacement, préparation de l’action signature, impact reçu, mise à terre et retour en contrôle pour David Anderson — temporaire. Éviter la duplication miroir des signes asymétriques.</x:v>
      </x:c>
      <x:c r="K16" s="7" t="str">
        <x:v>Sans bande sonore embarquée dans la planche ; émettre uniquement des événements nommés vers le système audio pour éviter les doublons.</x:v>
      </x:c>
      <x:c r="L16" s="7" t="str">
        <x:v>Prévu : fiche de données me3/sprites/chr-anderson ; rattacher les ressources et états cités à cet identifiant. Aucun fichier de jeu créé par ce catalogue.</x:v>
      </x:c>
      <x:c r="M16" s="7" t="str">
        <x:v>Prologue seulement.</x:v>
      </x:c>
      <x:c r="N16" s="7" t="str">
        <x:v>À l’échelle de jeu, David Anderson — temporaire est identifiable en silhouette ; pivot aux pieds, masque de profondeur et huit orientations proposés restent stables devant les couverts.</x:v>
      </x:c>
      <x:c r="O16" s="7" t="str">
        <x:v>ME3-CHR-ANDERSON</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82" customHeight="1">
      <x:c r="A17" s="18" t="str">
        <x:v>ME3-SPR-CHR-ARIA</x:v>
      </x:c>
      <x:c r="B17" s="9" t="str">
        <x:v>Planche sprites — Aria T’Loak — Omega</x:v>
      </x:c>
      <x:c r="C17" s="15" t="str">
        <x:v>Défini</x:v>
      </x:c>
      <x:c r="D17" s="16" t="str">
        <x:v>Extrapolation</x:v>
      </x:c>
      <x:c r="E17" s="16" t="str">
        <x:v>P1</x:v>
      </x:c>
      <x:c r="F17" s="9" t="str">
        <x:v>Livrable original proposé : Planche sprites — Aria T’Loak — Omega.</x:v>
      </x:c>
      <x:c r="G17" s="9" t="str">
        <x:v>Produire une planche originale de Aria T’Loak — Omega pour le groupe 2D sur décor 3D. Séparer visage, arme et effets pour préserver les variantes d’état décrites dans la fiche de rôle.</x:v>
      </x:c>
      <x:c r="H17" s="9" t="str">
        <x:v>Le sprite ne définit pas la hitbox. Distinguer position au sol, hauteur visuelle et zone ciblable afin que les grandes silhouettes ne cachent pas les cibles voisines.</x:v>
      </x:c>
      <x:c r="I17" s="9" t="str">
        <x:v>Asari violette et tenue de commandement noire.</x:v>
      </x:c>
      <x:c r="J17" s="9" t="str">
        <x:v>Prévoir un état neutre, déplacement, préparation de l’action signature, impact reçu, mise à terre et retour en contrôle pour Aria T’Loak — Omega. Éviter la duplication miroir des signes asymétriques.</x:v>
      </x:c>
      <x:c r="K17" s="9" t="str">
        <x:v>Sans bande sonore embarquée dans la planche ; émettre uniquement des événements nommés vers le système audio pour éviter les doublons.</x:v>
      </x:c>
      <x:c r="L17" s="9" t="str">
        <x:v>Prévu : fiche de données me3/sprites/chr-aria ; rattacher les ressources et états cités à cet identifiant. Aucun fichier de jeu créé par ce catalogue.</x:v>
      </x:c>
      <x:c r="M17" s="9" t="str">
        <x:v>Omega seulement.</x:v>
      </x:c>
      <x:c r="N17" s="9" t="str">
        <x:v>À l’échelle de jeu, Aria T’Loak — Omega est identifiable en silhouette ; pivot aux pieds, masque de profondeur et huit orientations proposés restent stables devant les couverts.</x:v>
      </x:c>
      <x:c r="O17" s="9" t="str">
        <x:v>ME3-CHR-ARIA</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82" customHeight="1">
      <x:c r="A18" s="19" t="str">
        <x:v>ME3-SPR-CHR-NYREEN</x:v>
      </x:c>
      <x:c r="B18" s="7" t="str">
        <x:v>Planche sprites — Nyreen Kandros — Omega</x:v>
      </x:c>
      <x:c r="C18" s="15" t="str">
        <x:v>Défini</x:v>
      </x:c>
      <x:c r="D18" s="17" t="str">
        <x:v>Extrapolation</x:v>
      </x:c>
      <x:c r="E18" s="17" t="str">
        <x:v>P1</x:v>
      </x:c>
      <x:c r="F18" s="7" t="str">
        <x:v>Livrable original proposé : Planche sprites — Nyreen Kandros — Omega.</x:v>
      </x:c>
      <x:c r="G18" s="7" t="str">
        <x:v>Produire une planche originale de Nyreen Kandros — Omega pour le groupe 2D sur décor 3D. Séparer visage, arme et effets pour préserver les variantes d’état décrites dans la fiche de rôle.</x:v>
      </x:c>
      <x:c r="H18" s="7" t="str">
        <x:v>Le sprite ne définit pas la hitbox. Distinguer position au sol, hauteur visuelle et zone ciblable afin que les grandes silhouettes ne cachent pas les cibles voisines.</x:v>
      </x:c>
      <x:c r="I18" s="7" t="str">
        <x:v>Turienne, armure tactique et marque faciale.</x:v>
      </x:c>
      <x:c r="J18" s="7" t="str">
        <x:v>Prévoir un état neutre, déplacement, préparation de l’action signature, impact reçu, mise à terre et retour en contrôle pour Nyreen Kandros — Omega. Éviter la duplication miroir des signes asymétriques.</x:v>
      </x:c>
      <x:c r="K18" s="7" t="str">
        <x:v>Sans bande sonore embarquée dans la planche ; émettre uniquement des événements nommés vers le système audio pour éviter les doublons.</x:v>
      </x:c>
      <x:c r="L18" s="7" t="str">
        <x:v>Prévu : fiche de données me3/sprites/chr-nyreen ; rattacher les ressources et états cités à cet identifiant. Aucun fichier de jeu créé par ce catalogue.</x:v>
      </x:c>
      <x:c r="M18" s="7" t="str">
        <x:v>Omega seulement.</x:v>
      </x:c>
      <x:c r="N18" s="7" t="str">
        <x:v>À l’échelle de jeu, Nyreen Kandros — Omega est identifiable en silhouette ; pivot aux pieds, masque de profondeur et huit orientations proposés restent stables devant les couverts.</x:v>
      </x:c>
      <x:c r="O18" s="7" t="str">
        <x:v>ME3-CHR-NYREEN</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82" customHeight="1">
      <x:c r="A19" s="18" t="str">
        <x:v>ME3-SPR-CHR-WREX</x:v>
      </x:c>
      <x:c r="B19" s="9" t="str">
        <x:v>Planche sprites — Urdnot Wrex — Citadel</x:v>
      </x:c>
      <x:c r="C19" s="15" t="str">
        <x:v>Défini</x:v>
      </x:c>
      <x:c r="D19" s="16" t="str">
        <x:v>Extrapolation</x:v>
      </x:c>
      <x:c r="E19" s="16" t="str">
        <x:v>P1</x:v>
      </x:c>
      <x:c r="F19" s="9" t="str">
        <x:v>Livrable original proposé : Planche sprites — Urdnot Wrex — Citadel.</x:v>
      </x:c>
      <x:c r="G19" s="9" t="str">
        <x:v>Produire une planche originale de Urdnot Wrex — Citadel pour le groupe 2D sur décor 3D. Séparer visage, arme et effets pour préserver les variantes d’état décrites dans la fiche de rôle.</x:v>
      </x:c>
      <x:c r="H19" s="9" t="str">
        <x:v>Le sprite ne définit pas la hitbox. Distinguer position au sol, hauteur visuelle et zone ciblable afin que les grandes silhouettes ne cachent pas les cibles voisines.</x:v>
      </x:c>
      <x:c r="I19" s="9" t="str">
        <x:v>Grande carapace rouge et armure lourde.</x:v>
      </x:c>
      <x:c r="J19" s="9" t="str">
        <x:v>Prévoir un état neutre, déplacement, préparation de l’action signature, impact reçu, mise à terre et retour en contrôle pour Urdnot Wrex — Citadel. Éviter la duplication miroir des signes asymétriques.</x:v>
      </x:c>
      <x:c r="K19" s="9" t="str">
        <x:v>Sans bande sonore embarquée dans la planche ; émettre uniquement des événements nommés vers le système audio pour éviter les doublons.</x:v>
      </x:c>
      <x:c r="L19" s="9" t="str">
        <x:v>Prévu : fiche de données me3/sprites/chr-wrex ; rattacher les ressources et états cités à cet identifiant. Aucun fichier de jeu créé par ce catalogue.</x:v>
      </x:c>
      <x:c r="M19" s="9" t="str">
        <x:v>Vivant ; extension Citadel uniquement hors arène.</x:v>
      </x:c>
      <x:c r="N19" s="9" t="str">
        <x:v>À l’échelle de jeu, Urdnot Wrex — Citadel est identifiable en silhouette ; pivot aux pieds, masque de profondeur et huit orientations proposés restent stables devant les couverts.</x:v>
      </x:c>
      <x:c r="O19" s="9" t="str">
        <x:v>ME3-CHR-WREX</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82" customHeight="1">
      <x:c r="A20" s="19" t="str">
        <x:v>ME3-SPR-CHR-ARENA-GRUNT</x:v>
      </x:c>
      <x:c r="B20" s="7" t="str">
        <x:v>Planche sprites — Grunt — Armax uniquement</x:v>
      </x:c>
      <x:c r="C20" s="15" t="str">
        <x:v>Défini</x:v>
      </x:c>
      <x:c r="D20" s="17" t="str">
        <x:v>Extrapolation</x:v>
      </x:c>
      <x:c r="E20" s="17" t="str">
        <x:v>P1</x:v>
      </x:c>
      <x:c r="F20" s="7" t="str">
        <x:v>Livrable original proposé : Planche sprites — Grunt — Armax uniquement.</x:v>
      </x:c>
      <x:c r="G20" s="7" t="str">
        <x:v>Produire une planche originale de Grunt — Armax uniquement pour le groupe 2D sur décor 3D. Séparer visage, arme et effets pour préserver les variantes d’état décrites dans la fiche de rôle.</x:v>
      </x:c>
      <x:c r="H20" s="7" t="str">
        <x:v>Le sprite ne définit pas la hitbox. Distinguer position au sol, hauteur visuelle et zone ciblable afin que les grandes silhouettes ne cachent pas les cibles voisines.</x:v>
      </x:c>
      <x:c r="I20" s="7" t="str">
        <x:v>Carapace claire et armure krogan.</x:v>
      </x:c>
      <x:c r="J20" s="7" t="str">
        <x:v>Prévoir un état neutre, déplacement, préparation de l’action signature, impact reçu, mise à terre et retour en contrôle pour Grunt — Armax uniquement. Éviter la duplication miroir des signes asymétriques.</x:v>
      </x:c>
      <x:c r="K20" s="7" t="str">
        <x:v>Sans bande sonore embarquée dans la planche ; émettre uniquement des événements nommés vers le système audio pour éviter les doublons.</x:v>
      </x:c>
      <x:c r="L20" s="7" t="str">
        <x:v>Prévu : fiche de données me3/sprites/chr-arena-grunt ; rattacher les ressources et états cités à cet identifiant. Aucun fichier de jeu créé par ce catalogue.</x:v>
      </x:c>
      <x:c r="M20" s="7" t="str">
        <x:v>Simulateur Armax ; survie requise.</x:v>
      </x:c>
      <x:c r="N20" s="7" t="str">
        <x:v>À l’échelle de jeu, Grunt — Armax uniquement est identifiable en silhouette ; pivot aux pieds, masque de profondeur et huit orientations proposés restent stables devant les couverts.</x:v>
      </x:c>
      <x:c r="O20" s="7" t="str">
        <x:v>ME3-CHR-ARENA-GRUNT</x:v>
      </x:c>
      <x:c r="P20" s="7" t="str">
        <x:v>Adaptation originale — spécification de production</x:v>
      </x:c>
      <x:c r="Q20" s="7" t="str"/>
      <x:c r="R20" s="21" t="str"/>
      <x:c r="S20" s="21" t="str">
        <x:v>Spécification à réaliser. Les champs adaptation, gameplay, visual, animation, audio et implementation décrivent le fan game ; ils ne donnent pas des caractéristiques officielles de l’œuvre.</x:v>
      </x:c>
    </x:row>
    <x:row r="21" ht="82" customHeight="1">
      <x:c r="A21" s="18" t="str">
        <x:v>ME3-SPR-CHR-ARENA-JACK</x:v>
      </x:c>
      <x:c r="B21" s="9" t="str">
        <x:v>Planche sprites — Jack — Armax uniquement</x:v>
      </x:c>
      <x:c r="C21" s="15" t="str">
        <x:v>Défini</x:v>
      </x:c>
      <x:c r="D21" s="16" t="str">
        <x:v>Extrapolation</x:v>
      </x:c>
      <x:c r="E21" s="16" t="str">
        <x:v>P1</x:v>
      </x:c>
      <x:c r="F21" s="9" t="str">
        <x:v>Livrable original proposé : Planche sprites — Jack — Armax uniquement.</x:v>
      </x:c>
      <x:c r="G21" s="9" t="str">
        <x:v>Produire une planche originale de Jack — Armax uniquement pour le groupe 2D sur décor 3D. Séparer visage, arme et effets pour préserver les variantes d’état décrites dans la fiche de rôle.</x:v>
      </x:c>
      <x:c r="H21" s="9" t="str">
        <x:v>Le sprite ne définit pas la hitbox. Distinguer position au sol, hauteur visuelle et zone ciblable afin que les grandes silhouettes ne cachent pas les cibles voisines.</x:v>
      </x:c>
      <x:c r="I21" s="9" t="str">
        <x:v>Tatouages, tenue ME3 et coupe propre à ME3.</x:v>
      </x:c>
      <x:c r="J21" s="9" t="str">
        <x:v>Prévoir un état neutre, déplacement, préparation de l’action signature, impact reçu, mise à terre et retour en contrôle pour Jack — Armax uniquement. Éviter la duplication miroir des signes asymétriques.</x:v>
      </x:c>
      <x:c r="K21" s="9" t="str">
        <x:v>Sans bande sonore embarquée dans la planche ; émettre uniquement des événements nommés vers le système audio pour éviter les doublons.</x:v>
      </x:c>
      <x:c r="L21" s="9" t="str">
        <x:v>Prévu : fiche de données me3/sprites/chr-arena-jack ; rattacher les ressources et états cités à cet identifiant. Aucun fichier de jeu créé par ce catalogue.</x:v>
      </x:c>
      <x:c r="M21" s="9" t="str">
        <x:v>Simulateur Armax ; survie requise.</x:v>
      </x:c>
      <x:c r="N21" s="9" t="str">
        <x:v>À l’échelle de jeu, Jack — Armax uniquement est identifiable en silhouette ; pivot aux pieds, masque de profondeur et huit orientations proposés restent stables devant les couverts.</x:v>
      </x:c>
      <x:c r="O21" s="9" t="str">
        <x:v>ME3-CHR-ARENA-JACK</x:v>
      </x:c>
      <x:c r="P21" s="9" t="str">
        <x:v>Adaptation originale — spécification de production</x:v>
      </x:c>
      <x:c r="Q21" s="9" t="str"/>
      <x:c r="R21" s="20" t="str"/>
      <x:c r="S21" s="20" t="str">
        <x:v>Spécification à réaliser. Les champs adaptation, gameplay, visual, animation, audio et implementation décrivent le fan game ; ils ne donnent pas des caractéristiques officielles de l’œuvre.</x:v>
      </x:c>
    </x:row>
    <x:row r="22" ht="82" customHeight="1">
      <x:c r="A22" s="19" t="str">
        <x:v>ME3-SPR-CHR-ARENA-JACOB</x:v>
      </x:c>
      <x:c r="B22" s="7" t="str">
        <x:v>Planche sprites — Jacob Taylor — Armax uniquement</x:v>
      </x:c>
      <x:c r="C22" s="15" t="str">
        <x:v>Défini</x:v>
      </x:c>
      <x:c r="D22" s="17" t="str">
        <x:v>Extrapolation</x:v>
      </x:c>
      <x:c r="E22" s="17" t="str">
        <x:v>P1</x:v>
      </x:c>
      <x:c r="F22" s="7" t="str">
        <x:v>Livrable original proposé : Planche sprites — Jacob Taylor — Armax uniquement.</x:v>
      </x:c>
      <x:c r="G22" s="7" t="str">
        <x:v>Produire une planche originale de Jacob Taylor — Armax uniquement pour le groupe 2D sur décor 3D. Séparer visage, arme et effets pour préserver les variantes d’état décrites dans la fiche de rôle.</x:v>
      </x:c>
      <x:c r="H22" s="7" t="str">
        <x:v>Le sprite ne définit pas la hitbox. Distinguer position au sol, hauteur visuelle et zone ciblable afin que les grandes silhouettes ne cachent pas les cibles voisines.</x:v>
      </x:c>
      <x:c r="I22" s="7" t="str">
        <x:v>Tenue de combat d’ex-Cerberus.</x:v>
      </x:c>
      <x:c r="J22" s="7" t="str">
        <x:v>Prévoir un état neutre, déplacement, préparation de l’action signature, impact reçu, mise à terre et retour en contrôle pour Jacob Taylor — Armax uniquement. Éviter la duplication miroir des signes asymétriques.</x:v>
      </x:c>
      <x:c r="K22" s="7" t="str">
        <x:v>Sans bande sonore embarquée dans la planche ; émettre uniquement des événements nommés vers le système audio pour éviter les doublons.</x:v>
      </x:c>
      <x:c r="L22" s="7" t="str">
        <x:v>Prévu : fiche de données me3/sprites/chr-arena-jacob ; rattacher les ressources et états cités à cet identifiant. Aucun fichier de jeu créé par ce catalogue.</x:v>
      </x:c>
      <x:c r="M22" s="7" t="str">
        <x:v>Simulateur Armax ; survie requise.</x:v>
      </x:c>
      <x:c r="N22" s="7" t="str">
        <x:v>À l’échelle de jeu, Jacob Taylor — Armax uniquement est identifiable en silhouette ; pivot aux pieds, masque de profondeur et huit orientations proposés restent stables devant les couverts.</x:v>
      </x:c>
      <x:c r="O22" s="7" t="str">
        <x:v>ME3-CHR-ARENA-JACOB</x:v>
      </x:c>
      <x:c r="P22" s="7" t="str">
        <x:v>Adaptation originale — spécification de production</x:v>
      </x:c>
      <x:c r="Q22" s="7" t="str"/>
      <x:c r="R22" s="21" t="str"/>
      <x:c r="S22" s="21" t="str">
        <x:v>Spécification à réaliser. Les champs adaptation, gameplay, visual, animation, audio et implementation décrivent le fan game ; ils ne donnent pas des caractéristiques officielles de l’œuvre.</x:v>
      </x:c>
    </x:row>
    <x:row r="23" ht="82" customHeight="1">
      <x:c r="A23" s="18" t="str">
        <x:v>ME3-SPR-CHR-ARENA-KASUMI</x:v>
      </x:c>
      <x:c r="B23" s="9" t="str">
        <x:v>Planche sprites — Kasumi Goto — Armax uniquement</x:v>
      </x:c>
      <x:c r="C23" s="15" t="str">
        <x:v>Défini</x:v>
      </x:c>
      <x:c r="D23" s="16" t="str">
        <x:v>Extrapolation</x:v>
      </x:c>
      <x:c r="E23" s="16" t="str">
        <x:v>P1</x:v>
      </x:c>
      <x:c r="F23" s="9" t="str">
        <x:v>Livrable original proposé : Planche sprites — Kasumi Goto — Armax uniquement.</x:v>
      </x:c>
      <x:c r="G23" s="9" t="str">
        <x:v>Produire une planche originale de Kasumi Goto — Armax uniquement pour le groupe 2D sur décor 3D. Séparer visage, arme et effets pour préserver les variantes d’état décrites dans la fiche de rôle.</x:v>
      </x:c>
      <x:c r="H23" s="9" t="str">
        <x:v>Le sprite ne définit pas la hitbox. Distinguer position au sol, hauteur visuelle et zone ciblable afin que les grandes silhouettes ne cachent pas les cibles voisines.</x:v>
      </x:c>
      <x:c r="I23" s="9" t="str">
        <x:v>Capuche et couleurs de tenue connues.</x:v>
      </x:c>
      <x:c r="J23" s="9" t="str">
        <x:v>Prévoir un état neutre, déplacement, préparation de l’action signature, impact reçu, mise à terre et retour en contrôle pour Kasumi Goto — Armax uniquement. Éviter la duplication miroir des signes asymétriques.</x:v>
      </x:c>
      <x:c r="K23" s="9" t="str">
        <x:v>Sans bande sonore embarquée dans la planche ; émettre uniquement des événements nommés vers le système audio pour éviter les doublons.</x:v>
      </x:c>
      <x:c r="L23" s="9" t="str">
        <x:v>Prévu : fiche de données me3/sprites/chr-arena-kasumi ; rattacher les ressources et états cités à cet identifiant. Aucun fichier de jeu créé par ce catalogue.</x:v>
      </x:c>
      <x:c r="M23" s="9" t="str">
        <x:v>Simulateur Armax ; survie requise.</x:v>
      </x:c>
      <x:c r="N23" s="9" t="str">
        <x:v>À l’échelle de jeu, Kasumi Goto — Armax uniquement est identifiable en silhouette ; pivot aux pieds, masque de profondeur et huit orientations proposés restent stables devant les couverts.</x:v>
      </x:c>
      <x:c r="O23" s="9" t="str">
        <x:v>ME3-CHR-ARENA-KASUMI</x:v>
      </x:c>
      <x:c r="P23" s="9" t="str">
        <x:v>Adaptation originale — spécification de production</x:v>
      </x:c>
      <x:c r="Q23" s="9" t="str"/>
      <x:c r="R23" s="20" t="str"/>
      <x:c r="S23" s="20" t="str">
        <x:v>Spécification à réaliser. Les champs adaptation, gameplay, visual, animation, audio et implementation décrivent le fan game ; ils ne donnent pas des caractéristiques officielles de l’œuvre.</x:v>
      </x:c>
    </x:row>
    <x:row r="24" ht="82" customHeight="1">
      <x:c r="A24" s="19" t="str">
        <x:v>ME3-SPR-CHR-ARENA-MIRANDA</x:v>
      </x:c>
      <x:c r="B24" s="7" t="str">
        <x:v>Planche sprites — Miranda Lawson — Armax uniquement</x:v>
      </x:c>
      <x:c r="C24" s="15" t="str">
        <x:v>Défini</x:v>
      </x:c>
      <x:c r="D24" s="17" t="str">
        <x:v>Extrapolation</x:v>
      </x:c>
      <x:c r="E24" s="17" t="str">
        <x:v>P1</x:v>
      </x:c>
      <x:c r="F24" s="7" t="str">
        <x:v>Livrable original proposé : Planche sprites — Miranda Lawson — Armax uniquement.</x:v>
      </x:c>
      <x:c r="G24" s="7" t="str">
        <x:v>Produire une planche originale de Miranda Lawson — Armax uniquement pour le groupe 2D sur décor 3D. Séparer visage, arme et effets pour préserver les variantes d’état décrites dans la fiche de rôle.</x:v>
      </x:c>
      <x:c r="H24" s="7" t="str">
        <x:v>Le sprite ne définit pas la hitbox. Distinguer position au sol, hauteur visuelle et zone ciblable afin que les grandes silhouettes ne cachent pas les cibles voisines.</x:v>
      </x:c>
      <x:c r="I24" s="7" t="str">
        <x:v>Combinaison claire et noire.</x:v>
      </x:c>
      <x:c r="J24" s="7" t="str">
        <x:v>Prévoir un état neutre, déplacement, préparation de l’action signature, impact reçu, mise à terre et retour en contrôle pour Miranda Lawson — Armax uniquement. Éviter la duplication miroir des signes asymétriques.</x:v>
      </x:c>
      <x:c r="K24" s="7" t="str">
        <x:v>Sans bande sonore embarquée dans la planche ; émettre uniquement des événements nommés vers le système audio pour éviter les doublons.</x:v>
      </x:c>
      <x:c r="L24" s="7" t="str">
        <x:v>Prévu : fiche de données me3/sprites/chr-arena-miranda ; rattacher les ressources et états cités à cet identifiant. Aucun fichier de jeu créé par ce catalogue.</x:v>
      </x:c>
      <x:c r="M24" s="7" t="str">
        <x:v>Simulateur Armax ; survie requise.</x:v>
      </x:c>
      <x:c r="N24" s="7" t="str">
        <x:v>À l’échelle de jeu, Miranda Lawson — Armax uniquement est identifiable en silhouette ; pivot aux pieds, masque de profondeur et huit orientations proposés restent stables devant les couverts.</x:v>
      </x:c>
      <x:c r="O24" s="7" t="str">
        <x:v>ME3-CHR-ARENA-MIRANDA</x:v>
      </x:c>
      <x:c r="P24" s="7" t="str">
        <x:v>Adaptation originale — spécification de production</x:v>
      </x:c>
      <x:c r="Q24" s="7" t="str"/>
      <x:c r="R24" s="21" t="str"/>
      <x:c r="S24" s="21" t="str">
        <x:v>Spécification à réaliser. Les champs adaptation, gameplay, visual, animation, audio et implementation décrivent le fan game ; ils ne donnent pas des caractéristiques officielles de l’œuvre.</x:v>
      </x:c>
    </x:row>
    <x:row r="25" ht="82" customHeight="1">
      <x:c r="A25" s="18" t="str">
        <x:v>ME3-SPR-CHR-ARENA-SAMARA</x:v>
      </x:c>
      <x:c r="B25" s="9" t="str">
        <x:v>Planche sprites — Samara — Armax uniquement</x:v>
      </x:c>
      <x:c r="C25" s="15" t="str">
        <x:v>Défini</x:v>
      </x:c>
      <x:c r="D25" s="16" t="str">
        <x:v>Extrapolation</x:v>
      </x:c>
      <x:c r="E25" s="16" t="str">
        <x:v>P1</x:v>
      </x:c>
      <x:c r="F25" s="9" t="str">
        <x:v>Livrable original proposé : Planche sprites — Samara — Armax uniquement.</x:v>
      </x:c>
      <x:c r="G25" s="9" t="str">
        <x:v>Produire une planche originale de Samara — Armax uniquement pour le groupe 2D sur décor 3D. Séparer visage, arme et effets pour préserver les variantes d’état décrites dans la fiche de rôle.</x:v>
      </x:c>
      <x:c r="H25" s="9" t="str">
        <x:v>Le sprite ne définit pas la hitbox. Distinguer position au sol, hauteur visuelle et zone ciblable afin que les grandes silhouettes ne cachent pas les cibles voisines.</x:v>
      </x:c>
      <x:c r="I25" s="9" t="str">
        <x:v>Armure rouge et posture droite.</x:v>
      </x:c>
      <x:c r="J25" s="9" t="str">
        <x:v>Prévoir un état neutre, déplacement, préparation de l’action signature, impact reçu, mise à terre et retour en contrôle pour Samara — Armax uniquement. Éviter la duplication miroir des signes asymétriques.</x:v>
      </x:c>
      <x:c r="K25" s="9" t="str">
        <x:v>Sans bande sonore embarquée dans la planche ; émettre uniquement des événements nommés vers le système audio pour éviter les doublons.</x:v>
      </x:c>
      <x:c r="L25" s="9" t="str">
        <x:v>Prévu : fiche de données me3/sprites/chr-arena-samara ; rattacher les ressources et états cités à cet identifiant. Aucun fichier de jeu créé par ce catalogue.</x:v>
      </x:c>
      <x:c r="M25" s="9" t="str">
        <x:v>Simulateur Armax ; survie requise.</x:v>
      </x:c>
      <x:c r="N25" s="9" t="str">
        <x:v>À l’échelle de jeu, Samara — Armax uniquement est identifiable en silhouette ; pivot aux pieds, masque de profondeur et huit orientations proposés restent stables devant les couverts.</x:v>
      </x:c>
      <x:c r="O25" s="9" t="str">
        <x:v>ME3-CHR-ARENA-SAMARA</x:v>
      </x:c>
      <x:c r="P25" s="9" t="str">
        <x:v>Adaptation originale — spécification de production</x:v>
      </x:c>
      <x:c r="Q25" s="9" t="str"/>
      <x:c r="R25" s="20" t="str"/>
      <x:c r="S25" s="20" t="str">
        <x:v>Spécification à réaliser. Les champs adaptation, gameplay, visual, animation, audio et implementation décrivent le fan game ; ils ne donnent pas des caractéristiques officielles de l’œuvre.</x:v>
      </x:c>
    </x:row>
    <x:row r="26" ht="82" customHeight="1">
      <x:c r="A26" s="19" t="str">
        <x:v>ME3-SPR-CHR-ARENA-ZAEED</x:v>
      </x:c>
      <x:c r="B26" s="7" t="str">
        <x:v>Planche sprites — Zaeed Massani — Armax uniquement</x:v>
      </x:c>
      <x:c r="C26" s="15" t="str">
        <x:v>Défini</x:v>
      </x:c>
      <x:c r="D26" s="17" t="str">
        <x:v>Extrapolation</x:v>
      </x:c>
      <x:c r="E26" s="17" t="str">
        <x:v>P1</x:v>
      </x:c>
      <x:c r="F26" s="7" t="str">
        <x:v>Livrable original proposé : Planche sprites — Zaeed Massani — Armax uniquement.</x:v>
      </x:c>
      <x:c r="G26" s="7" t="str">
        <x:v>Produire une planche originale de Zaeed Massani — Armax uniquement pour le groupe 2D sur décor 3D. Séparer visage, arme et effets pour préserver les variantes d’état décrites dans la fiche de rôle.</x:v>
      </x:c>
      <x:c r="H26" s="7" t="str">
        <x:v>Le sprite ne définit pas la hitbox. Distinguer position au sol, hauteur visuelle et zone ciblable afin que les grandes silhouettes ne cachent pas les cibles voisines.</x:v>
      </x:c>
      <x:c r="I26" s="7" t="str">
        <x:v>Armure usée et visage marqué.</x:v>
      </x:c>
      <x:c r="J26" s="7" t="str">
        <x:v>Prévoir un état neutre, déplacement, préparation de l’action signature, impact reçu, mise à terre et retour en contrôle pour Zaeed Massani — Armax uniquement. Éviter la duplication miroir des signes asymétriques.</x:v>
      </x:c>
      <x:c r="K26" s="7" t="str">
        <x:v>Sans bande sonore embarquée dans la planche ; émettre uniquement des événements nommés vers le système audio pour éviter les doublons.</x:v>
      </x:c>
      <x:c r="L26" s="7" t="str">
        <x:v>Prévu : fiche de données me3/sprites/chr-arena-zaeed ; rattacher les ressources et états cités à cet identifiant. Aucun fichier de jeu créé par ce catalogue.</x:v>
      </x:c>
      <x:c r="M26" s="7" t="str">
        <x:v>Simulateur Armax ; survie requise.</x:v>
      </x:c>
      <x:c r="N26" s="7" t="str">
        <x:v>À l’échelle de jeu, Zaeed Massani — Armax uniquement est identifiable en silhouette ; pivot aux pieds, masque de profondeur et huit orientations proposés restent stables devant les couverts.</x:v>
      </x:c>
      <x:c r="O26" s="7" t="str">
        <x:v>ME3-CHR-ARENA-ZAEED</x:v>
      </x:c>
      <x:c r="P26" s="7" t="str">
        <x:v>Adaptation originale — spécification de production</x:v>
      </x:c>
      <x:c r="Q26" s="7" t="str"/>
      <x:c r="R26" s="21" t="str"/>
      <x:c r="S26" s="21" t="str">
        <x:v>Spécification à réaliser. Les champs adaptation, gameplay, visual, animation, audio et implementation décrivent le fan game ; ils ne donnent pas des caractéristiques officielles de l’œuvre.</x:v>
      </x:c>
    </x:row>
    <x:row r="27" ht="82" customHeight="1">
      <x:c r="A27" s="18" t="str">
        <x:v>ME3-SPR-ENM-ASSAULT</x:v>
      </x:c>
      <x:c r="B27" s="9" t="str">
        <x:v>Planche sprites — Cerberus Assault Trooper</x:v>
      </x:c>
      <x:c r="C27" s="15" t="str">
        <x:v>Défini</x:v>
      </x:c>
      <x:c r="D27" s="16" t="str">
        <x:v>Extrapolation</x:v>
      </x:c>
      <x:c r="E27" s="16" t="str">
        <x:v>P1</x:v>
      </x:c>
      <x:c r="F27" s="9" t="str">
        <x:v>Livrable original proposé : Planche sprites — Cerberus Assault Trooper.</x:v>
      </x:c>
      <x:c r="G27" s="9" t="str">
        <x:v>Produire une planche originale de Cerberus Assault Trooper pour le groupe 2D sur décor 3D. Séparer visage, arme et effets pour préserver les variantes d’état décrites dans la fiche de rôle.</x:v>
      </x:c>
      <x:c r="H27" s="9" t="str">
        <x:v>Le sprite ne définit pas la hitbox. Distinguer position au sol, hauteur visuelle et zone ciblable afin que les grandes silhouettes ne cachent pas les cibles voisines.</x:v>
      </x:c>
      <x:c r="I27" s="9" t="str">
        <x:v>Armure blanche, noir et visière rouge.</x:v>
      </x:c>
      <x:c r="J27" s="9" t="str">
        <x:v>Prévoir un état neutre, déplacement, préparation de l’action signature, impact reçu, mise à terre et retour en contrôle pour Cerberus Assault Trooper. Éviter la duplication miroir des signes asymétriques.</x:v>
      </x:c>
      <x:c r="K27" s="9" t="str">
        <x:v>Sans bande sonore embarquée dans la planche ; émettre uniquement des événements nommés vers le système audio pour éviter les doublons.</x:v>
      </x:c>
      <x:c r="L27" s="9" t="str">
        <x:v>Prévu : fiche de données me3/sprites/enm-assault ; rattacher les ressources et états cités à cet identifiant. Aucun fichier de jeu créé par ce catalogue.</x:v>
      </x:c>
      <x:c r="M27" s="9" t="str">
        <x:v>Campagne et simulation.</x:v>
      </x:c>
      <x:c r="N27" s="9" t="str">
        <x:v>À l’échelle de jeu, Cerberus Assault Trooper est identifiable en silhouette ; pivot aux pieds, masque de profondeur et huit orientations proposés restent stables devant les couverts.</x:v>
      </x:c>
      <x:c r="O27" s="9" t="str">
        <x:v>ME3-ENM-ASSAULT</x:v>
      </x:c>
      <x:c r="P27" s="9" t="str">
        <x:v>Adaptation originale — spécification de production</x:v>
      </x:c>
      <x:c r="Q27" s="9" t="str"/>
      <x:c r="R27" s="20" t="str"/>
      <x:c r="S27" s="20" t="str">
        <x:v>Spécification à réaliser. Les champs adaptation, gameplay, visual, animation, audio et implementation décrivent le fan game ; ils ne donnent pas des caractéristiques officielles de l’œuvre.</x:v>
      </x:c>
    </x:row>
    <x:row r="28" ht="82" customHeight="1">
      <x:c r="A28" s="19" t="str">
        <x:v>ME3-SPR-ENM-CENTURION</x:v>
      </x:c>
      <x:c r="B28" s="7" t="str">
        <x:v>Planche sprites — Cerberus Centurion</x:v>
      </x:c>
      <x:c r="C28" s="15" t="str">
        <x:v>Défini</x:v>
      </x:c>
      <x:c r="D28" s="17" t="str">
        <x:v>Extrapolation</x:v>
      </x:c>
      <x:c r="E28" s="17" t="str">
        <x:v>P1</x:v>
      </x:c>
      <x:c r="F28" s="7" t="str">
        <x:v>Livrable original proposé : Planche sprites — Cerberus Centurion.</x:v>
      </x:c>
      <x:c r="G28" s="7" t="str">
        <x:v>Produire une planche originale de Cerberus Centurion pour le groupe 2D sur décor 3D. Séparer visage, arme et effets pour préserver les variantes d’état décrites dans la fiche de rôle.</x:v>
      </x:c>
      <x:c r="H28" s="7" t="str">
        <x:v>Le sprite ne définit pas la hitbox. Distinguer position au sol, hauteur visuelle et zone ciblable afin que les grandes silhouettes ne cachent pas les cibles voisines.</x:v>
      </x:c>
      <x:c r="I28" s="7" t="str">
        <x:v>Armure renforcée et fumigène.</x:v>
      </x:c>
      <x:c r="J28" s="7" t="str">
        <x:v>Prévoir un état neutre, déplacement, préparation de l’action signature, impact reçu, mise à terre et retour en contrôle pour Cerberus Centurion. Éviter la duplication miroir des signes asymétriques.</x:v>
      </x:c>
      <x:c r="K28" s="7" t="str">
        <x:v>Sans bande sonore embarquée dans la planche ; émettre uniquement des événements nommés vers le système audio pour éviter les doublons.</x:v>
      </x:c>
      <x:c r="L28" s="7" t="str">
        <x:v>Prévu : fiche de données me3/sprites/enm-centurion ; rattacher les ressources et états cités à cet identifiant. Aucun fichier de jeu créé par ce catalogue.</x:v>
      </x:c>
      <x:c r="M28" s="7" t="str">
        <x:v>Campagne et simulation.</x:v>
      </x:c>
      <x:c r="N28" s="7" t="str">
        <x:v>À l’échelle de jeu, Cerberus Centurion est identifiable en silhouette ; pivot aux pieds, masque de profondeur et huit orientations proposés restent stables devant les couverts.</x:v>
      </x:c>
      <x:c r="O28" s="7" t="str">
        <x:v>ME3-ENM-CENTURION</x:v>
      </x:c>
      <x:c r="P28" s="7" t="str">
        <x:v>Adaptation originale — spécification de production</x:v>
      </x:c>
      <x:c r="Q28" s="7" t="str"/>
      <x:c r="R28" s="21" t="str"/>
      <x:c r="S28" s="21" t="str">
        <x:v>Spécification à réaliser. Les champs adaptation, gameplay, visual, animation, audio et implementation décrivent le fan game ; ils ne donnent pas des caractéristiques officielles de l’œuvre.</x:v>
      </x:c>
    </x:row>
    <x:row r="29" ht="82" customHeight="1">
      <x:c r="A29" s="18" t="str">
        <x:v>ME3-SPR-ENM-ENGINEER</x:v>
      </x:c>
      <x:c r="B29" s="9" t="str">
        <x:v>Planche sprites — Cerberus Combat Engineer</x:v>
      </x:c>
      <x:c r="C29" s="15" t="str">
        <x:v>Défini</x:v>
      </x:c>
      <x:c r="D29" s="16" t="str">
        <x:v>Extrapolation</x:v>
      </x:c>
      <x:c r="E29" s="16" t="str">
        <x:v>P1</x:v>
      </x:c>
      <x:c r="F29" s="9" t="str">
        <x:v>Livrable original proposé : Planche sprites — Cerberus Combat Engineer.</x:v>
      </x:c>
      <x:c r="G29" s="9" t="str">
        <x:v>Produire une planche originale de Cerberus Combat Engineer pour le groupe 2D sur décor 3D. Séparer visage, arme et effets pour préserver les variantes d’état décrites dans la fiche de rôle.</x:v>
      </x:c>
      <x:c r="H29" s="9" t="str">
        <x:v>Le sprite ne définit pas la hitbox. Distinguer position au sol, hauteur visuelle et zone ciblable afin que les grandes silhouettes ne cachent pas les cibles voisines.</x:v>
      </x:c>
      <x:c r="I29" s="9" t="str">
        <x:v>Omni-outil et sac technique.</x:v>
      </x:c>
      <x:c r="J29" s="9" t="str">
        <x:v>Prévoir un état neutre, déplacement, préparation de l’action signature, impact reçu, mise à terre et retour en contrôle pour Cerberus Combat Engineer. Éviter la duplication miroir des signes asymétriques.</x:v>
      </x:c>
      <x:c r="K29" s="9" t="str">
        <x:v>Sans bande sonore embarquée dans la planche ; émettre uniquement des événements nommés vers le système audio pour éviter les doublons.</x:v>
      </x:c>
      <x:c r="L29" s="9" t="str">
        <x:v>Prévu : fiche de données me3/sprites/enm-engineer ; rattacher les ressources et états cités à cet identifiant. Aucun fichier de jeu créé par ce catalogue.</x:v>
      </x:c>
      <x:c r="M29" s="9" t="str">
        <x:v>Campagne et simulation.</x:v>
      </x:c>
      <x:c r="N29" s="9" t="str">
        <x:v>À l’échelle de jeu, Cerberus Combat Engineer est identifiable en silhouette ; pivot aux pieds, masque de profondeur et huit orientations proposés restent stables devant les couverts.</x:v>
      </x:c>
      <x:c r="O29" s="9" t="str">
        <x:v>ME3-ENM-ENGINEER</x:v>
      </x:c>
      <x:c r="P29" s="9" t="str">
        <x:v>Adaptation originale — spécification de production</x:v>
      </x:c>
      <x:c r="Q29" s="9" t="str"/>
      <x:c r="R29" s="20" t="str"/>
      <x:c r="S29" s="20" t="str">
        <x:v>Spécification à réaliser. Les champs adaptation, gameplay, visual, animation, audio et implementation décrivent le fan game ; ils ne donnent pas des caractéristiques officielles de l’œuvre.</x:v>
      </x:c>
    </x:row>
    <x:row r="30" ht="82" customHeight="1">
      <x:c r="A30" s="19" t="str">
        <x:v>ME3-SPR-ENM-GUARDIAN</x:v>
      </x:c>
      <x:c r="B30" s="7" t="str">
        <x:v>Planche sprites — Cerberus Guardian</x:v>
      </x:c>
      <x:c r="C30" s="15" t="str">
        <x:v>Défini</x:v>
      </x:c>
      <x:c r="D30" s="17" t="str">
        <x:v>Extrapolation</x:v>
      </x:c>
      <x:c r="E30" s="17" t="str">
        <x:v>P1</x:v>
      </x:c>
      <x:c r="F30" s="7" t="str">
        <x:v>Livrable original proposé : Planche sprites — Cerberus Guardian.</x:v>
      </x:c>
      <x:c r="G30" s="7" t="str">
        <x:v>Produire une planche originale de Cerberus Guardian pour le groupe 2D sur décor 3D. Séparer visage, arme et effets pour préserver les variantes d’état décrites dans la fiche de rôle.</x:v>
      </x:c>
      <x:c r="H30" s="7" t="str">
        <x:v>Le sprite ne définit pas la hitbox. Distinguer position au sol, hauteur visuelle et zone ciblable afin que les grandes silhouettes ne cachent pas les cibles voisines.</x:v>
      </x:c>
      <x:c r="I30" s="7" t="str">
        <x:v>Bouclier rectangulaire à meurtrière.</x:v>
      </x:c>
      <x:c r="J30" s="7" t="str">
        <x:v>Prévoir un état neutre, déplacement, préparation de l’action signature, impact reçu, mise à terre et retour en contrôle pour Cerberus Guardian. Éviter la duplication miroir des signes asymétriques.</x:v>
      </x:c>
      <x:c r="K30" s="7" t="str">
        <x:v>Sans bande sonore embarquée dans la planche ; émettre uniquement des événements nommés vers le système audio pour éviter les doublons.</x:v>
      </x:c>
      <x:c r="L30" s="7" t="str">
        <x:v>Prévu : fiche de données me3/sprites/enm-guardian ; rattacher les ressources et états cités à cet identifiant. Aucun fichier de jeu créé par ce catalogue.</x:v>
      </x:c>
      <x:c r="M30" s="7" t="str">
        <x:v>Campagne et simulation.</x:v>
      </x:c>
      <x:c r="N30" s="7" t="str">
        <x:v>À l’échelle de jeu, Cerberus Guardian est identifiable en silhouette ; pivot aux pieds, masque de profondeur et huit orientations proposés restent stables devant les couverts.</x:v>
      </x:c>
      <x:c r="O30" s="7" t="str">
        <x:v>ME3-ENM-GUARDIAN</x:v>
      </x:c>
      <x:c r="P30" s="7" t="str">
        <x:v>Adaptation originale — spécification de production</x:v>
      </x:c>
      <x:c r="Q30" s="7" t="str"/>
      <x:c r="R30" s="21" t="str"/>
      <x:c r="S30" s="21" t="str">
        <x:v>Spécification à réaliser. Les champs adaptation, gameplay, visual, animation, audio et implementation décrivent le fan game ; ils ne donnent pas des caractéristiques officielles de l’œuvre.</x:v>
      </x:c>
    </x:row>
    <x:row r="31" ht="82" customHeight="1">
      <x:c r="A31" s="18" t="str">
        <x:v>ME3-SPR-ENM-NEMESIS</x:v>
      </x:c>
      <x:c r="B31" s="9" t="str">
        <x:v>Planche sprites — Cerberus Nemesis</x:v>
      </x:c>
      <x:c r="C31" s="15" t="str">
        <x:v>Défini</x:v>
      </x:c>
      <x:c r="D31" s="16" t="str">
        <x:v>Extrapolation</x:v>
      </x:c>
      <x:c r="E31" s="16" t="str">
        <x:v>P1</x:v>
      </x:c>
      <x:c r="F31" s="9" t="str">
        <x:v>Livrable original proposé : Planche sprites — Cerberus Nemesis.</x:v>
      </x:c>
      <x:c r="G31" s="9" t="str">
        <x:v>Produire une planche originale de Cerberus Nemesis pour le groupe 2D sur décor 3D. Séparer visage, arme et effets pour préserver les variantes d’état décrites dans la fiche de rôle.</x:v>
      </x:c>
      <x:c r="H31" s="9" t="str">
        <x:v>Le sprite ne définit pas la hitbox. Distinguer position au sol, hauteur visuelle et zone ciblable afin que les grandes silhouettes ne cachent pas les cibles voisines.</x:v>
      </x:c>
      <x:c r="I31" s="9" t="str">
        <x:v>Silhouette fine et viseur rouge.</x:v>
      </x:c>
      <x:c r="J31" s="9" t="str">
        <x:v>Prévoir un état neutre, déplacement, préparation de l’action signature, impact reçu, mise à terre et retour en contrôle pour Cerberus Nemesis. Éviter la duplication miroir des signes asymétriques.</x:v>
      </x:c>
      <x:c r="K31" s="9" t="str">
        <x:v>Sans bande sonore embarquée dans la planche ; émettre uniquement des événements nommés vers le système audio pour éviter les doublons.</x:v>
      </x:c>
      <x:c r="L31" s="9" t="str">
        <x:v>Prévu : fiche de données me3/sprites/enm-nemesis ; rattacher les ressources et états cités à cet identifiant. Aucun fichier de jeu créé par ce catalogue.</x:v>
      </x:c>
      <x:c r="M31" s="9" t="str">
        <x:v>Campagne et simulation.</x:v>
      </x:c>
      <x:c r="N31" s="9" t="str">
        <x:v>À l’échelle de jeu, Cerberus Nemesis est identifiable en silhouette ; pivot aux pieds, masque de profondeur et huit orientations proposés restent stables devant les couverts.</x:v>
      </x:c>
      <x:c r="O31" s="9" t="str">
        <x:v>ME3-ENM-NEMESIS</x:v>
      </x:c>
      <x:c r="P31" s="9" t="str">
        <x:v>Adaptation originale — spécification de production</x:v>
      </x:c>
      <x:c r="Q31" s="9" t="str"/>
      <x:c r="R31" s="20" t="str"/>
      <x:c r="S31" s="20" t="str">
        <x:v>Spécification à réaliser. Les champs adaptation, gameplay, visual, animation, audio et implementation décrivent le fan game ; ils ne donnent pas des caractéristiques officielles de l’œuvre.</x:v>
      </x:c>
    </x:row>
    <x:row r="32" ht="82" customHeight="1">
      <x:c r="A32" s="19" t="str">
        <x:v>ME3-SPR-ENM-PHANTOM</x:v>
      </x:c>
      <x:c r="B32" s="7" t="str">
        <x:v>Planche sprites — Cerberus Phantom</x:v>
      </x:c>
      <x:c r="C32" s="15" t="str">
        <x:v>Défini</x:v>
      </x:c>
      <x:c r="D32" s="17" t="str">
        <x:v>Extrapolation</x:v>
      </x:c>
      <x:c r="E32" s="17" t="str">
        <x:v>P1</x:v>
      </x:c>
      <x:c r="F32" s="7" t="str">
        <x:v>Livrable original proposé : Planche sprites — Cerberus Phantom.</x:v>
      </x:c>
      <x:c r="G32" s="7" t="str">
        <x:v>Produire une planche originale de Cerberus Phantom pour le groupe 2D sur décor 3D. Séparer visage, arme et effets pour préserver les variantes d’état décrites dans la fiche de rôle.</x:v>
      </x:c>
      <x:c r="H32" s="7" t="str">
        <x:v>Le sprite ne définit pas la hitbox. Distinguer position au sol, hauteur visuelle et zone ciblable afin que les grandes silhouettes ne cachent pas les cibles voisines.</x:v>
      </x:c>
      <x:c r="I32" s="7" t="str">
        <x:v>Lame, corps agile et voile de camouflage.</x:v>
      </x:c>
      <x:c r="J32" s="7" t="str">
        <x:v>Prévoir un état neutre, déplacement, préparation de l’action signature, impact reçu, mise à terre et retour en contrôle pour Cerberus Phantom. Éviter la duplication miroir des signes asymétriques.</x:v>
      </x:c>
      <x:c r="K32" s="7" t="str">
        <x:v>Sans bande sonore embarquée dans la planche ; émettre uniquement des événements nommés vers le système audio pour éviter les doublons.</x:v>
      </x:c>
      <x:c r="L32" s="7" t="str">
        <x:v>Prévu : fiche de données me3/sprites/enm-phantom ; rattacher les ressources et états cités à cet identifiant. Aucun fichier de jeu créé par ce catalogue.</x:v>
      </x:c>
      <x:c r="M32" s="7" t="str">
        <x:v>Campagne et simulation.</x:v>
      </x:c>
      <x:c r="N32" s="7" t="str">
        <x:v>À l’échelle de jeu, Cerberus Phantom est identifiable en silhouette ; pivot aux pieds, masque de profondeur et huit orientations proposés restent stables devant les couverts.</x:v>
      </x:c>
      <x:c r="O32" s="7" t="str">
        <x:v>ME3-ENM-PHANTOM</x:v>
      </x:c>
      <x:c r="P32" s="7" t="str">
        <x:v>Adaptation originale — spécification de production</x:v>
      </x:c>
      <x:c r="Q32" s="7" t="str"/>
      <x:c r="R32" s="21" t="str"/>
      <x:c r="S32" s="21" t="str">
        <x:v>Spécification à réaliser. Les champs adaptation, gameplay, visual, animation, audio et implementation décrivent le fan game ; ils ne donnent pas des caractéristiques officielles de l’œuvre.</x:v>
      </x:c>
    </x:row>
    <x:row r="33" ht="68" customHeight="1">
      <x:c r="A33" s="18" t="str">
        <x:v>ME3-SPR-ENM-ATLAS</x:v>
      </x:c>
      <x:c r="B33" s="9" t="str">
        <x:v>Planche sprites — Atlas</x:v>
      </x:c>
      <x:c r="C33" s="15" t="str">
        <x:v>Défini</x:v>
      </x:c>
      <x:c r="D33" s="16" t="str">
        <x:v>Extrapolation</x:v>
      </x:c>
      <x:c r="E33" s="16" t="str">
        <x:v>P1</x:v>
      </x:c>
      <x:c r="F33" s="9" t="str">
        <x:v>Livrable original proposé : Planche sprites — Atlas.</x:v>
      </x:c>
      <x:c r="G33" s="9" t="str">
        <x:v>Produire une planche originale de Atlas pour le groupe 2D sur décor 3D. Séparer visage, arme et effets pour préserver les variantes d’état décrites dans la fiche de rôle.</x:v>
      </x:c>
      <x:c r="H33" s="9" t="str">
        <x:v>Le sprite ne définit pas la hitbox. Distinguer position au sol, hauteur visuelle et zone ciblable afin que les grandes silhouettes ne cachent pas les cibles voisines.</x:v>
      </x:c>
      <x:c r="I33" s="9" t="str">
        <x:v>Cockpit vitré et châssis massif.</x:v>
      </x:c>
      <x:c r="J33" s="9" t="str">
        <x:v>Prévoir un état neutre, déplacement, préparation de l’action signature, impact reçu, mise à terre et retour en contrôle pour Atlas. Éviter la duplication miroir des signes asymétriques.</x:v>
      </x:c>
      <x:c r="K33" s="9" t="str">
        <x:v>Sans bande sonore embarquée dans la planche ; émettre uniquement des événements nommés vers le système audio pour éviter les doublons.</x:v>
      </x:c>
      <x:c r="L33" s="9" t="str">
        <x:v>Prévu : fiche de données me3/sprites/enm-atlas ; rattacher les ressources et états cités à cet identifiant. Aucun fichier de jeu créé par ce catalogue.</x:v>
      </x:c>
      <x:c r="M33" s="9" t="str">
        <x:v>Campagne ; variantes de pilotage à vérifier.</x:v>
      </x:c>
      <x:c r="N33" s="9" t="str">
        <x:v>À l’échelle de jeu, Atlas est identifiable en silhouette ; pivot aux pieds, masque de profondeur et huit orientations proposés restent stables devant les couverts.</x:v>
      </x:c>
      <x:c r="O33" s="9" t="str">
        <x:v>ME3-ENM-ATLAS</x:v>
      </x:c>
      <x:c r="P33" s="9" t="str">
        <x:v>Adaptation originale — spécification de production</x:v>
      </x:c>
      <x:c r="Q33" s="9" t="str"/>
      <x:c r="R33" s="20" t="str"/>
      <x:c r="S33" s="20" t="str">
        <x:v>Spécification à réaliser. Les champs adaptation, gameplay, visual, animation, audio et implementation décrivent le fan game ; ils ne donnent pas des caractéristiques officielles de l’œuvre.</x:v>
      </x:c>
    </x:row>
    <x:row r="34" ht="82" customHeight="1">
      <x:c r="A34" s="19" t="str">
        <x:v>ME3-SPR-ENM-TURRET</x:v>
      </x:c>
      <x:c r="B34" s="7" t="str">
        <x:v>Planche sprites — Tourelle Cerberus</x:v>
      </x:c>
      <x:c r="C34" s="15" t="str">
        <x:v>Défini</x:v>
      </x:c>
      <x:c r="D34" s="17" t="str">
        <x:v>Extrapolation</x:v>
      </x:c>
      <x:c r="E34" s="17" t="str">
        <x:v>P1</x:v>
      </x:c>
      <x:c r="F34" s="7" t="str">
        <x:v>Livrable original proposé : Planche sprites — Tourelle Cerberus.</x:v>
      </x:c>
      <x:c r="G34" s="7" t="str">
        <x:v>Produire une planche originale de Tourelle Cerberus pour le groupe 2D sur décor 3D. Séparer visage, arme et effets pour préserver les variantes d’état décrites dans la fiche de rôle.</x:v>
      </x:c>
      <x:c r="H34" s="7" t="str">
        <x:v>Le sprite ne définit pas la hitbox. Distinguer position au sol, hauteur visuelle et zone ciblable afin que les grandes silhouettes ne cachent pas les cibles voisines.</x:v>
      </x:c>
      <x:c r="I34" s="7" t="str">
        <x:v>Trépied et canon automatique.</x:v>
      </x:c>
      <x:c r="J34" s="7" t="str">
        <x:v>Prévoir un état neutre, déplacement, préparation de l’action signature, impact reçu, mise à terre et retour en contrôle pour Tourelle Cerberus. Éviter la duplication miroir des signes asymétriques.</x:v>
      </x:c>
      <x:c r="K34" s="7" t="str">
        <x:v>Sans bande sonore embarquée dans la planche ; émettre uniquement des événements nommés vers le système audio pour éviter les doublons.</x:v>
      </x:c>
      <x:c r="L34" s="7" t="str">
        <x:v>Prévu : fiche de données me3/sprites/enm-turret ; rattacher les ressources et états cités à cet identifiant. Aucun fichier de jeu créé par ce catalogue.</x:v>
      </x:c>
      <x:c r="M34" s="7" t="str">
        <x:v>Campagne et simulation.</x:v>
      </x:c>
      <x:c r="N34" s="7" t="str">
        <x:v>À l’échelle de jeu, Tourelle Cerberus est identifiable en silhouette ; pivot aux pieds, masque de profondeur et huit orientations proposés restent stables devant les couverts.</x:v>
      </x:c>
      <x:c r="O34" s="7" t="str">
        <x:v>ME3-ENM-TURRET</x:v>
      </x:c>
      <x:c r="P34" s="7" t="str">
        <x:v>Adaptation originale — spécification de production</x:v>
      </x:c>
      <x:c r="Q34" s="7" t="str"/>
      <x:c r="R34" s="21" t="str"/>
      <x:c r="S34" s="21" t="str">
        <x:v>Spécification à réaliser. Les champs adaptation, gameplay, visual, animation, audio et implementation décrivent le fan game ; ils ne donnent pas des caractéristiques officielles de l’œuvre.</x:v>
      </x:c>
    </x:row>
    <x:row r="35" ht="82" customHeight="1">
      <x:c r="A35" s="18" t="str">
        <x:v>ME3-SPR-ENM-EVA</x:v>
      </x:c>
      <x:c r="B35" s="9" t="str">
        <x:v>Planche sprites — Dr Eva Coré — confrontation</x:v>
      </x:c>
      <x:c r="C35" s="15" t="str">
        <x:v>Défini</x:v>
      </x:c>
      <x:c r="D35" s="16" t="str">
        <x:v>Extrapolation</x:v>
      </x:c>
      <x:c r="E35" s="16" t="str">
        <x:v>P1</x:v>
      </x:c>
      <x:c r="F35" s="9" t="str">
        <x:v>Livrable original proposé : Planche sprites — Dr Eva Coré — confrontation.</x:v>
      </x:c>
      <x:c r="G35" s="9" t="str">
        <x:v>Produire une planche originale de Dr Eva Coré — confrontation pour le groupe 2D sur décor 3D. Séparer visage, arme et effets pour préserver les variantes d’état décrites dans la fiche de rôle.</x:v>
      </x:c>
      <x:c r="H35" s="9" t="str">
        <x:v>Le sprite ne définit pas la hitbox. Distinguer position au sol, hauteur visuelle et zone ciblable afin que les grandes silhouettes ne cachent pas les cibles voisines.</x:v>
      </x:c>
      <x:c r="I35" s="9" t="str">
        <x:v>Corps androïde sous identité médicale.</x:v>
      </x:c>
      <x:c r="J35" s="9" t="str">
        <x:v>Prévoir un état neutre, déplacement, préparation de l’action signature, impact reçu, mise à terre et retour en contrôle pour Dr Eva Coré — confrontation. Éviter la duplication miroir des signes asymétriques.</x:v>
      </x:c>
      <x:c r="K35" s="9" t="str">
        <x:v>Sans bande sonore embarquée dans la planche ; émettre uniquement des événements nommés vers le système audio pour éviter les doublons.</x:v>
      </x:c>
      <x:c r="L35" s="9" t="str">
        <x:v>Prévu : fiche de données me3/sprites/enm-eva ; rattacher les ressources et états cités à cet identifiant. Aucun fichier de jeu créé par ce catalogue.</x:v>
      </x:c>
      <x:c r="M35" s="9" t="str">
        <x:v>Mars uniquement.</x:v>
      </x:c>
      <x:c r="N35" s="9" t="str">
        <x:v>À l’échelle de jeu, Dr Eva Coré — confrontation est identifiable en silhouette ; pivot aux pieds, masque de profondeur et huit orientations proposés restent stables devant les couverts.</x:v>
      </x:c>
      <x:c r="O35" s="9" t="str">
        <x:v>ME3-ENM-EVA</x:v>
      </x:c>
      <x:c r="P35" s="9" t="str">
        <x:v>Adaptation originale — spécification de production</x:v>
      </x:c>
      <x:c r="Q35" s="9" t="str"/>
      <x:c r="R35" s="20" t="str"/>
      <x:c r="S35" s="20" t="str">
        <x:v>Spécification à réaliser. Les champs adaptation, gameplay, visual, animation, audio et implementation décrivent le fan game ; ils ne donnent pas des caractéristiques officielles de l’œuvre.</x:v>
      </x:c>
    </x:row>
    <x:row r="36" ht="68" customHeight="1">
      <x:c r="A36" s="19" t="str">
        <x:v>ME3-SPR-ENM-KAI</x:v>
      </x:c>
      <x:c r="B36" s="7" t="str">
        <x:v>Planche sprites — Kai Leng</x:v>
      </x:c>
      <x:c r="C36" s="15" t="str">
        <x:v>Défini</x:v>
      </x:c>
      <x:c r="D36" s="17" t="str">
        <x:v>Extrapolation</x:v>
      </x:c>
      <x:c r="E36" s="17" t="str">
        <x:v>P1</x:v>
      </x:c>
      <x:c r="F36" s="7" t="str">
        <x:v>Livrable original proposé : Planche sprites — Kai Leng.</x:v>
      </x:c>
      <x:c r="G36" s="7" t="str">
        <x:v>Produire une planche originale de Kai Leng pour le groupe 2D sur décor 3D. Séparer visage, arme et effets pour préserver les variantes d’état décrites dans la fiche de rôle.</x:v>
      </x:c>
      <x:c r="H36" s="7" t="str">
        <x:v>Le sprite ne définit pas la hitbox. Distinguer position au sol, hauteur visuelle et zone ciblable afin que les grandes silhouettes ne cachent pas les cibles voisines.</x:v>
      </x:c>
      <x:c r="I36" s="7" t="str">
        <x:v>Lame, armure sombre et visière.</x:v>
      </x:c>
      <x:c r="J36" s="7" t="str">
        <x:v>Prévoir un état neutre, déplacement, préparation de l’action signature, impact reçu, mise à terre et retour en contrôle pour Kai Leng. Éviter la duplication miroir des signes asymétriques.</x:v>
      </x:c>
      <x:c r="K36" s="7" t="str">
        <x:v>Sans bande sonore embarquée dans la planche ; émettre uniquement des événements nommés vers le système audio pour éviter les doublons.</x:v>
      </x:c>
      <x:c r="L36" s="7" t="str">
        <x:v>Prévu : fiche de données me3/sprites/enm-kai ; rattacher les ressources et états cités à cet identifiant. Aucun fichier de jeu créé par ce catalogue.</x:v>
      </x:c>
      <x:c r="M36" s="7" t="str">
        <x:v>Thessia et QG ; tables de phases distinctes.</x:v>
      </x:c>
      <x:c r="N36" s="7" t="str">
        <x:v>À l’échelle de jeu, Kai Leng est identifiable en silhouette ; pivot aux pieds, masque de profondeur et huit orientations proposés restent stables devant les couverts.</x:v>
      </x:c>
      <x:c r="O36" s="7" t="str">
        <x:v>ME3-ENM-KAI</x:v>
      </x:c>
      <x:c r="P36" s="7" t="str">
        <x:v>Adaptation originale — spécification de production</x:v>
      </x:c>
      <x:c r="Q36" s="7" t="str"/>
      <x:c r="R36" s="21" t="str"/>
      <x:c r="S36" s="21" t="str">
        <x:v>Spécification à réaliser. Les champs adaptation, gameplay, visual, animation, audio et implementation décrivent le fan game ; ils ne donnent pas des caractéristiques officielles de l’œuvre.</x:v>
      </x:c>
    </x:row>
    <x:row r="37" ht="68" customHeight="1">
      <x:c r="A37" s="18" t="str">
        <x:v>ME3-SPR-ENM-RAMPART</x:v>
      </x:c>
      <x:c r="B37" s="9" t="str">
        <x:v>Planche sprites — Rampart Mech</x:v>
      </x:c>
      <x:c r="C37" s="15" t="str">
        <x:v>Défini</x:v>
      </x:c>
      <x:c r="D37" s="16" t="str">
        <x:v>Extrapolation</x:v>
      </x:c>
      <x:c r="E37" s="16" t="str">
        <x:v>P1</x:v>
      </x:c>
      <x:c r="F37" s="9" t="str">
        <x:v>Livrable original proposé : Planche sprites — Rampart Mech.</x:v>
      </x:c>
      <x:c r="G37" s="9" t="str">
        <x:v>Produire une planche originale de Rampart Mech pour le groupe 2D sur décor 3D. Séparer visage, arme et effets pour préserver les variantes d’état décrites dans la fiche de rôle.</x:v>
      </x:c>
      <x:c r="H37" s="9" t="str">
        <x:v>Le sprite ne définit pas la hitbox. Distinguer position au sol, hauteur visuelle et zone ciblable afin que les grandes silhouettes ne cachent pas les cibles voisines.</x:v>
      </x:c>
      <x:c r="I37" s="9" t="str">
        <x:v>Robot bipède blanc et rouge.</x:v>
      </x:c>
      <x:c r="J37" s="9" t="str">
        <x:v>Prévoir un état neutre, déplacement, préparation de l’action signature, impact reçu, mise à terre et retour en contrôle pour Rampart Mech. Éviter la duplication miroir des signes asymétriques.</x:v>
      </x:c>
      <x:c r="K37" s="9" t="str">
        <x:v>Sans bande sonore embarquée dans la planche ; émettre uniquement des événements nommés vers le système audio pour éviter les doublons.</x:v>
      </x:c>
      <x:c r="L37" s="9" t="str">
        <x:v>Prévu : fiche de données me3/sprites/enm-rampart ; rattacher les ressources et états cités à cet identifiant. Aucun fichier de jeu créé par ce catalogue.</x:v>
      </x:c>
      <x:c r="M37" s="9" t="str">
        <x:v>DLC Omega.</x:v>
      </x:c>
      <x:c r="N37" s="9" t="str">
        <x:v>À l’échelle de jeu, Rampart Mech est identifiable en silhouette ; pivot aux pieds, masque de profondeur et huit orientations proposés restent stables devant les couverts.</x:v>
      </x:c>
      <x:c r="O37" s="9" t="str">
        <x:v>ME3-ENM-RAMPART</x:v>
      </x:c>
      <x:c r="P37" s="9" t="str">
        <x:v>Adaptation originale — spécification de production</x:v>
      </x:c>
      <x:c r="Q37" s="9" t="str"/>
      <x:c r="R37" s="20" t="str"/>
      <x:c r="S37" s="20" t="str">
        <x:v>Spécification à réaliser. Les champs adaptation, gameplay, visual, animation, audio et implementation décrivent le fan game ; ils ne donnent pas des caractéristiques officielles de l’œuvre.</x:v>
      </x:c>
    </x:row>
    <x:row r="38" ht="68" customHeight="1">
      <x:c r="A38" s="19" t="str">
        <x:v>ME3-SPR-ENM-ADJUTANT</x:v>
      </x:c>
      <x:c r="B38" s="7" t="str">
        <x:v>Planche sprites — Adjutant</x:v>
      </x:c>
      <x:c r="C38" s="15" t="str">
        <x:v>Défini</x:v>
      </x:c>
      <x:c r="D38" s="17" t="str">
        <x:v>Extrapolation</x:v>
      </x:c>
      <x:c r="E38" s="17" t="str">
        <x:v>P1</x:v>
      </x:c>
      <x:c r="F38" s="7" t="str">
        <x:v>Livrable original proposé : Planche sprites — Adjutant.</x:v>
      </x:c>
      <x:c r="G38" s="7" t="str">
        <x:v>Produire une planche originale de Adjutant pour le groupe 2D sur décor 3D. Séparer visage, arme et effets pour préserver les variantes d’état décrites dans la fiche de rôle.</x:v>
      </x:c>
      <x:c r="H38" s="7" t="str">
        <x:v>Le sprite ne définit pas la hitbox. Distinguer position au sol, hauteur visuelle et zone ciblable afin que les grandes silhouettes ne cachent pas les cibles voisines.</x:v>
      </x:c>
      <x:c r="I38" s="7" t="str">
        <x:v>Masse déformée, membres allongés et lueur interne.</x:v>
      </x:c>
      <x:c r="J38" s="7" t="str">
        <x:v>Prévoir un état neutre, déplacement, préparation de l’action signature, impact reçu, mise à terre et retour en contrôle pour Adjutant. Éviter la duplication miroir des signes asymétriques.</x:v>
      </x:c>
      <x:c r="K38" s="7" t="str">
        <x:v>Sans bande sonore embarquée dans la planche ; émettre uniquement des événements nommés vers le système audio pour éviter les doublons.</x:v>
      </x:c>
      <x:c r="L38" s="7" t="str">
        <x:v>Prévu : fiche de données me3/sprites/enm-adjutant ; rattacher les ressources et états cités à cet identifiant. Aucun fichier de jeu créé par ce catalogue.</x:v>
      </x:c>
      <x:c r="M38" s="7" t="str">
        <x:v>DLC Omega.</x:v>
      </x:c>
      <x:c r="N38" s="7" t="str">
        <x:v>À l’échelle de jeu, Adjutant est identifiable en silhouette ; pivot aux pieds, masque de profondeur et huit orientations proposés restent stables devant les couverts.</x:v>
      </x:c>
      <x:c r="O38" s="7" t="str">
        <x:v>ME3-ENM-ADJUTANT</x:v>
      </x:c>
      <x:c r="P38" s="7" t="str">
        <x:v>Adaptation originale — spécification de production</x:v>
      </x:c>
      <x:c r="Q38" s="7" t="str"/>
      <x:c r="R38" s="21" t="str"/>
      <x:c r="S38" s="21" t="str">
        <x:v>Spécification à réaliser. Les champs adaptation, gameplay, visual, animation, audio et implementation décrivent le fan game ; ils ne donnent pas des caractéristiques officielles de l’œuvre.</x:v>
      </x:c>
    </x:row>
    <x:row r="39" ht="68" customHeight="1">
      <x:c r="A39" s="18" t="str">
        <x:v>ME3-SPR-ENM-HUSK</x:v>
      </x:c>
      <x:c r="B39" s="9" t="str">
        <x:v>Planche sprites — Husk</x:v>
      </x:c>
      <x:c r="C39" s="15" t="str">
        <x:v>Défini</x:v>
      </x:c>
      <x:c r="D39" s="16" t="str">
        <x:v>Extrapolation</x:v>
      </x:c>
      <x:c r="E39" s="16" t="str">
        <x:v>P1</x:v>
      </x:c>
      <x:c r="F39" s="9" t="str">
        <x:v>Livrable original proposé : Planche sprites — Husk.</x:v>
      </x:c>
      <x:c r="G39" s="9" t="str">
        <x:v>Produire une planche originale de Husk pour le groupe 2D sur décor 3D. Séparer visage, arme et effets pour préserver les variantes d’état décrites dans la fiche de rôle.</x:v>
      </x:c>
      <x:c r="H39" s="9" t="str">
        <x:v>Le sprite ne définit pas la hitbox. Distinguer position au sol, hauteur visuelle et zone ciblable afin que les grandes silhouettes ne cachent pas les cibles voisines.</x:v>
      </x:c>
      <x:c r="I39" s="9" t="str">
        <x:v>Silhouette humanoïde et implants bleus.</x:v>
      </x:c>
      <x:c r="J39" s="9" t="str">
        <x:v>Prévoir un état neutre, déplacement, préparation de l’action signature, impact reçu, mise à terre et retour en contrôle pour Husk. Éviter la duplication miroir des signes asymétriques.</x:v>
      </x:c>
      <x:c r="K39" s="9" t="str">
        <x:v>Sans bande sonore embarquée dans la planche ; émettre uniquement des événements nommés vers le système audio pour éviter les doublons.</x:v>
      </x:c>
      <x:c r="L39" s="9" t="str">
        <x:v>Prévu : fiche de données me3/sprites/enm-husk ; rattacher les ressources et états cités à cet identifiant. Aucun fichier de jeu créé par ce catalogue.</x:v>
      </x:c>
      <x:c r="M39" s="9" t="str">
        <x:v>Campagne et simulation.</x:v>
      </x:c>
      <x:c r="N39" s="9" t="str">
        <x:v>À l’échelle de jeu, Husk est identifiable en silhouette ; pivot aux pieds, masque de profondeur et huit orientations proposés restent stables devant les couverts.</x:v>
      </x:c>
      <x:c r="O39" s="9" t="str">
        <x:v>ME3-ENM-HUSK</x:v>
      </x:c>
      <x:c r="P39" s="9" t="str">
        <x:v>Adaptation originale — spécification de production</x:v>
      </x:c>
      <x:c r="Q39" s="9" t="str"/>
      <x:c r="R39" s="20" t="str"/>
      <x:c r="S39" s="20" t="str">
        <x:v>Spécification à réaliser. Les champs adaptation, gameplay, visual, animation, audio et implementation décrivent le fan game ; ils ne donnent pas des caractéristiques officielles de l’œuvre.</x:v>
      </x:c>
    </x:row>
    <x:row r="40" ht="68" customHeight="1">
      <x:c r="A40" s="19" t="str">
        <x:v>ME3-SPR-ENM-CANNIBAL</x:v>
      </x:c>
      <x:c r="B40" s="7" t="str">
        <x:v>Planche sprites — Cannibal</x:v>
      </x:c>
      <x:c r="C40" s="15" t="str">
        <x:v>Défini</x:v>
      </x:c>
      <x:c r="D40" s="17" t="str">
        <x:v>Extrapolation</x:v>
      </x:c>
      <x:c r="E40" s="17" t="str">
        <x:v>P1</x:v>
      </x:c>
      <x:c r="F40" s="7" t="str">
        <x:v>Livrable original proposé : Planche sprites — Cannibal.</x:v>
      </x:c>
      <x:c r="G40" s="7" t="str">
        <x:v>Produire une planche originale de Cannibal pour le groupe 2D sur décor 3D. Séparer visage, arme et effets pour préserver les variantes d’état décrites dans la fiche de rôle.</x:v>
      </x:c>
      <x:c r="H40" s="7" t="str">
        <x:v>Le sprite ne définit pas la hitbox. Distinguer position au sol, hauteur visuelle et zone ciblable afin que les grandes silhouettes ne cachent pas les cibles voisines.</x:v>
      </x:c>
      <x:c r="I40" s="7" t="str">
        <x:v>Corps massif et arme greffée.</x:v>
      </x:c>
      <x:c r="J40" s="7" t="str">
        <x:v>Prévoir un état neutre, déplacement, préparation de l’action signature, impact reçu, mise à terre et retour en contrôle pour Cannibal. Éviter la duplication miroir des signes asymétriques.</x:v>
      </x:c>
      <x:c r="K40" s="7" t="str">
        <x:v>Sans bande sonore embarquée dans la planche ; émettre uniquement des événements nommés vers le système audio pour éviter les doublons.</x:v>
      </x:c>
      <x:c r="L40" s="7" t="str">
        <x:v>Prévu : fiche de données me3/sprites/enm-cannibal ; rattacher les ressources et états cités à cet identifiant. Aucun fichier de jeu créé par ce catalogue.</x:v>
      </x:c>
      <x:c r="M40" s="7" t="str">
        <x:v>Campagne et simulation.</x:v>
      </x:c>
      <x:c r="N40" s="7" t="str">
        <x:v>À l’échelle de jeu, Cannibal est identifiable en silhouette ; pivot aux pieds, masque de profondeur et huit orientations proposés restent stables devant les couverts.</x:v>
      </x:c>
      <x:c r="O40" s="7" t="str">
        <x:v>ME3-ENM-CANNIBAL</x:v>
      </x:c>
      <x:c r="P40" s="7" t="str">
        <x:v>Adaptation originale — spécification de production</x:v>
      </x:c>
      <x:c r="Q40" s="7" t="str"/>
      <x:c r="R40" s="21" t="str"/>
      <x:c r="S40" s="21" t="str">
        <x:v>Spécification à réaliser. Les champs adaptation, gameplay, visual, animation, audio et implementation décrivent le fan game ; ils ne donnent pas des caractéristiques officielles de l’œuvre.</x:v>
      </x:c>
    </x:row>
    <x:row r="41" ht="68" customHeight="1">
      <x:c r="A41" s="18" t="str">
        <x:v>ME3-SPR-ENM-MARAUDER</x:v>
      </x:c>
      <x:c r="B41" s="9" t="str">
        <x:v>Planche sprites — Marauder</x:v>
      </x:c>
      <x:c r="C41" s="15" t="str">
        <x:v>Défini</x:v>
      </x:c>
      <x:c r="D41" s="16" t="str">
        <x:v>Extrapolation</x:v>
      </x:c>
      <x:c r="E41" s="16" t="str">
        <x:v>P1</x:v>
      </x:c>
      <x:c r="F41" s="9" t="str">
        <x:v>Livrable original proposé : Planche sprites — Marauder.</x:v>
      </x:c>
      <x:c r="G41" s="9" t="str">
        <x:v>Produire une planche originale de Marauder pour le groupe 2D sur décor 3D. Séparer visage, arme et effets pour préserver les variantes d’état décrites dans la fiche de rôle.</x:v>
      </x:c>
      <x:c r="H41" s="9" t="str">
        <x:v>Le sprite ne définit pas la hitbox. Distinguer position au sol, hauteur visuelle et zone ciblable afin que les grandes silhouettes ne cachent pas les cibles voisines.</x:v>
      </x:c>
      <x:c r="I41" s="9" t="str">
        <x:v>Traits turiens et carapace synthétique.</x:v>
      </x:c>
      <x:c r="J41" s="9" t="str">
        <x:v>Prévoir un état neutre, déplacement, préparation de l’action signature, impact reçu, mise à terre et retour en contrôle pour Marauder. Éviter la duplication miroir des signes asymétriques.</x:v>
      </x:c>
      <x:c r="K41" s="9" t="str">
        <x:v>Sans bande sonore embarquée dans la planche ; émettre uniquement des événements nommés vers le système audio pour éviter les doublons.</x:v>
      </x:c>
      <x:c r="L41" s="9" t="str">
        <x:v>Prévu : fiche de données me3/sprites/enm-marauder ; rattacher les ressources et états cités à cet identifiant. Aucun fichier de jeu créé par ce catalogue.</x:v>
      </x:c>
      <x:c r="M41" s="9" t="str">
        <x:v>Campagne et simulation.</x:v>
      </x:c>
      <x:c r="N41" s="9" t="str">
        <x:v>À l’échelle de jeu, Marauder est identifiable en silhouette ; pivot aux pieds, masque de profondeur et huit orientations proposés restent stables devant les couverts.</x:v>
      </x:c>
      <x:c r="O41" s="9" t="str">
        <x:v>ME3-ENM-MARAUDER</x:v>
      </x:c>
      <x:c r="P41" s="9" t="str">
        <x:v>Adaptation originale — spécification de production</x:v>
      </x:c>
      <x:c r="Q41" s="9" t="str"/>
      <x:c r="R41" s="20" t="str"/>
      <x:c r="S41" s="20" t="str">
        <x:v>Spécification à réaliser. Les champs adaptation, gameplay, visual, animation, audio et implementation décrivent le fan game ; ils ne donnent pas des caractéristiques officielles de l’œuvre.</x:v>
      </x:c>
    </x:row>
    <x:row r="42" ht="68" customHeight="1">
      <x:c r="A42" s="19" t="str">
        <x:v>ME3-SPR-ENM-BRUTE</x:v>
      </x:c>
      <x:c r="B42" s="7" t="str">
        <x:v>Planche sprites — Brute</x:v>
      </x:c>
      <x:c r="C42" s="15" t="str">
        <x:v>Défini</x:v>
      </x:c>
      <x:c r="D42" s="17" t="str">
        <x:v>Extrapolation</x:v>
      </x:c>
      <x:c r="E42" s="17" t="str">
        <x:v>P1</x:v>
      </x:c>
      <x:c r="F42" s="7" t="str">
        <x:v>Livrable original proposé : Planche sprites — Brute.</x:v>
      </x:c>
      <x:c r="G42" s="7" t="str">
        <x:v>Produire une planche originale de Brute pour le groupe 2D sur décor 3D. Séparer visage, arme et effets pour préserver les variantes d’état décrites dans la fiche de rôle.</x:v>
      </x:c>
      <x:c r="H42" s="7" t="str">
        <x:v>Le sprite ne définit pas la hitbox. Distinguer position au sol, hauteur visuelle et zone ciblable afin que les grandes silhouettes ne cachent pas les cibles voisines.</x:v>
      </x:c>
      <x:c r="I42" s="7" t="str">
        <x:v>Grand corps cuirassé et bras massif.</x:v>
      </x:c>
      <x:c r="J42" s="7" t="str">
        <x:v>Prévoir un état neutre, déplacement, préparation de l’action signature, impact reçu, mise à terre et retour en contrôle pour Brute. Éviter la duplication miroir des signes asymétriques.</x:v>
      </x:c>
      <x:c r="K42" s="7" t="str">
        <x:v>Sans bande sonore embarquée dans la planche ; émettre uniquement des événements nommés vers le système audio pour éviter les doublons.</x:v>
      </x:c>
      <x:c r="L42" s="7" t="str">
        <x:v>Prévu : fiche de données me3/sprites/enm-brute ; rattacher les ressources et états cités à cet identifiant. Aucun fichier de jeu créé par ce catalogue.</x:v>
      </x:c>
      <x:c r="M42" s="7" t="str">
        <x:v>Campagne et simulation.</x:v>
      </x:c>
      <x:c r="N42" s="7" t="str">
        <x:v>À l’échelle de jeu, Brute est identifiable en silhouette ; pivot aux pieds, masque de profondeur et huit orientations proposés restent stables devant les couverts.</x:v>
      </x:c>
      <x:c r="O42" s="7" t="str">
        <x:v>ME3-ENM-BRUTE</x:v>
      </x:c>
      <x:c r="P42" s="7" t="str">
        <x:v>Adaptation originale — spécification de production</x:v>
      </x:c>
      <x:c r="Q42" s="7" t="str"/>
      <x:c r="R42" s="21" t="str"/>
      <x:c r="S42" s="21" t="str">
        <x:v>Spécification à réaliser. Les champs adaptation, gameplay, visual, animation, audio et implementation décrivent le fan game ; ils ne donnent pas des caractéristiques officielles de l’œuvre.</x:v>
      </x:c>
    </x:row>
    <x:row r="43" ht="68" customHeight="1">
      <x:c r="A43" s="18" t="str">
        <x:v>ME3-SPR-ENM-RAVAGER</x:v>
      </x:c>
      <x:c r="B43" s="9" t="str">
        <x:v>Planche sprites — Ravager</x:v>
      </x:c>
      <x:c r="C43" s="15" t="str">
        <x:v>Défini</x:v>
      </x:c>
      <x:c r="D43" s="16" t="str">
        <x:v>Extrapolation</x:v>
      </x:c>
      <x:c r="E43" s="16" t="str">
        <x:v>P1</x:v>
      </x:c>
      <x:c r="F43" s="9" t="str">
        <x:v>Livrable original proposé : Planche sprites — Ravager.</x:v>
      </x:c>
      <x:c r="G43" s="9" t="str">
        <x:v>Produire une planche originale de Ravager pour le groupe 2D sur décor 3D. Séparer visage, arme et effets pour préserver les variantes d’état décrites dans la fiche de rôle.</x:v>
      </x:c>
      <x:c r="H43" s="9" t="str">
        <x:v>Le sprite ne définit pas la hitbox. Distinguer position au sol, hauteur visuelle et zone ciblable afin que les grandes silhouettes ne cachent pas les cibles voisines.</x:v>
      </x:c>
      <x:c r="I43" s="9" t="str">
        <x:v>Pattes, canons dorsaux et poches lumineuses.</x:v>
      </x:c>
      <x:c r="J43" s="9" t="str">
        <x:v>Prévoir un état neutre, déplacement, préparation de l’action signature, impact reçu, mise à terre et retour en contrôle pour Ravager. Éviter la duplication miroir des signes asymétriques.</x:v>
      </x:c>
      <x:c r="K43" s="9" t="str">
        <x:v>Sans bande sonore embarquée dans la planche ; émettre uniquement des événements nommés vers le système audio pour éviter les doublons.</x:v>
      </x:c>
      <x:c r="L43" s="9" t="str">
        <x:v>Prévu : fiche de données me3/sprites/enm-ravager ; rattacher les ressources et états cités à cet identifiant. Aucun fichier de jeu créé par ce catalogue.</x:v>
      </x:c>
      <x:c r="M43" s="9" t="str">
        <x:v>Campagne et simulation.</x:v>
      </x:c>
      <x:c r="N43" s="9" t="str">
        <x:v>À l’échelle de jeu, Ravager est identifiable en silhouette ; pivot aux pieds, masque de profondeur et huit orientations proposés restent stables devant les couverts.</x:v>
      </x:c>
      <x:c r="O43" s="9" t="str">
        <x:v>ME3-ENM-RAVAGER</x:v>
      </x:c>
      <x:c r="P43" s="9" t="str">
        <x:v>Adaptation originale — spécification de production</x:v>
      </x:c>
      <x:c r="Q43" s="9" t="str"/>
      <x:c r="R43" s="20" t="str"/>
      <x:c r="S43" s="20" t="str">
        <x:v>Spécification à réaliser. Les champs adaptation, gameplay, visual, animation, audio et implementation décrivent le fan game ; ils ne donnent pas des caractéristiques officielles de l’œuvre.</x:v>
      </x:c>
    </x:row>
    <x:row r="44" ht="68" customHeight="1">
      <x:c r="A44" s="19" t="str">
        <x:v>ME3-SPR-ENM-SWARMER</x:v>
      </x:c>
      <x:c r="B44" s="7" t="str">
        <x:v>Planche sprites — Swarmer</x:v>
      </x:c>
      <x:c r="C44" s="15" t="str">
        <x:v>Défini</x:v>
      </x:c>
      <x:c r="D44" s="17" t="str">
        <x:v>Extrapolation</x:v>
      </x:c>
      <x:c r="E44" s="17" t="str">
        <x:v>P1</x:v>
      </x:c>
      <x:c r="F44" s="7" t="str">
        <x:v>Livrable original proposé : Planche sprites — Swarmer.</x:v>
      </x:c>
      <x:c r="G44" s="7" t="str">
        <x:v>Produire une planche originale de Swarmer pour le groupe 2D sur décor 3D. Séparer visage, arme et effets pour préserver les variantes d’état décrites dans la fiche de rôle.</x:v>
      </x:c>
      <x:c r="H44" s="7" t="str">
        <x:v>Le sprite ne définit pas la hitbox. Distinguer position au sol, hauteur visuelle et zone ciblable afin que les grandes silhouettes ne cachent pas les cibles voisines.</x:v>
      </x:c>
      <x:c r="I44" s="7" t="str">
        <x:v>Petites formes organiques au sol.</x:v>
      </x:c>
      <x:c r="J44" s="7" t="str">
        <x:v>Prévoir un état neutre, déplacement, préparation de l’action signature, impact reçu, mise à terre et retour en contrôle pour Swarmer. Éviter la duplication miroir des signes asymétriques.</x:v>
      </x:c>
      <x:c r="K44" s="7" t="str">
        <x:v>Sans bande sonore embarquée dans la planche ; émettre uniquement des événements nommés vers le système audio pour éviter les doublons.</x:v>
      </x:c>
      <x:c r="L44" s="7" t="str">
        <x:v>Prévu : fiche de données me3/sprites/enm-swarmer ; rattacher les ressources et états cités à cet identifiant. Aucun fichier de jeu créé par ce catalogue.</x:v>
      </x:c>
      <x:c r="M44" s="7" t="str">
        <x:v>Campagne et simulation.</x:v>
      </x:c>
      <x:c r="N44" s="7" t="str">
        <x:v>À l’échelle de jeu, Swarmer est identifiable en silhouette ; pivot aux pieds, masque de profondeur et huit orientations proposés restent stables devant les couverts.</x:v>
      </x:c>
      <x:c r="O44" s="7" t="str">
        <x:v>ME3-ENM-SWARMER</x:v>
      </x:c>
      <x:c r="P44" s="7" t="str">
        <x:v>Adaptation originale — spécification de production</x:v>
      </x:c>
      <x:c r="Q44" s="7" t="str"/>
      <x:c r="R44" s="21" t="str"/>
      <x:c r="S44" s="21" t="str">
        <x:v>Spécification à réaliser. Les champs adaptation, gameplay, visual, animation, audio et implementation décrivent le fan game ; ils ne donnent pas des caractéristiques officielles de l’œuvre.</x:v>
      </x:c>
    </x:row>
    <x:row r="45" ht="68" customHeight="1">
      <x:c r="A45" s="18" t="str">
        <x:v>ME3-SPR-ENM-BANSHEE</x:v>
      </x:c>
      <x:c r="B45" s="9" t="str">
        <x:v>Planche sprites — Banshee</x:v>
      </x:c>
      <x:c r="C45" s="15" t="str">
        <x:v>Défini</x:v>
      </x:c>
      <x:c r="D45" s="16" t="str">
        <x:v>Extrapolation</x:v>
      </x:c>
      <x:c r="E45" s="16" t="str">
        <x:v>P1</x:v>
      </x:c>
      <x:c r="F45" s="9" t="str">
        <x:v>Livrable original proposé : Planche sprites — Banshee.</x:v>
      </x:c>
      <x:c r="G45" s="9" t="str">
        <x:v>Produire une planche originale de Banshee pour le groupe 2D sur décor 3D. Séparer visage, arme et effets pour préserver les variantes d’état décrites dans la fiche de rôle.</x:v>
      </x:c>
      <x:c r="H45" s="9" t="str">
        <x:v>Le sprite ne définit pas la hitbox. Distinguer position au sol, hauteur visuelle et zone ciblable afin que les grandes silhouettes ne cachent pas les cibles voisines.</x:v>
      </x:c>
      <x:c r="I45" s="9" t="str">
        <x:v>Silhouette asari allongée et aura biotique.</x:v>
      </x:c>
      <x:c r="J45" s="9" t="str">
        <x:v>Prévoir un état neutre, déplacement, préparation de l’action signature, impact reçu, mise à terre et retour en contrôle pour Banshee. Éviter la duplication miroir des signes asymétriques.</x:v>
      </x:c>
      <x:c r="K45" s="9" t="str">
        <x:v>Sans bande sonore embarquée dans la planche ; émettre uniquement des événements nommés vers le système audio pour éviter les doublons.</x:v>
      </x:c>
      <x:c r="L45" s="9" t="str">
        <x:v>Prévu : fiche de données me3/sprites/enm-banshee ; rattacher les ressources et états cités à cet identifiant. Aucun fichier de jeu créé par ce catalogue.</x:v>
      </x:c>
      <x:c r="M45" s="9" t="str">
        <x:v>Campagne et simulation.</x:v>
      </x:c>
      <x:c r="N45" s="9" t="str">
        <x:v>À l’échelle de jeu, Banshee est identifiable en silhouette ; pivot aux pieds, masque de profondeur et huit orientations proposés restent stables devant les couverts.</x:v>
      </x:c>
      <x:c r="O45" s="9" t="str">
        <x:v>ME3-ENM-BANSHEE</x:v>
      </x:c>
      <x:c r="P45" s="9" t="str">
        <x:v>Adaptation originale — spécification de production</x:v>
      </x:c>
      <x:c r="Q45" s="9" t="str"/>
      <x:c r="R45" s="20" t="str"/>
      <x:c r="S45" s="20" t="str">
        <x:v>Spécification à réaliser. Les champs adaptation, gameplay, visual, animation, audio et implementation décrivent le fan game ; ils ne donnent pas des caractéristiques officielles de l’œuvre.</x:v>
      </x:c>
    </x:row>
    <x:row r="46" ht="68" customHeight="1">
      <x:c r="A46" s="19" t="str">
        <x:v>ME3-SPR-ENM-HARVESTER</x:v>
      </x:c>
      <x:c r="B46" s="7" t="str">
        <x:v>Planche sprites — Harvester</x:v>
      </x:c>
      <x:c r="C46" s="15" t="str">
        <x:v>Défini</x:v>
      </x:c>
      <x:c r="D46" s="17" t="str">
        <x:v>Extrapolation</x:v>
      </x:c>
      <x:c r="E46" s="17" t="str">
        <x:v>P1</x:v>
      </x:c>
      <x:c r="F46" s="7" t="str">
        <x:v>Livrable original proposé : Planche sprites — Harvester.</x:v>
      </x:c>
      <x:c r="G46" s="7" t="str">
        <x:v>Produire une planche originale de Harvester pour le groupe 2D sur décor 3D. Séparer visage, arme et effets pour préserver les variantes d’état décrites dans la fiche de rôle.</x:v>
      </x:c>
      <x:c r="H46" s="7" t="str">
        <x:v>Le sprite ne définit pas la hitbox. Distinguer position au sol, hauteur visuelle et zone ciblable afin que les grandes silhouettes ne cachent pas les cibles voisines.</x:v>
      </x:c>
      <x:c r="I46" s="7" t="str">
        <x:v>Ailes massives et carapace sombre.</x:v>
      </x:c>
      <x:c r="J46" s="7" t="str">
        <x:v>Prévoir un état neutre, déplacement, préparation de l’action signature, impact reçu, mise à terre et retour en contrôle pour Harvester. Éviter la duplication miroir des signes asymétriques.</x:v>
      </x:c>
      <x:c r="K46" s="7" t="str">
        <x:v>Sans bande sonore embarquée dans la planche ; émettre uniquement des événements nommés vers le système audio pour éviter les doublons.</x:v>
      </x:c>
      <x:c r="L46" s="7" t="str">
        <x:v>Prévu : fiche de données me3/sprites/enm-harvester ; rattacher les ressources et états cités à cet identifiant. Aucun fichier de jeu créé par ce catalogue.</x:v>
      </x:c>
      <x:c r="M46" s="7" t="str">
        <x:v>Rencontres terrestres prévues.</x:v>
      </x:c>
      <x:c r="N46" s="7" t="str">
        <x:v>À l’échelle de jeu, Harvester est identifiable en silhouette ; pivot aux pieds, masque de profondeur et huit orientations proposés restent stables devant les couverts.</x:v>
      </x:c>
      <x:c r="O46" s="7" t="str">
        <x:v>ME3-ENM-HARVESTER</x:v>
      </x:c>
      <x:c r="P46" s="7" t="str">
        <x:v>Adaptation originale — spécification de production</x:v>
      </x:c>
      <x:c r="Q46" s="7" t="str"/>
      <x:c r="R46" s="21" t="str"/>
      <x:c r="S46" s="21" t="str">
        <x:v>Spécification à réaliser. Les champs adaptation, gameplay, visual, animation, audio et implementation décrivent le fan game ; ils ne donnent pas des caractéristiques officielles de l’œuvre.</x:v>
      </x:c>
    </x:row>
    <x:row r="47" ht="82" customHeight="1">
      <x:c r="A47" s="18" t="str">
        <x:v>ME3-SPR-ENM-REAPER-RANNOCH</x:v>
      </x:c>
      <x:c r="B47" s="9" t="str">
        <x:v>Planche sprites — Moissonneur de Rannoch</x:v>
      </x:c>
      <x:c r="C47" s="15" t="str">
        <x:v>Défini</x:v>
      </x:c>
      <x:c r="D47" s="16" t="str">
        <x:v>Extrapolation</x:v>
      </x:c>
      <x:c r="E47" s="16" t="str">
        <x:v>P1</x:v>
      </x:c>
      <x:c r="F47" s="9" t="str">
        <x:v>Livrable original proposé : Planche sprites — Moissonneur de Rannoch.</x:v>
      </x:c>
      <x:c r="G47" s="9" t="str">
        <x:v>Produire une planche originale de Moissonneur de Rannoch pour le groupe 2D sur décor 3D. Séparer visage, arme et effets pour préserver les variantes d’état décrites dans la fiche de rôle.</x:v>
      </x:c>
      <x:c r="H47" s="9" t="str">
        <x:v>Le sprite ne définit pas la hitbox. Distinguer position au sol, hauteur visuelle et zone ciblable afin que les grandes silhouettes ne cachent pas les cibles voisines.</x:v>
      </x:c>
      <x:c r="I47" s="9" t="str">
        <x:v>Œil lumineux et rayon lourd.</x:v>
      </x:c>
      <x:c r="J47" s="9" t="str">
        <x:v>Prévoir un état neutre, déplacement, préparation de l’action signature, impact reçu, mise à terre et retour en contrôle pour Moissonneur de Rannoch. Éviter la duplication miroir des signes asymétriques.</x:v>
      </x:c>
      <x:c r="K47" s="9" t="str">
        <x:v>Sans bande sonore embarquée dans la planche ; émettre uniquement des événements nommés vers le système audio pour éviter les doublons.</x:v>
      </x:c>
      <x:c r="L47" s="9" t="str">
        <x:v>Prévu : fiche de données me3/sprites/enm-reaper-rannoch ; rattacher les ressources et états cités à cet identifiant. Aucun fichier de jeu créé par ce catalogue.</x:v>
      </x:c>
      <x:c r="M47" s="9" t="str">
        <x:v>Rannoch uniquement.</x:v>
      </x:c>
      <x:c r="N47" s="9" t="str">
        <x:v>À l’échelle de jeu, Moissonneur de Rannoch est identifiable en silhouette ; pivot aux pieds, masque de profondeur et huit orientations proposés restent stables devant les couverts.</x:v>
      </x:c>
      <x:c r="O47" s="9" t="str">
        <x:v>ME3-ENM-REAPER-RANNOCH</x:v>
      </x:c>
      <x:c r="P47" s="9" t="str">
        <x:v>Adaptation originale — spécification de production</x:v>
      </x:c>
      <x:c r="Q47" s="9" t="str"/>
      <x:c r="R47" s="20" t="str"/>
      <x:c r="S47" s="20" t="str">
        <x:v>Spécification à réaliser. Les champs adaptation, gameplay, visual, animation, audio et implementation décrivent le fan game ; ils ne donnent pas des caractéristiques officielles de l’œuvre.</x:v>
      </x:c>
    </x:row>
    <x:row r="48" ht="68" customHeight="1">
      <x:c r="A48" s="19" t="str">
        <x:v>ME3-SPR-ENM-GETH-TROOPER</x:v>
      </x:c>
      <x:c r="B48" s="7" t="str">
        <x:v>Planche sprites — Geth Trooper</x:v>
      </x:c>
      <x:c r="C48" s="15" t="str">
        <x:v>Défini</x:v>
      </x:c>
      <x:c r="D48" s="17" t="str">
        <x:v>Extrapolation</x:v>
      </x:c>
      <x:c r="E48" s="17" t="str">
        <x:v>P1</x:v>
      </x:c>
      <x:c r="F48" s="7" t="str">
        <x:v>Livrable original proposé : Planche sprites — Geth Trooper.</x:v>
      </x:c>
      <x:c r="G48" s="7" t="str">
        <x:v>Produire une planche originale de Geth Trooper pour le groupe 2D sur décor 3D. Séparer visage, arme et effets pour préserver les variantes d’état décrites dans la fiche de rôle.</x:v>
      </x:c>
      <x:c r="H48" s="7" t="str">
        <x:v>Le sprite ne définit pas la hitbox. Distinguer position au sol, hauteur visuelle et zone ciblable afin que les grandes silhouettes ne cachent pas les cibles voisines.</x:v>
      </x:c>
      <x:c r="I48" s="7" t="str">
        <x:v>Plateforme synthétique et lampe centrale.</x:v>
      </x:c>
      <x:c r="J48" s="7" t="str">
        <x:v>Prévoir un état neutre, déplacement, préparation de l’action signature, impact reçu, mise à terre et retour en contrôle pour Geth Trooper. Éviter la duplication miroir des signes asymétriques.</x:v>
      </x:c>
      <x:c r="K48" s="7" t="str">
        <x:v>Sans bande sonore embarquée dans la planche ; émettre uniquement des événements nommés vers le système audio pour éviter les doublons.</x:v>
      </x:c>
      <x:c r="L48" s="7" t="str">
        <x:v>Prévu : fiche de données me3/sprites/enm-geth-trooper ; rattacher les ressources et états cités à cet identifiant. Aucun fichier de jeu créé par ce catalogue.</x:v>
      </x:c>
      <x:c r="M48" s="7" t="str">
        <x:v>Arc geth, Armax ou multijoueur selon rencontre.</x:v>
      </x:c>
      <x:c r="N48" s="7" t="str">
        <x:v>À l’échelle de jeu, Geth Trooper est identifiable en silhouette ; pivot aux pieds, masque de profondeur et huit orientations proposés restent stables devant les couverts.</x:v>
      </x:c>
      <x:c r="O48" s="7" t="str">
        <x:v>ME3-ENM-GETH-TROOPER</x:v>
      </x:c>
      <x:c r="P48" s="7" t="str">
        <x:v>Adaptation originale — spécification de production</x:v>
      </x:c>
      <x:c r="Q48" s="7" t="str"/>
      <x:c r="R48" s="21" t="str"/>
      <x:c r="S48" s="21" t="str">
        <x:v>Spécification à réaliser. Les champs adaptation, gameplay, visual, animation, audio et implementation décrivent le fan game ; ils ne donnent pas des caractéristiques officielles de l’œuvre.</x:v>
      </x:c>
    </x:row>
    <x:row r="49" ht="82" customHeight="1">
      <x:c r="A49" s="18" t="str">
        <x:v>ME3-SPR-ENM-GETH-ROCKET</x:v>
      </x:c>
      <x:c r="B49" s="9" t="str">
        <x:v>Planche sprites — Geth Rocket Trooper</x:v>
      </x:c>
      <x:c r="C49" s="15" t="str">
        <x:v>Défini</x:v>
      </x:c>
      <x:c r="D49" s="16" t="str">
        <x:v>Extrapolation</x:v>
      </x:c>
      <x:c r="E49" s="16" t="str">
        <x:v>P1</x:v>
      </x:c>
      <x:c r="F49" s="9" t="str">
        <x:v>Livrable original proposé : Planche sprites — Geth Rocket Trooper.</x:v>
      </x:c>
      <x:c r="G49" s="9" t="str">
        <x:v>Produire une planche originale de Geth Rocket Trooper pour le groupe 2D sur décor 3D. Séparer visage, arme et effets pour préserver les variantes d’état décrites dans la fiche de rôle.</x:v>
      </x:c>
      <x:c r="H49" s="9" t="str">
        <x:v>Le sprite ne définit pas la hitbox. Distinguer position au sol, hauteur visuelle et zone ciblable afin que les grandes silhouettes ne cachent pas les cibles voisines.</x:v>
      </x:c>
      <x:c r="I49" s="9" t="str">
        <x:v>Lanceur d’épaule et optique.</x:v>
      </x:c>
      <x:c r="J49" s="9" t="str">
        <x:v>Prévoir un état neutre, déplacement, préparation de l’action signature, impact reçu, mise à terre et retour en contrôle pour Geth Rocket Trooper. Éviter la duplication miroir des signes asymétriques.</x:v>
      </x:c>
      <x:c r="K49" s="9" t="str">
        <x:v>Sans bande sonore embarquée dans la planche ; émettre uniquement des événements nommés vers le système audio pour éviter les doublons.</x:v>
      </x:c>
      <x:c r="L49" s="9" t="str">
        <x:v>Prévu : fiche de données me3/sprites/enm-geth-rocket ; rattacher les ressources et états cités à cet identifiant. Aucun fichier de jeu créé par ce catalogue.</x:v>
      </x:c>
      <x:c r="M49" s="9" t="str">
        <x:v>Arc geth, Armax ou multijoueur selon rencontre.</x:v>
      </x:c>
      <x:c r="N49" s="9" t="str">
        <x:v>À l’échelle de jeu, Geth Rocket Trooper est identifiable en silhouette ; pivot aux pieds, masque de profondeur et huit orientations proposés restent stables devant les couverts.</x:v>
      </x:c>
      <x:c r="O49" s="9" t="str">
        <x:v>ME3-ENM-GETH-ROCKET</x:v>
      </x:c>
      <x:c r="P49" s="9" t="str">
        <x:v>Adaptation originale — spécification de production</x:v>
      </x:c>
      <x:c r="Q49" s="9" t="str"/>
      <x:c r="R49" s="20" t="str"/>
      <x:c r="S49" s="20" t="str">
        <x:v>Spécification à réaliser. Les champs adaptation, gameplay, visual, animation, audio et implementation décrivent le fan game ; ils ne donnent pas des caractéristiques officielles de l’œuvre.</x:v>
      </x:c>
    </x:row>
    <x:row r="50" ht="68" customHeight="1">
      <x:c r="A50" s="19" t="str">
        <x:v>ME3-SPR-ENM-GETH-HUNTER</x:v>
      </x:c>
      <x:c r="B50" s="7" t="str">
        <x:v>Planche sprites — Geth Hunter</x:v>
      </x:c>
      <x:c r="C50" s="15" t="str">
        <x:v>Défini</x:v>
      </x:c>
      <x:c r="D50" s="17" t="str">
        <x:v>Extrapolation</x:v>
      </x:c>
      <x:c r="E50" s="17" t="str">
        <x:v>P1</x:v>
      </x:c>
      <x:c r="F50" s="7" t="str">
        <x:v>Livrable original proposé : Planche sprites — Geth Hunter.</x:v>
      </x:c>
      <x:c r="G50" s="7" t="str">
        <x:v>Produire une planche originale de Geth Hunter pour le groupe 2D sur décor 3D. Séparer visage, arme et effets pour préserver les variantes d’état décrites dans la fiche de rôle.</x:v>
      </x:c>
      <x:c r="H50" s="7" t="str">
        <x:v>Le sprite ne définit pas la hitbox. Distinguer position au sol, hauteur visuelle et zone ciblable afin que les grandes silhouettes ne cachent pas les cibles voisines.</x:v>
      </x:c>
      <x:c r="I50" s="7" t="str">
        <x:v>Réfraction, lampe et fusil court.</x:v>
      </x:c>
      <x:c r="J50" s="7" t="str">
        <x:v>Prévoir un état neutre, déplacement, préparation de l’action signature, impact reçu, mise à terre et retour en contrôle pour Geth Hunter. Éviter la duplication miroir des signes asymétriques.</x:v>
      </x:c>
      <x:c r="K50" s="7" t="str">
        <x:v>Sans bande sonore embarquée dans la planche ; émettre uniquement des événements nommés vers le système audio pour éviter les doublons.</x:v>
      </x:c>
      <x:c r="L50" s="7" t="str">
        <x:v>Prévu : fiche de données me3/sprites/enm-geth-hunter ; rattacher les ressources et états cités à cet identifiant. Aucun fichier de jeu créé par ce catalogue.</x:v>
      </x:c>
      <x:c r="M50" s="7" t="str">
        <x:v>Arc geth, Armax ou multijoueur selon rencontre.</x:v>
      </x:c>
      <x:c r="N50" s="7" t="str">
        <x:v>À l’échelle de jeu, Geth Hunter est identifiable en silhouette ; pivot aux pieds, masque de profondeur et huit orientations proposés restent stables devant les couverts.</x:v>
      </x:c>
      <x:c r="O50" s="7" t="str">
        <x:v>ME3-ENM-GETH-HUNTER</x:v>
      </x:c>
      <x:c r="P50" s="7" t="str">
        <x:v>Adaptation originale — spécification de production</x:v>
      </x:c>
      <x:c r="Q50" s="7" t="str"/>
      <x:c r="R50" s="21" t="str"/>
      <x:c r="S50" s="21" t="str">
        <x:v>Spécification à réaliser. Les champs adaptation, gameplay, visual, animation, audio et implementation décrivent le fan game ; ils ne donnent pas des caractéristiques officielles de l’œuvre.</x:v>
      </x:c>
    </x:row>
    <x:row r="51" ht="68" customHeight="1">
      <x:c r="A51" s="18" t="str">
        <x:v>ME3-SPR-ENM-GETH-PYRO</x:v>
      </x:c>
      <x:c r="B51" s="9" t="str">
        <x:v>Planche sprites — Geth Pyro</x:v>
      </x:c>
      <x:c r="C51" s="15" t="str">
        <x:v>Défini</x:v>
      </x:c>
      <x:c r="D51" s="16" t="str">
        <x:v>Extrapolation</x:v>
      </x:c>
      <x:c r="E51" s="16" t="str">
        <x:v>P1</x:v>
      </x:c>
      <x:c r="F51" s="9" t="str">
        <x:v>Livrable original proposé : Planche sprites — Geth Pyro.</x:v>
      </x:c>
      <x:c r="G51" s="9" t="str">
        <x:v>Produire une planche originale de Geth Pyro pour le groupe 2D sur décor 3D. Séparer visage, arme et effets pour préserver les variantes d’état décrites dans la fiche de rôle.</x:v>
      </x:c>
      <x:c r="H51" s="9" t="str">
        <x:v>Le sprite ne définit pas la hitbox. Distinguer position au sol, hauteur visuelle et zone ciblable afin que les grandes silhouettes ne cachent pas les cibles voisines.</x:v>
      </x:c>
      <x:c r="I51" s="9" t="str">
        <x:v>Réservoirs et tuyau de flamme.</x:v>
      </x:c>
      <x:c r="J51" s="9" t="str">
        <x:v>Prévoir un état neutre, déplacement, préparation de l’action signature, impact reçu, mise à terre et retour en contrôle pour Geth Pyro. Éviter la duplication miroir des signes asymétriques.</x:v>
      </x:c>
      <x:c r="K51" s="9" t="str">
        <x:v>Sans bande sonore embarquée dans la planche ; émettre uniquement des événements nommés vers le système audio pour éviter les doublons.</x:v>
      </x:c>
      <x:c r="L51" s="9" t="str">
        <x:v>Prévu : fiche de données me3/sprites/enm-geth-pyro ; rattacher les ressources et états cités à cet identifiant. Aucun fichier de jeu créé par ce catalogue.</x:v>
      </x:c>
      <x:c r="M51" s="9" t="str">
        <x:v>Arc geth, Armax ou multijoueur selon rencontre.</x:v>
      </x:c>
      <x:c r="N51" s="9" t="str">
        <x:v>À l’échelle de jeu, Geth Pyro est identifiable en silhouette ; pivot aux pieds, masque de profondeur et huit orientations proposés restent stables devant les couverts.</x:v>
      </x:c>
      <x:c r="O51" s="9" t="str">
        <x:v>ME3-ENM-GETH-PYRO</x:v>
      </x:c>
      <x:c r="P51" s="9" t="str">
        <x:v>Adaptation originale — spécification de production</x:v>
      </x:c>
      <x:c r="Q51" s="9" t="str"/>
      <x:c r="R51" s="20" t="str"/>
      <x:c r="S51" s="20" t="str">
        <x:v>Spécification à réaliser. Les champs adaptation, gameplay, visual, animation, audio et implementation décrivent le fan game ; ils ne donnent pas des caractéristiques officielles de l’œuvre.</x:v>
      </x:c>
    </x:row>
    <x:row r="52" ht="68" customHeight="1">
      <x:c r="A52" s="19" t="str">
        <x:v>ME3-SPR-ENM-GETH-PRIME</x:v>
      </x:c>
      <x:c r="B52" s="7" t="str">
        <x:v>Planche sprites — Geth Prime</x:v>
      </x:c>
      <x:c r="C52" s="15" t="str">
        <x:v>Défini</x:v>
      </x:c>
      <x:c r="D52" s="17" t="str">
        <x:v>Extrapolation</x:v>
      </x:c>
      <x:c r="E52" s="17" t="str">
        <x:v>P1</x:v>
      </x:c>
      <x:c r="F52" s="7" t="str">
        <x:v>Livrable original proposé : Planche sprites — Geth Prime.</x:v>
      </x:c>
      <x:c r="G52" s="7" t="str">
        <x:v>Produire une planche originale de Geth Prime pour le groupe 2D sur décor 3D. Séparer visage, arme et effets pour préserver les variantes d’état décrites dans la fiche de rôle.</x:v>
      </x:c>
      <x:c r="H52" s="7" t="str">
        <x:v>Le sprite ne définit pas la hitbox. Distinguer position au sol, hauteur visuelle et zone ciblable afin que les grandes silhouettes ne cachent pas les cibles voisines.</x:v>
      </x:c>
      <x:c r="I52" s="7" t="str">
        <x:v>Châssis imposant et optique rouge.</x:v>
      </x:c>
      <x:c r="J52" s="7" t="str">
        <x:v>Prévoir un état neutre, déplacement, préparation de l’action signature, impact reçu, mise à terre et retour en contrôle pour Geth Prime. Éviter la duplication miroir des signes asymétriques.</x:v>
      </x:c>
      <x:c r="K52" s="7" t="str">
        <x:v>Sans bande sonore embarquée dans la planche ; émettre uniquement des événements nommés vers le système audio pour éviter les doublons.</x:v>
      </x:c>
      <x:c r="L52" s="7" t="str">
        <x:v>Prévu : fiche de données me3/sprites/enm-geth-prime ; rattacher les ressources et états cités à cet identifiant. Aucun fichier de jeu créé par ce catalogue.</x:v>
      </x:c>
      <x:c r="M52" s="7" t="str">
        <x:v>Arc geth, Armax ou multijoueur selon rencontre.</x:v>
      </x:c>
      <x:c r="N52" s="7" t="str">
        <x:v>À l’échelle de jeu, Geth Prime est identifiable en silhouette ; pivot aux pieds, masque de profondeur et huit orientations proposés restent stables devant les couverts.</x:v>
      </x:c>
      <x:c r="O52" s="7" t="str">
        <x:v>ME3-ENM-GETH-PRIME</x:v>
      </x:c>
      <x:c r="P52" s="7" t="str">
        <x:v>Adaptation originale — spécification de production</x:v>
      </x:c>
      <x:c r="Q52" s="7" t="str"/>
      <x:c r="R52" s="21" t="str"/>
      <x:c r="S52" s="21" t="str">
        <x:v>Spécification à réaliser. Les champs adaptation, gameplay, visual, animation, audio et implementation décrivent le fan game ; ils ne donnent pas des caractéristiques officielles de l’œuvre.</x:v>
      </x:c>
    </x:row>
    <x:row r="53" ht="68" customHeight="1">
      <x:c r="A53" s="18" t="str">
        <x:v>ME3-SPR-ENM-GETH-TURRET</x:v>
      </x:c>
      <x:c r="B53" s="9" t="str">
        <x:v>Planche sprites — Tourelle geth</x:v>
      </x:c>
      <x:c r="C53" s="15" t="str">
        <x:v>Défini</x:v>
      </x:c>
      <x:c r="D53" s="16" t="str">
        <x:v>Extrapolation</x:v>
      </x:c>
      <x:c r="E53" s="16" t="str">
        <x:v>P1</x:v>
      </x:c>
      <x:c r="F53" s="9" t="str">
        <x:v>Livrable original proposé : Planche sprites — Tourelle geth.</x:v>
      </x:c>
      <x:c r="G53" s="9" t="str">
        <x:v>Produire une planche originale de Tourelle geth pour le groupe 2D sur décor 3D. Séparer visage, arme et effets pour préserver les variantes d’état décrites dans la fiche de rôle.</x:v>
      </x:c>
      <x:c r="H53" s="9" t="str">
        <x:v>Le sprite ne définit pas la hitbox. Distinguer position au sol, hauteur visuelle et zone ciblable afin que les grandes silhouettes ne cachent pas les cibles voisines.</x:v>
      </x:c>
      <x:c r="I53" s="9" t="str">
        <x:v>Dispositif compact et lumière geth.</x:v>
      </x:c>
      <x:c r="J53" s="9" t="str">
        <x:v>Prévoir un état neutre, déplacement, préparation de l’action signature, impact reçu, mise à terre et retour en contrôle pour Tourelle geth. Éviter la duplication miroir des signes asymétriques.</x:v>
      </x:c>
      <x:c r="K53" s="9" t="str">
        <x:v>Sans bande sonore embarquée dans la planche ; émettre uniquement des événements nommés vers le système audio pour éviter les doublons.</x:v>
      </x:c>
      <x:c r="L53" s="9" t="str">
        <x:v>Prévu : fiche de données me3/sprites/enm-geth-turret ; rattacher les ressources et états cités à cet identifiant. Aucun fichier de jeu créé par ce catalogue.</x:v>
      </x:c>
      <x:c r="M53" s="9" t="str">
        <x:v>Rencontres et simulations compatibles.</x:v>
      </x:c>
      <x:c r="N53" s="9" t="str">
        <x:v>À l’échelle de jeu, Tourelle geth est identifiable en silhouette ; pivot aux pieds, masque de profondeur et huit orientations proposés restent stables devant les couverts.</x:v>
      </x:c>
      <x:c r="O53" s="9" t="str">
        <x:v>ME3-ENM-GETH-TURRET</x:v>
      </x:c>
      <x:c r="P53" s="9" t="str">
        <x:v>Adaptation originale — spécification de production</x:v>
      </x:c>
      <x:c r="Q53" s="9" t="str"/>
      <x:c r="R53" s="20" t="str"/>
      <x:c r="S53" s="20" t="str">
        <x:v>Spécification à réaliser. Les champs adaptation, gameplay, visual, animation, audio et implementation décrivent le fan game ; ils ne donnent pas des caractéristiques officielles de l’œuvre.</x:v>
      </x:c>
    </x:row>
    <x:row r="54" ht="68" customHeight="1">
      <x:c r="A54" s="19" t="str">
        <x:v>ME3-SPR-ENM-CAT6-MERC</x:v>
      </x:c>
      <x:c r="B54" s="7" t="str">
        <x:v>Planche sprites — CAT6 Mercenary</x:v>
      </x:c>
      <x:c r="C54" s="15" t="str">
        <x:v>Défini</x:v>
      </x:c>
      <x:c r="D54" s="17" t="str">
        <x:v>Extrapolation</x:v>
      </x:c>
      <x:c r="E54" s="17" t="str">
        <x:v>P1</x:v>
      </x:c>
      <x:c r="F54" s="7" t="str">
        <x:v>Livrable original proposé : Planche sprites — CAT6 Mercenary.</x:v>
      </x:c>
      <x:c r="G54" s="7" t="str">
        <x:v>Produire une planche originale de CAT6 Mercenary pour le groupe 2D sur décor 3D. Séparer visage, arme et effets pour préserver les variantes d’état décrites dans la fiche de rôle.</x:v>
      </x:c>
      <x:c r="H54" s="7" t="str">
        <x:v>Le sprite ne définit pas la hitbox. Distinguer position au sol, hauteur visuelle et zone ciblable afin que les grandes silhouettes ne cachent pas les cibles voisines.</x:v>
      </x:c>
      <x:c r="I54" s="7" t="str">
        <x:v>Armure sombre et casque.</x:v>
      </x:c>
      <x:c r="J54" s="7" t="str">
        <x:v>Prévoir un état neutre, déplacement, préparation de l’action signature, impact reçu, mise à terre et retour en contrôle pour CAT6 Mercenary. Éviter la duplication miroir des signes asymétriques.</x:v>
      </x:c>
      <x:c r="K54" s="7" t="str">
        <x:v>Sans bande sonore embarquée dans la planche ; émettre uniquement des événements nommés vers le système audio pour éviter les doublons.</x:v>
      </x:c>
      <x:c r="L54" s="7" t="str">
        <x:v>Prévu : fiche de données me3/sprites/enm-cat6-merc ; rattacher les ressources et états cités à cet identifiant. Aucun fichier de jeu créé par ce catalogue.</x:v>
      </x:c>
      <x:c r="M54" s="7" t="str">
        <x:v>DLC Citadel / Armax.</x:v>
      </x:c>
      <x:c r="N54" s="7" t="str">
        <x:v>À l’échelle de jeu, CAT6 Mercenary est identifiable en silhouette ; pivot aux pieds, masque de profondeur et huit orientations proposés restent stables devant les couverts.</x:v>
      </x:c>
      <x:c r="O54" s="7" t="str">
        <x:v>ME3-ENM-CAT6-MERC</x:v>
      </x:c>
      <x:c r="P54" s="7" t="str">
        <x:v>Adaptation originale — spécification de production</x:v>
      </x:c>
      <x:c r="Q54" s="7" t="str"/>
      <x:c r="R54" s="21" t="str"/>
      <x:c r="S54" s="21" t="str">
        <x:v>Spécification à réaliser. Les champs adaptation, gameplay, visual, animation, audio et implementation décrivent le fan game ; ils ne donnent pas des caractéristiques officielles de l’œuvre.</x:v>
      </x:c>
    </x:row>
    <x:row r="55" ht="68" customHeight="1">
      <x:c r="A55" s="18" t="str">
        <x:v>ME3-SPR-ENM-CAT6-SPECIALIST</x:v>
      </x:c>
      <x:c r="B55" s="9" t="str">
        <x:v>Planche sprites — CAT6 Specialist</x:v>
      </x:c>
      <x:c r="C55" s="15" t="str">
        <x:v>Défini</x:v>
      </x:c>
      <x:c r="D55" s="16" t="str">
        <x:v>Extrapolation</x:v>
      </x:c>
      <x:c r="E55" s="16" t="str">
        <x:v>P1</x:v>
      </x:c>
      <x:c r="F55" s="9" t="str">
        <x:v>Livrable original proposé : Planche sprites — CAT6 Specialist.</x:v>
      </x:c>
      <x:c r="G55" s="9" t="str">
        <x:v>Produire une planche originale de CAT6 Specialist pour le groupe 2D sur décor 3D. Séparer visage, arme et effets pour préserver les variantes d’état décrites dans la fiche de rôle.</x:v>
      </x:c>
      <x:c r="H55" s="9" t="str">
        <x:v>Le sprite ne définit pas la hitbox. Distinguer position au sol, hauteur visuelle et zone ciblable afin que les grandes silhouettes ne cachent pas les cibles voisines.</x:v>
      </x:c>
      <x:c r="I55" s="9" t="str">
        <x:v>Armure technique et omni-outil.</x:v>
      </x:c>
      <x:c r="J55" s="9" t="str">
        <x:v>Prévoir un état neutre, déplacement, préparation de l’action signature, impact reçu, mise à terre et retour en contrôle pour CAT6 Specialist. Éviter la duplication miroir des signes asymétriques.</x:v>
      </x:c>
      <x:c r="K55" s="9" t="str">
        <x:v>Sans bande sonore embarquée dans la planche ; émettre uniquement des événements nommés vers le système audio pour éviter les doublons.</x:v>
      </x:c>
      <x:c r="L55" s="9" t="str">
        <x:v>Prévu : fiche de données me3/sprites/enm-cat6-specialist ; rattacher les ressources et états cités à cet identifiant. Aucun fichier de jeu créé par ce catalogue.</x:v>
      </x:c>
      <x:c r="M55" s="9" t="str">
        <x:v>DLC Citadel.</x:v>
      </x:c>
      <x:c r="N55" s="9" t="str">
        <x:v>À l’échelle de jeu, CAT6 Specialist est identifiable en silhouette ; pivot aux pieds, masque de profondeur et huit orientations proposés restent stables devant les couverts.</x:v>
      </x:c>
      <x:c r="O55" s="9" t="str">
        <x:v>ME3-ENM-CAT6-SPECIALIST</x:v>
      </x:c>
      <x:c r="P55" s="9" t="str">
        <x:v>Adaptation originale — spécification de production</x:v>
      </x:c>
      <x:c r="Q55" s="9" t="str"/>
      <x:c r="R55" s="20" t="str"/>
      <x:c r="S55" s="20" t="str">
        <x:v>Spécification à réaliser. Les champs adaptation, gameplay, visual, animation, audio et implementation décrivent le fan game ; ils ne donnent pas des caractéristiques officielles de l’œuvre.</x:v>
      </x:c>
    </x:row>
    <x:row r="56" ht="68" customHeight="1">
      <x:c r="A56" s="19" t="str">
        <x:v>ME3-SPR-ENM-CAT6-HEAVY</x:v>
      </x:c>
      <x:c r="B56" s="7" t="str">
        <x:v>Planche sprites — CAT6 Heavy</x:v>
      </x:c>
      <x:c r="C56" s="15" t="str">
        <x:v>Défini</x:v>
      </x:c>
      <x:c r="D56" s="17" t="str">
        <x:v>Extrapolation</x:v>
      </x:c>
      <x:c r="E56" s="17" t="str">
        <x:v>P1</x:v>
      </x:c>
      <x:c r="F56" s="7" t="str">
        <x:v>Livrable original proposé : Planche sprites — CAT6 Heavy.</x:v>
      </x:c>
      <x:c r="G56" s="7" t="str">
        <x:v>Produire une planche originale de CAT6 Heavy pour le groupe 2D sur décor 3D. Séparer visage, arme et effets pour préserver les variantes d’état décrites dans la fiche de rôle.</x:v>
      </x:c>
      <x:c r="H56" s="7" t="str">
        <x:v>Le sprite ne définit pas la hitbox. Distinguer position au sol, hauteur visuelle et zone ciblable afin que les grandes silhouettes ne cachent pas les cibles voisines.</x:v>
      </x:c>
      <x:c r="I56" s="7" t="str">
        <x:v>Grand bouclier énergétique et silhouette lourde.</x:v>
      </x:c>
      <x:c r="J56" s="7" t="str">
        <x:v>Prévoir un état neutre, déplacement, préparation de l’action signature, impact reçu, mise à terre et retour en contrôle pour CAT6 Heavy. Éviter la duplication miroir des signes asymétriques.</x:v>
      </x:c>
      <x:c r="K56" s="7" t="str">
        <x:v>Sans bande sonore embarquée dans la planche ; émettre uniquement des événements nommés vers le système audio pour éviter les doublons.</x:v>
      </x:c>
      <x:c r="L56" s="7" t="str">
        <x:v>Prévu : fiche de données me3/sprites/enm-cat6-heavy ; rattacher les ressources et états cités à cet identifiant. Aucun fichier de jeu créé par ce catalogue.</x:v>
      </x:c>
      <x:c r="M56" s="7" t="str">
        <x:v>DLC Citadel.</x:v>
      </x:c>
      <x:c r="N56" s="7" t="str">
        <x:v>À l’échelle de jeu, CAT6 Heavy est identifiable en silhouette ; pivot aux pieds, masque de profondeur et huit orientations proposés restent stables devant les couverts.</x:v>
      </x:c>
      <x:c r="O56" s="7" t="str">
        <x:v>ME3-ENM-CAT6-HEAVY</x:v>
      </x:c>
      <x:c r="P56" s="7" t="str">
        <x:v>Adaptation originale — spécification de production</x:v>
      </x:c>
      <x:c r="Q56" s="7" t="str"/>
      <x:c r="R56" s="21" t="str"/>
      <x:c r="S56" s="21" t="str">
        <x:v>Spécification à réaliser. Les champs adaptation, gameplay, visual, animation, audio et implementation décrivent le fan game ; ils ne donnent pas des caractéristiques officielles de l’œuvre.</x:v>
      </x:c>
    </x:row>
    <x:row r="57" ht="82" customHeight="1">
      <x:c r="A57" s="18" t="str">
        <x:v>ME3-SPR-ENM-DISRUPTION</x:v>
      </x:c>
      <x:c r="B57" s="9" t="str">
        <x:v>Planche sprites — Disruption Drone</x:v>
      </x:c>
      <x:c r="C57" s="15" t="str">
        <x:v>Défini</x:v>
      </x:c>
      <x:c r="D57" s="16" t="str">
        <x:v>Extrapolation</x:v>
      </x:c>
      <x:c r="E57" s="16" t="str">
        <x:v>P1</x:v>
      </x:c>
      <x:c r="F57" s="9" t="str">
        <x:v>Livrable original proposé : Planche sprites — Disruption Drone.</x:v>
      </x:c>
      <x:c r="G57" s="9" t="str">
        <x:v>Produire une planche originale de Disruption Drone pour le groupe 2D sur décor 3D. Séparer visage, arme et effets pour préserver les variantes d’état décrites dans la fiche de rôle.</x:v>
      </x:c>
      <x:c r="H57" s="9" t="str">
        <x:v>Le sprite ne définit pas la hitbox. Distinguer position au sol, hauteur visuelle et zone ciblable afin que les grandes silhouettes ne cachent pas les cibles voisines.</x:v>
      </x:c>
      <x:c r="I57" s="9" t="str">
        <x:v>Sphère volante et arc d’énergie.</x:v>
      </x:c>
      <x:c r="J57" s="9" t="str">
        <x:v>Prévoir un état neutre, déplacement, préparation de l’action signature, impact reçu, mise à terre et retour en contrôle pour Disruption Drone. Éviter la duplication miroir des signes asymétriques.</x:v>
      </x:c>
      <x:c r="K57" s="9" t="str">
        <x:v>Sans bande sonore embarquée dans la planche ; émettre uniquement des événements nommés vers le système audio pour éviter les doublons.</x:v>
      </x:c>
      <x:c r="L57" s="9" t="str">
        <x:v>Prévu : fiche de données me3/sprites/enm-disruption ; rattacher les ressources et états cités à cet identifiant. Aucun fichier de jeu créé par ce catalogue.</x:v>
      </x:c>
      <x:c r="M57" s="9" t="str">
        <x:v>DLC Citadel.</x:v>
      </x:c>
      <x:c r="N57" s="9" t="str">
        <x:v>À l’échelle de jeu, Disruption Drone est identifiable en silhouette ; pivot aux pieds, masque de profondeur et huit orientations proposés restent stables devant les couverts.</x:v>
      </x:c>
      <x:c r="O57" s="9" t="str">
        <x:v>ME3-ENM-DISRUPTION</x:v>
      </x:c>
      <x:c r="P57" s="9" t="str">
        <x:v>Adaptation originale — spécification de production</x:v>
      </x:c>
      <x:c r="Q57" s="9" t="str"/>
      <x:c r="R57" s="20" t="str"/>
      <x:c r="S57" s="20" t="str">
        <x:v>Spécification à réaliser. Les champs adaptation, gameplay, visual, animation, audio et implementation décrivent le fan game ; ils ne donnent pas des caractéristiques officielles de l’œuvre.</x:v>
      </x:c>
    </x:row>
    <x:row r="58" ht="82" customHeight="1">
      <x:c r="A58" s="19" t="str">
        <x:v>ME3-SPR-ENM-CLONE</x:v>
      </x:c>
      <x:c r="B58" s="7" t="str">
        <x:v>Planche sprites — Clone de Shepard</x:v>
      </x:c>
      <x:c r="C58" s="15" t="str">
        <x:v>Défini</x:v>
      </x:c>
      <x:c r="D58" s="17" t="str">
        <x:v>Extrapolation</x:v>
      </x:c>
      <x:c r="E58" s="17" t="str">
        <x:v>P1</x:v>
      </x:c>
      <x:c r="F58" s="7" t="str">
        <x:v>Livrable original proposé : Planche sprites — Clone de Shepard.</x:v>
      </x:c>
      <x:c r="G58" s="7" t="str">
        <x:v>Produire une planche originale de Clone de Shepard pour le groupe 2D sur décor 3D. Séparer visage, arme et effets pour préserver les variantes d’état décrites dans la fiche de rôle.</x:v>
      </x:c>
      <x:c r="H58" s="7" t="str">
        <x:v>Le sprite ne définit pas la hitbox. Distinguer position au sol, hauteur visuelle et zone ciblable afin que les grandes silhouettes ne cachent pas les cibles voisines.</x:v>
      </x:c>
      <x:c r="I58" s="7" t="str">
        <x:v>Ressemblance Shepard, tenue et éclairage adverses.</x:v>
      </x:c>
      <x:c r="J58" s="7" t="str">
        <x:v>Prévoir un état neutre, déplacement, préparation de l’action signature, impact reçu, mise à terre et retour en contrôle pour Clone de Shepard. Éviter la duplication miroir des signes asymétriques.</x:v>
      </x:c>
      <x:c r="K58" s="7" t="str">
        <x:v>Sans bande sonore embarquée dans la planche ; émettre uniquement des événements nommés vers le système audio pour éviter les doublons.</x:v>
      </x:c>
      <x:c r="L58" s="7" t="str">
        <x:v>Prévu : fiche de données me3/sprites/enm-clone ; rattacher les ressources et états cités à cet identifiant. Aucun fichier de jeu créé par ce catalogue.</x:v>
      </x:c>
      <x:c r="M58" s="7" t="str">
        <x:v>DLC Citadel ; classe du joueur prise en compte.</x:v>
      </x:c>
      <x:c r="N58" s="7" t="str">
        <x:v>À l’échelle de jeu, Clone de Shepard est identifiable en silhouette ; pivot aux pieds, masque de profondeur et huit orientations proposés restent stables devant les couverts.</x:v>
      </x:c>
      <x:c r="O58" s="7" t="str">
        <x:v>ME3-ENM-CLONE</x:v>
      </x:c>
      <x:c r="P58" s="7" t="str">
        <x:v>Adaptation originale — spécification de production</x:v>
      </x:c>
      <x:c r="Q58" s="7" t="str"/>
      <x:c r="R58" s="21" t="str"/>
      <x:c r="S58" s="21" t="str">
        <x:v>Spécification à réaliser. Les champs adaptation, gameplay, visual, animation, audio et implementation décrivent le fan game ; ils ne donnent pas des caractéristiques officielles de l’œuvre.</x:v>
      </x:c>
    </x:row>
    <x:row r="59" ht="82" customHeight="1">
      <x:c r="A59" s="18" t="str">
        <x:v>ME3-SPR-ENM-BROOKS</x:v>
      </x:c>
      <x:c r="B59" s="9" t="str">
        <x:v>Planche sprites — Maya Brooks — combat</x:v>
      </x:c>
      <x:c r="C59" s="15" t="str">
        <x:v>Défini</x:v>
      </x:c>
      <x:c r="D59" s="16" t="str">
        <x:v>Extrapolation</x:v>
      </x:c>
      <x:c r="E59" s="16" t="str">
        <x:v>P1</x:v>
      </x:c>
      <x:c r="F59" s="9" t="str">
        <x:v>Livrable original proposé : Planche sprites — Maya Brooks — combat.</x:v>
      </x:c>
      <x:c r="G59" s="9" t="str">
        <x:v>Produire une planche originale de Maya Brooks — combat pour le groupe 2D sur décor 3D. Séparer visage, arme et effets pour préserver les variantes d’état décrites dans la fiche de rôle.</x:v>
      </x:c>
      <x:c r="H59" s="9" t="str">
        <x:v>Le sprite ne définit pas la hitbox. Distinguer position au sol, hauteur visuelle et zone ciblable afin que les grandes silhouettes ne cachent pas les cibles voisines.</x:v>
      </x:c>
      <x:c r="I59" s="9" t="str">
        <x:v>Tenue tactique et arme de précision.</x:v>
      </x:c>
      <x:c r="J59" s="9" t="str">
        <x:v>Prévoir un état neutre, déplacement, préparation de l’action signature, impact reçu, mise à terre et retour en contrôle pour Maya Brooks — combat. Éviter la duplication miroir des signes asymétriques.</x:v>
      </x:c>
      <x:c r="K59" s="9" t="str">
        <x:v>Sans bande sonore embarquée dans la planche ; émettre uniquement des événements nommés vers le système audio pour éviter les doublons.</x:v>
      </x:c>
      <x:c r="L59" s="9" t="str">
        <x:v>Prévu : fiche de données me3/sprites/enm-brooks ; rattacher les ressources et états cités à cet identifiant. Aucun fichier de jeu créé par ce catalogue.</x:v>
      </x:c>
      <x:c r="M59" s="9" t="str">
        <x:v>DLC Citadel.</x:v>
      </x:c>
      <x:c r="N59" s="9" t="str">
        <x:v>À l’échelle de jeu, Maya Brooks — combat est identifiable en silhouette ; pivot aux pieds, masque de profondeur et huit orientations proposés restent stables devant les couverts.</x:v>
      </x:c>
      <x:c r="O59" s="9" t="str">
        <x:v>ME3-ENM-BROOKS</x:v>
      </x:c>
      <x:c r="P59" s="9" t="str">
        <x:v>Adaptation originale — spécification de production</x:v>
      </x:c>
      <x:c r="Q59" s="9" t="str"/>
      <x:c r="R59" s="20" t="str"/>
      <x:c r="S59" s="20" t="str">
        <x:v>Spécification à réaliser. Les champs adaptation, gameplay, visual, animation, audio et implementation décrivent le fan game ; ils ne donnent pas des caractéristiques officielles de l’œuvre.</x:v>
      </x:c>
    </x:row>
    <x:row r="60" ht="82" customHeight="1">
      <x:c r="A60" s="19" t="str">
        <x:v>ME3-SPR-ENM-COLLECTOR-TROOPER</x:v>
      </x:c>
      <x:c r="B60" s="7" t="str">
        <x:v>Planche sprites — Collector Trooper — simulation / multi</x:v>
      </x:c>
      <x:c r="C60" s="15" t="str">
        <x:v>Défini</x:v>
      </x:c>
      <x:c r="D60" s="17" t="str">
        <x:v>Extrapolation</x:v>
      </x:c>
      <x:c r="E60" s="17" t="str">
        <x:v>P1</x:v>
      </x:c>
      <x:c r="F60" s="7" t="str">
        <x:v>Livrable original proposé : Planche sprites — Collector Trooper — simulation / multi.</x:v>
      </x:c>
      <x:c r="G60" s="7" t="str">
        <x:v>Produire une planche originale de Collector Trooper — simulation / multi pour le groupe 2D sur décor 3D. Séparer visage, arme et effets pour préserver les variantes d’état décrites dans la fiche de rôle.</x:v>
      </x:c>
      <x:c r="H60" s="7" t="str">
        <x:v>Le sprite ne définit pas la hitbox. Distinguer position au sol, hauteur visuelle et zone ciblable afin que les grandes silhouettes ne cachent pas les cibles voisines.</x:v>
      </x:c>
      <x:c r="I60" s="7" t="str">
        <x:v>Carapace insectoïde et arme organique.</x:v>
      </x:c>
      <x:c r="J60" s="7" t="str">
        <x:v>Prévoir un état neutre, déplacement, préparation de l’action signature, impact reçu, mise à terre et retour en contrôle pour Collector Trooper — simulation / multi. Éviter la duplication miroir des signes asymétriques.</x:v>
      </x:c>
      <x:c r="K60" s="7" t="str">
        <x:v>Sans bande sonore embarquée dans la planche ; émettre uniquement des événements nommés vers le système audio pour éviter les doublons.</x:v>
      </x:c>
      <x:c r="L60" s="7" t="str">
        <x:v>Prévu : fiche de données me3/sprites/enm-collector-trooper ; rattacher les ressources et états cités à cet identifiant. Aucun fichier de jeu créé par ce catalogue.</x:v>
      </x:c>
      <x:c r="M60" s="7" t="str">
        <x:v>Multijoueur Retaliation ou simulation Armax uniquement.</x:v>
      </x:c>
      <x:c r="N60" s="7" t="str">
        <x:v>À l’échelle de jeu, Collector Trooper — simulation / multi est identifiable en silhouette ; pivot aux pieds, masque de profondeur et huit orientations proposés restent stables devant les couverts.</x:v>
      </x:c>
      <x:c r="O60" s="7" t="str">
        <x:v>ME3-ENM-COLLECTOR-TROOPER</x:v>
      </x:c>
      <x:c r="P60" s="7" t="str">
        <x:v>Adaptation originale — spécification de production</x:v>
      </x:c>
      <x:c r="Q60" s="7" t="str"/>
      <x:c r="R60" s="21" t="str"/>
      <x:c r="S60" s="21" t="str">
        <x:v>Spécification à réaliser. Les champs adaptation, gameplay, visual, animation, audio et implementation décrivent le fan game ; ils ne donnent pas des caractéristiques officielles de l’œuvre.</x:v>
      </x:c>
    </x:row>
    <x:row r="61" ht="82" customHeight="1">
      <x:c r="A61" s="18" t="str">
        <x:v>ME3-SPR-ENM-COLLECTOR-CAPTAIN</x:v>
      </x:c>
      <x:c r="B61" s="9" t="str">
        <x:v>Planche sprites — Collector Captain — simulation / multi</x:v>
      </x:c>
      <x:c r="C61" s="15" t="str">
        <x:v>Défini</x:v>
      </x:c>
      <x:c r="D61" s="16" t="str">
        <x:v>Extrapolation</x:v>
      </x:c>
      <x:c r="E61" s="16" t="str">
        <x:v>P1</x:v>
      </x:c>
      <x:c r="F61" s="9" t="str">
        <x:v>Livrable original proposé : Planche sprites — Collector Captain — simulation / multi.</x:v>
      </x:c>
      <x:c r="G61" s="9" t="str">
        <x:v>Produire une planche originale de Collector Captain — simulation / multi pour le groupe 2D sur décor 3D. Séparer visage, arme et effets pour préserver les variantes d’état décrites dans la fiche de rôle.</x:v>
      </x:c>
      <x:c r="H61" s="9" t="str">
        <x:v>Le sprite ne définit pas la hitbox. Distinguer position au sol, hauteur visuelle et zone ciblable afin que les grandes silhouettes ne cachent pas les cibles voisines.</x:v>
      </x:c>
      <x:c r="I61" s="9" t="str">
        <x:v>Carapace plus visible et lueur de contrôle.</x:v>
      </x:c>
      <x:c r="J61" s="9" t="str">
        <x:v>Prévoir un état neutre, déplacement, préparation de l’action signature, impact reçu, mise à terre et retour en contrôle pour Collector Captain — simulation / multi. Éviter la duplication miroir des signes asymétriques.</x:v>
      </x:c>
      <x:c r="K61" s="9" t="str">
        <x:v>Sans bande sonore embarquée dans la planche ; émettre uniquement des événements nommés vers le système audio pour éviter les doublons.</x:v>
      </x:c>
      <x:c r="L61" s="9" t="str">
        <x:v>Prévu : fiche de données me3/sprites/enm-collector-captain ; rattacher les ressources et états cités à cet identifiant. Aucun fichier de jeu créé par ce catalogue.</x:v>
      </x:c>
      <x:c r="M61" s="9" t="str">
        <x:v>Multijoueur Retaliation / simulations prévues.</x:v>
      </x:c>
      <x:c r="N61" s="9" t="str">
        <x:v>À l’échelle de jeu, Collector Captain — simulation / multi est identifiable en silhouette ; pivot aux pieds, masque de profondeur et huit orientations proposés restent stables devant les couverts.</x:v>
      </x:c>
      <x:c r="O61" s="9" t="str">
        <x:v>ME3-ENM-COLLECTOR-CAPTAIN</x:v>
      </x:c>
      <x:c r="P61" s="9" t="str">
        <x:v>Adaptation originale — spécification de production</x:v>
      </x:c>
      <x:c r="Q61" s="9" t="str"/>
      <x:c r="R61" s="20" t="str"/>
      <x:c r="S61" s="20" t="str">
        <x:v>Spécification à réaliser. Les champs adaptation, gameplay, visual, animation, audio et implementation décrivent le fan game ; ils ne donnent pas des caractéristiques officielles de l’œuvre.</x:v>
      </x:c>
    </x:row>
    <x:row r="62" ht="82" customHeight="1">
      <x:c r="A62" s="19" t="str">
        <x:v>ME3-SPR-ENM-ABOMINATION</x:v>
      </x:c>
      <x:c r="B62" s="7" t="str">
        <x:v>Planche sprites — Abomination — simulation / multi</x:v>
      </x:c>
      <x:c r="C62" s="15" t="str">
        <x:v>Défini</x:v>
      </x:c>
      <x:c r="D62" s="17" t="str">
        <x:v>Extrapolation</x:v>
      </x:c>
      <x:c r="E62" s="17" t="str">
        <x:v>P1</x:v>
      </x:c>
      <x:c r="F62" s="7" t="str">
        <x:v>Livrable original proposé : Planche sprites — Abomination — simulation / multi.</x:v>
      </x:c>
      <x:c r="G62" s="7" t="str">
        <x:v>Produire une planche originale de Abomination — simulation / multi pour le groupe 2D sur décor 3D. Séparer visage, arme et effets pour préserver les variantes d’état décrites dans la fiche de rôle.</x:v>
      </x:c>
      <x:c r="H62" s="7" t="str">
        <x:v>Le sprite ne définit pas la hitbox. Distinguer position au sol, hauteur visuelle et zone ciblable afin que les grandes silhouettes ne cachent pas les cibles voisines.</x:v>
      </x:c>
      <x:c r="I62" s="7" t="str">
        <x:v>Forme humanoïde instable et pulsation.</x:v>
      </x:c>
      <x:c r="J62" s="7" t="str">
        <x:v>Prévoir un état neutre, déplacement, préparation de l’action signature, impact reçu, mise à terre et retour en contrôle pour Abomination — simulation / multi. Éviter la duplication miroir des signes asymétriques.</x:v>
      </x:c>
      <x:c r="K62" s="7" t="str">
        <x:v>Sans bande sonore embarquée dans la planche ; émettre uniquement des événements nommés vers le système audio pour éviter les doublons.</x:v>
      </x:c>
      <x:c r="L62" s="7" t="str">
        <x:v>Prévu : fiche de données me3/sprites/enm-abomination ; rattacher les ressources et états cités à cet identifiant. Aucun fichier de jeu créé par ce catalogue.</x:v>
      </x:c>
      <x:c r="M62" s="7" t="str">
        <x:v>Multijoueur Retaliation / simulations prévues.</x:v>
      </x:c>
      <x:c r="N62" s="7" t="str">
        <x:v>À l’échelle de jeu, Abomination — simulation / multi est identifiable en silhouette ; pivot aux pieds, masque de profondeur et huit orientations proposés restent stables devant les couverts.</x:v>
      </x:c>
      <x:c r="O62" s="7" t="str">
        <x:v>ME3-ENM-ABOMINATION</x:v>
      </x:c>
      <x:c r="P62" s="7" t="str">
        <x:v>Adaptation originale — spécification de production</x:v>
      </x:c>
      <x:c r="Q62" s="7" t="str"/>
      <x:c r="R62" s="21" t="str"/>
      <x:c r="S62" s="21" t="str">
        <x:v>Spécification à réaliser. Les champs adaptation, gameplay, visual, animation, audio et implementation décrivent le fan game ; ils ne donnent pas des caractéristiques officielles de l’œuvre.</x:v>
      </x:c>
    </x:row>
    <x:row r="63" ht="82" customHeight="1">
      <x:c r="A63" s="18" t="str">
        <x:v>ME3-SPR-ENM-SCION</x:v>
      </x:c>
      <x:c r="B63" s="9" t="str">
        <x:v>Planche sprites — Scion — simulation / multi</x:v>
      </x:c>
      <x:c r="C63" s="15" t="str">
        <x:v>Défini</x:v>
      </x:c>
      <x:c r="D63" s="16" t="str">
        <x:v>Extrapolation</x:v>
      </x:c>
      <x:c r="E63" s="16" t="str">
        <x:v>P1</x:v>
      </x:c>
      <x:c r="F63" s="9" t="str">
        <x:v>Livrable original proposé : Planche sprites — Scion — simulation / multi.</x:v>
      </x:c>
      <x:c r="G63" s="9" t="str">
        <x:v>Produire une planche originale de Scion — simulation / multi pour le groupe 2D sur décor 3D. Séparer visage, arme et effets pour préserver les variantes d’état décrites dans la fiche de rôle.</x:v>
      </x:c>
      <x:c r="H63" s="9" t="str">
        <x:v>Le sprite ne définit pas la hitbox. Distinguer position au sol, hauteur visuelle et zone ciblable afin que les grandes silhouettes ne cachent pas les cibles voisines.</x:v>
      </x:c>
      <x:c r="I63" s="9" t="str">
        <x:v>Corps massif et bras canon.</x:v>
      </x:c>
      <x:c r="J63" s="9" t="str">
        <x:v>Prévoir un état neutre, déplacement, préparation de l’action signature, impact reçu, mise à terre et retour en contrôle pour Scion — simulation / multi. Éviter la duplication miroir des signes asymétriques.</x:v>
      </x:c>
      <x:c r="K63" s="9" t="str">
        <x:v>Sans bande sonore embarquée dans la planche ; émettre uniquement des événements nommés vers le système audio pour éviter les doublons.</x:v>
      </x:c>
      <x:c r="L63" s="9" t="str">
        <x:v>Prévu : fiche de données me3/sprites/enm-scion ; rattacher les ressources et états cités à cet identifiant. Aucun fichier de jeu créé par ce catalogue.</x:v>
      </x:c>
      <x:c r="M63" s="9" t="str">
        <x:v>Multijoueur Retaliation / simulations prévues.</x:v>
      </x:c>
      <x:c r="N63" s="9" t="str">
        <x:v>À l’échelle de jeu, Scion — simulation / multi est identifiable en silhouette ; pivot aux pieds, masque de profondeur et huit orientations proposés restent stables devant les couverts.</x:v>
      </x:c>
      <x:c r="O63" s="9" t="str">
        <x:v>ME3-ENM-SCION</x:v>
      </x:c>
      <x:c r="P63" s="9" t="str">
        <x:v>Adaptation originale — spécification de production</x:v>
      </x:c>
      <x:c r="Q63" s="9" t="str"/>
      <x:c r="R63" s="20" t="str"/>
      <x:c r="S63" s="20" t="str">
        <x:v>Spécification à réaliser. Les champs adaptation, gameplay, visual, animation, audio et implementation décrivent le fan game ; ils ne donnent pas des caractéristiques officielles de l’œuvre.</x:v>
      </x:c>
    </x:row>
    <x:row r="64" ht="82" customHeight="1">
      <x:c r="A64" s="19" t="str">
        <x:v>ME3-SPR-ENM-PRAETORIAN</x:v>
      </x:c>
      <x:c r="B64" s="7" t="str">
        <x:v>Planche sprites — Praetorian — simulation / multi</x:v>
      </x:c>
      <x:c r="C64" s="15" t="str">
        <x:v>Défini</x:v>
      </x:c>
      <x:c r="D64" s="17" t="str">
        <x:v>Extrapolation</x:v>
      </x:c>
      <x:c r="E64" s="17" t="str">
        <x:v>P1</x:v>
      </x:c>
      <x:c r="F64" s="7" t="str">
        <x:v>Livrable original proposé : Planche sprites — Praetorian — simulation / multi.</x:v>
      </x:c>
      <x:c r="G64" s="7" t="str">
        <x:v>Produire une planche originale de Praetorian — simulation / multi pour le groupe 2D sur décor 3D. Séparer visage, arme et effets pour préserver les variantes d’état décrites dans la fiche de rôle.</x:v>
      </x:c>
      <x:c r="H64" s="7" t="str">
        <x:v>Le sprite ne définit pas la hitbox. Distinguer position au sol, hauteur visuelle et zone ciblable afin que les grandes silhouettes ne cachent pas les cibles voisines.</x:v>
      </x:c>
      <x:c r="I64" s="7" t="str">
        <x:v>Carapace volante et optiques lumineuses.</x:v>
      </x:c>
      <x:c r="J64" s="7" t="str">
        <x:v>Prévoir un état neutre, déplacement, préparation de l’action signature, impact reçu, mise à terre et retour en contrôle pour Praetorian — simulation / multi. Éviter la duplication miroir des signes asymétriques.</x:v>
      </x:c>
      <x:c r="K64" s="7" t="str">
        <x:v>Sans bande sonore embarquée dans la planche ; émettre uniquement des événements nommés vers le système audio pour éviter les doublons.</x:v>
      </x:c>
      <x:c r="L64" s="7" t="str">
        <x:v>Prévu : fiche de données me3/sprites/enm-praetorian ; rattacher les ressources et états cités à cet identifiant. Aucun fichier de jeu créé par ce catalogue.</x:v>
      </x:c>
      <x:c r="M64" s="7" t="str">
        <x:v>Multijoueur Retaliation / simulations prévues.</x:v>
      </x:c>
      <x:c r="N64" s="7" t="str">
        <x:v>À l’échelle de jeu, Praetorian — simulation / multi est identifiable en silhouette ; pivot aux pieds, masque de profondeur et huit orientations proposés restent stables devant les couverts.</x:v>
      </x:c>
      <x:c r="O64" s="7" t="str">
        <x:v>ME3-ENM-PRAETORIAN</x:v>
      </x:c>
      <x:c r="P64" s="7" t="str">
        <x:v>Adaptation originale — spécification de production</x:v>
      </x:c>
      <x:c r="Q64" s="7" t="str"/>
      <x:c r="R64" s="21" t="str"/>
      <x:c r="S64" s="21" t="str">
        <x:v>Spécification à réaliser. Les champs adaptation, gameplay, visual, animation, audio et implementation décrivent le fan game ; ils ne donnent pas des caractéristiques officielles de l’œuvre.</x:v>
      </x:c>
    </x:row>
    <x:row r="65" ht="82" customHeight="1">
      <x:c r="A65" s="18" t="str">
        <x:v>ME3-SPR-ENM-DRAGOON</x:v>
      </x:c>
      <x:c r="B65" s="9" t="str">
        <x:v>Planche sprites — Cerberus Dragoon — multi</x:v>
      </x:c>
      <x:c r="C65" s="15" t="str">
        <x:v>Défini</x:v>
      </x:c>
      <x:c r="D65" s="16" t="str">
        <x:v>Extrapolation</x:v>
      </x:c>
      <x:c r="E65" s="16" t="str">
        <x:v>P1</x:v>
      </x:c>
      <x:c r="F65" s="9" t="str">
        <x:v>Livrable original proposé : Planche sprites — Cerberus Dragoon — multi.</x:v>
      </x:c>
      <x:c r="G65" s="9" t="str">
        <x:v>Produire une planche originale de Cerberus Dragoon — multi pour le groupe 2D sur décor 3D. Séparer visage, arme et effets pour préserver les variantes d’état décrites dans la fiche de rôle.</x:v>
      </x:c>
      <x:c r="H65" s="9" t="str">
        <x:v>Le sprite ne définit pas la hitbox. Distinguer position au sol, hauteur visuelle et zone ciblable afin que les grandes silhouettes ne cachent pas les cibles voisines.</x:v>
      </x:c>
      <x:c r="I65" s="9" t="str">
        <x:v>Fouets énergétiques et armure sombre.</x:v>
      </x:c>
      <x:c r="J65" s="9" t="str">
        <x:v>Prévoir un état neutre, déplacement, préparation de l’action signature, impact reçu, mise à terre et retour en contrôle pour Cerberus Dragoon — multi. Éviter la duplication miroir des signes asymétriques.</x:v>
      </x:c>
      <x:c r="K65" s="9" t="str">
        <x:v>Sans bande sonore embarquée dans la planche ; émettre uniquement des événements nommés vers le système audio pour éviter les doublons.</x:v>
      </x:c>
      <x:c r="L65" s="9" t="str">
        <x:v>Prévu : fiche de données me3/sprites/enm-dragoon ; rattacher les ressources et états cités à cet identifiant. Aucun fichier de jeu créé par ce catalogue.</x:v>
      </x:c>
      <x:c r="M65" s="9" t="str">
        <x:v>Multijoueur Retaliation ; absence de campagne imposée.</x:v>
      </x:c>
      <x:c r="N65" s="9" t="str">
        <x:v>À l’échelle de jeu, Cerberus Dragoon — multi est identifiable en silhouette ; pivot aux pieds, masque de profondeur et huit orientations proposés restent stables devant les couverts.</x:v>
      </x:c>
      <x:c r="O65" s="9" t="str">
        <x:v>ME3-ENM-DRAGOON</x:v>
      </x:c>
      <x:c r="P65" s="9" t="str">
        <x:v>Adaptation originale — spécification de production</x:v>
      </x:c>
      <x:c r="Q65" s="9" t="str"/>
      <x:c r="R65" s="20" t="str"/>
      <x:c r="S65" s="20" t="str">
        <x:v>Spécification à réaliser. Les champs adaptation, gameplay, visual, animation, audio et implementation décrivent le fan game ; ils ne donnent pas des caractéristiques officielles de l’œuvre.</x:v>
      </x:c>
    </x:row>
  </x:sheetData>
  <x:conditionalFormatting sqref="D7:D65">
    <x:cfRule type="cellIs" dxfId="80" priority="1" operator="equal">
      <x:formula>"À vérifier"</x:formula>
    </x:cfRule>
    <x:cfRule type="cellIs" dxfId="81" priority="2" operator="equal">
      <x:formula>"Extrapolation"</x:formula>
    </x:cfRule>
  </x:conditionalFormatting>
  <x:conditionalFormatting sqref="C7:C65">
    <x:cfRule type="cellIs" dxfId="82" priority="3" operator="equal">
      <x:formula>"Validé"</x:formula>
    </x:cfRule>
  </x:conditionalFormatting>
  <x:conditionalFormatting sqref="E7:E65">
    <x:cfRule type="cellIs" dxfId="83" priority="4" operator="equal">
      <x:formula>"P0"</x:formula>
    </x:cfRule>
  </x:conditionalFormatting>
  <x:dataValidations count="3">
    <x:dataValidation type="list" sqref="C7:C65">
      <x:formula1>"Défini,Prototype,Intégré,Validé"</x:formula1>
    </x:dataValidation>
    <x:dataValidation type="list" sqref="D7:D65">
      <x:formula1>"Établi,À vérifier,Extrapolation,Coupé attesté,Concept abandonné,Allégation écartée"</x:formula1>
    </x:dataValidation>
    <x:dataValidation type="list" sqref="E7:E65">
      <x:formula1>"P0,P1,P2"</x:formula1>
    </x:dataValidation>
  </x:dataValidations>
  <x:pageMargins left="0.7" right="0.7" top="0.75" bottom="0.75" header="0.3" footer="0.3"/>
  <x:tableParts count="1">
    <x:tablePart xmlns:r="http://schemas.openxmlformats.org/officeDocument/2006/relationships" r:id="R20e36dfa89634471"/>
  </x:tableParts>
</x:worksheet>
</file>

<file path=xl/worksheets/sheet2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VFX</x:v>
      </x:c>
      <x:c r="B2" s="2"/>
      <x:c r="C2" s="2"/>
      <x:c r="D2" s="2"/>
      <x:c r="E2" s="2"/>
      <x:c r="F2" s="2"/>
      <x:c r="G2" s="2"/>
      <x:c r="H2" s="2"/>
      <x:c r="I2" s="2"/>
      <x:c r="J2" s="2"/>
      <x:c r="K2" s="2"/>
      <x:c r="L2" s="2"/>
      <x:c r="M2" s="2"/>
      <x:c r="N2" s="2"/>
      <x:c r="O2" s="2"/>
      <x:c r="P2" s="2"/>
      <x:c r="Q2" s="2"/>
      <x:c r="R2" s="2"/>
      <x:c r="S2" s="2"/>
    </x:row>
    <x:row r="3" ht="22" customHeight="1">
      <x:c r="A3" s="4" t="str">
        <x:v>Mass Effect 3 — Effets visuels et lisibilité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ME3-VFX-PROTECTION</x:v>
      </x:c>
      <x:c r="B7" s="9" t="str">
        <x:v>Santé, bouclier, barrière et armure</x:v>
      </x:c>
      <x:c r="C7" s="15" t="str">
        <x:v>Défini</x:v>
      </x:c>
      <x:c r="D7" s="16" t="str">
        <x:v>Extrapolation</x:v>
      </x:c>
      <x:c r="E7" s="16" t="str">
        <x:v>P1</x:v>
      </x:c>
      <x:c r="F7" s="9" t="str">
        <x:v>Livrable original proposé : Santé, bouclier, barrière et armure.</x:v>
      </x:c>
      <x:c r="G7" s="9" t="str">
        <x:v>Quatre motifs et noms au-dessus de cible ; la couleur seule ne détermine jamais protection active.</x:v>
      </x:c>
      <x:c r="H7" s="9" t="str">
        <x:v>Quatre motifs et noms au-dessus de cible ; la couleur seule ne détermine jamais protection active.</x:v>
      </x:c>
      <x:c r="I7" s="9" t="str">
        <x:v>Liserés géométriques distincts.</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me3/vfx/protection ; rattacher les ressources et états cités à cet identifiant. Aucun fichier de jeu créé par ce catalogue.</x:v>
      </x:c>
      <x:c r="M7" s="9" t="str"/>
      <x:c r="N7" s="9" t="str">
        <x:v>Le livrable « Santé, bouclier, barrière et armure » possède une scène ou un scénario de contrôle ; ses règles proposées, ses conditions et ses retours visuels sont vérifiables séparément.</x:v>
      </x:c>
      <x:c r="O7" s="9" t="str">
        <x:v>ME3-SYS-DEFENSES</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ME3-VFX-PRIMER</x:v>
      </x:c>
      <x:c r="B8" s="7" t="str">
        <x:v>Marqueur d’amorce</x:v>
      </x:c>
      <x:c r="C8" s="15" t="str">
        <x:v>Défini</x:v>
      </x:c>
      <x:c r="D8" s="17" t="str">
        <x:v>Extrapolation</x:v>
      </x:c>
      <x:c r="E8" s="17" t="str">
        <x:v>P1</x:v>
      </x:c>
      <x:c r="F8" s="7" t="str">
        <x:v>Livrable original proposé : Marqueur d’amorce.</x:v>
      </x:c>
      <x:c r="G8" s="7" t="str">
        <x:v>Icône de type et durée sur cible ; afficher compatibilité du prochain détonateur avant paiement.</x:v>
      </x:c>
      <x:c r="H8" s="7" t="str">
        <x:v>Icône de type et durée sur cible ; afficher compatibilité du prochain détonateur avant paiement.</x:v>
      </x:c>
      <x:c r="I8" s="7" t="str">
        <x:v>Petit signe feu/glace/tech/biotique.</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me3/vfx/primer ; rattacher les ressources et états cités à cet identifiant. Aucun fichier de jeu créé par ce catalogue.</x:v>
      </x:c>
      <x:c r="M8" s="7" t="str"/>
      <x:c r="N8" s="7" t="str">
        <x:v>Le livrable « Marqueur d’amorce » possède une scène ou un scénario de contrôle ; ses règles proposées, ses conditions et ses retours visuels sont vérifiables séparément.</x:v>
      </x:c>
      <x:c r="O8" s="7" t="str">
        <x:v>ME3-SYS-COMBOS</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ME3-VFX-DETONATION</x:v>
      </x:c>
      <x:c r="B9" s="9" t="str">
        <x:v>Détonation de combo</x:v>
      </x:c>
      <x:c r="C9" s="15" t="str">
        <x:v>Défini</x:v>
      </x:c>
      <x:c r="D9" s="16" t="str">
        <x:v>Extrapolation</x:v>
      </x:c>
      <x:c r="E9" s="16" t="str">
        <x:v>P1</x:v>
      </x:c>
      <x:c r="F9" s="9" t="str">
        <x:v>Livrable original proposé : Détonation de combo.</x:v>
      </x:c>
      <x:c r="G9" s="9" t="str">
        <x:v>Flash court, onde au sol et nombre d’impacts réel ; cap de luminosité lors de plusieurs combos synchrones.</x:v>
      </x:c>
      <x:c r="H9" s="9" t="str">
        <x:v>Flash court, onde au sol et nombre d’impacts réel ; cap de luminosité lors de plusieurs combos synchrones.</x:v>
      </x:c>
      <x:c r="I9" s="9" t="str">
        <x:v>Onde et particules de famille.</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me3/vfx/detonation ; rattacher les ressources et états cités à cet identifiant. Aucun fichier de jeu créé par ce catalogue.</x:v>
      </x:c>
      <x:c r="M9" s="9" t="str"/>
      <x:c r="N9" s="9" t="str">
        <x:v>Le livrable « Détonation de combo » possède une scène ou un scénario de contrôle ; ses règles proposées, ses conditions et ses retours visuels sont vérifiables séparément.</x:v>
      </x:c>
      <x:c r="O9" s="9" t="str">
        <x:v>ME3-SYS-COMBOS</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ME3-VFX-CLOAK</x:v>
      </x:c>
      <x:c r="B10" s="7" t="str">
        <x:v>Camouflage accessible</x:v>
      </x:c>
      <x:c r="C10" s="15" t="str">
        <x:v>Défini</x:v>
      </x:c>
      <x:c r="D10" s="17" t="str">
        <x:v>Extrapolation</x:v>
      </x:c>
      <x:c r="E10" s="17" t="str">
        <x:v>P1</x:v>
      </x:c>
      <x:c r="F10" s="7" t="str">
        <x:v>Livrable original proposé : Camouflage accessible.</x:v>
      </x:c>
      <x:c r="G10" s="7" t="str">
        <x:v>Contour joueur constant, contour ennemi perceptible par indice de menace ; réglage indépendant de l’opacité canonique.</x:v>
      </x:c>
      <x:c r="H10" s="7" t="str">
        <x:v>Contour joueur constant, contour ennemi perceptible par indice de menace ; réglage indépendant de l’opacité canonique.</x:v>
      </x:c>
      <x:c r="I10" s="7" t="str">
        <x:v>Réfraction et ondulation au sol.</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me3/vfx/cloak ; rattacher les ressources et états cités à cet identifiant. Aucun fichier de jeu créé par ce catalogue.</x:v>
      </x:c>
      <x:c r="M10" s="7" t="str"/>
      <x:c r="N10" s="7" t="str">
        <x:v>Le livrable « Camouflage accessible » possède une scène ou un scénario de contrôle ; ses règles proposées, ses conditions et ses retours visuels sont vérifiables séparément.</x:v>
      </x:c>
      <x:c r="O10" s="7" t="str">
        <x:v>ME3-POW-TACTICAL, ME3-ENM-GETH-HUNTER</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ME3-VFX-SMOKE</x:v>
      </x:c>
      <x:c r="B11" s="9" t="str">
        <x:v>Fumée Cerberus</x:v>
      </x:c>
      <x:c r="C11" s="15" t="str">
        <x:v>Défini</x:v>
      </x:c>
      <x:c r="D11" s="16" t="str">
        <x:v>Extrapolation</x:v>
      </x:c>
      <x:c r="E11" s="16" t="str">
        <x:v>P1</x:v>
      </x:c>
      <x:c r="F11" s="9" t="str">
        <x:v>Livrable original proposé : Fumée Cerberus.</x:v>
      </x:c>
      <x:c r="G11" s="9" t="str">
        <x:v>Occlusion du décor et visée sans cacher marqueurs essentiels ; bord de volume et durée lisibles.</x:v>
      </x:c>
      <x:c r="H11" s="9" t="str">
        <x:v>Occlusion du décor et visée sans cacher marqueurs essentiels ; bord de volume et durée lisibles.</x:v>
      </x:c>
      <x:c r="I11" s="9" t="str">
        <x:v>Nuage gris et contour discret.</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me3/vfx/smoke ; rattacher les ressources et états cités à cet identifiant. Aucun fichier de jeu créé par ce catalogue.</x:v>
      </x:c>
      <x:c r="M11" s="9" t="str"/>
      <x:c r="N11" s="9" t="str">
        <x:v>Le livrable « Fumée Cerberus » possède une scène ou un scénario de contrôle ; ses règles proposées, ses conditions et ses retours visuels sont vérifiables séparément.</x:v>
      </x:c>
      <x:c r="O11" s="9" t="str">
        <x:v>ME3-ENM-CENTURION</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ME3-VFX-BANSHEE</x:v>
      </x:c>
      <x:c r="B12" s="7" t="str">
        <x:v>Signal de prise Banshee</x:v>
      </x:c>
      <x:c r="C12" s="15" t="str">
        <x:v>Défini</x:v>
      </x:c>
      <x:c r="D12" s="17" t="str">
        <x:v>Extrapolation</x:v>
      </x:c>
      <x:c r="E12" s="17" t="str">
        <x:v>P1</x:v>
      </x:c>
      <x:c r="F12" s="7" t="str">
        <x:v>Livrable original proposé : Signal de prise Banshee.</x:v>
      </x:c>
      <x:c r="G12" s="7" t="str">
        <x:v>Halo de rayon, main mise en avant et texte de menace ; réduire flashes sans retirer le signal.</x:v>
      </x:c>
      <x:c r="H12" s="7" t="str">
        <x:v>Halo de rayon, main mise en avant et texte de menace ; réduire flashes sans retirer le signal.</x:v>
      </x:c>
      <x:c r="I12" s="7" t="str">
        <x:v>Anneau violet segmenté.</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me3/vfx/banshee ; rattacher les ressources et états cités à cet identifiant. Aucun fichier de jeu créé par ce catalogue.</x:v>
      </x:c>
      <x:c r="M12" s="7" t="str"/>
      <x:c r="N12" s="7" t="str">
        <x:v>Le livrable « Signal de prise Banshee » possède une scène ou un scénario de contrôle ; ses règles proposées, ses conditions et ses retours visuels sont vérifiables séparément.</x:v>
      </x:c>
      <x:c r="O12" s="7" t="str">
        <x:v>ME3-ENM-BANSHEE</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ME3-VFX-PHANTOM</x:v>
      </x:c>
      <x:c r="B13" s="9" t="str">
        <x:v>Signal de frappe Phantom</x:v>
      </x:c>
      <x:c r="C13" s="15" t="str">
        <x:v>Défini</x:v>
      </x:c>
      <x:c r="D13" s="16" t="str">
        <x:v>Extrapolation</x:v>
      </x:c>
      <x:c r="E13" s="16" t="str">
        <x:v>P1</x:v>
      </x:c>
      <x:c r="F13" s="9" t="str">
        <x:v>Livrable original proposé : Signal de frappe Phantom.</x:v>
      </x:c>
      <x:c r="G13" s="9" t="str">
        <x:v>Trace de lame et cône court ; le cône reste visible si le corps est derrière un couvert.</x:v>
      </x:c>
      <x:c r="H13" s="9" t="str">
        <x:v>Trace de lame et cône court ; le cône reste visible si le corps est derrière un couvert.</x:v>
      </x:c>
      <x:c r="I13" s="9" t="str">
        <x:v>Ligne rouge et silhouette translucide.</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me3/vfx/phantom ; rattacher les ressources et états cités à cet identifiant. Aucun fichier de jeu créé par ce catalogue.</x:v>
      </x:c>
      <x:c r="M13" s="9" t="str"/>
      <x:c r="N13" s="9" t="str">
        <x:v>Le livrable « Signal de frappe Phantom » possède une scène ou un scénario de contrôle ; ses règles proposées, ses conditions et ses retours visuels sont vérifiables séparément.</x:v>
      </x:c>
      <x:c r="O13" s="9" t="str">
        <x:v>ME3-ENM-PHANTOM</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ME3-VFX-REAPER-BEAM</x:v>
      </x:c>
      <x:c r="B14" s="7" t="str">
        <x:v>Rayon de Rannoch</x:v>
      </x:c>
      <x:c r="C14" s="15" t="str">
        <x:v>Défini</x:v>
      </x:c>
      <x:c r="D14" s="17" t="str">
        <x:v>Extrapolation</x:v>
      </x:c>
      <x:c r="E14" s="17" t="str">
        <x:v>P1</x:v>
      </x:c>
      <x:c r="F14" s="7" t="str">
        <x:v>Livrable original proposé : Rayon de Rannoch.</x:v>
      </x:c>
      <x:c r="G14" s="7" t="str">
        <x:v>Balayage annoncé par bande au sol ; luminosité limitée, point de verrou visible dans toutes les aides visuelles.</x:v>
      </x:c>
      <x:c r="H14" s="7" t="str">
        <x:v>Balayage annoncé par bande au sol ; luminosité limitée, point de verrou visible dans toutes les aides visuelles.</x:v>
      </x:c>
      <x:c r="I14" s="7" t="str">
        <x:v>Large rayon et trace de chaleur.</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me3/vfx/reaper-beam ; rattacher les ressources et états cités à cet identifiant. Aucun fichier de jeu créé par ce catalogue.</x:v>
      </x:c>
      <x:c r="M14" s="7" t="str"/>
      <x:c r="N14" s="7" t="str">
        <x:v>Le livrable « Rayon de Rannoch » possède une scène ou un scénario de contrôle ; ses règles proposées, ses conditions et ses retours visuels sont vérifiables séparément.</x:v>
      </x:c>
      <x:c r="O14" s="7" t="str">
        <x:v>ME3-ENM-REAPER-RANNOCH</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ME3-VFX-CANNON</x:v>
      </x:c>
      <x:c r="B15" s="9" t="str">
        <x:v>Impulsion du cuirassé</x:v>
      </x:c>
      <x:c r="C15" s="15" t="str">
        <x:v>Défini</x:v>
      </x:c>
      <x:c r="D15" s="16" t="str">
        <x:v>Extrapolation</x:v>
      </x:c>
      <x:c r="E15" s="16" t="str">
        <x:v>P1</x:v>
      </x:c>
      <x:c r="F15" s="9" t="str">
        <x:v>Livrable original proposé : Impulsion du cuirassé.</x:v>
      </x:c>
      <x:c r="G15" s="9" t="str">
        <x:v>Cycle de charge gradué et bandes sûres ; fréquence adaptée au rythme ATB choisi sans valeur source inventée.</x:v>
      </x:c>
      <x:c r="H15" s="9" t="str">
        <x:v>Cycle de charge gradué et bandes sûres ; fréquence adaptée au rythme ATB choisi sans valeur source inventée.</x:v>
      </x:c>
      <x:c r="I15" s="9" t="str">
        <x:v>Anneaux bleus du canon.</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me3/vfx/cannon ; rattacher les ressources et états cités à cet identifiant. Aucun fichier de jeu créé par ce catalogue.</x:v>
      </x:c>
      <x:c r="M15" s="9" t="str"/>
      <x:c r="N15" s="9" t="str">
        <x:v>Le livrable « Impulsion du cuirassé » possède une scène ou un scénario de contrôle ; ses règles proposées, ses conditions et ses retours visuels sont vérifiables séparément.</x:v>
      </x:c>
      <x:c r="O15" s="9" t="str">
        <x:v>ME3-PRP-GETH-GUN</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ME3-VFX-LEV-INFLUENCE</x:v>
      </x:c>
      <x:c r="B16" s="7" t="str">
        <x:v>Influence des artefacts</x:v>
      </x:c>
      <x:c r="C16" s="15" t="str">
        <x:v>Défini</x:v>
      </x:c>
      <x:c r="D16" s="17" t="str">
        <x:v>Extrapolation</x:v>
      </x:c>
      <x:c r="E16" s="17" t="str">
        <x:v>P1</x:v>
      </x:c>
      <x:c r="F16" s="7" t="str">
        <x:v>Livrable original proposé : Influence des artefacts.</x:v>
      </x:c>
      <x:c r="G16" s="7" t="str">
        <x:v>Déformation légère périphérique ; alternative sans distorsion et mêmes indices narratifs textuels.</x:v>
      </x:c>
      <x:c r="H16" s="7" t="str">
        <x:v>Déformation légère périphérique ; alternative sans distorsion et mêmes indices narratifs textuels.</x:v>
      </x:c>
      <x:c r="I16" s="7" t="str">
        <x:v>Motifs concentriques et halo sombre.</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me3/vfx/lev-influence ; rattacher les ressources et états cités à cet identifiant. Aucun fichier de jeu créé par ce catalogue.</x:v>
      </x:c>
      <x:c r="M16" s="7" t="str"/>
      <x:c r="N16" s="7" t="str">
        <x:v>Le livrable « Influence des artefacts » possède une scène ou un scénario de contrôle ; ses règles proposées, ses conditions et ses retours visuels sont vérifiables séparément.</x:v>
      </x:c>
      <x:c r="O16" s="7" t="str">
        <x:v>ME3-PRP-BYRSON-ORB</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ME3-VFX-LEV-DEPTH</x:v>
      </x:c>
      <x:c r="B17" s="9" t="str">
        <x:v>Profondeur et particules d’eau</x:v>
      </x:c>
      <x:c r="C17" s="15" t="str">
        <x:v>Défini</x:v>
      </x:c>
      <x:c r="D17" s="16" t="str">
        <x:v>Extrapolation</x:v>
      </x:c>
      <x:c r="E17" s="16" t="str">
        <x:v>P1</x:v>
      </x:c>
      <x:c r="F17" s="9" t="str">
        <x:v>Livrable original proposé : Profondeur et particules d’eau.</x:v>
      </x:c>
      <x:c r="G17" s="9" t="str">
        <x:v>Atténuation par distance sans rendre texte flou ; bulles et sédiments ne ressemblent pas à des projectiles.</x:v>
      </x:c>
      <x:c r="H17" s="9" t="str">
        <x:v>Atténuation par distance sans rendre texte flou ; bulles et sédiments ne ressemblent pas à des projectiles.</x:v>
      </x:c>
      <x:c r="I17" s="9" t="str">
        <x:v>Bleu-noir et faisceaux volumétriques.</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me3/vfx/lev-depth ; rattacher les ressources et états cités à cet identifiant. Aucun fichier de jeu créé par ce catalogue.</x:v>
      </x:c>
      <x:c r="M17" s="9" t="str"/>
      <x:c r="N17" s="9" t="str">
        <x:v>Le livrable « Profondeur et particules d’eau » possède une scène ou un scénario de contrôle ; ses règles proposées, ses conditions et ses retours visuels sont vérifiables séparément.</x:v>
      </x:c>
      <x:c r="O17" s="9" t="str">
        <x:v>ME3-ZON-LEV-OCEAN</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ME3-VFX-OMEGA-BARRIER</x:v>
      </x:c>
      <x:c r="B18" s="7" t="str">
        <x:v>Barrières d’Afterlife</x:v>
      </x:c>
      <x:c r="C18" s="15" t="str">
        <x:v>Défini</x:v>
      </x:c>
      <x:c r="D18" s="17" t="str">
        <x:v>Extrapolation</x:v>
      </x:c>
      <x:c r="E18" s="17" t="str">
        <x:v>P1</x:v>
      </x:c>
      <x:c r="F18" s="7" t="str">
        <x:v>Livrable original proposé : Barrières d’Afterlife.</x:v>
      </x:c>
      <x:c r="G18" s="7" t="str">
        <x:v>Liens vers générateurs, affaiblissement par étapes et rupture finale ; masques empêchent de cacher cible active.</x:v>
      </x:c>
      <x:c r="H18" s="7" t="str">
        <x:v>Liens vers générateurs, affaiblissement par étapes et rupture finale ; masques empêchent de cacher cible active.</x:v>
      </x:c>
      <x:c r="I18" s="7" t="str">
        <x:v>Plans orange et fissures énergétiques.</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me3/vfx/omega-barrier ; rattacher les ressources et états cités à cet identifiant. Aucun fichier de jeu créé par ce catalogue.</x:v>
      </x:c>
      <x:c r="M18" s="7" t="str"/>
      <x:c r="N18" s="7" t="str">
        <x:v>Le livrable « Barrières d’Afterlife » possède une scène ou un scénario de contrôle ; ses règles proposées, ses conditions et ses retours visuels sont vérifiables séparément.</x:v>
      </x:c>
      <x:c r="O18" s="7" t="str">
        <x:v>ME3-PRP-OMEGA-GEN</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ME3-VFX-ARMAX</x:v>
      </x:c>
      <x:c r="B19" s="9" t="str">
        <x:v>Matérialisation de simulation</x:v>
      </x:c>
      <x:c r="C19" s="15" t="str">
        <x:v>Défini</x:v>
      </x:c>
      <x:c r="D19" s="16" t="str">
        <x:v>Extrapolation</x:v>
      </x:c>
      <x:c r="E19" s="16" t="str">
        <x:v>P1</x:v>
      </x:c>
      <x:c r="F19" s="9" t="str">
        <x:v>Livrable original proposé : Matérialisation de simulation.</x:v>
      </x:c>
      <x:c r="G19" s="9" t="str">
        <x:v>Apparition en grille avec invulnérabilité de spawn signalée ; aucun dégât avant fin de préparation annoncée.</x:v>
      </x:c>
      <x:c r="H19" s="9" t="str">
        <x:v>Apparition en grille avec invulnérabilité de spawn signalée ; aucun dégât avant fin de préparation annoncée.</x:v>
      </x:c>
      <x:c r="I19" s="9" t="str">
        <x:v>Maille lumineuse puis modèle solide.</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me3/vfx/armax ; rattacher les ressources et états cités à cet identifiant. Aucun fichier de jeu créé par ce catalogue.</x:v>
      </x:c>
      <x:c r="M19" s="9" t="str">
        <x:v>Armax seulement.</x:v>
      </x:c>
      <x:c r="N19" s="9" t="str">
        <x:v>Le livrable « Matérialisation de simulation » possède une scène ou un scénario de contrôle ; ses règles proposées, ses conditions et ses retours visuels sont vérifiables séparément.</x:v>
      </x:c>
      <x:c r="O19" s="9" t="str">
        <x:v>ME3-ZON-ARMAX</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68" customHeight="1">
      <x:c r="A20" s="19" t="str">
        <x:v>ME3-VFX-FINAL</x:v>
      </x:c>
      <x:c r="B20" s="7" t="str">
        <x:v>Flux des fins</x:v>
      </x:c>
      <x:c r="C20" s="15" t="str">
        <x:v>Défini</x:v>
      </x:c>
      <x:c r="D20" s="17" t="str">
        <x:v>Extrapolation</x:v>
      </x:c>
      <x:c r="E20" s="17" t="str">
        <x:v>P1</x:v>
      </x:c>
      <x:c r="F20" s="7" t="str">
        <x:v>Livrable original proposé : Flux des fins.</x:v>
      </x:c>
      <x:c r="G20" s="7" t="str">
        <x:v>Couleurs accompagnées de noms, symboles et narration ; luminosité plafonnée et option scène simplifiée.</x:v>
      </x:c>
      <x:c r="H20" s="7" t="str">
        <x:v>Couleurs accompagnées de noms, symboles et narration ; luminosité plafonnée et option scène simplifiée.</x:v>
      </x:c>
      <x:c r="I20" s="7" t="str">
        <x:v>Rouge, bleu, vert et extinction selon branche.</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me3/vfx/final ; rattacher les ressources et états cités à cet identifiant. Aucun fichier de jeu créé par ce catalogue.</x:v>
      </x:c>
      <x:c r="M20" s="7" t="str">
        <x:v>Épilogue uniquement.</x:v>
      </x:c>
      <x:c r="N20" s="7" t="str">
        <x:v>Le livrable « Flux des fins » possède une scène ou un scénario de contrôle ; ses règles proposées, ses conditions et ses retours visuels sont vérifiables séparément.</x:v>
      </x:c>
      <x:c r="O20" s="7" t="str">
        <x:v>ME3-CHO-DESTROY, ME3-CHO-CONTROL, ME3-CHO-SYNTHESIS</x:v>
      </x:c>
      <x:c r="P20" s="7" t="str">
        <x:v>Adaptation originale — spécification de production</x:v>
      </x:c>
      <x:c r="Q20" s="7" t="str"/>
      <x:c r="R20" s="21" t="str"/>
      <x:c r="S20" s="21" t="str">
        <x:v>Spécification à réaliser. Les champs adaptation, gameplay, visual, animation, audio et implementation décrivent le fan game ; ils ne donnent pas des caractéristiques officielles de l’œuvre.</x:v>
      </x:c>
    </x:row>
    <x:row r="21" ht="68" customHeight="1">
      <x:c r="A21" s="18" t="str">
        <x:v>ME3-VFX-MAP-SCAN</x:v>
      </x:c>
      <x:c r="B21" s="9" t="str">
        <x:v>Scan galactique et alerte</x:v>
      </x:c>
      <x:c r="C21" s="15" t="str">
        <x:v>Défini</x:v>
      </x:c>
      <x:c r="D21" s="16" t="str">
        <x:v>Extrapolation</x:v>
      </x:c>
      <x:c r="E21" s="16" t="str">
        <x:v>P1</x:v>
      </x:c>
      <x:c r="F21" s="9" t="str">
        <x:v>Livrable original proposé : Scan galactique et alerte.</x:v>
      </x:c>
      <x:c r="G21" s="9" t="str">
        <x:v>Propagation d’onde et jauge de menace ; la zone déjà visitée garde repère lisible après retour de mission.</x:v>
      </x:c>
      <x:c r="H21" s="9" t="str">
        <x:v>Propagation d’onde et jauge de menace ; la zone déjà visitée garde repère lisible après retour de mission.</x:v>
      </x:c>
      <x:c r="I21" s="9" t="str">
        <x:v>Onde circulaire et signal ennemi.</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me3/vfx/map-scan ; rattacher les ressources et états cités à cet identifiant. Aucun fichier de jeu créé par ce catalogue.</x:v>
      </x:c>
      <x:c r="M21" s="9" t="str"/>
      <x:c r="N21" s="9" t="str">
        <x:v>Le livrable « Scan galactique et alerte » possède une scène ou un scénario de contrôle ; ses règles proposées, ses conditions et ses retours visuels sont vérifiables séparément.</x:v>
      </x:c>
      <x:c r="O21" s="9" t="str">
        <x:v>ME3-SYS-SCAN</x:v>
      </x:c>
      <x:c r="P21" s="9" t="str">
        <x:v>Adaptation originale — spécification de production</x:v>
      </x:c>
      <x:c r="Q21" s="9" t="str"/>
      <x:c r="R21" s="20" t="str"/>
      <x:c r="S21" s="20" t="str">
        <x:v>Spécification à réaliser. Les champs adaptation, gameplay, visual, animation, audio et implementation décrivent le fan game ; ils ne donnent pas des caractéristiques officielles de l’œuvre.</x:v>
      </x:c>
    </x:row>
  </x:sheetData>
  <x:conditionalFormatting sqref="D7:D21">
    <x:cfRule type="cellIs" dxfId="84" priority="1" operator="equal">
      <x:formula>"À vérifier"</x:formula>
    </x:cfRule>
    <x:cfRule type="cellIs" dxfId="85" priority="2" operator="equal">
      <x:formula>"Extrapolation"</x:formula>
    </x:cfRule>
  </x:conditionalFormatting>
  <x:conditionalFormatting sqref="C7:C21">
    <x:cfRule type="cellIs" dxfId="86" priority="3" operator="equal">
      <x:formula>"Validé"</x:formula>
    </x:cfRule>
  </x:conditionalFormatting>
  <x:conditionalFormatting sqref="E7:E21">
    <x:cfRule type="cellIs" dxfId="87" priority="4" operator="equal">
      <x:formula>"P0"</x:formula>
    </x:cfRule>
  </x:conditionalFormatting>
  <x:dataValidations count="3">
    <x:dataValidation type="list" sqref="C7:C21">
      <x:formula1>"Défini,Prototype,Intégré,Validé"</x:formula1>
    </x:dataValidation>
    <x:dataValidation type="list" sqref="D7:D21">
      <x:formula1>"Établi,À vérifier,Extrapolation,Coupé attesté,Concept abandonné,Allégation écartée"</x:formula1>
    </x:dataValidation>
    <x:dataValidation type="list" sqref="E7:E21">
      <x:formula1>"P0,P1,P2"</x:formula1>
    </x:dataValidation>
  </x:dataValidations>
  <x:pageMargins left="0.7" right="0.7" top="0.75" bottom="0.75" header="0.3" footer="0.3"/>
  <x:tableParts count="1">
    <x:tablePart xmlns:r="http://schemas.openxmlformats.org/officeDocument/2006/relationships" r:id="R152002aeeab84bb8"/>
  </x:tableParts>
</x:worksheet>
</file>

<file path=xl/worksheets/sheet2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Audio</x:v>
      </x:c>
      <x:c r="B2" s="2"/>
      <x:c r="C2" s="2"/>
      <x:c r="D2" s="2"/>
      <x:c r="E2" s="2"/>
      <x:c r="F2" s="2"/>
      <x:c r="G2" s="2"/>
      <x:c r="H2" s="2"/>
      <x:c r="I2" s="2"/>
      <x:c r="J2" s="2"/>
      <x:c r="K2" s="2"/>
      <x:c r="L2" s="2"/>
      <x:c r="M2" s="2"/>
      <x:c r="N2" s="2"/>
      <x:c r="O2" s="2"/>
      <x:c r="P2" s="2"/>
      <x:c r="Q2" s="2"/>
      <x:c r="R2" s="2"/>
      <x:c r="S2" s="2"/>
    </x:row>
    <x:row r="3" ht="22" customHeight="1">
      <x:c r="A3" s="4" t="str">
        <x:v>Mass Effect 3 — Ambiances, effets et musique originale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ME3-AUD-NORMANDY</x:v>
      </x:c>
      <x:c r="B7" s="9" t="str">
        <x:v>Ambiance du Normandy Alliance</x:v>
      </x:c>
      <x:c r="C7" s="15" t="str">
        <x:v>Défini</x:v>
      </x:c>
      <x:c r="D7" s="16" t="str">
        <x:v>Extrapolation</x:v>
      </x:c>
      <x:c r="E7" s="16" t="str">
        <x:v>P1</x:v>
      </x:c>
      <x:c r="F7" s="9" t="str">
        <x:v>Livrable original proposé : Ambiance du Normandy Alliance.</x:v>
      </x:c>
      <x:c r="G7" s="9" t="str">
        <x:v>Créer moteur feutré et consoles ; réduire ambiance pendant dialogues sans supprimer les alertes de mission.</x:v>
      </x:c>
      <x:c r="H7" s="9" t="str">
        <x:v>Créer moteur feutré et consoles ; réduire ambiance pendant dialogues sans supprimer les alertes de mission.</x:v>
      </x:c>
      <x:c r="I7" s="9" t="str">
        <x:v>Étiquettes de sous-titres pour communications.</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me3/audio/normandy ; rattacher les ressources et états cités à cet identifiant. Aucun fichier de jeu créé par ce catalogue.</x:v>
      </x:c>
      <x:c r="M7" s="9" t="str"/>
      <x:c r="N7" s="9" t="str">
        <x:v>Le livrable « Ambiance du Normandy Alliance » possède une scène ou un scénario de contrôle ; ses règles proposées, ses conditions et ses retours visuels sont vérifiables séparément.</x:v>
      </x:c>
      <x:c r="O7" s="9" t="str">
        <x:v>ME3-ZON-NORM-CIC</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ME3-AUD-EARTH</x:v>
      </x:c>
      <x:c r="B8" s="7" t="str">
        <x:v>Terre en invasion</x:v>
      </x:c>
      <x:c r="C8" s="15" t="str">
        <x:v>Défini</x:v>
      </x:c>
      <x:c r="D8" s="17" t="str">
        <x:v>Extrapolation</x:v>
      </x:c>
      <x:c r="E8" s="17" t="str">
        <x:v>P1</x:v>
      </x:c>
      <x:c r="F8" s="7" t="str">
        <x:v>Livrable original proposé : Terre en invasion.</x:v>
      </x:c>
      <x:c r="G8" s="7" t="str">
        <x:v>Couches lointaines de bataille, impacts proches et alarmes ; priorité aux signaux de parcours et à la voix d’Anderson.</x:v>
      </x:c>
      <x:c r="H8" s="7" t="str">
        <x:v>Couches lointaines de bataille, impacts proches et alarmes ; priorité aux signaux de parcours et à la voix d’Anderson.</x:v>
      </x:c>
      <x:c r="I8" s="7" t="str">
        <x:v>Sous-titres directionnels des alertes.</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me3/audio/earth ; rattacher les ressources et états cités à cet identifiant. Aucun fichier de jeu créé par ce catalogue.</x:v>
      </x:c>
      <x:c r="M8" s="7" t="str"/>
      <x:c r="N8" s="7" t="str">
        <x:v>Le livrable « Terre en invasion » possède une scène ou un scénario de contrôle ; ses règles proposées, ses conditions et ses retours visuels sont vérifiables séparément.</x:v>
      </x:c>
      <x:c r="O8" s="7" t="str">
        <x:v>ME3-WRL-EARTH</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ME3-AUD-MENAE</x:v>
      </x:c>
      <x:c r="B9" s="9" t="str">
        <x:v>Front turien</x:v>
      </x:c>
      <x:c r="C9" s="15" t="str">
        <x:v>Défini</x:v>
      </x:c>
      <x:c r="D9" s="16" t="str">
        <x:v>Extrapolation</x:v>
      </x:c>
      <x:c r="E9" s="16" t="str">
        <x:v>P1</x:v>
      </x:c>
      <x:c r="F9" s="9" t="str">
        <x:v>Livrable original proposé : Front turien.</x:v>
      </x:c>
      <x:c r="G9" s="9" t="str">
        <x:v>Artillerie lointaine distincte des tirs visant le groupe ; limiter basses répétitives fatigantes.</x:v>
      </x:c>
      <x:c r="H9" s="9" t="str">
        <x:v>Artillerie lointaine distincte des tirs visant le groupe ; limiter basses répétitives fatigantes.</x:v>
      </x:c>
      <x:c r="I9" s="9" t="str">
        <x:v>Icône de barrage et événements au ciel.</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me3/audio/menae ; rattacher les ressources et états cités à cet identifiant. Aucun fichier de jeu créé par ce catalogue.</x:v>
      </x:c>
      <x:c r="M9" s="9" t="str"/>
      <x:c r="N9" s="9" t="str">
        <x:v>Le livrable « Front turien » possède une scène ou un scénario de contrôle ; ses règles proposées, ses conditions et ses retours visuels sont vérifiables séparément.</x:v>
      </x:c>
      <x:c r="O9" s="9" t="str">
        <x:v>ME3-WRL-MENAE</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ME3-AUD-CITADEL</x:v>
      </x:c>
      <x:c r="B10" s="7" t="str">
        <x:v>Foule de Citadelle</x:v>
      </x:c>
      <x:c r="C10" s="15" t="str">
        <x:v>Défini</x:v>
      </x:c>
      <x:c r="D10" s="17" t="str">
        <x:v>Extrapolation</x:v>
      </x:c>
      <x:c r="E10" s="17" t="str">
        <x:v>P1</x:v>
      </x:c>
      <x:c r="F10" s="7" t="str">
        <x:v>Livrable original proposé : Foule de Citadelle.</x:v>
      </x:c>
      <x:c r="G10" s="7" t="str">
        <x:v>Boucles de conversations originales non informatives et canaux de quêtes prioritaires ; aucun faux sous-titre d’objectif dans ambiance.</x:v>
      </x:c>
      <x:c r="H10" s="7" t="str">
        <x:v>Boucles de conversations originales non informatives et canaux de quêtes prioritaires ; aucun faux sous-titre d’objectif dans ambiance.</x:v>
      </x:c>
      <x:c r="I10" s="7" t="str">
        <x:v>Sources de voix discrètement localisées.</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me3/audio/citadel ; rattacher les ressources et états cités à cet identifiant. Aucun fichier de jeu créé par ce catalogue.</x:v>
      </x:c>
      <x:c r="M10" s="7" t="str"/>
      <x:c r="N10" s="7" t="str">
        <x:v>Le livrable « Foule de Citadelle » possède une scène ou un scénario de contrôle ; ses règles proposées, ses conditions et ses retours visuels sont vérifiables séparément.</x:v>
      </x:c>
      <x:c r="O10" s="7" t="str">
        <x:v>ME3-WRL-CITADEL</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ME3-AUD-MONASTERY</x:v>
      </x:c>
      <x:c r="B11" s="9" t="str">
        <x:v>Silence du monastère</x:v>
      </x:c>
      <x:c r="C11" s="15" t="str">
        <x:v>Défini</x:v>
      </x:c>
      <x:c r="D11" s="16" t="str">
        <x:v>Extrapolation</x:v>
      </x:c>
      <x:c r="E11" s="16" t="str">
        <x:v>P1</x:v>
      </x:c>
      <x:c r="F11" s="9" t="str">
        <x:v>Livrable original proposé : Silence du monastère.</x:v>
      </x:c>
      <x:c r="G11" s="9" t="str">
        <x:v>Réverbération et faible fond ; cri de Banshee a signal visuel équivalent et avertit avant la menace.</x:v>
      </x:c>
      <x:c r="H11" s="9" t="str">
        <x:v>Réverbération et faible fond ; cri de Banshee a signal visuel équivalent et avertit avant la menace.</x:v>
      </x:c>
      <x:c r="I11" s="9" t="str">
        <x:v>Halo de danger hors champ.</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me3/audio/monastery ; rattacher les ressources et états cités à cet identifiant. Aucun fichier de jeu créé par ce catalogue.</x:v>
      </x:c>
      <x:c r="M11" s="9" t="str"/>
      <x:c r="N11" s="9" t="str">
        <x:v>Le livrable « Silence du monastère » possède une scène ou un scénario de contrôle ; ses règles proposées, ses conditions et ses retours visuels sont vérifiables séparément.</x:v>
      </x:c>
      <x:c r="O11" s="9" t="str">
        <x:v>ME3-ZON-KALLINI-HALL</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ME3-AUD-GETH</x:v>
      </x:c>
      <x:c r="B12" s="7" t="str">
        <x:v>Réseau et machines geth</x:v>
      </x:c>
      <x:c r="C12" s="15" t="str">
        <x:v>Défini</x:v>
      </x:c>
      <x:c r="D12" s="17" t="str">
        <x:v>Extrapolation</x:v>
      </x:c>
      <x:c r="E12" s="17" t="str">
        <x:v>P1</x:v>
      </x:c>
      <x:c r="F12" s="7" t="str">
        <x:v>Livrable original proposé : Réseau et machines geth.</x:v>
      </x:c>
      <x:c r="G12" s="7" t="str">
        <x:v>Motifs synthétiques originaux séparant drone, prime et alerte réseau ; éviter confusions avec pouvoir de Tali.</x:v>
      </x:c>
      <x:c r="H12" s="7" t="str">
        <x:v>Motifs synthétiques originaux séparant drone, prime et alerte réseau ; éviter confusions avec pouvoir de Tali.</x:v>
      </x:c>
      <x:c r="I12" s="7" t="str">
        <x:v>Symboles de source sonore.</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me3/audio/geth ; rattacher les ressources et états cités à cet identifiant. Aucun fichier de jeu créé par ce catalogue.</x:v>
      </x:c>
      <x:c r="M12" s="7" t="str"/>
      <x:c r="N12" s="7" t="str">
        <x:v>Le livrable « Réseau et machines geth » possède une scène ou un scénario de contrôle ; ses règles proposées, ses conditions et ses retours visuels sont vérifiables séparément.</x:v>
      </x:c>
      <x:c r="O12" s="7" t="str">
        <x:v>ME3-ENM-GETH-PRIME</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ME3-AUD-TUCHANKA</x:v>
      </x:c>
      <x:c r="B13" s="9" t="str">
        <x:v>Ruines et mécanique du Shroud</x:v>
      </x:c>
      <x:c r="C13" s="15" t="str">
        <x:v>Défini</x:v>
      </x:c>
      <x:c r="D13" s="16" t="str">
        <x:v>Extrapolation</x:v>
      </x:c>
      <x:c r="E13" s="16" t="str">
        <x:v>P1</x:v>
      </x:c>
      <x:c r="F13" s="9" t="str">
        <x:v>Livrable original proposé : Ruines et mécanique du Shroud.</x:v>
      </x:c>
      <x:c r="G13" s="9" t="str">
        <x:v>Vent, pierre et machine montante ; grande créature reste un événement ponctuel, pas une boucle de combat constante.</x:v>
      </x:c>
      <x:c r="H13" s="9" t="str">
        <x:v>Vent, pierre et machine montante ; grande créature reste un événement ponctuel, pas une boucle de combat constante.</x:v>
      </x:c>
      <x:c r="I13" s="9" t="str">
        <x:v>Indicateur de vibration à faible mouvement.</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me3/audio/tuchanka ; rattacher les ressources et états cités à cet identifiant. Aucun fichier de jeu créé par ce catalogue.</x:v>
      </x:c>
      <x:c r="M13" s="9" t="str"/>
      <x:c r="N13" s="9" t="str">
        <x:v>Le livrable « Ruines et mécanique du Shroud » possède une scène ou un scénario de contrôle ; ses règles proposées, ses conditions et ses retours visuels sont vérifiables séparément.</x:v>
      </x:c>
      <x:c r="O13" s="9" t="str">
        <x:v>ME3-ZON-SHROUD</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ME3-AUD-LEVIATHAN</x:v>
      </x:c>
      <x:c r="B14" s="7" t="str">
        <x:v>Voix et abîme</x:v>
      </x:c>
      <x:c r="C14" s="15" t="str">
        <x:v>Défini</x:v>
      </x:c>
      <x:c r="D14" s="17" t="str">
        <x:v>Extrapolation</x:v>
      </x:c>
      <x:c r="E14" s="17" t="str">
        <x:v>P1</x:v>
      </x:c>
      <x:c r="F14" s="7" t="str">
        <x:v>Livrable original proposé : Voix et abîme.</x:v>
      </x:c>
      <x:c r="G14" s="7" t="str">
        <x:v>Traitement vocal original intelligible avec sous-titres ; canal de voix indépendant des graves abyssaux.</x:v>
      </x:c>
      <x:c r="H14" s="7" t="str">
        <x:v>Traitement vocal original intelligible avec sous-titres ; canal de voix indépendant des graves abyssaux.</x:v>
      </x:c>
      <x:c r="I14" s="7" t="str">
        <x:v>Portraits et noms d’interlocuteur.</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me3/audio/leviathan ; rattacher les ressources et états cités à cet identifiant. Aucun fichier de jeu créé par ce catalogue.</x:v>
      </x:c>
      <x:c r="M14" s="7" t="str"/>
      <x:c r="N14" s="7" t="str">
        <x:v>Le livrable « Voix et abîme » possède une scène ou un scénario de contrôle ; ses règles proposées, ses conditions et ses retours visuels sont vérifiables séparément.</x:v>
      </x:c>
      <x:c r="O14" s="7" t="str">
        <x:v>ME3-CIN-LEVIATHAN</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ME3-AUD-OMEGA</x:v>
      </x:c>
      <x:c r="B15" s="9" t="str">
        <x:v>Résistance et réacteur</x:v>
      </x:c>
      <x:c r="C15" s="15" t="str">
        <x:v>Défini</x:v>
      </x:c>
      <x:c r="D15" s="16" t="str">
        <x:v>Extrapolation</x:v>
      </x:c>
      <x:c r="E15" s="16" t="str">
        <x:v>P1</x:v>
      </x:c>
      <x:c r="F15" s="9" t="str">
        <x:v>Livrable original proposé : Résistance et réacteur.</x:v>
      </x:c>
      <x:c r="G15" s="9" t="str">
        <x:v>Métal, conduites et alarmes selon alimentation ; passage en zone sûre diminue urgence sans effacer les annonces de civils.</x:v>
      </x:c>
      <x:c r="H15" s="9" t="str">
        <x:v>Métal, conduites et alarmes selon alimentation ; passage en zone sûre diminue urgence sans effacer les annonces de civils.</x:v>
      </x:c>
      <x:c r="I15" s="9" t="str">
        <x:v>Pictogrammes d’alimentation.</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me3/audio/omega ; rattacher les ressources et états cités à cet identifiant. Aucun fichier de jeu créé par ce catalogue.</x:v>
      </x:c>
      <x:c r="M15" s="9" t="str"/>
      <x:c r="N15" s="9" t="str">
        <x:v>Le livrable « Résistance et réacteur » possède une scène ou un scénario de contrôle ; ses règles proposées, ses conditions et ses retours visuels sont vérifiables séparément.</x:v>
      </x:c>
      <x:c r="O15" s="9" t="str">
        <x:v>ME3-WRL-OMEGA</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ME3-AUD-CITADEL-PARTY</x:v>
      </x:c>
      <x:c r="B16" s="7" t="str">
        <x:v>Musique originale de la fête</x:v>
      </x:c>
      <x:c r="C16" s="15" t="str">
        <x:v>Défini</x:v>
      </x:c>
      <x:c r="D16" s="17" t="str">
        <x:v>Extrapolation</x:v>
      </x:c>
      <x:c r="E16" s="17" t="str">
        <x:v>P1</x:v>
      </x:c>
      <x:c r="F16" s="7" t="str">
        <x:v>Livrable original proposé : Musique originale de la fête.</x:v>
      </x:c>
      <x:c r="G16" s="7" t="str">
        <x:v>Transitions calmes/animées selon phase ; paroles éventuelles originales, piste séparée du dialogue.</x:v>
      </x:c>
      <x:c r="H16" s="7" t="str">
        <x:v>Transitions calmes/animées selon phase ; paroles éventuelles originales, piste séparée du dialogue.</x:v>
      </x:c>
      <x:c r="I16" s="7" t="str">
        <x:v>Nom d’ambiance et niveau de fête.</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me3/audio/citadel-party ; rattacher les ressources et états cités à cet identifiant. Aucun fichier de jeu créé par ce catalogue.</x:v>
      </x:c>
      <x:c r="M16" s="7" t="str"/>
      <x:c r="N16" s="7" t="str">
        <x:v>Le livrable « Musique originale de la fête » possède une scène ou un scénario de contrôle ; ses règles proposées, ses conditions et ses retours visuels sont vérifiables séparément.</x:v>
      </x:c>
      <x:c r="O16" s="7" t="str">
        <x:v>ME3-CHO-PARTY-TONE</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ME3-AUD-BOSS</x:v>
      </x:c>
      <x:c r="B17" s="9" t="str">
        <x:v>Lexique de télégraphes de boss</x:v>
      </x:c>
      <x:c r="C17" s="15" t="str">
        <x:v>Défini</x:v>
      </x:c>
      <x:c r="D17" s="16" t="str">
        <x:v>Extrapolation</x:v>
      </x:c>
      <x:c r="E17" s="16" t="str">
        <x:v>P1</x:v>
      </x:c>
      <x:c r="F17" s="9" t="str">
        <x:v>Livrable original proposé : Lexique de télégraphes de boss.</x:v>
      </x:c>
      <x:c r="G17" s="9" t="str">
        <x:v>Un motif par menace : saisie, charge, rayon, renfort ; motifs accompagnés de texte et non seulement de position stéréo.</x:v>
      </x:c>
      <x:c r="H17" s="9" t="str">
        <x:v>Un motif par menace : saisie, charge, rayon, renfort ; motifs accompagnés de texte et non seulement de position stéréo.</x:v>
      </x:c>
      <x:c r="I17" s="9" t="str">
        <x:v>Quatre signes de menace.</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me3/audio/boss ; rattacher les ressources et états cités à cet identifiant. Aucun fichier de jeu créé par ce catalogue.</x:v>
      </x:c>
      <x:c r="M17" s="9" t="str"/>
      <x:c r="N17" s="9" t="str">
        <x:v>Le livrable « Lexique de télégraphes de boss » possède une scène ou un scénario de contrôle ; ses règles proposées, ses conditions et ses retours visuels sont vérifiables séparément.</x:v>
      </x:c>
      <x:c r="O17" s="9" t="str">
        <x:v>ME3-ENM-BANSHEE, ME3-ENM-BRUTE, ME3-ENM-ATLAS</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ME3-AUD-EPILOGUE</x:v>
      </x:c>
      <x:c r="B18" s="7" t="str">
        <x:v>Montage musical des épilogues</x:v>
      </x:c>
      <x:c r="C18" s="15" t="str">
        <x:v>Défini</x:v>
      </x:c>
      <x:c r="D18" s="17" t="str">
        <x:v>Extrapolation</x:v>
      </x:c>
      <x:c r="E18" s="17" t="str">
        <x:v>P1</x:v>
      </x:c>
      <x:c r="F18" s="7" t="str">
        <x:v>Livrable original proposé : Montage musical des épilogues.</x:v>
      </x:c>
      <x:c r="G18" s="7" t="str">
        <x:v>Composition originale en segments compatibles avec toutes les branches ; aucun collage de bande originale extrait.</x:v>
      </x:c>
      <x:c r="H18" s="7" t="str">
        <x:v>Composition originale en segments compatibles avec toutes les branches ; aucun collage de bande originale extrait.</x:v>
      </x:c>
      <x:c r="I18" s="7" t="str">
        <x:v>Sous-titres de narration et option sans musique.</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me3/audio/epilogue ; rattacher les ressources et états cités à cet identifiant. Aucun fichier de jeu créé par ce catalogue.</x:v>
      </x:c>
      <x:c r="M18" s="7" t="str"/>
      <x:c r="N18" s="7" t="str">
        <x:v>Le livrable « Montage musical des épilogues » possède une scène ou un scénario de contrôle ; ses règles proposées, ses conditions et ses retours visuels sont vérifiables séparément.</x:v>
      </x:c>
      <x:c r="O18" s="7" t="str">
        <x:v>ME3-CIN-FINALE</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sheetData>
  <x:conditionalFormatting sqref="D7:D18">
    <x:cfRule type="cellIs" dxfId="88" priority="1" operator="equal">
      <x:formula>"À vérifier"</x:formula>
    </x:cfRule>
    <x:cfRule type="cellIs" dxfId="89" priority="2" operator="equal">
      <x:formula>"Extrapolation"</x:formula>
    </x:cfRule>
  </x:conditionalFormatting>
  <x:conditionalFormatting sqref="C7:C18">
    <x:cfRule type="cellIs" dxfId="90" priority="3" operator="equal">
      <x:formula>"Validé"</x:formula>
    </x:cfRule>
  </x:conditionalFormatting>
  <x:conditionalFormatting sqref="E7:E18">
    <x:cfRule type="cellIs" dxfId="91" priority="4" operator="equal">
      <x:formula>"P0"</x:formula>
    </x:cfRule>
  </x:conditionalFormatting>
  <x:dataValidations count="3">
    <x:dataValidation type="list" sqref="C7:C18">
      <x:formula1>"Défini,Prototype,Intégré,Validé"</x:formula1>
    </x:dataValidation>
    <x:dataValidation type="list" sqref="D7:D18">
      <x:formula1>"Établi,À vérifier,Extrapolation,Coupé attesté,Concept abandonné,Allégation écartée"</x:formula1>
    </x:dataValidation>
    <x:dataValidation type="list" sqref="E7:E18">
      <x:formula1>"P0,P1,P2"</x:formula1>
    </x:dataValidation>
  </x:dataValidations>
  <x:pageMargins left="0.7" right="0.7" top="0.75" bottom="0.75" header="0.3" footer="0.3"/>
  <x:tableParts count="1">
    <x:tablePart xmlns:r="http://schemas.openxmlformats.org/officeDocument/2006/relationships" r:id="Raf3f3c2ef5734b53"/>
  </x:tableParts>
</x:worksheet>
</file>

<file path=xl/worksheets/sheet2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5"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Systèmes et UI</x:v>
      </x:c>
      <x:c r="B2" s="2"/>
      <x:c r="C2" s="2"/>
      <x:c r="D2" s="2"/>
      <x:c r="E2" s="2"/>
      <x:c r="F2" s="2"/>
      <x:c r="G2" s="2"/>
      <x:c r="H2" s="2"/>
      <x:c r="I2" s="2"/>
      <x:c r="J2" s="2"/>
      <x:c r="K2" s="2"/>
      <x:c r="L2" s="2"/>
      <x:c r="M2" s="2"/>
      <x:c r="N2" s="2"/>
      <x:c r="O2" s="2"/>
      <x:c r="P2" s="2"/>
      <x:c r="Q2" s="2"/>
      <x:c r="R2" s="2"/>
      <x:c r="S2" s="2"/>
    </x:row>
    <x:row r="3" ht="22" customHeight="1">
      <x:c r="A3" s="4" t="str">
        <x:v>Mass Effect 3 — Interface et règles de jeu</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ME3-SYS-MP-RESURGENCE</x:v>
      </x:c>
      <x:c r="B7" s="9" t="str">
        <x:v>Multijoueur — Resurgence</x:v>
      </x:c>
      <x:c r="C7" s="15" t="str">
        <x:v>Défini</x:v>
      </x:c>
      <x:c r="D7" s="16" t="str">
        <x:v>Établi</x:v>
      </x:c>
      <x:c r="E7" s="16" t="str">
        <x:v>P1</x:v>
      </x:c>
      <x:c r="F7" s="9" t="str">
        <x:v>Pack multijoueur avec nouvelles cartes et options.</x:v>
      </x:c>
      <x:c r="G7" s="9" t="str">
        <x:v>Introduire Hydra et Condor avec roster et armes propres à la version installée ; contenu verrouillé par manifeste multi.</x:v>
      </x:c>
      <x:c r="H7" s="9" t="str">
        <x:v>Introduire Hydra et Condor avec roster et armes propres à la version installée ; contenu verrouillé par manifeste multi.</x:v>
      </x:c>
      <x:c r="I7" s="9" t="str">
        <x:v>Carte de pack avec emblème multijoueur et version.</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me3/systems/mp-resurgence ; rattacher les ressources et états cités à cet identifiant. Aucun fichier de jeu créé par ce catalogue.</x:v>
      </x:c>
      <x:c r="M7" s="9" t="str">
        <x:v>ME3 original multijoueur uniquement ; aucun lien de sélection solo.</x:v>
      </x:c>
      <x:c r="N7" s="9" t="str">
        <x:v>Installer ou masquer ce pack ne change aucun drapeau de compagnon, quête ou scène solo ; sa liste exacte reste vérifiable dans le manifeste dédié.</x:v>
      </x:c>
      <x:c r="O7" s="9" t="str"/>
      <x:c r="P7" s="9" t="str">
        <x:v>Multijoueur — Resurgence</x:v>
      </x:c>
      <x:c r="Q7" s="9" t="str">
        <x:v>ME3-SRC-MP</x:v>
      </x:c>
      <x:c r="R7" s="20" t="str">
        <x:v>https://masseffect.fandom.com/wiki/Mass_Effect_3_Multiplayer</x:v>
      </x:c>
      <x:c r="S7" s="20" t="str">
        <x:v>Spécification à réaliser. Les champs adaptation, gameplay, visual, animation, audio et implementation décrivent le fan game ; ils ne donnent pas des caractéristiques officielles de l’œuvre.</x:v>
      </x:c>
    </x:row>
    <x:row r="8" ht="68" customHeight="1">
      <x:c r="A8" s="19" t="str">
        <x:v>ME3-SYS-MP-REBELLION</x:v>
      </x:c>
      <x:c r="B8" s="7" t="str">
        <x:v>Multijoueur — Rebellion</x:v>
      </x:c>
      <x:c r="C8" s="15" t="str">
        <x:v>Défini</x:v>
      </x:c>
      <x:c r="D8" s="17" t="str">
        <x:v>Établi</x:v>
      </x:c>
      <x:c r="E8" s="17" t="str">
        <x:v>P1</x:v>
      </x:c>
      <x:c r="F8" s="7" t="str">
        <x:v>Pack multijoueur ajoutant du contenu.</x:v>
      </x:c>
      <x:c r="G8" s="7" t="str">
        <x:v>Introduire Goddess et Jade et une table de personnages/armes séparée ; vérifier variantes avant duplication en fiche.</x:v>
      </x:c>
      <x:c r="H8" s="7" t="str">
        <x:v>Introduire Goddess et Jade et une table de personnages/armes séparée ; vérifier variantes avant duplication en fiche.</x:v>
      </x:c>
      <x:c r="I8" s="7" t="str">
        <x:v>Carte de pack avec emblème multijoueur et version.</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me3/systems/mp-rebellion ; rattacher les ressources et états cités à cet identifiant. Aucun fichier de jeu créé par ce catalogue.</x:v>
      </x:c>
      <x:c r="M8" s="7" t="str">
        <x:v>ME3 original multijoueur uniquement ; aucun lien de sélection solo.</x:v>
      </x:c>
      <x:c r="N8" s="7" t="str">
        <x:v>Installer ou masquer ce pack ne change aucun drapeau de compagnon, quête ou scène solo ; sa liste exacte reste vérifiable dans le manifeste dédié.</x:v>
      </x:c>
      <x:c r="O8" s="7" t="str"/>
      <x:c r="P8" s="7" t="str">
        <x:v>Multijoueur — Rebellion</x:v>
      </x:c>
      <x:c r="Q8" s="7" t="str">
        <x:v>ME3-SRC-MP</x:v>
      </x:c>
      <x:c r="R8" s="21" t="str">
        <x:v>https://masseffect.fandom.com/wiki/Mass_Effect_3_Multiplayer</x:v>
      </x:c>
      <x:c r="S8" s="21" t="str">
        <x:v>Spécification à réaliser. Les champs adaptation, gameplay, visual, animation, audio et implementation décrivent le fan game ; ils ne donnent pas des caractéristiques officielles de l’œuvre.</x:v>
      </x:c>
    </x:row>
    <x:row r="9" ht="68" customHeight="1">
      <x:c r="A9" s="18" t="str">
        <x:v>ME3-SYS-MP-EARTH</x:v>
      </x:c>
      <x:c r="B9" s="9" t="str">
        <x:v>Multijoueur — Earth</x:v>
      </x:c>
      <x:c r="C9" s="15" t="str">
        <x:v>Défini</x:v>
      </x:c>
      <x:c r="D9" s="16" t="str">
        <x:v>Établi</x:v>
      </x:c>
      <x:c r="E9" s="16" t="str">
        <x:v>P1</x:v>
      </x:c>
      <x:c r="F9" s="9" t="str">
        <x:v>Pack multijoueur lié à trois cartes terrestres.</x:v>
      </x:c>
      <x:c r="G9" s="9" t="str">
        <x:v>Regrouper Londres, Rio et Vancouver dans sélection de cartes, conserver objectifs et règles de difficulté indépendants.</x:v>
      </x:c>
      <x:c r="H9" s="9" t="str">
        <x:v>Regrouper Londres, Rio et Vancouver dans sélection de cartes, conserver objectifs et règles de difficulté indépendants.</x:v>
      </x:c>
      <x:c r="I9" s="9" t="str">
        <x:v>Carte de pack avec emblème multijoueur et version.</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me3/systems/mp-earth ; rattacher les ressources et états cités à cet identifiant. Aucun fichier de jeu créé par ce catalogue.</x:v>
      </x:c>
      <x:c r="M9" s="9" t="str">
        <x:v>ME3 original multijoueur uniquement ; aucun lien de sélection solo.</x:v>
      </x:c>
      <x:c r="N9" s="9" t="str">
        <x:v>Installer ou masquer ce pack ne change aucun drapeau de compagnon, quête ou scène solo ; sa liste exacte reste vérifiable dans le manifeste dédié.</x:v>
      </x:c>
      <x:c r="O9" s="9" t="str"/>
      <x:c r="P9" s="9" t="str">
        <x:v>Multijoueur — Earth</x:v>
      </x:c>
      <x:c r="Q9" s="9" t="str">
        <x:v>ME3-SRC-MP</x:v>
      </x:c>
      <x:c r="R9" s="20" t="str">
        <x:v>https://masseffect.fandom.com/wiki/Mass_Effect_3_Multiplayer</x:v>
      </x:c>
      <x:c r="S9" s="20" t="str">
        <x:v>Spécification à réaliser. Les champs adaptation, gameplay, visual, animation, audio et implementation décrivent le fan game ; ils ne donnent pas des caractéristiques officielles de l’œuvre.</x:v>
      </x:c>
    </x:row>
    <x:row r="10" ht="68" customHeight="1">
      <x:c r="A10" s="19" t="str">
        <x:v>ME3-SYS-MP-RETALIATION</x:v>
      </x:c>
      <x:c r="B10" s="7" t="str">
        <x:v>Multijoueur — Retaliation</x:v>
      </x:c>
      <x:c r="C10" s="15" t="str">
        <x:v>Défini</x:v>
      </x:c>
      <x:c r="D10" s="17" t="str">
        <x:v>Établi</x:v>
      </x:c>
      <x:c r="E10" s="17" t="str">
        <x:v>P1</x:v>
      </x:c>
      <x:c r="F10" s="7" t="str">
        <x:v>Pack multijoueur incluant les Récolteurs et des dangers.</x:v>
      </x:c>
      <x:c r="G10" s="7" t="str">
        <x:v>Activer faction Récolteurs, défis et versions dangereuses ; danger de carte et attaque ennemie ont signaux différents.</x:v>
      </x:c>
      <x:c r="H10" s="7" t="str">
        <x:v>Activer faction Récolteurs, défis et versions dangereuses ; danger de carte et attaque ennemie ont signaux différents.</x:v>
      </x:c>
      <x:c r="I10" s="7" t="str">
        <x:v>Carte de pack avec emblème multijoueur et version.</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me3/systems/mp-retaliation ; rattacher les ressources et états cités à cet identifiant. Aucun fichier de jeu créé par ce catalogue.</x:v>
      </x:c>
      <x:c r="M10" s="7" t="str">
        <x:v>ME3 original multijoueur uniquement ; aucun lien de sélection solo.</x:v>
      </x:c>
      <x:c r="N10" s="7" t="str">
        <x:v>Installer ou masquer ce pack ne change aucun drapeau de compagnon, quête ou scène solo ; sa liste exacte reste vérifiable dans le manifeste dédié.</x:v>
      </x:c>
      <x:c r="O10" s="7" t="str"/>
      <x:c r="P10" s="7" t="str">
        <x:v>Multijoueur — Retaliation</x:v>
      </x:c>
      <x:c r="Q10" s="7" t="str">
        <x:v>ME3-SRC-MP</x:v>
      </x:c>
      <x:c r="R10" s="21" t="str">
        <x:v>https://masseffect.fandom.com/wiki/Mass_Effect_3_Multiplayer</x:v>
      </x:c>
      <x:c r="S10" s="21" t="str">
        <x:v>Spécification à réaliser. Les champs adaptation, gameplay, visual, animation, audio et implementation décrivent le fan game ; ils ne donnent pas des caractéristiques officielles de l’œuvre.</x:v>
      </x:c>
    </x:row>
    <x:row r="11" ht="68" customHeight="1">
      <x:c r="A11" s="18" t="str">
        <x:v>ME3-SYS-MP-RECKONING</x:v>
      </x:c>
      <x:c r="B11" s="9" t="str">
        <x:v>Multijoueur — Reckoning</x:v>
      </x:c>
      <x:c r="C11" s="15" t="str">
        <x:v>Défini</x:v>
      </x:c>
      <x:c r="D11" s="16" t="str">
        <x:v>Établi</x:v>
      </x:c>
      <x:c r="E11" s="16" t="str">
        <x:v>P1</x:v>
      </x:c>
      <x:c r="F11" s="9" t="str">
        <x:v>Pack multijoueur annoncé par BioWare.</x:v>
      </x:c>
      <x:c r="G11" s="9" t="str">
        <x:v>Registre de personnages et armes du pack ; Geth Juggernaut, Cabal Vanguard, Talon Mercenary, Alliance Infiltration Unit et Krogan Warlord sont des classes multi, jamais équipiers de campagne.</x:v>
      </x:c>
      <x:c r="H11" s="9" t="str">
        <x:v>Registre de personnages et armes du pack ; Geth Juggernaut, Cabal Vanguard, Talon Mercenary, Alliance Infiltration Unit et Krogan Warlord sont des classes multi, jamais équipiers de campagne.</x:v>
      </x:c>
      <x:c r="I11" s="9" t="str">
        <x:v>Carte de pack avec emblème multijoueur et version.</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me3/systems/mp-reckoning ; rattacher les ressources et états cités à cet identifiant. Aucun fichier de jeu créé par ce catalogue.</x:v>
      </x:c>
      <x:c r="M11" s="9" t="str">
        <x:v>ME3 original multijoueur uniquement ; aucun lien de sélection solo.</x:v>
      </x:c>
      <x:c r="N11" s="9" t="str">
        <x:v>Installer ou masquer ce pack ne change aucun drapeau de compagnon, quête ou scène solo ; sa liste exacte reste vérifiable dans le manifeste dédié.</x:v>
      </x:c>
      <x:c r="O11" s="9" t="str"/>
      <x:c r="P11" s="9" t="str">
        <x:v>Multijoueur — Reckoning</x:v>
      </x:c>
      <x:c r="Q11" s="9" t="str">
        <x:v>ME3-SRC-BW-CITADEL</x:v>
      </x:c>
      <x:c r="R11" s="20" t="str">
        <x:v>https://blog.bioware.com/2013/02/21/mass-effect-3-citadel-reckoning-dlc-announced/</x:v>
      </x:c>
      <x:c r="S11" s="20" t="str">
        <x:v>Spécification à réaliser. Les champs adaptation, gameplay, visual, animation, audio et implementation décrivent le fan game ; ils ne donnent pas des caractéristiques officielles de l’œuvre.</x:v>
      </x:c>
    </x:row>
    <x:row r="12" ht="68" customHeight="1">
      <x:c r="A12" s="19" t="str">
        <x:v>ME3-SYS-ATB</x:v>
      </x:c>
      <x:c r="B12" s="7" t="str">
        <x:v>ATB hybride de ME3</x:v>
      </x:c>
      <x:c r="C12" s="15" t="str">
        <x:v>Défini</x:v>
      </x:c>
      <x:c r="D12" s="17" t="str">
        <x:v>Extrapolation</x:v>
      </x:c>
      <x:c r="E12" s="17" t="str">
        <x:v>P1</x:v>
      </x:c>
      <x:c r="F12" s="7" t="str">
        <x:v>Livrable original proposé : ATB hybride de ME3.</x:v>
      </x:c>
      <x:c r="G12" s="7" t="str">
        <x:v>File visible d’actions de trois membres, pause tactique facultative ; préparation, résolution et récupération séparées, annulation selon étape annoncée.</x:v>
      </x:c>
      <x:c r="H12" s="7" t="str">
        <x:v>File visible d’actions de trois membres, pause tactique facultative ; préparation, résolution et récupération séparées, annulation selon étape annoncée.</x:v>
      </x:c>
      <x:c r="I12" s="7" t="str">
        <x:v>Jauges proches des portraits et chronologie courte.</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me3/systems/atb ; rattacher les ressources et états cités à cet identifiant. Aucun fichier de jeu créé par ce catalogue.</x:v>
      </x:c>
      <x:c r="M12" s="7" t="str"/>
      <x:c r="N12" s="7" t="str">
        <x:v>Le livrable « ATB hybride de ME3 » possède une scène ou un scénario de contrôle ; ses règles proposées, ses conditions et ses retours visuels sont vérifiables séparément.</x:v>
      </x:c>
      <x:c r="O12" s="7" t="str">
        <x:v>ME3-CHR-SHEPARD</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ME3-SYS-COVER</x:v>
      </x:c>
      <x:c r="B13" s="9" t="str">
        <x:v>Couvert sur décor 3D</x:v>
      </x:c>
      <x:c r="C13" s="15" t="str">
        <x:v>Défini</x:v>
      </x:c>
      <x:c r="D13" s="16" t="str">
        <x:v>Extrapolation</x:v>
      </x:c>
      <x:c r="E13" s="16" t="str">
        <x:v>P1</x:v>
      </x:c>
      <x:c r="F13" s="9" t="str">
        <x:v>Livrable original proposé : Couvert sur décor 3D.</x:v>
      </x:c>
      <x:c r="G13" s="9" t="str">
        <x:v>Tags haut/bas et côtés exposés ; tester visée depuis pivot au sol indépendamment de taille du sprite.</x:v>
      </x:c>
      <x:c r="H13" s="9" t="str">
        <x:v>Tags haut/bas et côtés exposés ; tester visée depuis pivot au sol indépendamment de taille du sprite.</x:v>
      </x:c>
      <x:c r="I13" s="9" t="str">
        <x:v>Contours de couvert à survol.</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me3/systems/cover ; rattacher les ressources et états cités à cet identifiant. Aucun fichier de jeu créé par ce catalogue.</x:v>
      </x:c>
      <x:c r="M13" s="9" t="str"/>
      <x:c r="N13" s="9" t="str">
        <x:v>Le livrable « Couvert sur décor 3D » possède une scène ou un scénario de contrôle ; ses règles proposées, ses conditions et ses retours visuels sont vérifiables séparément.</x:v>
      </x:c>
      <x:c r="O13" s="9" t="str">
        <x:v>ME3-SCN-CITADEL</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ME3-SYS-TRAVERSAL</x:v>
      </x:c>
      <x:c r="B14" s="7" t="str">
        <x:v>Déplacement, roulade et franchissement</x:v>
      </x:c>
      <x:c r="C14" s="15" t="str">
        <x:v>Défini</x:v>
      </x:c>
      <x:c r="D14" s="17" t="str">
        <x:v>Extrapolation</x:v>
      </x:c>
      <x:c r="E14" s="17" t="str">
        <x:v>P1</x:v>
      </x:c>
      <x:c r="F14" s="7" t="str">
        <x:v>Livrable original proposé : Déplacement, roulade et franchissement.</x:v>
      </x:c>
      <x:c r="G14" s="7" t="str">
        <x:v>Actions de mouvement utilisent réservation de destination ; coût ATB proposé distingue déplacement sûr et esquive de menace active.</x:v>
      </x:c>
      <x:c r="H14" s="7" t="str">
        <x:v>Actions de mouvement utilisent réservation de destination ; coût ATB proposé distingue déplacement sûr et esquive de menace active.</x:v>
      </x:c>
      <x:c r="I14" s="7" t="str">
        <x:v>Chemin et position fantôme.</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me3/systems/traversal ; rattacher les ressources et états cités à cet identifiant. Aucun fichier de jeu créé par ce catalogue.</x:v>
      </x:c>
      <x:c r="M14" s="7" t="str"/>
      <x:c r="N14" s="7" t="str">
        <x:v>Le livrable « Déplacement, roulade et franchissement » possède une scène ou un scénario de contrôle ; ses règles proposées, ses conditions et ses retours visuels sont vérifiables séparément.</x:v>
      </x:c>
      <x:c r="O14" s="7" t="str">
        <x:v>ME3-ANI-VAULT</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ME3-SYS-DEFENSES</x:v>
      </x:c>
      <x:c r="B15" s="9" t="str">
        <x:v>Protections et immunités</x:v>
      </x:c>
      <x:c r="C15" s="15" t="str">
        <x:v>Défini</x:v>
      </x:c>
      <x:c r="D15" s="16" t="str">
        <x:v>Extrapolation</x:v>
      </x:c>
      <x:c r="E15" s="16" t="str">
        <x:v>P1</x:v>
      </x:c>
      <x:c r="F15" s="9" t="str">
        <x:v>Livrable original proposé : Protections et immunités.</x:v>
      </x:c>
      <x:c r="G15" s="9" t="str">
        <x:v>Santé, armure, bouclier et barrière ont règles séparées ; prévisualiser contrôle résistant et dégâts admis.</x:v>
      </x:c>
      <x:c r="H15" s="9" t="str">
        <x:v>Santé, armure, bouclier et barrière ont règles séparées ; prévisualiser contrôle résistant et dégâts admis.</x:v>
      </x:c>
      <x:c r="I15" s="9" t="str">
        <x:v>Quatre barres avec motifs et noms.</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me3/systems/defenses ; rattacher les ressources et états cités à cet identifiant. Aucun fichier de jeu créé par ce catalogue.</x:v>
      </x:c>
      <x:c r="M15" s="9" t="str"/>
      <x:c r="N15" s="9" t="str">
        <x:v>Le livrable « Protections et immunités » possède une scène ou un scénario de contrôle ; ses règles proposées, ses conditions et ses retours visuels sont vérifiables séparément.</x:v>
      </x:c>
      <x:c r="O15" s="9" t="str">
        <x:v>ME3-VFX-PROTECTION</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ME3-SYS-COMBOS</x:v>
      </x:c>
      <x:c r="B16" s="7" t="str">
        <x:v>Amorces et détonateurs</x:v>
      </x:c>
      <x:c r="C16" s="15" t="str">
        <x:v>Défini</x:v>
      </x:c>
      <x:c r="D16" s="17" t="str">
        <x:v>Extrapolation</x:v>
      </x:c>
      <x:c r="E16" s="17" t="str">
        <x:v>P1</x:v>
      </x:c>
      <x:c r="F16" s="7" t="str">
        <x:v>Livrable original proposé : Amorces et détonateurs.</x:v>
      </x:c>
      <x:c r="G16" s="7" t="str">
        <x:v>Table explicite feu/glace/tech/biotique ; détonation résout une fois, consomme l’amorce voulue et laisse les autres selon règle annoncée.</x:v>
      </x:c>
      <x:c r="H16" s="7" t="str">
        <x:v>Table explicite feu/glace/tech/biotique ; détonation résout une fois, consomme l’amorce voulue et laisse les autres selon règle annoncée.</x:v>
      </x:c>
      <x:c r="I16" s="7" t="str">
        <x:v>Icônes de compatibilité dans sélection.</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me3/systems/combos ; rattacher les ressources et états cités à cet identifiant. Aucun fichier de jeu créé par ce catalogue.</x:v>
      </x:c>
      <x:c r="M16" s="7" t="str"/>
      <x:c r="N16" s="7" t="str">
        <x:v>Le livrable « Amorces et détonateurs » possède une scène ou un scénario de contrôle ; ses règles proposées, ses conditions et ses retours visuels sont vérifiables séparément.</x:v>
      </x:c>
      <x:c r="O16" s="7" t="str">
        <x:v>ME3-VFX-PRIMER</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ME3-SYS-WEIGHT</x:v>
      </x:c>
      <x:c r="B17" s="9" t="str">
        <x:v>Masse d’armes et récupération</x:v>
      </x:c>
      <x:c r="C17" s="15" t="str">
        <x:v>Défini</x:v>
      </x:c>
      <x:c r="D17" s="16" t="str">
        <x:v>Extrapolation</x:v>
      </x:c>
      <x:c r="E17" s="16" t="str">
        <x:v>P1</x:v>
      </x:c>
      <x:c r="F17" s="9" t="str">
        <x:v>Livrable original proposé : Masse d’armes et récupération.</x:v>
      </x:c>
      <x:c r="G17" s="9" t="str">
        <x:v>Charge du loadout modifie récupération proposée ; aperçu avant validation et calcul unique lors du changement.</x:v>
      </x:c>
      <x:c r="H17" s="9" t="str">
        <x:v>Charge du loadout modifie récupération proposée ; aperçu avant validation et calcul unique lors du changement.</x:v>
      </x:c>
      <x:c r="I17" s="9" t="str">
        <x:v>Jauge de masse et délai estimé.</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me3/systems/weight ; rattacher les ressources et états cités à cet identifiant. Aucun fichier de jeu créé par ce catalogue.</x:v>
      </x:c>
      <x:c r="M17" s="9" t="str"/>
      <x:c r="N17" s="9" t="str">
        <x:v>Le livrable « Masse d’armes et récupération » possède une scène ou un scénario de contrôle ; ses règles proposées, ses conditions et ses retours visuels sont vérifiables séparément.</x:v>
      </x:c>
      <x:c r="O17" s="9" t="str">
        <x:v>ME3-EQP-ULTRALIGHT</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ME3-SYS-EVOLUTION</x:v>
      </x:c>
      <x:c r="B18" s="7" t="str">
        <x:v>Arbres de pouvoirs</x:v>
      </x:c>
      <x:c r="C18" s="15" t="str">
        <x:v>Défini</x:v>
      </x:c>
      <x:c r="D18" s="17" t="str">
        <x:v>Extrapolation</x:v>
      </x:c>
      <x:c r="E18" s="17" t="str">
        <x:v>P1</x:v>
      </x:c>
      <x:c r="F18" s="7" t="str">
        <x:v>Livrable original proposé : Arbres de pouvoirs.</x:v>
      </x:c>
      <x:c r="G18" s="7" t="str">
        <x:v>Rangs et bifurcations lisibles ; séparer effet actif, passif et changement de combo, avec restauration de points contrôlée.</x:v>
      </x:c>
      <x:c r="H18" s="7" t="str">
        <x:v>Rangs et bifurcations lisibles ; séparer effet actif, passif et changement de combo, avec restauration de points contrôlée.</x:v>
      </x:c>
      <x:c r="I18" s="7" t="str">
        <x:v>Arbre compact et résumé de build.</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me3/systems/evolution ; rattacher les ressources et états cités à cet identifiant. Aucun fichier de jeu créé par ce catalogue.</x:v>
      </x:c>
      <x:c r="M18" s="7" t="str"/>
      <x:c r="N18" s="7" t="str">
        <x:v>Le livrable « Arbres de pouvoirs » possède une scène ou un scénario de contrôle ; ses règles proposées, ses conditions et ses retours visuels sont vérifiables séparément.</x:v>
      </x:c>
      <x:c r="O18" s="7" t="str">
        <x:v>ME3-POW-CLASS-PASSIVES</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ME3-SYS-WAR-ASSETS</x:v>
      </x:c>
      <x:c r="B19" s="9" t="str">
        <x:v>Ressources de guerre avec provenance</x:v>
      </x:c>
      <x:c r="C19" s="15" t="str">
        <x:v>Défini</x:v>
      </x:c>
      <x:c r="D19" s="16" t="str">
        <x:v>Extrapolation</x:v>
      </x:c>
      <x:c r="E19" s="16" t="str">
        <x:v>P1</x:v>
      </x:c>
      <x:c r="F19" s="9" t="str">
        <x:v>Livrable original proposé : Ressources de guerre avec provenance.</x:v>
      </x:c>
      <x:c r="G19" s="9" t="str">
        <x:v>Chaque contribution garde mission, décision et éventuel retrait ; montant proposé du fan game distinct des chiffres du jeu original.</x:v>
      </x:c>
      <x:c r="H19" s="9" t="str">
        <x:v>Chaque contribution garde mission, décision et éventuel retrait ; montant proposé du fan game distinct des chiffres du jeu original.</x:v>
      </x:c>
      <x:c r="I19" s="9" t="str">
        <x:v>Registre filtrable par faction.</x:v>
      </x:c>
      <x:c r="J19" s="9" t="str">
        <x:v>Transitions de caméra et d’interface interruptibles ; aucun délai d’animation ne doit consommer une décision encore ouverte.</x:v>
      </x:c>
      <x:c r="K19" s="9" t="str">
        <x:v>Créer des bruitages et ambiances originaux adaptés au livrable ; sous-titrer les indices utiles et proposer un réglage indépendant des effets. Aucune extraction audio demandée.</x:v>
      </x:c>
      <x:c r="L19" s="9" t="str">
        <x:v>Prévu : fiche de données me3/systems/war-assets ; rattacher les ressources et états cités à cet identifiant. Aucun fichier de jeu créé par ce catalogue.</x:v>
      </x:c>
      <x:c r="M19" s="9" t="str"/>
      <x:c r="N19" s="9" t="str">
        <x:v>Le livrable « Ressources de guerre avec provenance » possède une scène ou un scénario de contrôle ; ses règles proposées, ses conditions et ses retours visuels sont vérifiables séparément.</x:v>
      </x:c>
      <x:c r="O19" s="9" t="str">
        <x:v>ME3-PRP-WAR-TABLE</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68" customHeight="1">
      <x:c r="A20" s="19" t="str">
        <x:v>ME3-SYS-READINESS</x:v>
      </x:c>
      <x:c r="B20" s="7" t="str">
        <x:v>Original / Legendary : préparation de guerre</x:v>
      </x:c>
      <x:c r="C20" s="15" t="str">
        <x:v>Défini</x:v>
      </x:c>
      <x:c r="D20" s="17" t="str">
        <x:v>Extrapolation</x:v>
      </x:c>
      <x:c r="E20" s="17" t="str">
        <x:v>P1</x:v>
      </x:c>
      <x:c r="F20" s="7" t="str">
        <x:v>Livrable original proposé : Original / Legendary : préparation de guerre.</x:v>
      </x:c>
      <x:c r="G20" s="7" t="str">
        <x:v>Deux profils de règles ; original peut relier readiness au multi, Legendary solo ne dépend d’aucun service multi ni application.</x:v>
      </x:c>
      <x:c r="H20" s="7" t="str">
        <x:v>Deux profils de règles ; original peut relier readiness au multi, Legendary solo ne dépend d’aucun service multi ni application.</x:v>
      </x:c>
      <x:c r="I20" s="7" t="str">
        <x:v>Étiquette de version persistante.</x:v>
      </x:c>
      <x:c r="J20" s="7" t="str">
        <x:v>Transitions de caméra et d’interface interruptibles ; aucun délai d’animation ne doit consommer une décision encore ouverte.</x:v>
      </x:c>
      <x:c r="K20" s="7" t="str">
        <x:v>Créer des bruitages et ambiances originaux adaptés au livrable ; sous-titrer les indices utiles et proposer un réglage indépendant des effets. Aucune extraction audio demandée.</x:v>
      </x:c>
      <x:c r="L20" s="7" t="str">
        <x:v>Prévu : fiche de données me3/systems/readiness ; rattacher les ressources et états cités à cet identifiant. Aucun fichier de jeu créé par ce catalogue.</x:v>
      </x:c>
      <x:c r="M20" s="7" t="str">
        <x:v>Profil de version choisi avant campagne.</x:v>
      </x:c>
      <x:c r="N20" s="7" t="str">
        <x:v>Le livrable « Original / Legendary : préparation de guerre » possède une scène ou un scénario de contrôle ; ses règles proposées, ses conditions et ses retours visuels sont vérifiables séparément.</x:v>
      </x:c>
      <x:c r="O20" s="7" t="str">
        <x:v>ME3-CHO-IMPORT</x:v>
      </x:c>
      <x:c r="P20" s="7" t="str">
        <x:v>Gameplay Calibrations — Legendary Edition</x:v>
      </x:c>
      <x:c r="Q20" s="7" t="str">
        <x:v>ME3-SRC-EA-CAL</x:v>
      </x:c>
      <x:c r="R20" s="21" t="str">
        <x:v>https://www.ea.com/ea-play/news/gameplay-calibrations</x:v>
      </x:c>
      <x:c r="S20" s="21" t="str">
        <x:v>Spécification à réaliser. Les champs adaptation, gameplay, visual, animation, audio et implementation décrivent le fan game ; ils ne donnent pas des caractéristiques officielles de l’œuvre.</x:v>
      </x:c>
    </x:row>
    <x:row r="21" ht="68" customHeight="1">
      <x:c r="A21" s="18" t="str">
        <x:v>ME3-SYS-SCAN</x:v>
      </x:c>
      <x:c r="B21" s="9" t="str">
        <x:v>Scan galactique et poursuite</x:v>
      </x:c>
      <x:c r="C21" s="15" t="str">
        <x:v>Défini</x:v>
      </x:c>
      <x:c r="D21" s="16" t="str">
        <x:v>Extrapolation</x:v>
      </x:c>
      <x:c r="E21" s="16" t="str">
        <x:v>P1</x:v>
      </x:c>
      <x:c r="F21" s="9" t="str">
        <x:v>Livrable original proposé : Scan galactique et poursuite.</x:v>
      </x:c>
      <x:c r="G21" s="9" t="str">
        <x:v>Scan détecte ressources et peut accroître alerte ; fuite revient à une carte cohérente, données acquises restent sauvegardées.</x:v>
      </x:c>
      <x:c r="H21" s="9" t="str">
        <x:v>Scan détecte ressources et peut accroître alerte ; fuite revient à une carte cohérente, données acquises restent sauvegardées.</x:v>
      </x:c>
      <x:c r="I21" s="9" t="str">
        <x:v>Carte avec alerte et marqueurs de collecte.</x:v>
      </x:c>
      <x:c r="J21" s="9" t="str">
        <x:v>Transitions de caméra et d’interface interruptibles ; aucun délai d’animation ne doit consommer une décision encore ouverte.</x:v>
      </x:c>
      <x:c r="K21" s="9" t="str">
        <x:v>Créer des bruitages et ambiances originaux adaptés au livrable ; sous-titrer les indices utiles et proposer un réglage indépendant des effets. Aucune extraction audio demandée.</x:v>
      </x:c>
      <x:c r="L21" s="9" t="str">
        <x:v>Prévu : fiche de données me3/systems/scan ; rattacher les ressources et états cités à cet identifiant. Aucun fichier de jeu créé par ce catalogue.</x:v>
      </x:c>
      <x:c r="M21" s="9" t="str"/>
      <x:c r="N21" s="9" t="str">
        <x:v>Le livrable « Scan galactique et poursuite » possède une scène ou un scénario de contrôle ; ses règles proposées, ses conditions et ses retours visuels sont vérifiables séparément.</x:v>
      </x:c>
      <x:c r="O21" s="9" t="str">
        <x:v>ME3-VFX-MAP-SCAN</x:v>
      </x:c>
      <x:c r="P21" s="9" t="str">
        <x:v>Adaptation originale — spécification de production</x:v>
      </x:c>
      <x:c r="Q21" s="9" t="str"/>
      <x:c r="R21" s="20" t="str"/>
      <x:c r="S21" s="20" t="str">
        <x:v>Spécification à réaliser. Les champs adaptation, gameplay, visual, animation, audio et implementation décrivent le fan game ; ils ne donnent pas des caractéristiques officielles de l’œuvre.</x:v>
      </x:c>
    </x:row>
    <x:row r="22" ht="68" customHeight="1">
      <x:c r="A22" s="19" t="str">
        <x:v>ME3-SYS-JOURNAL</x:v>
      </x:c>
      <x:c r="B22" s="7" t="str">
        <x:v>Journal : enquête, collecte, remise</x:v>
      </x:c>
      <x:c r="C22" s="15" t="str">
        <x:v>Défini</x:v>
      </x:c>
      <x:c r="D22" s="17" t="str">
        <x:v>Extrapolation</x:v>
      </x:c>
      <x:c r="E22" s="17" t="str">
        <x:v>P1</x:v>
      </x:c>
      <x:c r="F22" s="7" t="str">
        <x:v>Livrable original proposé : Journal : enquête, collecte, remise.</x:v>
      </x:c>
      <x:c r="G22" s="7" t="str">
        <x:v>États distincts évitent de marquer une mission finie dès réception d’objet ; les demandes civiles ont destinataire visible.</x:v>
      </x:c>
      <x:c r="H22" s="7" t="str">
        <x:v>États distincts évitent de marquer une mission finie dès réception d’objet ; les demandes civiles ont destinataire visible.</x:v>
      </x:c>
      <x:c r="I22" s="7" t="str">
        <x:v>Liste triable par lieu et prochaine action.</x:v>
      </x:c>
      <x:c r="J22" s="7" t="str">
        <x:v>Transitions de caméra et d’interface interruptibles ; aucun délai d’animation ne doit consommer une décision encore ouverte.</x:v>
      </x:c>
      <x:c r="K22" s="7" t="str">
        <x:v>Créer des bruitages et ambiances originaux adaptés au livrable ; sous-titrer les indices utiles et proposer un réglage indépendant des effets. Aucune extraction audio demandée.</x:v>
      </x:c>
      <x:c r="L22" s="7" t="str">
        <x:v>Prévu : fiche de données me3/systems/journal ; rattacher les ressources et états cités à cet identifiant. Aucun fichier de jeu créé par ce catalogue.</x:v>
      </x:c>
      <x:c r="M22" s="7" t="str"/>
      <x:c r="N22" s="7" t="str">
        <x:v>Le livrable « Journal : enquête, collecte, remise » possède une scène ou un scénario de contrôle ; ses règles proposées, ses conditions et ses retours visuels sont vérifiables séparément.</x:v>
      </x:c>
      <x:c r="O22" s="7" t="str">
        <x:v>ME3-SQ-MEDFORM</x:v>
      </x:c>
      <x:c r="P22" s="7" t="str">
        <x:v>Adaptation originale — spécification de production</x:v>
      </x:c>
      <x:c r="Q22" s="7" t="str"/>
      <x:c r="R22" s="21" t="str"/>
      <x:c r="S22" s="21" t="str">
        <x:v>Spécification à réaliser. Les champs adaptation, gameplay, visual, animation, audio et implementation décrivent le fan game ; ils ne donnent pas des caractéristiques officielles de l’œuvre.</x:v>
      </x:c>
    </x:row>
    <x:row r="23" ht="68" customHeight="1">
      <x:c r="A23" s="18" t="str">
        <x:v>ME3-SYS-DEADLINES</x:v>
      </x:c>
      <x:c r="B23" s="9" t="str">
        <x:v>Échéances de campagne</x:v>
      </x:c>
      <x:c r="C23" s="15" t="str">
        <x:v>Défini</x:v>
      </x:c>
      <x:c r="D23" s="16" t="str">
        <x:v>Extrapolation</x:v>
      </x:c>
      <x:c r="E23" s="16" t="str">
        <x:v>P1</x:v>
      </x:c>
      <x:c r="F23" s="9" t="str">
        <x:v>Livrable original proposé : Échéances de campagne.</x:v>
      </x:c>
      <x:c r="G23" s="9" t="str">
        <x:v>Horloge en événements de missions, pas en temps réel de lecture ; avertissements de point de non-retour proposés avant départ.</x:v>
      </x:c>
      <x:c r="H23" s="9" t="str">
        <x:v>Horloge en événements de missions, pas en temps réel de lecture ; avertissements de point de non-retour proposés avant départ.</x:v>
      </x:c>
      <x:c r="I23" s="9" t="str">
        <x:v>Marqueur d’urgence et condition d’expiration.</x:v>
      </x:c>
      <x:c r="J23" s="9" t="str">
        <x:v>Transitions de caméra et d’interface interruptibles ; aucun délai d’animation ne doit consommer une décision encore ouverte.</x:v>
      </x:c>
      <x:c r="K23" s="9" t="str">
        <x:v>Créer des bruitages et ambiances originaux adaptés au livrable ; sous-titrer les indices utiles et proposer un réglage indépendant des effets. Aucune extraction audio demandée.</x:v>
      </x:c>
      <x:c r="L23" s="9" t="str">
        <x:v>Prévu : fiche de données me3/systems/deadlines ; rattacher les ressources et états cités à cet identifiant. Aucun fichier de jeu créé par ce catalogue.</x:v>
      </x:c>
      <x:c r="M23" s="9" t="str"/>
      <x:c r="N23" s="9" t="str">
        <x:v>Le livrable « Échéances de campagne » possède une scène ou un scénario de contrôle ; ses règles proposées, ses conditions et ses retours visuels sont vérifiables séparément.</x:v>
      </x:c>
      <x:c r="O23" s="9" t="str">
        <x:v>ME3-SQ-BOMB, ME3-SQ-GRISSOM</x:v>
      </x:c>
      <x:c r="P23" s="9" t="str">
        <x:v>Adaptation originale — spécification de production</x:v>
      </x:c>
      <x:c r="Q23" s="9" t="str"/>
      <x:c r="R23" s="20" t="str"/>
      <x:c r="S23" s="20" t="str">
        <x:v>Spécification à réaliser. Les champs adaptation, gameplay, visual, animation, audio et implementation décrivent le fan game ; ils ne donnent pas des caractéristiques officielles de l’œuvre.</x:v>
      </x:c>
    </x:row>
    <x:row r="24" ht="68" customHeight="1">
      <x:c r="A24" s="19" t="str">
        <x:v>ME3-SYS-ROSTER</x:v>
      </x:c>
      <x:c r="B24" s="7" t="str">
        <x:v>Composition et substitutions</x:v>
      </x:c>
      <x:c r="C24" s="15" t="str">
        <x:v>Défini</x:v>
      </x:c>
      <x:c r="D24" s="17" t="str">
        <x:v>Extrapolation</x:v>
      </x:c>
      <x:c r="E24" s="17" t="str">
        <x:v>P1</x:v>
      </x:c>
      <x:c r="F24" s="7" t="str">
        <x:v>Livrable original proposé : Composition et substitutions.</x:v>
      </x:c>
      <x:c r="G24" s="7" t="str">
        <x:v>Règles par chapitre, DLC et mode ; Mordin/Wiks, Ashley/Kaidan, Aria/Nyreen et Armax ne partagent pas un seul roster permanent.</x:v>
      </x:c>
      <x:c r="H24" s="7" t="str">
        <x:v>Règles par chapitre, DLC et mode ; Mordin/Wiks, Ashley/Kaidan, Aria/Nyreen et Armax ne partagent pas un seul roster permanent.</x:v>
      </x:c>
      <x:c r="I24" s="7" t="str">
        <x:v>Portrait avec raison d’indisponibilité.</x:v>
      </x:c>
      <x:c r="J24" s="7" t="str">
        <x:v>Transitions de caméra et d’interface interruptibles ; aucun délai d’animation ne doit consommer une décision encore ouverte.</x:v>
      </x:c>
      <x:c r="K24" s="7" t="str">
        <x:v>Créer des bruitages et ambiances originaux adaptés au livrable ; sous-titrer les indices utiles et proposer un réglage indépendant des effets. Aucune extraction audio demandée.</x:v>
      </x:c>
      <x:c r="L24" s="7" t="str">
        <x:v>Prévu : fiche de données me3/systems/roster ; rattacher les ressources et états cités à cet identifiant. Aucun fichier de jeu créé par ce catalogue.</x:v>
      </x:c>
      <x:c r="M24" s="7" t="str"/>
      <x:c r="N24" s="7" t="str">
        <x:v>Le livrable « Composition et substitutions » possède une scène ou un scénario de contrôle ; ses règles proposées, ses conditions et ses retours visuels sont vérifiables séparément.</x:v>
      </x:c>
      <x:c r="O24" s="7" t="str">
        <x:v>ME3-CHR-ARIA, ME3-CHR-WREX</x:v>
      </x:c>
      <x:c r="P24" s="7" t="str">
        <x:v>Adaptation originale — spécification de production</x:v>
      </x:c>
      <x:c r="Q24" s="7" t="str"/>
      <x:c r="R24" s="21" t="str"/>
      <x:c r="S24" s="21" t="str">
        <x:v>Spécification à réaliser. Les champs adaptation, gameplay, visual, animation, audio et implementation décrivent le fan game ; ils ne donnent pas des caractéristiques officielles de l’œuvre.</x:v>
      </x:c>
    </x:row>
    <x:row r="25" ht="68" customHeight="1">
      <x:c r="A25" s="18" t="str">
        <x:v>ME3-SYS-ROMANCE</x:v>
      </x:c>
      <x:c r="B25" s="9" t="str">
        <x:v>État des relations</x:v>
      </x:c>
      <x:c r="C25" s="15" t="str">
        <x:v>Défini</x:v>
      </x:c>
      <x:c r="D25" s="16" t="str">
        <x:v>Extrapolation</x:v>
      </x:c>
      <x:c r="E25" s="16" t="str">
        <x:v>P1</x:v>
      </x:c>
      <x:c r="F25" s="9" t="str">
        <x:v>Livrable original proposé : État des relations.</x:v>
      </x:c>
      <x:c r="G25" s="9" t="str">
        <x:v>Relation, flirt, rupture, passé et scène finale sont variables distinctes ; scripts ne déduisent pas romance du seul sexe de Shepard.</x:v>
      </x:c>
      <x:c r="H25" s="9" t="str">
        <x:v>Relation, flirt, rupture, passé et scène finale sont variables distinctes ; scripts ne déduisent pas romance du seul sexe de Shepard.</x:v>
      </x:c>
      <x:c r="I25" s="9" t="str">
        <x:v>Historique de scène consultable sans score affection affiché.</x:v>
      </x:c>
      <x:c r="J25" s="9" t="str">
        <x:v>Transitions de caméra et d’interface interruptibles ; aucun délai d’animation ne doit consommer une décision encore ouverte.</x:v>
      </x:c>
      <x:c r="K25" s="9" t="str">
        <x:v>Créer des bruitages et ambiances originaux adaptés au livrable ; sous-titrer les indices utiles et proposer un réglage indépendant des effets. Aucune extraction audio demandée.</x:v>
      </x:c>
      <x:c r="L25" s="9" t="str">
        <x:v>Prévu : fiche de données me3/systems/romance ; rattacher les ressources et états cités à cet identifiant. Aucun fichier de jeu créé par ce catalogue.</x:v>
      </x:c>
      <x:c r="M25" s="9" t="str"/>
      <x:c r="N25" s="9" t="str">
        <x:v>Le livrable « État des relations » possède une scène ou un scénario de contrôle ; ses règles proposées, ses conditions et ses retours visuels sont vérifiables séparément.</x:v>
      </x:c>
      <x:c r="O25" s="9" t="str">
        <x:v>ME3-CHO-ROMANCE</x:v>
      </x:c>
      <x:c r="P25" s="9" t="str">
        <x:v>Adaptation originale — spécification de production</x:v>
      </x:c>
      <x:c r="Q25" s="9" t="str"/>
      <x:c r="R25" s="20" t="str"/>
      <x:c r="S25" s="20" t="str">
        <x:v>Spécification à réaliser. Les champs adaptation, gameplay, visual, animation, audio et implementation décrivent le fan game ; ils ne donnent pas des caractéristiques officielles de l’œuvre.</x:v>
      </x:c>
    </x:row>
    <x:row r="26" ht="68" customHeight="1">
      <x:c r="A26" s="19" t="str">
        <x:v>ME3-SYS-DLC</x:v>
      </x:c>
      <x:c r="B26" s="7" t="str">
        <x:v>Ordre et admission des DLC</x:v>
      </x:c>
      <x:c r="C26" s="15" t="str">
        <x:v>Défini</x:v>
      </x:c>
      <x:c r="D26" s="17" t="str">
        <x:v>Extrapolation</x:v>
      </x:c>
      <x:c r="E26" s="17" t="str">
        <x:v>P1</x:v>
      </x:c>
      <x:c r="F26" s="7" t="str">
        <x:v>Livrable original proposé : Ordre et admission des DLC.</x:v>
      </x:c>
      <x:c r="G26" s="7" t="str">
        <x:v>Manifestes From Ashes, Leviathan, Omega et Citadel ; obligations de chapitre et roster contrôlées à l’entrée et au retour.</x:v>
      </x:c>
      <x:c r="H26" s="7" t="str">
        <x:v>Manifestes From Ashes, Leviathan, Omega et Citadel ; obligations de chapitre et roster contrôlées à l’entrée et au retour.</x:v>
      </x:c>
      <x:c r="I26" s="7" t="str">
        <x:v>Carte d’extension et avertissement contextuel.</x:v>
      </x:c>
      <x:c r="J26" s="7" t="str">
        <x:v>Transitions de caméra et d’interface interruptibles ; aucun délai d’animation ne doit consommer une décision encore ouverte.</x:v>
      </x:c>
      <x:c r="K26" s="7" t="str">
        <x:v>Créer des bruitages et ambiances originaux adaptés au livrable ; sous-titrer les indices utiles et proposer un réglage indépendant des effets. Aucune extraction audio demandée.</x:v>
      </x:c>
      <x:c r="L26" s="7" t="str">
        <x:v>Prévu : fiche de données me3/systems/dlc ; rattacher les ressources et états cités à cet identifiant. Aucun fichier de jeu créé par ce catalogue.</x:v>
      </x:c>
      <x:c r="M26" s="7" t="str"/>
      <x:c r="N26" s="7" t="str">
        <x:v>Le livrable « Ordre et admission des DLC » possède une scène ou un scénario de contrôle ; ses règles proposées, ses conditions et ses retours visuels sont vérifiables séparément.</x:v>
      </x:c>
      <x:c r="O26" s="7" t="str">
        <x:v>ME3-MQ-EDEN, ME3-MQ-OMEGA</x:v>
      </x:c>
      <x:c r="P26" s="7" t="str">
        <x:v>Adaptation originale — spécification de production</x:v>
      </x:c>
      <x:c r="Q26" s="7" t="str"/>
      <x:c r="R26" s="21" t="str"/>
      <x:c r="S26" s="21" t="str">
        <x:v>Spécification à réaliser. Les champs adaptation, gameplay, visual, animation, audio et implementation décrivent le fan game ; ils ne donnent pas des caractéristiques officielles de l’œuvre.</x:v>
      </x:c>
    </x:row>
    <x:row r="27" ht="68" customHeight="1">
      <x:c r="A27" s="18" t="str">
        <x:v>ME3-SYS-ARENA</x:v>
      </x:c>
      <x:c r="B27" s="9" t="str">
        <x:v>Simulateur Armax isolé</x:v>
      </x:c>
      <x:c r="C27" s="15" t="str">
        <x:v>Défini</x:v>
      </x:c>
      <x:c r="D27" s="16" t="str">
        <x:v>Extrapolation</x:v>
      </x:c>
      <x:c r="E27" s="16" t="str">
        <x:v>P1</x:v>
      </x:c>
      <x:c r="F27" s="9" t="str">
        <x:v>Livrable original proposé : Simulateur Armax isolé.</x:v>
      </x:c>
      <x:c r="G27" s="9" t="str">
        <x:v>Équipement, score et modificateurs en état temporaire ; absence de mort permanente des invités ; récompense persistée à sortie réussie.</x:v>
      </x:c>
      <x:c r="H27" s="9" t="str">
        <x:v>Équipement, score et modificateurs en état temporaire ; absence de mort permanente des invités ; récompense persistée à sortie réussie.</x:v>
      </x:c>
      <x:c r="I27" s="9" t="str">
        <x:v>Étiquette Simulation sur HUD.</x:v>
      </x:c>
      <x:c r="J27" s="9" t="str">
        <x:v>Transitions de caméra et d’interface interruptibles ; aucun délai d’animation ne doit consommer une décision encore ouverte.</x:v>
      </x:c>
      <x:c r="K27" s="9" t="str">
        <x:v>Créer des bruitages et ambiances originaux adaptés au livrable ; sous-titrer les indices utiles et proposer un réglage indépendant des effets. Aucune extraction audio demandée.</x:v>
      </x:c>
      <x:c r="L27" s="9" t="str">
        <x:v>Prévu : fiche de données me3/systems/arena ; rattacher les ressources et états cités à cet identifiant. Aucun fichier de jeu créé par ce catalogue.</x:v>
      </x:c>
      <x:c r="M27" s="9" t="str">
        <x:v>Citadel.</x:v>
      </x:c>
      <x:c r="N27" s="9" t="str">
        <x:v>Le livrable « Simulateur Armax isolé » possède une scène ou un scénario de contrôle ; ses règles proposées, ses conditions et ses retours visuels sont vérifiables séparément.</x:v>
      </x:c>
      <x:c r="O27" s="9" t="str">
        <x:v>ME3-SQ-ARMAX</x:v>
      </x:c>
      <x:c r="P27" s="9" t="str">
        <x:v>Adaptation originale — spécification de production</x:v>
      </x:c>
      <x:c r="Q27" s="9" t="str"/>
      <x:c r="R27" s="20" t="str"/>
      <x:c r="S27" s="20" t="str">
        <x:v>Spécification à réaliser. Les champs adaptation, gameplay, visual, animation, audio et implementation décrivent le fan game ; ils ne donnent pas des caractéristiques officielles de l’œuvre.</x:v>
      </x:c>
    </x:row>
    <x:row r="28" ht="68" customHeight="1">
      <x:c r="A28" s="19" t="str">
        <x:v>ME3-SYS-MP-WAVES</x:v>
      </x:c>
      <x:c r="B28" s="7" t="str">
        <x:v>Module coopératif à vagues</x:v>
      </x:c>
      <x:c r="C28" s="15" t="str">
        <x:v>Défini</x:v>
      </x:c>
      <x:c r="D28" s="17" t="str">
        <x:v>Extrapolation</x:v>
      </x:c>
      <x:c r="E28" s="17" t="str">
        <x:v>P1</x:v>
      </x:c>
      <x:c r="F28" s="7" t="str">
        <x:v>Livrable original proposé : Module coopératif à vagues.</x:v>
      </x:c>
      <x:c r="G28" s="7" t="str">
        <x:v>Objectifs, réanimation, extraction et budgets de menace séparés du solo ; synchroniser décisions ATB par mode coopératif explicitement expérimental.</x:v>
      </x:c>
      <x:c r="H28" s="7" t="str">
        <x:v>Objectifs, réanimation, extraction et budgets de menace séparés du solo ; synchroniser décisions ATB par mode coopératif explicitement expérimental.</x:v>
      </x:c>
      <x:c r="I28" s="7" t="str">
        <x:v>Quatre portraits et statut de vague.</x:v>
      </x:c>
      <x:c r="J28" s="7" t="str">
        <x:v>Transitions de caméra et d’interface interruptibles ; aucun délai d’animation ne doit consommer une décision encore ouverte.</x:v>
      </x:c>
      <x:c r="K28" s="7" t="str">
        <x:v>Créer des bruitages et ambiances originaux adaptés au livrable ; sous-titrer les indices utiles et proposer un réglage indépendant des effets. Aucune extraction audio demandée.</x:v>
      </x:c>
      <x:c r="L28" s="7" t="str">
        <x:v>Prévu : fiche de données me3/systems/mp-waves ; rattacher les ressources et états cités à cet identifiant. Aucun fichier de jeu créé par ce catalogue.</x:v>
      </x:c>
      <x:c r="M28" s="7" t="str">
        <x:v>Multijoueur original adapté, absent Legendary.</x:v>
      </x:c>
      <x:c r="N28" s="7" t="str">
        <x:v>Le livrable « Module coopératif à vagues » possède une scène ou un scénario de contrôle ; ses règles proposées, ses conditions et ses retours visuels sont vérifiables séparément.</x:v>
      </x:c>
      <x:c r="O28" s="7" t="str">
        <x:v>ME3-SYS-MP-RETALIATION</x:v>
      </x:c>
      <x:c r="P28" s="7" t="str">
        <x:v>Adaptation originale — spécification de production</x:v>
      </x:c>
      <x:c r="Q28" s="7" t="str"/>
      <x:c r="R28" s="21" t="str"/>
      <x:c r="S28" s="21" t="str">
        <x:v>Spécification à réaliser. Les champs adaptation, gameplay, visual, animation, audio et implementation décrivent le fan game ; ils ne donnent pas des caractéristiques officielles de l’œuvre.</x:v>
      </x:c>
    </x:row>
    <x:row r="29" ht="68" customHeight="1">
      <x:c r="A29" s="18" t="str">
        <x:v>ME3-SYS-MP-HAZARDS</x:v>
      </x:c>
      <x:c r="B29" s="9" t="str">
        <x:v>Dangers des cartes multijoueurs</x:v>
      </x:c>
      <x:c r="C29" s="15" t="str">
        <x:v>Défini</x:v>
      </x:c>
      <x:c r="D29" s="16" t="str">
        <x:v>Extrapolation</x:v>
      </x:c>
      <x:c r="E29" s="16" t="str">
        <x:v>P1</x:v>
      </x:c>
      <x:c r="F29" s="9" t="str">
        <x:v>Livrable original proposé : Dangers des cartes multijoueurs.</x:v>
      </x:c>
      <x:c r="G29" s="9" t="str">
        <x:v>Variantes tempête, pluie acide, nuit, essaims, réacteur et blizzard ; danger paramétré par carte, télégraphe et chemin sûr toujours visibles.</x:v>
      </x:c>
      <x:c r="H29" s="9" t="str">
        <x:v>Variantes tempête, pluie acide, nuit, essaims, réacteur et blizzard ; danger paramétré par carte, télégraphe et chemin sûr toujours visibles.</x:v>
      </x:c>
      <x:c r="I29" s="9" t="str">
        <x:v>Pictogramme danger, intensité et abris.</x:v>
      </x:c>
      <x:c r="J29" s="9" t="str">
        <x:v>Transitions de caméra et d’interface interruptibles ; aucun délai d’animation ne doit consommer une décision encore ouverte.</x:v>
      </x:c>
      <x:c r="K29" s="9" t="str">
        <x:v>Créer des bruitages et ambiances originaux adaptés au livrable ; sous-titrer les indices utiles et proposer un réglage indépendant des effets. Aucune extraction audio demandée.</x:v>
      </x:c>
      <x:c r="L29" s="9" t="str">
        <x:v>Prévu : fiche de données me3/systems/mp-hazards ; rattacher les ressources et états cités à cet identifiant. Aucun fichier de jeu créé par ce catalogue.</x:v>
      </x:c>
      <x:c r="M29" s="9" t="str">
        <x:v>Module multi uniquement.</x:v>
      </x:c>
      <x:c r="N29" s="9" t="str">
        <x:v>Le livrable « Dangers des cartes multijoueurs » possède une scène ou un scénario de contrôle ; ses règles proposées, ses conditions et ses retours visuels sont vérifiables séparément.</x:v>
      </x:c>
      <x:c r="O29" s="9" t="str">
        <x:v>ME3-ZON-MP-DAGGER, ME3-ZON-MP-GHOST, ME3-ZON-MP-REACTOR</x:v>
      </x:c>
      <x:c r="P29" s="9" t="str">
        <x:v>Adaptation originale — spécification de production</x:v>
      </x:c>
      <x:c r="Q29" s="9" t="str"/>
      <x:c r="R29" s="20" t="str"/>
      <x:c r="S29" s="20" t="str">
        <x:v>Spécification à réaliser. Les champs adaptation, gameplay, visual, animation, audio et implementation décrivent le fan game ; ils ne donnent pas des caractéristiques officielles de l’œuvre.</x:v>
      </x:c>
    </x:row>
    <x:row r="30" ht="68" customHeight="1">
      <x:c r="A30" s="19" t="str">
        <x:v>ME3-SYS-ENDING</x:v>
      </x:c>
      <x:c r="B30" s="7" t="str">
        <x:v>Résolveur d’épilogues</x:v>
      </x:c>
      <x:c r="C30" s="15" t="str">
        <x:v>Défini</x:v>
      </x:c>
      <x:c r="D30" s="17" t="str">
        <x:v>Extrapolation</x:v>
      </x:c>
      <x:c r="E30" s="17" t="str">
        <x:v>P1</x:v>
      </x:c>
      <x:c r="F30" s="7" t="str">
        <x:v>Livrable original proposé : Résolveur d’épilogues.</x:v>
      </x:c>
      <x:c r="G30" s="7" t="str">
        <x:v>Sélectionner version, choix final, force de guerre et grands états ; utiliser table documentée sans seuil canon inventé.</x:v>
      </x:c>
      <x:c r="H30" s="7" t="str">
        <x:v>Sélectionner version, choix final, force de guerre et grands états ; utiliser table documentée sans seuil canon inventé.</x:v>
      </x:c>
      <x:c r="I30" s="7" t="str">
        <x:v>Planche d’épilogues et raisons de sélection.</x:v>
      </x:c>
      <x:c r="J30" s="7" t="str">
        <x:v>Transitions de caméra et d’interface interruptibles ; aucun délai d’animation ne doit consommer une décision encore ouverte.</x:v>
      </x:c>
      <x:c r="K30" s="7" t="str">
        <x:v>Créer des bruitages et ambiances originaux adaptés au livrable ; sous-titrer les indices utiles et proposer un réglage indépendant des effets. Aucune extraction audio demandée.</x:v>
      </x:c>
      <x:c r="L30" s="7" t="str">
        <x:v>Prévu : fiche de données me3/systems/ending ; rattacher les ressources et états cités à cet identifiant. Aucun fichier de jeu créé par ce catalogue.</x:v>
      </x:c>
      <x:c r="M30" s="7" t="str">
        <x:v>Extended Cut / original séparés.</x:v>
      </x:c>
      <x:c r="N30" s="7" t="str">
        <x:v>Le livrable « Résolveur d’épilogues » possède une scène ou un scénario de contrôle ; ses règles proposées, ses conditions et ses retours visuels sont vérifiables séparément.</x:v>
      </x:c>
      <x:c r="O30" s="7" t="str">
        <x:v>ME3-CIN-FINALE</x:v>
      </x:c>
      <x:c r="P30" s="7" t="str">
        <x:v>Adaptation originale — spécification de production</x:v>
      </x:c>
      <x:c r="Q30" s="7" t="str"/>
      <x:c r="R30" s="21" t="str"/>
      <x:c r="S30" s="21" t="str">
        <x:v>Spécification à réaliser. Les champs adaptation, gameplay, visual, animation, audio et implementation décrivent le fan game ; ils ne donnent pas des caractéristiques officielles de l’œuvre.</x:v>
      </x:c>
    </x:row>
    <x:row r="31" ht="68" customHeight="1">
      <x:c r="A31" s="18" t="str">
        <x:v>ME3-SYS-SAVE</x:v>
      </x:c>
      <x:c r="B31" s="9" t="str">
        <x:v>Sauvegarde des variantes</x:v>
      </x:c>
      <x:c r="C31" s="15" t="str">
        <x:v>Défini</x:v>
      </x:c>
      <x:c r="D31" s="16" t="str">
        <x:v>Extrapolation</x:v>
      </x:c>
      <x:c r="E31" s="16" t="str">
        <x:v>P1</x:v>
      </x:c>
      <x:c r="F31" s="9" t="str">
        <x:v>Livrable original proposé : Sauvegarde des variantes.</x:v>
      </x:c>
      <x:c r="G31" s="9" t="str">
        <x:v>Sauvegarder avant grands verrous et décisions ; états inconnus d’import traités explicitement, migrations idempotentes.</x:v>
      </x:c>
      <x:c r="H31" s="9" t="str">
        <x:v>Sauvegarder avant grands verrous et décisions ; états inconnus d’import traités explicitement, migrations idempotentes.</x:v>
      </x:c>
      <x:c r="I31" s="9" t="str">
        <x:v>Emplacements nommés par étape.</x:v>
      </x:c>
      <x:c r="J31" s="9" t="str">
        <x:v>Transitions de caméra et d’interface interruptibles ; aucun délai d’animation ne doit consommer une décision encore ouverte.</x:v>
      </x:c>
      <x:c r="K31" s="9" t="str">
        <x:v>Créer des bruitages et ambiances originaux adaptés au livrable ; sous-titrer les indices utiles et proposer un réglage indépendant des effets. Aucune extraction audio demandée.</x:v>
      </x:c>
      <x:c r="L31" s="9" t="str">
        <x:v>Prévu : fiche de données me3/systems/save ; rattacher les ressources et états cités à cet identifiant. Aucun fichier de jeu créé par ce catalogue.</x:v>
      </x:c>
      <x:c r="M31" s="9" t="str"/>
      <x:c r="N31" s="9" t="str">
        <x:v>Le livrable « Sauvegarde des variantes » possède une scène ou un scénario de contrôle ; ses règles proposées, ses conditions et ses retours visuels sont vérifiables séparément.</x:v>
      </x:c>
      <x:c r="O31" s="9" t="str">
        <x:v>ME3-CHO-IMPORT</x:v>
      </x:c>
      <x:c r="P31" s="9" t="str">
        <x:v>Adaptation originale — spécification de production</x:v>
      </x:c>
      <x:c r="Q31" s="9" t="str"/>
      <x:c r="R31" s="20" t="str"/>
      <x:c r="S31" s="20" t="str">
        <x:v>Spécification à réaliser. Les champs adaptation, gameplay, visual, animation, audio et implementation décrivent le fan game ; ils ne donnent pas des caractéristiques officielles de l’œuvre.</x:v>
      </x:c>
    </x:row>
    <x:row r="32" ht="68" customHeight="1">
      <x:c r="A32" s="19" t="str">
        <x:v>ME3-SYS-ACCESS</x:v>
      </x:c>
      <x:c r="B32" s="7" t="str">
        <x:v>Accessibilité des décisions et menaces</x:v>
      </x:c>
      <x:c r="C32" s="15" t="str">
        <x:v>Défini</x:v>
      </x:c>
      <x:c r="D32" s="17" t="str">
        <x:v>Extrapolation</x:v>
      </x:c>
      <x:c r="E32" s="17" t="str">
        <x:v>P1</x:v>
      </x:c>
      <x:c r="F32" s="7" t="str">
        <x:v>Livrable original proposé : Accessibilité des décisions et menaces.</x:v>
      </x:c>
      <x:c r="G32" s="7" t="str">
        <x:v>Sous-titres paramétrables, couleurs doublées de formes, fenêtres non chronométrées proposées et réduction d’effets ; ne pas supprimer conséquences du choix.</x:v>
      </x:c>
      <x:c r="H32" s="7" t="str">
        <x:v>Sous-titres paramétrables, couleurs doublées de formes, fenêtres non chronométrées proposées et réduction d’effets ; ne pas supprimer conséquences du choix.</x:v>
      </x:c>
      <x:c r="I32" s="7" t="str">
        <x:v>Panneau de réglages avec exemples.</x:v>
      </x:c>
      <x:c r="J32" s="7" t="str">
        <x:v>Transitions de caméra et d’interface interruptibles ; aucun délai d’animation ne doit consommer une décision encore ouverte.</x:v>
      </x:c>
      <x:c r="K32" s="7" t="str">
        <x:v>Créer des bruitages et ambiances originaux adaptés au livrable ; sous-titrer les indices utiles et proposer un réglage indépendant des effets. Aucune extraction audio demandée.</x:v>
      </x:c>
      <x:c r="L32" s="7" t="str">
        <x:v>Prévu : fiche de données me3/systems/access ; rattacher les ressources et états cités à cet identifiant. Aucun fichier de jeu créé par ce catalogue.</x:v>
      </x:c>
      <x:c r="M32" s="7" t="str"/>
      <x:c r="N32" s="7" t="str">
        <x:v>Le livrable « Accessibilité des décisions et menaces » possède une scène ou un scénario de contrôle ; ses règles proposées, ses conditions et ses retours visuels sont vérifiables séparément.</x:v>
      </x:c>
      <x:c r="O32" s="7" t="str">
        <x:v>ME3-DIA-CATALYST</x:v>
      </x:c>
      <x:c r="P32" s="7" t="str">
        <x:v>Adaptation originale — spécification de production</x:v>
      </x:c>
      <x:c r="Q32" s="7" t="str"/>
      <x:c r="R32" s="21" t="str"/>
      <x:c r="S32" s="21" t="str">
        <x:v>Spécification à réaliser. Les champs adaptation, gameplay, visual, animation, audio et implementation décrivent le fan game ; ils ne donnent pas des caractéristiques officielles de l’œuvre.</x:v>
      </x:c>
    </x:row>
  </x:sheetData>
  <x:conditionalFormatting sqref="D7:D32">
    <x:cfRule type="cellIs" dxfId="92" priority="1" operator="equal">
      <x:formula>"À vérifier"</x:formula>
    </x:cfRule>
    <x:cfRule type="cellIs" dxfId="93" priority="2" operator="equal">
      <x:formula>"Extrapolation"</x:formula>
    </x:cfRule>
  </x:conditionalFormatting>
  <x:conditionalFormatting sqref="C7:C32">
    <x:cfRule type="cellIs" dxfId="94" priority="3" operator="equal">
      <x:formula>"Validé"</x:formula>
    </x:cfRule>
  </x:conditionalFormatting>
  <x:conditionalFormatting sqref="E7:E32">
    <x:cfRule type="cellIs" dxfId="95" priority="4" operator="equal">
      <x:formula>"P0"</x:formula>
    </x:cfRule>
  </x:conditionalFormatting>
  <x:dataValidations count="3">
    <x:dataValidation type="list" sqref="C7:C32">
      <x:formula1>"Défini,Prototype,Intégré,Validé"</x:formula1>
    </x:dataValidation>
    <x:dataValidation type="list" sqref="D7:D32">
      <x:formula1>"Établi,À vérifier,Extrapolation,Coupé attesté,Concept abandonné,Allégation écartée"</x:formula1>
    </x:dataValidation>
    <x:dataValidation type="list" sqref="E7:E32">
      <x:formula1>"P0,P1,P2"</x:formula1>
    </x:dataValidation>
  </x:dataValidations>
  <x:pageMargins left="0.7" right="0.7" top="0.75" bottom="0.75" header="0.3" footer="0.3"/>
  <x:tableParts count="1">
    <x:tablePart xmlns:r="http://schemas.openxmlformats.org/officeDocument/2006/relationships" r:id="R77dd9a30e3244e5f"/>
  </x:tableParts>
</x:worksheet>
</file>

<file path=xl/worksheets/sheet2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QA</x:v>
      </x:c>
      <x:c r="B2" s="2"/>
      <x:c r="C2" s="2"/>
      <x:c r="D2" s="2"/>
      <x:c r="E2" s="2"/>
      <x:c r="F2" s="2"/>
      <x:c r="G2" s="2"/>
      <x:c r="H2" s="2"/>
      <x:c r="I2" s="2"/>
      <x:c r="J2" s="2"/>
      <x:c r="K2" s="2"/>
      <x:c r="L2" s="2"/>
      <x:c r="M2" s="2"/>
      <x:c r="N2" s="2"/>
      <x:c r="O2" s="2"/>
      <x:c r="P2" s="2"/>
      <x:c r="Q2" s="2"/>
      <x:c r="R2" s="2"/>
      <x:c r="S2" s="2"/>
    </x:row>
    <x:row r="3" ht="22" customHeight="1">
      <x:c r="A3" s="4" t="str">
        <x:v>Mass Effect 3 — Critères de test et contrôles de fidélité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ME3-QA-IMPORT</x:v>
      </x:c>
      <x:c r="B7" s="9" t="str">
        <x:v>Matrice QA — import ME1/ME2</x:v>
      </x:c>
      <x:c r="C7" s="15" t="str">
        <x:v>Défini</x:v>
      </x:c>
      <x:c r="D7" s="16" t="str">
        <x:v>Extrapolation</x:v>
      </x:c>
      <x:c r="E7" s="16" t="str">
        <x:v>P1</x:v>
      </x:c>
      <x:c r="F7" s="9" t="str">
        <x:v>Livrable original proposé : Matrice QA — import ME1/ME2.</x:v>
      </x:c>
      <x:c r="G7" s="9" t="str">
        <x:v>Tester morts/vivants, Wrex/Wreav, Mordin/Wiks, Samara/Morinth et romance ; aucun personnage supprimé ne revient hors simulation explicitement autorisée.</x:v>
      </x:c>
      <x:c r="H7" s="9" t="str">
        <x:v>Tester morts/vivants, Wrex/Wreav, Mordin/Wiks, Samara/Morinth et romance ; aucun personnage supprimé ne revient hors simulation explicitement autorisée.</x:v>
      </x:c>
      <x:c r="I7" s="9" t="str">
        <x:v>Table d’états et captures des portraits.</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me3/qa/import ; rattacher les ressources et états cités à cet identifiant. Aucun fichier de jeu créé par ce catalogue.</x:v>
      </x:c>
      <x:c r="M7" s="9" t="str"/>
      <x:c r="N7" s="9" t="str">
        <x:v>Le livrable « Matrice QA — import ME1/ME2 » possède une scène ou un scénario de contrôle ; ses règles proposées, ses conditions et ses retours visuels sont vérifiables séparément.</x:v>
      </x:c>
      <x:c r="O7" s="9" t="str">
        <x:v>ME3-SYS-ROSTER</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ME3-QA-TUCH-CURE</x:v>
      </x:c>
      <x:c r="B8" s="7" t="str">
        <x:v>Matrice QA — Tuchanka</x:v>
      </x:c>
      <x:c r="C8" s="15" t="str">
        <x:v>Défini</x:v>
      </x:c>
      <x:c r="D8" s="17" t="str">
        <x:v>Extrapolation</x:v>
      </x:c>
      <x:c r="E8" s="17" t="str">
        <x:v>P1</x:v>
      </x:c>
      <x:c r="F8" s="7" t="str">
        <x:v>Livrable original proposé : Matrice QA — Tuchanka.</x:v>
      </x:c>
      <x:c r="G8" s="7" t="str">
        <x:v>Croiser dirigeant krogan, Eve, savant, secret révélé et choix final ; vérifier dialogues, montage et ressources de guerre à chaque feuille valide.</x:v>
      </x:c>
      <x:c r="H8" s="7" t="str">
        <x:v>Croiser dirigeant krogan, Eve, savant, secret révélé et choix final ; vérifier dialogues, montage et ressources de guerre à chaque feuille valide.</x:v>
      </x:c>
      <x:c r="I8" s="7" t="str">
        <x:v>Arbre de décisions auditable.</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me3/qa/tuch-cure ; rattacher les ressources et états cités à cet identifiant. Aucun fichier de jeu créé par ce catalogue.</x:v>
      </x:c>
      <x:c r="M8" s="7" t="str"/>
      <x:c r="N8" s="7" t="str">
        <x:v>Le livrable « Matrice QA — Tuchanka » possède une scène ou un scénario de contrôle ; ses règles proposées, ses conditions et ses retours visuels sont vérifiables séparément.</x:v>
      </x:c>
      <x:c r="O8" s="7" t="str">
        <x:v>ME3-CHO-CURE, ME3-CHO-MORDIN-SURVIVE</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ME3-QA-TUCH-BOMB</x:v>
      </x:c>
      <x:c r="B9" s="9" t="str">
        <x:v>Matrice QA — échéance bombe</x:v>
      </x:c>
      <x:c r="C9" s="15" t="str">
        <x:v>Défini</x:v>
      </x:c>
      <x:c r="D9" s="16" t="str">
        <x:v>Extrapolation</x:v>
      </x:c>
      <x:c r="E9" s="16" t="str">
        <x:v>P1</x:v>
      </x:c>
      <x:c r="F9" s="9" t="str">
        <x:v>Livrable original proposé : Matrice QA — échéance bombe.</x:v>
      </x:c>
      <x:c r="G9" s="9" t="str">
        <x:v>Compter les missions pertinentes après activation, vérifier expiration et Tarquin ; sauvegarder/charger à chaque frontière ne remet pas le compteur à zéro.</x:v>
      </x:c>
      <x:c r="H9" s="9" t="str">
        <x:v>Compter les missions pertinentes après activation, vérifier expiration et Tarquin ; sauvegarder/charger à chaque frontière ne remet pas le compteur à zéro.</x:v>
      </x:c>
      <x:c r="I9" s="9" t="str">
        <x:v>Journal et compte d’événements de test.</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me3/qa/tuch-bomb ; rattacher les ressources et états cités à cet identifiant. Aucun fichier de jeu créé par ce catalogue.</x:v>
      </x:c>
      <x:c r="M9" s="9" t="str"/>
      <x:c r="N9" s="9" t="str">
        <x:v>Le livrable « Matrice QA — échéance bombe » possède une scène ou un scénario de contrôle ; ses règles proposées, ses conditions et ses retours visuels sont vérifiables séparément.</x:v>
      </x:c>
      <x:c r="O9" s="9" t="str">
        <x:v>ME3-SQ-BOMB</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ME3-QA-GRISSOM</x:v>
      </x:c>
      <x:c r="B10" s="7" t="str">
        <x:v>Matrice QA — Grissom</x:v>
      </x:c>
      <x:c r="C10" s="15" t="str">
        <x:v>Défini</x:v>
      </x:c>
      <x:c r="D10" s="17" t="str">
        <x:v>Extrapolation</x:v>
      </x:c>
      <x:c r="E10" s="17" t="str">
        <x:v>P1</x:v>
      </x:c>
      <x:c r="F10" s="7" t="str">
        <x:v>Livrable original proposé : Matrice QA — Grissom.</x:v>
      </x:c>
      <x:c r="G10" s="7" t="str">
        <x:v>Tester arrivée avant/après fenêtre, Jack vivante/absente et David sauvé/non sauvé ; civils ne restent pas bloqués sur route d’évacuation.</x:v>
      </x:c>
      <x:c r="H10" s="7" t="str">
        <x:v>Tester arrivée avant/après fenêtre, Jack vivante/absente et David sauvé/non sauvé ; civils ne restent pas bloqués sur route d’évacuation.</x:v>
      </x:c>
      <x:c r="I10" s="7" t="str">
        <x:v>Scènes d’arrivée et liste des élèves.</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me3/qa/grissom ; rattacher les ressources et états cités à cet identifiant. Aucun fichier de jeu créé par ce catalogue.</x:v>
      </x:c>
      <x:c r="M10" s="7" t="str"/>
      <x:c r="N10" s="7" t="str">
        <x:v>Le livrable « Matrice QA — Grissom » possède une scène ou un scénario de contrôle ; ses règles proposées, ses conditions et ses retours visuels sont vérifiables séparément.</x:v>
      </x:c>
      <x:c r="O10" s="7" t="str">
        <x:v>ME3-SQ-GRISSOM</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ME3-QA-RACHNI</x:v>
      </x:c>
      <x:c r="B11" s="9" t="str">
        <x:v>Matrice QA — reine et Grunt</x:v>
      </x:c>
      <x:c r="C11" s="15" t="str">
        <x:v>Défini</x:v>
      </x:c>
      <x:c r="D11" s="16" t="str">
        <x:v>Extrapolation</x:v>
      </x:c>
      <x:c r="E11" s="16" t="str">
        <x:v>P1</x:v>
      </x:c>
      <x:c r="F11" s="9" t="str">
        <x:v>Livrable original proposé : Matrice QA — reine et Grunt.</x:v>
      </x:c>
      <x:c r="G11" s="9" t="str">
        <x:v>Distinguer reine authentique et substitut, loyauté de Grunt et décision ; actifs de guerre et personnage à la sortie suivent la bonne identité.</x:v>
      </x:c>
      <x:c r="H11" s="9" t="str">
        <x:v>Distinguer reine authentique et substitut, loyauté de Grunt et décision ; actifs de guerre et personnage à la sortie suivent la bonne identité.</x:v>
      </x:c>
      <x:c r="I11" s="9" t="str">
        <x:v>Quatre portraits et bilan de mission.</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me3/qa/rachni ; rattacher les ressources et états cités à cet identifiant. Aucun fichier de jeu créé par ce catalogue.</x:v>
      </x:c>
      <x:c r="M11" s="9" t="str"/>
      <x:c r="N11" s="9" t="str">
        <x:v>Le livrable « Matrice QA — reine et Grunt » possède une scène ou un scénario de contrôle ; ses règles proposées, ses conditions et ses retours visuels sont vérifiables séparément.</x:v>
      </x:c>
      <x:c r="O11" s="9" t="str">
        <x:v>ME3-CHO-RACHNI, ME3-CHO-GRUNT</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ME3-QA-COUP</x:v>
      </x:c>
      <x:c r="B12" s="7" t="str">
        <x:v>Matrice QA — Citadelle II</x:v>
      </x:c>
      <x:c r="C12" s="15" t="str">
        <x:v>Défini</x:v>
      </x:c>
      <x:c r="D12" s="17" t="str">
        <x:v>Extrapolation</x:v>
      </x:c>
      <x:c r="E12" s="17" t="str">
        <x:v>P1</x:v>
      </x:c>
      <x:c r="F12" s="7" t="str">
        <x:v>Livrable original proposé : Matrice QA — Citadelle II.</x:v>
      </x:c>
      <x:c r="G12" s="7" t="str">
        <x:v>Croiser survivant Virmire, visites et intervenants ; vérifier coup de feu attribué au bon acteur et absence de faux recrutement.</x:v>
      </x:c>
      <x:c r="H12" s="7" t="str">
        <x:v>Croiser survivant Virmire, visites et intervenants ; vérifier coup de feu attribué au bon acteur et absence de faux recrutement.</x:v>
      </x:c>
      <x:c r="I12" s="7" t="str">
        <x:v>Vidéo de scène et état du roster.</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me3/qa/coup ; rattacher les ressources et états cités à cet identifiant. Aucun fichier de jeu créé par ce catalogue.</x:v>
      </x:c>
      <x:c r="M12" s="7" t="str"/>
      <x:c r="N12" s="7" t="str">
        <x:v>Le livrable « Matrice QA — Citadelle II » possède une scène ou un scénario de contrôle ; ses règles proposées, ses conditions et ses retours visuels sont vérifiables séparément.</x:v>
      </x:c>
      <x:c r="O12" s="7" t="str">
        <x:v>ME3-MQ-CITADEL2</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ME3-QA-RANNOCH</x:v>
      </x:c>
      <x:c r="B13" s="9" t="str">
        <x:v>Matrice QA — coexistence</x:v>
      </x:c>
      <x:c r="C13" s="15" t="str">
        <x:v>Défini</x:v>
      </x:c>
      <x:c r="D13" s="16" t="str">
        <x:v>Extrapolation</x:v>
      </x:c>
      <x:c r="E13" s="16" t="str">
        <x:v>P1</x:v>
      </x:c>
      <x:c r="F13" s="9" t="str">
        <x:v>Livrable original proposé : Matrice QA — coexistence.</x:v>
      </x:c>
      <x:c r="G13" s="9" t="str">
        <x:v>Tester conditions de paix une à une, faux positif avec Legion ou Tali absent, et décisions de soutien ; résultat flotte/personnages/épilogue cohérent.</x:v>
      </x:c>
      <x:c r="H13" s="9" t="str">
        <x:v>Tester conditions de paix une à une, faux positif avec Legion ou Tali absent, et décisions de soutien ; résultat flotte/personnages/épilogue cohérent.</x:v>
      </x:c>
      <x:c r="I13" s="9" t="str">
        <x:v>Table de prérequis nommés.</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me3/qa/rannoch ; rattacher les ressources et états cités à cet identifiant. Aucun fichier de jeu créé par ce catalogue.</x:v>
      </x:c>
      <x:c r="M13" s="9" t="str"/>
      <x:c r="N13" s="9" t="str">
        <x:v>Le livrable « Matrice QA — coexistence » possède une scène ou un scénario de contrôle ; ses règles proposées, ses conditions et ses retours visuels sont vérifiables séparément.</x:v>
      </x:c>
      <x:c r="O13" s="9" t="str">
        <x:v>ME3-CHO-PEACE</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ME3-QA-MIRANDA</x:v>
      </x:c>
      <x:c r="B14" s="7" t="str">
        <x:v>Matrice QA — Sanctuary</x:v>
      </x:c>
      <x:c r="C14" s="15" t="str">
        <x:v>Défini</x:v>
      </x:c>
      <x:c r="D14" s="17" t="str">
        <x:v>Extrapolation</x:v>
      </x:c>
      <x:c r="E14" s="17" t="str">
        <x:v>P1</x:v>
      </x:c>
      <x:c r="F14" s="7" t="str">
        <x:v>Livrable original proposé : Matrice QA — Sanctuary.</x:v>
      </x:c>
      <x:c r="G14" s="7" t="str">
        <x:v>Varier avertissement, aide, relation et rencontres ; vérifier Miranda/Oriana/Henry et message postmission sans supposer une visite reçue.</x:v>
      </x:c>
      <x:c r="H14" s="7" t="str">
        <x:v>Varier avertissement, aide, relation et rencontres ; vérifier Miranda/Oriana/Henry et message postmission sans supposer une visite reçue.</x:v>
      </x:c>
      <x:c r="I14" s="7" t="str">
        <x:v>Timeline de messages et scène finale.</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me3/qa/miranda ; rattacher les ressources et états cités à cet identifiant. Aucun fichier de jeu créé par ce catalogue.</x:v>
      </x:c>
      <x:c r="M14" s="7" t="str"/>
      <x:c r="N14" s="7" t="str">
        <x:v>Le livrable « Matrice QA — Sanctuary » possède une scène ou un scénario de contrôle ; ses règles proposées, ses conditions et ses retours visuels sont vérifiables séparément.</x:v>
      </x:c>
      <x:c r="O14" s="7" t="str">
        <x:v>ME3-CHO-MIRANDA, ME3-CHO-ORIANA</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ME3-QA-SAMARA</x:v>
      </x:c>
      <x:c r="B15" s="9" t="str">
        <x:v>Matrice QA — intervention monastère</x:v>
      </x:c>
      <x:c r="C15" s="15" t="str">
        <x:v>Défini</x:v>
      </x:c>
      <x:c r="D15" s="16" t="str">
        <x:v>Extrapolation</x:v>
      </x:c>
      <x:c r="E15" s="16" t="str">
        <x:v>P1</x:v>
      </x:c>
      <x:c r="F15" s="9" t="str">
        <x:v>Livrable original proposé : Matrice QA — intervention monastère.</x:v>
      </x:c>
      <x:c r="G15" s="9" t="str">
        <x:v>Tester interruption, option non chronométrée et absence de Samara ; aucune réplique du personnage absent après explosion.</x:v>
      </x:c>
      <x:c r="H15" s="9" t="str">
        <x:v>Tester interruption, option non chronométrée et absence de Samara ; aucune réplique du personnage absent après explosion.</x:v>
      </x:c>
      <x:c r="I15" s="9" t="str">
        <x:v>Capture de fenêtre et état Falere.</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me3/qa/samara ; rattacher les ressources et états cités à cet identifiant. Aucun fichier de jeu créé par ce catalogue.</x:v>
      </x:c>
      <x:c r="M15" s="9" t="str"/>
      <x:c r="N15" s="9" t="str">
        <x:v>Le livrable « Matrice QA — intervention monastère » possède une scène ou un scénario de contrôle ; ses règles proposées, ses conditions et ses retours visuels sont vérifiables séparément.</x:v>
      </x:c>
      <x:c r="O15" s="9" t="str">
        <x:v>ME3-CHO-SAMARA</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ME3-QA-OMEGA</x:v>
      </x:c>
      <x:c r="B16" s="7" t="str">
        <x:v>Matrice QA — roster Omega</x:v>
      </x:c>
      <x:c r="C16" s="15" t="str">
        <x:v>Défini</x:v>
      </x:c>
      <x:c r="D16" s="17" t="str">
        <x:v>Extrapolation</x:v>
      </x:c>
      <x:c r="E16" s="17" t="str">
        <x:v>P1</x:v>
      </x:c>
      <x:c r="F16" s="7" t="str">
        <x:v>Livrable original proposé : Matrice QA — roster Omega.</x:v>
      </x:c>
      <x:c r="G16" s="7" t="str">
        <x:v>Aria/Nyreen seulement aux étapes valides ; pas de compagnons Normandy lors des scènes locales, retour correct à fin du DLC.</x:v>
      </x:c>
      <x:c r="H16" s="7" t="str">
        <x:v>Aria/Nyreen seulement aux étapes valides ; pas de compagnons Normandy lors des scènes locales, retour correct à fin du DLC.</x:v>
      </x:c>
      <x:c r="I16" s="7" t="str">
        <x:v>Sélecteur de groupe et portraits.</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me3/qa/omega ; rattacher les ressources et états cités à cet identifiant. Aucun fichier de jeu créé par ce catalogue.</x:v>
      </x:c>
      <x:c r="M16" s="7" t="str"/>
      <x:c r="N16" s="7" t="str">
        <x:v>Le livrable « Matrice QA — roster Omega » possède une scène ou un scénario de contrôle ; ses règles proposées, ses conditions et ses retours visuels sont vérifiables séparément.</x:v>
      </x:c>
      <x:c r="O16" s="7" t="str">
        <x:v>ME3-SYS-DLC</x:v>
      </x:c>
      <x:c r="P16" s="7" t="str">
        <x:v>Adaptation originale — spécification de production</x:v>
      </x:c>
      <x:c r="Q16" s="7" t="str"/>
      <x:c r="R16" s="21" t="str"/>
      <x:c r="S16" s="21" t="str">
        <x:v>Spécification à réaliser. Les champs adaptation, gameplay, visual, animation, audio et implementation décrivent le fan game ; ils ne donnent pas des caractéristiques officielles de l’œuvre.</x:v>
      </x:c>
    </x:row>
    <x:row r="17" ht="68" customHeight="1">
      <x:c r="A17" s="18" t="str">
        <x:v>ME3-QA-OMEGA-END</x:v>
      </x:c>
      <x:c r="B17" s="9" t="str">
        <x:v>Matrice QA — Afterlife</x:v>
      </x:c>
      <x:c r="C17" s="15" t="str">
        <x:v>Défini</x:v>
      </x:c>
      <x:c r="D17" s="16" t="str">
        <x:v>Extrapolation</x:v>
      </x:c>
      <x:c r="E17" s="16" t="str">
        <x:v>P1</x:v>
      </x:c>
      <x:c r="F17" s="9" t="str">
        <x:v>Livrable original proposé : Matrice QA — Afterlife.</x:v>
      </x:c>
      <x:c r="G17" s="9" t="str">
        <x:v>Détruire générateurs dans ordres différents, sauver/laisser civils, varier relation Aria ; aucune boucle infinie d’Adjutants après victoire.</x:v>
      </x:c>
      <x:c r="H17" s="9" t="str">
        <x:v>Détruire générateurs dans ordres différents, sauver/laisser civils, varier relation Aria ; aucune boucle infinie d’Adjutants après victoire.</x:v>
      </x:c>
      <x:c r="I17" s="9" t="str">
        <x:v>Journal de générateurs et scène Petrovsky.</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me3/qa/omega-end ; rattacher les ressources et états cités à cet identifiant. Aucun fichier de jeu créé par ce catalogue.</x:v>
      </x:c>
      <x:c r="M17" s="9" t="str"/>
      <x:c r="N17" s="9" t="str">
        <x:v>Le livrable « Matrice QA — Afterlife » possède une scène ou un scénario de contrôle ; ses règles proposées, ses conditions et ses retours visuels sont vérifiables séparément.</x:v>
      </x:c>
      <x:c r="O17" s="9" t="str">
        <x:v>ME3-PRP-OMEGA-GEN, ME3-CHO-PETROVSKY</x:v>
      </x:c>
      <x:c r="P17" s="9" t="str">
        <x:v>Adaptation originale — spécification de production</x:v>
      </x:c>
      <x:c r="Q17" s="9" t="str"/>
      <x:c r="R17" s="20" t="str"/>
      <x:c r="S17" s="20" t="str">
        <x:v>Spécification à réaliser. Les champs adaptation, gameplay, visual, animation, audio et implementation décrivent le fan game ; ils ne donnent pas des caractéristiques officielles de l’œuvre.</x:v>
      </x:c>
    </x:row>
    <x:row r="18" ht="68" customHeight="1">
      <x:c r="A18" s="19" t="str">
        <x:v>ME3-QA-LEV-FILTER</x:v>
      </x:c>
      <x:c r="B18" s="7" t="str">
        <x:v>Matrice QA — enquête Leviathan</x:v>
      </x:c>
      <x:c r="C18" s="15" t="str">
        <x:v>Défini</x:v>
      </x:c>
      <x:c r="D18" s="17" t="str">
        <x:v>Extrapolation</x:v>
      </x:c>
      <x:c r="E18" s="17" t="str">
        <x:v>P1</x:v>
      </x:c>
      <x:c r="F18" s="7" t="str">
        <x:v>Livrable original proposé : Matrice QA — enquête Leviathan.</x:v>
      </x:c>
      <x:c r="G18" s="7" t="str">
        <x:v>Activer filtres dans différents ordres, retirer une piste, sauver/recharger au laboratoire ; bonnes destinations et aucun verrou irréversible accidentel.</x:v>
      </x:c>
      <x:c r="H18" s="7" t="str">
        <x:v>Activer filtres dans différents ordres, retirer une piste, sauver/recharger au laboratoire ; bonnes destinations et aucun verrou irréversible accidentel.</x:v>
      </x:c>
      <x:c r="I18" s="7" t="str">
        <x:v>État de table et carte galactique.</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me3/qa/lev-filter ; rattacher les ressources et états cités à cet identifiant. Aucun fichier de jeu créé par ce catalogue.</x:v>
      </x:c>
      <x:c r="M18" s="7" t="str"/>
      <x:c r="N18" s="7" t="str">
        <x:v>Le livrable « Matrice QA — enquête Leviathan » possède une scène ou un scénario de contrôle ; ses règles proposées, ses conditions et ses retours visuels sont vérifiables séparément.</x:v>
      </x:c>
      <x:c r="O18" s="7" t="str">
        <x:v>ME3-PRP-FILTERS</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ME3-QA-LEV-DIVE</x:v>
      </x:c>
      <x:c r="B19" s="9" t="str">
        <x:v>Matrice QA — plongée</x:v>
      </x:c>
      <x:c r="C19" s="15" t="str">
        <x:v>Défini</x:v>
      </x:c>
      <x:c r="D19" s="16" t="str">
        <x:v>Extrapolation</x:v>
      </x:c>
      <x:c r="E19" s="16" t="str">
        <x:v>P1</x:v>
      </x:c>
      <x:c r="F19" s="9" t="str">
        <x:v>Livrable original proposé : Matrice QA — plongée.</x:v>
      </x:c>
      <x:c r="G19" s="9" t="str">
        <x:v>Vérifier sous-titres, caméra, entrée/sortie cockpit et transition d’eau ; aucune chute sous décor 3D ni arme de terrain active dans la scène finale.</x:v>
      </x:c>
      <x:c r="H19" s="9" t="str">
        <x:v>Vérifier sous-titres, caméra, entrée/sortie cockpit et transition d’eau ; aucune chute sous décor 3D ni arme de terrain active dans la scène finale.</x:v>
      </x:c>
      <x:c r="I19" s="9" t="str">
        <x:v>Plan de contrôle de Despoina.</x:v>
      </x:c>
      <x:c r="J19" s="9" t="str">
        <x:v>Transitions de caméra et d’interface interruptibles ; aucun délai d’animation ne doit consommer une décision encore ouverte.</x:v>
      </x:c>
      <x:c r="K19" s="9" t="str">
        <x:v>Créer des bruitages et ambiances originaux adaptés au livrable ; sous-titrer les indices utiles et proposer un réglage indépendant des effets. Aucune extraction audio demandée.</x:v>
      </x:c>
      <x:c r="L19" s="9" t="str">
        <x:v>Prévu : fiche de données me3/qa/lev-dive ; rattacher les ressources et états cités à cet identifiant. Aucun fichier de jeu créé par ce catalogue.</x:v>
      </x:c>
      <x:c r="M19" s="9" t="str"/>
      <x:c r="N19" s="9" t="str">
        <x:v>Le livrable « Matrice QA — plongée » possède une scène ou un scénario de contrôle ; ses règles proposées, ses conditions et ses retours visuels sont vérifiables séparément.</x:v>
      </x:c>
      <x:c r="O19" s="9" t="str">
        <x:v>ME3-LNK-LEV-DIVE</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68" customHeight="1">
      <x:c r="A20" s="19" t="str">
        <x:v>ME3-QA-CLONE</x:v>
      </x:c>
      <x:c r="B20" s="7" t="str">
        <x:v>Matrice QA — clone et classes</x:v>
      </x:c>
      <x:c r="C20" s="15" t="str">
        <x:v>Défini</x:v>
      </x:c>
      <x:c r="D20" s="17" t="str">
        <x:v>Extrapolation</x:v>
      </x:c>
      <x:c r="E20" s="17" t="str">
        <x:v>P1</x:v>
      </x:c>
      <x:c r="F20" s="7" t="str">
        <x:v>Livrable original proposé : Matrice QA — clone et classes.</x:v>
      </x:c>
      <x:c r="G20" s="7" t="str">
        <x:v>Tester chaque classe jouable, modèle personnalisé et équipements temporairement retirés ; boss a moveset admis et joueur retrouve ses biens à sortie.</x:v>
      </x:c>
      <x:c r="H20" s="7" t="str">
        <x:v>Tester chaque classe jouable, modèle personnalisé et équipements temporairement retirés ; boss a moveset admis et joueur retrouve ses biens à sortie.</x:v>
      </x:c>
      <x:c r="I20" s="7" t="str">
        <x:v>Six scénarios de classe et inventaire avant/après.</x:v>
      </x:c>
      <x:c r="J20" s="7" t="str">
        <x:v>Transitions de caméra et d’interface interruptibles ; aucun délai d’animation ne doit consommer une décision encore ouverte.</x:v>
      </x:c>
      <x:c r="K20" s="7" t="str">
        <x:v>Créer des bruitages et ambiances originaux adaptés au livrable ; sous-titrer les indices utiles et proposer un réglage indépendant des effets. Aucune extraction audio demandée.</x:v>
      </x:c>
      <x:c r="L20" s="7" t="str">
        <x:v>Prévu : fiche de données me3/qa/clone ; rattacher les ressources et états cités à cet identifiant. Aucun fichier de jeu créé par ce catalogue.</x:v>
      </x:c>
      <x:c r="M20" s="7" t="str"/>
      <x:c r="N20" s="7" t="str">
        <x:v>Le livrable « Matrice QA — clone et classes » possède une scène ou un scénario de contrôle ; ses règles proposées, ses conditions et ses retours visuels sont vérifiables séparément.</x:v>
      </x:c>
      <x:c r="O20" s="7" t="str">
        <x:v>ME3-ENM-CLONE</x:v>
      </x:c>
      <x:c r="P20" s="7" t="str">
        <x:v>Adaptation originale — spécification de production</x:v>
      </x:c>
      <x:c r="Q20" s="7" t="str"/>
      <x:c r="R20" s="21" t="str"/>
      <x:c r="S20" s="21" t="str">
        <x:v>Spécification à réaliser. Les champs adaptation, gameplay, visual, animation, audio et implementation décrivent le fan game ; ils ne donnent pas des caractéristiques officielles de l’œuvre.</x:v>
      </x:c>
    </x:row>
    <x:row r="21" ht="68" customHeight="1">
      <x:c r="A21" s="18" t="str">
        <x:v>ME3-QA-PARTY</x:v>
      </x:c>
      <x:c r="B21" s="9" t="str">
        <x:v>Matrice QA — invités de Citadel</x:v>
      </x:c>
      <x:c r="C21" s="15" t="str">
        <x:v>Défini</x:v>
      </x:c>
      <x:c r="D21" s="16" t="str">
        <x:v>Extrapolation</x:v>
      </x:c>
      <x:c r="E21" s="16" t="str">
        <x:v>P1</x:v>
      </x:c>
      <x:c r="F21" s="9" t="str">
        <x:v>Livrable original proposé : Matrice QA — invités de Citadel.</x:v>
      </x:c>
      <x:c r="G21" s="9" t="str">
        <x:v>Groupe minimal, maximal et morts importés ; aucune chaise chevauchée, conversation orpheline ou photo montrant un absent.</x:v>
      </x:c>
      <x:c r="H21" s="9" t="str">
        <x:v>Groupe minimal, maximal et morts importés ; aucune chaise chevauchée, conversation orpheline ou photo montrant un absent.</x:v>
      </x:c>
      <x:c r="I21" s="9" t="str">
        <x:v>Plan d’appartement et photo obtenue.</x:v>
      </x:c>
      <x:c r="J21" s="9" t="str">
        <x:v>Transitions de caméra et d’interface interruptibles ; aucun délai d’animation ne doit consommer une décision encore ouverte.</x:v>
      </x:c>
      <x:c r="K21" s="9" t="str">
        <x:v>Créer des bruitages et ambiances originaux adaptés au livrable ; sous-titrer les indices utiles et proposer un réglage indépendant des effets. Aucune extraction audio demandée.</x:v>
      </x:c>
      <x:c r="L21" s="9" t="str">
        <x:v>Prévu : fiche de données me3/qa/party ; rattacher les ressources et états cités à cet identifiant. Aucun fichier de jeu créé par ce catalogue.</x:v>
      </x:c>
      <x:c r="M21" s="9" t="str"/>
      <x:c r="N21" s="9" t="str">
        <x:v>Le livrable « Matrice QA — invités de Citadel » possède une scène ou un scénario de contrôle ; ses règles proposées, ses conditions et ses retours visuels sont vérifiables séparément.</x:v>
      </x:c>
      <x:c r="O21" s="9" t="str">
        <x:v>ME3-CHO-INVITATIONS, ME3-PRP-PHOTO</x:v>
      </x:c>
      <x:c r="P21" s="9" t="str">
        <x:v>Adaptation originale — spécification de production</x:v>
      </x:c>
      <x:c r="Q21" s="9" t="str"/>
      <x:c r="R21" s="20" t="str"/>
      <x:c r="S21" s="20" t="str">
        <x:v>Spécification à réaliser. Les champs adaptation, gameplay, visual, animation, audio et implementation décrivent le fan game ; ils ne donnent pas des caractéristiques officielles de l’œuvre.</x:v>
      </x:c>
    </x:row>
    <x:row r="22" ht="68" customHeight="1">
      <x:c r="A22" s="19" t="str">
        <x:v>ME3-QA-ARMAX</x:v>
      </x:c>
      <x:c r="B22" s="7" t="str">
        <x:v>Matrice QA — simulateur</x:v>
      </x:c>
      <x:c r="C22" s="15" t="str">
        <x:v>Défini</x:v>
      </x:c>
      <x:c r="D22" s="17" t="str">
        <x:v>Extrapolation</x:v>
      </x:c>
      <x:c r="E22" s="17" t="str">
        <x:v>P1</x:v>
      </x:c>
      <x:c r="F22" s="7" t="str">
        <x:v>Livrable original proposé : Matrice QA — simulateur.</x:v>
      </x:c>
      <x:c r="G22" s="7" t="str">
        <x:v>Abandon, victoire, mort et retour menu ; stock de campagne restauré, points attribués une fois et invités indisponibles hors arène.</x:v>
      </x:c>
      <x:c r="H22" s="7" t="str">
        <x:v>Abandon, victoire, mort et retour menu ; stock de campagne restauré, points attribués une fois et invités indisponibles hors arène.</x:v>
      </x:c>
      <x:c r="I22" s="7" t="str">
        <x:v>Comparaison sauvegarde avant/après.</x:v>
      </x:c>
      <x:c r="J22" s="7" t="str">
        <x:v>Transitions de caméra et d’interface interruptibles ; aucun délai d’animation ne doit consommer une décision encore ouverte.</x:v>
      </x:c>
      <x:c r="K22" s="7" t="str">
        <x:v>Créer des bruitages et ambiances originaux adaptés au livrable ; sous-titrer les indices utiles et proposer un réglage indépendant des effets. Aucune extraction audio demandée.</x:v>
      </x:c>
      <x:c r="L22" s="7" t="str">
        <x:v>Prévu : fiche de données me3/qa/armax ; rattacher les ressources et états cités à cet identifiant. Aucun fichier de jeu créé par ce catalogue.</x:v>
      </x:c>
      <x:c r="M22" s="7" t="str"/>
      <x:c r="N22" s="7" t="str">
        <x:v>Le livrable « Matrice QA — simulateur » possède une scène ou un scénario de contrôle ; ses règles proposées, ses conditions et ses retours visuels sont vérifiables séparément.</x:v>
      </x:c>
      <x:c r="O22" s="7" t="str">
        <x:v>ME3-SYS-ARENA</x:v>
      </x:c>
      <x:c r="P22" s="7" t="str">
        <x:v>Adaptation originale — spécification de production</x:v>
      </x:c>
      <x:c r="Q22" s="7" t="str"/>
      <x:c r="R22" s="21" t="str"/>
      <x:c r="S22" s="21" t="str">
        <x:v>Spécification à réaliser. Les champs adaptation, gameplay, visual, animation, audio et implementation décrivent le fan game ; ils ne donnent pas des caractéristiques officielles de l’œuvre.</x:v>
      </x:c>
    </x:row>
    <x:row r="23" ht="68" customHeight="1">
      <x:c r="A23" s="18" t="str">
        <x:v>ME3-QA-ENDINGS</x:v>
      </x:c>
      <x:c r="B23" s="9" t="str">
        <x:v>Matrice QA — fins par version</x:v>
      </x:c>
      <x:c r="C23" s="15" t="str">
        <x:v>Défini</x:v>
      </x:c>
      <x:c r="D23" s="16" t="str">
        <x:v>Extrapolation</x:v>
      </x:c>
      <x:c r="E23" s="16" t="str">
        <x:v>P1</x:v>
      </x:c>
      <x:c r="F23" s="9" t="str">
        <x:v>Livrable original proposé : Matrice QA — fins par version.</x:v>
      </x:c>
      <x:c r="G23" s="9" t="str">
        <x:v>Tester options disponibles, choix et épilogue avec profils original/Extended Cut/Legendary ; aucun montage de destruction d’EDI dans branche incompatible.</x:v>
      </x:c>
      <x:c r="H23" s="9" t="str">
        <x:v>Tester options disponibles, choix et épilogue avec profils original/Extended Cut/Legendary ; aucun montage de destruction d’EDI dans branche incompatible.</x:v>
      </x:c>
      <x:c r="I23" s="9" t="str">
        <x:v>Table de plans et drapeaux finaux.</x:v>
      </x:c>
      <x:c r="J23" s="9" t="str">
        <x:v>Transitions de caméra et d’interface interruptibles ; aucun délai d’animation ne doit consommer une décision encore ouverte.</x:v>
      </x:c>
      <x:c r="K23" s="9" t="str">
        <x:v>Créer des bruitages et ambiances originaux adaptés au livrable ; sous-titrer les indices utiles et proposer un réglage indépendant des effets. Aucune extraction audio demandée.</x:v>
      </x:c>
      <x:c r="L23" s="9" t="str">
        <x:v>Prévu : fiche de données me3/qa/endings ; rattacher les ressources et états cités à cet identifiant. Aucun fichier de jeu créé par ce catalogue.</x:v>
      </x:c>
      <x:c r="M23" s="9" t="str"/>
      <x:c r="N23" s="9" t="str">
        <x:v>Le livrable « Matrice QA — fins par version » possède une scène ou un scénario de contrôle ; ses règles proposées, ses conditions et ses retours visuels sont vérifiables séparément.</x:v>
      </x:c>
      <x:c r="O23" s="9" t="str">
        <x:v>ME3-SYS-ENDING</x:v>
      </x:c>
      <x:c r="P23" s="9" t="str">
        <x:v>Adaptation originale — spécification de production</x:v>
      </x:c>
      <x:c r="Q23" s="9" t="str"/>
      <x:c r="R23" s="20" t="str"/>
      <x:c r="S23" s="20" t="str">
        <x:v>Spécification à réaliser. Les champs adaptation, gameplay, visual, animation, audio et implementation décrivent le fan game ; ils ne donnent pas des caractéristiques officielles de l’œuvre.</x:v>
      </x:c>
    </x:row>
    <x:row r="24" ht="68" customHeight="1">
      <x:c r="A24" s="19" t="str">
        <x:v>ME3-QA-PROTECTION</x:v>
      </x:c>
      <x:c r="B24" s="7" t="str">
        <x:v>Matrice QA — pouvoirs et défenses</x:v>
      </x:c>
      <x:c r="C24" s="15" t="str">
        <x:v>Défini</x:v>
      </x:c>
      <x:c r="D24" s="17" t="str">
        <x:v>Extrapolation</x:v>
      </x:c>
      <x:c r="E24" s="17" t="str">
        <x:v>P1</x:v>
      </x:c>
      <x:c r="F24" s="7" t="str">
        <x:v>Livrable original proposé : Matrice QA — pouvoirs et défenses.</x:v>
      </x:c>
      <x:c r="G24" s="7" t="str">
        <x:v>Chaque pouvoir reçoit cible santé, armure, bouclier, barrière et immunité ; comparer aperçu et effet, vérifier absence de coût sur cible invalide.</x:v>
      </x:c>
      <x:c r="H24" s="7" t="str">
        <x:v>Chaque pouvoir reçoit cible santé, armure, bouclier, barrière et immunité ; comparer aperçu et effet, vérifier absence de coût sur cible invalide.</x:v>
      </x:c>
      <x:c r="I24" s="7" t="str">
        <x:v>Arène de mannequins à protections.</x:v>
      </x:c>
      <x:c r="J24" s="7" t="str">
        <x:v>Transitions de caméra et d’interface interruptibles ; aucun délai d’animation ne doit consommer une décision encore ouverte.</x:v>
      </x:c>
      <x:c r="K24" s="7" t="str">
        <x:v>Créer des bruitages et ambiances originaux adaptés au livrable ; sous-titrer les indices utiles et proposer un réglage indépendant des effets. Aucune extraction audio demandée.</x:v>
      </x:c>
      <x:c r="L24" s="7" t="str">
        <x:v>Prévu : fiche de données me3/qa/protection ; rattacher les ressources et états cités à cet identifiant. Aucun fichier de jeu créé par ce catalogue.</x:v>
      </x:c>
      <x:c r="M24" s="7" t="str"/>
      <x:c r="N24" s="7" t="str">
        <x:v>Le livrable « Matrice QA — pouvoirs et défenses » possède une scène ou un scénario de contrôle ; ses règles proposées, ses conditions et ses retours visuels sont vérifiables séparément.</x:v>
      </x:c>
      <x:c r="O24" s="7" t="str">
        <x:v>ME3-SYS-DEFENSES</x:v>
      </x:c>
      <x:c r="P24" s="7" t="str">
        <x:v>Adaptation originale — spécification de production</x:v>
      </x:c>
      <x:c r="Q24" s="7" t="str"/>
      <x:c r="R24" s="21" t="str"/>
      <x:c r="S24" s="21" t="str">
        <x:v>Spécification à réaliser. Les champs adaptation, gameplay, visual, animation, audio et implementation décrivent le fan game ; ils ne donnent pas des caractéristiques officielles de l’œuvre.</x:v>
      </x:c>
    </x:row>
    <x:row r="25" ht="68" customHeight="1">
      <x:c r="A25" s="18" t="str">
        <x:v>ME3-QA-BOSS-TELEGRAPH</x:v>
      </x:c>
      <x:c r="B25" s="9" t="str">
        <x:v>Matrice QA — saisies et attaques lourdes</x:v>
      </x:c>
      <x:c r="C25" s="15" t="str">
        <x:v>Défini</x:v>
      </x:c>
      <x:c r="D25" s="16" t="str">
        <x:v>Extrapolation</x:v>
      </x:c>
      <x:c r="E25" s="16" t="str">
        <x:v>P1</x:v>
      </x:c>
      <x:c r="F25" s="9" t="str">
        <x:v>Livrable original proposé : Matrice QA — saisies et attaques lourdes.</x:v>
      </x:c>
      <x:c r="G25" s="9" t="str">
        <x:v>Phantom, Banshee, Brute, Atlas et Adjutant à toutes orientations et hors champ ; toujours un signal visible et une réponse autorisée avant impact.</x:v>
      </x:c>
      <x:c r="H25" s="9" t="str">
        <x:v>Phantom, Banshee, Brute, Atlas et Adjutant à toutes orientations et hors champ ; toujours un signal visible et une réponse autorisée avant impact.</x:v>
      </x:c>
      <x:c r="I25" s="9" t="str">
        <x:v>Captures huit orientations et journal d’actions.</x:v>
      </x:c>
      <x:c r="J25" s="9" t="str">
        <x:v>Transitions de caméra et d’interface interruptibles ; aucun délai d’animation ne doit consommer une décision encore ouverte.</x:v>
      </x:c>
      <x:c r="K25" s="9" t="str">
        <x:v>Créer des bruitages et ambiances originaux adaptés au livrable ; sous-titrer les indices utiles et proposer un réglage indépendant des effets. Aucune extraction audio demandée.</x:v>
      </x:c>
      <x:c r="L25" s="9" t="str">
        <x:v>Prévu : fiche de données me3/qa/boss-telegraph ; rattacher les ressources et états cités à cet identifiant. Aucun fichier de jeu créé par ce catalogue.</x:v>
      </x:c>
      <x:c r="M25" s="9" t="str"/>
      <x:c r="N25" s="9" t="str">
        <x:v>Le livrable « Matrice QA — saisies et attaques lourdes » possède une scène ou un scénario de contrôle ; ses règles proposées, ses conditions et ses retours visuels sont vérifiables séparément.</x:v>
      </x:c>
      <x:c r="O25" s="9" t="str">
        <x:v>ME3-AUD-BOSS</x:v>
      </x:c>
      <x:c r="P25" s="9" t="str">
        <x:v>Adaptation originale — spécification de production</x:v>
      </x:c>
      <x:c r="Q25" s="9" t="str"/>
      <x:c r="R25" s="20" t="str"/>
      <x:c r="S25" s="20" t="str">
        <x:v>Spécification à réaliser. Les champs adaptation, gameplay, visual, animation, audio et implementation décrivent le fan game ; ils ne donnent pas des caractéristiques officielles de l’œuvre.</x:v>
      </x:c>
    </x:row>
    <x:row r="26" ht="68" customHeight="1">
      <x:c r="A26" s="19" t="str">
        <x:v>ME3-QA-DEPTH</x:v>
      </x:c>
      <x:c r="B26" s="7" t="str">
        <x:v>Matrice QA — sprites sur 3D</x:v>
      </x:c>
      <x:c r="C26" s="15" t="str">
        <x:v>Défini</x:v>
      </x:c>
      <x:c r="D26" s="17" t="str">
        <x:v>Extrapolation</x:v>
      </x:c>
      <x:c r="E26" s="17" t="str">
        <x:v>P1</x:v>
      </x:c>
      <x:c r="F26" s="7" t="str">
        <x:v>Livrable original proposé : Matrice QA — sprites sur 3D.</x:v>
      </x:c>
      <x:c r="G26" s="7" t="str">
        <x:v>Traverser escaliers, portes, grands ennemis et couverts ; pivot au sol, profondeur et sélection restent stables sans sprite derrière le mauvais mur.</x:v>
      </x:c>
      <x:c r="H26" s="7" t="str">
        <x:v>Traverser escaliers, portes, grands ennemis et couverts ; pivot au sol, profondeur et sélection restent stables sans sprite derrière le mauvais mur.</x:v>
      </x:c>
      <x:c r="I26" s="7" t="str">
        <x:v>Scène de contrôle de hauteurs.</x:v>
      </x:c>
      <x:c r="J26" s="7" t="str">
        <x:v>Transitions de caméra et d’interface interruptibles ; aucun délai d’animation ne doit consommer une décision encore ouverte.</x:v>
      </x:c>
      <x:c r="K26" s="7" t="str">
        <x:v>Créer des bruitages et ambiances originaux adaptés au livrable ; sous-titrer les indices utiles et proposer un réglage indépendant des effets. Aucune extraction audio demandée.</x:v>
      </x:c>
      <x:c r="L26" s="7" t="str">
        <x:v>Prévu : fiche de données me3/qa/depth ; rattacher les ressources et états cités à cet identifiant. Aucun fichier de jeu créé par ce catalogue.</x:v>
      </x:c>
      <x:c r="M26" s="7" t="str"/>
      <x:c r="N26" s="7" t="str">
        <x:v>Le livrable « Matrice QA — sprites sur 3D » possède une scène ou un scénario de contrôle ; ses règles proposées, ses conditions et ses retours visuels sont vérifiables séparément.</x:v>
      </x:c>
      <x:c r="O26" s="7" t="str">
        <x:v>ME3-SYS-COVER</x:v>
      </x:c>
      <x:c r="P26" s="7" t="str">
        <x:v>Adaptation originale — spécification de production</x:v>
      </x:c>
      <x:c r="Q26" s="7" t="str"/>
      <x:c r="R26" s="21" t="str"/>
      <x:c r="S26" s="21" t="str">
        <x:v>Spécification à réaliser. Les champs adaptation, gameplay, visual, animation, audio et implementation décrivent le fan game ; ils ne donnent pas des caractéristiques officielles de l’œuvre.</x:v>
      </x:c>
    </x:row>
    <x:row r="27" ht="68" customHeight="1">
      <x:c r="A27" s="18" t="str">
        <x:v>ME3-QA-MP-SEPARATION</x:v>
      </x:c>
      <x:c r="B27" s="9" t="str">
        <x:v>Matrice QA — modes solo et multi</x:v>
      </x:c>
      <x:c r="C27" s="15" t="str">
        <x:v>Défini</x:v>
      </x:c>
      <x:c r="D27" s="16" t="str">
        <x:v>Extrapolation</x:v>
      </x:c>
      <x:c r="E27" s="16" t="str">
        <x:v>P1</x:v>
      </x:c>
      <x:c r="F27" s="9" t="str">
        <x:v>Livrable original proposé : Matrice QA — modes solo et multi.</x:v>
      </x:c>
      <x:c r="G27" s="9" t="str">
        <x:v>Aucun personnage multijoueur, carte Firebase ni besoin de connexion dans profil Legendary ; Armax garde son propre marqueur de simulation.</x:v>
      </x:c>
      <x:c r="H27" s="9" t="str">
        <x:v>Aucun personnage multijoueur, carte Firebase ni besoin de connexion dans profil Legendary ; Armax garde son propre marqueur de simulation.</x:v>
      </x:c>
      <x:c r="I27" s="9" t="str">
        <x:v>Écrans de sélection par profil.</x:v>
      </x:c>
      <x:c r="J27" s="9" t="str">
        <x:v>Transitions de caméra et d’interface interruptibles ; aucun délai d’animation ne doit consommer une décision encore ouverte.</x:v>
      </x:c>
      <x:c r="K27" s="9" t="str">
        <x:v>Créer des bruitages et ambiances originaux adaptés au livrable ; sous-titrer les indices utiles et proposer un réglage indépendant des effets. Aucune extraction audio demandée.</x:v>
      </x:c>
      <x:c r="L27" s="9" t="str">
        <x:v>Prévu : fiche de données me3/qa/mp-separation ; rattacher les ressources et états cités à cet identifiant. Aucun fichier de jeu créé par ce catalogue.</x:v>
      </x:c>
      <x:c r="M27" s="9" t="str"/>
      <x:c r="N27" s="9" t="str">
        <x:v>Le livrable « Matrice QA — modes solo et multi » possède une scène ou un scénario de contrôle ; ses règles proposées, ses conditions et ses retours visuels sont vérifiables séparément.</x:v>
      </x:c>
      <x:c r="O27" s="9" t="str">
        <x:v>ME3-SYS-READINESS, ME3-SYS-MP-WAVES</x:v>
      </x:c>
      <x:c r="P27" s="9" t="str">
        <x:v>Adaptation originale — spécification de production</x:v>
      </x:c>
      <x:c r="Q27" s="9" t="str"/>
      <x:c r="R27" s="20" t="str"/>
      <x:c r="S27" s="20" t="str">
        <x:v>Spécification à réaliser. Les champs adaptation, gameplay, visual, animation, audio et implementation décrivent le fan game ; ils ne donnent pas des caractéristiques officielles de l’œuvre.</x:v>
      </x:c>
    </x:row>
    <x:row r="28" ht="68" customHeight="1">
      <x:c r="A28" s="19" t="str">
        <x:v>ME3-QA-SAVE-LOCK</x:v>
      </x:c>
      <x:c r="B28" s="7" t="str">
        <x:v>Matrice QA — reprise aux grands verrous</x:v>
      </x:c>
      <x:c r="C28" s="15" t="str">
        <x:v>Défini</x:v>
      </x:c>
      <x:c r="D28" s="17" t="str">
        <x:v>Extrapolation</x:v>
      </x:c>
      <x:c r="E28" s="17" t="str">
        <x:v>P1</x:v>
      </x:c>
      <x:c r="F28" s="7" t="str">
        <x:v>Livrable original proposé : Matrice QA — reprise aux grands verrous.</x:v>
      </x:c>
      <x:c r="G28" s="7" t="str">
        <x:v>Recharger avant QG, avant choix final, pendant journal de DLC et après récompense ; pas de double déblocage ni quête réouverte.</x:v>
      </x:c>
      <x:c r="H28" s="7" t="str">
        <x:v>Recharger avant QG, avant choix final, pendant journal de DLC et après récompense ; pas de double déblocage ni quête réouverte.</x:v>
      </x:c>
      <x:c r="I28" s="7" t="str">
        <x:v>Emplacements de sauvegarde nommés.</x:v>
      </x:c>
      <x:c r="J28" s="7" t="str">
        <x:v>Transitions de caméra et d’interface interruptibles ; aucun délai d’animation ne doit consommer une décision encore ouverte.</x:v>
      </x:c>
      <x:c r="K28" s="7" t="str">
        <x:v>Créer des bruitages et ambiances originaux adaptés au livrable ; sous-titrer les indices utiles et proposer un réglage indépendant des effets. Aucune extraction audio demandée.</x:v>
      </x:c>
      <x:c r="L28" s="7" t="str">
        <x:v>Prévu : fiche de données me3/qa/save-lock ; rattacher les ressources et états cités à cet identifiant. Aucun fichier de jeu créé par ce catalogue.</x:v>
      </x:c>
      <x:c r="M28" s="7" t="str"/>
      <x:c r="N28" s="7" t="str">
        <x:v>Le livrable « Matrice QA — reprise aux grands verrous » possède une scène ou un scénario de contrôle ; ses règles proposées, ses conditions et ses retours visuels sont vérifiables séparément.</x:v>
      </x:c>
      <x:c r="O28" s="7" t="str">
        <x:v>ME3-SYS-SAVE</x:v>
      </x:c>
      <x:c r="P28" s="7" t="str">
        <x:v>Adaptation originale — spécification de production</x:v>
      </x:c>
      <x:c r="Q28" s="7" t="str"/>
      <x:c r="R28" s="21" t="str"/>
      <x:c r="S28" s="21" t="str">
        <x:v>Spécification à réaliser. Les champs adaptation, gameplay, visual, animation, audio et implementation décrivent le fan game ; ils ne donnent pas des caractéristiques officielles de l’œuvre.</x:v>
      </x:c>
    </x:row>
    <x:row r="29" ht="68" customHeight="1">
      <x:c r="A29" s="18" t="str">
        <x:v>ME3-QA-ACCESS</x:v>
      </x:c>
      <x:c r="B29" s="9" t="str">
        <x:v>Matrice QA — accès sans couleur ni son</x:v>
      </x:c>
      <x:c r="C29" s="15" t="str">
        <x:v>Défini</x:v>
      </x:c>
      <x:c r="D29" s="16" t="str">
        <x:v>Extrapolation</x:v>
      </x:c>
      <x:c r="E29" s="16" t="str">
        <x:v>P1</x:v>
      </x:c>
      <x:c r="F29" s="9" t="str">
        <x:v>Livrable original proposé : Matrice QA — accès sans couleur ni son.</x:v>
      </x:c>
      <x:c r="G29" s="9" t="str">
        <x:v>Tester muet, daltonisme simulé, faible contraste et réduction de mouvement ; tous choix et télégraphes restent compréhensibles.</x:v>
      </x:c>
      <x:c r="H29" s="9" t="str">
        <x:v>Tester muet, daltonisme simulé, faible contraste et réduction de mouvement ; tous choix et télégraphes restent compréhensibles.</x:v>
      </x:c>
      <x:c r="I29" s="9" t="str">
        <x:v>Captures et parcours documentés.</x:v>
      </x:c>
      <x:c r="J29" s="9" t="str">
        <x:v>Transitions de caméra et d’interface interruptibles ; aucun délai d’animation ne doit consommer une décision encore ouverte.</x:v>
      </x:c>
      <x:c r="K29" s="9" t="str">
        <x:v>Créer des bruitages et ambiances originaux adaptés au livrable ; sous-titrer les indices utiles et proposer un réglage indépendant des effets. Aucune extraction audio demandée.</x:v>
      </x:c>
      <x:c r="L29" s="9" t="str">
        <x:v>Prévu : fiche de données me3/qa/access ; rattacher les ressources et états cités à cet identifiant. Aucun fichier de jeu créé par ce catalogue.</x:v>
      </x:c>
      <x:c r="M29" s="9" t="str"/>
      <x:c r="N29" s="9" t="str">
        <x:v>Le livrable « Matrice QA — accès sans couleur ni son » possède une scène ou un scénario de contrôle ; ses règles proposées, ses conditions et ses retours visuels sont vérifiables séparément.</x:v>
      </x:c>
      <x:c r="O29" s="9" t="str">
        <x:v>ME3-SYS-ACCESS</x:v>
      </x:c>
      <x:c r="P29" s="9" t="str">
        <x:v>Adaptation originale — spécification de production</x:v>
      </x:c>
      <x:c r="Q29" s="9" t="str"/>
      <x:c r="R29" s="20" t="str"/>
      <x:c r="S29" s="20" t="str">
        <x:v>Spécification à réaliser. Les champs adaptation, gameplay, visual, animation, audio et implementation décrivent le fan game ; ils ne donnent pas des caractéristiques officielles de l’œuvre.</x:v>
      </x:c>
    </x:row>
  </x:sheetData>
  <x:conditionalFormatting sqref="D7:D29">
    <x:cfRule type="cellIs" dxfId="96" priority="1" operator="equal">
      <x:formula>"À vérifier"</x:formula>
    </x:cfRule>
    <x:cfRule type="cellIs" dxfId="97" priority="2" operator="equal">
      <x:formula>"Extrapolation"</x:formula>
    </x:cfRule>
  </x:conditionalFormatting>
  <x:conditionalFormatting sqref="C7:C29">
    <x:cfRule type="cellIs" dxfId="98" priority="3" operator="equal">
      <x:formula>"Validé"</x:formula>
    </x:cfRule>
  </x:conditionalFormatting>
  <x:conditionalFormatting sqref="E7:E29">
    <x:cfRule type="cellIs" dxfId="99" priority="4" operator="equal">
      <x:formula>"P0"</x:formula>
    </x:cfRule>
  </x:conditionalFormatting>
  <x:dataValidations count="3">
    <x:dataValidation type="list" sqref="C7:C29">
      <x:formula1>"Défini,Prototype,Intégré,Validé"</x:formula1>
    </x:dataValidation>
    <x:dataValidation type="list" sqref="D7:D29">
      <x:formula1>"Établi,À vérifier,Extrapolation,Coupé attesté,Concept abandonné,Allégation écartée"</x:formula1>
    </x:dataValidation>
    <x:dataValidation type="list" sqref="E7:E29">
      <x:formula1>"P0,P1,P2"</x:formula1>
    </x:dataValidation>
  </x:dataValidations>
  <x:pageMargins left="0.7" right="0.7" top="0.75" bottom="0.75" header="0.3" footer="0.3"/>
  <x:tableParts count="1">
    <x:tablePart xmlns:r="http://schemas.openxmlformats.org/officeDocument/2006/relationships" r:id="R6b898db09a634bc4"/>
  </x:tableParts>
</x:worksheet>
</file>

<file path=xl/worksheets/sheet2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Continuité</x:v>
      </x:c>
      <x:c r="B2" s="2"/>
      <x:c r="C2" s="2"/>
      <x:c r="D2" s="2"/>
      <x:c r="E2" s="2"/>
      <x:c r="F2" s="2"/>
      <x:c r="G2" s="2"/>
      <x:c r="H2" s="2"/>
      <x:c r="I2" s="2"/>
      <x:c r="J2" s="2"/>
      <x:c r="K2" s="2"/>
      <x:c r="L2" s="2"/>
      <x:c r="M2" s="2"/>
      <x:c r="N2" s="2"/>
      <x:c r="O2" s="2"/>
      <x:c r="P2" s="2"/>
      <x:c r="Q2" s="2"/>
      <x:c r="R2" s="2"/>
      <x:c r="S2" s="2"/>
    </x:row>
    <x:row r="3" ht="22" customHeight="1">
      <x:c r="A3" s="4" t="str">
        <x:v>Mass Effect 3 — États persistants, chronologie et limites de l’adaptation</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ME3-CON-ME1</x:v>
      </x:c>
      <x:c r="B7" s="9" t="str">
        <x:v>Continuité — héritage ME1</x:v>
      </x:c>
      <x:c r="C7" s="15" t="str">
        <x:v>Défini</x:v>
      </x:c>
      <x:c r="D7" s="16" t="str">
        <x:v>Extrapolation</x:v>
      </x:c>
      <x:c r="E7" s="16" t="str">
        <x:v>P1</x:v>
      </x:c>
      <x:c r="F7" s="9" t="str">
        <x:v>Livrable original proposé : Continuité — héritage ME1.</x:v>
      </x:c>
      <x:c r="G7" s="9" t="str">
        <x:v>Virmire, Wrex, reine rachni, Conseil et choix coloniaux sont des variables de contexte, pas un récit unique déclaré canon.</x:v>
      </x:c>
      <x:c r="H7" s="9" t="str">
        <x:v>Virmire, Wrex, reine rachni, Conseil et choix coloniaux sont des variables de contexte, pas un récit unique déclaré canon.</x:v>
      </x:c>
      <x:c r="I7" s="9" t="str">
        <x:v>Frise d’import avec inconnus explicités.</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me3/continuity/me1 ; rattacher les ressources et états cités à cet identifiant. Aucun fichier de jeu créé par ce catalogue.</x:v>
      </x:c>
      <x:c r="M7" s="9" t="str"/>
      <x:c r="N7" s="9" t="str">
        <x:v>Le livrable « Continuité — héritage ME1 » possède une scène ou un scénario de contrôle ; ses règles proposées, ses conditions et ses retours visuels sont vérifiables séparément.</x:v>
      </x:c>
      <x:c r="O7" s="9" t="str">
        <x:v>ME3-CHO-IMPORT</x:v>
      </x:c>
      <x:c r="P7" s="9" t="str">
        <x:v>Adaptation originale — spécification de production</x:v>
      </x:c>
      <x:c r="Q7" s="9" t="str"/>
      <x:c r="R7" s="20" t="str"/>
      <x:c r="S7" s="20" t="str">
        <x:v>Spécification à réaliser. Les champs adaptation, gameplay, visual, animation, audio et implementation décrivent le fan game ; ils ne donnent pas des caractéristiques officielles de l’œuvre.</x:v>
      </x:c>
    </x:row>
    <x:row r="8" ht="68" customHeight="1">
      <x:c r="A8" s="19" t="str">
        <x:v>ME3-CON-ME2</x:v>
      </x:c>
      <x:c r="B8" s="7" t="str">
        <x:v>Continuité — héritage ME2</x:v>
      </x:c>
      <x:c r="C8" s="15" t="str">
        <x:v>Défini</x:v>
      </x:c>
      <x:c r="D8" s="17" t="str">
        <x:v>Extrapolation</x:v>
      </x:c>
      <x:c r="E8" s="17" t="str">
        <x:v>P1</x:v>
      </x:c>
      <x:c r="F8" s="7" t="str">
        <x:v>Livrable original proposé : Continuité — héritage ME2.</x:v>
      </x:c>
      <x:c r="G8" s="7" t="str">
        <x:v>Survie, loyauté, Maelon, Overlord, Cerberus et romances importés séparément ; valeur absente n’est pas assimilée à échec.</x:v>
      </x:c>
      <x:c r="H8" s="7" t="str">
        <x:v>Survie, loyauté, Maelon, Overlord, Cerberus et romances importés séparément ; valeur absente n’est pas assimilée à échec.</x:v>
      </x:c>
      <x:c r="I8" s="7" t="str">
        <x:v>Dossier de sauvegarde logique.</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me3/continuity/me2 ; rattacher les ressources et états cités à cet identifiant. Aucun fichier de jeu créé par ce catalogue.</x:v>
      </x:c>
      <x:c r="M8" s="7" t="str"/>
      <x:c r="N8" s="7" t="str">
        <x:v>Le livrable « Continuité — héritage ME2 » possède une scène ou un scénario de contrôle ; ses règles proposées, ses conditions et ses retours visuels sont vérifiables séparément.</x:v>
      </x:c>
      <x:c r="O8" s="7" t="str">
        <x:v>ME3-CHO-IMPORT</x:v>
      </x:c>
      <x:c r="P8" s="7" t="str">
        <x:v>Adaptation originale — spécification de production</x:v>
      </x:c>
      <x:c r="Q8" s="7" t="str"/>
      <x:c r="R8" s="21" t="str"/>
      <x:c r="S8" s="21" t="str">
        <x:v>Spécification à réaliser. Les champs adaptation, gameplay, visual, animation, audio et implementation décrivent le fan game ; ils ne donnent pas des caractéristiques officielles de l’œuvre.</x:v>
      </x:c>
    </x:row>
    <x:row r="9" ht="68" customHeight="1">
      <x:c r="A9" s="18" t="str">
        <x:v>ME3-CON-GENOPHAGE</x:v>
      </x:c>
      <x:c r="B9" s="9" t="str">
        <x:v>Continuité — génophage</x:v>
      </x:c>
      <x:c r="C9" s="15" t="str">
        <x:v>Défini</x:v>
      </x:c>
      <x:c r="D9" s="16" t="str">
        <x:v>Extrapolation</x:v>
      </x:c>
      <x:c r="E9" s="16" t="str">
        <x:v>P1</x:v>
      </x:c>
      <x:c r="F9" s="9" t="str">
        <x:v>Livrable original proposé : Continuité — génophage.</x:v>
      </x:c>
      <x:c r="G9" s="9" t="str">
        <x:v>Répercuter Eve, Wrex/Wreav, cure/sabotage et destin du savant dans dialogues et forces ; pas de réparation implicite après mission.</x:v>
      </x:c>
      <x:c r="H9" s="9" t="str">
        <x:v>Répercuter Eve, Wrex/Wreav, cure/sabotage et destin du savant dans dialogues et forces ; pas de réparation implicite après mission.</x:v>
      </x:c>
      <x:c r="I9" s="9" t="str">
        <x:v>Résumé de Tuchanka et portrait politique.</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me3/continuity/genophage ; rattacher les ressources et états cités à cet identifiant. Aucun fichier de jeu créé par ce catalogue.</x:v>
      </x:c>
      <x:c r="M9" s="9" t="str"/>
      <x:c r="N9" s="9" t="str">
        <x:v>Le livrable « Continuité — génophage » possède une scène ou un scénario de contrôle ; ses règles proposées, ses conditions et ses retours visuels sont vérifiables séparément.</x:v>
      </x:c>
      <x:c r="O9" s="9" t="str">
        <x:v>ME3-CHO-CURE</x:v>
      </x:c>
      <x:c r="P9" s="9" t="str">
        <x:v>Adaptation originale — spécification de production</x:v>
      </x:c>
      <x:c r="Q9" s="9" t="str"/>
      <x:c r="R9" s="20" t="str"/>
      <x:c r="S9" s="20" t="str">
        <x:v>Spécification à réaliser. Les champs adaptation, gameplay, visual, animation, audio et implementation décrivent le fan game ; ils ne donnent pas des caractéristiques officielles de l’œuvre.</x:v>
      </x:c>
    </x:row>
    <x:row r="10" ht="68" customHeight="1">
      <x:c r="A10" s="19" t="str">
        <x:v>ME3-CON-RANNOCH</x:v>
      </x:c>
      <x:c r="B10" s="7" t="str">
        <x:v>Continuité — peuples de Rannoch</x:v>
      </x:c>
      <x:c r="C10" s="15" t="str">
        <x:v>Défini</x:v>
      </x:c>
      <x:c r="D10" s="17" t="str">
        <x:v>Extrapolation</x:v>
      </x:c>
      <x:c r="E10" s="17" t="str">
        <x:v>P1</x:v>
      </x:c>
      <x:c r="F10" s="7" t="str">
        <x:v>Livrable original proposé : Continuité — peuples de Rannoch.</x:v>
      </x:c>
      <x:c r="G10" s="7" t="str">
        <x:v>État des flottes et survie Tali/Legion suivent la résolution choisie jusque fête et final ; exclure invités morts.</x:v>
      </x:c>
      <x:c r="H10" s="7" t="str">
        <x:v>État des flottes et survie Tali/Legion suivent la résolution choisie jusque fête et final ; exclure invités morts.</x:v>
      </x:c>
      <x:c r="I10" s="7" t="str">
        <x:v>Table de peuples et personnages.</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me3/continuity/rannoch ; rattacher les ressources et états cités à cet identifiant. Aucun fichier de jeu créé par ce catalogue.</x:v>
      </x:c>
      <x:c r="M10" s="7" t="str"/>
      <x:c r="N10" s="7" t="str">
        <x:v>Le livrable « Continuité — peuples de Rannoch » possède une scène ou un scénario de contrôle ; ses règles proposées, ses conditions et ses retours visuels sont vérifiables séparément.</x:v>
      </x:c>
      <x:c r="O10" s="7" t="str">
        <x:v>ME3-CHO-PEACE</x:v>
      </x:c>
      <x:c r="P10" s="7" t="str">
        <x:v>Adaptation originale — spécification de production</x:v>
      </x:c>
      <x:c r="Q10" s="7" t="str"/>
      <x:c r="R10" s="21" t="str"/>
      <x:c r="S10" s="21" t="str">
        <x:v>Spécification à réaliser. Les champs adaptation, gameplay, visual, animation, audio et implementation décrivent le fan game ; ils ne donnent pas des caractéristiques officielles de l’œuvre.</x:v>
      </x:c>
    </x:row>
    <x:row r="11" ht="68" customHeight="1">
      <x:c r="A11" s="18" t="str">
        <x:v>ME3-CON-MIRANDA</x:v>
      </x:c>
      <x:c r="B11" s="9" t="str">
        <x:v>Continuité — Lawson et Cerberus</x:v>
      </x:c>
      <x:c r="C11" s="15" t="str">
        <x:v>Défini</x:v>
      </x:c>
      <x:c r="D11" s="16" t="str">
        <x:v>Extrapolation</x:v>
      </x:c>
      <x:c r="E11" s="16" t="str">
        <x:v>P1</x:v>
      </x:c>
      <x:c r="F11" s="9" t="str">
        <x:v>Livrable original proposé : Continuité — Lawson et Cerberus.</x:v>
      </x:c>
      <x:c r="G11" s="9" t="str">
        <x:v>L’arc de Miranda dans ME2 informe ses messages ME3 ; Sanctuary reste son propre événement, sans faire du roman une condition obligatoire.</x:v>
      </x:c>
      <x:c r="H11" s="9" t="str">
        <x:v>L’arc de Miranda dans ME2 informe ses messages ME3 ; Sanctuary reste son propre événement, sans faire du roman une condition obligatoire.</x:v>
      </x:c>
      <x:c r="I11" s="9" t="str">
        <x:v>Chronologie des rencontres.</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me3/continuity/miranda ; rattacher les ressources et états cités à cet identifiant. Aucun fichier de jeu créé par ce catalogue.</x:v>
      </x:c>
      <x:c r="M11" s="9" t="str"/>
      <x:c r="N11" s="9" t="str">
        <x:v>Le livrable « Continuité — Lawson et Cerberus » possède une scène ou un scénario de contrôle ; ses règles proposées, ses conditions et ses retours visuels sont vérifiables séparément.</x:v>
      </x:c>
      <x:c r="O11" s="9" t="str">
        <x:v>ME3-CHO-MIRANDA</x:v>
      </x:c>
      <x:c r="P11" s="9" t="str">
        <x:v>Adaptation originale — spécification de production</x:v>
      </x:c>
      <x:c r="Q11" s="9" t="str"/>
      <x:c r="R11" s="20" t="str"/>
      <x:c r="S11" s="20" t="str">
        <x:v>Spécification à réaliser. Les champs adaptation, gameplay, visual, animation, audio et implementation décrivent le fan game ; ils ne donnent pas des caractéristiques officielles de l’œuvre.</x:v>
      </x:c>
    </x:row>
    <x:row r="12" ht="68" customHeight="1">
      <x:c r="A12" s="19" t="str">
        <x:v>ME3-CON-JAVIK</x:v>
      </x:c>
      <x:c r="B12" s="7" t="str">
        <x:v>Continuité — From Ashes</x:v>
      </x:c>
      <x:c r="C12" s="15" t="str">
        <x:v>Défini</x:v>
      </x:c>
      <x:c r="D12" s="17" t="str">
        <x:v>Extrapolation</x:v>
      </x:c>
      <x:c r="E12" s="17" t="str">
        <x:v>P1</x:v>
      </x:c>
      <x:c r="F12" s="7" t="str">
        <x:v>Livrable original proposé : Continuité — From Ashes.</x:v>
      </x:c>
      <x:c r="G12" s="7" t="str">
        <x:v>Présence de Javik conditionne ses réactions, pas la possibilité de comprendre le récit principal ; absence DLC ne supprime pas la conclusion.</x:v>
      </x:c>
      <x:c r="H12" s="7" t="str">
        <x:v>Présence de Javik conditionne ses réactions, pas la possibilité de comprendre le récit principal ; absence DLC ne supprime pas la conclusion.</x:v>
      </x:c>
      <x:c r="I12" s="7" t="str">
        <x:v>Entrée de roster et scènes alternatives.</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me3/continuity/javik ; rattacher les ressources et états cités à cet identifiant. Aucun fichier de jeu créé par ce catalogue.</x:v>
      </x:c>
      <x:c r="M12" s="7" t="str"/>
      <x:c r="N12" s="7" t="str">
        <x:v>Le livrable « Continuité — From Ashes » possède une scène ou un scénario de contrôle ; ses règles proposées, ses conditions et ses retours visuels sont vérifiables séparément.</x:v>
      </x:c>
      <x:c r="O12" s="7" t="str">
        <x:v>ME3-CHR-JAVIK</x:v>
      </x:c>
      <x:c r="P12" s="7" t="str">
        <x:v>Adaptation originale — spécification de production</x:v>
      </x:c>
      <x:c r="Q12" s="7" t="str"/>
      <x:c r="R12" s="21" t="str"/>
      <x:c r="S12" s="21" t="str">
        <x:v>Spécification à réaliser. Les champs adaptation, gameplay, visual, animation, audio et implementation décrivent le fan game ; ils ne donnent pas des caractéristiques officielles de l’œuvre.</x:v>
      </x:c>
    </x:row>
    <x:row r="13" ht="68" customHeight="1">
      <x:c r="A13" s="18" t="str">
        <x:v>ME3-CON-LEVIATHAN</x:v>
      </x:c>
      <x:c r="B13" s="9" t="str">
        <x:v>Continuité — révélation des origines</x:v>
      </x:c>
      <x:c r="C13" s="15" t="str">
        <x:v>Défini</x:v>
      </x:c>
      <x:c r="D13" s="16" t="str">
        <x:v>Extrapolation</x:v>
      </x:c>
      <x:c r="E13" s="16" t="str">
        <x:v>P1</x:v>
      </x:c>
      <x:c r="F13" s="9" t="str">
        <x:v>Livrable original proposé : Continuité — révélation des origines.</x:v>
      </x:c>
      <x:c r="G13" s="9" t="str">
        <x:v>Informations acquises seulement après l’enquête ; les répliques du Catalyseur utilisent un état de connaissance dédié.</x:v>
      </x:c>
      <x:c r="H13" s="9" t="str">
        <x:v>Informations acquises seulement après l’enquête ; les répliques du Catalyseur utilisent un état de connaissance dédié.</x:v>
      </x:c>
      <x:c r="I13" s="9" t="str">
        <x:v>Codex avant/après DLC.</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me3/continuity/leviathan ; rattacher les ressources et états cités à cet identifiant. Aucun fichier de jeu créé par ce catalogue.</x:v>
      </x:c>
      <x:c r="M13" s="9" t="str"/>
      <x:c r="N13" s="9" t="str">
        <x:v>Le livrable « Continuité — révélation des origines » possède une scène ou un scénario de contrôle ; ses règles proposées, ses conditions et ses retours visuels sont vérifiables séparément.</x:v>
      </x:c>
      <x:c r="O13" s="9" t="str">
        <x:v>ME3-LOR-LEVIATHANS</x:v>
      </x:c>
      <x:c r="P13" s="9" t="str">
        <x:v>Adaptation originale — spécification de production</x:v>
      </x:c>
      <x:c r="Q13" s="9" t="str"/>
      <x:c r="R13" s="20" t="str"/>
      <x:c r="S13" s="20" t="str">
        <x:v>Spécification à réaliser. Les champs adaptation, gameplay, visual, animation, audio et implementation décrivent le fan game ; ils ne donnent pas des caractéristiques officielles de l’œuvre.</x:v>
      </x:c>
    </x:row>
    <x:row r="14" ht="68" customHeight="1">
      <x:c r="A14" s="19" t="str">
        <x:v>ME3-CON-OMEGA</x:v>
      </x:c>
      <x:c r="B14" s="7" t="str">
        <x:v>Continuité — station et Aria</x:v>
      </x:c>
      <x:c r="C14" s="15" t="str">
        <x:v>Défini</x:v>
      </x:c>
      <x:c r="D14" s="17" t="str">
        <x:v>Extrapolation</x:v>
      </x:c>
      <x:c r="E14" s="17" t="str">
        <x:v>P1</x:v>
      </x:c>
      <x:c r="F14" s="7" t="str">
        <x:v>Livrable original proposé : Continuité — station et Aria.</x:v>
      </x:c>
      <x:c r="G14" s="7" t="str">
        <x:v>ME2, occupation et libération sont trois états distincts ; le catalogue ne crée pas de libre hub post-DLC non attesté.</x:v>
      </x:c>
      <x:c r="H14" s="7" t="str">
        <x:v>ME2, occupation et libération sont trois états distincts ; le catalogue ne crée pas de libre hub post-DLC non attesté.</x:v>
      </x:c>
      <x:c r="I14" s="7" t="str">
        <x:v>Carte de station par période.</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me3/continuity/omega ; rattacher les ressources et états cités à cet identifiant. Aucun fichier de jeu créé par ce catalogue.</x:v>
      </x:c>
      <x:c r="M14" s="7" t="str"/>
      <x:c r="N14" s="7" t="str">
        <x:v>Le livrable « Continuité — station et Aria » possède une scène ou un scénario de contrôle ; ses règles proposées, ses conditions et ses retours visuels sont vérifiables séparément.</x:v>
      </x:c>
      <x:c r="O14" s="7" t="str">
        <x:v>ME3-WRL-OMEGA</x:v>
      </x:c>
      <x:c r="P14" s="7" t="str">
        <x:v>Adaptation originale — spécification de production</x:v>
      </x:c>
      <x:c r="Q14" s="7" t="str"/>
      <x:c r="R14" s="21" t="str"/>
      <x:c r="S14" s="21" t="str">
        <x:v>Spécification à réaliser. Les champs adaptation, gameplay, visual, animation, audio et implementation décrivent le fan game ; ils ne donnent pas des caractéristiques officielles de l’œuvre.</x:v>
      </x:c>
    </x:row>
    <x:row r="15" ht="68" customHeight="1">
      <x:c r="A15" s="18" t="str">
        <x:v>ME3-CON-CITADEL</x:v>
      </x:c>
      <x:c r="B15" s="9" t="str">
        <x:v>Continuité — placement de Citadel</x:v>
      </x:c>
      <x:c r="C15" s="15" t="str">
        <x:v>Défini</x:v>
      </x:c>
      <x:c r="D15" s="16" t="str">
        <x:v>Extrapolation</x:v>
      </x:c>
      <x:c r="E15" s="16" t="str">
        <x:v>P1</x:v>
      </x:c>
      <x:c r="F15" s="9" t="str">
        <x:v>Livrable original proposé : Continuité — placement de Citadel.</x:v>
      </x:c>
      <x:c r="G15" s="9" t="str">
        <x:v>Positionner le contenu avant le départ final, avec invités selon progression ; une scène festive n’annule pas les pertes déjà actées.</x:v>
      </x:c>
      <x:c r="H15" s="9" t="str">
        <x:v>Positionner le contenu avant le départ final, avec invités selon progression ; une scène festive n’annule pas les pertes déjà actées.</x:v>
      </x:c>
      <x:c r="I15" s="9" t="str">
        <x:v>Timeline de congé et verrou QG.</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me3/continuity/citadel ; rattacher les ressources et états cités à cet identifiant. Aucun fichier de jeu créé par ce catalogue.</x:v>
      </x:c>
      <x:c r="M15" s="9" t="str"/>
      <x:c r="N15" s="9" t="str">
        <x:v>Le livrable « Continuité — placement de Citadel » possède une scène ou un scénario de contrôle ; ses règles proposées, ses conditions et ses retours visuels sont vérifiables séparément.</x:v>
      </x:c>
      <x:c r="O15" s="9" t="str">
        <x:v>ME3-SYS-DLC</x:v>
      </x:c>
      <x:c r="P15" s="9" t="str">
        <x:v>Adaptation originale — spécification de production</x:v>
      </x:c>
      <x:c r="Q15" s="9" t="str"/>
      <x:c r="R15" s="20" t="str"/>
      <x:c r="S15" s="20" t="str">
        <x:v>Spécification à réaliser. Les champs adaptation, gameplay, visual, animation, audio et implementation décrivent le fan game ; ils ne donnent pas des caractéristiques officielles de l’œuvre.</x:v>
      </x:c>
    </x:row>
    <x:row r="16" ht="68" customHeight="1">
      <x:c r="A16" s="19" t="str">
        <x:v>ME3-CON-EXTENDED</x:v>
      </x:c>
      <x:c r="B16" s="7" t="str">
        <x:v>Continuité — Extended Cut</x:v>
      </x:c>
      <x:c r="C16" s="15" t="str">
        <x:v>Défini</x:v>
      </x:c>
      <x:c r="D16" s="17" t="str">
        <x:v>Extrapolation</x:v>
      </x:c>
      <x:c r="E16" s="17" t="str">
        <x:v>P1</x:v>
      </x:c>
      <x:c r="F16" s="7" t="str">
        <x:v>Livrable original proposé : Continuité — Extended Cut.</x:v>
      </x:c>
      <x:c r="G16" s="7" t="str">
        <x:v>Répartir scènes ajoutées et épilogues selon profil d’édition ; garder les variantes disponibles sans élire une fin officielle.</x:v>
      </x:c>
      <x:c r="H16" s="7" t="str">
        <x:v>Répartir scènes ajoutées et épilogues selon profil d’édition ; garder les variantes disponibles sans élire une fin officielle.</x:v>
      </x:c>
      <x:c r="I16" s="7" t="str">
        <x:v>Manifeste des fins.</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me3/continuity/extended ; rattacher les ressources et états cités à cet identifiant. Aucun fichier de jeu créé par ce catalogue.</x:v>
      </x:c>
      <x:c r="M16" s="7" t="str"/>
      <x:c r="N16" s="7" t="str">
        <x:v>Le livrable « Continuité — Extended Cut » possède une scène ou un scénario de contrôle ; ses règles proposées, ses conditions et ses retours visuels sont vérifiables séparément.</x:v>
      </x:c>
      <x:c r="O16" s="7" t="str">
        <x:v>ME3-SYS-ENDING</x:v>
      </x:c>
      <x:c r="P16" s="7" t="str">
        <x:v>Adaptation originale — spécification de production</x:v>
      </x:c>
      <x:c r="Q16" s="7" t="str">
        <x:v>ME3-SRC-BW-EC, ME3-SRC-EA-CAL</x:v>
      </x:c>
      <x:c r="R16" s="21" t="str">
        <x:v>https://blog.bioware.com/2012/06/22/mass-effect-3-extended-cut-2/
https://www.ea.com/ea-play/news/gameplay-calibrations</x:v>
      </x:c>
      <x:c r="S16" s="21" t="str">
        <x:v>Spécification à réaliser. Les champs adaptation, gameplay, visual, animation, audio et implementation décrivent le fan game ; ils ne donnent pas des caractéristiques officielles de l’œuvre.</x:v>
      </x:c>
    </x:row>
    <x:row r="17" ht="68" customHeight="1">
      <x:c r="A17" s="18" t="str">
        <x:v>ME3-CON-LEGENDARY</x:v>
      </x:c>
      <x:c r="B17" s="9" t="str">
        <x:v>Continuité — règles Legendary</x:v>
      </x:c>
      <x:c r="C17" s="15" t="str">
        <x:v>Défini</x:v>
      </x:c>
      <x:c r="D17" s="16" t="str">
        <x:v>Extrapolation</x:v>
      </x:c>
      <x:c r="E17" s="16" t="str">
        <x:v>P1</x:v>
      </x:c>
      <x:c r="F17" s="9" t="str">
        <x:v>Livrable original proposé : Continuité — règles Legendary.</x:v>
      </x:c>
      <x:c r="G17" s="9" t="str">
        <x:v>Pas de multijoueur ni dépendance de readiness à un service externe ; acquisition d’équipement et Extended Cut suivent le profil choisi.</x:v>
      </x:c>
      <x:c r="H17" s="9" t="str">
        <x:v>Pas de multijoueur ni dépendance de readiness à un service externe ; acquisition d’équipement et Extended Cut suivent le profil choisi.</x:v>
      </x:c>
      <x:c r="I17" s="9" t="str">
        <x:v>Badge Legendary et provenance d’objet.</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me3/continuity/legendary ; rattacher les ressources et états cités à cet identifiant. Aucun fichier de jeu créé par ce catalogue.</x:v>
      </x:c>
      <x:c r="M17" s="9" t="str"/>
      <x:c r="N17" s="9" t="str">
        <x:v>Le livrable « Continuité — règles Legendary » possède une scène ou un scénario de contrôle ; ses règles proposées, ses conditions et ses retours visuels sont vérifiables séparément.</x:v>
      </x:c>
      <x:c r="O17" s="9" t="str">
        <x:v>ME3-SYS-READINESS</x:v>
      </x:c>
      <x:c r="P17" s="9" t="str">
        <x:v>Gameplay Calibrations — Legendary Edition</x:v>
      </x:c>
      <x:c r="Q17" s="9" t="str">
        <x:v>ME3-SRC-EA-CAL</x:v>
      </x:c>
      <x:c r="R17" s="20" t="str">
        <x:v>https://www.ea.com/ea-play/news/gameplay-calibrations</x:v>
      </x:c>
      <x:c r="S17" s="20" t="str">
        <x:v>Spécification à réaliser. Les champs adaptation, gameplay, visual, animation, audio et implementation décrivent le fan game ; ils ne donnent pas des caractéristiques officielles de l’œuvre.</x:v>
      </x:c>
    </x:row>
    <x:row r="18" ht="68" customHeight="1">
      <x:c r="A18" s="19" t="str">
        <x:v>ME3-CON-ANDROMEDA</x:v>
      </x:c>
      <x:c r="B18" s="7" t="str">
        <x:v>Continuité — départ de l’Initiative</x:v>
      </x:c>
      <x:c r="C18" s="15" t="str">
        <x:v>Défini</x:v>
      </x:c>
      <x:c r="D18" s="17" t="str">
        <x:v>Extrapolation</x:v>
      </x:c>
      <x:c r="E18" s="17" t="str">
        <x:v>P1</x:v>
      </x:c>
      <x:c r="F18" s="7" t="str">
        <x:v>Livrable original proposé : Continuité — départ de l’Initiative.</x:v>
      </x:c>
      <x:c r="G18" s="7" t="str">
        <x:v>Le futur catalogue Andromeda n’exige pas une fin canon de ME3 ; séparation des chronologies et révélations à documenter sans retcon.</x:v>
      </x:c>
      <x:c r="H18" s="7" t="str">
        <x:v>Le futur catalogue Andromeda n’exige pas une fin canon de ME3 ; séparation des chronologies et révélations à documenter sans retcon.</x:v>
      </x:c>
      <x:c r="I18" s="7" t="str">
        <x:v>Frise distincte des galaxies.</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me3/continuity/andromeda ; rattacher les ressources et états cités à cet identifiant. Aucun fichier de jeu créé par ce catalogue.</x:v>
      </x:c>
      <x:c r="M18" s="7" t="str"/>
      <x:c r="N18" s="7" t="str">
        <x:v>Le livrable « Continuité — départ de l’Initiative » possède une scène ou un scénario de contrôle ; ses règles proposées, ses conditions et ses retours visuels sont vérifiables séparément.</x:v>
      </x:c>
      <x:c r="O18" s="7" t="str">
        <x:v>ME3-CHO-DESTROY</x:v>
      </x:c>
      <x:c r="P18" s="7" t="str">
        <x:v>Adaptation originale — spécification de production</x:v>
      </x:c>
      <x:c r="Q18" s="7" t="str"/>
      <x:c r="R18" s="21" t="str"/>
      <x:c r="S18" s="21" t="str">
        <x:v>Spécification à réaliser. Les champs adaptation, gameplay, visual, animation, audio et implementation décrivent le fan game ; ils ne donnent pas des caractéristiques officielles de l’œuvre.</x:v>
      </x:c>
    </x:row>
    <x:row r="19" ht="68" customHeight="1">
      <x:c r="A19" s="18" t="str">
        <x:v>ME3-CON-SPINOFFS</x:v>
      </x:c>
      <x:c r="B19" s="9" t="str">
        <x:v>Continuité — romans et comics</x:v>
      </x:c>
      <x:c r="C19" s="15" t="str">
        <x:v>Défini</x:v>
      </x:c>
      <x:c r="D19" s="16" t="str">
        <x:v>Extrapolation</x:v>
      </x:c>
      <x:c r="E19" s="16" t="str">
        <x:v>P1</x:v>
      </x:c>
      <x:c r="F19" s="9" t="str">
        <x:v>Livrable original proposé : Continuité — romans et comics.</x:v>
      </x:c>
      <x:c r="G19" s="9" t="str">
        <x:v>Référencer les œuvres connexes par bibliographie, pas comme preuves d’événements d’une sauvegarde ; spoilers filtrés par période.</x:v>
      </x:c>
      <x:c r="H19" s="9" t="str">
        <x:v>Référencer les œuvres connexes par bibliographie, pas comme preuves d’événements d’une sauvegarde ; spoilers filtrés par période.</x:v>
      </x:c>
      <x:c r="I19" s="9" t="str">
        <x:v>Liens documentaires hors journal de mission.</x:v>
      </x:c>
      <x:c r="J19" s="9" t="str">
        <x:v>Transitions de caméra et d’interface interruptibles ; aucun délai d’animation ne doit consommer une décision encore ouverte.</x:v>
      </x:c>
      <x:c r="K19" s="9" t="str">
        <x:v>Créer des bruitages et ambiances originaux adaptés au livrable ; sous-titrer les indices utiles et proposer un réglage indépendant des effets. Aucune extraction audio demandée.</x:v>
      </x:c>
      <x:c r="L19" s="9" t="str">
        <x:v>Prévu : fiche de données me3/continuity/spinoffs ; rattacher les ressources et états cités à cet identifiant. Aucun fichier de jeu créé par ce catalogue.</x:v>
      </x:c>
      <x:c r="M19" s="9" t="str"/>
      <x:c r="N19" s="9" t="str">
        <x:v>Le livrable « Continuité — romans et comics » possède une scène ou un scénario de contrôle ; ses règles proposées, ses conditions et ses retours visuels sont vérifiables séparément.</x:v>
      </x:c>
      <x:c r="O19" s="9" t="str">
        <x:v>ME3-SYS-JOURNAL</x:v>
      </x:c>
      <x:c r="P19" s="9" t="str">
        <x:v>Adaptation originale — spécification de production</x:v>
      </x:c>
      <x:c r="Q19" s="9" t="str"/>
      <x:c r="R19" s="20" t="str"/>
      <x:c r="S19" s="20" t="str">
        <x:v>Spécification à réaliser. Les champs adaptation, gameplay, visual, animation, audio et implementation décrivent le fan game ; ils ne donnent pas des caractéristiques officielles de l’œuvre.</x:v>
      </x:c>
    </x:row>
    <x:row r="20" ht="68" customHeight="1">
      <x:c r="A20" s="19" t="str">
        <x:v>ME3-CON-CANON</x:v>
      </x:c>
      <x:c r="B20" s="7" t="str">
        <x:v>Continuité — faits et adaptation</x:v>
      </x:c>
      <x:c r="C20" s="15" t="str">
        <x:v>Défini</x:v>
      </x:c>
      <x:c r="D20" s="17" t="str">
        <x:v>Extrapolation</x:v>
      </x:c>
      <x:c r="E20" s="17" t="str">
        <x:v>P1</x:v>
      </x:c>
      <x:c r="F20" s="7" t="str">
        <x:v>Livrable original proposé : Continuité — faits et adaptation.</x:v>
      </x:c>
      <x:c r="G20" s="7" t="str">
        <x:v>Description/source expriment les faits brefs ; ATB, ressources proposées, timings et méthodes d’art sont originaux et non des valeurs BioWare.</x:v>
      </x:c>
      <x:c r="H20" s="7" t="str">
        <x:v>Description/source expriment les faits brefs ; ATB, ressources proposées, timings et méthodes d’art sont originaux et non des valeurs BioWare.</x:v>
      </x:c>
      <x:c r="I20" s="7" t="str">
        <x:v>Bandeau de nature dans chaque fiche.</x:v>
      </x:c>
      <x:c r="J20" s="7" t="str">
        <x:v>Transitions de caméra et d’interface interruptibles ; aucun délai d’animation ne doit consommer une décision encore ouverte.</x:v>
      </x:c>
      <x:c r="K20" s="7" t="str">
        <x:v>Créer des bruitages et ambiances originaux adaptés au livrable ; sous-titrer les indices utiles et proposer un réglage indépendant des effets. Aucune extraction audio demandée.</x:v>
      </x:c>
      <x:c r="L20" s="7" t="str">
        <x:v>Prévu : fiche de données me3/continuity/canon ; rattacher les ressources et états cités à cet identifiant. Aucun fichier de jeu créé par ce catalogue.</x:v>
      </x:c>
      <x:c r="M20" s="7" t="str"/>
      <x:c r="N20" s="7" t="str">
        <x:v>Le livrable « Continuité — faits et adaptation » possède une scène ou un scénario de contrôle ; ses règles proposées, ses conditions et ses retours visuels sont vérifiables séparément.</x:v>
      </x:c>
      <x:c r="O20" s="7" t="str">
        <x:v>ME3-SYS-ATB</x:v>
      </x:c>
      <x:c r="P20" s="7" t="str">
        <x:v>Adaptation originale — spécification de production</x:v>
      </x:c>
      <x:c r="Q20" s="7" t="str"/>
      <x:c r="R20" s="21" t="str"/>
      <x:c r="S20" s="21" t="str">
        <x:v>Spécification à réaliser. Les champs adaptation, gameplay, visual, animation, audio et implementation décrivent le fan game ; ils ne donnent pas des caractéristiques officielles de l’œuvre.</x:v>
      </x:c>
    </x:row>
  </x:sheetData>
  <x:conditionalFormatting sqref="D7:D20">
    <x:cfRule type="cellIs" dxfId="100" priority="1" operator="equal">
      <x:formula>"À vérifier"</x:formula>
    </x:cfRule>
    <x:cfRule type="cellIs" dxfId="101" priority="2" operator="equal">
      <x:formula>"Extrapolation"</x:formula>
    </x:cfRule>
  </x:conditionalFormatting>
  <x:conditionalFormatting sqref="C7:C20">
    <x:cfRule type="cellIs" dxfId="102" priority="3" operator="equal">
      <x:formula>"Validé"</x:formula>
    </x:cfRule>
  </x:conditionalFormatting>
  <x:conditionalFormatting sqref="E7:E20">
    <x:cfRule type="cellIs" dxfId="103" priority="4" operator="equal">
      <x:formula>"P0"</x:formula>
    </x:cfRule>
  </x:conditionalFormatting>
  <x:dataValidations count="3">
    <x:dataValidation type="list" sqref="C7:C20">
      <x:formula1>"Défini,Prototype,Intégré,Validé"</x:formula1>
    </x:dataValidation>
    <x:dataValidation type="list" sqref="D7:D20">
      <x:formula1>"Établi,À vérifier,Extrapolation,Coupé attesté,Concept abandonné,Allégation écartée"</x:formula1>
    </x:dataValidation>
    <x:dataValidation type="list" sqref="E7:E20">
      <x:formula1>"P0,P1,P2"</x:formula1>
    </x:dataValidation>
  </x:dataValidations>
  <x:pageMargins left="0.7" right="0.7" top="0.75" bottom="0.75" header="0.3" footer="0.3"/>
  <x:tableParts count="1">
    <x:tablePart xmlns:r="http://schemas.openxmlformats.org/officeDocument/2006/relationships" r:id="Rc7f1d4475edb4fd6"/>
  </x:tableParts>
</x:worksheet>
</file>

<file path=xl/worksheets/sheet28.xml><?xml version="1.0" encoding="utf-8"?>
<x:worksheet xmlns:x="http://schemas.openxmlformats.org/spreadsheetml/2006/main">
  <x:sheetPr>
    <x:tabColor rgb="FF78929B"/>
  </x:sheetPr>
  <x:sheetViews>
    <x:sheetView showGridLines="0" workbookViewId="0">
      <x:pane ySplit="6" topLeftCell="A7" activePane="bottomLeft" state="frozen"/>
    </x:sheetView>
  </x:sheetViews>
  <x:sheetFormatPr defaultRowHeight="15"/>
  <x:cols>
    <x:col min="1" max="1" width="27" hidden="0" customWidth="1"/>
    <x:col min="2" max="2" width="67" hidden="0" customWidth="1"/>
    <x:col min="3" max="3" width="47" hidden="0" customWidth="1"/>
    <x:col min="4" max="4" width="90" hidden="0" customWidth="1"/>
    <x:col min="5" max="5" width="48" hidden="0" customWidth="1"/>
    <x:col min="6" max="6" width="65" hidden="0" customWidth="1"/>
  </x:cols>
  <x:sheetData>
    <x:row r="1" ht="22" customHeight="1">
      <x:c r="A1" s="2"/>
      <x:c r="B1" s="2"/>
      <x:c r="C1" s="2"/>
      <x:c r="D1" s="2"/>
      <x:c r="E1" s="2"/>
      <x:c r="F1" s="2"/>
    </x:row>
    <x:row r="2" ht="22" customHeight="1">
      <x:c r="A2" s="3" t="str">
        <x:v>Guide du catalogue</x:v>
      </x:c>
      <x:c r="B2" s="2"/>
      <x:c r="C2" s="2"/>
      <x:c r="D2" s="2"/>
      <x:c r="E2" s="2"/>
      <x:c r="F2" s="2"/>
    </x:row>
    <x:row r="3" ht="22" customHeight="1">
      <x:c r="A3" s="4" t="str">
        <x:v>Mass Effect 3</x:v>
      </x:c>
      <x:c r="B3" s="2"/>
      <x:c r="C3" s="2"/>
      <x:c r="D3" s="2"/>
      <x:c r="E3" s="2"/>
      <x:c r="F3" s="2"/>
    </x:row>
    <x:row r="4" ht="22" customHeight="1">
      <x:c r="A4" s="5"/>
      <x:c r="B4" s="5"/>
      <x:c r="C4" s="5"/>
      <x:c r="D4" s="5"/>
      <x:c r="E4" s="5"/>
      <x:c r="F4" s="5"/>
    </x:row>
    <x:row r="5" ht="22" customHeight="1">
      <x:c r="A5" s="2"/>
      <x:c r="B5" s="2"/>
      <x:c r="C5" s="2"/>
      <x:c r="D5" s="2"/>
      <x:c r="E5" s="2"/>
      <x:c r="F5" s="2"/>
    </x:row>
    <x:row r="6" ht="34" customHeight="1">
      <x:c r="A6" s="30" t="str">
        <x:v>Champ</x:v>
      </x:c>
      <x:c r="B6" s="32" t="str">
        <x:v>Définition</x:v>
      </x:c>
      <x:c r="C6" s="2"/>
      <x:c r="D6" s="2"/>
      <x:c r="E6" s="2"/>
      <x:c r="F6" s="2"/>
    </x:row>
    <x:row r="7" ht="30" customHeight="1">
      <x:c r="A7" s="7" t="str">
        <x:v>Œuvre</x:v>
      </x:c>
      <x:c r="B7" s="7" t="str">
        <x:v>Mass Effect 3</x:v>
      </x:c>
      <x:c r="C7" s="2"/>
      <x:c r="D7" s="2"/>
      <x:c r="E7" s="2"/>
      <x:c r="F7" s="2"/>
    </x:row>
    <x:row r="8" ht="30" customHeight="1">
      <x:c r="A8" s="7" t="str">
        <x:v>Support</x:v>
      </x:c>
      <x:c r="B8" s="7" t="str">
        <x:v>Jeu vidéo</x:v>
      </x:c>
      <x:c r="C8" s="2"/>
      <x:c r="D8" s="2"/>
      <x:c r="E8" s="2"/>
      <x:c r="F8" s="2"/>
    </x:row>
    <x:row r="9" ht="82" customHeight="1">
      <x:c r="A9" s="7" t="str">
        <x:v>Périmètre</x:v>
      </x:c>
      <x:c r="B9" s="7" t="str">
        <x:v>Campagne solo et DLC From Ashes, Leviathan, Omega, Citadel et Extended Cut ; profils Original et Legendary distincts. Le multijoueur de ME3 original et ses packs sont décrits comme module séparé, sans l’intégrer au roster solo ni le présenter comme présent dans Legendary.</x:v>
      </x:c>
      <x:c r="C9" s="2"/>
      <x:c r="D9" s="2"/>
      <x:c r="E9" s="2"/>
      <x:c r="F9" s="2"/>
    </x:row>
    <x:row r="10" ht="68" customHeight="1">
      <x:c r="A10" s="7" t="str">
        <x:v>Projet</x:v>
      </x:c>
      <x:c r="B10" s="7" t="str">
        <x:v>736 fiches de préparation couvrant les 26 familles du schéma. Sources consultées au 22 octobre 2026 ; inventaire de production substantiel, sans prétention d’exhaustivité vérifiée.</x:v>
      </x:c>
      <x:c r="C10" s="2"/>
      <x:c r="D10" s="2"/>
      <x:c r="E10" s="2"/>
      <x:c r="F10" s="2"/>
    </x:row>
    <x:row r="11" ht="124" customHeight="1">
      <x:c r="A11" s="7" t="str">
        <x:v>Références et limites</x:v>
      </x:c>
      <x:c r="B11" s="7" t="str">
        <x:v>Les faits de l’œuvre sont limités au champ description et à leur référence. Toutes les règles ATB, les valeurs de réglage, les découpages d’arènes, les mouvements combinés et les ressources proposées sont des créations d’adaptation. Les variantes de choix sont mutuellement conditionnelles ; aucune partie type ne devient canon universel. Les sources wiki restent secondaires et les intitulés anglais servent de clés de recherche, pas de traduction française officielle.</x:v>
      </x:c>
      <x:c r="C11" s="2"/>
      <x:c r="D11" s="2"/>
      <x:c r="E11" s="2"/>
      <x:c r="F11" s="2"/>
    </x:row>
    <x:row r="12" ht="40" customHeight="1">
      <x:c r="A12" s="7" t="str">
        <x:v>Date de référence</x:v>
      </x:c>
      <x:c r="B12" s="44" t="d">
        <x:v>2026-10-22T12:00:00.000Z</x:v>
      </x:c>
      <x:c r="C12" s="2"/>
      <x:c r="D12" s="2"/>
      <x:c r="E12" s="2"/>
      <x:c r="F12" s="2"/>
    </x:row>
    <x:row r="13" ht="40" customHeight="1">
      <x:c r="A13" s="7" t="str">
        <x:v>Statut Défini</x:v>
      </x:c>
      <x:c r="B13" s="7" t="str">
        <x:v>Fiche de conception à réaliser. Aucun asset ou code supplémentaire n’est prouvé par cette valeur.</x:v>
      </x:c>
      <x:c r="C13" s="2"/>
      <x:c r="D13" s="2"/>
      <x:c r="E13" s="2"/>
      <x:c r="F13" s="2"/>
    </x:row>
    <x:row r="14" ht="40" customHeight="1">
      <x:c r="A14" s="7" t="str">
        <x:v>Établi</x:v>
      </x:c>
      <x:c r="B14" s="7" t="str">
        <x:v>Fait de référence documenté. Les colonnes adaptation, règles, visuel et animation décrivent la production envisagée.</x:v>
      </x:c>
      <x:c r="C14" s="2"/>
      <x:c r="D14" s="2"/>
      <x:c r="E14" s="2"/>
      <x:c r="F14" s="2"/>
    </x:row>
    <x:row r="15" ht="40" customHeight="1">
      <x:c r="A15" s="7" t="str">
        <x:v>À vérifier</x:v>
      </x:c>
      <x:c r="B15" s="7" t="str">
        <x:v>Information partielle, indexée ou nécessitant un contrôle dans l’œuvre originale.</x:v>
      </x:c>
      <x:c r="C15" s="2"/>
      <x:c r="D15" s="2"/>
      <x:c r="E15" s="2"/>
      <x:c r="F15" s="2"/>
    </x:row>
    <x:row r="16" ht="40" customHeight="1">
      <x:c r="A16" s="7" t="str">
        <x:v>Extrapolation</x:v>
      </x:c>
      <x:c r="B16" s="7" t="str">
        <x:v>Création ou interprétation pour le fan game. Ne décrit pas un contenu officiel.</x:v>
      </x:c>
      <x:c r="C16" s="2"/>
      <x:c r="D16" s="2"/>
      <x:c r="E16" s="2"/>
      <x:c r="F16" s="2"/>
    </x:row>
    <x:row r="17" ht="40" customHeight="1">
      <x:c r="A17" s="7" t="str">
        <x:v>Coupé attesté</x:v>
      </x:c>
      <x:c r="B17" s="7" t="str">
        <x:v>Contenu retiré appuyé par une source identifiée. Son état exact peut rester à relever.</x:v>
      </x:c>
      <x:c r="C17" s="2"/>
      <x:c r="D17" s="2"/>
      <x:c r="E17" s="2"/>
      <x:c r="F17" s="2"/>
    </x:row>
    <x:row r="18" ht="40" customHeight="1">
      <x:c r="A18" s="7" t="str">
        <x:v>Concept abandonné</x:v>
      </x:c>
      <x:c r="B18" s="7" t="str">
        <x:v>Piste ou prototype documenté, sans scénario final officiel présumé.</x:v>
      </x:c>
      <x:c r="C18" s="2"/>
      <x:c r="D18" s="2"/>
      <x:c r="E18" s="2"/>
      <x:c r="F18" s="2"/>
    </x:row>
    <x:row r="19" ht="40" customHeight="1">
      <x:c r="A19" s="7" t="str">
        <x:v>Allégation écartée</x:v>
      </x:c>
      <x:c r="B19" s="7" t="str">
        <x:v>Hypothèse exclue de la continuité de production. Motif donné dans la fiche.</x:v>
      </x:c>
      <x:c r="C19" s="2"/>
      <x:c r="D19" s="2"/>
      <x:c r="E19" s="2"/>
      <x:c r="F19" s="2"/>
    </x:row>
    <x:row r="20" ht="40" customHeight="1">
      <x:c r="A20" s="7" t="str">
        <x:v>Priorités</x:v>
      </x:c>
      <x:c r="B20" s="7" t="str">
        <x:v>P0 : dépendance structurante. P1 : production du module. P2 : enrichissement ultérieur.</x:v>
      </x:c>
      <x:c r="C20" s="2"/>
      <x:c r="D20" s="2"/>
      <x:c r="E20" s="2"/>
      <x:c r="F20" s="2"/>
    </x:row>
    <x:row r="21" ht="54" customHeight="1">
      <x:c r="A21" s="7" t="str">
        <x:v>Édition</x:v>
      </x:c>
      <x:c r="B21" s="7" t="str">
        <x:v>Les statuts se modifient dans les cellules ambre. Les compteurs se recalculent. Les modifications Excel ne sont pas réimportées automatiquement.</x:v>
      </x:c>
      <x:c r="C21" s="2"/>
      <x:c r="D21" s="2"/>
      <x:c r="E21" s="2"/>
      <x:c r="F21" s="2"/>
    </x:row>
    <x:row r="22" ht="40" customHeight="1">
      <x:c r="A22" s="7" t="str">
        <x:v>Régénération</x:v>
      </x:c>
      <x:c r="B22" s="7" t="str">
        <x:v>Conserver les décisions approuvées dans le catalogue JSON du dépôt avant de régénérer ce classeur.</x:v>
      </x:c>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34" customHeight="1">
      <x:c r="A26" s="30" t="str">
        <x:v>Source</x:v>
      </x:c>
      <x:c r="B26" s="31" t="str">
        <x:v>Titre</x:v>
      </x:c>
      <x:c r="C26" s="31" t="str">
        <x:v>Type</x:v>
      </x:c>
      <x:c r="D26" s="31" t="str">
        <x:v>URL</x:v>
      </x:c>
      <x:c r="E26" s="31" t="str">
        <x:v>Périmètre</x:v>
      </x:c>
      <x:c r="F26" s="32" t="str">
        <x:v>Accès et limites</x:v>
      </x:c>
    </x:row>
    <x:row r="27" ht="42" customHeight="1">
      <x:c r="A27" s="6" t="str">
        <x:v>ME3-SRC-EA-LE</x:v>
      </x:c>
      <x:c r="B27" s="6" t="str">
        <x:v>Mass Effect Legendary Edition — EA</x:v>
      </x:c>
      <x:c r="C27" s="6" t="str">
        <x:v>source officielle</x:v>
      </x:c>
      <x:c r="D27" s="6" t="str">
        <x:v>https://www.ea.com/fr/games/mass-effect/mass-effect-legendary-edition</x:v>
      </x:c>
      <x:c r="E27" s="6" t="str">
        <x:v>Collection solo et DLC</x:v>
      </x:c>
      <x:c r="F27" s="6" t="str">
        <x:v>Source officielle consultée le 22 octobre 2026 ; portée limitée au sujet annoncé.</x:v>
      </x:c>
    </x:row>
    <x:row r="28" ht="42" customHeight="1">
      <x:c r="A28" s="6" t="str">
        <x:v>ME3-SRC-EA-CAL</x:v>
      </x:c>
      <x:c r="B28" s="6" t="str">
        <x:v>Gameplay Calibrations</x:v>
      </x:c>
      <x:c r="C28" s="6" t="str">
        <x:v>source officielle</x:v>
      </x:c>
      <x:c r="D28" s="6" t="str">
        <x:v>https://www.ea.com/ea-play/news/gameplay-calibrations</x:v>
      </x:c>
      <x:c r="E28" s="6" t="str">
        <x:v>Galaxy at War, Extended Cut et acquisition des objets</x:v>
      </x:c>
      <x:c r="F28" s="6" t="str">
        <x:v>Source officielle consultée le 22 octobre 2026 ; portée limitée au sujet annoncé.</x:v>
      </x:c>
    </x:row>
    <x:row r="29" ht="42" customHeight="1">
      <x:c r="A29" s="6" t="str">
        <x:v>ME3-SRC-EA-ASHES</x:v>
      </x:c>
      <x:c r="B29" s="6" t="str">
        <x:v>ME3: Surgi des cendres</x:v>
      </x:c>
      <x:c r="C29" s="6" t="str">
        <x:v>source officielle</x:v>
      </x:c>
      <x:c r="D29" s="6" t="str">
        <x:v>https://www.ea.com/fr-fr/games/mass-effect/mass-effect-3-from-ashes</x:v>
      </x:c>
      <x:c r="E29" s="6" t="str">
        <x:v>Recrutement du Prothéen</x:v>
      </x:c>
      <x:c r="F29" s="6" t="str">
        <x:v>Source officielle consultée le 22 octobre 2026 ; portée limitée au sujet annoncé.</x:v>
      </x:c>
    </x:row>
    <x:row r="30" ht="42" customHeight="1">
      <x:c r="A30" s="6" t="str">
        <x:v>ME3-SRC-EA-LEV</x:v>
      </x:c>
      <x:c r="B30" s="6" t="str">
        <x:v>Mass Effect 3: Leviathan — EA</x:v>
      </x:c>
      <x:c r="C30" s="6" t="str">
        <x:v>source officielle</x:v>
      </x:c>
      <x:c r="D30" s="6" t="str">
        <x:v>https://www.ea.com/fr-fr/games/mass-effect/mass-effect-3-leviathan</x:v>
      </x:c>
      <x:c r="E30" s="6" t="str">
        <x:v>Sujet de l’extension</x:v>
      </x:c>
      <x:c r="F30" s="6" t="str">
        <x:v>Source officielle consultée le 22 octobre 2026 ; portée limitée au sujet annoncé.</x:v>
      </x:c>
    </x:row>
    <x:row r="31" ht="42" customHeight="1">
      <x:c r="A31" s="6" t="str">
        <x:v>ME3-SRC-EA-OMEGA</x:v>
      </x:c>
      <x:c r="B31" s="6" t="str">
        <x:v>Mass Effect 3: Omega — EA</x:v>
      </x:c>
      <x:c r="C31" s="6" t="str">
        <x:v>source officielle</x:v>
      </x:c>
      <x:c r="D31" s="6" t="str">
        <x:v>https://www.ea.com/fr-fr/games/mass-effect/mass-effect-3-omega</x:v>
      </x:c>
      <x:c r="E31" s="6" t="str">
        <x:v>Aria et libération d’Omega</x:v>
      </x:c>
      <x:c r="F31" s="6" t="str">
        <x:v>Source officielle consultée le 22 octobre 2026 ; portée limitée au sujet annoncé.</x:v>
      </x:c>
    </x:row>
    <x:row r="32" ht="42" customHeight="1">
      <x:c r="A32" s="6" t="str">
        <x:v>ME3-SRC-BW-CITADEL</x:v>
      </x:c>
      <x:c r="B32" s="6" t="str">
        <x:v>Citadel &amp; Reckoning DLC Announced</x:v>
      </x:c>
      <x:c r="C32" s="6" t="str">
        <x:v>source officielle</x:v>
      </x:c>
      <x:c r="D32" s="6" t="str">
        <x:v>https://blog.bioware.com/2013/02/21/mass-effect-3-citadel-reckoning-dlc-announced/</x:v>
      </x:c>
      <x:c r="E32" s="6" t="str">
        <x:v>Citadel solo, Armax et Reckoning multi</x:v>
      </x:c>
      <x:c r="F32" s="6" t="str">
        <x:v>Source officielle consultée le 22 octobre 2026 ; portée limitée au sujet annoncé.</x:v>
      </x:c>
    </x:row>
    <x:row r="33" ht="42" customHeight="1">
      <x:c r="A33" s="6" t="str">
        <x:v>ME3-SRC-BW-LEV</x:v>
      </x:c>
      <x:c r="B33" s="6" t="str">
        <x:v>Leviathan &amp; Firefight DLC and Wii U information</x:v>
      </x:c>
      <x:c r="C33" s="6" t="str">
        <x:v>source officielle</x:v>
      </x:c>
      <x:c r="D33" s="6" t="str">
        <x:v>https://blog.bioware.com/2012/08/02/mass-effect-3-leviathan-firefight-dlc-and-wii-u-information/</x:v>
      </x:c>
      <x:c r="E33" s="6" t="str">
        <x:v>Leviathan et armes solo</x:v>
      </x:c>
      <x:c r="F33" s="6" t="str">
        <x:v>Source officielle consultée le 22 octobre 2026 ; portée limitée au sujet annoncé.</x:v>
      </x:c>
    </x:row>
    <x:row r="34" ht="42" customHeight="1">
      <x:c r="A34" s="6" t="str">
        <x:v>ME3-SRC-BW-EC</x:v>
      </x:c>
      <x:c r="B34" s="6" t="str">
        <x:v>Mass Effect 3: Extended Cut</x:v>
      </x:c>
      <x:c r="C34" s="6" t="str">
        <x:v>source officielle</x:v>
      </x:c>
      <x:c r="D34" s="6" t="str">
        <x:v>https://blog.bioware.com/2012/06/22/mass-effect-3-extended-cut-2/</x:v>
      </x:c>
      <x:c r="E34" s="6" t="str">
        <x:v>Scènes finales et épilogues supplémentaires</x:v>
      </x:c>
      <x:c r="F34" s="6" t="str">
        <x:v>Source officielle consultée le 22 octobre 2026 ; portée limitée au sujet annoncé.</x:v>
      </x:c>
    </x:row>
    <x:row r="35" ht="82" customHeight="1">
      <x:c r="A35" s="6" t="str">
        <x:v>ME3-SRC-GUIDE</x:v>
      </x:c>
      <x:c r="B35" s="6" t="str">
        <x:v>Mass Effect 3 Guide</x:v>
      </x:c>
      <x:c r="C35" s="6" t="str">
        <x:v>wiki</x:v>
      </x:c>
      <x:c r="D35" s="6" t="str">
        <x:v>https://masseffect.fandom.com/wiki/Mass_Effect_3_Guide</x:v>
      </x:c>
      <x:c r="E35" s="6" t="str">
        <x:v>Campagne et échéances de missions</x:v>
      </x:c>
      <x:c r="F35" s="6" t="str">
        <x:v>Consulté le 22 octobre 2026 via les résultats indexés du moteur de recherche ; index communautaire secondaire, ouverture directe Fandom limitée par robots/402. Titres et faits brefs paraphrasés ; aucune capture ni validation exhaustive en jeu.</x:v>
      </x:c>
    </x:row>
    <x:row r="36" ht="82" customHeight="1">
      <x:c r="A36" s="6" t="str">
        <x:v>ME3-SRC-MISSIONS</x:v>
      </x:c>
      <x:c r="B36" s="6" t="str">
        <x:v>Missions</x:v>
      </x:c>
      <x:c r="C36" s="6" t="str">
        <x:v>wiki</x:v>
      </x:c>
      <x:c r="D36" s="6" t="str">
        <x:v>https://masseffect.fandom.com/wiki/Missions</x:v>
      </x:c>
      <x:c r="E36" s="6" t="str">
        <x:v>Index ME3 et DLC</x:v>
      </x:c>
      <x:c r="F36" s="6" t="str">
        <x:v>Consulté le 22 octobre 2026 via les résultats indexés du moteur de recherche ; index communautaire secondaire, ouverture directe Fandom limitée par robots/402. Titres et faits brefs paraphrasés ; aucune capture ni validation exhaustive en jeu.</x:v>
      </x:c>
    </x:row>
    <x:row r="37" ht="82" customHeight="1">
      <x:c r="A37" s="6" t="str">
        <x:v>ME3-SRC-CHAR</x:v>
      </x:c>
      <x:c r="B37" s="6" t="str">
        <x:v>Characters/Mass Effect 3</x:v>
      </x:c>
      <x:c r="C37" s="6" t="str">
        <x:v>wiki</x:v>
      </x:c>
      <x:c r="D37" s="6" t="str">
        <x:v>https://masseffect.fandom.com/wiki/Characters/Mass_Effect_3</x:v>
      </x:c>
      <x:c r="E37" s="6" t="str">
        <x:v>Personnages</x:v>
      </x:c>
      <x:c r="F37" s="6" t="str">
        <x:v>Consulté le 22 octobre 2026 via les résultats indexés du moteur de recherche ; index communautaire secondaire, ouverture directe Fandom limitée par robots/402. Titres et faits brefs paraphrasés ; aucune capture ni validation exhaustive en jeu.</x:v>
      </x:c>
    </x:row>
    <x:row r="38" ht="82" customHeight="1">
      <x:c r="A38" s="6" t="str">
        <x:v>ME3-SRC-SQUAD</x:v>
      </x:c>
      <x:c r="B38" s="6" t="str">
        <x:v>Squad Members Guide (Mass Effect 3)</x:v>
      </x:c>
      <x:c r="C38" s="6" t="str">
        <x:v>wiki</x:v>
      </x:c>
      <x:c r="D38" s="6" t="str">
        <x:v>https://masseffect.fandom.com/wiki/Squad_Members_Guide_%28Mass_Effect_3%29</x:v>
      </x:c>
      <x:c r="E38" s="6" t="str">
        <x:v>Roster campagne, DLC et Armax</x:v>
      </x:c>
      <x:c r="F38" s="6" t="str">
        <x:v>Consulté le 22 octobre 2026 via les résultats indexés du moteur de recherche ; index communautaire secondaire, ouverture directe Fandom limitée par robots/402. Titres et faits brefs paraphrasés ; aucune capture ni validation exhaustive en jeu.</x:v>
      </x:c>
    </x:row>
    <x:row r="39" ht="82" customHeight="1">
      <x:c r="A39" s="6" t="str">
        <x:v>ME3-SRC-POWERS</x:v>
      </x:c>
      <x:c r="B39" s="6" t="str">
        <x:v>Powers (Mass Effect 3)</x:v>
      </x:c>
      <x:c r="C39" s="6" t="str">
        <x:v>wiki</x:v>
      </x:c>
      <x:c r="D39" s="6" t="str">
        <x:v>https://masseffect.fandom.com/wiki/Powers_%28Mass_Effect_3%29</x:v>
      </x:c>
      <x:c r="E39" s="6" t="str">
        <x:v>Pouvoirs et progressions</x:v>
      </x:c>
      <x:c r="F39" s="6" t="str">
        <x:v>Consulté le 22 octobre 2026 via les résultats indexés du moteur de recherche ; index communautaire secondaire, ouverture directe Fandom limitée par robots/402. Titres et faits brefs paraphrasés ; aucune capture ni validation exhaustive en jeu.</x:v>
      </x:c>
    </x:row>
    <x:row r="40" ht="82" customHeight="1">
      <x:c r="A40" s="6" t="str">
        <x:v>ME3-SRC-COMBAT</x:v>
      </x:c>
      <x:c r="B40" s="6" t="str">
        <x:v>Combat (Mass Effect 3)</x:v>
      </x:c>
      <x:c r="C40" s="6" t="str">
        <x:v>wiki</x:v>
      </x:c>
      <x:c r="D40" s="6" t="str">
        <x:v>https://masseffect.fandom.com/wiki/Combat_%28Mass_Effect_3%29</x:v>
      </x:c>
      <x:c r="E40" s="6" t="str">
        <x:v>Couches de protection et attaques létales</x:v>
      </x:c>
      <x:c r="F40" s="6" t="str">
        <x:v>Consulté le 22 octobre 2026 via les résultats indexés du moteur de recherche ; index communautaire secondaire, ouverture directe Fandom limitée par robots/402. Titres et faits brefs paraphrasés ; aucune capture ni validation exhaustive en jeu.</x:v>
      </x:c>
    </x:row>
    <x:row r="41" ht="82" customHeight="1">
      <x:c r="A41" s="6" t="str">
        <x:v>ME3-SRC-EQUIP</x:v>
      </x:c>
      <x:c r="B41" s="6" t="str">
        <x:v>Equipment Guide (Mass Effect 3)</x:v>
      </x:c>
      <x:c r="C41" s="6" t="str">
        <x:v>wiki</x:v>
      </x:c>
      <x:c r="D41" s="6" t="str">
        <x:v>https://masseffect.fandom.com/wiki/Equipment_Guide_%28Mass_Effect_3%29</x:v>
      </x:c>
      <x:c r="E41" s="6" t="str">
        <x:v>Équipement et lieux de collecte</x:v>
      </x:c>
      <x:c r="F41" s="6" t="str">
        <x:v>Consulté le 22 octobre 2026 via les résultats indexés du moteur de recherche ; index communautaire secondaire, ouverture directe Fandom limitée par robots/402. Titres et faits brefs paraphrasés ; aucune capture ni validation exhaustive en jeu.</x:v>
      </x:c>
    </x:row>
    <x:row r="42" ht="82" customHeight="1">
      <x:c r="A42" s="6" t="str">
        <x:v>ME3-SRC-CITADEL</x:v>
      </x:c>
      <x:c r="B42" s="6" t="str">
        <x:v>Citadel</x:v>
      </x:c>
      <x:c r="C42" s="6" t="str">
        <x:v>wiki</x:v>
      </x:c>
      <x:c r="D42" s="6" t="str">
        <x:v>https://masseffect.fandom.com/wiki/Citadel</x:v>
      </x:c>
      <x:c r="E42" s="6" t="str">
        <x:v>Index des missions annexes de Citadelle</x:v>
      </x:c>
      <x:c r="F42" s="6" t="str">
        <x:v>Consulté le 22 octobre 2026 via les résultats indexés du moteur de recherche ; index communautaire secondaire, ouverture directe Fandom limitée par robots/402. Titres et faits brefs paraphrasés ; aucune capture ni validation exhaustive en jeu.</x:v>
      </x:c>
    </x:row>
    <x:row r="43" ht="82" customHeight="1">
      <x:c r="A43" s="6" t="str">
        <x:v>ME3-SRC-HUERTA</x:v>
      </x:c>
      <x:c r="B43" s="6" t="str">
        <x:v>Huerta Memorial Hospital</x:v>
      </x:c>
      <x:c r="C43" s="6" t="str">
        <x:v>wiki</x:v>
      </x:c>
      <x:c r="D43" s="6" t="str">
        <x:v>https://masseffect.fandom.com/wiki/Huerta_Memorial_Hospital</x:v>
      </x:c>
      <x:c r="E43" s="6" t="str">
        <x:v>Hôpital et personnages</x:v>
      </x:c>
      <x:c r="F43" s="6" t="str">
        <x:v>Consulté le 22 octobre 2026 via les résultats indexés du moteur de recherche ; index communautaire secondaire, ouverture directe Fandom limitée par robots/402. Titres et faits brefs paraphrasés ; aucune capture ni validation exhaustive en jeu.</x:v>
      </x:c>
    </x:row>
    <x:row r="44" ht="82" customHeight="1">
      <x:c r="A44" s="6" t="str">
        <x:v>ME3-SRC-TUCH</x:v>
      </x:c>
      <x:c r="B44" s="6" t="str">
        <x:v>Priority: Tuchanka</x:v>
      </x:c>
      <x:c r="C44" s="6" t="str">
        <x:v>wiki</x:v>
      </x:c>
      <x:c r="D44" s="6" t="str">
        <x:v>https://masseffect.fandom.com/wiki/Priority%3A_Tuchanka</x:v>
      </x:c>
      <x:c r="E44" s="6" t="str">
        <x:v>Génophage, Eve et sabotage</x:v>
      </x:c>
      <x:c r="F44" s="6" t="str">
        <x:v>Consulté le 22 octobre 2026 via les résultats indexés du moteur de recherche ; index communautaire secondaire, ouverture directe Fandom limitée par robots/402. Titres et faits brefs paraphrasés ; aucune capture ni validation exhaustive en jeu.</x:v>
      </x:c>
    </x:row>
    <x:row r="45" ht="82" customHeight="1">
      <x:c r="A45" s="6" t="str">
        <x:v>ME3-SRC-RANNOCH</x:v>
      </x:c>
      <x:c r="B45" s="6" t="str">
        <x:v>Priority: Rannoch</x:v>
      </x:c>
      <x:c r="C45" s="6" t="str">
        <x:v>wiki</x:v>
      </x:c>
      <x:c r="D45" s="6" t="str">
        <x:v>https://masseffect.fandom.com/wiki/Priority%3A_Rannoch</x:v>
      </x:c>
      <x:c r="E45" s="6" t="str">
        <x:v>Geth, quariens et résolution</x:v>
      </x:c>
      <x:c r="F45" s="6" t="str">
        <x:v>Consulté le 22 octobre 2026 via les résultats indexés du moteur de recherche ; index communautaire secondaire, ouverture directe Fandom limitée par robots/402. Titres et faits brefs paraphrasés ; aucune capture ni validation exhaustive en jeu.</x:v>
      </x:c>
    </x:row>
    <x:row r="46" ht="82" customHeight="1">
      <x:c r="A46" s="6" t="str">
        <x:v>ME3-SRC-EARTH</x:v>
      </x:c>
      <x:c r="B46" s="6" t="str">
        <x:v>Priority: Earth</x:v>
      </x:c>
      <x:c r="C46" s="6" t="str">
        <x:v>wiki</x:v>
      </x:c>
      <x:c r="D46" s="6" t="str">
        <x:v>https://masseffect.fandom.com/wiki/Priority%3A_Earth</x:v>
      </x:c>
      <x:c r="E46" s="6" t="str">
        <x:v>Final et variantes de décision</x:v>
      </x:c>
      <x:c r="F46" s="6" t="str">
        <x:v>Consulté le 22 octobre 2026 via les résultats indexés du moteur de recherche ; index communautaire secondaire, ouverture directe Fandom limitée par robots/402. Titres et faits brefs paraphrasés ; aucune capture ni validation exhaustive en jeu.</x:v>
      </x:c>
    </x:row>
    <x:row r="47" ht="82" customHeight="1">
      <x:c r="A47" s="6" t="str">
        <x:v>ME3-SRC-HORIZON</x:v>
      </x:c>
      <x:c r="B47" s="6" t="str">
        <x:v>Priority: Horizon</x:v>
      </x:c>
      <x:c r="C47" s="6" t="str">
        <x:v>wiki</x:v>
      </x:c>
      <x:c r="D47" s="6" t="str">
        <x:v>https://masseffect.fandom.com/wiki/Priority%3A_Horizon</x:v>
      </x:c>
      <x:c r="E47" s="6" t="str">
        <x:v>Sanctuary et Miranda</x:v>
      </x:c>
      <x:c r="F47" s="6" t="str">
        <x:v>Consulté le 22 octobre 2026 via les résultats indexés du moteur de recherche ; index communautaire secondaire, ouverture directe Fandom limitée par robots/402. Titres et faits brefs paraphrasés ; aucune capture ni validation exhaustive en jeu.</x:v>
      </x:c>
    </x:row>
    <x:row r="48" ht="82" customHeight="1">
      <x:c r="A48" s="6" t="str">
        <x:v>ME3-SRC-THESSIA</x:v>
      </x:c>
      <x:c r="B48" s="6" t="str">
        <x:v>Priority: Thessia</x:v>
      </x:c>
      <x:c r="C48" s="6" t="str">
        <x:v>wiki</x:v>
      </x:c>
      <x:c r="D48" s="6" t="str">
        <x:v>https://masseffect.fandom.com/wiki/Priority%3A_Thessia</x:v>
      </x:c>
      <x:c r="E48" s="6" t="str">
        <x:v>Temple et Vendetta</x:v>
      </x:c>
      <x:c r="F48" s="6" t="str">
        <x:v>Consulté le 22 octobre 2026 via les résultats indexés du moteur de recherche ; index communautaire secondaire, ouverture directe Fandom limitée par robots/402. Titres et faits brefs paraphrasés ; aucune capture ni validation exhaustive en jeu.</x:v>
      </x:c>
    </x:row>
    <x:row r="49" ht="82" customHeight="1">
      <x:c r="A49" s="6" t="str">
        <x:v>ME3-SRC-HQ</x:v>
      </x:c>
      <x:c r="B49" s="6" t="str">
        <x:v>Priority: Cerberus Headquarters</x:v>
      </x:c>
      <x:c r="C49" s="6" t="str">
        <x:v>wiki</x:v>
      </x:c>
      <x:c r="D49" s="6" t="str">
        <x:v>https://masseffect.fandom.com/wiki/Priority%3A_Cerberus_Headquarters</x:v>
      </x:c>
      <x:c r="E49" s="6" t="str">
        <x:v>Assaut final de Cerberus</x:v>
      </x:c>
      <x:c r="F49" s="6" t="str">
        <x:v>Consulté le 22 octobre 2026 via les résultats indexés du moteur de recherche ; index communautaire secondaire, ouverture directe Fandom limitée par robots/402. Titres et faits brefs paraphrasés ; aucune capture ni validation exhaustive en jeu.</x:v>
      </x:c>
    </x:row>
    <x:row r="50" ht="82" customHeight="1">
      <x:c r="A50" s="6" t="str">
        <x:v>ME3-SRC-CITADEL2</x:v>
      </x:c>
      <x:c r="B50" s="6" t="str">
        <x:v>Priority: The Citadel II</x:v>
      </x:c>
      <x:c r="C50" s="6" t="str">
        <x:v>wiki</x:v>
      </x:c>
      <x:c r="D50" s="6" t="str">
        <x:v>https://masseffect.fandom.com/wiki/Priority%3A_The_Citadel_II</x:v>
      </x:c>
      <x:c r="E50" s="6" t="str">
        <x:v>Coup d’État et Kolyat</x:v>
      </x:c>
      <x:c r="F50" s="6" t="str">
        <x:v>Consulté le 22 octobre 2026 via les résultats indexés du moteur de recherche ; index communautaire secondaire, ouverture directe Fandom limitée par robots/402. Titres et faits brefs paraphrasés ; aucune capture ni validation exhaustive en jeu.</x:v>
      </x:c>
    </x:row>
    <x:row r="51" ht="82" customHeight="1">
      <x:c r="A51" s="6" t="str">
        <x:v>ME3-SRC-GRISSOM</x:v>
      </x:c>
      <x:c r="B51" s="6" t="str">
        <x:v>Grissom Academy: Emergency Evacuation</x:v>
      </x:c>
      <x:c r="C51" s="6" t="str">
        <x:v>wiki</x:v>
      </x:c>
      <x:c r="D51" s="6" t="str">
        <x:v>https://masseffect.fandom.com/wiki/Grissom_Academy%3A_Emergency_Evacuation</x:v>
      </x:c>
      <x:c r="E51" s="6" t="str">
        <x:v>Jack, élèves et évacuation</x:v>
      </x:c>
      <x:c r="F51" s="6" t="str">
        <x:v>Consulté le 22 octobre 2026 via les résultats indexés du moteur de recherche ; index communautaire secondaire, ouverture directe Fandom limitée par robots/402. Titres et faits brefs paraphrasés ; aucune capture ni validation exhaustive en jeu.</x:v>
      </x:c>
    </x:row>
    <x:row r="52" ht="82" customHeight="1">
      <x:c r="A52" s="6" t="str">
        <x:v>ME3-SRC-RACHNI</x:v>
      </x:c>
      <x:c r="B52" s="6" t="str">
        <x:v>Attican Traverse: Krogan Team</x:v>
      </x:c>
      <x:c r="C52" s="6" t="str">
        <x:v>wiki</x:v>
      </x:c>
      <x:c r="D52" s="6" t="str">
        <x:v>https://masseffect.fandom.com/wiki/Attican_Traverse%3A_Krogan_Team</x:v>
      </x:c>
      <x:c r="E52" s="6" t="str">
        <x:v>Grunt, équipe et reine rachni</x:v>
      </x:c>
      <x:c r="F52" s="6" t="str">
        <x:v>Consulté le 22 octobre 2026 via les résultats indexés du moteur de recherche ; index communautaire secondaire, ouverture directe Fandom limitée par robots/402. Titres et faits brefs paraphrasés ; aucune capture ni validation exhaustive en jeu.</x:v>
      </x:c>
    </x:row>
    <x:row r="53" ht="82" customHeight="1">
      <x:c r="A53" s="6" t="str">
        <x:v>ME3-SRC-BOMB</x:v>
      </x:c>
      <x:c r="B53" s="6" t="str">
        <x:v>Tuchanka: Bomb</x:v>
      </x:c>
      <x:c r="C53" s="6" t="str">
        <x:v>wiki</x:v>
      </x:c>
      <x:c r="D53" s="6" t="str">
        <x:v>https://masseffect.fandom.com/wiki/Tuchanka%3A_Bomb</x:v>
      </x:c>
      <x:c r="E53" s="6" t="str">
        <x:v>Désamorçage et Victus</x:v>
      </x:c>
      <x:c r="F53" s="6" t="str">
        <x:v>Consulté le 22 octobre 2026 via les résultats indexés du moteur de recherche ; index communautaire secondaire, ouverture directe Fandom limitée par robots/402. Titres et faits brefs paraphrasés ; aucune capture ni validation exhaustive en jeu.</x:v>
      </x:c>
    </x:row>
    <x:row r="54" ht="82" customHeight="1">
      <x:c r="A54" s="6" t="str">
        <x:v>ME3-SRC-PLATOON</x:v>
      </x:c>
      <x:c r="B54" s="6" t="str">
        <x:v>Tuchanka: Turian Platoon</x:v>
      </x:c>
      <x:c r="C54" s="6" t="str">
        <x:v>wiki</x:v>
      </x:c>
      <x:c r="D54" s="6" t="str">
        <x:v>https://masseffect.fandom.com/wiki/Tuchanka%3A_Turian_Platoon</x:v>
      </x:c>
      <x:c r="E54" s="6" t="str">
        <x:v>Peloton et enchaînement vers bombe</x:v>
      </x:c>
      <x:c r="F54" s="6" t="str">
        <x:v>Consulté le 22 octobre 2026 via les résultats indexés du moteur de recherche ; index communautaire secondaire, ouverture directe Fandom limitée par robots/402. Titres et faits brefs paraphrasés ; aucune capture ni validation exhaustive en jeu.</x:v>
      </x:c>
    </x:row>
    <x:row r="55" ht="82" customHeight="1">
      <x:c r="A55" s="6" t="str">
        <x:v>ME3-SRC-KALLINI</x:v>
      </x:c>
      <x:c r="B55" s="6" t="str">
        <x:v>Kallini: Ardat-Yakshi Monastery</x:v>
      </x:c>
      <x:c r="C55" s="6" t="str">
        <x:v>wiki</x:v>
      </x:c>
      <x:c r="D55" s="6" t="str">
        <x:v>https://masseffect.fandom.com/wiki/Kallini%3A_Ardat-Yakshi_Monastery</x:v>
      </x:c>
      <x:c r="E55" s="6" t="str">
        <x:v>Samara, Falere et Rila</x:v>
      </x:c>
      <x:c r="F55" s="6" t="str">
        <x:v>Consulté le 22 octobre 2026 via les résultats indexés du moteur de recherche ; index communautaire secondaire, ouverture directe Fandom limitée par robots/402. Titres et faits brefs paraphrasés ; aucune capture ni validation exhaustive en jeu.</x:v>
      </x:c>
    </x:row>
    <x:row r="56" ht="82" customHeight="1">
      <x:c r="A56" s="6" t="str">
        <x:v>ME3-SRC-ARRAE</x:v>
      </x:c>
      <x:c r="B56" s="6" t="str">
        <x:v>Arrae: Ex-Cerberus Scientists</x:v>
      </x:c>
      <x:c r="C56" s="6" t="str">
        <x:v>wiki</x:v>
      </x:c>
      <x:c r="D56" s="6" t="str">
        <x:v>https://masseffect.fandom.com/wiki/Arrae%3A_Ex-Cerberus_Scientists</x:v>
      </x:c>
      <x:c r="E56" s="6" t="str">
        <x:v>Jacob, Brynn Cole et Gavin</x:v>
      </x:c>
      <x:c r="F56" s="6" t="str">
        <x:v>Consulté le 22 octobre 2026 via les résultats indexés du moteur de recherche ; index communautaire secondaire, ouverture directe Fandom limitée par robots/402. Titres et faits brefs paraphrasés ; aucune capture ni validation exhaustive en jeu.</x:v>
      </x:c>
    </x:row>
    <x:row r="57" ht="82" customHeight="1">
      <x:c r="A57" s="6" t="str">
        <x:v>ME3-SRC-FIGHTERS</x:v>
      </x:c>
      <x:c r="B57" s="6" t="str">
        <x:v>Rannoch: Geth Fighter Squadrons</x:v>
      </x:c>
      <x:c r="C57" s="6" t="str">
        <x:v>wiki</x:v>
      </x:c>
      <x:c r="D57" s="6" t="str">
        <x:v>https://masseffect.fandom.com/wiki/Rannoch%3A_Geth_Fighter_Squadrons</x:v>
      </x:c>
      <x:c r="E57" s="6" t="str">
        <x:v>Consensus et échéance avant Rannoch</x:v>
      </x:c>
      <x:c r="F57" s="6" t="str">
        <x:v>Consulté le 22 octobre 2026 via les résultats indexés du moteur de recherche ; index communautaire secondaire, ouverture directe Fandom limitée par robots/402. Titres et faits brefs paraphrasés ; aucune capture ni validation exhaustive en jeu.</x:v>
      </x:c>
    </x:row>
    <x:row r="58" ht="82" customHeight="1">
      <x:c r="A58" s="6" t="str">
        <x:v>ME3-SRC-OMEGA</x:v>
      </x:c>
      <x:c r="B58" s="6" t="str">
        <x:v>Omega: Aria T’Loak (Mass Effect 3)</x:v>
      </x:c>
      <x:c r="C58" s="6" t="str">
        <x:v>wiki</x:v>
      </x:c>
      <x:c r="D58" s="6" t="str">
        <x:v>https://masseffect.fandom.com/wiki/Omega%3A_Aria_T%27Loak_%28Mass_Effect_3%29</x:v>
      </x:c>
      <x:c r="E58" s="6" t="str">
        <x:v>Campagne DLC, Nyreen et Petrovsky</x:v>
      </x:c>
      <x:c r="F58" s="6" t="str">
        <x:v>Consulté le 22 octobre 2026 via les résultats indexés du moteur de recherche ; index communautaire secondaire, ouverture directe Fandom limitée par robots/402. Titres et faits brefs paraphrasés ; aucune capture ni validation exhaustive en jeu.</x:v>
      </x:c>
    </x:row>
    <x:row r="59" ht="82" customHeight="1">
      <x:c r="A59" s="6" t="str">
        <x:v>ME3-SRC-OMEGA-START</x:v>
      </x:c>
      <x:c r="B59" s="6" t="str">
        <x:v>Citadel: Aria T’Loak</x:v>
      </x:c>
      <x:c r="C59" s="6" t="str">
        <x:v>wiki</x:v>
      </x:c>
      <x:c r="D59" s="6" t="str">
        <x:v>https://masseffect.fandom.com/wiki/Citadel%3A_Aria_T%27Loak</x:v>
      </x:c>
      <x:c r="E59" s="6" t="str">
        <x:v>Briefing de l’extension</x:v>
      </x:c>
      <x:c r="F59" s="6" t="str">
        <x:v>Consulté le 22 octobre 2026 via les résultats indexés du moteur de recherche ; index communautaire secondaire, ouverture directe Fandom limitée par robots/402. Titres et faits brefs paraphrasés ; aucune capture ni validation exhaustive en jeu.</x:v>
      </x:c>
    </x:row>
    <x:row r="60" ht="82" customHeight="1">
      <x:c r="A60" s="6" t="str">
        <x:v>ME3-SRC-LEV</x:v>
      </x:c>
      <x:c r="B60" s="6" t="str">
        <x:v>Mass Effect 3: Leviathan</x:v>
      </x:c>
      <x:c r="C60" s="6" t="str">
        <x:v>wiki</x:v>
      </x:c>
      <x:c r="D60" s="6" t="str">
        <x:v>https://masseffect.fandom.com/wiki/Mass_Effect_3%3A_Leviathan</x:v>
      </x:c>
      <x:c r="E60" s="6" t="str">
        <x:v>Index des étapes de recherche</x:v>
      </x:c>
      <x:c r="F60" s="6" t="str">
        <x:v>Consulté le 22 octobre 2026 via les résultats indexés du moteur de recherche ; index communautaire secondaire, ouverture directe Fandom limitée par robots/402. Titres et faits brefs paraphrasés ; aucune capture ni validation exhaustive en jeu.</x:v>
      </x:c>
    </x:row>
    <x:row r="61" ht="82" customHeight="1">
      <x:c r="A61" s="6" t="str">
        <x:v>ME3-SRC-CIT-DLC</x:v>
      </x:c>
      <x:c r="B61" s="6" t="str">
        <x:v>Mass Effect 3: Citadel</x:v>
      </x:c>
      <x:c r="C61" s="6" t="str">
        <x:v>wiki</x:v>
      </x:c>
      <x:c r="D61" s="6" t="str">
        <x:v>https://masseffect.fandom.com/wiki/Mass_Effect_3%3A_Citadel</x:v>
      </x:c>
      <x:c r="E61" s="6" t="str">
        <x:v>Complot et activités</x:v>
      </x:c>
      <x:c r="F61" s="6" t="str">
        <x:v>Consulté le 22 octobre 2026 via les résultats indexés du moteur de recherche ; index communautaire secondaire, ouverture directe Fandom limitée par robots/402. Titres et faits brefs paraphrasés ; aucune capture ni validation exhaustive en jeu.</x:v>
      </x:c>
    </x:row>
    <x:row r="62" ht="82" customHeight="1">
      <x:c r="A62" s="6" t="str">
        <x:v>ME3-SRC-MP</x:v>
      </x:c>
      <x:c r="B62" s="6" t="str">
        <x:v>Mass Effect 3 Multiplayer</x:v>
      </x:c>
      <x:c r="C62" s="6" t="str">
        <x:v>wiki</x:v>
      </x:c>
      <x:c r="D62" s="6" t="str">
        <x:v>https://masseffect.fandom.com/wiki/Mass_Effect_3_Multiplayer</x:v>
      </x:c>
      <x:c r="E62" s="6" t="str">
        <x:v>Cartes et packs multijoueurs, original uniquement</x:v>
      </x:c>
      <x:c r="F62" s="6" t="str">
        <x:v>Consulté le 22 octobre 2026 via les résultats indexés du moteur de recherche ; index communautaire secondaire, ouverture directe Fandom limitée par robots/402. Titres et faits brefs paraphrasés ; aucune capture ni validation exhaustive en jeu.</x:v>
      </x:c>
    </x:row>
    <x:row r="63" ht="82" customHeight="1">
      <x:c r="A63" s="6" t="str">
        <x:v>ME3-SRC-MP-CHALLENGES</x:v>
      </x:c>
      <x:c r="B63" s="6" t="str">
        <x:v>Mass Effect 3 Multiplayer/Challenges</x:v>
      </x:c>
      <x:c r="C63" s="6" t="str">
        <x:v>wiki</x:v>
      </x:c>
      <x:c r="D63" s="6" t="str">
        <x:v>https://masseffect.fandom.com/wiki/Mass_Effect_3_Multiplayer/Challenges</x:v>
      </x:c>
      <x:c r="E63" s="6" t="str">
        <x:v>Défis de Retaliation</x:v>
      </x:c>
      <x:c r="F63" s="6" t="str">
        <x:v>Consulté le 22 octobre 2026 via les résultats indexés du moteur de recherche ; index communautaire secondaire, ouverture directe Fandom limitée par robots/402. Titres et faits brefs paraphrasés ; aucune capture ni validation exhaustive en jeu.</x:v>
      </x:c>
    </x:row>
    <x:row r="64" ht="82" customHeight="1">
      <x:c r="A64" s="6" t="str">
        <x:v>ME3-SRC-GAME</x:v>
      </x:c>
      <x:c r="B64" s="6" t="str">
        <x:v>Mass Effect 3</x:v>
      </x:c>
      <x:c r="C64" s="6" t="str">
        <x:v>wiki</x:v>
      </x:c>
      <x:c r="D64" s="6" t="str">
        <x:v>https://masseffect.fandom.com/wiki/Mass_Effect_3</x:v>
      </x:c>
      <x:c r="E64" s="6" t="str">
        <x:v>Périmètre et éditions</x:v>
      </x:c>
      <x:c r="F64" s="6" t="str">
        <x:v>Consulté le 22 octobre 2026 via les résultats indexés du moteur de recherche ; index communautaire secondaire, ouverture directe Fandom limitée par robots/402. Titres et faits brefs paraphrasés ; aucune capture ni validation exhaustive en jeu.</x:v>
      </x:c>
    </x:row>
    <x:row r="65" ht="82" customHeight="1">
      <x:c r="A65" s="6" t="str">
        <x:v>ME3-SRC-INTERRUPT</x:v>
      </x:c>
      <x:c r="B65" s="6" t="str">
        <x:v>Interrupt (Mass Effect 3)</x:v>
      </x:c>
      <x:c r="C65" s="6" t="str">
        <x:v>wiki</x:v>
      </x:c>
      <x:c r="D65" s="6" t="str">
        <x:v>https://masseffect.fandom.com/wiki/Interrupt_%28Mass_Effect_3%29</x:v>
      </x:c>
      <x:c r="E65" s="6" t="str">
        <x:v>Interruptions et variantes</x:v>
      </x:c>
      <x:c r="F65" s="6" t="str">
        <x:v>Consulté le 22 octobre 2026 via les résultats indexés du moteur de recherche ; index communautaire secondaire, ouverture directe Fandom limitée par robots/402. Titres et faits brefs paraphrasés ; aucune capture ni validation exhaustive en jeu.</x:v>
      </x:c>
    </x:row>
    <x:row r="66" ht="82" customHeight="1">
      <x:c r="A66" s="6" t="str">
        <x:v>ME3-SRC-MORAL</x:v>
      </x:c>
      <x:c r="B66" s="6" t="str">
        <x:v>Morality Guide (Mass Effect 3)</x:v>
      </x:c>
      <x:c r="C66" s="6" t="str">
        <x:v>wiki</x:v>
      </x:c>
      <x:c r="D66" s="6" t="str">
        <x:v>https://masseffect.fandom.com/wiki/Morality_Guide_%28Mass_Effect_3%29</x:v>
      </x:c>
      <x:c r="E66" s="6" t="str">
        <x:v>Dialogues et décisions</x:v>
      </x:c>
      <x:c r="F66" s="6" t="str">
        <x:v>Consulté le 22 octobre 2026 via les résultats indexés du moteur de recherche ; index communautaire secondaire, ouverture directe Fandom limitée par robots/402. Titres et faits brefs paraphrasés ; aucune capture ni validation exhaustive en jeu.</x:v>
      </x:c>
    </x:row>
    <x:row r="67" ht="82" customHeight="1">
      <x:c r="A67" s="6" t="str">
        <x:v>ME3-SRC-PHANTOM</x:v>
      </x:c>
      <x:c r="B67" s="6" t="str">
        <x:v>Phantom</x:v>
      </x:c>
      <x:c r="C67" s="6" t="str">
        <x:v>wiki</x:v>
      </x:c>
      <x:c r="D67" s="6" t="str">
        <x:v>https://masseffect.fandom.com/wiki/Phantom</x:v>
      </x:c>
      <x:c r="E67" s="6" t="str">
        <x:v>Unité Cerberus et index bestiaire</x:v>
      </x:c>
      <x:c r="F67" s="6" t="str">
        <x:v>Consulté le 22 octobre 2026 via les résultats indexés du moteur de recherche ; index communautaire secondaire, ouverture directe Fandom limitée par robots/402. Titres et faits brefs paraphrasés ; aucune capture ni validation exhaustive en jeu.</x:v>
      </x:c>
    </x:row>
    <x:row r="68" ht="82" customHeight="1">
      <x:c r="A68" s="6" t="str">
        <x:v>ME3-SRC-MARAUDER</x:v>
      </x:c>
      <x:c r="B68" s="6" t="str">
        <x:v>Marauder</x:v>
      </x:c>
      <x:c r="C68" s="6" t="str">
        <x:v>wiki</x:v>
      </x:c>
      <x:c r="D68" s="6" t="str">
        <x:v>https://masseffect.fandom.com/wiki/Marauder</x:v>
      </x:c>
      <x:c r="E68" s="6" t="str">
        <x:v>Unité Moissonneur et index bestiaire</x:v>
      </x:c>
      <x:c r="F68" s="6" t="str">
        <x:v>Consulté le 22 octobre 2026 via les résultats indexés du moteur de recherche ; index communautaire secondaire, ouverture directe Fandom limitée par robots/402. Titres et faits brefs paraphrasés ; aucune capture ni validation exhaustive en jeu.</x:v>
      </x:c>
    </x:row>
    <x:row r="69" ht="82" customHeight="1">
      <x:c r="A69" s="6" t="str">
        <x:v>ME3-SRC-RAVAGER</x:v>
      </x:c>
      <x:c r="B69" s="6" t="str">
        <x:v>Ravager</x:v>
      </x:c>
      <x:c r="C69" s="6" t="str">
        <x:v>wiki</x:v>
      </x:c>
      <x:c r="D69" s="6" t="str">
        <x:v>https://masseffect.fandom.com/wiki/Ravager</x:v>
      </x:c>
      <x:c r="E69" s="6" t="str">
        <x:v>Unité d’artillerie et index bestiaire</x:v>
      </x:c>
      <x:c r="F69" s="6" t="str">
        <x:v>Consulté le 22 octobre 2026 via les résultats indexés du moteur de recherche ; index communautaire secondaire, ouverture directe Fandom limitée par robots/402. Titres et faits brefs paraphrasés ; aucune capture ni validation exhaustive en jeu.</x:v>
      </x:c>
    </x:row>
    <x:row r="70" ht="82" customHeight="1">
      <x:c r="A70" s="6" t="str">
        <x:v>ME3-SRC-KAI</x:v>
      </x:c>
      <x:c r="B70" s="6" t="str">
        <x:v>Kai Leng (enemy)</x:v>
      </x:c>
      <x:c r="C70" s="6" t="str">
        <x:v>wiki</x:v>
      </x:c>
      <x:c r="D70" s="6" t="str">
        <x:v>https://masseffect.fandom.com/wiki/Kai_Leng_%28enemy%29</x:v>
      </x:c>
      <x:c r="E70" s="6" t="str">
        <x:v>Boss Cerberus</x:v>
      </x:c>
      <x:c r="F70" s="6" t="str">
        <x:v>Consulté le 22 octobre 2026 via les résultats indexés du moteur de recherche ; index communautaire secondaire, ouverture directe Fandom limitée par robots/402. Titres et faits brefs paraphrasés ; aucune capture ni validation exhaustive en jeu.</x:v>
      </x:c>
    </x:row>
    <x:row r="71" ht="82" customHeight="1">
      <x:c r="A71" s="6" t="str">
        <x:v>ME3-SRC-CLONE</x:v>
      </x:c>
      <x:c r="B71" s="6" t="str">
        <x:v>Clone</x:v>
      </x:c>
      <x:c r="C71" s="6" t="str">
        <x:v>wiki</x:v>
      </x:c>
      <x:c r="D71" s="6" t="str">
        <x:v>https://masseffect.fandom.com/wiki/Clone</x:v>
      </x:c>
      <x:c r="E71" s="6" t="str">
        <x:v>Boss de Citadel</x:v>
      </x:c>
      <x:c r="F71" s="6" t="str">
        <x:v>Consulté le 22 octobre 2026 via les résultats indexés du moteur de recherche ; index communautaire secondaire, ouverture directe Fandom limitée par robots/402. Titres et faits brefs paraphrasés ; aucune capture ni validation exhaustive en jeu.</x:v>
      </x:c>
    </x:row>
    <x:row r="72" ht="82" customHeight="1">
      <x:c r="A72" s="6" t="str">
        <x:v>ME3-SRC-BROOKS</x:v>
      </x:c>
      <x:c r="B72" s="6" t="str">
        <x:v>Brooks</x:v>
      </x:c>
      <x:c r="C72" s="6" t="str">
        <x:v>wiki</x:v>
      </x:c>
      <x:c r="D72" s="6" t="str">
        <x:v>https://masseffect.fandom.com/wiki/Brooks</x:v>
      </x:c>
      <x:c r="E72" s="6" t="str">
        <x:v>Antagoniste de Citadel</x:v>
      </x:c>
      <x:c r="F72" s="6" t="str">
        <x:v>Consulté le 22 octobre 2026 via les résultats indexés du moteur de recherche ; index communautaire secondaire, ouverture directe Fandom limitée par robots/402. Titres et faits brefs paraphrasés ; aucune capture ni validation exhaustive en jeu.</x:v>
      </x:c>
    </x:row>
    <x:row r="73" ht="82" customHeight="1">
      <x:c r="A73" s="6" t="str">
        <x:v>ME3-SRC-CAT6</x:v>
      </x:c>
      <x:c r="B73" s="6" t="str">
        <x:v>CAT6 Specialist</x:v>
      </x:c>
      <x:c r="C73" s="6" t="str">
        <x:v>wiki</x:v>
      </x:c>
      <x:c r="D73" s="6" t="str">
        <x:v>https://masseffect.fandom.com/wiki/CAT6_Specialist</x:v>
      </x:c>
      <x:c r="E73" s="6" t="str">
        <x:v>Unités CAT6 et drones</x:v>
      </x:c>
      <x:c r="F73" s="6" t="str">
        <x:v>Consulté le 22 octobre 2026 via les résultats indexés du moteur de recherche ; index communautaire secondaire, ouverture directe Fandom limitée par robots/402. Titres et faits brefs paraphrasés ; aucune capture ni validation exhaustive en jeu.</x:v>
      </x:c>
    </x:row>
    <x:row r="74" ht="82" customHeight="1">
      <x:c r="A74" s="6" t="str">
        <x:v>ME3-SRC-HARVESTER</x:v>
      </x:c>
      <x:c r="B74" s="6" t="str">
        <x:v>Harvester (enemy)</x:v>
      </x:c>
      <x:c r="C74" s="6" t="str">
        <x:v>wiki</x:v>
      </x:c>
      <x:c r="D74" s="6" t="str">
        <x:v>https://masseffect.fandom.com/wiki/Harvester_%28enemy%29</x:v>
      </x:c>
      <x:c r="E74" s="6" t="str">
        <x:v>Boss volant</x:v>
      </x:c>
      <x:c r="F74" s="6" t="str">
        <x:v>Consulté le 22 octobre 2026 via les résultats indexés du moteur de recherche ; index communautaire secondaire, ouverture directe Fandom limitée par robots/402. Titres et faits brefs paraphrasés ; aucune capture ni validation exhaustive en jeu.</x:v>
      </x:c>
    </x:row>
    <x:row r="75" ht="82" customHeight="1">
      <x:c r="A75" s="6" t="str">
        <x:v>ME3-SRC-SUPPRESSOR</x:v>
      </x:c>
      <x:c r="B75" s="6" t="str">
        <x:v>M-11 Suppressor</x:v>
      </x:c>
      <x:c r="C75" s="6" t="str">
        <x:v>wiki</x:v>
      </x:c>
      <x:c r="D75" s="6" t="str">
        <x:v>https://masseffect.fandom.com/wiki/M-11_Suppressor</x:v>
      </x:c>
      <x:c r="E75" s="6" t="str">
        <x:v>Arme de Citadel et index arsenal</x:v>
      </x:c>
      <x:c r="F75" s="6" t="str">
        <x:v>Consulté le 22 octobre 2026 via les résultats indexés du moteur de recherche ; index communautaire secondaire, ouverture directe Fandom limitée par robots/402. Titres et faits brefs paraphrasés ; aucune capture ni validation exhaustive en jeu.</x:v>
      </x:c>
    </x:row>
    <x:row r="76" ht="82" customHeight="1">
      <x:c r="A76" s="6" t="str">
        <x:v>ME3-SRC-PARTICLE</x:v>
      </x:c>
      <x:c r="B76" s="6" t="str">
        <x:v>Particle Rifle</x:v>
      </x:c>
      <x:c r="C76" s="6" t="str">
        <x:v>wiki</x:v>
      </x:c>
      <x:c r="D76" s="6" t="str">
        <x:v>https://masseffect.fandom.com/wiki/Particle_Rifle</x:v>
      </x:c>
      <x:c r="E76" s="6" t="str">
        <x:v>Fusil prothéen et index arsenal</x:v>
      </x:c>
      <x:c r="F76" s="6" t="str">
        <x:v>Consulté le 22 octobre 2026 via les résultats indexés du moteur de recherche ; index communautaire secondaire, ouverture directe Fandom limitée par robots/402. Titres et faits brefs paraphrasés ; aucune capture ni validation exhaustive en jeu.</x:v>
      </x:c>
    </x:row>
    <x:row r="77" ht="82" customHeight="1">
      <x:c r="A77" s="6" t="str">
        <x:v>ME3-SRC-PHAESTON</x:v>
      </x:c>
      <x:c r="B77" s="6" t="str">
        <x:v>Phaeston</x:v>
      </x:c>
      <x:c r="C77" s="6" t="str">
        <x:v>wiki</x:v>
      </x:c>
      <x:c r="D77" s="6" t="str">
        <x:v>https://masseffect.fandom.com/wiki/Phaeston</x:v>
      </x:c>
      <x:c r="E77" s="6" t="str">
        <x:v>Fusil turien et index arsenal</x:v>
      </x:c>
      <x:c r="F77" s="6" t="str">
        <x:v>Consulté le 22 octobre 2026 via les résultats indexés du moteur de recherche ; index communautaire secondaire, ouverture directe Fandom limitée par robots/402. Titres et faits brefs paraphrasés ; aucune capture ni validation exhaustive en jeu.</x:v>
      </x:c>
    </x:row>
    <x:row r="78" ht="82" customHeight="1">
      <x:c r="A78" s="6" t="str">
        <x:v>ME3-SRC-CHAKRAM</x:v>
      </x:c>
      <x:c r="B78" s="6" t="str">
        <x:v>Chakram Launcher</x:v>
      </x:c>
      <x:c r="C78" s="6" t="str">
        <x:v>wiki</x:v>
      </x:c>
      <x:c r="D78" s="6" t="str">
        <x:v>https://masseffect.fandom.com/wiki/Chakram_Launcher</x:v>
      </x:c>
      <x:c r="E78" s="6" t="str">
        <x:v>Arme additionnelle</x:v>
      </x:c>
      <x:c r="F78" s="6" t="str">
        <x:v>Consulté le 22 octobre 2026 via les résultats indexés du moteur de recherche ; index communautaire secondaire, ouverture directe Fandom limitée par robots/402. Titres et faits brefs paraphrasés ; aucune capture ni validation exhaustive en jeu.</x:v>
      </x:c>
    </x:row>
    <x:row r="79" ht="82" customHeight="1">
      <x:c r="A79" s="6" t="str">
        <x:v>ME3-SRC-SABER</x:v>
      </x:c>
      <x:c r="B79" s="6" t="str">
        <x:v>M-99 Saber</x:v>
      </x:c>
      <x:c r="C79" s="6" t="str">
        <x:v>wiki</x:v>
      </x:c>
      <x:c r="D79" s="6" t="str">
        <x:v>https://masseffect.fandom.com/wiki/M-99_Saber</x:v>
      </x:c>
      <x:c r="E79" s="6" t="str">
        <x:v>Fusil lourd</x:v>
      </x:c>
      <x:c r="F79" s="6" t="str">
        <x:v>Consulté le 22 octobre 2026 via les résultats indexés du moteur de recherche ; index communautaire secondaire, ouverture directe Fandom limitée par robots/402. Titres et faits brefs paraphrasés ; aucune capture ni validation exhaustive en jeu.</x:v>
      </x:c>
    </x:row>
    <x:row r="80" ht="82" customHeight="1">
      <x:c r="A80" s="6" t="str">
        <x:v>ME3-SRC-BLACKSTAR</x:v>
      </x:c>
      <x:c r="B80" s="6" t="str">
        <x:v>Reaper Blackstar</x:v>
      </x:c>
      <x:c r="C80" s="6" t="str">
        <x:v>wiki</x:v>
      </x:c>
      <x:c r="D80" s="6" t="str">
        <x:v>https://masseffect.fandom.com/wiki/Reaper_Blackstar</x:v>
      </x:c>
      <x:c r="E80" s="6" t="str">
        <x:v>Arme lourde locale</x:v>
      </x:c>
      <x:c r="F80" s="6" t="str">
        <x:v>Consulté le 22 octobre 2026 via les résultats indexés du moteur de recherche ; index communautaire secondaire, ouverture directe Fandom limitée par robots/402. Titres et faits brefs paraphrasés ; aucune capture ni validation exhaustive en jeu.</x:v>
      </x:c>
    </x:row>
    <x:row r="81" ht="82" customHeight="1">
      <x:c r="A81" s="6" t="str">
        <x:v>ME3-SRC-HYDRA</x:v>
      </x:c>
      <x:c r="B81" s="6" t="str">
        <x:v>M-560 Hydra</x:v>
      </x:c>
      <x:c r="C81" s="6" t="str">
        <x:v>wiki</x:v>
      </x:c>
      <x:c r="D81" s="6" t="str">
        <x:v>https://masseffect.fandom.com/wiki/M-560_Hydra</x:v>
      </x:c>
      <x:c r="E81" s="6" t="str">
        <x:v>Lanceur local de Tuchanka</x:v>
      </x:c>
      <x:c r="F81" s="6" t="str">
        <x:v>Consulté le 22 octobre 2026 via les résultats indexés du moteur de recherche ; index communautaire secondaire, ouverture directe Fandom limitée par robots/402. Titres et faits brefs paraphrasés ; aucune capture ni validation exhaustive en jeu.</x:v>
      </x:c>
    </x:row>
    <x:row r="82" ht="82" customHeight="1">
      <x:c r="A82" s="6" t="str">
        <x:v>ME3-SRC-GETH-SOFT</x:v>
      </x:c>
      <x:c r="B82" s="6" t="str">
        <x:v>Geth Combat Software</x:v>
      </x:c>
      <x:c r="C82" s="6" t="str">
        <x:v>wiki</x:v>
      </x:c>
      <x:c r="D82" s="6" t="str">
        <x:v>https://masseffect.fandom.com/wiki/Geth_Combat_Software</x:v>
      </x:c>
      <x:c r="E82" s="6" t="str">
        <x:v>Arme virtuelle du consensus</x:v>
      </x:c>
      <x:c r="F82" s="6" t="str">
        <x:v>Consulté le 22 octobre 2026 via les résultats indexés du moteur de recherche ; index communautaire secondaire, ouverture directe Fandom limitée par robots/402. Titres et faits brefs paraphrasés ; aucune capture ni validation exhaustive en jeu.</x:v>
      </x:c>
    </x:row>
    <x:row r="83" ht="82" customHeight="1">
      <x:c r="A83" s="6" t="str">
        <x:v>ME3-SRC-ALIEN-MED</x:v>
      </x:c>
      <x:c r="B83" s="6" t="str">
        <x:v>Citadel: Alien Medi-Gel Formula</x:v>
      </x:c>
      <x:c r="C83" s="6" t="str">
        <x:v>wiki</x:v>
      </x:c>
      <x:c r="D83" s="6" t="str">
        <x:v>https://masseffect.fandom.com/wiki/Citadel%3A_Alien_Medi-Gel_Formula</x:v>
      </x:c>
      <x:c r="E83" s="6" t="str">
        <x:v>Mission, échéance et rattrapage Spectre</x:v>
      </x:c>
      <x:c r="F83" s="6" t="str">
        <x:v>Consulté le 22 octobre 2026 via les résultats indexés du moteur de recherche ; index communautaire secondaire, ouverture directe Fandom limitée par robots/402. Titres et faits brefs paraphrasés ; aucune capture ni validation exhaustive en jeu.</x:v>
      </x:c>
    </x:row>
    <x:row r="84" ht="82" customHeight="1">
      <x:c r="A84" s="6" t="str">
        <x:v>ME3-SRC-WAR-ALIEN</x:v>
      </x:c>
      <x:c r="B84" s="6" t="str">
        <x:v>War Assets/Alien</x:v>
      </x:c>
      <x:c r="C84" s="6" t="str">
        <x:v>wiki</x:v>
      </x:c>
      <x:c r="D84" s="6" t="str">
        <x:v>https://masseffect.fandom.com/wiki/War_Assets/Alien</x:v>
      </x:c>
      <x:c r="E84" s="6" t="str">
        <x:v>Ressources de guerre extraterrestres</x:v>
      </x:c>
      <x:c r="F84" s="6" t="str">
        <x:v>Consulté le 22 octobre 2026 via les résultats indexés du moteur de recherche ; index communautaire secondaire, ouverture directe Fandom limitée par robots/402. Titres et faits brefs paraphrasés ; aucune capture ni validation exhaustive en jeu.</x:v>
      </x:c>
    </x:row>
    <x:row r="85" ht="82" customHeight="1">
      <x:c r="A85" s="6" t="str">
        <x:v>ME3-SRC-WAR-KROGAN</x:v>
      </x:c>
      <x:c r="B85" s="6" t="str">
        <x:v>War Assets/Krogan</x:v>
      </x:c>
      <x:c r="C85" s="6" t="str">
        <x:v>wiki</x:v>
      </x:c>
      <x:c r="D85" s="6" t="str">
        <x:v>https://masseffect.fandom.com/wiki/War_Assets/Krogan</x:v>
      </x:c>
      <x:c r="E85" s="6" t="str">
        <x:v>Ressources krogan et rachni</x:v>
      </x:c>
      <x:c r="F85" s="6" t="str">
        <x:v>Consulté le 22 octobre 2026 via les résultats indexés du moteur de recherche ; index communautaire secondaire, ouverture directe Fandom limitée par robots/402. Titres et faits brefs paraphrasés ; aucune capture ni validation exhaustive en jeu.</x:v>
      </x:c>
    </x:row>
    <x:row r="86" ht="82" customHeight="1">
      <x:c r="A86" s="6" t="str">
        <x:v>ME3-SRC-WAR-SALARIAN</x:v>
      </x:c>
      <x:c r="B86" s="6" t="str">
        <x:v>War Assets/Salarian</x:v>
      </x:c>
      <x:c r="C86" s="6" t="str">
        <x:v>wiki</x:v>
      </x:c>
      <x:c r="D86" s="6" t="str">
        <x:v>https://masseffect.fandom.com/wiki/War_Assets/Salarian</x:v>
      </x:c>
      <x:c r="E86" s="6" t="str">
        <x:v>Ressources salariennes conditionnelles</x:v>
      </x:c>
      <x:c r="F86" s="6" t="str">
        <x:v>Consulté le 22 octobre 2026 via les résultats indexés du moteur de recherche ; index communautaire secondaire, ouverture directe Fandom limitée par robots/402. Titres et faits brefs paraphrasés ; aucune capture ni validation exhaustive en jeu.</x:v>
      </x:c>
    </x:row>
    <x:row r="87" ht="82" customHeight="1">
      <x:c r="A87" s="6" t="str">
        <x:v>ME3-SRC-FIRST-AID</x:v>
      </x:c>
      <x:c r="B87" s="6" t="str">
        <x:v>First Aid</x:v>
      </x:c>
      <x:c r="C87" s="6" t="str">
        <x:v>wiki</x:v>
      </x:c>
      <x:c r="D87" s="6" t="str">
        <x:v>https://masseffect.fandom.com/wiki/First_Aid</x:v>
      </x:c>
      <x:c r="E87" s="6" t="str">
        <x:v>Différence Unity ME2 et First Aid ME3</x:v>
      </x:c>
      <x:c r="F87" s="6" t="str">
        <x:v>Consulté le 22 octobre 2026 via les résultats indexés du moteur de recherche ; index communautaire secondaire, ouverture directe Fandom limitée par robots/402. Titres et faits brefs paraphrasés ; aucune capture ni validation exhaustive en jeu.</x:v>
      </x:c>
    </x:row>
    <x:row r="88" ht="22" customHeight="1">
      <x:c r="A88" s="2"/>
      <x:c r="B88" s="2"/>
      <x:c r="C88" s="2"/>
      <x:c r="D88" s="2"/>
      <x:c r="E88" s="2"/>
      <x:c r="F88" s="2"/>
    </x:row>
    <x:row r="89" ht="22" customHeight="1">
      <x:c r="A89" s="2"/>
      <x:c r="B89" s="2"/>
      <x:c r="C89" s="2"/>
      <x:c r="D89" s="2"/>
      <x:c r="E89" s="2"/>
      <x:c r="F89" s="2"/>
    </x:row>
    <x:row r="90" ht="22" customHeight="1">
      <x:c r="A90" s="2"/>
      <x:c r="B90" s="2"/>
      <x:c r="C90" s="2"/>
      <x:c r="D90" s="2"/>
      <x:c r="E90" s="2"/>
      <x:c r="F90" s="2"/>
    </x:row>
    <x:row r="91" ht="34" customHeight="1">
      <x:c r="A91" s="30" t="str">
        <x:v>Domaine</x:v>
      </x:c>
      <x:c r="B91" s="31" t="str">
        <x:v>Couverture actuelle</x:v>
      </x:c>
      <x:c r="C91" s="32" t="str">
        <x:v>Travail restant</x:v>
      </x:c>
      <x:c r="D91" s="2"/>
      <x:c r="E91" s="2"/>
      <x:c r="F91" s="2"/>
    </x:row>
    <x:row r="92" ht="54" customHeight="1">
      <x:c r="A92" s="6" t="str">
        <x:v>Campagne solo</x:v>
      </x:c>
      <x:c r="B92" s="6" t="str">
        <x:v>Prologue, priorités, missions N7, grandes missions conditionnelles et demandes civiles/collectes nommées.</x:v>
      </x:c>
      <x:c r="C92" s="6" t="str">
        <x:v>Parcours pièce par pièce, positions exactes de loot, textes et toutes variantes mineures de dialogues non vérifiés en jeu.</x:v>
      </x:c>
      <x:c r="D92" s="2"/>
      <x:c r="E92" s="2"/>
      <x:c r="F92" s="2"/>
    </x:row>
    <x:row r="93" ht="54" customHeight="1">
      <x:c r="A93" s="6" t="str">
        <x:v>Extensions solo</x:v>
      </x:c>
      <x:c r="B93" s="6" t="str">
        <x:v>From Ashes, Leviathan, Omega, Citadel, activités Armax et Extended Cut ; roster et décisions propres.</x:v>
      </x:c>
      <x:c r="C93" s="6" t="str">
        <x:v>Ordre de chaque petite rencontre sociale, tous scores d’arène et chaque paramètre de pack d’équipement à relever par édition.</x:v>
      </x:c>
      <x:c r="D93" s="2"/>
      <x:c r="E93" s="2"/>
      <x:c r="F93" s="2"/>
    </x:row>
    <x:row r="94" ht="68" customHeight="1">
      <x:c r="A94" s="6" t="str">
        <x:v>Combats et ressources</x:v>
      </x:c>
      <x:c r="B94" s="6" t="str">
        <x:v>Familles adverses, attaques proposées, arsenal et pouvoirs substantiels, fiches de sprites, animations, VFX, décors et audio.</x:v>
      </x:c>
      <x:c r="C94" s="6" t="str">
        <x:v>Pas de fichiers artistiques livrés ni statistiques originales certifiées ; variantes de mods, rangs, skins et personnages multi restent à détailler.</x:v>
      </x:c>
      <x:c r="D94" s="2"/>
      <x:c r="E94" s="2"/>
      <x:c r="F94" s="2"/>
    </x:row>
    <x:row r="95" ht="68" customHeight="1">
      <x:c r="A95" s="6" t="str">
        <x:v>Choix et continuité</x:v>
      </x:c>
      <x:c r="B95" s="6" t="str">
        <x:v>Matrices Tuchanka, Rannoch, Sanctuary, imports, invités et fins ; états mutuellement conditionnels.</x:v>
      </x:c>
      <x:c r="C95" s="6" t="str">
        <x:v>Seuils numériques exacts et minutages d’origine volontairement non inventés ; exigences à confirmer par captures dans édition ciblée.</x:v>
      </x:c>
      <x:c r="D95" s="2"/>
      <x:c r="E95" s="2"/>
      <x:c r="F95" s="2"/>
    </x:row>
    <x:row r="96" ht="68" customHeight="1">
      <x:c r="A96" s="6" t="str">
        <x:v>Multijoueur</x:v>
      </x:c>
      <x:c r="B96" s="6" t="str">
        <x:v>Module original séparé, cinq packs, cartes, dangers, factions et cadre de vagues ; aucun multi dans Legendary.</x:v>
      </x:c>
      <x:c r="C96" s="6" t="str">
        <x:v>Chaque personnage jouable, défi, carte de danger, mod et coefficient de difficulté n’a pas encore sa fiche exhaustive ; adaptation coop ATB expérimentale.</x:v>
      </x:c>
      <x:c r="D96" s="2"/>
      <x:c r="E96" s="2"/>
      <x:c r="F96" s="2"/>
    </x:row>
    <x:row r="97" ht="82" customHeight="1">
      <x:c r="A97" s="6" t="str">
        <x:v>Traçabilité</x:v>
      </x:c>
      <x:c r="B97" s="6" t="str">
        <x:v>Sources officielles EA/BioWare pour éditions et DLC ; index wiki secondaires pour inventaire détaillé.</x:v>
      </x:c>
      <x:c r="C97" s="6" t="str">
        <x:v>Consultation par pages indexées lorsque Fandom direct est limité ; aucune revendication d’audit exhaustif ou de validation de tous les embranchements en jeu.</x:v>
      </x:c>
      <x:c r="D97" s="2"/>
      <x:c r="E97" s="2"/>
      <x:c r="F97" s="2"/>
    </x:row>
    <x:row r="98" ht="22" customHeight="1">
      <x:c r="A98" s="2"/>
      <x:c r="B98" s="2"/>
      <x:c r="C98" s="2"/>
      <x:c r="D98" s="2"/>
      <x:c r="E98" s="2"/>
      <x:c r="F98" s="2"/>
    </x:row>
    <x:row r="99" ht="22" customHeight="1">
      <x:c r="A99" s="2"/>
      <x:c r="B99" s="2"/>
      <x:c r="C99" s="2"/>
      <x:c r="D99" s="2"/>
      <x:c r="E99" s="2"/>
      <x:c r="F99" s="2"/>
    </x:row>
    <x:row r="100" ht="22" customHeight="1">
      <x:c r="A100" s="2"/>
      <x:c r="B100" s="2"/>
      <x:c r="C100" s="2"/>
      <x:c r="D100" s="2"/>
      <x:c r="E100" s="2"/>
      <x:c r="F100" s="2"/>
    </x:row>
    <x:row r="101" ht="22" customHeight="1">
      <x:c r="A101" s="2"/>
      <x:c r="B101" s="2"/>
      <x:c r="C101" s="2"/>
      <x:c r="D101" s="2"/>
      <x:c r="E101" s="2"/>
      <x:c r="F101" s="2"/>
    </x:row>
    <x:row r="102" ht="22" customHeight="1">
      <x:c r="A102" s="2"/>
      <x:c r="B102" s="2"/>
      <x:c r="C102" s="2"/>
      <x:c r="D102" s="2"/>
      <x:c r="E102" s="2"/>
      <x:c r="F102" s="2"/>
    </x:row>
    <x:row r="103" ht="22" customHeight="1">
      <x:c r="A103" s="2"/>
      <x:c r="B103" s="2"/>
      <x:c r="C103" s="2"/>
      <x:c r="D103" s="2"/>
      <x:c r="E103" s="2"/>
      <x:c r="F103" s="2"/>
    </x:row>
    <x:row r="104" ht="22" customHeight="1">
      <x:c r="A104" s="2"/>
      <x:c r="B104" s="2"/>
      <x:c r="C104" s="2"/>
      <x:c r="D104" s="2"/>
      <x:c r="E104" s="2"/>
      <x:c r="F104" s="2"/>
    </x:row>
    <x:row r="105" ht="22" customHeight="1">
      <x:c r="A105" s="2"/>
      <x:c r="B105" s="2"/>
      <x:c r="C105" s="2"/>
      <x:c r="D105" s="2"/>
      <x:c r="E105" s="2"/>
      <x:c r="F105" s="2"/>
    </x:row>
    <x:row r="106" ht="22" customHeight="1">
      <x:c r="A106" s="2"/>
      <x:c r="B106" s="2"/>
      <x:c r="C106" s="2"/>
      <x:c r="D106" s="2"/>
      <x:c r="E106" s="2"/>
      <x:c r="F106" s="2"/>
    </x:row>
    <x:row r="107" ht="22" customHeight="1">
      <x:c r="A107" s="2"/>
      <x:c r="B107" s="2"/>
      <x:c r="C107" s="2"/>
      <x:c r="D107" s="2"/>
      <x:c r="E107" s="2"/>
      <x:c r="F107" s="2"/>
    </x:row>
    <x:row r="108" ht="22" customHeight="1">
      <x:c r="A108" s="2"/>
      <x:c r="B108" s="2"/>
      <x:c r="C108" s="2"/>
      <x:c r="D108" s="2"/>
      <x:c r="E108" s="2"/>
      <x:c r="F108" s="2"/>
    </x:row>
    <x:row r="109" ht="22" customHeight="1">
      <x:c r="A109" s="2"/>
      <x:c r="B109" s="2"/>
      <x:c r="C109" s="2"/>
      <x:c r="D109" s="2"/>
      <x:c r="E109" s="2"/>
      <x:c r="F109" s="2"/>
    </x:row>
    <x:row r="110" ht="22" customHeight="1">
      <x:c r="A110" s="2"/>
      <x:c r="B110" s="2"/>
      <x:c r="C110" s="2"/>
      <x:c r="D110" s="2"/>
      <x:c r="E110" s="2"/>
      <x:c r="F110" s="2"/>
    </x:row>
    <x:row r="111" ht="22" customHeight="1">
      <x:c r="A111" s="2"/>
      <x:c r="B111" s="2"/>
      <x:c r="C111" s="2"/>
      <x:c r="D111" s="2"/>
      <x:c r="E111" s="2"/>
      <x:c r="F111" s="2"/>
    </x:row>
    <x:row r="112" ht="22" customHeight="1">
      <x:c r="A112" s="2"/>
      <x:c r="B112" s="2"/>
      <x:c r="C112" s="2"/>
      <x:c r="D112" s="2"/>
      <x:c r="E112" s="2"/>
      <x:c r="F112" s="2"/>
    </x:row>
    <x:row r="113" ht="22" customHeight="1">
      <x:c r="A113" s="2"/>
      <x:c r="B113" s="2"/>
      <x:c r="C113" s="2"/>
      <x:c r="D113" s="2"/>
      <x:c r="E113" s="2"/>
      <x:c r="F113" s="2"/>
    </x:row>
    <x:row r="114" ht="22" customHeight="1">
      <x:c r="A114" s="2"/>
      <x:c r="B114" s="2"/>
      <x:c r="C114" s="2"/>
      <x:c r="D114" s="2"/>
      <x:c r="E114" s="2"/>
      <x:c r="F114" s="2"/>
    </x:row>
    <x:row r="115" ht="22" customHeight="1">
      <x:c r="A115" s="2"/>
      <x:c r="B115" s="2"/>
      <x:c r="C115" s="2"/>
      <x:c r="D115" s="2"/>
      <x:c r="E115" s="2"/>
      <x:c r="F115" s="2"/>
    </x:row>
    <x:row r="116" ht="22" customHeight="1">
      <x:c r="A116" s="2"/>
      <x:c r="B116" s="2"/>
      <x:c r="C116" s="2"/>
      <x:c r="D116" s="2"/>
      <x:c r="E116" s="2"/>
      <x:c r="F116" s="2"/>
    </x:row>
    <x:row r="117" ht="22" customHeight="1">
      <x:c r="A117" s="2"/>
      <x:c r="B117" s="2"/>
      <x:c r="C117" s="2"/>
      <x:c r="D117" s="2"/>
      <x:c r="E117" s="2"/>
      <x:c r="F117" s="2"/>
    </x:row>
    <x:row r="118" ht="22" customHeight="1">
      <x:c r="A118" s="2"/>
      <x:c r="B118" s="2"/>
      <x:c r="C118" s="2"/>
      <x:c r="D118" s="2"/>
      <x:c r="E118" s="2"/>
      <x:c r="F118" s="2"/>
    </x:row>
    <x:row r="119" ht="22" customHeight="1">
      <x:c r="A119" s="2"/>
      <x:c r="B119" s="2"/>
      <x:c r="C119" s="2"/>
      <x:c r="D119" s="2"/>
      <x:c r="E119" s="2"/>
      <x:c r="F119" s="2"/>
    </x:row>
    <x:row r="120" ht="22" customHeight="1">
      <x:c r="A120" s="2"/>
      <x:c r="B120" s="2"/>
      <x:c r="C120" s="2"/>
      <x:c r="D120" s="2"/>
      <x:c r="E120" s="2"/>
      <x:c r="F120" s="2"/>
    </x:row>
    <x:row r="121" ht="22" customHeight="1">
      <x:c r="A121" s="2"/>
      <x:c r="B121" s="2"/>
      <x:c r="C121" s="2"/>
      <x:c r="D121" s="2"/>
      <x:c r="E121" s="2"/>
      <x:c r="F121" s="2"/>
    </x:row>
    <x:row r="122" ht="22" customHeight="1">
      <x:c r="A122" s="2"/>
      <x:c r="B122" s="2"/>
      <x:c r="C122" s="2"/>
      <x:c r="D122" s="2"/>
      <x:c r="E122" s="2"/>
      <x:c r="F122" s="2"/>
    </x:row>
    <x:row r="123" ht="22" customHeight="1">
      <x:c r="A123" s="2"/>
      <x:c r="B123" s="2"/>
      <x:c r="C123" s="2"/>
      <x:c r="D123" s="2"/>
      <x:c r="E123" s="2"/>
      <x:c r="F123" s="2"/>
    </x:row>
    <x:row r="124" ht="22" customHeight="1">
      <x:c r="A124" s="2"/>
      <x:c r="B124" s="2"/>
      <x:c r="C124" s="2"/>
      <x:c r="D124" s="2"/>
      <x:c r="E124" s="2"/>
      <x:c r="F124" s="2"/>
    </x:row>
    <x:row r="125" ht="22" customHeight="1">
      <x:c r="A125" s="2"/>
      <x:c r="B125" s="2"/>
      <x:c r="C125" s="2"/>
      <x:c r="D125" s="2"/>
      <x:c r="E125" s="2"/>
      <x:c r="F125" s="2"/>
    </x:row>
    <x:row r="126" ht="22" customHeight="1">
      <x:c r="A126" s="2"/>
      <x:c r="B126" s="2"/>
      <x:c r="C126" s="2"/>
      <x:c r="D126" s="2"/>
      <x:c r="E126" s="2"/>
      <x:c r="F126" s="2"/>
    </x:row>
    <x:row r="127" ht="22" customHeight="1">
      <x:c r="A127" s="2"/>
      <x:c r="B127" s="2"/>
      <x:c r="C127" s="2"/>
      <x:c r="D127" s="2"/>
      <x:c r="E127" s="2"/>
      <x:c r="F127" s="2"/>
    </x:row>
    <x:row r="128" ht="22" customHeight="1">
      <x:c r="A128" s="2"/>
      <x:c r="B128" s="2"/>
      <x:c r="C128" s="2"/>
      <x:c r="D128" s="2"/>
      <x:c r="E128" s="2"/>
      <x:c r="F128" s="2"/>
    </x:row>
    <x:row r="129" ht="22" customHeight="1">
      <x:c r="A129" s="2"/>
      <x:c r="B129" s="2"/>
      <x:c r="C129" s="2"/>
      <x:c r="D129" s="2"/>
      <x:c r="E129" s="2"/>
      <x:c r="F129" s="2"/>
    </x:row>
    <x:row r="130" ht="22" customHeight="1">
      <x:c r="A130" s="2"/>
      <x:c r="B130" s="2"/>
      <x:c r="C130" s="2"/>
      <x:c r="D130" s="2"/>
      <x:c r="E130" s="2"/>
      <x:c r="F130" s="2"/>
    </x:row>
    <x:row r="131" ht="22" customHeight="1">
      <x:c r="A131" s="2"/>
      <x:c r="B131" s="2"/>
      <x:c r="C131" s="2"/>
      <x:c r="D131" s="2"/>
      <x:c r="E131" s="2"/>
      <x:c r="F131" s="2"/>
    </x:row>
    <x:row r="132" ht="22" customHeight="1">
      <x:c r="A132" s="2"/>
      <x:c r="B132" s="2"/>
      <x:c r="C132" s="2"/>
      <x:c r="D132" s="2"/>
      <x:c r="E132" s="2"/>
      <x:c r="F132" s="2"/>
    </x:row>
    <x:row r="133" ht="22" customHeight="1">
      <x:c r="A133" s="2"/>
      <x:c r="B133" s="2"/>
      <x:c r="C133" s="2"/>
      <x:c r="D133" s="2"/>
      <x:c r="E133" s="2"/>
      <x:c r="F133" s="2"/>
    </x:row>
    <x:row r="134" ht="22" customHeight="1">
      <x:c r="A134" s="2"/>
      <x:c r="B134" s="2"/>
      <x:c r="C134" s="2"/>
      <x:c r="D134" s="2"/>
      <x:c r="E134" s="2"/>
      <x:c r="F134" s="2"/>
    </x:row>
    <x:row r="135" ht="22" customHeight="1">
      <x:c r="A135" s="2"/>
      <x:c r="B135" s="2"/>
      <x:c r="C135" s="2"/>
      <x:c r="D135" s="2"/>
      <x:c r="E135" s="2"/>
      <x:c r="F135" s="2"/>
    </x:row>
    <x:row r="136" ht="22" customHeight="1">
      <x:c r="A136" s="2"/>
      <x:c r="B136" s="2"/>
      <x:c r="C136" s="2"/>
      <x:c r="D136" s="2"/>
      <x:c r="E136" s="2"/>
      <x:c r="F136" s="2"/>
    </x:row>
    <x:row r="137" ht="22" customHeight="1">
      <x:c r="A137" s="2"/>
      <x:c r="B137" s="2"/>
      <x:c r="C137" s="2"/>
      <x:c r="D137" s="2"/>
      <x:c r="E137" s="2"/>
      <x:c r="F137" s="2"/>
    </x:row>
    <x:row r="138" ht="22" customHeight="1">
      <x:c r="A138" s="2"/>
      <x:c r="B138" s="2"/>
      <x:c r="C138" s="2"/>
      <x:c r="D138" s="2"/>
      <x:c r="E138" s="2"/>
      <x:c r="F138" s="2"/>
    </x:row>
    <x:row r="139" ht="22" customHeight="1">
      <x:c r="A139" s="2"/>
      <x:c r="B139" s="2"/>
      <x:c r="C139" s="2"/>
      <x:c r="D139" s="2"/>
      <x:c r="E139" s="2"/>
      <x:c r="F139" s="2"/>
    </x:row>
    <x:row r="140" ht="22" customHeight="1">
      <x:c r="A140" s="2"/>
      <x:c r="B140" s="2"/>
      <x:c r="C140" s="2"/>
      <x:c r="D140" s="2"/>
      <x:c r="E140" s="2"/>
      <x:c r="F140" s="2"/>
    </x:row>
    <x:row r="141" ht="22" customHeight="1">
      <x:c r="A141" s="2"/>
      <x:c r="B141" s="2"/>
      <x:c r="C141" s="2"/>
      <x:c r="D141" s="2"/>
      <x:c r="E141" s="2"/>
      <x:c r="F141" s="2"/>
    </x:row>
    <x:row r="142" ht="22" customHeight="1">
      <x:c r="A142" s="2"/>
      <x:c r="B142" s="2"/>
      <x:c r="C142" s="2"/>
      <x:c r="D142" s="2"/>
      <x:c r="E142" s="2"/>
      <x:c r="F142" s="2"/>
    </x:row>
    <x:row r="143" ht="22" customHeight="1">
      <x:c r="A143" s="2"/>
      <x:c r="B143" s="2"/>
      <x:c r="C143" s="2"/>
      <x:c r="D143" s="2"/>
      <x:c r="E143" s="2"/>
      <x:c r="F143" s="2"/>
    </x:row>
    <x:row r="144" ht="22" customHeight="1">
      <x:c r="A144" s="2"/>
      <x:c r="B144" s="2"/>
      <x:c r="C144" s="2"/>
      <x:c r="D144" s="2"/>
      <x:c r="E144" s="2"/>
      <x:c r="F144" s="2"/>
    </x:row>
    <x:row r="145" ht="22" customHeight="1">
      <x:c r="A145" s="2"/>
      <x:c r="B145" s="2"/>
      <x:c r="C145" s="2"/>
      <x:c r="D145" s="2"/>
      <x:c r="E145" s="2"/>
      <x:c r="F145" s="2"/>
    </x:row>
    <x:row r="146" ht="22" customHeight="1">
      <x:c r="A146" s="2"/>
      <x:c r="B146" s="2"/>
      <x:c r="C146" s="2"/>
      <x:c r="D146" s="2"/>
      <x:c r="E146" s="2"/>
      <x:c r="F146" s="2"/>
    </x:row>
    <x:row r="147" ht="22" customHeight="1">
      <x:c r="A147" s="2"/>
      <x:c r="B147" s="2"/>
      <x:c r="C147" s="2"/>
      <x:c r="D147" s="2"/>
      <x:c r="E147" s="2"/>
      <x:c r="F147" s="2"/>
    </x:row>
    <x:row r="148" ht="22" customHeight="1">
      <x:c r="A148" s="2"/>
      <x:c r="B148" s="2"/>
      <x:c r="C148" s="2"/>
      <x:c r="D148" s="2"/>
      <x:c r="E148" s="2"/>
      <x:c r="F148" s="2"/>
    </x:row>
    <x:row r="149" ht="22" customHeight="1">
      <x:c r="A149" s="2"/>
      <x:c r="B149" s="2"/>
      <x:c r="C149" s="2"/>
      <x:c r="D149" s="2"/>
      <x:c r="E149" s="2"/>
      <x:c r="F149" s="2"/>
    </x:row>
    <x:row r="150" ht="22" customHeight="1">
      <x:c r="A150" s="2"/>
      <x:c r="B150" s="2"/>
      <x:c r="C150" s="2"/>
      <x:c r="D150" s="2"/>
      <x:c r="E150" s="2"/>
      <x:c r="F150" s="2"/>
    </x:row>
    <x:row r="151" ht="22" customHeight="1">
      <x:c r="A151" s="2"/>
      <x:c r="B151" s="2"/>
      <x:c r="C151" s="2"/>
      <x:c r="D151" s="2"/>
      <x:c r="E151" s="2"/>
      <x:c r="F151" s="2"/>
    </x:row>
    <x:row r="152" ht="22" customHeight="1">
      <x:c r="A152" s="2"/>
      <x:c r="B152" s="2"/>
      <x:c r="C152" s="2"/>
      <x:c r="D152" s="2"/>
      <x:c r="E152" s="2"/>
      <x:c r="F152" s="2"/>
    </x:row>
    <x:row r="153" ht="22" customHeight="1">
      <x:c r="A153" s="2"/>
      <x:c r="B153" s="2"/>
      <x:c r="C153" s="2"/>
      <x:c r="D153" s="2"/>
      <x:c r="E153" s="2"/>
      <x:c r="F153" s="2"/>
    </x:row>
    <x:row r="154" ht="22" customHeight="1">
      <x:c r="A154" s="2"/>
      <x:c r="B154" s="2"/>
      <x:c r="C154" s="2"/>
      <x:c r="D154" s="2"/>
      <x:c r="E154" s="2"/>
      <x:c r="F154" s="2"/>
    </x:row>
    <x:row r="155" ht="22" customHeight="1">
      <x:c r="A155" s="2"/>
      <x:c r="B155" s="2"/>
      <x:c r="C155" s="2"/>
      <x:c r="D155" s="2"/>
      <x:c r="E155" s="2"/>
      <x:c r="F155" s="2"/>
    </x:row>
    <x:row r="156" ht="22" customHeight="1">
      <x:c r="A156" s="2"/>
      <x:c r="B156" s="2"/>
      <x:c r="C156" s="2"/>
      <x:c r="D156" s="2"/>
      <x:c r="E156" s="2"/>
      <x:c r="F156" s="2"/>
    </x:row>
    <x:row r="157" ht="22" customHeight="1">
      <x:c r="A157" s="2"/>
      <x:c r="B157" s="2"/>
      <x:c r="C157" s="2"/>
      <x:c r="D157" s="2"/>
      <x:c r="E157" s="2"/>
      <x:c r="F157" s="2"/>
    </x:row>
    <x:row r="158" ht="22" customHeight="1">
      <x:c r="A158" s="2"/>
      <x:c r="B158" s="2"/>
      <x:c r="C158" s="2"/>
      <x:c r="D158" s="2"/>
      <x:c r="E158" s="2"/>
      <x:c r="F158" s="2"/>
    </x:row>
    <x:row r="159" ht="22" customHeight="1">
      <x:c r="A159" s="2"/>
      <x:c r="B159" s="2"/>
      <x:c r="C159" s="2"/>
      <x:c r="D159" s="2"/>
      <x:c r="E159" s="2"/>
      <x:c r="F159" s="2"/>
    </x:row>
    <x:row r="160" ht="22" customHeight="1">
      <x:c r="A160" s="2"/>
      <x:c r="B160" s="2"/>
      <x:c r="C160" s="2"/>
      <x:c r="D160" s="2"/>
      <x:c r="E160" s="2"/>
      <x:c r="F160" s="2"/>
    </x:row>
    <x:row r="161" ht="22" customHeight="1">
      <x:c r="A161" s="2"/>
      <x:c r="B161" s="2"/>
      <x:c r="C161" s="2"/>
      <x:c r="D161" s="2"/>
      <x:c r="E161" s="2"/>
      <x:c r="F161" s="2"/>
    </x:row>
    <x:row r="162" ht="22" customHeight="1">
      <x:c r="A162" s="2"/>
      <x:c r="B162" s="2"/>
      <x:c r="C162" s="2"/>
      <x:c r="D162" s="2"/>
      <x:c r="E162" s="2"/>
      <x:c r="F162" s="2"/>
    </x:row>
    <x:row r="163" ht="22" customHeight="1">
      <x:c r="A163" s="2"/>
      <x:c r="B163" s="2"/>
      <x:c r="C163" s="2"/>
      <x:c r="D163" s="2"/>
      <x:c r="E163" s="2"/>
      <x:c r="F163" s="2"/>
    </x:row>
    <x:row r="164" ht="22" customHeight="1">
      <x:c r="A164" s="2"/>
      <x:c r="B164" s="2"/>
      <x:c r="C164" s="2"/>
      <x:c r="D164" s="2"/>
      <x:c r="E164" s="2"/>
      <x:c r="F164" s="2"/>
    </x:row>
    <x:row r="165" ht="22" customHeight="1">
      <x:c r="A165" s="2"/>
      <x:c r="B165" s="2"/>
      <x:c r="C165" s="2"/>
      <x:c r="D165" s="2"/>
      <x:c r="E165" s="2"/>
      <x:c r="F165" s="2"/>
    </x:row>
    <x:row r="166" ht="22" customHeight="1">
      <x:c r="A166" s="2"/>
      <x:c r="B166" s="2"/>
      <x:c r="C166" s="2"/>
      <x:c r="D166" s="2"/>
      <x:c r="E166" s="2"/>
      <x:c r="F166" s="2"/>
    </x:row>
    <x:row r="167" ht="22" customHeight="1">
      <x:c r="A167" s="2"/>
      <x:c r="B167" s="2"/>
      <x:c r="C167" s="2"/>
      <x:c r="D167" s="2"/>
      <x:c r="E167" s="2"/>
      <x:c r="F167" s="2"/>
    </x:row>
  </x:sheetData>
  <x:pageMargins left="0.7" right="0.7" top="0.75" bottom="0.75" header="0.3" footer="0.3"/>
</x:worksheet>
</file>