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8fd899fd594986" /></Relationships>
</file>

<file path=xl/workbook.xml><?xml version="1.0" encoding="utf-8"?>
<x:workbook xmlns:x="http://schemas.openxmlformats.org/spreadsheetml/2006/main">
  <x:sheets>
    <x:sheet xmlns:r="http://schemas.openxmlformats.org/officeDocument/2006/relationships" name="Dashboard" sheetId="1" r:id="R928cf05d7c2449ca"/>
    <x:sheet xmlns:r="http://schemas.openxmlformats.org/officeDocument/2006/relationships" name="Personnages" sheetId="2" r:id="Rde11650b04ad47eb"/>
    <x:sheet xmlns:r="http://schemas.openxmlformats.org/officeDocument/2006/relationships" name="PNJ" sheetId="3" r:id="R81d41068fd3643ff"/>
    <x:sheet xmlns:r="http://schemas.openxmlformats.org/officeDocument/2006/relationships" name="Especes_factions" sheetId="4" r:id="R857c7057b60042bc"/>
    <x:sheet xmlns:r="http://schemas.openxmlformats.org/officeDocument/2006/relationships" name="Mondes" sheetId="5" r:id="R47ec056b3e97499e"/>
    <x:sheet xmlns:r="http://schemas.openxmlformats.org/officeDocument/2006/relationships" name="Zones" sheetId="6" r:id="R9981e94349fb4576"/>
    <x:sheet xmlns:r="http://schemas.openxmlformats.org/officeDocument/2006/relationships" name="Liaisons" sheetId="7" r:id="R2e3c86b525374f9d"/>
    <x:sheet xmlns:r="http://schemas.openxmlformats.org/officeDocument/2006/relationships" name="Decors" sheetId="8" r:id="R2e19bbd51d3e443d"/>
    <x:sheet xmlns:r="http://schemas.openxmlformats.org/officeDocument/2006/relationships" name="Props" sheetId="9" r:id="Rfab3273fd3da4423"/>
    <x:sheet xmlns:r="http://schemas.openxmlformats.org/officeDocument/2006/relationships" name="Ennemis_boss" sheetId="10" r:id="R5c0acce9cd5f4fe8"/>
    <x:sheet xmlns:r="http://schemas.openxmlformats.org/officeDocument/2006/relationships" name="Missions" sheetId="11" r:id="Rc45104f8cd1d4f2c"/>
    <x:sheet xmlns:r="http://schemas.openxmlformats.org/officeDocument/2006/relationships" name="Secondaires_DLC" sheetId="12" r:id="Re5383202062f4080"/>
    <x:sheet xmlns:r="http://schemas.openxmlformats.org/officeDocument/2006/relationships" name="Choix_relations" sheetId="13" r:id="R13bda1da15874c8b"/>
    <x:sheet xmlns:r="http://schemas.openxmlformats.org/officeDocument/2006/relationships" name="Dialogues" sheetId="14" r:id="R170a32960043431f"/>
    <x:sheet xmlns:r="http://schemas.openxmlformats.org/officeDocument/2006/relationships" name="Cinematiques" sheetId="15" r:id="R1a8e1dcc265f4de2"/>
    <x:sheet xmlns:r="http://schemas.openxmlformats.org/officeDocument/2006/relationships" name="Armes" sheetId="16" r:id="Raa44d9cd06d042c1"/>
    <x:sheet xmlns:r="http://schemas.openxmlformats.org/officeDocument/2006/relationships" name="Armures_equipement" sheetId="17" r:id="Red6ba9f407ca4912"/>
    <x:sheet xmlns:r="http://schemas.openxmlformats.org/officeDocument/2006/relationships" name="Pouvoirs" sheetId="18" r:id="R9fbfd50809ee44ac"/>
    <x:sheet xmlns:r="http://schemas.openxmlformats.org/officeDocument/2006/relationships" name="Movesets_allies" sheetId="19" r:id="R5721d350e234471e"/>
    <x:sheet xmlns:r="http://schemas.openxmlformats.org/officeDocument/2006/relationships" name="Movesets_ennemis" sheetId="20" r:id="R046bc018981149fb"/>
    <x:sheet xmlns:r="http://schemas.openxmlformats.org/officeDocument/2006/relationships" name="Animations" sheetId="21" r:id="R0933d5857e964614"/>
    <x:sheet xmlns:r="http://schemas.openxmlformats.org/officeDocument/2006/relationships" name="Sprites" sheetId="22" r:id="R6c034d51ca7b4597"/>
    <x:sheet xmlns:r="http://schemas.openxmlformats.org/officeDocument/2006/relationships" name="VFX" sheetId="23" r:id="Re239643251d6424f"/>
    <x:sheet xmlns:r="http://schemas.openxmlformats.org/officeDocument/2006/relationships" name="Audio" sheetId="24" r:id="Rd23ce9e965284e09"/>
    <x:sheet xmlns:r="http://schemas.openxmlformats.org/officeDocument/2006/relationships" name="UI_systemes" sheetId="25" r:id="R54f6a536508a419b"/>
    <x:sheet xmlns:r="http://schemas.openxmlformats.org/officeDocument/2006/relationships" name="QA" sheetId="26" r:id="R82426c4dabe0449b"/>
    <x:sheet xmlns:r="http://schemas.openxmlformats.org/officeDocument/2006/relationships" name="Continuite" sheetId="27" r:id="R563eeec477e34edb"/>
    <x:sheet xmlns:r="http://schemas.openxmlformats.org/officeDocument/2006/relationships" name="Guide" sheetId="28" r:id="Ra801b22ed1bb469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c523e7a9e7c04350" /><Relationship Type="http://schemas.openxmlformats.org/officeDocument/2006/relationships/theme" Target="/xl/theme/theme1.xml" Id="R8d32f872e4304742" /><Relationship Type="http://schemas.openxmlformats.org/officeDocument/2006/relationships/sharedStrings" Target="/xl/sharedStrings.xml" Id="R29cf834077534619" /><Relationship Type="http://schemas.openxmlformats.org/officeDocument/2006/relationships/worksheet" Target="/xl/worksheets/sheet1.xml" Id="R928cf05d7c2449ca" /><Relationship Type="http://schemas.openxmlformats.org/officeDocument/2006/relationships/worksheet" Target="/xl/worksheets/sheet2.xml" Id="Rde11650b04ad47eb" /><Relationship Type="http://schemas.openxmlformats.org/officeDocument/2006/relationships/worksheet" Target="/xl/worksheets/sheet3.xml" Id="R81d41068fd3643ff" /><Relationship Type="http://schemas.openxmlformats.org/officeDocument/2006/relationships/worksheet" Target="/xl/worksheets/sheet4.xml" Id="R857c7057b60042bc" /><Relationship Type="http://schemas.openxmlformats.org/officeDocument/2006/relationships/worksheet" Target="/xl/worksheets/sheet5.xml" Id="R47ec056b3e97499e" /><Relationship Type="http://schemas.openxmlformats.org/officeDocument/2006/relationships/worksheet" Target="/xl/worksheets/sheet6.xml" Id="R9981e94349fb4576" /><Relationship Type="http://schemas.openxmlformats.org/officeDocument/2006/relationships/worksheet" Target="/xl/worksheets/sheet7.xml" Id="R2e3c86b525374f9d" /><Relationship Type="http://schemas.openxmlformats.org/officeDocument/2006/relationships/worksheet" Target="/xl/worksheets/sheet8.xml" Id="R2e19bbd51d3e443d" /><Relationship Type="http://schemas.openxmlformats.org/officeDocument/2006/relationships/worksheet" Target="/xl/worksheets/sheet9.xml" Id="Rfab3273fd3da4423" /><Relationship Type="http://schemas.openxmlformats.org/officeDocument/2006/relationships/worksheet" Target="/xl/worksheets/sheet10.xml" Id="R5c0acce9cd5f4fe8" /><Relationship Type="http://schemas.openxmlformats.org/officeDocument/2006/relationships/worksheet" Target="/xl/worksheets/sheet11.xml" Id="Rc45104f8cd1d4f2c" /><Relationship Type="http://schemas.openxmlformats.org/officeDocument/2006/relationships/worksheet" Target="/xl/worksheets/sheet12.xml" Id="Re5383202062f4080" /><Relationship Type="http://schemas.openxmlformats.org/officeDocument/2006/relationships/worksheet" Target="/xl/worksheets/sheet13.xml" Id="R13bda1da15874c8b" /><Relationship Type="http://schemas.openxmlformats.org/officeDocument/2006/relationships/worksheet" Target="/xl/worksheets/sheet14.xml" Id="R170a32960043431f" /><Relationship Type="http://schemas.openxmlformats.org/officeDocument/2006/relationships/worksheet" Target="/xl/worksheets/sheet15.xml" Id="R1a8e1dcc265f4de2" /><Relationship Type="http://schemas.openxmlformats.org/officeDocument/2006/relationships/worksheet" Target="/xl/worksheets/sheet16.xml" Id="Raa44d9cd06d042c1" /><Relationship Type="http://schemas.openxmlformats.org/officeDocument/2006/relationships/worksheet" Target="/xl/worksheets/sheet17.xml" Id="Red6ba9f407ca4912" /><Relationship Type="http://schemas.openxmlformats.org/officeDocument/2006/relationships/worksheet" Target="/xl/worksheets/sheet18.xml" Id="R9fbfd50809ee44ac" /><Relationship Type="http://schemas.openxmlformats.org/officeDocument/2006/relationships/worksheet" Target="/xl/worksheets/sheet19.xml" Id="R5721d350e234471e" /><Relationship Type="http://schemas.openxmlformats.org/officeDocument/2006/relationships/worksheet" Target="/xl/worksheets/sheet20.xml" Id="R046bc018981149fb" /><Relationship Type="http://schemas.openxmlformats.org/officeDocument/2006/relationships/worksheet" Target="/xl/worksheets/sheet21.xml" Id="R0933d5857e964614" /><Relationship Type="http://schemas.openxmlformats.org/officeDocument/2006/relationships/worksheet" Target="/xl/worksheets/sheet22.xml" Id="R6c034d51ca7b4597" /><Relationship Type="http://schemas.openxmlformats.org/officeDocument/2006/relationships/worksheet" Target="/xl/worksheets/sheet23.xml" Id="Re239643251d6424f" /><Relationship Type="http://schemas.openxmlformats.org/officeDocument/2006/relationships/worksheet" Target="/xl/worksheets/sheet24.xml" Id="Rd23ce9e965284e09" /><Relationship Type="http://schemas.openxmlformats.org/officeDocument/2006/relationships/worksheet" Target="/xl/worksheets/sheet25.xml" Id="R54f6a536508a419b" /><Relationship Type="http://schemas.openxmlformats.org/officeDocument/2006/relationships/worksheet" Target="/xl/worksheets/sheet26.xml" Id="R82426c4dabe0449b" /><Relationship Type="http://schemas.openxmlformats.org/officeDocument/2006/relationships/worksheet" Target="/xl/worksheets/sheet27.xml" Id="R563eeec477e34edb" /><Relationship Type="http://schemas.openxmlformats.org/officeDocument/2006/relationships/worksheet" Target="/xl/worksheets/sheet28.xml" Id="Ra801b22ed1bb4699" /></Relationships>
</file>

<file path=xl/tables/table1.xml><?xml version="1.0" encoding="utf-8"?>
<x:table xmlns:x="http://schemas.openxmlformats.org/spreadsheetml/2006/main" id="1" name="ME3_characters" displayName="ME3_character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3_npcs" displayName="ME3_npcs" ref="A6:S52" headerRowCount="1" totalsRowCount="0" totalsRowShown="0">
  <x:autoFilter ref="A6:S5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3_lore" displayName="ME3_lore"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3_worlds" displayName="ME3_world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3_zones" displayName="ME3_zones" ref="A6:S55" headerRowCount="1" totalsRowCount="0" totalsRowShown="0">
  <x:autoFilter ref="A6:S5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3_links" displayName="ME3_links"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3_scenery" displayName="ME3_scenery"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3_props" displayName="ME3_prop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3_enemies" displayName="ME3_enemi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3_main_quests" displayName="ME3_main_quests" ref="A6:S38" headerRowCount="1" totalsRowCount="0" totalsRowShown="0">
  <x:autoFilter ref="A6:S3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3_side_quests" displayName="ME3_side_quests" ref="A6:S74" headerRowCount="1" totalsRowCount="0" totalsRowShown="0">
  <x:autoFilter ref="A6:S7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3_choices" displayName="ME3_choices" ref="A6:S36" headerRowCount="1" totalsRowCount="0" totalsRowShown="0">
  <x:autoFilter ref="A6:S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3_dialogues" displayName="ME3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3_cinematics" displayName="ME3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3_weapons" displayName="ME3_weapons" ref="A6:S57" headerRowCount="1" totalsRowCount="0" totalsRowShown="0">
  <x:autoFilter ref="A6:S5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3_equipment" displayName="ME3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3_powers" displayName="ME3_power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3_ally_moves" displayName="ME3_ally_mov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3_enemy_moves" displayName="ME3_enemy_mov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3_animations" displayName="ME3_animation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3_sprites" displayName="ME3_sprites" ref="A6:S65" headerRowCount="1" totalsRowCount="0" totalsRowShown="0">
  <x:autoFilter ref="A6:S6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3_vfx" displayName="ME3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3_audio" displayName="ME3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3_systems" displayName="ME3_system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3_qa" displayName="ME3_qa" ref="A6:S29" headerRowCount="1" totalsRowCount="0" totalsRowShown="0">
  <x:autoFilter ref="A6:S2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3_continuity" displayName="ME3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89b5a7d8e534310" /></Relationships>
</file>

<file path=xl/worksheets/_rels/sheet3.xml.rels>&#65279;<?xml version="1.0" encoding="utf-8"?><Relationships xmlns="http://schemas.openxmlformats.org/package/2006/relationships"><Relationship Type="http://schemas.openxmlformats.org/officeDocument/2006/relationships/table" Target="/xl/tables/table2.xml" Id="R575c6bd1d9514406" /></Relationships>
</file>

<file path=xl/worksheets/_rels/sheet4.xml.rels>&#65279;<?xml version="1.0" encoding="utf-8"?><Relationships xmlns="http://schemas.openxmlformats.org/package/2006/relationships"><Relationship Type="http://schemas.openxmlformats.org/officeDocument/2006/relationships/table" Target="/xl/tables/table3.xml" Id="R4d2d6d3333b545fe" /></Relationships>
</file>

<file path=xl/worksheets/_rels/sheet5.xml.rels>&#65279;<?xml version="1.0" encoding="utf-8"?><Relationships xmlns="http://schemas.openxmlformats.org/package/2006/relationships"><Relationship Type="http://schemas.openxmlformats.org/officeDocument/2006/relationships/table" Target="/xl/tables/table4.xml" Id="Re0b52258cc51472e" /></Relationships>
</file>

<file path=xl/worksheets/_rels/sheet6.xml.rels>&#65279;<?xml version="1.0" encoding="utf-8"?><Relationships xmlns="http://schemas.openxmlformats.org/package/2006/relationships"><Relationship Type="http://schemas.openxmlformats.org/officeDocument/2006/relationships/table" Target="/xl/tables/table5.xml" Id="Rd90b49437b084e25" /></Relationships>
</file>

<file path=xl/worksheets/_rels/sheet7.xml.rels>&#65279;<?xml version="1.0" encoding="utf-8"?><Relationships xmlns="http://schemas.openxmlformats.org/package/2006/relationships"><Relationship Type="http://schemas.openxmlformats.org/officeDocument/2006/relationships/table" Target="/xl/tables/table6.xml" Id="Ra277817bf1994527" /></Relationships>
</file>

<file path=xl/worksheets/_rels/sheet8.xml.rels>&#65279;<?xml version="1.0" encoding="utf-8"?><Relationships xmlns="http://schemas.openxmlformats.org/package/2006/relationships"><Relationship Type="http://schemas.openxmlformats.org/officeDocument/2006/relationships/table" Target="/xl/tables/table7.xml" Id="R3677c76b19e54721" /></Relationships>
</file>

<file path=xl/worksheets/_rels/sheet9.xml.rels>&#65279;<?xml version="1.0" encoding="utf-8"?><Relationships xmlns="http://schemas.openxmlformats.org/package/2006/relationships"><Relationship Type="http://schemas.openxmlformats.org/officeDocument/2006/relationships/table" Target="/xl/tables/table8.xml" Id="R190ba1f96c6441bb" /></Relationships>
</file>

<file path=xl/worksheets/_rels/sheet10.xml.rels>&#65279;<?xml version="1.0" encoding="utf-8"?><Relationships xmlns="http://schemas.openxmlformats.org/package/2006/relationships"><Relationship Type="http://schemas.openxmlformats.org/officeDocument/2006/relationships/table" Target="/xl/tables/table9.xml" Id="R9efdb90c18db4813" /></Relationships>
</file>

<file path=xl/worksheets/_rels/sheet11.xml.rels>&#65279;<?xml version="1.0" encoding="utf-8"?><Relationships xmlns="http://schemas.openxmlformats.org/package/2006/relationships"><Relationship Type="http://schemas.openxmlformats.org/officeDocument/2006/relationships/table" Target="/xl/tables/table10.xml" Id="R269d358050864726" /></Relationships>
</file>

<file path=xl/worksheets/_rels/sheet12.xml.rels>&#65279;<?xml version="1.0" encoding="utf-8"?><Relationships xmlns="http://schemas.openxmlformats.org/package/2006/relationships"><Relationship Type="http://schemas.openxmlformats.org/officeDocument/2006/relationships/table" Target="/xl/tables/table11.xml" Id="Raccb2a7bc0a041d6" /></Relationships>
</file>

<file path=xl/worksheets/_rels/sheet13.xml.rels>&#65279;<?xml version="1.0" encoding="utf-8"?><Relationships xmlns="http://schemas.openxmlformats.org/package/2006/relationships"><Relationship Type="http://schemas.openxmlformats.org/officeDocument/2006/relationships/table" Target="/xl/tables/table12.xml" Id="Ra186cdd205d1431d" /></Relationships>
</file>

<file path=xl/worksheets/_rels/sheet14.xml.rels>&#65279;<?xml version="1.0" encoding="utf-8"?><Relationships xmlns="http://schemas.openxmlformats.org/package/2006/relationships"><Relationship Type="http://schemas.openxmlformats.org/officeDocument/2006/relationships/table" Target="/xl/tables/table13.xml" Id="Rb9e5a954739d4a68" /></Relationships>
</file>

<file path=xl/worksheets/_rels/sheet15.xml.rels>&#65279;<?xml version="1.0" encoding="utf-8"?><Relationships xmlns="http://schemas.openxmlformats.org/package/2006/relationships"><Relationship Type="http://schemas.openxmlformats.org/officeDocument/2006/relationships/table" Target="/xl/tables/table14.xml" Id="Rbd9e759563304643" /></Relationships>
</file>

<file path=xl/worksheets/_rels/sheet16.xml.rels>&#65279;<?xml version="1.0" encoding="utf-8"?><Relationships xmlns="http://schemas.openxmlformats.org/package/2006/relationships"><Relationship Type="http://schemas.openxmlformats.org/officeDocument/2006/relationships/table" Target="/xl/tables/table15.xml" Id="R8d4ca71b414c4979" /></Relationships>
</file>

<file path=xl/worksheets/_rels/sheet17.xml.rels>&#65279;<?xml version="1.0" encoding="utf-8"?><Relationships xmlns="http://schemas.openxmlformats.org/package/2006/relationships"><Relationship Type="http://schemas.openxmlformats.org/officeDocument/2006/relationships/table" Target="/xl/tables/table16.xml" Id="Rfbb6bea172834463" /></Relationships>
</file>

<file path=xl/worksheets/_rels/sheet18.xml.rels>&#65279;<?xml version="1.0" encoding="utf-8"?><Relationships xmlns="http://schemas.openxmlformats.org/package/2006/relationships"><Relationship Type="http://schemas.openxmlformats.org/officeDocument/2006/relationships/table" Target="/xl/tables/table17.xml" Id="R0e94c656af3a4556" /></Relationships>
</file>

<file path=xl/worksheets/_rels/sheet19.xml.rels>&#65279;<?xml version="1.0" encoding="utf-8"?><Relationships xmlns="http://schemas.openxmlformats.org/package/2006/relationships"><Relationship Type="http://schemas.openxmlformats.org/officeDocument/2006/relationships/table" Target="/xl/tables/table18.xml" Id="Rfc8d6f0e7801436c" /></Relationships>
</file>

<file path=xl/worksheets/_rels/sheet20.xml.rels>&#65279;<?xml version="1.0" encoding="utf-8"?><Relationships xmlns="http://schemas.openxmlformats.org/package/2006/relationships"><Relationship Type="http://schemas.openxmlformats.org/officeDocument/2006/relationships/table" Target="/xl/tables/table19.xml" Id="R99968b99f81e48ab" /></Relationships>
</file>

<file path=xl/worksheets/_rels/sheet21.xml.rels>&#65279;<?xml version="1.0" encoding="utf-8"?><Relationships xmlns="http://schemas.openxmlformats.org/package/2006/relationships"><Relationship Type="http://schemas.openxmlformats.org/officeDocument/2006/relationships/table" Target="/xl/tables/table20.xml" Id="Refde72dfce3d469b" /></Relationships>
</file>

<file path=xl/worksheets/_rels/sheet22.xml.rels>&#65279;<?xml version="1.0" encoding="utf-8"?><Relationships xmlns="http://schemas.openxmlformats.org/package/2006/relationships"><Relationship Type="http://schemas.openxmlformats.org/officeDocument/2006/relationships/table" Target="/xl/tables/table21.xml" Id="R890da8abfe184182" /></Relationships>
</file>

<file path=xl/worksheets/_rels/sheet23.xml.rels>&#65279;<?xml version="1.0" encoding="utf-8"?><Relationships xmlns="http://schemas.openxmlformats.org/package/2006/relationships"><Relationship Type="http://schemas.openxmlformats.org/officeDocument/2006/relationships/table" Target="/xl/tables/table22.xml" Id="R73eb95c77d9a49c0" /></Relationships>
</file>

<file path=xl/worksheets/_rels/sheet24.xml.rels>&#65279;<?xml version="1.0" encoding="utf-8"?><Relationships xmlns="http://schemas.openxmlformats.org/package/2006/relationships"><Relationship Type="http://schemas.openxmlformats.org/officeDocument/2006/relationships/table" Target="/xl/tables/table23.xml" Id="R97e0ce64651a436d" /></Relationships>
</file>

<file path=xl/worksheets/_rels/sheet25.xml.rels>&#65279;<?xml version="1.0" encoding="utf-8"?><Relationships xmlns="http://schemas.openxmlformats.org/package/2006/relationships"><Relationship Type="http://schemas.openxmlformats.org/officeDocument/2006/relationships/table" Target="/xl/tables/table24.xml" Id="R8b90df451ad642ca" /></Relationships>
</file>

<file path=xl/worksheets/_rels/sheet26.xml.rels>&#65279;<?xml version="1.0" encoding="utf-8"?><Relationships xmlns="http://schemas.openxmlformats.org/package/2006/relationships"><Relationship Type="http://schemas.openxmlformats.org/officeDocument/2006/relationships/table" Target="/xl/tables/table25.xml" Id="R0f895a4b7a1c4094" /></Relationships>
</file>

<file path=xl/worksheets/_rels/sheet27.xml.rels>&#65279;<?xml version="1.0" encoding="utf-8"?><Relationships xmlns="http://schemas.openxmlformats.org/package/2006/relationships"><Relationship Type="http://schemas.openxmlformats.org/officeDocument/2006/relationships/table" Target="/xl/tables/table26.xml" Id="Rc5fde3dd95cc4e20"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3</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736</x:v>
      </x:c>
      <x:c r="C5" s="2"/>
      <x:c r="D5" s="2" t="str">
        <x:v>Intégrés</x:v>
      </x:c>
      <x:c r="E5" s="31" t="n">
        <x:f>SUM(E10:F35)</x:f>
        <x:v>0</x:v>
      </x:c>
      <x:c r="F5" s="2"/>
      <x:c r="G5" s="2" t="str">
        <x:v>À vérifier</x:v>
      </x:c>
      <x:c r="H5" s="31" t="n">
        <x:f>SUM(H10:H35)</x:f>
        <x:v>0</x:v>
      </x:c>
      <x:c r="I5" s="2"/>
      <x:c r="J5" s="2" t="str">
        <x:v>Extrapolations</x:v>
      </x:c>
      <x:c r="K5" s="31" t="n">
        <x:f>SUM(I10:I35)</x:f>
        <x:v>290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COUNTA('Personnages'!$A$7:$A$26)</x:f>
        <x:v>20</x:v>
      </x:c>
      <x:c r="C10" s="37" t="n">
        <x:f>COUNTIFS('Personnages'!$C$7:$C$26,"Défini")</x:f>
        <x:v>11</x:v>
      </x:c>
      <x:c r="D10" s="37" t="n">
        <x:f>COUNTIFS('Personnages'!$C$7:$C$26,"Prototype")</x:f>
        <x:v>9</x:v>
      </x:c>
      <x:c r="E10" s="37" t="n">
        <x:f>COUNTIFS('Personnages'!$C$7:$C$26,"Intégré")</x:f>
        <x:v>0</x:v>
      </x:c>
      <x:c r="F10" s="37" t="n">
        <x:f>COUNTIFS('Personnages'!$C$7:$C$26,"Validé")</x:f>
        <x:v>0</x:v>
      </x:c>
      <x:c r="G10" s="37" t="n">
        <x:f>COUNTIFS('Personnages'!$D$7:$D$26,"Établi")</x:f>
        <x:v>20</x:v>
      </x:c>
      <x:c r="H10" s="37" t="n">
        <x:f>COUNTIFS('Personnages'!$D$7:$D$26,"À vérifier")</x:f>
        <x:v>0</x:v>
      </x:c>
      <x:c r="I10" s="37" t="n">
        <x:f>COUNTIFS('Personnages'!$D$7:$D$26,"Extrapolation")</x:f>
        <x:v>0</x:v>
      </x:c>
      <x:c r="J10" s="37" t="n">
        <x:f>COUNTIFS('Personnages'!$D$7:$D$26,"Coupé attesté")</x:f>
        <x:v>0</x:v>
      </x:c>
      <x:c r="K10" s="37" t="n">
        <x:f>COUNTIFS('Personnages'!$D$7:$D$26,"Concept abandonné")</x:f>
        <x:v>0</x:v>
      </x:c>
      <x:c r="L10" s="37" t="n">
        <x:f>COUNTIFS('Personnages'!$D$7:$D$26,"Allégation écartée")</x:f>
        <x:v>0</x:v>
      </x:c>
      <x:c r="M10" s="37" t="n">
        <x:f>COUNTIFS('Personnages'!$E$7:$E$26,"P0")</x:f>
        <x:v>0</x:v>
      </x:c>
    </x:row>
    <x:row r="11" ht="22" customHeight="1">
      <x:c r="A11" s="2" t="str">
        <x:v>PNJ</x:v>
      </x:c>
      <x:c r="B11" s="38" t="n">
        <x:f>COUNTA('PNJ'!$A$7:$A$52)</x:f>
        <x:v>46</x:v>
      </x:c>
      <x:c r="C11" s="38" t="n">
        <x:f>COUNTIFS('PNJ'!$C$7:$C$52,"Défini")</x:f>
        <x:v>46</x:v>
      </x:c>
      <x:c r="D11" s="38" t="n">
        <x:f>COUNTIFS('PNJ'!$C$7:$C$52,"Prototype")</x:f>
        <x:v>0</x:v>
      </x:c>
      <x:c r="E11" s="38" t="n">
        <x:f>COUNTIFS('PNJ'!$C$7:$C$52,"Intégré")</x:f>
        <x:v>0</x:v>
      </x:c>
      <x:c r="F11" s="38" t="n">
        <x:f>COUNTIFS('PNJ'!$C$7:$C$52,"Validé")</x:f>
        <x:v>0</x:v>
      </x:c>
      <x:c r="G11" s="38" t="n">
        <x:f>COUNTIFS('PNJ'!$D$7:$D$52,"Établi")</x:f>
        <x:v>46</x:v>
      </x:c>
      <x:c r="H11" s="38" t="n">
        <x:f>COUNTIFS('PNJ'!$D$7:$D$52,"À vérifier")</x:f>
        <x:v>0</x:v>
      </x:c>
      <x:c r="I11" s="38" t="n">
        <x:f>COUNTIFS('PNJ'!$D$7:$D$52,"Extrapolation")</x:f>
        <x:v>0</x:v>
      </x:c>
      <x:c r="J11" s="38" t="n">
        <x:f>COUNTIFS('PNJ'!$D$7:$D$52,"Coupé attesté")</x:f>
        <x:v>0</x:v>
      </x:c>
      <x:c r="K11" s="38" t="n">
        <x:f>COUNTIFS('PNJ'!$D$7:$D$52,"Concept abandonné")</x:f>
        <x:v>0</x:v>
      </x:c>
      <x:c r="L11" s="38" t="n">
        <x:f>COUNTIFS('PNJ'!$D$7:$D$52,"Allégation écartée")</x:f>
        <x:v>0</x:v>
      </x:c>
      <x:c r="M11" s="38" t="n">
        <x:f>COUNTIFS('PNJ'!$E$7:$E$52,"P0")</x:f>
        <x:v>0</x:v>
      </x:c>
    </x:row>
    <x:row r="12" ht="22" customHeight="1">
      <x:c r="A12" s="33" t="str">
        <x:v>Espèces et factions</x:v>
      </x:c>
      <x:c r="B12" s="37" t="n">
        <x:f>COUNTA('Especes_factions'!$A$7:$A$22)</x:f>
        <x:v>16</x:v>
      </x:c>
      <x:c r="C12" s="37" t="n">
        <x:f>COUNTIFS('Especes_factions'!$C$7:$C$22,"Défini")</x:f>
        <x:v>16</x:v>
      </x:c>
      <x:c r="D12" s="37" t="n">
        <x:f>COUNTIFS('Especes_factions'!$C$7:$C$22,"Prototype")</x:f>
        <x:v>0</x:v>
      </x:c>
      <x:c r="E12" s="37" t="n">
        <x:f>COUNTIFS('Especes_factions'!$C$7:$C$22,"Intégré")</x:f>
        <x:v>0</x:v>
      </x:c>
      <x:c r="F12" s="37" t="n">
        <x:f>COUNTIFS('Especes_factions'!$C$7:$C$22,"Validé")</x:f>
        <x:v>0</x:v>
      </x:c>
      <x:c r="G12" s="37" t="n">
        <x:f>COUNTIFS('Especes_factions'!$D$7:$D$22,"Établi")</x:f>
        <x:v>16</x:v>
      </x:c>
      <x:c r="H12" s="37" t="n">
        <x:f>COUNTIFS('Especes_factions'!$D$7:$D$22,"À vérifier")</x:f>
        <x:v>0</x:v>
      </x:c>
      <x:c r="I12" s="37" t="n">
        <x:f>COUNTIFS('Especes_factions'!$D$7:$D$22,"Extrapolation")</x:f>
        <x:v>0</x:v>
      </x:c>
      <x:c r="J12" s="37" t="n">
        <x:f>COUNTIFS('Especes_factions'!$D$7:$D$22,"Coupé attesté")</x:f>
        <x:v>0</x:v>
      </x:c>
      <x:c r="K12" s="37" t="n">
        <x:f>COUNTIFS('Especes_factions'!$D$7:$D$22,"Concept abandonné")</x:f>
        <x:v>0</x:v>
      </x:c>
      <x:c r="L12" s="37" t="n">
        <x:f>COUNTIFS('Especes_factions'!$D$7:$D$22,"Allégation écartée")</x:f>
        <x:v>0</x:v>
      </x:c>
      <x:c r="M12" s="37" t="n">
        <x:f>COUNTIFS('Especes_factions'!$E$7:$E$22,"P0")</x:f>
        <x:v>0</x:v>
      </x:c>
    </x:row>
    <x:row r="13" ht="22" customHeight="1">
      <x:c r="A13" s="2" t="str">
        <x:v>Mondes</x:v>
      </x:c>
      <x:c r="B13" s="38" t="n">
        <x:f>COUNTA('Mondes'!$A$7:$A$26)</x:f>
        <x:v>20</x:v>
      </x:c>
      <x:c r="C13" s="38" t="n">
        <x:f>COUNTIFS('Mondes'!$C$7:$C$26,"Défini")</x:f>
        <x:v>20</x:v>
      </x:c>
      <x:c r="D13" s="38" t="n">
        <x:f>COUNTIFS('Mondes'!$C$7:$C$26,"Prototype")</x:f>
        <x:v>0</x:v>
      </x:c>
      <x:c r="E13" s="38" t="n">
        <x:f>COUNTIFS('Mondes'!$C$7:$C$26,"Intégré")</x:f>
        <x:v>0</x:v>
      </x:c>
      <x:c r="F13" s="38" t="n">
        <x:f>COUNTIFS('Mondes'!$C$7:$C$26,"Validé")</x:f>
        <x:v>0</x:v>
      </x:c>
      <x:c r="G13" s="38" t="n">
        <x:f>COUNTIFS('Mondes'!$D$7:$D$26,"Établi")</x:f>
        <x:v>20</x:v>
      </x:c>
      <x:c r="H13" s="38" t="n">
        <x:f>COUNTIFS('Mondes'!$D$7:$D$26,"À vérifier")</x:f>
        <x:v>0</x:v>
      </x:c>
      <x:c r="I13" s="38" t="n">
        <x:f>COUNTIFS('Mondes'!$D$7:$D$26,"Extrapolation")</x:f>
        <x:v>0</x:v>
      </x:c>
      <x:c r="J13" s="38" t="n">
        <x:f>COUNTIFS('Mondes'!$D$7:$D$26,"Coupé attesté")</x:f>
        <x:v>0</x:v>
      </x:c>
      <x:c r="K13" s="38" t="n">
        <x:f>COUNTIFS('Mondes'!$D$7:$D$26,"Concept abandonné")</x:f>
        <x:v>0</x:v>
      </x:c>
      <x:c r="L13" s="38" t="n">
        <x:f>COUNTIFS('Mondes'!$D$7:$D$26,"Allégation écartée")</x:f>
        <x:v>0</x:v>
      </x:c>
      <x:c r="M13" s="38" t="n">
        <x:f>COUNTIFS('Mondes'!$E$7:$E$26,"P0")</x:f>
        <x:v>0</x:v>
      </x:c>
    </x:row>
    <x:row r="14" ht="22" customHeight="1">
      <x:c r="A14" s="33" t="str">
        <x:v>Zones</x:v>
      </x:c>
      <x:c r="B14" s="37" t="n">
        <x:f>COUNTA('Zones'!$A$7:$A$55)</x:f>
        <x:v>49</x:v>
      </x:c>
      <x:c r="C14" s="37" t="n">
        <x:f>COUNTIFS('Zones'!$C$7:$C$55,"Défini")</x:f>
        <x:v>49</x:v>
      </x:c>
      <x:c r="D14" s="37" t="n">
        <x:f>COUNTIFS('Zones'!$C$7:$C$55,"Prototype")</x:f>
        <x:v>0</x:v>
      </x:c>
      <x:c r="E14" s="37" t="n">
        <x:f>COUNTIFS('Zones'!$C$7:$C$55,"Intégré")</x:f>
        <x:v>0</x:v>
      </x:c>
      <x:c r="F14" s="37" t="n">
        <x:f>COUNTIFS('Zones'!$C$7:$C$55,"Validé")</x:f>
        <x:v>0</x:v>
      </x:c>
      <x:c r="G14" s="37" t="n">
        <x:f>COUNTIFS('Zones'!$D$7:$D$55,"Établi")</x:f>
        <x:v>49</x:v>
      </x:c>
      <x:c r="H14" s="37" t="n">
        <x:f>COUNTIFS('Zones'!$D$7:$D$55,"À vérifier")</x:f>
        <x:v>0</x:v>
      </x:c>
      <x:c r="I14" s="37" t="n">
        <x:f>COUNTIFS('Zones'!$D$7:$D$55,"Extrapolation")</x:f>
        <x:v>0</x:v>
      </x:c>
      <x:c r="J14" s="37" t="n">
        <x:f>COUNTIFS('Zones'!$D$7:$D$55,"Coupé attesté")</x:f>
        <x:v>0</x:v>
      </x:c>
      <x:c r="K14" s="37" t="n">
        <x:f>COUNTIFS('Zones'!$D$7:$D$55,"Concept abandonné")</x:f>
        <x:v>0</x:v>
      </x:c>
      <x:c r="L14" s="37" t="n">
        <x:f>COUNTIFS('Zones'!$D$7:$D$55,"Allégation écartée")</x:f>
        <x:v>0</x:v>
      </x:c>
      <x:c r="M14" s="37" t="n">
        <x:f>COUNTIFS('Zones'!$E$7:$E$55,"P0")</x:f>
        <x:v>0</x:v>
      </x:c>
    </x:row>
    <x:row r="15" ht="22" customHeight="1">
      <x:c r="A15" s="2" t="str">
        <x:v>Liaisons</x:v>
      </x:c>
      <x:c r="B15" s="38" t="n">
        <x:f>COUNTA('Liaisons'!$A$7:$A$20)</x:f>
        <x:v>14</x:v>
      </x:c>
      <x:c r="C15" s="38" t="n">
        <x:f>COUNTIFS('Liaisons'!$C$7:$C$20,"Défini")</x:f>
        <x:v>14</x:v>
      </x:c>
      <x:c r="D15" s="38" t="n">
        <x:f>COUNTIFS('Liaisons'!$C$7:$C$20,"Prototype")</x:f>
        <x:v>0</x:v>
      </x:c>
      <x:c r="E15" s="38" t="n">
        <x:f>COUNTIFS('Liaisons'!$C$7:$C$20,"Intégré")</x:f>
        <x:v>0</x:v>
      </x:c>
      <x:c r="F15" s="38" t="n">
        <x:f>COUNTIFS('Liaisons'!$C$7:$C$20,"Validé")</x:f>
        <x:v>0</x:v>
      </x:c>
      <x:c r="G15" s="38" t="n">
        <x:f>COUNTIFS('Liaisons'!$D$7:$D$20,"Établi")</x:f>
        <x:v>0</x:v>
      </x:c>
      <x:c r="H15" s="38" t="n">
        <x:f>COUNTIFS('Liaisons'!$D$7:$D$20,"À vérifier")</x:f>
        <x:v>0</x:v>
      </x:c>
      <x:c r="I15" s="38" t="n">
        <x:f>COUNTIFS('Liaisons'!$D$7:$D$20,"Extrapolation")</x:f>
        <x:v>14</x:v>
      </x:c>
      <x:c r="J15" s="38" t="n">
        <x:f>COUNTIFS('Liaisons'!$D$7:$D$20,"Coupé attesté")</x:f>
        <x:v>0</x:v>
      </x:c>
      <x:c r="K15" s="38" t="n">
        <x:f>COUNTIFS('Liaisons'!$D$7:$D$20,"Concept abandonné")</x:f>
        <x:v>0</x:v>
      </x:c>
      <x:c r="L15" s="38" t="n">
        <x:f>COUNTIFS('Liaisons'!$D$7:$D$20,"Allégation écartée")</x:f>
        <x:v>0</x:v>
      </x:c>
      <x:c r="M15" s="38" t="n">
        <x:f>COUNTIFS('Liaisons'!$E$7:$E$20,"P0")</x:f>
        <x:v>0</x:v>
      </x:c>
    </x:row>
    <x:row r="16" ht="22" customHeight="1">
      <x:c r="A16" s="33" t="str">
        <x:v>Décors</x:v>
      </x:c>
      <x:c r="B16" s="37" t="n">
        <x:f>COUNTA('Decors'!$A$7:$A$22)</x:f>
        <x:v>16</x:v>
      </x:c>
      <x:c r="C16" s="37" t="n">
        <x:f>COUNTIFS('Decors'!$C$7:$C$22,"Défini")</x:f>
        <x:v>16</x:v>
      </x:c>
      <x:c r="D16" s="37" t="n">
        <x:f>COUNTIFS('Decors'!$C$7:$C$22,"Prototype")</x:f>
        <x:v>0</x:v>
      </x:c>
      <x:c r="E16" s="37" t="n">
        <x:f>COUNTIFS('Decors'!$C$7:$C$22,"Intégré")</x:f>
        <x:v>0</x:v>
      </x:c>
      <x:c r="F16" s="37" t="n">
        <x:f>COUNTIFS('Decors'!$C$7:$C$22,"Validé")</x:f>
        <x:v>0</x:v>
      </x:c>
      <x:c r="G16" s="37" t="n">
        <x:f>COUNTIFS('Decors'!$D$7:$D$22,"Établi")</x:f>
        <x:v>0</x:v>
      </x:c>
      <x:c r="H16" s="37" t="n">
        <x:f>COUNTIFS('Decors'!$D$7:$D$22,"À vérifier")</x:f>
        <x:v>0</x:v>
      </x:c>
      <x:c r="I16" s="37" t="n">
        <x:f>COUNTIFS('Decors'!$D$7:$D$22,"Extrapolation")</x:f>
        <x:v>16</x:v>
      </x:c>
      <x:c r="J16" s="37" t="n">
        <x:f>COUNTIFS('Decors'!$D$7:$D$22,"Coupé attesté")</x:f>
        <x:v>0</x:v>
      </x:c>
      <x:c r="K16" s="37" t="n">
        <x:f>COUNTIFS('Decors'!$D$7:$D$22,"Concept abandonné")</x:f>
        <x:v>0</x:v>
      </x:c>
      <x:c r="L16" s="37" t="n">
        <x:f>COUNTIFS('Decors'!$D$7:$D$22,"Allégation écartée")</x:f>
        <x:v>0</x:v>
      </x:c>
      <x:c r="M16" s="37" t="n">
        <x:f>COUNTIFS('Decors'!$E$7:$E$22,"P0")</x:f>
        <x:v>0</x:v>
      </x:c>
    </x:row>
    <x:row r="17" ht="22" customHeight="1">
      <x:c r="A17" s="2" t="str">
        <x:v>Props</x:v>
      </x:c>
      <x:c r="B17" s="38" t="n">
        <x:f>COUNTA('Props'!$A$7:$A$23)</x:f>
        <x:v>17</x:v>
      </x:c>
      <x:c r="C17" s="38" t="n">
        <x:f>COUNTIFS('Props'!$C$7:$C$23,"Défini")</x:f>
        <x:v>17</x:v>
      </x:c>
      <x:c r="D17" s="38" t="n">
        <x:f>COUNTIFS('Props'!$C$7:$C$23,"Prototype")</x:f>
        <x:v>0</x:v>
      </x:c>
      <x:c r="E17" s="38" t="n">
        <x:f>COUNTIFS('Props'!$C$7:$C$23,"Intégré")</x:f>
        <x:v>0</x:v>
      </x:c>
      <x:c r="F17" s="38" t="n">
        <x:f>COUNTIFS('Props'!$C$7:$C$23,"Validé")</x:f>
        <x:v>0</x:v>
      </x:c>
      <x:c r="G17" s="38" t="n">
        <x:f>COUNTIFS('Props'!$D$7:$D$23,"Établi")</x:f>
        <x:v>0</x:v>
      </x:c>
      <x:c r="H17" s="38" t="n">
        <x:f>COUNTIFS('Props'!$D$7:$D$23,"À vérifier")</x:f>
        <x:v>0</x:v>
      </x:c>
      <x:c r="I17" s="38" t="n">
        <x:f>COUNTIFS('Props'!$D$7:$D$23,"Extrapolation")</x:f>
        <x:v>17</x:v>
      </x:c>
      <x:c r="J17" s="38" t="n">
        <x:f>COUNTIFS('Props'!$D$7:$D$23,"Coupé attesté")</x:f>
        <x:v>0</x:v>
      </x:c>
      <x:c r="K17" s="38" t="n">
        <x:f>COUNTIFS('Props'!$D$7:$D$23,"Concept abandonné")</x:f>
        <x:v>0</x:v>
      </x:c>
      <x:c r="L17" s="38" t="n">
        <x:f>COUNTIFS('Props'!$D$7:$D$23,"Allégation écartée")</x:f>
        <x:v>0</x:v>
      </x:c>
      <x:c r="M17" s="38" t="n">
        <x:f>COUNTIFS('Props'!$E$7:$E$23,"P0")</x:f>
        <x:v>0</x:v>
      </x:c>
    </x:row>
    <x:row r="18" ht="22" customHeight="1">
      <x:c r="A18" s="33" t="str">
        <x:v>Ennemis et boss</x:v>
      </x:c>
      <x:c r="B18" s="37" t="n">
        <x:f>COUNTA('Ennemis_boss'!$A$7:$A$45)</x:f>
        <x:v>39</x:v>
      </x:c>
      <x:c r="C18" s="37" t="n">
        <x:f>COUNTIFS('Ennemis_boss'!$C$7:$C$45,"Défini")</x:f>
        <x:v>39</x:v>
      </x:c>
      <x:c r="D18" s="37" t="n">
        <x:f>COUNTIFS('Ennemis_boss'!$C$7:$C$45,"Prototype")</x:f>
        <x:v>0</x:v>
      </x:c>
      <x:c r="E18" s="37" t="n">
        <x:f>COUNTIFS('Ennemis_boss'!$C$7:$C$45,"Intégré")</x:f>
        <x:v>0</x:v>
      </x:c>
      <x:c r="F18" s="37" t="n">
        <x:f>COUNTIFS('Ennemis_boss'!$C$7:$C$45,"Validé")</x:f>
        <x:v>0</x:v>
      </x:c>
      <x:c r="G18" s="37" t="n">
        <x:f>COUNTIFS('Ennemis_boss'!$D$7:$D$45,"Établi")</x:f>
        <x:v>39</x:v>
      </x:c>
      <x:c r="H18" s="37" t="n">
        <x:f>COUNTIFS('Ennemis_boss'!$D$7:$D$45,"À vérifier")</x:f>
        <x:v>0</x:v>
      </x:c>
      <x:c r="I18" s="37" t="n">
        <x:f>COUNTIFS('Ennemis_boss'!$D$7:$D$45,"Extrapolation")</x:f>
        <x:v>0</x:v>
      </x:c>
      <x:c r="J18" s="37" t="n">
        <x:f>COUNTIFS('Ennemis_boss'!$D$7:$D$45,"Coupé attesté")</x:f>
        <x:v>0</x:v>
      </x:c>
      <x:c r="K18" s="37" t="n">
        <x:f>COUNTIFS('Ennemis_boss'!$D$7:$D$45,"Concept abandonné")</x:f>
        <x:v>0</x:v>
      </x:c>
      <x:c r="L18" s="37" t="n">
        <x:f>COUNTIFS('Ennemis_boss'!$D$7:$D$45,"Allégation écartée")</x:f>
        <x:v>0</x:v>
      </x:c>
      <x:c r="M18" s="37" t="n">
        <x:f>COUNTIFS('Ennemis_boss'!$E$7:$E$45,"P0")</x:f>
        <x:v>0</x:v>
      </x:c>
    </x:row>
    <x:row r="19" ht="22" customHeight="1">
      <x:c r="A19" s="2" t="str">
        <x:v>Missions</x:v>
      </x:c>
      <x:c r="B19" s="38" t="n">
        <x:f>COUNTA('Missions'!$A$7:$A$38)</x:f>
        <x:v>32</x:v>
      </x:c>
      <x:c r="C19" s="38" t="n">
        <x:f>COUNTIFS('Missions'!$C$7:$C$38,"Défini")</x:f>
        <x:v>32</x:v>
      </x:c>
      <x:c r="D19" s="38" t="n">
        <x:f>COUNTIFS('Missions'!$C$7:$C$38,"Prototype")</x:f>
        <x:v>0</x:v>
      </x:c>
      <x:c r="E19" s="38" t="n">
        <x:f>COUNTIFS('Missions'!$C$7:$C$38,"Intégré")</x:f>
        <x:v>0</x:v>
      </x:c>
      <x:c r="F19" s="38" t="n">
        <x:f>COUNTIFS('Missions'!$C$7:$C$38,"Validé")</x:f>
        <x:v>0</x:v>
      </x:c>
      <x:c r="G19" s="38" t="n">
        <x:f>COUNTIFS('Missions'!$D$7:$D$38,"Établi")</x:f>
        <x:v>32</x:v>
      </x:c>
      <x:c r="H19" s="38" t="n">
        <x:f>COUNTIFS('Missions'!$D$7:$D$38,"À vérifier")</x:f>
        <x:v>0</x:v>
      </x:c>
      <x:c r="I19" s="38" t="n">
        <x:f>COUNTIFS('Missions'!$D$7:$D$38,"Extrapolation")</x:f>
        <x:v>0</x:v>
      </x:c>
      <x:c r="J19" s="38" t="n">
        <x:f>COUNTIFS('Missions'!$D$7:$D$38,"Coupé attesté")</x:f>
        <x:v>0</x:v>
      </x:c>
      <x:c r="K19" s="38" t="n">
        <x:f>COUNTIFS('Missions'!$D$7:$D$38,"Concept abandonné")</x:f>
        <x:v>0</x:v>
      </x:c>
      <x:c r="L19" s="38" t="n">
        <x:f>COUNTIFS('Missions'!$D$7:$D$38,"Allégation écartée")</x:f>
        <x:v>0</x:v>
      </x:c>
      <x:c r="M19" s="38" t="n">
        <x:f>COUNTIFS('Missions'!$E$7:$E$38,"P0")</x:f>
        <x:v>32</x:v>
      </x:c>
    </x:row>
    <x:row r="20" ht="22" customHeight="1">
      <x:c r="A20" s="33" t="str">
        <x:v>Secondaires et DLC</x:v>
      </x:c>
      <x:c r="B20" s="37" t="n">
        <x:f>COUNTA('Secondaires_DLC'!$A$7:$A$74)</x:f>
        <x:v>68</x:v>
      </x:c>
      <x:c r="C20" s="37" t="n">
        <x:f>COUNTIFS('Secondaires_DLC'!$C$7:$C$74,"Défini")</x:f>
        <x:v>68</x:v>
      </x:c>
      <x:c r="D20" s="37" t="n">
        <x:f>COUNTIFS('Secondaires_DLC'!$C$7:$C$74,"Prototype")</x:f>
        <x:v>0</x:v>
      </x:c>
      <x:c r="E20" s="37" t="n">
        <x:f>COUNTIFS('Secondaires_DLC'!$C$7:$C$74,"Intégré")</x:f>
        <x:v>0</x:v>
      </x:c>
      <x:c r="F20" s="37" t="n">
        <x:f>COUNTIFS('Secondaires_DLC'!$C$7:$C$74,"Validé")</x:f>
        <x:v>0</x:v>
      </x:c>
      <x:c r="G20" s="37" t="n">
        <x:f>COUNTIFS('Secondaires_DLC'!$D$7:$D$74,"Établi")</x:f>
        <x:v>68</x:v>
      </x:c>
      <x:c r="H20" s="37" t="n">
        <x:f>COUNTIFS('Secondaires_DLC'!$D$7:$D$74,"À vérifier")</x:f>
        <x:v>0</x:v>
      </x:c>
      <x:c r="I20" s="37" t="n">
        <x:f>COUNTIFS('Secondaires_DLC'!$D$7:$D$74,"Extrapolation")</x:f>
        <x:v>0</x:v>
      </x:c>
      <x:c r="J20" s="37" t="n">
        <x:f>COUNTIFS('Secondaires_DLC'!$D$7:$D$74,"Coupé attesté")</x:f>
        <x:v>0</x:v>
      </x:c>
      <x:c r="K20" s="37" t="n">
        <x:f>COUNTIFS('Secondaires_DLC'!$D$7:$D$74,"Concept abandonné")</x:f>
        <x:v>0</x:v>
      </x:c>
      <x:c r="L20" s="37" t="n">
        <x:f>COUNTIFS('Secondaires_DLC'!$D$7:$D$74,"Allégation écartée")</x:f>
        <x:v>0</x:v>
      </x:c>
      <x:c r="M20" s="37" t="n">
        <x:f>COUNTIFS('Secondaires_DLC'!$E$7:$E$74,"P0")</x:f>
        <x:v>0</x:v>
      </x:c>
    </x:row>
    <x:row r="21" ht="22" customHeight="1">
      <x:c r="A21" s="2" t="str">
        <x:v>Choix et relations</x:v>
      </x:c>
      <x:c r="B21" s="38" t="n">
        <x:f>COUNTA('Choix_relations'!$A$7:$A$36)</x:f>
        <x:v>30</x:v>
      </x:c>
      <x:c r="C21" s="38" t="n">
        <x:f>COUNTIFS('Choix_relations'!$C$7:$C$36,"Défini")</x:f>
        <x:v>30</x:v>
      </x:c>
      <x:c r="D21" s="38" t="n">
        <x:f>COUNTIFS('Choix_relations'!$C$7:$C$36,"Prototype")</x:f>
        <x:v>0</x:v>
      </x:c>
      <x:c r="E21" s="38" t="n">
        <x:f>COUNTIFS('Choix_relations'!$C$7:$C$36,"Intégré")</x:f>
        <x:v>0</x:v>
      </x:c>
      <x:c r="F21" s="38" t="n">
        <x:f>COUNTIFS('Choix_relations'!$C$7:$C$36,"Validé")</x:f>
        <x:v>0</x:v>
      </x:c>
      <x:c r="G21" s="38" t="n">
        <x:f>COUNTIFS('Choix_relations'!$D$7:$D$36,"Établi")</x:f>
        <x:v>30</x:v>
      </x:c>
      <x:c r="H21" s="38" t="n">
        <x:f>COUNTIFS('Choix_relations'!$D$7:$D$36,"À vérifier")</x:f>
        <x:v>0</x:v>
      </x:c>
      <x:c r="I21" s="38" t="n">
        <x:f>COUNTIFS('Choix_relations'!$D$7:$D$36,"Extrapolation")</x:f>
        <x:v>0</x:v>
      </x:c>
      <x:c r="J21" s="38" t="n">
        <x:f>COUNTIFS('Choix_relations'!$D$7:$D$36,"Coupé attesté")</x:f>
        <x:v>0</x:v>
      </x:c>
      <x:c r="K21" s="38" t="n">
        <x:f>COUNTIFS('Choix_relations'!$D$7:$D$36,"Concept abandonné")</x:f>
        <x:v>0</x:v>
      </x:c>
      <x:c r="L21" s="38" t="n">
        <x:f>COUNTIFS('Choix_relations'!$D$7:$D$36,"Allégation écartée")</x:f>
        <x:v>0</x:v>
      </x:c>
      <x:c r="M21" s="38" t="n">
        <x:f>COUNTIFS('Choix_relations'!$E$7:$E$36,"P0")</x:f>
        <x:v>0</x:v>
      </x:c>
    </x:row>
    <x:row r="22" ht="22" customHeight="1">
      <x:c r="A22" s="33" t="str">
        <x:v>Dialogues</x:v>
      </x:c>
      <x:c r="B22" s="37" t="n">
        <x:f>COUNTA('Dialogues'!$A$7:$A$19)</x:f>
        <x:v>13</x:v>
      </x:c>
      <x:c r="C22" s="37" t="n">
        <x:f>COUNTIFS('Dialogues'!$C$7:$C$19,"Défini")</x:f>
        <x:v>13</x:v>
      </x:c>
      <x:c r="D22" s="37" t="n">
        <x:f>COUNTIFS('Dialogues'!$C$7:$C$19,"Prototype")</x:f>
        <x:v>0</x:v>
      </x:c>
      <x:c r="E22" s="37" t="n">
        <x:f>COUNTIFS('Dialogues'!$C$7:$C$19,"Intégré")</x:f>
        <x:v>0</x:v>
      </x:c>
      <x:c r="F22" s="37" t="n">
        <x:f>COUNTIFS('Dialogues'!$C$7:$C$19,"Validé")</x:f>
        <x:v>0</x:v>
      </x:c>
      <x:c r="G22" s="37" t="n">
        <x:f>COUNTIFS('Dialogues'!$D$7:$D$19,"Établi")</x:f>
        <x:v>0</x:v>
      </x:c>
      <x:c r="H22" s="37" t="n">
        <x:f>COUNTIFS('Dialogues'!$D$7:$D$19,"À vérifier")</x:f>
        <x:v>0</x:v>
      </x:c>
      <x:c r="I22" s="37" t="n">
        <x:f>COUNTIFS('Dialogues'!$D$7:$D$19,"Extrapolation")</x:f>
        <x:v>13</x:v>
      </x:c>
      <x:c r="J22" s="37" t="n">
        <x:f>COUNTIFS('Dialogues'!$D$7:$D$19,"Coupé attesté")</x:f>
        <x:v>0</x:v>
      </x:c>
      <x:c r="K22" s="37" t="n">
        <x:f>COUNTIFS('Dialogues'!$D$7:$D$19,"Concept abandonné")</x:f>
        <x:v>0</x:v>
      </x:c>
      <x:c r="L22" s="37" t="n">
        <x:f>COUNTIFS('Dialogues'!$D$7:$D$19,"Allégation écartée")</x:f>
        <x:v>0</x:v>
      </x:c>
      <x:c r="M22" s="37" t="n">
        <x:f>COUNTIFS('Dialogues'!$E$7:$E$19,"P0")</x:f>
        <x:v>0</x:v>
      </x:c>
    </x:row>
    <x:row r="23" ht="22" customHeight="1">
      <x:c r="A23" s="2" t="str">
        <x:v>Cinématiques</x:v>
      </x:c>
      <x:c r="B23" s="38" t="n">
        <x:f>COUNTA('Cinematiques'!$A$7:$A$18)</x:f>
        <x:v>12</x:v>
      </x:c>
      <x:c r="C23" s="38" t="n">
        <x:f>COUNTIFS('Cinematiques'!$C$7:$C$18,"Défini")</x:f>
        <x:v>12</x:v>
      </x:c>
      <x:c r="D23" s="38" t="n">
        <x:f>COUNTIFS('Cinematiques'!$C$7:$C$18,"Prototype")</x:f>
        <x:v>0</x:v>
      </x:c>
      <x:c r="E23" s="38" t="n">
        <x:f>COUNTIFS('Cinematiques'!$C$7:$C$18,"Intégré")</x:f>
        <x:v>0</x:v>
      </x:c>
      <x:c r="F23" s="38" t="n">
        <x:f>COUNTIFS('Cinematiques'!$C$7:$C$18,"Validé")</x:f>
        <x:v>0</x:v>
      </x:c>
      <x:c r="G23" s="38" t="n">
        <x:f>COUNTIFS('Cinematiques'!$D$7:$D$18,"Établi")</x:f>
        <x:v>0</x:v>
      </x:c>
      <x:c r="H23" s="38" t="n">
        <x:f>COUNTIFS('Cinematiques'!$D$7:$D$18,"À vérifier")</x:f>
        <x:v>0</x:v>
      </x:c>
      <x:c r="I23" s="38" t="n">
        <x:f>COUNTIFS('Cinematiques'!$D$7:$D$18,"Extrapolation")</x:f>
        <x:v>12</x:v>
      </x:c>
      <x:c r="J23" s="38" t="n">
        <x:f>COUNTIFS('Cinematiques'!$D$7:$D$18,"Coupé attesté")</x:f>
        <x:v>0</x:v>
      </x:c>
      <x:c r="K23" s="38" t="n">
        <x:f>COUNTIFS('Cinematiques'!$D$7:$D$18,"Concept abandonné")</x:f>
        <x:v>0</x:v>
      </x:c>
      <x:c r="L23" s="38" t="n">
        <x:f>COUNTIFS('Cinematiques'!$D$7:$D$18,"Allégation écartée")</x:f>
        <x:v>0</x:v>
      </x:c>
      <x:c r="M23" s="38" t="n">
        <x:f>COUNTIFS('Cinematiques'!$E$7:$E$18,"P0")</x:f>
        <x:v>0</x:v>
      </x:c>
    </x:row>
    <x:row r="24" ht="22" customHeight="1">
      <x:c r="A24" s="33" t="str">
        <x:v>Armes</x:v>
      </x:c>
      <x:c r="B24" s="37" t="n">
        <x:f>COUNTA('Armes'!$A$7:$A$57)</x:f>
        <x:v>51</x:v>
      </x:c>
      <x:c r="C24" s="37" t="n">
        <x:f>COUNTIFS('Armes'!$C$7:$C$57,"Défini")</x:f>
        <x:v>25</x:v>
      </x:c>
      <x:c r="D24" s="37" t="n">
        <x:f>COUNTIFS('Armes'!$C$7:$C$57,"Prototype")</x:f>
        <x:v>26</x:v>
      </x:c>
      <x:c r="E24" s="37" t="n">
        <x:f>COUNTIFS('Armes'!$C$7:$C$57,"Intégré")</x:f>
        <x:v>0</x:v>
      </x:c>
      <x:c r="F24" s="37" t="n">
        <x:f>COUNTIFS('Armes'!$C$7:$C$57,"Validé")</x:f>
        <x:v>0</x:v>
      </x:c>
      <x:c r="G24" s="37" t="n">
        <x:f>COUNTIFS('Armes'!$D$7:$D$57,"Établi")</x:f>
        <x:v>51</x:v>
      </x:c>
      <x:c r="H24" s="37" t="n">
        <x:f>COUNTIFS('Armes'!$D$7:$D$57,"À vérifier")</x:f>
        <x:v>0</x:v>
      </x:c>
      <x:c r="I24" s="37" t="n">
        <x:f>COUNTIFS('Armes'!$D$7:$D$57,"Extrapolation")</x:f>
        <x:v>0</x:v>
      </x:c>
      <x:c r="J24" s="37" t="n">
        <x:f>COUNTIFS('Armes'!$D$7:$D$57,"Coupé attesté")</x:f>
        <x:v>0</x:v>
      </x:c>
      <x:c r="K24" s="37" t="n">
        <x:f>COUNTIFS('Armes'!$D$7:$D$57,"Concept abandonné")</x:f>
        <x:v>0</x:v>
      </x:c>
      <x:c r="L24" s="37" t="n">
        <x:f>COUNTIFS('Armes'!$D$7:$D$57,"Allégation écartée")</x:f>
        <x:v>0</x:v>
      </x:c>
      <x:c r="M24" s="37" t="n">
        <x:f>COUNTIFS('Armes'!$E$7:$E$57,"P0")</x:f>
        <x:v>0</x:v>
      </x:c>
    </x:row>
    <x:row r="25" ht="22" customHeight="1">
      <x:c r="A25" s="2" t="str">
        <x:v>Armures et équipement</x:v>
      </x:c>
      <x:c r="B25" s="38" t="n">
        <x:f>COUNTA('Armures_equipement'!$A$7:$A$28)</x:f>
        <x:v>22</x:v>
      </x:c>
      <x:c r="C25" s="38" t="n">
        <x:f>COUNTIFS('Armures_equipement'!$C$7:$C$28,"Défini")</x:f>
        <x:v>19</x:v>
      </x:c>
      <x:c r="D25" s="38" t="n">
        <x:f>COUNTIFS('Armures_equipement'!$C$7:$C$28,"Prototype")</x:f>
        <x:v>3</x:v>
      </x:c>
      <x:c r="E25" s="38" t="n">
        <x:f>COUNTIFS('Armures_equipement'!$C$7:$C$28,"Intégré")</x:f>
        <x:v>0</x:v>
      </x:c>
      <x:c r="F25" s="38" t="n">
        <x:f>COUNTIFS('Armures_equipement'!$C$7:$C$28,"Validé")</x:f>
        <x:v>0</x:v>
      </x:c>
      <x:c r="G25" s="38" t="n">
        <x:f>COUNTIFS('Armures_equipement'!$D$7:$D$28,"Établi")</x:f>
        <x:v>22</x:v>
      </x:c>
      <x:c r="H25" s="38" t="n">
        <x:f>COUNTIFS('Armures_equipement'!$D$7:$D$28,"À vérifier")</x:f>
        <x:v>0</x:v>
      </x:c>
      <x:c r="I25" s="38" t="n">
        <x:f>COUNTIFS('Armures_equipement'!$D$7:$D$28,"Extrapolation")</x:f>
        <x:v>0</x:v>
      </x:c>
      <x:c r="J25" s="38" t="n">
        <x:f>COUNTIFS('Armures_equipement'!$D$7:$D$28,"Coupé attesté")</x:f>
        <x:v>0</x:v>
      </x:c>
      <x:c r="K25" s="38" t="n">
        <x:f>COUNTIFS('Armures_equipement'!$D$7:$D$28,"Concept abandonné")</x:f>
        <x:v>0</x:v>
      </x:c>
      <x:c r="L25" s="38" t="n">
        <x:f>COUNTIFS('Armures_equipement'!$D$7:$D$28,"Allégation écartée")</x:f>
        <x:v>0</x:v>
      </x:c>
      <x:c r="M25" s="38" t="n">
        <x:f>COUNTIFS('Armures_equipement'!$E$7:$E$28,"P0")</x:f>
        <x:v>0</x:v>
      </x:c>
    </x:row>
    <x:row r="26" ht="22" customHeight="1">
      <x:c r="A26" s="33" t="str">
        <x:v>Pouvoirs</x:v>
      </x:c>
      <x:c r="B26" s="37" t="n">
        <x:f>COUNTA('Pouvoirs'!$A$7:$A$54)</x:f>
        <x:v>48</x:v>
      </x:c>
      <x:c r="C26" s="37" t="n">
        <x:f>COUNTIFS('Pouvoirs'!$C$7:$C$54,"Défini")</x:f>
        <x:v>33</x:v>
      </x:c>
      <x:c r="D26" s="37" t="n">
        <x:f>COUNTIFS('Pouvoirs'!$C$7:$C$54,"Prototype")</x:f>
        <x:v>15</x:v>
      </x:c>
      <x:c r="E26" s="37" t="n">
        <x:f>COUNTIFS('Pouvoirs'!$C$7:$C$54,"Intégré")</x:f>
        <x:v>0</x:v>
      </x:c>
      <x:c r="F26" s="37" t="n">
        <x:f>COUNTIFS('Pouvoirs'!$C$7:$C$54,"Validé")</x:f>
        <x:v>0</x:v>
      </x:c>
      <x:c r="G26" s="37" t="n">
        <x:f>COUNTIFS('Pouvoirs'!$D$7:$D$54,"Établi")</x:f>
        <x:v>48</x:v>
      </x:c>
      <x:c r="H26" s="37" t="n">
        <x:f>COUNTIFS('Pouvoirs'!$D$7:$D$54,"À vérifier")</x:f>
        <x:v>0</x:v>
      </x:c>
      <x:c r="I26" s="37" t="n">
        <x:f>COUNTIFS('Pouvoirs'!$D$7:$D$54,"Extrapolation")</x:f>
        <x:v>0</x:v>
      </x:c>
      <x:c r="J26" s="37" t="n">
        <x:f>COUNTIFS('Pouvoirs'!$D$7:$D$54,"Coupé attesté")</x:f>
        <x:v>0</x:v>
      </x:c>
      <x:c r="K26" s="37" t="n">
        <x:f>COUNTIFS('Pouvoirs'!$D$7:$D$54,"Concept abandonné")</x:f>
        <x:v>0</x:v>
      </x:c>
      <x:c r="L26" s="37" t="n">
        <x:f>COUNTIFS('Pouvoirs'!$D$7:$D$54,"Allégation écartée")</x:f>
        <x:v>0</x:v>
      </x:c>
      <x:c r="M26" s="37" t="n">
        <x:f>COUNTIFS('Pouvoirs'!$E$7:$E$54,"P0")</x:f>
        <x:v>0</x:v>
      </x:c>
    </x:row>
    <x:row r="27" ht="22" customHeight="1">
      <x:c r="A27" s="2" t="str">
        <x:v>Movesets alliés</x:v>
      </x:c>
      <x:c r="B27" s="38" t="n">
        <x:f>COUNTA('Movesets_allies'!$A$7:$A$24)</x:f>
        <x:v>18</x:v>
      </x:c>
      <x:c r="C27" s="38" t="n">
        <x:f>COUNTIFS('Movesets_allies'!$C$7:$C$24,"Défini")</x:f>
        <x:v>18</x:v>
      </x:c>
      <x:c r="D27" s="38" t="n">
        <x:f>COUNTIFS('Movesets_allies'!$C$7:$C$24,"Prototype")</x:f>
        <x:v>0</x:v>
      </x:c>
      <x:c r="E27" s="38" t="n">
        <x:f>COUNTIFS('Movesets_allies'!$C$7:$C$24,"Intégré")</x:f>
        <x:v>0</x:v>
      </x:c>
      <x:c r="F27" s="38" t="n">
        <x:f>COUNTIFS('Movesets_allies'!$C$7:$C$24,"Validé")</x:f>
        <x:v>0</x:v>
      </x:c>
      <x:c r="G27" s="38" t="n">
        <x:f>COUNTIFS('Movesets_allies'!$D$7:$D$24,"Établi")</x:f>
        <x:v>0</x:v>
      </x:c>
      <x:c r="H27" s="38" t="n">
        <x:f>COUNTIFS('Movesets_allies'!$D$7:$D$24,"À vérifier")</x:f>
        <x:v>0</x:v>
      </x:c>
      <x:c r="I27" s="38" t="n">
        <x:f>COUNTIFS('Movesets_allies'!$D$7:$D$24,"Extrapolation")</x:f>
        <x:v>18</x:v>
      </x:c>
      <x:c r="J27" s="38" t="n">
        <x:f>COUNTIFS('Movesets_allies'!$D$7:$D$24,"Coupé attesté")</x:f>
        <x:v>0</x:v>
      </x:c>
      <x:c r="K27" s="38" t="n">
        <x:f>COUNTIFS('Movesets_allies'!$D$7:$D$24,"Concept abandonné")</x:f>
        <x:v>0</x:v>
      </x:c>
      <x:c r="L27" s="38" t="n">
        <x:f>COUNTIFS('Movesets_allies'!$D$7:$D$24,"Allégation écartée")</x:f>
        <x:v>0</x:v>
      </x:c>
      <x:c r="M27" s="38" t="n">
        <x:f>COUNTIFS('Movesets_allies'!$E$7:$E$24,"P0")</x:f>
        <x:v>0</x:v>
      </x:c>
    </x:row>
    <x:row r="28" ht="22" customHeight="1">
      <x:c r="A28" s="33" t="str">
        <x:v>Movesets ennemis</x:v>
      </x:c>
      <x:c r="B28" s="37" t="n">
        <x:f>COUNTA('Movesets_ennemis'!$A$7:$A$45)</x:f>
        <x:v>39</x:v>
      </x:c>
      <x:c r="C28" s="37" t="n">
        <x:f>COUNTIFS('Movesets_ennemis'!$C$7:$C$45,"Défini")</x:f>
        <x:v>39</x:v>
      </x:c>
      <x:c r="D28" s="37" t="n">
        <x:f>COUNTIFS('Movesets_ennemis'!$C$7:$C$45,"Prototype")</x:f>
        <x:v>0</x:v>
      </x:c>
      <x:c r="E28" s="37" t="n">
        <x:f>COUNTIFS('Movesets_ennemis'!$C$7:$C$45,"Intégré")</x:f>
        <x:v>0</x:v>
      </x:c>
      <x:c r="F28" s="37" t="n">
        <x:f>COUNTIFS('Movesets_ennemis'!$C$7:$C$45,"Validé")</x:f>
        <x:v>0</x:v>
      </x:c>
      <x:c r="G28" s="37" t="n">
        <x:f>COUNTIFS('Movesets_ennemis'!$D$7:$D$45,"Établi")</x:f>
        <x:v>0</x:v>
      </x:c>
      <x:c r="H28" s="37" t="n">
        <x:f>COUNTIFS('Movesets_ennemis'!$D$7:$D$45,"À vérifier")</x:f>
        <x:v>0</x:v>
      </x:c>
      <x:c r="I28" s="37" t="n">
        <x:f>COUNTIFS('Movesets_ennemis'!$D$7:$D$45,"Extrapolation")</x:f>
        <x:v>39</x:v>
      </x:c>
      <x:c r="J28" s="37" t="n">
        <x:f>COUNTIFS('Movesets_ennemis'!$D$7:$D$45,"Coupé attesté")</x:f>
        <x:v>0</x:v>
      </x:c>
      <x:c r="K28" s="37" t="n">
        <x:f>COUNTIFS('Movesets_ennemis'!$D$7:$D$45,"Concept abandonné")</x:f>
        <x:v>0</x:v>
      </x:c>
      <x:c r="L28" s="37" t="n">
        <x:f>COUNTIFS('Movesets_ennemis'!$D$7:$D$45,"Allégation écartée")</x:f>
        <x:v>0</x:v>
      </x:c>
      <x:c r="M28" s="37" t="n">
        <x:f>COUNTIFS('Movesets_ennemis'!$E$7:$E$45,"P0")</x:f>
        <x:v>0</x:v>
      </x:c>
    </x:row>
    <x:row r="29" ht="22" customHeight="1">
      <x:c r="A29" s="2" t="str">
        <x:v>Animations</x:v>
      </x:c>
      <x:c r="B29" s="38" t="n">
        <x:f>COUNTA('Animations'!$A$7:$A$23)</x:f>
        <x:v>17</x:v>
      </x:c>
      <x:c r="C29" s="38" t="n">
        <x:f>COUNTIFS('Animations'!$C$7:$C$23,"Défini")</x:f>
        <x:v>17</x:v>
      </x:c>
      <x:c r="D29" s="38" t="n">
        <x:f>COUNTIFS('Animations'!$C$7:$C$23,"Prototype")</x:f>
        <x:v>0</x:v>
      </x:c>
      <x:c r="E29" s="38" t="n">
        <x:f>COUNTIFS('Animations'!$C$7:$C$23,"Intégré")</x:f>
        <x:v>0</x:v>
      </x:c>
      <x:c r="F29" s="38" t="n">
        <x:f>COUNTIFS('Animations'!$C$7:$C$23,"Validé")</x:f>
        <x:v>0</x:v>
      </x:c>
      <x:c r="G29" s="38" t="n">
        <x:f>COUNTIFS('Animations'!$D$7:$D$23,"Établi")</x:f>
        <x:v>0</x:v>
      </x:c>
      <x:c r="H29" s="38" t="n">
        <x:f>COUNTIFS('Animations'!$D$7:$D$23,"À vérifier")</x:f>
        <x:v>0</x:v>
      </x:c>
      <x:c r="I29" s="38" t="n">
        <x:f>COUNTIFS('Animations'!$D$7:$D$23,"Extrapolation")</x:f>
        <x:v>17</x:v>
      </x:c>
      <x:c r="J29" s="38" t="n">
        <x:f>COUNTIFS('Animations'!$D$7:$D$23,"Coupé attesté")</x:f>
        <x:v>0</x:v>
      </x:c>
      <x:c r="K29" s="38" t="n">
        <x:f>COUNTIFS('Animations'!$D$7:$D$23,"Concept abandonné")</x:f>
        <x:v>0</x:v>
      </x:c>
      <x:c r="L29" s="38" t="n">
        <x:f>COUNTIFS('Animations'!$D$7:$D$23,"Allégation écartée")</x:f>
        <x:v>0</x:v>
      </x:c>
      <x:c r="M29" s="38" t="n">
        <x:f>COUNTIFS('Animations'!$E$7:$E$23,"P0")</x:f>
        <x:v>0</x:v>
      </x:c>
    </x:row>
    <x:row r="30" ht="22" customHeight="1">
      <x:c r="A30" s="33" t="str">
        <x:v>Sprites</x:v>
      </x:c>
      <x:c r="B30" s="37" t="n">
        <x:f>COUNTA('Sprites'!$A$7:$A$65)</x:f>
        <x:v>59</x:v>
      </x:c>
      <x:c r="C30" s="37" t="n">
        <x:f>COUNTIFS('Sprites'!$C$7:$C$65,"Défini")</x:f>
        <x:v>59</x:v>
      </x:c>
      <x:c r="D30" s="37" t="n">
        <x:f>COUNTIFS('Sprites'!$C$7:$C$65,"Prototype")</x:f>
        <x:v>0</x:v>
      </x:c>
      <x:c r="E30" s="37" t="n">
        <x:f>COUNTIFS('Sprites'!$C$7:$C$65,"Intégré")</x:f>
        <x:v>0</x:v>
      </x:c>
      <x:c r="F30" s="37" t="n">
        <x:f>COUNTIFS('Sprites'!$C$7:$C$65,"Validé")</x:f>
        <x:v>0</x:v>
      </x:c>
      <x:c r="G30" s="37" t="n">
        <x:f>COUNTIFS('Sprites'!$D$7:$D$65,"Établi")</x:f>
        <x:v>0</x:v>
      </x:c>
      <x:c r="H30" s="37" t="n">
        <x:f>COUNTIFS('Sprites'!$D$7:$D$65,"À vérifier")</x:f>
        <x:v>0</x:v>
      </x:c>
      <x:c r="I30" s="37" t="n">
        <x:f>COUNTIFS('Sprites'!$D$7:$D$65,"Extrapolation")</x:f>
        <x:v>59</x:v>
      </x:c>
      <x:c r="J30" s="37" t="n">
        <x:f>COUNTIFS('Sprites'!$D$7:$D$65,"Coupé attesté")</x:f>
        <x:v>0</x:v>
      </x:c>
      <x:c r="K30" s="37" t="n">
        <x:f>COUNTIFS('Sprites'!$D$7:$D$65,"Concept abandonné")</x:f>
        <x:v>0</x:v>
      </x:c>
      <x:c r="L30" s="37" t="n">
        <x:f>COUNTIFS('Sprites'!$D$7:$D$65,"Allégation écartée")</x:f>
        <x:v>0</x:v>
      </x:c>
      <x:c r="M30" s="37" t="n">
        <x:f>COUNTIFS('Sprites'!$E$7:$E$65,"P0")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COUNTA('Audio'!$A$7:$A$18)</x:f>
        <x:v>12</x:v>
      </x:c>
      <x:c r="C32" s="37" t="n">
        <x:f>COUNTIFS('Audio'!$C$7:$C$18,"Défini")</x:f>
        <x:v>12</x:v>
      </x:c>
      <x:c r="D32" s="37" t="n">
        <x:f>COUNTIFS('Audio'!$C$7:$C$18,"Prototype")</x:f>
        <x:v>0</x:v>
      </x:c>
      <x:c r="E32" s="37" t="n">
        <x:f>COUNTIFS('Audio'!$C$7:$C$18,"Intégré")</x:f>
        <x:v>0</x:v>
      </x:c>
      <x:c r="F32" s="37" t="n">
        <x:f>COUNTIFS('Audio'!$C$7:$C$18,"Validé")</x:f>
        <x:v>0</x:v>
      </x:c>
      <x:c r="G32" s="37" t="n">
        <x:f>COUNTIFS('Audio'!$D$7:$D$18,"Établi")</x:f>
        <x:v>0</x:v>
      </x:c>
      <x:c r="H32" s="37" t="n">
        <x:f>COUNTIFS('Audio'!$D$7:$D$18,"À vérifier")</x:f>
        <x:v>0</x:v>
      </x:c>
      <x:c r="I32" s="37" t="n">
        <x:f>COUNTIFS('Audio'!$D$7:$D$18,"Extrapolation")</x:f>
        <x:v>12</x:v>
      </x:c>
      <x:c r="J32" s="37" t="n">
        <x:f>COUNTIFS('Audio'!$D$7:$D$18,"Coupé attesté")</x:f>
        <x:v>0</x:v>
      </x:c>
      <x:c r="K32" s="37" t="n">
        <x:f>COUNTIFS('Audio'!$D$7:$D$18,"Concept abandonné")</x:f>
        <x:v>0</x:v>
      </x:c>
      <x:c r="L32" s="37" t="n">
        <x:f>COUNTIFS('Audio'!$D$7:$D$18,"Allégation écartée")</x:f>
        <x:v>0</x:v>
      </x:c>
      <x:c r="M32" s="37" t="n">
        <x:f>COUNTIFS('Audio'!$E$7:$E$18,"P0")</x:f>
        <x:v>0</x:v>
      </x:c>
    </x:row>
    <x:row r="33" ht="22" customHeight="1">
      <x:c r="A33" s="2" t="str">
        <x:v>Systèmes et UI</x:v>
      </x:c>
      <x:c r="B33" s="38" t="n">
        <x:f>COUNTA('UI_systemes'!$A$7:$A$32)</x:f>
        <x:v>26</x:v>
      </x:c>
      <x:c r="C33" s="38" t="n">
        <x:f>COUNTIFS('UI_systemes'!$C$7:$C$32,"Défini")</x:f>
        <x:v>26</x:v>
      </x:c>
      <x:c r="D33" s="38" t="n">
        <x:f>COUNTIFS('UI_systemes'!$C$7:$C$32,"Prototype")</x:f>
        <x:v>0</x:v>
      </x:c>
      <x:c r="E33" s="38" t="n">
        <x:f>COUNTIFS('UI_systemes'!$C$7:$C$32,"Intégré")</x:f>
        <x:v>0</x:v>
      </x:c>
      <x:c r="F33" s="38" t="n">
        <x:f>COUNTIFS('UI_systemes'!$C$7:$C$32,"Validé")</x:f>
        <x:v>0</x:v>
      </x:c>
      <x:c r="G33" s="38" t="n">
        <x:f>COUNTIFS('UI_systemes'!$D$7:$D$32,"Établi")</x:f>
        <x:v>5</x:v>
      </x:c>
      <x:c r="H33" s="38" t="n">
        <x:f>COUNTIFS('UI_systemes'!$D$7:$D$32,"À vérifier")</x:f>
        <x:v>0</x:v>
      </x:c>
      <x:c r="I33" s="38" t="n">
        <x:f>COUNTIFS('UI_systemes'!$D$7:$D$32,"Extrapolation")</x:f>
        <x:v>21</x:v>
      </x:c>
      <x:c r="J33" s="38" t="n">
        <x:f>COUNTIFS('UI_systemes'!$D$7:$D$32,"Coupé attesté")</x:f>
        <x:v>0</x:v>
      </x:c>
      <x:c r="K33" s="38" t="n">
        <x:f>COUNTIFS('UI_systemes'!$D$7:$D$32,"Concept abandonné")</x:f>
        <x:v>0</x:v>
      </x:c>
      <x:c r="L33" s="38" t="n">
        <x:f>COUNTIFS('UI_systemes'!$D$7:$D$32,"Allégation écartée")</x:f>
        <x:v>0</x:v>
      </x:c>
      <x:c r="M33" s="38" t="n">
        <x:f>COUNTIFS('UI_systemes'!$E$7:$E$32,"P0")</x:f>
        <x:v>0</x:v>
      </x:c>
    </x:row>
    <x:row r="34" ht="22" customHeight="1">
      <x:c r="A34" s="33" t="str">
        <x:v>QA</x:v>
      </x:c>
      <x:c r="B34" s="37" t="n">
        <x:f>COUNTA('QA'!$A$7:$A$29)</x:f>
        <x:v>23</x:v>
      </x:c>
      <x:c r="C34" s="37" t="n">
        <x:f>COUNTIFS('QA'!$C$7:$C$29,"Défini")</x:f>
        <x:v>23</x:v>
      </x:c>
      <x:c r="D34" s="37" t="n">
        <x:f>COUNTIFS('QA'!$C$7:$C$29,"Prototype")</x:f>
        <x:v>0</x:v>
      </x:c>
      <x:c r="E34" s="37" t="n">
        <x:f>COUNTIFS('QA'!$C$7:$C$29,"Intégré")</x:f>
        <x:v>0</x:v>
      </x:c>
      <x:c r="F34" s="37" t="n">
        <x:f>COUNTIFS('QA'!$C$7:$C$29,"Validé")</x:f>
        <x:v>0</x:v>
      </x:c>
      <x:c r="G34" s="37" t="n">
        <x:f>COUNTIFS('QA'!$D$7:$D$29,"Établi")</x:f>
        <x:v>0</x:v>
      </x:c>
      <x:c r="H34" s="37" t="n">
        <x:f>COUNTIFS('QA'!$D$7:$D$29,"À vérifier")</x:f>
        <x:v>0</x:v>
      </x:c>
      <x:c r="I34" s="37" t="n">
        <x:f>COUNTIFS('QA'!$D$7:$D$29,"Extrapolation")</x:f>
        <x:v>23</x:v>
      </x:c>
      <x:c r="J34" s="37" t="n">
        <x:f>COUNTIFS('QA'!$D$7:$D$29,"Coupé attesté")</x:f>
        <x:v>0</x:v>
      </x:c>
      <x:c r="K34" s="37" t="n">
        <x:f>COUNTIFS('QA'!$D$7:$D$29,"Concept abandonné")</x:f>
        <x:v>0</x:v>
      </x:c>
      <x:c r="L34" s="37" t="n">
        <x:f>COUNTIFS('QA'!$D$7:$D$29,"Allégation écartée")</x:f>
        <x:v>0</x:v>
      </x:c>
      <x:c r="M34" s="37" t="n">
        <x:f>COUNTIFS('QA'!$E$7:$E$29,"P0")</x:f>
        <x:v>0</x:v>
      </x:c>
    </x:row>
    <x:row r="35" ht="22" customHeight="1">
      <x:c r="A35" s="2" t="str">
        <x:v>Continuité</x:v>
      </x:c>
      <x:c r="B35" s="38" t="n">
        <x:f>COUNTA('Continuite'!$A$7:$A$20)</x:f>
        <x:v>14</x:v>
      </x:c>
      <x:c r="C35" s="38" t="n">
        <x:f>COUNTIFS('Continuite'!$C$7:$C$20,"Défini")</x:f>
        <x:v>14</x:v>
      </x:c>
      <x:c r="D35" s="38" t="n">
        <x:f>COUNTIFS('Continuite'!$C$7:$C$20,"Prototype")</x:f>
        <x:v>0</x:v>
      </x:c>
      <x:c r="E35" s="38" t="n">
        <x:f>COUNTIFS('Continuite'!$C$7:$C$20,"Intégré")</x:f>
        <x:v>0</x:v>
      </x:c>
      <x:c r="F35" s="38" t="n">
        <x:f>COUNTIFS('Continuite'!$C$7:$C$20,"Validé")</x:f>
        <x:v>0</x:v>
      </x:c>
      <x:c r="G35" s="38" t="n">
        <x:f>COUNTIFS('Continuite'!$D$7:$D$20,"Établi")</x:f>
        <x:v>0</x:v>
      </x:c>
      <x:c r="H35" s="38" t="n">
        <x:f>COUNTIFS('Continuite'!$D$7:$D$20,"À vérifier")</x:f>
        <x:v>0</x:v>
      </x:c>
      <x:c r="I35" s="38" t="n">
        <x:f>COUNTIFS('Continuite'!$D$7:$D$20,"Extrapolation")</x:f>
        <x:v>14</x:v>
      </x:c>
      <x:c r="J35" s="38" t="n">
        <x:f>COUNTIFS('Continuite'!$D$7:$D$20,"Coupé attesté")</x:f>
        <x:v>0</x:v>
      </x:c>
      <x:c r="K35" s="38" t="n">
        <x:f>COUNTIFS('Continuite'!$D$7:$D$20,"Concept abandonné")</x:f>
        <x:v>0</x:v>
      </x:c>
      <x:c r="L35" s="38" t="n">
        <x:f>COUNTIFS('Continuite'!$D$7:$D$20,"Allégation écartée")</x:f>
        <x:v>0</x:v>
      </x:c>
      <x:c r="M35" s="38" t="n">
        <x:f>COUNTIFS('Continuite'!$E$7:$E$20,"P0")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736</x:v>
      </x:c>
      <x:c r="C37" s="39" t="n">
        <x:f>SUM(C10:C35)</x:f>
        <x:v>683</x:v>
      </x:c>
      <x:c r="D37" s="39" t="n">
        <x:f>SUM(D10:D35)</x:f>
        <x:v>53</x:v>
      </x:c>
      <x:c r="E37" s="39" t="n">
        <x:f>SUM(E10:E35)</x:f>
        <x:v>0</x:v>
      </x:c>
      <x:c r="F37" s="39" t="n">
        <x:f>SUM(F10:F35)</x:f>
        <x:v>0</x:v>
      </x:c>
      <x:c r="G37" s="39" t="n">
        <x:f>SUM(G10:G35)</x:f>
        <x:v>446</x:v>
      </x:c>
      <x:c r="H37" s="39" t="n">
        <x:f>SUM(H10:H35)</x:f>
        <x:v>0</x:v>
      </x:c>
      <x:c r="I37" s="39" t="n">
        <x:f>SUM(I10:I35)</x:f>
        <x:v>290</x:v>
      </x:c>
      <x:c r="J37" s="39" t="n">
        <x:f>SUM(J10:J35)</x:f>
        <x:v>0</x:v>
      </x:c>
      <x:c r="K37" s="39" t="n">
        <x:f>SUM(K10:K35)</x:f>
        <x:v>0</x:v>
      </x:c>
      <x:c r="L37" s="39" t="n">
        <x:f>SUM(L10:L35)</x:f>
        <x:v>0</x:v>
      </x:c>
      <x:c r="M37" s="39" t="n">
        <x:f>SUM(M10:M35)</x:f>
        <x:v>32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3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ME3-CHR-SHEPARD</x:v>
      </x:c>
      <x:c r="B7" s="9" t="str">
        <x:v>Commandant Shepard</x:v>
      </x:c>
      <x:c r="C7" s="15" t="str">
        <x:v>Prototype</x:v>
      </x:c>
      <x:c r="D7" s="16" t="str">
        <x:v>Établi</x:v>
      </x:c>
      <x:c r="E7" s="16" t="str">
        <x:v>P1</x:v>
      </x:c>
      <x:c r="F7" s="9" t="str">
        <x:v>Protagoniste de ME3.</x:v>
      </x:c>
      <x:c r="G7" s="9" t="str">
        <x:v>Commandant ATB : distribuer son temps entre action armée, pouvoirs et ordre d’équipe ; aucune classe définitive imposée par le catalogue.</x:v>
      </x:c>
      <x:c r="H7" s="9" t="str">
        <x:v>Commandant ATB : distribuer son temps entre action armée, pouvoirs et ordre d’équipe ; aucune classe définitive imposée par le catalogue.</x:v>
      </x:c>
      <x:c r="I7" s="9" t="str">
        <x:v>Armure N7, personnalisation et cicatrices importées.</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ME3-CHR-SHEPARD ; contexte d’œuvre/segment et sélection de scène obligatoires.</x:v>
      </x:c>
      <x:c r="M7" s="9" t="str"/>
      <x:c r="N7" s="9" t="str">
        <x:v>Le livrable « Commandant Shepard » possède une scène ou un scénario de contrôle ; ses règles proposées, ses conditions et ses retours visuels sont vérifiables séparément.</x:v>
      </x:c>
      <x:c r="O7" s="9" t="str"/>
      <x:c r="P7" s="9" t="str">
        <x:v>Commandant Shepard</x:v>
      </x:c>
      <x:c r="Q7" s="9" t="str">
        <x:v>ME3-SRC-EA-LE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ME3-CHR-JAMES</x:v>
      </x:c>
      <x:c r="B8" s="7" t="str">
        <x:v>James Vega</x:v>
      </x:c>
      <x:c r="C8" s="15" t="str">
        <x:v>Prototype</x:v>
      </x:c>
      <x:c r="D8" s="17" t="str">
        <x:v>Établi</x:v>
      </x:c>
      <x:c r="E8" s="17" t="str">
        <x:v>P1</x:v>
      </x:c>
      <x:c r="F8" s="7" t="str">
        <x:v>Équipier humain de la campagne.</x:v>
      </x:c>
      <x:c r="G8" s="7" t="str">
        <x:v>Point d’appui défensif : Fortification, grenade et Carnage pour protéger les équipiers fragiles.</x:v>
      </x:c>
      <x:c r="H8" s="7" t="str">
        <x:v>Point d’appui défensif : Fortification, grenade et Carnage pour protéger les équipiers fragiles.</x:v>
      </x:c>
      <x:c r="I8" s="7" t="str">
        <x:v>Carrure massive, coupe courte et armure Alliance.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ME3-CHR-JAMES ; contexte d’œuvre/segment et sélection de scène obligatoires.</x:v>
      </x:c>
      <x:c r="M8" s="7" t="str"/>
      <x:c r="N8" s="7" t="str">
        <x:v>Le livrable « James Vega » possède une scène ou un scénario de contrôle ; ses règles proposées, ses conditions et ses retours visuels sont vérifiables séparément.</x:v>
      </x:c>
      <x:c r="O8" s="7" t="str"/>
      <x:c r="P8" s="7" t="str">
        <x:v>James Vega</x:v>
      </x:c>
      <x:c r="Q8" s="7" t="str">
        <x:v>ME3-SRC-SQUAD</x:v>
      </x:c>
      <x:c r="R8" s="7" t="str">
        <x:v>https://masseffect.fandom.com/wiki/Squad_Members_Guide_%28Mass_Effect_3%29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ME3-CHR-LIARA</x:v>
      </x:c>
      <x:c r="B9" s="9" t="str">
        <x:v>Liara T’Soni</x:v>
      </x:c>
      <x:c r="C9" s="15" t="str">
        <x:v>Prototype</x:v>
      </x:c>
      <x:c r="D9" s="16" t="str">
        <x:v>Établi</x:v>
      </x:c>
      <x:c r="E9" s="16" t="str">
        <x:v>P1</x:v>
      </x:c>
      <x:c r="F9" s="9" t="str">
        <x:v>Équipière biotique de la campagne.</x:v>
      </x:c>
      <x:c r="G9" s="9" t="str">
        <x:v>Contrôle par Singularity et Stasis, préparation de détonations puis repli ; faible résistance proposée compensée par son contrôle.</x:v>
      </x:c>
      <x:c r="H9" s="9" t="str">
        <x:v>Contrôle par Singularity et Stasis, préparation de détonations puis repli ; faible résistance proposée compensée par son contrôle.</x:v>
      </x:c>
      <x:c r="I9" s="9" t="str">
        <x:v>Armure claire, bleu asari, tenue de Courtier hors combat.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ME3-CHR-LIARA ; contexte d’œuvre/segment et sélection de scène obligatoires.</x:v>
      </x:c>
      <x:c r="M9" s="9" t="str"/>
      <x:c r="N9" s="9" t="str">
        <x:v>Le livrable « Liara T’Soni » possède une scène ou un scénario de contrôle ; ses règles proposées, ses conditions et ses retours visuels sont vérifiables séparément.</x:v>
      </x:c>
      <x:c r="O9" s="9" t="str"/>
      <x:c r="P9" s="9" t="str">
        <x:v>Liara T’Soni</x:v>
      </x:c>
      <x:c r="Q9" s="9" t="str">
        <x:v>ME3-SRC-SQUAD</x:v>
      </x:c>
      <x:c r="R9" s="9" t="str">
        <x:v>https://masseffect.fandom.com/wiki/Squad_Members_Guide_%28Mass_Effect_3%29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ME3-CHR-GARRUS</x:v>
      </x:c>
      <x:c r="B10" s="7" t="str">
        <x:v>Garrus Vakarian</x:v>
      </x:c>
      <x:c r="C10" s="15" t="str">
        <x:v>Prototype</x:v>
      </x:c>
      <x:c r="D10" s="17" t="str">
        <x:v>Établi</x:v>
      </x:c>
      <x:c r="E10" s="17" t="str">
        <x:v>P1</x:v>
      </x:c>
      <x:c r="F10" s="7" t="str">
        <x:v>Équipier s’il a survécu à ME2.</x:v>
      </x:c>
      <x:c r="G10" s="7" t="str">
        <x:v>Tireur préparant Overload et mine de proximité ; ordre de tir sur cible fragilisée.</x:v>
      </x:c>
      <x:c r="H10" s="7" t="str">
        <x:v>Tireur préparant Overload et mine de proximité ; ordre de tir sur cible fragilisée.</x:v>
      </x:c>
      <x:c r="I10" s="7" t="str">
        <x:v>Armure bleue marquée et viseur asymétrique.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ME3-CHR-GARRUS ; contexte d’œuvre/segment et sélection de scène obligatoires.</x:v>
      </x:c>
      <x:c r="M10" s="7" t="str">
        <x:v>Survie ME2 requise.</x:v>
      </x:c>
      <x:c r="N10" s="7" t="str">
        <x:v>Le livrable « Garrus Vakarian » possède une scène ou un scénario de contrôle ; ses règles proposées, ses conditions et ses retours visuels sont vérifiables séparément.</x:v>
      </x:c>
      <x:c r="O10" s="7" t="str"/>
      <x:c r="P10" s="7" t="str">
        <x:v>Garrus Vakarian</x:v>
      </x:c>
      <x:c r="Q10" s="7" t="str">
        <x:v>ME3-SRC-SQUAD</x:v>
      </x:c>
      <x:c r="R10" s="7" t="str">
        <x:v>https://masseffect.fandom.com/wiki/Squad_Members_Guide_%28Mass_Effect_3%29</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ME3-CHR-EDI</x:v>
      </x:c>
      <x:c r="B11" s="9" t="str">
        <x:v>EDI — corps synthétique</x:v>
      </x:c>
      <x:c r="C11" s="15" t="str">
        <x:v>Prototype</x:v>
      </x:c>
      <x:c r="D11" s="16" t="str">
        <x:v>Établi</x:v>
      </x:c>
      <x:c r="E11" s="16" t="str">
        <x:v>P1</x:v>
      </x:c>
      <x:c r="F11" s="9" t="str">
        <x:v>EDI devient équipière de terrain.</x:v>
      </x:c>
      <x:c r="G11" s="9" t="str">
        <x:v>Ingénieure utilisant Incinerate, Overload, Decoy et Defense Matrix ; silhouette du leurre distincte.</x:v>
      </x:c>
      <x:c r="H11" s="9" t="str">
        <x:v>Ingénieure utilisant Incinerate, Overload, Decoy et Defense Matrix ; silhouette du leurre distincte.</x:v>
      </x:c>
      <x:c r="I11" s="9" t="str">
        <x:v>Corps synthétique argenté et segments noirs.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ME3-CHR-EDI ; contexte d’œuvre/segment et sélection de scène obligatoires.</x:v>
      </x:c>
      <x:c r="M11" s="9" t="str"/>
      <x:c r="N11" s="9" t="str">
        <x:v>Le livrable « EDI — corps synthétique » possède une scène ou un scénario de contrôle ; ses règles proposées, ses conditions et ses retours visuels sont vérifiables séparément.</x:v>
      </x:c>
      <x:c r="O11" s="9" t="str"/>
      <x:c r="P11" s="9" t="str">
        <x:v>EDI — corps synthétique</x:v>
      </x:c>
      <x:c r="Q11" s="9" t="str">
        <x:v>ME3-SRC-SQUAD</x:v>
      </x:c>
      <x:c r="R11" s="9" t="str">
        <x:v>https://masseffect.fandom.com/wiki/Squad_Members_Guide_%28Mass_Effect_3%29</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68" customHeight="1">
      <x:c r="A12" s="19" t="str">
        <x:v>ME3-CHR-JAVIK</x:v>
      </x:c>
      <x:c r="B12" s="7" t="str">
        <x:v>Javik</x:v>
      </x:c>
      <x:c r="C12" s="15" t="str">
        <x:v>Défini</x:v>
      </x:c>
      <x:c r="D12" s="17" t="str">
        <x:v>Établi</x:v>
      </x:c>
      <x:c r="E12" s="17" t="str">
        <x:v>P1</x:v>
      </x:c>
      <x:c r="F12" s="7" t="str">
        <x:v>Prothéen recruté via From Ashes.</x:v>
      </x:c>
      <x:c r="G12" s="7" t="str">
        <x:v>Contrôle offensif par Dark Channel, Slam et Lift Grenade ; identité de vétéran dans les poses.</x:v>
      </x:c>
      <x:c r="H12" s="7" t="str">
        <x:v>Contrôle offensif par Dark Channel, Slam et Lift Grenade ; identité de vétéran dans les poses.</x:v>
      </x:c>
      <x:c r="I12" s="7" t="str">
        <x:v>Carapace prothéenne, yeux multiples et armure rouge sombre.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me3/characters/javik ; rattacher les ressources et états cités à cet identifiant. Aucun fichier de jeu créé par ce catalogue.</x:v>
      </x:c>
      <x:c r="M12" s="7" t="str">
        <x:v>DLC / Legendary.</x:v>
      </x:c>
      <x:c r="N12" s="7" t="str">
        <x:v>Le livrable « Javik » possède une scène ou un scénario de contrôle ; ses règles proposées, ses conditions et ses retours visuels sont vérifiables séparément.</x:v>
      </x:c>
      <x:c r="O12" s="7" t="str"/>
      <x:c r="P12" s="7" t="str">
        <x:v>Javik</x:v>
      </x:c>
      <x:c r="Q12" s="7" t="str">
        <x:v>ME3-SRC-SQUAD, ME3-SRC-EA-ASHES</x:v>
      </x:c>
      <x:c r="R12" s="7" t="str">
        <x:v>https://masseffect.fandom.com/wiki/Squad_Members_Guide_%28Mass_Effect_3%29
https://www.ea.com/fr-fr/games/mass-effect/mass-effect-3-from-ashes</x:v>
      </x:c>
      <x:c r="S12" s="7" t="str">
        <x:v>Spécification à réaliser. Les champs adaptation, gameplay, visual, animation, audio et implementation décrivent le fan game ; ils ne donnent pas des caractéristiques officielles de l’œuvre.</x:v>
      </x:c>
    </x:row>
    <x:row r="13" ht="68" customHeight="1">
      <x:c r="A13" s="18" t="str">
        <x:v>ME3-CHR-ASHLEY</x:v>
      </x:c>
      <x:c r="B13" s="9" t="str">
        <x:v>Ashley Williams</x:v>
      </x:c>
      <x:c r="C13" s="15" t="str">
        <x:v>Prototype</x:v>
      </x:c>
      <x:c r="D13" s="16" t="str">
        <x:v>Établi</x:v>
      </x:c>
      <x:c r="E13" s="16" t="str">
        <x:v>P1</x:v>
      </x:c>
      <x:c r="F13" s="9" t="str">
        <x:v>Équipière possible, survivante de Virmire.</x:v>
      </x:c>
      <x:c r="G13" s="9" t="str">
        <x:v>Soldate de précision : Marksman et munitions disruptives ; scène de confiance conditionne son retour.</x:v>
      </x:c>
      <x:c r="H13" s="9" t="str">
        <x:v>Soldate de précision : Marksman et munitions disruptives ; scène de confiance conditionne son retour.</x:v>
      </x:c>
      <x:c r="I13" s="9" t="str">
        <x:v>Armure Alliance bleue, silhouette humaine et cheveux propres au modèle.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ME3-CHR-ASHLEY ; contexte d’œuvre/segment et sélection de scène obligatoires.</x:v>
      </x:c>
      <x:c r="M13" s="9" t="str">
        <x:v>Exclusive de Kaidan ; autres conditions narratives.</x:v>
      </x:c>
      <x:c r="N13" s="9" t="str">
        <x:v>Le livrable « Ashley Williams » possède une scène ou un scénario de contrôle ; ses règles proposées, ses conditions et ses retours visuels sont vérifiables séparément.</x:v>
      </x:c>
      <x:c r="O13" s="9" t="str"/>
      <x:c r="P13" s="9" t="str">
        <x:v>Ashley Williams</x:v>
      </x:c>
      <x:c r="Q13" s="9" t="str">
        <x:v>ME3-SRC-SQUAD</x:v>
      </x:c>
      <x:c r="R13" s="9" t="str">
        <x:v>https://masseffect.fandom.com/wiki/Squad_Members_Guide_%28Mass_Effect_3%29</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ME3-CHR-KAIDAN</x:v>
      </x:c>
      <x:c r="B14" s="7" t="str">
        <x:v>Kaidan Alenko</x:v>
      </x:c>
      <x:c r="C14" s="15" t="str">
        <x:v>Prototype</x:v>
      </x:c>
      <x:c r="D14" s="17" t="str">
        <x:v>Établi</x:v>
      </x:c>
      <x:c r="E14" s="17" t="str">
        <x:v>P1</x:v>
      </x:c>
      <x:c r="F14" s="7" t="str">
        <x:v>Équipier possible, survivant de Virmire.</x:v>
      </x:c>
      <x:c r="G14" s="7" t="str">
        <x:v>Hybride biotique/tech : Reave, Barrier, Overload et Cryo Blast pour alterner soutien et détonation.</x:v>
      </x:c>
      <x:c r="H14" s="7" t="str">
        <x:v>Hybride biotique/tech : Reave, Barrier, Overload et Cryo Blast pour alterner soutien et détonation.</x:v>
      </x:c>
      <x:c r="I14" s="7" t="str">
        <x:v>Armure Alliance et posture contenue.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ME3-CHR-KAIDAN ; contexte d’œuvre/segment et sélection de scène obligatoires.</x:v>
      </x:c>
      <x:c r="M14" s="7" t="str">
        <x:v>Exclusif d’Ashley ; autres conditions narratives.</x:v>
      </x:c>
      <x:c r="N14" s="7" t="str">
        <x:v>Le livrable « Kaidan Alenko » possède une scène ou un scénario de contrôle ; ses règles proposées, ses conditions et ses retours visuels sont vérifiables séparément.</x:v>
      </x:c>
      <x:c r="O14" s="7" t="str"/>
      <x:c r="P14" s="7" t="str">
        <x:v>Kaidan Alenko</x:v>
      </x:c>
      <x:c r="Q14" s="7" t="str">
        <x:v>ME3-SRC-SQUAD</x:v>
      </x:c>
      <x:c r="R14" s="7" t="str">
        <x:v>https://masseffect.fandom.com/wiki/Squad_Members_Guide_%28Mass_Effect_3%29</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ME3-CHR-TALI</x:v>
      </x:c>
      <x:c r="B15" s="9" t="str">
        <x:v>Tali’Zorah vas Normandy</x:v>
      </x:c>
      <x:c r="C15" s="15" t="str">
        <x:v>Prototype</x:v>
      </x:c>
      <x:c r="D15" s="16" t="str">
        <x:v>Établi</x:v>
      </x:c>
      <x:c r="E15" s="16" t="str">
        <x:v>P1</x:v>
      </x:c>
      <x:c r="F15" s="9" t="str">
        <x:v>Équipière dépendant de ME2 et Rannoch.</x:v>
      </x:c>
      <x:c r="G15" s="9" t="str">
        <x:v>Contrôle synthétique et maintien de bouclier ; séparer drone offensif et drone défensif.</x:v>
      </x:c>
      <x:c r="H15" s="9" t="str">
        <x:v>Contrôle synthétique et maintien de bouclier ; séparer drone offensif et drone défensif.</x:v>
      </x:c>
      <x:c r="I15" s="9" t="str">
        <x:v>Capuche violette, visière et tenue quariène.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ME3-CHR-TALI ; contexte d’œuvre/segment et sélection de scène obligatoires.</x:v>
      </x:c>
      <x:c r="M15" s="9" t="str">
        <x:v>Survie et dénouement Rannoch conditionnels.</x:v>
      </x:c>
      <x:c r="N15" s="9" t="str">
        <x:v>Le livrable « Tali’Zorah vas Normandy » possède une scène ou un scénario de contrôle ; ses règles proposées, ses conditions et ses retours visuels sont vérifiables séparément.</x:v>
      </x:c>
      <x:c r="O15" s="9" t="str"/>
      <x:c r="P15" s="9" t="str">
        <x:v>Tali’Zorah vas Normandy</x:v>
      </x:c>
      <x:c r="Q15" s="9" t="str">
        <x:v>ME3-SRC-SQUAD</x:v>
      </x:c>
      <x:c r="R15" s="9" t="str">
        <x:v>https://masseffect.fandom.com/wiki/Squad_Members_Guide_%28Mass_Effect_3%29</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ME3-CHR-ANDERSON</x:v>
      </x:c>
      <x:c r="B16" s="7" t="str">
        <x:v>David Anderson — temporaire</x:v>
      </x:c>
      <x:c r="C16" s="15" t="str">
        <x:v>Prototype</x:v>
      </x:c>
      <x:c r="D16" s="17" t="str">
        <x:v>Établi</x:v>
      </x:c>
      <x:c r="E16" s="17" t="str">
        <x:v>P1</x:v>
      </x:c>
      <x:c r="F16" s="7" t="str">
        <x:v>Accompagne le prologue terrestre.</x:v>
      </x:c>
      <x:c r="G16" s="7" t="str">
        <x:v>Guide de déplacement et de tir ; ne pas garder son slot disponible après l’évacuation.</x:v>
      </x:c>
      <x:c r="H16" s="7" t="str">
        <x:v>Guide de déplacement et de tir ; ne pas garder son slot disponible après l’évacuation.</x:v>
      </x:c>
      <x:c r="I16" s="7" t="str">
        <x:v>Uniforme Alliance et arme de poing.</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ME3-CHR-ANDERSON ; contexte d’œuvre/segment et sélection de scène obligatoires.</x:v>
      </x:c>
      <x:c r="M16" s="7" t="str">
        <x:v>Prologue seulement.</x:v>
      </x:c>
      <x:c r="N16" s="7" t="str">
        <x:v>Le livrable « David Anderson — temporaire » possède une scène ou un scénario de contrôle ; ses règles proposées, ses conditions et ses retours visuels sont vérifiables séparément.</x:v>
      </x:c>
      <x:c r="O16" s="7" t="str"/>
      <x:c r="P16" s="7" t="str">
        <x:v>David Anderson — temporaire</x:v>
      </x:c>
      <x:c r="Q16" s="7" t="str">
        <x:v>ME3-SRC-SQUAD</x:v>
      </x:c>
      <x:c r="R16" s="7" t="str">
        <x:v>https://masseffect.fandom.com/wiki/Squad_Members_Guide_%28Mass_Effect_3%29</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68" customHeight="1">
      <x:c r="A17" s="18" t="str">
        <x:v>ME3-CHR-ARIA</x:v>
      </x:c>
      <x:c r="B17" s="9" t="str">
        <x:v>Aria T’Loak — Omega</x:v>
      </x:c>
      <x:c r="C17" s="15" t="str">
        <x:v>Défini</x:v>
      </x:c>
      <x:c r="D17" s="16" t="str">
        <x:v>Établi</x:v>
      </x:c>
      <x:c r="E17" s="16" t="str">
        <x:v>P1</x:v>
      </x:c>
      <x:c r="F17" s="9" t="str">
        <x:v>Équipière spécifique à l’extension.</x:v>
      </x:c>
      <x:c r="G17" s="9" t="str">
        <x:v>Biotique agressive avec Flare, Lash, Reave et Carnage ; équilibrer longue préparation et forte zone.</x:v>
      </x:c>
      <x:c r="H17" s="9" t="str">
        <x:v>Biotique agressive avec Flare, Lash, Reave et Carnage ; équilibrer longue préparation et forte zone.</x:v>
      </x:c>
      <x:c r="I17" s="9" t="str">
        <x:v>Asari violette et tenue de commandement noire.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me3/characters/aria ; rattacher les ressources et états cités à cet identifiant. Aucun fichier de jeu créé par ce catalogue.</x:v>
      </x:c>
      <x:c r="M17" s="9" t="str">
        <x:v>Omega seulement.</x:v>
      </x:c>
      <x:c r="N17" s="9" t="str">
        <x:v>Le livrable « Aria T’Loak — Omega » possède une scène ou un scénario de contrôle ; ses règles proposées, ses conditions et ses retours visuels sont vérifiables séparément.</x:v>
      </x:c>
      <x:c r="O17" s="9" t="str"/>
      <x:c r="P17" s="9" t="str">
        <x:v>Aria T’Loak — Omega</x:v>
      </x:c>
      <x:c r="Q17" s="9" t="str">
        <x:v>ME3-SRC-SQUAD</x:v>
      </x:c>
      <x:c r="R17" s="9" t="str">
        <x:v>https://masseffect.fandom.com/wiki/Squad_Members_Guide_%28Mass_Effect_3%29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ME3-CHR-NYREEN</x:v>
      </x:c>
      <x:c r="B18" s="7" t="str">
        <x:v>Nyreen Kandros — Omega</x:v>
      </x:c>
      <x:c r="C18" s="15" t="str">
        <x:v>Défini</x:v>
      </x:c>
      <x:c r="D18" s="17" t="str">
        <x:v>Établi</x:v>
      </x:c>
      <x:c r="E18" s="17" t="str">
        <x:v>P1</x:v>
      </x:c>
      <x:c r="F18" s="7" t="str">
        <x:v>Équipière temporaire d’Omega.</x:v>
      </x:c>
      <x:c r="G18" s="7" t="str">
        <x:v>Protection biotique et compétences tech ; rôle de secours à distance lisible.</x:v>
      </x:c>
      <x:c r="H18" s="7" t="str">
        <x:v>Protection biotique et compétences tech ; rôle de secours à distance lisible.</x:v>
      </x:c>
      <x:c r="I18" s="7" t="str">
        <x:v>Turienne, armure tactique et marque faciale.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me3/characters/nyreen ; rattacher les ressources et états cités à cet identifiant. Aucun fichier de jeu créé par ce catalogue.</x:v>
      </x:c>
      <x:c r="M18" s="7" t="str">
        <x:v>Omega seulement.</x:v>
      </x:c>
      <x:c r="N18" s="7" t="str">
        <x:v>Le livrable « Nyreen Kandros — Omega » possède une scène ou un scénario de contrôle ; ses règles proposées, ses conditions et ses retours visuels sont vérifiables séparément.</x:v>
      </x:c>
      <x:c r="O18" s="7" t="str"/>
      <x:c r="P18" s="7" t="str">
        <x:v>Nyreen Kandros — Omega</x:v>
      </x:c>
      <x:c r="Q18" s="7" t="str">
        <x:v>ME3-SRC-SQUAD</x:v>
      </x:c>
      <x:c r="R18" s="7" t="str">
        <x:v>https://masseffect.fandom.com/wiki/Squad_Members_Guide_%28Mass_Effect_3%29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ME3-CHR-WREX</x:v>
      </x:c>
      <x:c r="B19" s="9" t="str">
        <x:v>Urdnot Wrex — Citadel</x:v>
      </x:c>
      <x:c r="C19" s="15" t="str">
        <x:v>Défini</x:v>
      </x:c>
      <x:c r="D19" s="16" t="str">
        <x:v>Établi</x:v>
      </x:c>
      <x:c r="E19" s="16" t="str">
        <x:v>P1</x:v>
      </x:c>
      <x:c r="F19" s="9" t="str">
        <x:v>Wrex peut combattre dans Citadel.</x:v>
      </x:c>
      <x:c r="G19" s="9" t="str">
        <x:v>Krogan de mêlée avec Carnage et soutien ; rendre les consommables de Stimulant Pack distincts des grenades dans l’adaptation.</x:v>
      </x:c>
      <x:c r="H19" s="9" t="str">
        <x:v>Krogan de mêlée avec Carnage et soutien ; rendre les consommables de Stimulant Pack distincts des grenades dans l’adaptation.</x:v>
      </x:c>
      <x:c r="I19" s="9" t="str">
        <x:v>Grande carapace rouge et armure lourde.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me3/characters/wrex ; rattacher les ressources et états cités à cet identifiant. Aucun fichier de jeu créé par ce catalogue.</x:v>
      </x:c>
      <x:c r="M19" s="9" t="str">
        <x:v>Vivant ; extension Citadel uniquement hors arène.</x:v>
      </x:c>
      <x:c r="N19" s="9" t="str">
        <x:v>Le livrable « Urdnot Wrex — Citadel » possède une scène ou un scénario de contrôle ; ses règles proposées, ses conditions et ses retours visuels sont vérifiables séparément.</x:v>
      </x:c>
      <x:c r="O19" s="9" t="str"/>
      <x:c r="P19" s="9" t="str">
        <x:v>Urdnot Wrex — Citadel</x:v>
      </x:c>
      <x:c r="Q19" s="9" t="str">
        <x:v>ME3-SRC-SQUAD</x:v>
      </x:c>
      <x:c r="R19" s="9" t="str">
        <x:v>https://masseffect.fandom.com/wiki/Squad_Members_Guide_%28Mass_Effect_3%29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ME3-CHR-ARENA-GRUNT</x:v>
      </x:c>
      <x:c r="B20" s="7" t="str">
        <x:v>Grunt — Armax uniquement</x:v>
      </x:c>
      <x:c r="C20" s="15" t="str">
        <x:v>Défini</x:v>
      </x:c>
      <x:c r="D20" s="17" t="str">
        <x:v>Établi</x:v>
      </x:c>
      <x:c r="E20" s="17" t="str">
        <x:v>P1</x:v>
      </x:c>
      <x:c r="F20" s="7" t="str">
        <x:v>Équipier du simulateur si vivant.</x:v>
      </x:c>
      <x:c r="G20" s="7" t="str">
        <x:v>Importer sa résistance et ses armes dans les règles d’arène ; interdire son sélectionneur en mission de campagne.</x:v>
      </x:c>
      <x:c r="H20" s="7" t="str">
        <x:v>Importer sa résistance et ses armes dans les règles d’arène ; interdire son sélectionneur en mission de campagne.</x:v>
      </x:c>
      <x:c r="I20" s="7" t="str">
        <x:v>Carapace claire et armure krogan.</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me3/characters/arena-grunt ; rattacher les ressources et états cités à cet identifiant. Aucun fichier de jeu créé par ce catalogue.</x:v>
      </x:c>
      <x:c r="M20" s="7" t="str">
        <x:v>Simulateur Armax ; survie requise.</x:v>
      </x:c>
      <x:c r="N20" s="7" t="str">
        <x:v>Le livrable « Grunt — Armax uniquement » possède une scène ou un scénario de contrôle ; ses règles proposées, ses conditions et ses retours visuels sont vérifiables séparément.</x:v>
      </x:c>
      <x:c r="O20" s="7" t="str"/>
      <x:c r="P20" s="7" t="str">
        <x:v>Grunt — Armax uniquement</x:v>
      </x:c>
      <x:c r="Q20" s="7" t="str">
        <x:v>ME3-SRC-SQUAD</x:v>
      </x:c>
      <x:c r="R20" s="7" t="str">
        <x:v>https://masseffect.fandom.com/wiki/Squad_Members_Guide_%28Mass_Effect_3%29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ME3-CHR-ARENA-JACK</x:v>
      </x:c>
      <x:c r="B21" s="9" t="str">
        <x:v>Jack — Armax uniquement</x:v>
      </x:c>
      <x:c r="C21" s="15" t="str">
        <x:v>Défini</x:v>
      </x:c>
      <x:c r="D21" s="16" t="str">
        <x:v>Établi</x:v>
      </x:c>
      <x:c r="E21" s="16" t="str">
        <x:v>P1</x:v>
      </x:c>
      <x:c r="F21" s="9" t="str">
        <x:v>Équipière du simulateur si vivante.</x:v>
      </x:c>
      <x:c r="G21" s="9" t="str">
        <x:v>Version biotique de contrôle dans arène ; apparence d’instructrice et variante combat distinctes.</x:v>
      </x:c>
      <x:c r="H21" s="9" t="str">
        <x:v>Version biotique de contrôle dans arène ; apparence d’instructrice et variante combat distinctes.</x:v>
      </x:c>
      <x:c r="I21" s="9" t="str">
        <x:v>Tatouages, tenue ME3 et coupe propre à ME3.</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me3/characters/arena-jack ; rattacher les ressources et états cités à cet identifiant. Aucun fichier de jeu créé par ce catalogue.</x:v>
      </x:c>
      <x:c r="M21" s="9" t="str">
        <x:v>Simulateur Armax ; survie requise.</x:v>
      </x:c>
      <x:c r="N21" s="9" t="str">
        <x:v>Le livrable « Jack — Armax uniquement » possède une scène ou un scénario de contrôle ; ses règles proposées, ses conditions et ses retours visuels sont vérifiables séparément.</x:v>
      </x:c>
      <x:c r="O21" s="9" t="str"/>
      <x:c r="P21" s="9" t="str">
        <x:v>Jack — Armax uniquement</x:v>
      </x:c>
      <x:c r="Q21" s="9" t="str">
        <x:v>ME3-SRC-SQUAD</x:v>
      </x:c>
      <x:c r="R21" s="9" t="str">
        <x:v>https://masseffect.fandom.com/wiki/Squad_Members_Guide_%28Mass_Effect_3%29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ME3-CHR-ARENA-JACOB</x:v>
      </x:c>
      <x:c r="B22" s="7" t="str">
        <x:v>Jacob Taylor — Armax uniquement</x:v>
      </x:c>
      <x:c r="C22" s="15" t="str">
        <x:v>Défini</x:v>
      </x:c>
      <x:c r="D22" s="17" t="str">
        <x:v>Établi</x:v>
      </x:c>
      <x:c r="E22" s="17" t="str">
        <x:v>P1</x:v>
      </x:c>
      <x:c r="F22" s="7" t="str">
        <x:v>Équipier du simulateur si vivant.</x:v>
      </x:c>
      <x:c r="G22" s="7" t="str">
        <x:v>Rôle shotgun/biotique repris dans une table de simulation ; aucune réintégration au Normandy actif.</x:v>
      </x:c>
      <x:c r="H22" s="7" t="str">
        <x:v>Rôle shotgun/biotique repris dans une table de simulation ; aucune réintégration au Normandy actif.</x:v>
      </x:c>
      <x:c r="I22" s="7" t="str">
        <x:v>Tenue de combat d’ex-Cerberus.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me3/characters/arena-jacob ; rattacher les ressources et états cités à cet identifiant. Aucun fichier de jeu créé par ce catalogue.</x:v>
      </x:c>
      <x:c r="M22" s="7" t="str">
        <x:v>Simulateur Armax ; survie requise.</x:v>
      </x:c>
      <x:c r="N22" s="7" t="str">
        <x:v>Le livrable « Jacob Taylor — Armax uniquement » possède une scène ou un scénario de contrôle ; ses règles proposées, ses conditions et ses retours visuels sont vérifiables séparément.</x:v>
      </x:c>
      <x:c r="O22" s="7" t="str"/>
      <x:c r="P22" s="7" t="str">
        <x:v>Jacob Taylor — Armax uniquement</x:v>
      </x:c>
      <x:c r="Q22" s="7" t="str">
        <x:v>ME3-SRC-SQUAD</x:v>
      </x:c>
      <x:c r="R22" s="7" t="str">
        <x:v>https://masseffect.fandom.com/wiki/Squad_Members_Guide_%28Mass_Effect_3%29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ME3-CHR-ARENA-KASUMI</x:v>
      </x:c>
      <x:c r="B23" s="9" t="str">
        <x:v>Kasumi Goto — Armax uniquement</x:v>
      </x:c>
      <x:c r="C23" s="15" t="str">
        <x:v>Défini</x:v>
      </x:c>
      <x:c r="D23" s="16" t="str">
        <x:v>Établi</x:v>
      </x:c>
      <x:c r="E23" s="16" t="str">
        <x:v>P1</x:v>
      </x:c>
      <x:c r="F23" s="9" t="str">
        <x:v>Équipière du simulateur si vivante.</x:v>
      </x:c>
      <x:c r="G23" s="9" t="str">
        <x:v>Tactical Cloak et Decoy donnent une niche de diversion ; ne pas recopier automatiquement Shadow Strike de ME2.</x:v>
      </x:c>
      <x:c r="H23" s="9" t="str">
        <x:v>Tactical Cloak et Decoy donnent une niche de diversion ; ne pas recopier automatiquement Shadow Strike de ME2.</x:v>
      </x:c>
      <x:c r="I23" s="9" t="str">
        <x:v>Capuche et couleurs de tenue connues.</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me3/characters/arena-kasumi ; rattacher les ressources et états cités à cet identifiant. Aucun fichier de jeu créé par ce catalogue.</x:v>
      </x:c>
      <x:c r="M23" s="9" t="str">
        <x:v>Simulateur Armax ; survie requise.</x:v>
      </x:c>
      <x:c r="N23" s="9" t="str">
        <x:v>Le livrable « Kasumi Goto — Armax uniquement » possède une scène ou un scénario de contrôle ; ses règles proposées, ses conditions et ses retours visuels sont vérifiables séparément.</x:v>
      </x:c>
      <x:c r="O23" s="9" t="str"/>
      <x:c r="P23" s="9" t="str">
        <x:v>Kasumi Goto — Armax uniquement</x:v>
      </x:c>
      <x:c r="Q23" s="9" t="str">
        <x:v>ME3-SRC-SQUAD</x:v>
      </x:c>
      <x:c r="R23" s="9" t="str">
        <x:v>https://masseffect.fandom.com/wiki/Squad_Members_Guide_%28Mass_Effect_3%29</x:v>
      </x:c>
      <x:c r="S23" s="9" t="str">
        <x:v>Spécification à réaliser. Les champs adaptation, gameplay, visual, animation, audio et implementation décrivent le fan game ; ils ne donnent pas des caractéristiques officielles de l’œuvre.</x:v>
      </x:c>
    </x:row>
    <x:row r="24" ht="68" customHeight="1">
      <x:c r="A24" s="19" t="str">
        <x:v>ME3-CHR-ARENA-MIRANDA</x:v>
      </x:c>
      <x:c r="B24" s="7" t="str">
        <x:v>Miranda Lawson — Armax uniquement</x:v>
      </x:c>
      <x:c r="C24" s="15" t="str">
        <x:v>Défini</x:v>
      </x:c>
      <x:c r="D24" s="17" t="str">
        <x:v>Établi</x:v>
      </x:c>
      <x:c r="E24" s="17" t="str">
        <x:v>P1</x:v>
      </x:c>
      <x:c r="F24" s="7" t="str">
        <x:v>Équipière du simulateur si vivante.</x:v>
      </x:c>
      <x:c r="G24" s="7" t="str">
        <x:v>Hybride Overload/Warp et autres pouvoirs propres à sa version Armax ; données séparées du personnage de ME2.</x:v>
      </x:c>
      <x:c r="H24" s="7" t="str">
        <x:v>Hybride Overload/Warp et autres pouvoirs propres à sa version Armax ; données séparées du personnage de ME2.</x:v>
      </x:c>
      <x:c r="I24" s="7" t="str">
        <x:v>Combinaison claire et noire.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me3/characters/arena-miranda ; rattacher les ressources et états cités à cet identifiant. Aucun fichier de jeu créé par ce catalogue.</x:v>
      </x:c>
      <x:c r="M24" s="7" t="str">
        <x:v>Simulateur Armax ; survie requise.</x:v>
      </x:c>
      <x:c r="N24" s="7" t="str">
        <x:v>Le livrable « Miranda Lawson — Armax uniquement » possède une scène ou un scénario de contrôle ; ses règles proposées, ses conditions et ses retours visuels sont vérifiables séparément.</x:v>
      </x:c>
      <x:c r="O24" s="7" t="str"/>
      <x:c r="P24" s="7" t="str">
        <x:v>Miranda Lawson — Armax uniquement</x:v>
      </x:c>
      <x:c r="Q24" s="7" t="str">
        <x:v>ME3-SRC-SQUAD</x:v>
      </x:c>
      <x:c r="R24" s="7" t="str">
        <x:v>https://masseffect.fandom.com/wiki/Squad_Members_Guide_%28Mass_Effect_3%29</x:v>
      </x:c>
      <x:c r="S24" s="7" t="str">
        <x:v>Spécification à réaliser. Les champs adaptation, gameplay, visual, animation, audio et implementation décrivent le fan game ; ils ne donnent pas des caractéristiques officielles de l’œuvre.</x:v>
      </x:c>
    </x:row>
    <x:row r="25" ht="68" customHeight="1">
      <x:c r="A25" s="18" t="str">
        <x:v>ME3-CHR-ARENA-SAMARA</x:v>
      </x:c>
      <x:c r="B25" s="9" t="str">
        <x:v>Samara — Armax uniquement</x:v>
      </x:c>
      <x:c r="C25" s="15" t="str">
        <x:v>Défini</x:v>
      </x:c>
      <x:c r="D25" s="16" t="str">
        <x:v>Établi</x:v>
      </x:c>
      <x:c r="E25" s="16" t="str">
        <x:v>P1</x:v>
      </x:c>
      <x:c r="F25" s="9" t="str">
        <x:v>Équipière du simulateur si vivante.</x:v>
      </x:c>
      <x:c r="G25" s="9" t="str">
        <x:v>Combinaisons biotiques à distance ; verrou de disponibilité après l’arc du monastère.</x:v>
      </x:c>
      <x:c r="H25" s="9" t="str">
        <x:v>Combinaisons biotiques à distance ; verrou de disponibilité après l’arc du monastère.</x:v>
      </x:c>
      <x:c r="I25" s="9" t="str">
        <x:v>Armure rouge et posture droite.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me3/characters/arena-samara ; rattacher les ressources et états cités à cet identifiant. Aucun fichier de jeu créé par ce catalogue.</x:v>
      </x:c>
      <x:c r="M25" s="9" t="str">
        <x:v>Simulateur Armax ; survie requise.</x:v>
      </x:c>
      <x:c r="N25" s="9" t="str">
        <x:v>Le livrable « Samara — Armax uniquement » possède une scène ou un scénario de contrôle ; ses règles proposées, ses conditions et ses retours visuels sont vérifiables séparément.</x:v>
      </x:c>
      <x:c r="O25" s="9" t="str"/>
      <x:c r="P25" s="9" t="str">
        <x:v>Samara — Armax uniquement</x:v>
      </x:c>
      <x:c r="Q25" s="9" t="str">
        <x:v>ME3-SRC-SQUAD</x:v>
      </x:c>
      <x:c r="R25" s="9" t="str">
        <x:v>https://masseffect.fandom.com/wiki/Squad_Members_Guide_%28Mass_Effect_3%29</x:v>
      </x:c>
      <x:c r="S25" s="9" t="str">
        <x:v>Spécification à réaliser. Les champs adaptation, gameplay, visual, animation, audio et implementation décrivent le fan game ; ils ne donnent pas des caractéristiques officielles de l’œuvre.</x:v>
      </x:c>
    </x:row>
    <x:row r="26" ht="68" customHeight="1">
      <x:c r="A26" s="19" t="str">
        <x:v>ME3-CHR-ARENA-ZAEED</x:v>
      </x:c>
      <x:c r="B26" s="7" t="str">
        <x:v>Zaeed Massani — Armax uniquement</x:v>
      </x:c>
      <x:c r="C26" s="15" t="str">
        <x:v>Défini</x:v>
      </x:c>
      <x:c r="D26" s="17" t="str">
        <x:v>Établi</x:v>
      </x:c>
      <x:c r="E26" s="17" t="str">
        <x:v>P1</x:v>
      </x:c>
      <x:c r="F26" s="7" t="str">
        <x:v>Équipier du simulateur si vivant.</x:v>
      </x:c>
      <x:c r="G26" s="7" t="str">
        <x:v>Suppression et grenades incendiaires ; approche offensive propre à la simulation.</x:v>
      </x:c>
      <x:c r="H26" s="7" t="str">
        <x:v>Suppression et grenades incendiaires ; approche offensive propre à la simulation.</x:v>
      </x:c>
      <x:c r="I26" s="7" t="str">
        <x:v>Armure usée et visage marqué.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me3/characters/arena-zaeed ; rattacher les ressources et états cités à cet identifiant. Aucun fichier de jeu créé par ce catalogue.</x:v>
      </x:c>
      <x:c r="M26" s="7" t="str">
        <x:v>Simulateur Armax ; survie requise.</x:v>
      </x:c>
      <x:c r="N26" s="7" t="str">
        <x:v>Le livrable « Zaeed Massani — Armax uniquement » possède une scène ou un scénario de contrôle ; ses règles proposées, ses conditions et ses retours visuels sont vérifiables séparément.</x:v>
      </x:c>
      <x:c r="O26" s="7" t="str"/>
      <x:c r="P26" s="7" t="str">
        <x:v>Zaeed Massani — Armax uniquement</x:v>
      </x:c>
      <x:c r="Q26" s="7" t="str">
        <x:v>ME3-SRC-SQUAD</x:v>
      </x:c>
      <x:c r="R26" s="7" t="str">
        <x:v>https://masseffect.fandom.com/wiki/Squad_Members_Guide_%28Mass_Effect_3%29</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0" priority="1" operator="equal">
      <x:formula>"À vérifier"</x:formula>
    </x:cfRule>
    <x:cfRule type="cellIs" dxfId="1" priority="2" operator="equal">
      <x:formula>"Extrapolation"</x:formula>
    </x:cfRule>
  </x:conditionalFormatting>
  <x:conditionalFormatting sqref="C7:C26">
    <x:cfRule type="cellIs" dxfId="2" priority="3" operator="equal">
      <x:formula>"Validé"</x:formula>
    </x:cfRule>
  </x:conditionalFormatting>
  <x:conditionalFormatting sqref="E7:E26">
    <x:cfRule type="cellIs" dxfId="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d89b5a7d8e534310"/>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3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ME3-NPC-HACKETT</x:v>
      </x:c>
      <x:c r="B7" s="9" t="str">
        <x:v>Amiral Hackett</x:v>
      </x:c>
      <x:c r="C7" s="15" t="str">
        <x:v>Défini</x:v>
      </x:c>
      <x:c r="D7" s="16" t="str">
        <x:v>Établi</x:v>
      </x:c>
      <x:c r="E7" s="16" t="str">
        <x:v>P1</x:v>
      </x:c>
      <x:c r="F7" s="9" t="str">
        <x:v>Coordonne l’effort allié.</x:v>
      </x:c>
      <x:c r="G7" s="9" t="str">
        <x:v>Briefings de ressources de guerre avec provenance de chaque contribution ; évite les discours répétés après collecte minime.</x:v>
      </x:c>
      <x:c r="H7" s="9" t="str">
        <x:v>Briefings de ressources de guerre avec provenance de chaque contribution ; évite les discours répétés après collecte minime.</x:v>
      </x:c>
      <x:c r="I7" s="9" t="str">
        <x:v>Hologramme Alliance, uniforme et visage marqué.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me3/npcs/hackett ; rattacher les ressources et états cités à cet identifiant. Aucun fichier de jeu créé par ce catalogue.</x:v>
      </x:c>
      <x:c r="M7" s="9" t="str"/>
      <x:c r="N7" s="9" t="str">
        <x:v>Le livrable « Amiral Hackett » possède une scène ou un scénario de contrôle ; ses règles proposées, ses conditions et ses retours visuels sont vérifiables séparément.</x:v>
      </x:c>
      <x:c r="O7" s="9" t="str"/>
      <x:c r="P7" s="9" t="str">
        <x:v>Amiral Hackett</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ME3-NPC-JOKER</x:v>
      </x:c>
      <x:c r="B8" s="7" t="str">
        <x:v>Jeff « Joker » Moreau</x:v>
      </x:c>
      <x:c r="C8" s="15" t="str">
        <x:v>Défini</x:v>
      </x:c>
      <x:c r="D8" s="17" t="str">
        <x:v>Établi</x:v>
      </x:c>
      <x:c r="E8" s="17" t="str">
        <x:v>P1</x:v>
      </x:c>
      <x:c r="F8" s="7" t="str">
        <x:v>Pilote du Normandy.</x:v>
      </x:c>
      <x:c r="G8" s="7" t="str">
        <x:v>Scènes de relation avec EDI et retours de mission ; placement à la passerelle pour repère constant.</x:v>
      </x:c>
      <x:c r="H8" s="7" t="str">
        <x:v>Scènes de relation avec EDI et retours de mission ; placement à la passerelle pour repère constant.</x:v>
      </x:c>
      <x:c r="I8" s="7" t="str">
        <x:v>Casquette et posture assise.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me3/npcs/joker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ME3-SRC-CHAR</x:v>
      </x:c>
      <x:c r="R8" s="7" t="str">
        <x:v>https://masseffect.fandom.com/wiki/Characters/Mass_Effect_3</x:v>
      </x:c>
      <x:c r="S8" s="7" t="str">
        <x:v>Spécification à réaliser. Les champs adaptation, gameplay, visual, animation, audio et implementation décrivent le fan game ; ils ne donnent pas des caractéristiques officielles de l’œuvre.</x:v>
      </x:c>
    </x:row>
    <x:row r="9" ht="68" customHeight="1">
      <x:c r="A9" s="18" t="str">
        <x:v>ME3-NPC-TRAYNOR</x:v>
      </x:c>
      <x:c r="B9" s="9" t="str">
        <x:v>Samantha Traynor</x:v>
      </x:c>
      <x:c r="C9" s="15" t="str">
        <x:v>Défini</x:v>
      </x:c>
      <x:c r="D9" s="16" t="str">
        <x:v>Établi</x:v>
      </x:c>
      <x:c r="E9" s="16" t="str">
        <x:v>P1</x:v>
      </x:c>
      <x:c r="F9" s="9" t="str">
        <x:v>Spécialiste des communications.</x:v>
      </x:c>
      <x:c r="G9" s="9" t="str">
        <x:v>Relais d’alertes et missions avec file consultable ; distinguer invitation personnelle et ordre urgent.</x:v>
      </x:c>
      <x:c r="H9" s="9" t="str">
        <x:v>Relais d’alertes et missions avec file consultable ; distinguer invitation personnelle et ordre urgent.</x:v>
      </x:c>
      <x:c r="I9" s="9" t="str">
        <x:v>Uniforme Alliance et console CIC.</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me3/npcs/traynor ; rattacher les ressources et états cités à cet identifiant. Aucun fichier de jeu créé par ce catalogue.</x:v>
      </x:c>
      <x:c r="M9" s="9" t="str"/>
      <x:c r="N9" s="9" t="str">
        <x:v>Le livrable « Samantha Traynor » possède une scène ou un scénario de contrôle ; ses règles proposées, ses conditions et ses retours visuels sont vérifiables séparément.</x:v>
      </x:c>
      <x:c r="O9" s="9" t="str"/>
      <x:c r="P9" s="9" t="str">
        <x:v>Samantha Traynor</x:v>
      </x:c>
      <x:c r="Q9" s="9" t="str">
        <x:v>ME3-SRC-CHAR, ME3-SRC-GUIDE</x:v>
      </x:c>
      <x:c r="R9" s="9" t="str">
        <x:v>https://masseffect.fandom.com/wiki/Characters/Mass_Effect_3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ME3-NPC-CORTEZ</x:v>
      </x:c>
      <x:c r="B10" s="7" t="str">
        <x:v>Steve Cortez</x:v>
      </x:c>
      <x:c r="C10" s="15" t="str">
        <x:v>Défini</x:v>
      </x:c>
      <x:c r="D10" s="17" t="str">
        <x:v>Établi</x:v>
      </x:c>
      <x:c r="E10" s="17" t="str">
        <x:v>P1</x:v>
      </x:c>
      <x:c r="F10" s="7" t="str">
        <x:v>Pilote de navette du Normandy.</x:v>
      </x:c>
      <x:c r="G10" s="7" t="str">
        <x:v>Déplacements vers missions et arc personnel ; les conversations changent selon deuil et soutien, pas selon score de pilotage inventé.</x:v>
      </x:c>
      <x:c r="H10" s="7" t="str">
        <x:v>Déplacements vers missions et arc personnel ; les conversations changent selon deuil et soutien, pas selon score de pilotage inventé.</x:v>
      </x:c>
      <x:c r="I10" s="7" t="str">
        <x:v>Tenue de pilote et hangar Kodiak.</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me3/npcs/cortez ; rattacher les ressources et états cités à cet identifiant. Aucun fichier de jeu créé par ce catalogue.</x:v>
      </x:c>
      <x:c r="M10" s="7" t="str"/>
      <x:c r="N10" s="7" t="str">
        <x:v>Le livrable « Steve Cortez » possède une scène ou un scénario de contrôle ; ses règles proposées, ses conditions et ses retours visuels sont vérifiables séparément.</x:v>
      </x:c>
      <x:c r="O10" s="7" t="str"/>
      <x:c r="P10" s="7" t="str">
        <x:v>Steve Cortez</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ME3-NPC-CHAKWAS</x:v>
      </x:c>
      <x:c r="B11" s="9" t="str">
        <x:v>Karin Chakwas</x:v>
      </x:c>
      <x:c r="C11" s="15" t="str">
        <x:v>Défini</x:v>
      </x:c>
      <x:c r="D11" s="16" t="str">
        <x:v>Établi</x:v>
      </x:c>
      <x:c r="E11" s="16" t="str">
        <x:v>P1</x:v>
      </x:c>
      <x:c r="F11" s="9" t="str">
        <x:v>Médecin pouvant rejoindre le Normandy.</x:v>
      </x:c>
      <x:c r="G11" s="9" t="str">
        <x:v>Choix de médecin et dialogues d’après-guerre ; emplacement infirmerie unique.</x:v>
      </x:c>
      <x:c r="H11" s="9" t="str">
        <x:v>Choix de médecin et dialogues d’après-guerre ; emplacement infirmerie unique.</x:v>
      </x:c>
      <x:c r="I11" s="9" t="str">
        <x:v>Blouse et geste de soin.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me3/npcs/chakwas ; rattacher les ressources et états cités à cet identifiant. Aucun fichier de jeu créé par ce catalogue.</x:v>
      </x:c>
      <x:c r="M11" s="9" t="str">
        <x:v>Disponibilité et invitation conditionnelles.</x:v>
      </x:c>
      <x:c r="N11" s="9" t="str">
        <x:v>Le livrable « Karin Chakwas » possède une scène ou un scénario de contrôle ; ses règles proposées, ses conditions et ses retours visuels sont vérifiables séparément.</x:v>
      </x:c>
      <x:c r="O11" s="9" t="str"/>
      <x:c r="P11" s="9" t="str">
        <x:v>Karin Chakwas</x:v>
      </x:c>
      <x:c r="Q11" s="9" t="str">
        <x:v>ME3-SRC-HUERTA</x:v>
      </x:c>
      <x:c r="R11" s="9" t="str">
        <x:v>https://masseffect.fandom.com/wiki/Huerta_Memorial_Hospital</x:v>
      </x:c>
      <x:c r="S11" s="9" t="str">
        <x:v>Spécification à réaliser. Les champs adaptation, gameplay, visual, animation, audio et implementation décrivent le fan game ; ils ne donnent pas des caractéristiques officielles de l’œuvre.</x:v>
      </x:c>
    </x:row>
    <x:row r="12" ht="68" customHeight="1">
      <x:c r="A12" s="19" t="str">
        <x:v>ME3-NPC-MICHEL</x:v>
      </x:c>
      <x:c r="B12" s="7" t="str">
        <x:v>Chloe Michel</x:v>
      </x:c>
      <x:c r="C12" s="15" t="str">
        <x:v>Défini</x:v>
      </x:c>
      <x:c r="D12" s="17" t="str">
        <x:v>Établi</x:v>
      </x:c>
      <x:c r="E12" s="17" t="str">
        <x:v>P1</x:v>
      </x:c>
      <x:c r="F12" s="7" t="str">
        <x:v>Médecin de l’hôpital.</x:v>
      </x:c>
      <x:c r="G12" s="7" t="str">
        <x:v>Alternative de personnel médical ; état du médecin recruté distinct des objets achetés.</x:v>
      </x:c>
      <x:c r="H12" s="7" t="str">
        <x:v>Alternative de personnel médical ; état du médecin recruté distinct des objets achetés.</x:v>
      </x:c>
      <x:c r="I12" s="7" t="str">
        <x:v>Blouse, cheveux roux et bureau de clinique.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me3/npcs/michel ; rattacher les ressources et états cités à cet identifiant. Aucun fichier de jeu créé par ce catalogue.</x:v>
      </x:c>
      <x:c r="M12" s="7" t="str">
        <x:v>Ne pas afficher simultanément deux responsables au même poste.</x:v>
      </x:c>
      <x:c r="N12" s="7" t="str">
        <x:v>Le livrable « Chloe Michel » possède une scène ou un scénario de contrôle ; ses règles proposées, ses conditions et ses retours visuels sont vérifiables séparément.</x:v>
      </x:c>
      <x:c r="O12" s="7" t="str"/>
      <x:c r="P12" s="7" t="str">
        <x:v>Chloe Michel</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ME3-NPC-KELLY</x:v>
      </x:c>
      <x:c r="B13" s="9" t="str">
        <x:v>Kelly Chambers</x:v>
      </x:c>
      <x:c r="C13" s="15" t="str">
        <x:v>Défini</x:v>
      </x:c>
      <x:c r="D13" s="16" t="str">
        <x:v>Établi</x:v>
      </x:c>
      <x:c r="E13" s="16" t="str">
        <x:v>P1</x:v>
      </x:c>
      <x:c r="F13" s="9" t="str">
        <x:v>Ancienne membre de l’équipage.</x:v>
      </x:c>
      <x:c r="G13" s="9" t="str">
        <x:v>Retrouvailles sur Citadelle avec conséquences conditionnelles ; aucune disponibilité garantie après coup d’État.</x:v>
      </x:c>
      <x:c r="H13" s="9" t="str">
        <x:v>Retrouvailles sur Citadelle avec conséquences conditionnelles ; aucune disponibilité garantie après coup d’État.</x:v>
      </x:c>
      <x:c r="I13" s="9" t="str">
        <x:v>Tenue civile et secteur de réfugiés.</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me3/npcs/kelly ; rattacher les ressources et états cités à cet identifiant. Aucun fichier de jeu créé par ce catalogue.</x:v>
      </x:c>
      <x:c r="M13" s="9" t="str">
        <x:v>Survie ME2 requise.</x:v>
      </x:c>
      <x:c r="N13" s="9" t="str">
        <x:v>Le livrable « Kelly Chambers » possède une scène ou un scénario de contrôle ; ses règles proposées, ses conditions et ses retours visuels sont vérifiables séparément.</x:v>
      </x:c>
      <x:c r="O13" s="9" t="str"/>
      <x:c r="P13" s="9" t="str">
        <x:v>Kelly Chambers</x:v>
      </x:c>
      <x:c r="Q13" s="9" t="str">
        <x:v>ME3-SRC-CHAR</x:v>
      </x:c>
      <x:c r="R13" s="9" t="str">
        <x:v>https://masseffect.fandom.com/wiki/Characters/Mass_Effect_3</x:v>
      </x:c>
      <x:c r="S13" s="9" t="str">
        <x:v>Spécification à réaliser. Les champs adaptation, gameplay, visual, animation, audio et implementation décrivent le fan game ; ils ne donnent pas des caractéristiques officielles de l’œuvre.</x:v>
      </x:c>
    </x:row>
    <x:row r="14" ht="68" customHeight="1">
      <x:c r="A14" s="19" t="str">
        <x:v>ME3-NPC-ADAMS</x:v>
      </x:c>
      <x:c r="B14" s="7" t="str">
        <x:v>Gregory Adams</x:v>
      </x:c>
      <x:c r="C14" s="15" t="str">
        <x:v>Défini</x:v>
      </x:c>
      <x:c r="D14" s="17" t="str">
        <x:v>Établi</x:v>
      </x:c>
      <x:c r="E14" s="17" t="str">
        <x:v>P1</x:v>
      </x:c>
      <x:c r="F14" s="7" t="str">
        <x:v>Ingénieur du Normandy.</x:v>
      </x:c>
      <x:c r="G14" s="7" t="str">
        <x:v>Point de service de la pièce GX12 ; dialogues coordonnés aux retours de Kenneth/Gabriella.</x:v>
      </x:c>
      <x:c r="H14" s="7" t="str">
        <x:v>Point de service de la pièce GX12 ; dialogues coordonnés aux retours de Kenneth/Gabriella.</x:v>
      </x:c>
      <x:c r="I14" s="7" t="str">
        <x:v>Uniforme technique et poste moteur.</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me3/npcs/adams ; rattacher les ressources et états cités à cet identifiant. Aucun fichier de jeu créé par ce catalogue.</x:v>
      </x:c>
      <x:c r="M14" s="7" t="str"/>
      <x:c r="N14" s="7" t="str">
        <x:v>Le livrable « Gregory Adams » possède une scène ou un scénario de contrôle ; ses règles proposées, ses conditions et ses retours visuels sont vérifiables séparément.</x:v>
      </x:c>
      <x:c r="O14" s="7" t="str"/>
      <x:c r="P14" s="7" t="str">
        <x:v>Gregory Adams</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ME3-NPC-ALLERS</x:v>
      </x:c>
      <x:c r="B15" s="9" t="str">
        <x:v>Diana Allers</x:v>
      </x:c>
      <x:c r="C15" s="15" t="str">
        <x:v>Défini</x:v>
      </x:c>
      <x:c r="D15" s="16" t="str">
        <x:v>Établi</x:v>
      </x:c>
      <x:c r="E15" s="16" t="str">
        <x:v>P1</x:v>
      </x:c>
      <x:c r="F15" s="9" t="str">
        <x:v>Journaliste pouvant embarquer.</x:v>
      </x:c>
      <x:c r="G15" s="9" t="str">
        <x:v>Interviews originales à fenêtres de campagne ; l’invitation et la présence restent facultatives.</x:v>
      </x:c>
      <x:c r="H15" s="9" t="str">
        <x:v>Interviews originales à fenêtres de campagne ; l’invitation et la présence restent facultatives.</x:v>
      </x:c>
      <x:c r="I15" s="9" t="str">
        <x:v>Tenue civile de journaliste et zone de reportages.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me3/npcs/allers ; rattacher les ressources et états cités à cet identifiant. Aucun fichier de jeu créé par ce catalogue.</x:v>
      </x:c>
      <x:c r="M15" s="9" t="str"/>
      <x:c r="N15" s="9" t="str">
        <x:v>Le livrable « Diana Allers » possède une scène ou un scénario de contrôle ; ses règles proposées, ses conditions et ses retours visuels sont vérifiables séparément.</x:v>
      </x:c>
      <x:c r="O15" s="9" t="str"/>
      <x:c r="P15" s="9" t="str">
        <x:v>Diana Allers</x:v>
      </x:c>
      <x:c r="Q15" s="9" t="str">
        <x:v>ME3-SRC-CHAR</x:v>
      </x:c>
      <x:c r="R15" s="9" t="str">
        <x:v>https://masseffect.fandom.com/wiki/Characters/Mass_Effect_3</x:v>
      </x:c>
      <x:c r="S15" s="9" t="str">
        <x:v>Spécification à réaliser. Les champs adaptation, gameplay, visual, animation, audio et implementation décrivent le fan game ; ils ne donnent pas des caractéristiques officielles de l’œuvre.</x:v>
      </x:c>
    </x:row>
    <x:row r="16" ht="68" customHeight="1">
      <x:c r="A16" s="19" t="str">
        <x:v>ME3-NPC-UDINA</x:v>
      </x:c>
      <x:c r="B16" s="7" t="str">
        <x:v>Donnel Udina</x:v>
      </x:c>
      <x:c r="C16" s="15" t="str">
        <x:v>Défini</x:v>
      </x:c>
      <x:c r="D16" s="17" t="str">
        <x:v>Établi</x:v>
      </x:c>
      <x:c r="E16" s="17" t="str">
        <x:v>P1</x:v>
      </x:c>
      <x:c r="F16" s="7" t="str">
        <x:v>Responsable politique de l’arc Citadelle.</x:v>
      </x:c>
      <x:c r="G16" s="7" t="str">
        <x:v>Scènes de Conseil puis de coup d’État ; l’UI ne révèle pas l’issue avant découverte.</x:v>
      </x:c>
      <x:c r="H16" s="7" t="str">
        <x:v>Scènes de Conseil puis de coup d’État ; l’UI ne révèle pas l’issue avant découverte.</x:v>
      </x:c>
      <x:c r="I16" s="7" t="str">
        <x:v>Costume sombre et bureau d’ambassade.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me3/npcs/udina ; rattacher les ressources et états cités à cet identifiant. Aucun fichier de jeu créé par ce catalogue.</x:v>
      </x:c>
      <x:c r="M16" s="7" t="str"/>
      <x:c r="N16" s="7" t="str">
        <x:v>Le livrable « Donnel Udina » possède une scène ou un scénario de contrôle ; ses règles proposées, ses conditions et ses retours visuels sont vérifiables séparément.</x:v>
      </x:c>
      <x:c r="O16" s="7" t="str"/>
      <x:c r="P16" s="7" t="str">
        <x:v>Donnel Udina</x:v>
      </x:c>
      <x:c r="Q16" s="7" t="str">
        <x:v>ME3-SRC-CITADEL2</x:v>
      </x:c>
      <x:c r="R16" s="7" t="str">
        <x:v>https://masseffect.fandom.com/wiki/Priority%3A_The_Citadel_II</x:v>
      </x:c>
      <x:c r="S16" s="7" t="str">
        <x:v>Spécification à réaliser. Les champs adaptation, gameplay, visual, animation, audio et implementation décrivent le fan game ; ils ne donnent pas des caractéristiques officielles de l’œuvre.</x:v>
      </x:c>
    </x:row>
    <x:row r="17" ht="68" customHeight="1">
      <x:c r="A17" s="18" t="str">
        <x:v>ME3-NPC-BAILEY</x:v>
      </x:c>
      <x:c r="B17" s="9" t="str">
        <x:v>Commandant Bailey</x:v>
      </x:c>
      <x:c r="C17" s="15" t="str">
        <x:v>Défini</x:v>
      </x:c>
      <x:c r="D17" s="16" t="str">
        <x:v>Établi</x:v>
      </x:c>
      <x:c r="E17" s="16" t="str">
        <x:v>P1</x:v>
      </x:c>
      <x:c r="F17" s="9" t="str">
        <x:v>Responsable C-Sec.</x:v>
      </x:c>
      <x:c r="G17" s="9" t="str">
        <x:v>Guide des enquêtes de Citadelle ; reprendre ses contacts sans devoir quitter le hub entre chaque dialogue.</x:v>
      </x:c>
      <x:c r="H17" s="9" t="str">
        <x:v>Guide des enquêtes de Citadelle ; reprendre ses contacts sans devoir quitter le hub entre chaque dialogue.</x:v>
      </x:c>
      <x:c r="I17" s="9" t="str">
        <x:v>Uniforme C-Sec et bureau.</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me3/npcs/bailey ; rattacher les ressources et états cités à cet identifiant. Aucun fichier de jeu créé par ce catalogue.</x:v>
      </x:c>
      <x:c r="M17" s="9" t="str"/>
      <x:c r="N17" s="9" t="str">
        <x:v>Le livrable « Commandant Bailey » possède une scène ou un scénario de contrôle ; ses règles proposées, ses conditions et ses retours visuels sont vérifiables séparément.</x:v>
      </x:c>
      <x:c r="O17" s="9" t="str"/>
      <x:c r="P17" s="9" t="str">
        <x:v>Commandant Bailey</x:v>
      </x:c>
      <x:c r="Q17" s="9" t="str">
        <x:v>ME3-SRC-CITADEL</x:v>
      </x:c>
      <x:c r="R17" s="9" t="str">
        <x:v>https://masseffect.fandom.com/wiki/Citadel</x:v>
      </x:c>
      <x:c r="S17" s="9" t="str">
        <x:v>Spécification à réaliser. Les champs adaptation, gameplay, visual, animation, audio et implementation décrivent le fan game ; ils ne donnent pas des caractéristiques officielles de l’œuvre.</x:v>
      </x:c>
    </x:row>
    <x:row r="18" ht="68" customHeight="1">
      <x:c r="A18" s="19" t="str">
        <x:v>ME3-NPC-VICTUS</x:v>
      </x:c>
      <x:c r="B18" s="7" t="str">
        <x:v>Primarque Adrien Victus</x:v>
      </x:c>
      <x:c r="C18" s="15" t="str">
        <x:v>Défini</x:v>
      </x:c>
      <x:c r="D18" s="17" t="str">
        <x:v>Établi</x:v>
      </x:c>
      <x:c r="E18" s="17" t="str">
        <x:v>P1</x:v>
      </x:c>
      <x:c r="F18" s="7" t="str">
        <x:v>Dirigeant turien recherché sur Menae.</x:v>
      </x:c>
      <x:c r="G18" s="7" t="str">
        <x:v>Conversations de sommet et de peloton distinctes ; état de son fils après la bombe.</x:v>
      </x:c>
      <x:c r="H18" s="7" t="str">
        <x:v>Conversations de sommet et de peloton distinctes ; état de son fils après la bombe.</x:v>
      </x:c>
      <x:c r="I18" s="7" t="str">
        <x:v>Armure turienne de commandement.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me3/npcs/victus ; rattacher les ressources et états cités à cet identifiant. Aucun fichier de jeu créé par ce catalogue.</x:v>
      </x:c>
      <x:c r="M18" s="7" t="str">
        <x:v>Arc Palaven/Tuchanka.</x:v>
      </x:c>
      <x:c r="N18" s="7" t="str">
        <x:v>Le livrable « Primarque Adrien Victus » possède une scène ou un scénario de contrôle ; ses règles proposées, ses conditions et ses retours visuels sont vérifiables séparément.</x:v>
      </x:c>
      <x:c r="O18" s="7" t="str"/>
      <x:c r="P18" s="7" t="str">
        <x:v>Primarque Adrien Victus</x:v>
      </x:c>
      <x:c r="Q18" s="7" t="str">
        <x:v>ME3-SRC-GUIDE, ME3-SRC-PLATOON</x:v>
      </x:c>
      <x:c r="R18" s="7" t="str">
        <x:v>https://masseffect.fandom.com/wiki/Mass_Effect_3_Guide
https://masseffect.fandom.com/wiki/Tuchanka%3A_Turian_Platoon</x:v>
      </x:c>
      <x:c r="S18" s="7" t="str">
        <x:v>Spécification à réaliser. Les champs adaptation, gameplay, visual, animation, audio et implementation décrivent le fan game ; ils ne donnent pas des caractéristiques officielles de l’œuvre.</x:v>
      </x:c>
    </x:row>
    <x:row r="19" ht="68" customHeight="1">
      <x:c r="A19" s="18" t="str">
        <x:v>ME3-NPC-TARQUIN</x:v>
      </x:c>
      <x:c r="B19" s="9" t="str">
        <x:v>Tarquin Victus</x:v>
      </x:c>
      <x:c r="C19" s="15" t="str">
        <x:v>Défini</x:v>
      </x:c>
      <x:c r="D19" s="16" t="str">
        <x:v>Établi</x:v>
      </x:c>
      <x:c r="E19" s="16" t="str">
        <x:v>P1</x:v>
      </x:c>
      <x:c r="F19" s="9" t="str">
        <x:v>Officier de la mission de bombe.</x:v>
      </x:c>
      <x:c r="G19" s="9" t="str">
        <x:v>PNJ d’objectif à défendre pendant désamorçage ; fin narrative indépendante de l’animation de santé d’escorte.</x:v>
      </x:c>
      <x:c r="H19" s="9" t="str">
        <x:v>PNJ d’objectif à défendre pendant désamorçage ; fin narrative indépendante de l’animation de santé d’escorte.</x:v>
      </x:c>
      <x:c r="I19" s="9" t="str">
        <x:v>Turien en armure près du dispositif.</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me3/npcs/tarquin ; rattacher les ressources et états cités à cet identifiant. Aucun fichier de jeu créé par ce catalogue.</x:v>
      </x:c>
      <x:c r="M19" s="9" t="str">
        <x:v>Arc Tuchanka.</x:v>
      </x:c>
      <x:c r="N19" s="9" t="str">
        <x:v>Le livrable « Tarquin Victus » possède une scène ou un scénario de contrôle ; ses règles proposées, ses conditions et ses retours visuels sont vérifiables séparément.</x:v>
      </x:c>
      <x:c r="O19" s="9" t="str"/>
      <x:c r="P19" s="9" t="str">
        <x:v>Tarquin Victus</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ME3-NPC-WREAV</x:v>
      </x:c>
      <x:c r="B20" s="7" t="str">
        <x:v>Urdnot Wreav</x:v>
      </x:c>
      <x:c r="C20" s="15" t="str">
        <x:v>Défini</x:v>
      </x:c>
      <x:c r="D20" s="17" t="str">
        <x:v>Établi</x:v>
      </x:c>
      <x:c r="E20" s="17" t="str">
        <x:v>P1</x:v>
      </x:c>
      <x:c r="F20" s="7" t="str">
        <x:v>Alternative au dirigeant krogan Wrex.</x:v>
      </x:c>
      <x:c r="G20" s="7" t="str">
        <x:v>Sous-graphe politique conditionnel ; ses intérêts ne sont pas des répliques de remplacement de Wrex.</x:v>
      </x:c>
      <x:c r="H20" s="7" t="str">
        <x:v>Sous-graphe politique conditionnel ; ses intérêts ne sont pas des répliques de remplacement de Wrex.</x:v>
      </x:c>
      <x:c r="I20" s="7" t="str">
        <x:v>Krogan massif et armure distincte.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me3/npcs/wreav ; rattacher les ressources et états cités à cet identifiant. Aucun fichier de jeu créé par ce catalogue.</x:v>
      </x:c>
      <x:c r="M20" s="7" t="str">
        <x:v>État importé de Wrex.</x:v>
      </x:c>
      <x:c r="N20" s="7" t="str">
        <x:v>Le livrable « Urdnot Wreav » possède une scène ou un scénario de contrôle ; ses règles proposées, ses conditions et ses retours visuels sont vérifiables séparément.</x:v>
      </x:c>
      <x:c r="O20" s="7" t="str"/>
      <x:c r="P20" s="7" t="str">
        <x:v>Urdnot Wreav</x:v>
      </x:c>
      <x:c r="Q20" s="7" t="str">
        <x:v>ME3-SRC-TUCH</x:v>
      </x:c>
      <x:c r="R20" s="7" t="str">
        <x:v>https://masseffect.fandom.com/wiki/Priority%3A_Tuchanka</x:v>
      </x:c>
      <x:c r="S20" s="7" t="str">
        <x:v>Spécification à réaliser. Les champs adaptation, gameplay, visual, animation, audio et implementation décrivent le fan game ; ils ne donnent pas des caractéristiques officielles de l’œuvre.</x:v>
      </x:c>
    </x:row>
    <x:row r="21" ht="68" customHeight="1">
      <x:c r="A21" s="18" t="str">
        <x:v>ME3-NPC-EVE</x:v>
      </x:c>
      <x:c r="B21" s="9" t="str">
        <x:v>Bakara / Eve</x:v>
      </x:c>
      <x:c r="C21" s="15" t="str">
        <x:v>Défini</x:v>
      </x:c>
      <x:c r="D21" s="16" t="str">
        <x:v>Établi</x:v>
      </x:c>
      <x:c r="E21" s="16" t="str">
        <x:v>P1</x:v>
      </x:c>
      <x:c r="F21" s="9" t="str">
        <x:v>Krogan soignée pendant l’arc du génophage.</x:v>
      </x:c>
      <x:c r="G21" s="9" t="str">
        <x:v>PNJ d’escorte et interlocutrice politique ; éviter de la réduire à une ressource de guerre.</x:v>
      </x:c>
      <x:c r="H21" s="9" t="str">
        <x:v>PNJ d’escorte et interlocutrice politique ; éviter de la réduire à une ressource de guerre.</x:v>
      </x:c>
      <x:c r="I21" s="9" t="str">
        <x:v>Voile krogan, tenue cérémonielle et posture digne.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me3/npcs/eve ; rattacher les ressources et états cités à cet identifiant. Aucun fichier de jeu créé par ce catalogue.</x:v>
      </x:c>
      <x:c r="M21" s="9" t="str">
        <x:v>Survie dépend de l’arc et des données importées.</x:v>
      </x:c>
      <x:c r="N21" s="9" t="str">
        <x:v>Le livrable « Bakara / Eve » possède une scène ou un scénario de contrôle ; ses règles proposées, ses conditions et ses retours visuels sont vérifiables séparément.</x:v>
      </x:c>
      <x:c r="O21" s="9" t="str"/>
      <x:c r="P21" s="9" t="str">
        <x:v>Bakara / Eve</x:v>
      </x:c>
      <x:c r="Q21" s="9" t="str">
        <x:v>ME3-SRC-TUCH</x:v>
      </x:c>
      <x:c r="R21" s="9" t="str">
        <x:v>https://masseffect.fandom.com/wiki/Priority%3A_Tuchanka</x:v>
      </x:c>
      <x:c r="S21" s="9" t="str">
        <x:v>Spécification à réaliser. Les champs adaptation, gameplay, visual, animation, audio et implementation décrivent le fan game ; ils ne donnent pas des caractéristiques officielles de l’œuvre.</x:v>
      </x:c>
    </x:row>
    <x:row r="22" ht="68" customHeight="1">
      <x:c r="A22" s="19" t="str">
        <x:v>ME3-NPC-MORDIN</x:v>
      </x:c>
      <x:c r="B22" s="7" t="str">
        <x:v>Mordin Solus</x:v>
      </x:c>
      <x:c r="C22" s="15" t="str">
        <x:v>Défini</x:v>
      </x:c>
      <x:c r="D22" s="17" t="str">
        <x:v>Établi</x:v>
      </x:c>
      <x:c r="E22" s="17" t="str">
        <x:v>P1</x:v>
      </x:c>
      <x:c r="F22" s="7" t="str">
        <x:v>Peut préparer le remède.</x:v>
      </x:c>
      <x:c r="G22" s="7" t="str">
        <x:v>Scientifique de mission, non équipier général ; gérer sa présence et ses issues au Shroud.</x:v>
      </x:c>
      <x:c r="H22" s="7" t="str">
        <x:v>Scientifique de mission, non équipier général ; gérer sa présence et ses issues au Shroud.</x:v>
      </x:c>
      <x:c r="I22" s="7" t="str">
        <x:v>Tenue médicale et omni-outil.</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me3/npcs/mordin ; rattacher les ressources et états cités à cet identifiant. Aucun fichier de jeu créé par ce catalogue.</x:v>
      </x:c>
      <x:c r="M22" s="7" t="str">
        <x:v>Survie ME2.</x:v>
      </x:c>
      <x:c r="N22" s="7" t="str">
        <x:v>Le livrable « Mordin Solus » possède une scène ou un scénario de contrôle ; ses règles proposées, ses conditions et ses retours visuels sont vérifiables séparément.</x:v>
      </x:c>
      <x:c r="O22" s="7" t="str"/>
      <x:c r="P22" s="7" t="str">
        <x:v>Mordin Solus</x:v>
      </x:c>
      <x:c r="Q22" s="7" t="str">
        <x:v>ME3-SRC-TUCH</x:v>
      </x:c>
      <x:c r="R22" s="7" t="str">
        <x:v>https://masseffect.fandom.com/wiki/Priority%3A_Tuchanka</x:v>
      </x:c>
      <x:c r="S22" s="7" t="str">
        <x:v>Spécification à réaliser. Les champs adaptation, gameplay, visual, animation, audio et implementation décrivent le fan game ; ils ne donnent pas des caractéristiques officielles de l’œuvre.</x:v>
      </x:c>
    </x:row>
    <x:row r="23" ht="68" customHeight="1">
      <x:c r="A23" s="18" t="str">
        <x:v>ME3-NPC-WIKS</x:v>
      </x:c>
      <x:c r="B23" s="9" t="str">
        <x:v>Padok Wiks</x:v>
      </x:c>
      <x:c r="C23" s="15" t="str">
        <x:v>Défini</x:v>
      </x:c>
      <x:c r="D23" s="16" t="str">
        <x:v>Établi</x:v>
      </x:c>
      <x:c r="E23" s="16" t="str">
        <x:v>P1</x:v>
      </x:c>
      <x:c r="F23" s="9" t="str">
        <x:v>Peut remplacer Mordin dans l’arc.</x:v>
      </x:c>
      <x:c r="G23" s="9" t="str">
        <x:v>Écrire une branche propre au scientifique ; motivations et épilogue séparés de Mordin.</x:v>
      </x:c>
      <x:c r="H23" s="9" t="str">
        <x:v>Écrire une branche propre au scientifique ; motivations et épilogue séparés de Mordin.</x:v>
      </x:c>
      <x:c r="I23" s="9" t="str">
        <x:v>Salarien et équipement STG.</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me3/npcs/wiks ; rattacher les ressources et états cités à cet identifiant. Aucun fichier de jeu créé par ce catalogue.</x:v>
      </x:c>
      <x:c r="M23" s="9" t="str">
        <x:v>Cas d’absence de Mordin.</x:v>
      </x:c>
      <x:c r="N23" s="9" t="str">
        <x:v>Le livrable « Padok Wiks » possède une scène ou un scénario de contrôle ; ses règles proposées, ses conditions et ses retours visuels sont vérifiables séparément.</x:v>
      </x:c>
      <x:c r="O23" s="9" t="str"/>
      <x:c r="P23" s="9" t="str">
        <x:v>Padok Wiks</x:v>
      </x:c>
      <x:c r="Q23" s="9" t="str">
        <x:v>ME3-SRC-TUCH</x:v>
      </x:c>
      <x:c r="R23" s="9" t="str">
        <x:v>https://masseffect.fandom.com/wiki/Priority%3A_Tuchanka</x:v>
      </x:c>
      <x:c r="S23" s="9" t="str">
        <x:v>Spécification à réaliser. Les champs adaptation, gameplay, visual, animation, audio et implementation décrivent le fan game ; ils ne donnent pas des caractéristiques officielles de l’œuvre.</x:v>
      </x:c>
    </x:row>
    <x:row r="24" ht="68" customHeight="1">
      <x:c r="A24" s="19" t="str">
        <x:v>ME3-NPC-DALATRASS</x:v>
      </x:c>
      <x:c r="B24" s="7" t="str">
        <x:v>Dalatrasse Linron</x:v>
      </x:c>
      <x:c r="C24" s="15" t="str">
        <x:v>Défini</x:v>
      </x:c>
      <x:c r="D24" s="17" t="str">
        <x:v>Établi</x:v>
      </x:c>
      <x:c r="E24" s="17" t="str">
        <x:v>P1</x:v>
      </x:c>
      <x:c r="F24" s="7" t="str">
        <x:v>Propose le sabotage du remède.</x:v>
      </x:c>
      <x:c r="G24" s="7" t="str">
        <x:v>Entretien politique présentant son offre ; conserver l’accord et la révélation comme états distincts.</x:v>
      </x:c>
      <x:c r="H24" s="7" t="str">
        <x:v>Entretien politique présentant son offre ; conserver l’accord et la révélation comme états distincts.</x:v>
      </x:c>
      <x:c r="I24" s="7" t="str">
        <x:v>Hologramme galarien et tenue politique.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me3/npcs/dalatrass ; rattacher les ressources et états cités à cet identifiant. Aucun fichier de jeu créé par ce catalogue.</x:v>
      </x:c>
      <x:c r="M24" s="7" t="str"/>
      <x:c r="N24" s="7" t="str">
        <x:v>Le livrable « Dalatrasse Linron » possède une scène ou un scénario de contrôle ; ses règles proposées, ses conditions et ses retours visuels sont vérifiables séparément.</x:v>
      </x:c>
      <x:c r="O24" s="7" t="str"/>
      <x:c r="P24" s="7" t="str">
        <x:v>Dalatrasse Linron</x:v>
      </x:c>
      <x:c r="Q24" s="7" t="str">
        <x:v>ME3-SRC-TUCH</x:v>
      </x:c>
      <x:c r="R24" s="7" t="str">
        <x:v>https://masseffect.fandom.com/wiki/Priority%3A_Tuchanka</x:v>
      </x:c>
      <x:c r="S24" s="7" t="str">
        <x:v>Spécification à réaliser. Les champs adaptation, gameplay, visual, animation, audio et implementation décrivent le fan game ; ils ne donnent pas des caractéristiques officielles de l’œuvre.</x:v>
      </x:c>
    </x:row>
    <x:row r="25" ht="68" customHeight="1">
      <x:c r="A25" s="18" t="str">
        <x:v>ME3-NPC-KIRRAHE</x:v>
      </x:c>
      <x:c r="B25" s="9" t="str">
        <x:v>Major Kirrahe</x:v>
      </x:c>
      <x:c r="C25" s="15" t="str">
        <x:v>Défini</x:v>
      </x:c>
      <x:c r="D25" s="16" t="str">
        <x:v>Établi</x:v>
      </x:c>
      <x:c r="E25" s="16" t="str">
        <x:v>P1</x:v>
      </x:c>
      <x:c r="F25" s="9" t="str">
        <x:v>Personnage conditionnel de l’arc galarien.</x:v>
      </x:c>
      <x:c r="G25" s="9" t="str">
        <x:v>Apparition selon import ; ne pas le rendre immortel pour remplacer une autre absence.</x:v>
      </x:c>
      <x:c r="H25" s="9" t="str">
        <x:v>Apparition selon import ; ne pas le rendre immortel pour remplacer une autre absence.</x:v>
      </x:c>
      <x:c r="I25" s="9" t="str">
        <x:v>Armure STG.</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me3/npcs/kirrahe ; rattacher les ressources et états cités à cet identifiant. Aucun fichier de jeu créé par ce catalogue.</x:v>
      </x:c>
      <x:c r="M25" s="9" t="str">
        <x:v>État ME1 et progression ME3 à vérifier.</x:v>
      </x:c>
      <x:c r="N25" s="9" t="str">
        <x:v>Le livrable « Major Kirrahe » possède une scène ou un scénario de contrôle ; ses règles proposées, ses conditions et ses retours visuels sont vérifiables séparément.</x:v>
      </x:c>
      <x:c r="O25" s="9" t="str"/>
      <x:c r="P25" s="9" t="str">
        <x:v>Major Kirrahe</x:v>
      </x:c>
      <x:c r="Q25" s="9" t="str">
        <x:v>ME3-SRC-CITADEL2</x:v>
      </x:c>
      <x:c r="R25" s="9" t="str">
        <x:v>https://masseffect.fandom.com/wiki/Priority%3A_The_Citadel_II</x:v>
      </x:c>
      <x:c r="S25" s="9" t="str">
        <x:v>Spécification à réaliser. Les champs adaptation, gameplay, visual, animation, audio et implementation décrivent le fan game ; ils ne donnent pas des caractéristiques officielles de l’œuvre.</x:v>
      </x:c>
    </x:row>
    <x:row r="26" ht="68" customHeight="1">
      <x:c r="A26" s="19" t="str">
        <x:v>ME3-NPC-THANE</x:v>
      </x:c>
      <x:c r="B26" s="7" t="str">
        <x:v>Thane Krios</x:v>
      </x:c>
      <x:c r="C26" s="15" t="str">
        <x:v>Défini</x:v>
      </x:c>
      <x:c r="D26" s="17" t="str">
        <x:v>Établi</x:v>
      </x:c>
      <x:c r="E26" s="17" t="str">
        <x:v>P1</x:v>
      </x:c>
      <x:c r="F26" s="7" t="str">
        <x:v>Personnage conditionnel à l’hôpital.</x:v>
      </x:c>
      <x:c r="G26" s="7" t="str">
        <x:v>Dialogue de retrouvailles puis scène de coup d’État ; rôle narratif, non compagnon de campagne.</x:v>
      </x:c>
      <x:c r="H26" s="7" t="str">
        <x:v>Dialogue de retrouvailles puis scène de coup d’État ; rôle narratif, non compagnon de campagne.</x:v>
      </x:c>
      <x:c r="I26" s="7" t="str">
        <x:v>Manteau sombre, écailles vertes et souffle posé.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me3/npcs/thane ; rattacher les ressources et états cités à cet identifiant. Aucun fichier de jeu créé par ce catalogue.</x:v>
      </x:c>
      <x:c r="M26" s="7" t="str">
        <x:v>Survie ME2.</x:v>
      </x:c>
      <x:c r="N26" s="7" t="str">
        <x:v>Le livrable « Thane Krios » possède une scène ou un scénario de contrôle ; ses règles proposées, ses conditions et ses retours visuels sont vérifiables séparément.</x:v>
      </x:c>
      <x:c r="O26" s="7" t="str"/>
      <x:c r="P26" s="7" t="str">
        <x:v>Thane Krios</x:v>
      </x:c>
      <x:c r="Q26" s="7" t="str">
        <x:v>ME3-SRC-HUERTA, ME3-SRC-CITADEL2</x:v>
      </x:c>
      <x:c r="R26" s="7" t="str">
        <x:v>https://masseffect.fandom.com/wiki/Huerta_Memorial_Hospital
https://masseffect.fandom.com/wiki/Priority%3A_The_Citadel_II</x:v>
      </x:c>
      <x:c r="S26" s="7" t="str">
        <x:v>Spécification à réaliser. Les champs adaptation, gameplay, visual, animation, audio et implementation décrivent le fan game ; ils ne donnent pas des caractéristiques officielles de l’œuvre.</x:v>
      </x:c>
    </x:row>
    <x:row r="27" ht="68" customHeight="1">
      <x:c r="A27" s="18" t="str">
        <x:v>ME3-NPC-KOLYAT</x:v>
      </x:c>
      <x:c r="B27" s="9" t="str">
        <x:v>Kolyat Krios</x:v>
      </x:c>
      <x:c r="C27" s="15" t="str">
        <x:v>Défini</x:v>
      </x:c>
      <x:c r="D27" s="16" t="str">
        <x:v>Établi</x:v>
      </x:c>
      <x:c r="E27" s="16" t="str">
        <x:v>P1</x:v>
      </x:c>
      <x:c r="F27" s="9" t="str">
        <x:v>Apparaît dans l’arc de Thane.</x:v>
      </x:c>
      <x:c r="G27" s="9" t="str">
        <x:v>Scène familiale conditionnée aux événements ; interaction calme après mission.</x:v>
      </x:c>
      <x:c r="H27" s="9" t="str">
        <x:v>Scène familiale conditionnée aux événements ; interaction calme après mission.</x:v>
      </x:c>
      <x:c r="I27" s="9" t="str">
        <x:v>Drell jeune dans l’hôpital.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me3/npcs/kolyat ; rattacher les ressources et états cités à cet identifiant. Aucun fichier de jeu créé par ce catalogue.</x:v>
      </x:c>
      <x:c r="M27" s="9" t="str">
        <x:v>Ne pas exiger à tort la réussite de sa mission ME2.</x:v>
      </x:c>
      <x:c r="N27" s="9" t="str">
        <x:v>Le livrable « Kolyat Krios » possède une scène ou un scénario de contrôle ; ses règles proposées, ses conditions et ses retours visuels sont vérifiables séparément.</x:v>
      </x:c>
      <x:c r="O27" s="9" t="str"/>
      <x:c r="P27" s="9" t="str">
        <x:v>Kolyat Krios</x:v>
      </x:c>
      <x:c r="Q27" s="9" t="str">
        <x:v>ME3-SRC-CITADEL2</x:v>
      </x:c>
      <x:c r="R27" s="9" t="str">
        <x:v>https://masseffect.fandom.com/wiki/Priority%3A_The_Citadel_II</x:v>
      </x:c>
      <x:c r="S27" s="9" t="str">
        <x:v>Spécification à réaliser. Les champs adaptation, gameplay, visual, animation, audio et implementation décrivent le fan game ; ils ne donnent pas des caractéristiques officielles de l’œuvre.</x:v>
      </x:c>
    </x:row>
    <x:row r="28" ht="68" customHeight="1">
      <x:c r="A28" s="19" t="str">
        <x:v>ME3-NPC-JACK</x:v>
      </x:c>
      <x:c r="B28" s="7" t="str">
        <x:v>Jack — instructrice</x:v>
      </x:c>
      <x:c r="C28" s="15" t="str">
        <x:v>Défini</x:v>
      </x:c>
      <x:c r="D28" s="17" t="str">
        <x:v>Établi</x:v>
      </x:c>
      <x:c r="E28" s="17" t="str">
        <x:v>P1</x:v>
      </x:c>
      <x:c r="F28" s="7" t="str">
        <x:v>Peut être retrouvée à Grissom.</x:v>
      </x:c>
      <x:c r="G28" s="7" t="str">
        <x:v>Coordination des élèves et débriefing ; état d’instructrice séparé du personnage de simulation.</x:v>
      </x:c>
      <x:c r="H28" s="7" t="str">
        <x:v>Coordination des élèves et débriefing ; état d’instructrice séparé du personnage de simulation.</x:v>
      </x:c>
      <x:c r="I28" s="7" t="str">
        <x:v>Tatouages, vêtement ME3 et tenue de terrain.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me3/npcs/jack ; rattacher les ressources et états cités à cet identifiant. Aucun fichier de jeu créé par ce catalogue.</x:v>
      </x:c>
      <x:c r="M28" s="7" t="str">
        <x:v>Survie ME2 et délai de sauvetage.</x:v>
      </x:c>
      <x:c r="N28" s="7" t="str">
        <x:v>Le livrable « Jack — instructrice » possède une scène ou un scénario de contrôle ; ses règles proposées, ses conditions et ses retours visuels sont vérifiables séparément.</x:v>
      </x:c>
      <x:c r="O28" s="7" t="str"/>
      <x:c r="P28" s="7" t="str">
        <x:v>Jack — instructrice</x:v>
      </x:c>
      <x:c r="Q28" s="7" t="str">
        <x:v>ME3-SRC-GRISSOM</x:v>
      </x:c>
      <x:c r="R28" s="7" t="str">
        <x:v>https://masseffect.fandom.com/wiki/Grissom_Academy%3A_Emergency_Evacuation</x:v>
      </x:c>
      <x:c r="S28" s="7" t="str">
        <x:v>Spécification à réaliser. Les champs adaptation, gameplay, visual, animation, audio et implementation décrivent le fan game ; ils ne donnent pas des caractéristiques officielles de l’œuvre.</x:v>
      </x:c>
    </x:row>
    <x:row r="29" ht="68" customHeight="1">
      <x:c r="A29" s="18" t="str">
        <x:v>ME3-NPC-SANDERS</x:v>
      </x:c>
      <x:c r="B29" s="9" t="str">
        <x:v>Kahlee Sanders</x:v>
      </x:c>
      <x:c r="C29" s="15" t="str">
        <x:v>Défini</x:v>
      </x:c>
      <x:c r="D29" s="16" t="str">
        <x:v>Établi</x:v>
      </x:c>
      <x:c r="E29" s="16" t="str">
        <x:v>P1</x:v>
      </x:c>
      <x:c r="F29" s="9" t="str">
        <x:v>Contact de l’Académie Grissom.</x:v>
      </x:c>
      <x:c r="G29" s="9" t="str">
        <x:v>Guide d’évacuation donnant le nombre de groupes sécurisés ; pas de rôle de combattante inventé comme établi.</x:v>
      </x:c>
      <x:c r="H29" s="9" t="str">
        <x:v>Guide d’évacuation donnant le nombre de groupes sécurisés ; pas de rôle de combattante inventé comme établi.</x:v>
      </x:c>
      <x:c r="I29" s="9" t="str">
        <x:v>Tenue d’école et salle de communication.</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me3/npcs/sanders ; rattacher les ressources et états cités à cet identifiant. Aucun fichier de jeu créé par ce catalogue.</x:v>
      </x:c>
      <x:c r="M29" s="9" t="str"/>
      <x:c r="N29" s="9" t="str">
        <x:v>Le livrable « Kahlee Sanders » possède une scène ou un scénario de contrôle ; ses règles proposées, ses conditions et ses retours visuels sont vérifiables séparément.</x:v>
      </x:c>
      <x:c r="O29" s="9" t="str"/>
      <x:c r="P29" s="9" t="str">
        <x:v>Kahlee Sanders</x:v>
      </x:c>
      <x:c r="Q29" s="9" t="str">
        <x:v>ME3-SRC-GRISSOM</x:v>
      </x:c>
      <x:c r="R29" s="9" t="str">
        <x:v>https://masseffect.fandom.com/wiki/Grissom_Academy%3A_Emergency_Evacuation</x:v>
      </x:c>
      <x:c r="S29" s="9" t="str">
        <x:v>Spécification à réaliser. Les champs adaptation, gameplay, visual, animation, audio et implementation décrivent le fan game ; ils ne donnent pas des caractéristiques officielles de l’œuvre.</x:v>
      </x:c>
    </x:row>
    <x:row r="30" ht="68" customHeight="1">
      <x:c r="A30" s="19" t="str">
        <x:v>ME3-NPC-DAVID</x:v>
      </x:c>
      <x:c r="B30" s="7" t="str">
        <x:v>David Archer</x:v>
      </x:c>
      <x:c r="C30" s="15" t="str">
        <x:v>Défini</x:v>
      </x:c>
      <x:c r="D30" s="17" t="str">
        <x:v>Établi</x:v>
      </x:c>
      <x:c r="E30" s="17" t="str">
        <x:v>P1</x:v>
      </x:c>
      <x:c r="F30" s="7" t="str">
        <x:v>Peut apparaître à Grissom.</x:v>
      </x:c>
      <x:c r="G30" s="7" t="str">
        <x:v>Dialogue de continuité d’Overlord ; aucun exposé gratuit des violences subies.</x:v>
      </x:c>
      <x:c r="H30" s="7" t="str">
        <x:v>Dialogue de continuité d’Overlord ; aucun exposé gratuit des violences subies.</x:v>
      </x:c>
      <x:c r="I30" s="7" t="str">
        <x:v>Étudiant dans un espace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me3/npcs/david ; rattacher les ressources et états cités à cet identifiant. Aucun fichier de jeu créé par ce catalogue.</x:v>
      </x:c>
      <x:c r="M30" s="7" t="str">
        <x:v>Sauvé dans ME2 et mission Grissom accessible.</x:v>
      </x:c>
      <x:c r="N30" s="7" t="str">
        <x:v>Le livrable « David Archer » possède une scène ou un scénario de contrôle ; ses règles proposées, ses conditions et ses retours visuels sont vérifiables séparément.</x:v>
      </x:c>
      <x:c r="O30" s="7" t="str"/>
      <x:c r="P30" s="7" t="str">
        <x:v>David Archer</x:v>
      </x:c>
      <x:c r="Q30" s="7" t="str">
        <x:v>ME3-SRC-ARRAE, ME3-SRC-GRISSOM</x:v>
      </x:c>
      <x:c r="R30" s="7" t="str">
        <x:v>https://masseffect.fandom.com/wiki/Arrae%3A_Ex-Cerberus_Scientists
https://masseffect.fandom.com/wiki/Grissom_Academy%3A_Emergency_Evacuation</x:v>
      </x:c>
      <x:c r="S30" s="7" t="str">
        <x:v>Spécification à réaliser. Les champs adaptation, gameplay, visual, animation, audio et implementation décrivent le fan game ; ils ne donnent pas des caractéristiques officielles de l’œuvre.</x:v>
      </x:c>
    </x:row>
    <x:row r="31" ht="68" customHeight="1">
      <x:c r="A31" s="18" t="str">
        <x:v>ME3-NPC-BRYNN</x:v>
      </x:c>
      <x:c r="B31" s="9" t="str">
        <x:v>Brynn Cole</x:v>
      </x:c>
      <x:c r="C31" s="15" t="str">
        <x:v>Défini</x:v>
      </x:c>
      <x:c r="D31" s="16" t="str">
        <x:v>Établi</x:v>
      </x:c>
      <x:c r="E31" s="16" t="str">
        <x:v>P1</x:v>
      </x:c>
      <x:c r="F31" s="9" t="str">
        <x:v>Scientifique à évacuer d’Arrae.</x:v>
      </x:c>
      <x:c r="G31" s="9" t="str">
        <x:v>Coordonne les civils et Jacob ; priorités d’extraction lisibles dans l’arène.</x:v>
      </x:c>
      <x:c r="H31" s="9" t="str">
        <x:v>Coordonne les civils et Jacob ; priorités d’extraction lisibles dans l’arène.</x:v>
      </x:c>
      <x:c r="I31" s="9" t="str">
        <x:v>Blouse et station de communication.</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me3/npcs/brynn ; rattacher les ressources et états cités à cet identifiant. Aucun fichier de jeu créé par ce catalogue.</x:v>
      </x:c>
      <x:c r="M31" s="9" t="str"/>
      <x:c r="N31" s="9" t="str">
        <x:v>Le livrable « Brynn Cole » possède une scène ou un scénario de contrôle ; ses règles proposées, ses conditions et ses retours visuels sont vérifiables séparément.</x:v>
      </x:c>
      <x:c r="O31" s="9" t="str"/>
      <x:c r="P31" s="9" t="str">
        <x:v>Brynn Cole</x:v>
      </x:c>
      <x:c r="Q31" s="9" t="str">
        <x:v>ME3-SRC-ARRAE</x:v>
      </x:c>
      <x:c r="R31" s="9" t="str">
        <x:v>https://masseffect.fandom.com/wiki/Arrae%3A_Ex-Cerberus_Scientists</x:v>
      </x:c>
      <x:c r="S31" s="9" t="str">
        <x:v>Spécification à réaliser. Les champs adaptation, gameplay, visual, animation, audio et implementation décrivent le fan game ; ils ne donnent pas des caractéristiques officielles de l’œuvre.</x:v>
      </x:c>
    </x:row>
    <x:row r="32" ht="68" customHeight="1">
      <x:c r="A32" s="19" t="str">
        <x:v>ME3-NPC-JACOB</x:v>
      </x:c>
      <x:c r="B32" s="7" t="str">
        <x:v>Jacob Taylor — rescapés</x:v>
      </x:c>
      <x:c r="C32" s="15" t="str">
        <x:v>Défini</x:v>
      </x:c>
      <x:c r="D32" s="17" t="str">
        <x:v>Établi</x:v>
      </x:c>
      <x:c r="E32" s="17" t="str">
        <x:v>P1</x:v>
      </x:c>
      <x:c r="F32" s="7" t="str">
        <x:v>Peut protéger les scientifiques.</x:v>
      </x:c>
      <x:c r="G32" s="7" t="str">
        <x:v>Retrouvailles et appui local ; son éventuelle relation ME2 est traitée séparément.</x:v>
      </x:c>
      <x:c r="H32" s="7" t="str">
        <x:v>Retrouvailles et appui local ; son éventuelle relation ME2 est traitée séparément.</x:v>
      </x:c>
      <x:c r="I32" s="7" t="str">
        <x:v>Armure d’ex-Cerberus et blessure.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me3/npcs/jacob ; rattacher les ressources et états cités à cet identifiant. Aucun fichier de jeu créé par ce catalogue.</x:v>
      </x:c>
      <x:c r="M32" s="7" t="str">
        <x:v>Survie ME2.</x:v>
      </x:c>
      <x:c r="N32" s="7" t="str">
        <x:v>Le livrable « Jacob Taylor — rescapés » possède une scène ou un scénario de contrôle ; ses règles proposées, ses conditions et ses retours visuels sont vérifiables séparément.</x:v>
      </x:c>
      <x:c r="O32" s="7" t="str"/>
      <x:c r="P32" s="7" t="str">
        <x:v>Jacob Taylor — rescapés</x:v>
      </x:c>
      <x:c r="Q32" s="7" t="str">
        <x:v>ME3-SRC-ARRAE</x:v>
      </x:c>
      <x:c r="R32" s="7" t="str">
        <x:v>https://masseffect.fandom.com/wiki/Arrae%3A_Ex-Cerberus_Scientists</x:v>
      </x:c>
      <x:c r="S32" s="7" t="str">
        <x:v>Spécification à réaliser. Les champs adaptation, gameplay, visual, animation, audio et implementation décrivent le fan game ; ils ne donnent pas des caractéristiques officielles de l’œuvre.</x:v>
      </x:c>
    </x:row>
    <x:row r="33" ht="68" customHeight="1">
      <x:c r="A33" s="18" t="str">
        <x:v>ME3-NPC-GAVIN</x:v>
      </x:c>
      <x:c r="B33" s="9" t="str">
        <x:v>Gavin Archer</x:v>
      </x:c>
      <x:c r="C33" s="15" t="str">
        <x:v>Défini</x:v>
      </x:c>
      <x:c r="D33" s="16" t="str">
        <x:v>Établi</x:v>
      </x:c>
      <x:c r="E33" s="16" t="str">
        <x:v>P1</x:v>
      </x:c>
      <x:c r="F33" s="9" t="str">
        <x:v>Peut être rencontré à Arrae.</x:v>
      </x:c>
      <x:c r="G33" s="9" t="str">
        <x:v>Dialogue de conséquence avec conditions distinctes selon David et Grissom ; ne pas utiliser un unique booléen de pardon.</x:v>
      </x:c>
      <x:c r="H33" s="9" t="str">
        <x:v>Dialogue de conséquence avec conditions distinctes selon David et Grissom ; ne pas utiliser un unique booléen de pardon.</x:v>
      </x:c>
      <x:c r="I33" s="9" t="str">
        <x:v>Tenue de laboratoire usée.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me3/npcs/gavin ; rattacher les ressources et états cités à cet identifiant. Aucun fichier de jeu créé par ce catalogue.</x:v>
      </x:c>
      <x:c r="M33" s="9" t="str">
        <x:v>Project Overlord importé.</x:v>
      </x:c>
      <x:c r="N33" s="9" t="str">
        <x:v>Le livrable « Gavin Archer » possède une scène ou un scénario de contrôle ; ses règles proposées, ses conditions et ses retours visuels sont vérifiables séparément.</x:v>
      </x:c>
      <x:c r="O33" s="9" t="str"/>
      <x:c r="P33" s="9" t="str">
        <x:v>Gavin Archer</x:v>
      </x:c>
      <x:c r="Q33" s="9" t="str">
        <x:v>ME3-SRC-ARRAE</x:v>
      </x:c>
      <x:c r="R33" s="9" t="str">
        <x:v>https://masseffect.fandom.com/wiki/Arrae%3A_Ex-Cerberus_Scientists</x:v>
      </x:c>
      <x:c r="S33" s="9" t="str">
        <x:v>Spécification à réaliser. Les champs adaptation, gameplay, visual, animation, audio et implementation décrivent le fan game ; ils ne donnent pas des caractéristiques officielles de l’œuvre.</x:v>
      </x:c>
    </x:row>
    <x:row r="34" ht="68" customHeight="1">
      <x:c r="A34" s="19" t="str">
        <x:v>ME3-NPC-SAMARA</x:v>
      </x:c>
      <x:c r="B34" s="7" t="str">
        <x:v>Samara — monastère</x:v>
      </x:c>
      <x:c r="C34" s="15" t="str">
        <x:v>Défini</x:v>
      </x:c>
      <x:c r="D34" s="17" t="str">
        <x:v>Établi</x:v>
      </x:c>
      <x:c r="E34" s="17" t="str">
        <x:v>P1</x:v>
      </x:c>
      <x:c r="F34" s="7" t="str">
        <x:v>Peut apparaître au monastère.</x:v>
      </x:c>
      <x:c r="G34" s="7" t="str">
        <x:v>Retrouvailles familiales et dilemme du code ; fenêtre d’intervention adaptée accessible.</x:v>
      </x:c>
      <x:c r="H34" s="7" t="str">
        <x:v>Retrouvailles familiales et dilemme du code ; fenêtre d’intervention adaptée accessible.</x:v>
      </x:c>
      <x:c r="I34" s="7" t="str">
        <x:v>Armure rouge dans un décor austère.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me3/npcs/samara ; rattacher les ressources et états cités à cet identifiant. Aucun fichier de jeu créé par ce catalogue.</x:v>
      </x:c>
      <x:c r="M34" s="7" t="str">
        <x:v>Survie ME2 et choix Samara/Morinth.</x:v>
      </x:c>
      <x:c r="N34" s="7" t="str">
        <x:v>Le livrable « Samara — monastère » possède une scène ou un scénario de contrôle ; ses règles proposées, ses conditions et ses retours visuels sont vérifiables séparément.</x:v>
      </x:c>
      <x:c r="O34" s="7" t="str"/>
      <x:c r="P34" s="7" t="str">
        <x:v>Samara — monastère</x:v>
      </x:c>
      <x:c r="Q34" s="7" t="str">
        <x:v>ME3-SRC-KALLINI</x:v>
      </x:c>
      <x:c r="R34" s="7" t="str">
        <x:v>https://masseffect.fandom.com/wiki/Kallini%3A_Ardat-Yakshi_Monastery</x:v>
      </x:c>
      <x:c r="S34" s="7" t="str">
        <x:v>Spécification à réaliser. Les champs adaptation, gameplay, visual, animation, audio et implementation décrivent le fan game ; ils ne donnent pas des caractéristiques officielles de l’œuvre.</x:v>
      </x:c>
    </x:row>
    <x:row r="35" ht="68" customHeight="1">
      <x:c r="A35" s="18" t="str">
        <x:v>ME3-NPC-FALERE</x:v>
      </x:c>
      <x:c r="B35" s="9" t="str">
        <x:v>Falere</x:v>
      </x:c>
      <x:c r="C35" s="15" t="str">
        <x:v>Défini</x:v>
      </x:c>
      <x:c r="D35" s="16" t="str">
        <x:v>Établi</x:v>
      </x:c>
      <x:c r="E35" s="16" t="str">
        <x:v>P1</x:v>
      </x:c>
      <x:c r="F35" s="9" t="str">
        <x:v>Sœur de Rila au monastère.</x:v>
      </x:c>
      <x:c r="G35" s="9" t="str">
        <x:v>PNJ de recherche puis résolution ; protéger son autonomie narrative dans les choix finaux.</x:v>
      </x:c>
      <x:c r="H35" s="9" t="str">
        <x:v>PNJ de recherche puis résolution ; protéger son autonomie narrative dans les choix finaux.</x:v>
      </x:c>
      <x:c r="I35" s="9" t="str">
        <x:v>Asari en tenue monastique.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me3/npcs/falere ; rattacher les ressources et états cités à cet identifiant. Aucun fichier de jeu créé par ce catalogue.</x:v>
      </x:c>
      <x:c r="M35" s="9" t="str"/>
      <x:c r="N35" s="9" t="str">
        <x:v>Le livrable « Falere » possède une scène ou un scénario de contrôle ; ses règles proposées, ses conditions et ses retours visuels sont vérifiables séparément.</x:v>
      </x:c>
      <x:c r="O35" s="9" t="str"/>
      <x:c r="P35" s="9" t="str">
        <x:v>Falere</x:v>
      </x:c>
      <x:c r="Q35" s="9" t="str">
        <x:v>ME3-SRC-KALLINI</x:v>
      </x:c>
      <x:c r="R35" s="9" t="str">
        <x:v>https://masseffect.fandom.com/wiki/Kallini%3A_Ardat-Yakshi_Monastery</x:v>
      </x:c>
      <x:c r="S35" s="9" t="str">
        <x:v>Spécification à réaliser. Les champs adaptation, gameplay, visual, animation, audio et implementation décrivent le fan game ; ils ne donnent pas des caractéristiques officielles de l’œuvre.</x:v>
      </x:c>
    </x:row>
    <x:row r="36" ht="68" customHeight="1">
      <x:c r="A36" s="19" t="str">
        <x:v>ME3-NPC-RILA</x:v>
      </x:c>
      <x:c r="B36" s="7" t="str">
        <x:v>Rila</x:v>
      </x:c>
      <x:c r="C36" s="15" t="str">
        <x:v>Défini</x:v>
      </x:c>
      <x:c r="D36" s="17" t="str">
        <x:v>Établi</x:v>
      </x:c>
      <x:c r="E36" s="17" t="str">
        <x:v>P1</x:v>
      </x:c>
      <x:c r="F36" s="7" t="str">
        <x:v>Sœur recherchée dans le grand hall.</x:v>
      </x:c>
      <x:c r="G36" s="7" t="str">
        <x:v>Scène de sauvetage et sacrifice ; l’animation reste narrative, aucune quête de loot associée.</x:v>
      </x:c>
      <x:c r="H36" s="7" t="str">
        <x:v>Scène de sauvetage et sacrifice ; l’animation reste narrative, aucune quête de loot associée.</x:v>
      </x:c>
      <x:c r="I36" s="7" t="str">
        <x:v>Asari affaiblie près du dispositif.</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me3/npcs/rila ; rattacher les ressources et états cités à cet identifiant. Aucun fichier de jeu créé par ce catalogue.</x:v>
      </x:c>
      <x:c r="M36" s="7" t="str"/>
      <x:c r="N36" s="7" t="str">
        <x:v>Le livrable « Rila » possède une scène ou un scénario de contrôle ; ses règles proposées, ses conditions et ses retours visuels sont vérifiables séparément.</x:v>
      </x:c>
      <x:c r="O36" s="7" t="str"/>
      <x:c r="P36" s="7" t="str">
        <x:v>Rila</x:v>
      </x:c>
      <x:c r="Q36" s="7" t="str">
        <x:v>ME3-SRC-KALLINI</x:v>
      </x:c>
      <x:c r="R36" s="7" t="str">
        <x:v>https://masseffect.fandom.com/wiki/Kallini%3A_Ardat-Yakshi_Monastery</x:v>
      </x:c>
      <x:c r="S36" s="7" t="str">
        <x:v>Spécification à réaliser. Les champs adaptation, gameplay, visual, animation, audio et implementation décrivent le fan game ; ils ne donnent pas des caractéristiques officielles de l’œuvre.</x:v>
      </x:c>
    </x:row>
    <x:row r="37" ht="68" customHeight="1">
      <x:c r="A37" s="18" t="str">
        <x:v>ME3-NPC-LEGION</x:v>
      </x:c>
      <x:c r="B37" s="9" t="str">
        <x:v>Legion / VI geth</x:v>
      </x:c>
      <x:c r="C37" s="15" t="str">
        <x:v>Défini</x:v>
      </x:c>
      <x:c r="D37" s="16" t="str">
        <x:v>Établi</x:v>
      </x:c>
      <x:c r="E37" s="16" t="str">
        <x:v>P1</x:v>
      </x:c>
      <x:c r="F37" s="9" t="str">
        <x:v>Intervient dans l’arc de Rannoch.</x:v>
      </x:c>
      <x:c r="G37" s="9" t="str">
        <x:v>Identité Legion ou substitut VI selon import ; le codex et les conditions de paix lisent cette différence.</x:v>
      </x:c>
      <x:c r="H37" s="9" t="str">
        <x:v>Identité Legion ou substitut VI selon import ; le codex et les conditions de paix lisent cette différence.</x:v>
      </x:c>
      <x:c r="I37" s="9" t="str">
        <x:v>Châssis geth et optique.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me3/npcs/legion ; rattacher les ressources et états cités à cet identifiant. Aucun fichier de jeu créé par ce catalogue.</x:v>
      </x:c>
      <x:c r="M37" s="9" t="str">
        <x:v>Survie et activation de ME2.</x:v>
      </x:c>
      <x:c r="N37" s="9" t="str">
        <x:v>Le livrable « Legion / VI geth » possède une scène ou un scénario de contrôle ; ses règles proposées, ses conditions et ses retours visuels sont vérifiables séparément.</x:v>
      </x:c>
      <x:c r="O37" s="9" t="str"/>
      <x:c r="P37" s="9" t="str">
        <x:v>Legion / VI geth</x:v>
      </x:c>
      <x:c r="Q37" s="9" t="str">
        <x:v>ME3-SRC-RANNOCH, ME3-SRC-FIGHTERS</x:v>
      </x:c>
      <x:c r="R37" s="9" t="str">
        <x:v>https://masseffect.fandom.com/wiki/Priority%3A_Rannoch
https://masseffect.fandom.com/wiki/Rannoch%3A_Geth_Fighter_Squadrons</x:v>
      </x:c>
      <x:c r="S37" s="9" t="str">
        <x:v>Spécification à réaliser. Les champs adaptation, gameplay, visual, animation, audio et implementation décrivent le fan game ; ils ne donnent pas des caractéristiques officielles de l’œuvre.</x:v>
      </x:c>
    </x:row>
    <x:row r="38" ht="68" customHeight="1">
      <x:c r="A38" s="19" t="str">
        <x:v>ME3-NPC-RAAN</x:v>
      </x:c>
      <x:c r="B38" s="7" t="str">
        <x:v>Shala’Raan</x:v>
      </x:c>
      <x:c r="C38" s="15" t="str">
        <x:v>Défini</x:v>
      </x:c>
      <x:c r="D38" s="17" t="str">
        <x:v>Établi</x:v>
      </x:c>
      <x:c r="E38" s="17" t="str">
        <x:v>P1</x:v>
      </x:c>
      <x:c r="F38" s="7" t="str">
        <x:v>Amirale de l’arc quarian.</x:v>
      </x:c>
      <x:c r="G38" s="7" t="str">
        <x:v>Interlocutrice de commandement ; disponibilité alternative si Tali absente.</x:v>
      </x:c>
      <x:c r="H38" s="7" t="str">
        <x:v>Interlocutrice de commandement ; disponibilité alternative si Tali absente.</x:v>
      </x:c>
      <x:c r="I38" s="7" t="str">
        <x:v>Tenue d’amirale quariène.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me3/npcs/raan ; rattacher les ressources et états cités à cet identifiant. Aucun fichier de jeu créé par ce catalogue.</x:v>
      </x:c>
      <x:c r="M38" s="7" t="str"/>
      <x:c r="N38" s="7" t="str">
        <x:v>Le livrable « Shala’Raan » possède une scène ou un scénario de contrôle ; ses règles proposées, ses conditions et ses retours visuels sont vérifiables séparément.</x:v>
      </x:c>
      <x:c r="O38" s="7" t="str"/>
      <x:c r="P38" s="7" t="str">
        <x:v>Shala’Raan</x:v>
      </x:c>
      <x:c r="Q38" s="7" t="str">
        <x:v>ME3-SRC-RANNOCH</x:v>
      </x:c>
      <x:c r="R38" s="7" t="str">
        <x:v>https://masseffect.fandom.com/wiki/Priority%3A_Rannoch</x:v>
      </x:c>
      <x:c r="S38" s="7" t="str">
        <x:v>Spécification à réaliser. Les champs adaptation, gameplay, visual, animation, audio et implementation décrivent le fan game ; ils ne donnent pas des caractéristiques officielles de l’œuvre.</x:v>
      </x:c>
    </x:row>
    <x:row r="39" ht="68" customHeight="1">
      <x:c r="A39" s="18" t="str">
        <x:v>ME3-NPC-KORIS</x:v>
      </x:c>
      <x:c r="B39" s="9" t="str">
        <x:v>Zaal’Koris</x:v>
      </x:c>
      <x:c r="C39" s="15" t="str">
        <x:v>Défini</x:v>
      </x:c>
      <x:c r="D39" s="16" t="str">
        <x:v>Établi</x:v>
      </x:c>
      <x:c r="E39" s="16" t="str">
        <x:v>P1</x:v>
      </x:c>
      <x:c r="F39" s="9" t="str">
        <x:v>Amiral à secourir sur Rannoch.</x:v>
      </x:c>
      <x:c r="G39" s="9" t="str">
        <x:v>Choix d’évacuation entre chef et équipe ; état de survie séparé de réussite du site.</x:v>
      </x:c>
      <x:c r="H39" s="9" t="str">
        <x:v>Choix d’évacuation entre chef et équipe ; état de survie séparé de réussite du site.</x:v>
      </x:c>
      <x:c r="I39" s="9" t="str">
        <x:v>Combinaison quariène et balise.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me3/npcs/koris ; rattacher les ressources et états cités à cet identifiant. Aucun fichier de jeu créé par ce catalogue.</x:v>
      </x:c>
      <x:c r="M39" s="9" t="str"/>
      <x:c r="N39" s="9" t="str">
        <x:v>Le livrable « Zaal’Koris » possède une scène ou un scénario de contrôle ; ses règles proposées, ses conditions et ses retours visuels sont vérifiables séparément.</x:v>
      </x:c>
      <x:c r="O39" s="9" t="str"/>
      <x:c r="P39" s="9" t="str">
        <x:v>Zaal’Koris</x:v>
      </x:c>
      <x:c r="Q39" s="9" t="str">
        <x:v>ME3-SRC-RANNOCH</x:v>
      </x:c>
      <x:c r="R39" s="9" t="str">
        <x:v>https://masseffect.fandom.com/wiki/Priority%3A_Rannoch</x:v>
      </x:c>
      <x:c r="S39" s="9" t="str">
        <x:v>Spécification à réaliser. Les champs adaptation, gameplay, visual, animation, audio et implementation décrivent le fan game ; ils ne donnent pas des caractéristiques officielles de l’œuvre.</x:v>
      </x:c>
    </x:row>
    <x:row r="40" ht="68" customHeight="1">
      <x:c r="A40" s="19" t="str">
        <x:v>ME3-NPC-GERREL</x:v>
      </x:c>
      <x:c r="B40" s="7" t="str">
        <x:v>Han’Gerrel</x:v>
      </x:c>
      <x:c r="C40" s="15" t="str">
        <x:v>Défini</x:v>
      </x:c>
      <x:c r="D40" s="17" t="str">
        <x:v>Établi</x:v>
      </x:c>
      <x:c r="E40" s="17" t="str">
        <x:v>P1</x:v>
      </x:c>
      <x:c r="F40" s="7" t="str">
        <x:v>Amiral quarian de guerre.</x:v>
      </x:c>
      <x:c r="G40" s="7" t="str">
        <x:v>Débriefing du cuirassé et décision de flotte ; opposition verbale sans bonus caché obligatoire.</x:v>
      </x:c>
      <x:c r="H40" s="7" t="str">
        <x:v>Débriefing du cuirassé et décision de flotte ; opposition verbale sans bonus caché obligatoire.</x:v>
      </x:c>
      <x:c r="I40" s="7" t="str">
        <x:v>Armure quariène militaire.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me3/npcs/gerrel ; rattacher les ressources et états cités à cet identifiant. Aucun fichier de jeu créé par ce catalogue.</x:v>
      </x:c>
      <x:c r="M40" s="7" t="str"/>
      <x:c r="N40" s="7" t="str">
        <x:v>Le livrable « Han’Gerrel » possède une scène ou un scénario de contrôle ; ses règles proposées, ses conditions et ses retours visuels sont vérifiables séparément.</x:v>
      </x:c>
      <x:c r="O40" s="7" t="str"/>
      <x:c r="P40" s="7" t="str">
        <x:v>Han’Gerrel</x:v>
      </x:c>
      <x:c r="Q40" s="7" t="str">
        <x:v>ME3-SRC-RANNOCH</x:v>
      </x:c>
      <x:c r="R40" s="7" t="str">
        <x:v>https://masseffect.fandom.com/wiki/Priority%3A_Rannoch</x:v>
      </x:c>
      <x:c r="S40" s="7" t="str">
        <x:v>Spécification à réaliser. Les champs adaptation, gameplay, visual, animation, audio et implementation décrivent le fan game ; ils ne donnent pas des caractéristiques officielles de l’œuvre.</x:v>
      </x:c>
    </x:row>
    <x:row r="41" ht="68" customHeight="1">
      <x:c r="A41" s="18" t="str">
        <x:v>ME3-NPC-XEN</x:v>
      </x:c>
      <x:c r="B41" s="9" t="str">
        <x:v>Daro’Xen</x:v>
      </x:c>
      <x:c r="C41" s="15" t="str">
        <x:v>Défini</x:v>
      </x:c>
      <x:c r="D41" s="16" t="str">
        <x:v>Établi</x:v>
      </x:c>
      <x:c r="E41" s="16" t="str">
        <x:v>P1</x:v>
      </x:c>
      <x:c r="F41" s="9" t="str">
        <x:v>Amirale quariène.</x:v>
      </x:c>
      <x:c r="G41" s="9" t="str">
        <x:v>Point de vue technologique ; contributions de flotte distinctes du dialogue personnel.</x:v>
      </x:c>
      <x:c r="H41" s="9" t="str">
        <x:v>Point de vue technologique ; contributions de flotte distinctes du dialogue personnel.</x:v>
      </x:c>
      <x:c r="I41" s="9" t="str">
        <x:v>Capuche claire et instrumentation.</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me3/npcs/xen ; rattacher les ressources et états cités à cet identifiant. Aucun fichier de jeu créé par ce catalogue.</x:v>
      </x:c>
      <x:c r="M41" s="9" t="str"/>
      <x:c r="N41" s="9" t="str">
        <x:v>Le livrable « Daro’Xen » possède une scène ou un scénario de contrôle ; ses règles proposées, ses conditions et ses retours visuels sont vérifiables séparément.</x:v>
      </x:c>
      <x:c r="O41" s="9" t="str"/>
      <x:c r="P41" s="9" t="str">
        <x:v>Daro’Xen</x:v>
      </x:c>
      <x:c r="Q41" s="9" t="str">
        <x:v>ME3-SRC-RANNOCH</x:v>
      </x:c>
      <x:c r="R41" s="9" t="str">
        <x:v>https://masseffect.fandom.com/wiki/Priority%3A_Rannoch</x:v>
      </x:c>
      <x:c r="S41" s="9" t="str">
        <x:v>Spécification à réaliser. Les champs adaptation, gameplay, visual, animation, audio et implementation décrivent le fan game ; ils ne donnent pas des caractéristiques officielles de l’œuvre.</x:v>
      </x:c>
    </x:row>
    <x:row r="42" ht="68" customHeight="1">
      <x:c r="A42" s="19" t="str">
        <x:v>ME3-NPC-MIRANDA</x:v>
      </x:c>
      <x:c r="B42" s="7" t="str">
        <x:v>Miranda Lawson — Sanctuary</x:v>
      </x:c>
      <x:c r="C42" s="15" t="str">
        <x:v>Défini</x:v>
      </x:c>
      <x:c r="D42" s="17" t="str">
        <x:v>Établi</x:v>
      </x:c>
      <x:c r="E42" s="17" t="str">
        <x:v>P1</x:v>
      </x:c>
      <x:c r="F42" s="7" t="str">
        <x:v>Poursuit Oriana si elle a survécu.</x:v>
      </x:c>
      <x:c r="G42" s="7" t="str">
        <x:v>Chaîne de rencontres et avertissement avant Horizon ; notifications non perdues si joueur explore.</x:v>
      </x:c>
      <x:c r="H42" s="7" t="str">
        <x:v>Chaîne de rencontres et avertissement avant Horizon ; notifications non perdues si joueur explore.</x:v>
      </x:c>
      <x:c r="I42" s="7" t="str">
        <x:v>Combinaison et rendez-vous discrets.</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me3/npcs/miranda ; rattacher les ressources et états cités à cet identifiant. Aucun fichier de jeu créé par ce catalogue.</x:v>
      </x:c>
      <x:c r="M42" s="7" t="str">
        <x:v>Conditions de survie nombreuses à tester.</x:v>
      </x:c>
      <x:c r="N42" s="7" t="str">
        <x:v>Le livrable « Miranda Lawson — Sanctuary » possède une scène ou un scénario de contrôle ; ses règles proposées, ses conditions et ses retours visuels sont vérifiables séparément.</x:v>
      </x:c>
      <x:c r="O42" s="7" t="str"/>
      <x:c r="P42" s="7" t="str">
        <x:v>Miranda Lawson — Sanctuary</x:v>
      </x:c>
      <x:c r="Q42" s="7" t="str">
        <x:v>ME3-SRC-HORIZON</x:v>
      </x:c>
      <x:c r="R42" s="7" t="str">
        <x:v>https://masseffect.fandom.com/wiki/Priority%3A_Horizon</x:v>
      </x:c>
      <x:c r="S42" s="7" t="str">
        <x:v>Spécification à réaliser. Les champs adaptation, gameplay, visual, animation, audio et implementation décrivent le fan game ; ils ne donnent pas des caractéristiques officielles de l’œuvre.</x:v>
      </x:c>
    </x:row>
    <x:row r="43" ht="68" customHeight="1">
      <x:c r="A43" s="18" t="str">
        <x:v>ME3-NPC-HENRY</x:v>
      </x:c>
      <x:c r="B43" s="9" t="str">
        <x:v>Henry Lawson</x:v>
      </x:c>
      <x:c r="C43" s="15" t="str">
        <x:v>Défini</x:v>
      </x:c>
      <x:c r="D43" s="16" t="str">
        <x:v>Établi</x:v>
      </x:c>
      <x:c r="E43" s="16" t="str">
        <x:v>P1</x:v>
      </x:c>
      <x:c r="F43" s="9" t="str">
        <x:v>Dirige les expériences de Sanctuary.</x:v>
      </x:c>
      <x:c r="G43" s="9" t="str">
        <x:v>Confrontation avec otage ; ne pas transformer un choix de dialogue en combat de boss séparé.</x:v>
      </x:c>
      <x:c r="H43" s="9" t="str">
        <x:v>Confrontation avec otage ; ne pas transformer un choix de dialogue en combat de boss séparé.</x:v>
      </x:c>
      <x:c r="I43" s="9" t="str">
        <x:v>Costume clair, laboratoire et Oriana.</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me3/npcs/henry ; rattacher les ressources et états cités à cet identifiant. Aucun fichier de jeu créé par ce catalogue.</x:v>
      </x:c>
      <x:c r="M43" s="9" t="str"/>
      <x:c r="N43" s="9" t="str">
        <x:v>Le livrable « Henry Lawson » possède une scène ou un scénario de contrôle ; ses règles proposées, ses conditions et ses retours visuels sont vérifiables séparément.</x:v>
      </x:c>
      <x:c r="O43" s="9" t="str"/>
      <x:c r="P43" s="9" t="str">
        <x:v>Henry Lawson</x:v>
      </x:c>
      <x:c r="Q43" s="9" t="str">
        <x:v>ME3-SRC-HORIZON</x:v>
      </x:c>
      <x:c r="R43" s="9" t="str">
        <x:v>https://masseffect.fandom.com/wiki/Priority%3A_Horizon</x:v>
      </x:c>
      <x:c r="S43" s="9" t="str">
        <x:v>Spécification à réaliser. Les champs adaptation, gameplay, visual, animation, audio et implementation décrivent le fan game ; ils ne donnent pas des caractéristiques officielles de l’œuvre.</x:v>
      </x:c>
    </x:row>
    <x:row r="44" ht="68" customHeight="1">
      <x:c r="A44" s="19" t="str">
        <x:v>ME3-NPC-ORIANA</x:v>
      </x:c>
      <x:c r="B44" s="7" t="str">
        <x:v>Oriana Lawson</x:v>
      </x:c>
      <x:c r="C44" s="15" t="str">
        <x:v>Défini</x:v>
      </x:c>
      <x:c r="D44" s="17" t="str">
        <x:v>Établi</x:v>
      </x:c>
      <x:c r="E44" s="17" t="str">
        <x:v>P1</x:v>
      </x:c>
      <x:c r="F44" s="7" t="str">
        <x:v>Se trouve au centre de l’arc Sanctuary.</x:v>
      </x:c>
      <x:c r="G44" s="7" t="str">
        <x:v>Préserver son message si Miranda est absente ; identifiant distinct d’une simple quête de sauvetage.</x:v>
      </x:c>
      <x:c r="H44" s="7" t="str">
        <x:v>Préserver son message si Miranda est absente ; identifiant distinct d’une simple quête de sauvetage.</x:v>
      </x:c>
      <x:c r="I44" s="7" t="str">
        <x:v>Tenue civile et environnement de laboratoire.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me3/npcs/oriana ; rattacher les ressources et états cités à cet identifiant. Aucun fichier de jeu créé par ce catalogue.</x:v>
      </x:c>
      <x:c r="M44" s="7" t="str"/>
      <x:c r="N44" s="7" t="str">
        <x:v>Le livrable « Oriana Lawson » possède une scène ou un scénario de contrôle ; ses règles proposées, ses conditions et ses retours visuels sont vérifiables séparément.</x:v>
      </x:c>
      <x:c r="O44" s="7" t="str"/>
      <x:c r="P44" s="7" t="str">
        <x:v>Oriana Lawson</x:v>
      </x:c>
      <x:c r="Q44" s="7" t="str">
        <x:v>ME3-SRC-HORIZON</x:v>
      </x:c>
      <x:c r="R44" s="7" t="str">
        <x:v>https://masseffect.fandom.com/wiki/Priority%3A_Horizon</x:v>
      </x:c>
      <x:c r="S44" s="7" t="str">
        <x:v>Spécification à réaliser. Les champs adaptation, gameplay, visual, animation, audio et implementation décrivent le fan game ; ils ne donnent pas des caractéristiques officielles de l’œuvre.</x:v>
      </x:c>
    </x:row>
    <x:row r="45" ht="68" customHeight="1">
      <x:c r="A45" s="18" t="str">
        <x:v>ME3-NPC-ILLUSIVE</x:v>
      </x:c>
      <x:c r="B45" s="9" t="str">
        <x:v>L’Homme Trouble</x:v>
      </x:c>
      <x:c r="C45" s="15" t="str">
        <x:v>Défini</x:v>
      </x:c>
      <x:c r="D45" s="16" t="str">
        <x:v>Établi</x:v>
      </x:c>
      <x:c r="E45" s="16" t="str">
        <x:v>P1</x:v>
      </x:c>
      <x:c r="F45" s="9" t="str">
        <x:v>Dirige Cerberus et intervient au final.</x:v>
      </x:c>
      <x:c r="G45" s="9" t="str">
        <x:v>Conversations idéologiques à étapes ; conserver les traces des réponses importantes sans seuil caché inventé.</x:v>
      </x:c>
      <x:c r="H45" s="9" t="str">
        <x:v>Conversations idéologiques à étapes ; conserver les traces des réponses importantes sans seuil caché inventé.</x:v>
      </x:c>
      <x:c r="I45" s="9" t="str">
        <x:v>Siège, implants visibles et éclairage froid.</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me3/npcs/illusive ; rattacher les ressources et états cités à cet identifiant. Aucun fichier de jeu créé par ce catalogue.</x:v>
      </x:c>
      <x:c r="M45" s="9" t="str"/>
      <x:c r="N45" s="9" t="str">
        <x:v>Le livrable « L’Homme Trouble » possède une scène ou un scénario de contrôle ; ses règles proposées, ses conditions et ses retours visuels sont vérifiables séparément.</x:v>
      </x:c>
      <x:c r="O45" s="9" t="str"/>
      <x:c r="P45" s="9" t="str">
        <x:v>L’Homme Trouble</x:v>
      </x:c>
      <x:c r="Q45" s="9" t="str">
        <x:v>ME3-SRC-HQ, ME3-SRC-EARTH</x:v>
      </x:c>
      <x:c r="R45" s="9" t="str">
        <x:v>https://masseffect.fandom.com/wiki/Priority%3A_Cerberus_Headquarters
https://masseffect.fandom.com/wiki/Priority%3A_Earth</x:v>
      </x:c>
      <x:c r="S45" s="9" t="str">
        <x:v>Spécification à réaliser. Les champs adaptation, gameplay, visual, animation, audio et implementation décrivent le fan game ; ils ne donnent pas des caractéristiques officielles de l’œuvre.</x:v>
      </x:c>
    </x:row>
    <x:row r="46" ht="68" customHeight="1">
      <x:c r="A46" s="19" t="str">
        <x:v>ME3-NPC-KAI</x:v>
      </x:c>
      <x:c r="B46" s="7" t="str">
        <x:v>Kai Leng</x:v>
      </x:c>
      <x:c r="C46" s="15" t="str">
        <x:v>Défini</x:v>
      </x:c>
      <x:c r="D46" s="17" t="str">
        <x:v>Établi</x:v>
      </x:c>
      <x:c r="E46" s="17" t="str">
        <x:v>P1</x:v>
      </x:c>
      <x:c r="F46" s="7" t="str">
        <x:v>Antagoniste Cerberus.</x:v>
      </x:c>
      <x:c r="G46" s="7" t="str">
        <x:v>Trois contextes narratifs séparés ; ses scènes ne doivent pas annoncer une victoire jouable quand l’issue est imposée.</x:v>
      </x:c>
      <x:c r="H46" s="7" t="str">
        <x:v>Trois contextes narratifs séparés ; ses scènes ne doivent pas annoncer une victoire jouable quand l’issue est imposée.</x:v>
      </x:c>
      <x:c r="I46" s="7" t="str">
        <x:v>Armure noire, masque et lame.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me3/npcs/kai ; rattacher les ressources et états cités à cet identifiant. Aucun fichier de jeu créé par ce catalogue.</x:v>
      </x:c>
      <x:c r="M46" s="7" t="str"/>
      <x:c r="N46" s="7" t="str">
        <x:v>Le livrable « Kai Leng » possède une scène ou un scénario de contrôle ; ses règles proposées, ses conditions et ses retours visuels sont vérifiables séparément.</x:v>
      </x:c>
      <x:c r="O46" s="7" t="str"/>
      <x:c r="P46" s="7" t="str">
        <x:v>Kai Leng</x:v>
      </x:c>
      <x:c r="Q46" s="7" t="str">
        <x:v>ME3-SRC-KAI</x:v>
      </x:c>
      <x:c r="R46" s="7" t="str">
        <x:v>https://masseffect.fandom.com/wiki/Kai_Leng_%28enemy%29</x:v>
      </x:c>
      <x:c r="S46" s="7" t="str">
        <x:v>Spécification à réaliser. Les champs adaptation, gameplay, visual, animation, audio et implementation décrivent le fan game ; ils ne donnent pas des caractéristiques officielles de l’œuvre.</x:v>
      </x:c>
    </x:row>
    <x:row r="47" ht="68" customHeight="1">
      <x:c r="A47" s="18" t="str">
        <x:v>ME3-NPC-VENDETTA</x:v>
      </x:c>
      <x:c r="B47" s="9" t="str">
        <x:v>Vendetta</x:v>
      </x:c>
      <x:c r="C47" s="15" t="str">
        <x:v>Défini</x:v>
      </x:c>
      <x:c r="D47" s="16" t="str">
        <x:v>Établi</x:v>
      </x:c>
      <x:c r="E47" s="16" t="str">
        <x:v>P1</x:v>
      </x:c>
      <x:c r="F47" s="9" t="str">
        <x:v>VI prothéenne du temple.</x:v>
      </x:c>
      <x:c r="G47" s="9" t="str">
        <x:v>Exposition du Catalyseur et de l’histoire ; source de connaissance limitée aux données révélées.</x:v>
      </x:c>
      <x:c r="H47" s="9" t="str">
        <x:v>Exposition du Catalyseur et de l’histoire ; source de connaissance limitée aux données révélées.</x:v>
      </x:c>
      <x:c r="I47" s="9" t="str">
        <x:v>Hologramme prothéen bleu.</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me3/npcs/vendetta ; rattacher les ressources et états cités à cet identifiant. Aucun fichier de jeu créé par ce catalogue.</x:v>
      </x:c>
      <x:c r="M47" s="9" t="str"/>
      <x:c r="N47" s="9" t="str">
        <x:v>Le livrable « Vendetta » possède une scène ou un scénario de contrôle ; ses règles proposées, ses conditions et ses retours visuels sont vérifiables séparément.</x:v>
      </x:c>
      <x:c r="O47" s="9" t="str"/>
      <x:c r="P47" s="9" t="str">
        <x:v>Vendetta</x:v>
      </x:c>
      <x:c r="Q47" s="9" t="str">
        <x:v>ME3-SRC-THESSIA</x:v>
      </x:c>
      <x:c r="R47" s="9" t="str">
        <x:v>https://masseffect.fandom.com/wiki/Priority%3A_Thessia</x:v>
      </x:c>
      <x:c r="S47" s="9" t="str">
        <x:v>Spécification à réaliser. Les champs adaptation, gameplay, visual, animation, audio et implementation décrivent le fan game ; ils ne donnent pas des caractéristiques officielles de l’œuvre.</x:v>
      </x:c>
    </x:row>
    <x:row r="48" ht="68" customHeight="1">
      <x:c r="A48" s="19" t="str">
        <x:v>ME3-NPC-BRYSON</x:v>
      </x:c>
      <x:c r="B48" s="7" t="str">
        <x:v>Garret Bryson</x:v>
      </x:c>
      <x:c r="C48" s="15" t="str">
        <x:v>Défini</x:v>
      </x:c>
      <x:c r="D48" s="17" t="str">
        <x:v>Établi</x:v>
      </x:c>
      <x:c r="E48" s="17" t="str">
        <x:v>P1</x:v>
      </x:c>
      <x:c r="F48" s="7" t="str">
        <x:v>Chercheur de l’arc Leviathan.</x:v>
      </x:c>
      <x:c r="G48" s="7" t="str">
        <x:v>Point d’entrée d’enquête et preuves dans son laboratoire ; pas de dialogue posthume automatique.</x:v>
      </x:c>
      <x:c r="H48" s="7" t="str">
        <x:v>Point d’entrée d’enquête et preuves dans son laboratoire ; pas de dialogue posthume automatique.</x:v>
      </x:c>
      <x:c r="I48" s="7" t="str">
        <x:v>Bureau, artéfacts et carte galactique.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me3/npcs/bryson ; rattacher les ressources et états cités à cet identifiant. Aucun fichier de jeu créé par ce catalogue.</x:v>
      </x:c>
      <x:c r="M48" s="7" t="str"/>
      <x:c r="N48" s="7" t="str">
        <x:v>Le livrable « Garret Bryson » possède une scène ou un scénario de contrôle ; ses règles proposées, ses conditions et ses retours visuels sont vérifiables séparément.</x:v>
      </x:c>
      <x:c r="O48" s="7" t="str"/>
      <x:c r="P48" s="7" t="str">
        <x:v>Garret Bryson</x:v>
      </x:c>
      <x:c r="Q48" s="7" t="str">
        <x:v>ME3-SRC-LEV</x:v>
      </x:c>
      <x:c r="R48" s="7" t="str">
        <x:v>https://masseffect.fandom.com/wiki/Mass_Effect_3%3A_Leviathan</x:v>
      </x:c>
      <x:c r="S48" s="7" t="str">
        <x:v>Spécification à réaliser. Les champs adaptation, gameplay, visual, animation, audio et implementation décrivent le fan game ; ils ne donnent pas des caractéristiques officielles de l’œuvre.</x:v>
      </x:c>
    </x:row>
    <x:row r="49" ht="68" customHeight="1">
      <x:c r="A49" s="18" t="str">
        <x:v>ME3-NPC-ANN</x:v>
      </x:c>
      <x:c r="B49" s="9" t="str">
        <x:v>Ann Bryson</x:v>
      </x:c>
      <x:c r="C49" s="15" t="str">
        <x:v>Défini</x:v>
      </x:c>
      <x:c r="D49" s="16" t="str">
        <x:v>Établi</x:v>
      </x:c>
      <x:c r="E49" s="16" t="str">
        <x:v>P1</x:v>
      </x:c>
      <x:c r="F49" s="9" t="str">
        <x:v>Chercheuse à retrouver dans Leviathan.</x:v>
      </x:c>
      <x:c r="G49" s="9" t="str">
        <x:v>Escorte à Namakli puis décision d’enquête ; son état de santé reste distinct du succès de recherche.</x:v>
      </x:c>
      <x:c r="H49" s="9" t="str">
        <x:v>Escorte à Namakli puis décision d’enquête ; son état de santé reste distinct du succès de recherche.</x:v>
      </x:c>
      <x:c r="I49" s="9" t="str">
        <x:v>Tenue scientifique et laboratoire.</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me3/npcs/ann ; rattacher les ressources et états cités à cet identifiant. Aucun fichier de jeu créé par ce catalogue.</x:v>
      </x:c>
      <x:c r="M49" s="9" t="str"/>
      <x:c r="N49" s="9" t="str">
        <x:v>Le livrable « Ann Bryson » possède une scène ou un scénario de contrôle ; ses règles proposées, ses conditions et ses retours visuels sont vérifiables séparément.</x:v>
      </x:c>
      <x:c r="O49" s="9" t="str"/>
      <x:c r="P49" s="9" t="str">
        <x:v>Ann Bryson</x:v>
      </x:c>
      <x:c r="Q49" s="9" t="str">
        <x:v>ME3-SRC-LEV</x:v>
      </x:c>
      <x:c r="R49" s="9" t="str">
        <x:v>https://masseffect.fandom.com/wiki/Mass_Effect_3%3A_Leviathan</x:v>
      </x:c>
      <x:c r="S49" s="9" t="str">
        <x:v>Spécification à réaliser. Les champs adaptation, gameplay, visual, animation, audio et implementation décrivent le fan game ; ils ne donnent pas des caractéristiques officielles de l’œuvre.</x:v>
      </x:c>
    </x:row>
    <x:row r="50" ht="68" customHeight="1">
      <x:c r="A50" s="19" t="str">
        <x:v>ME3-NPC-PETROVSKY</x:v>
      </x:c>
      <x:c r="B50" s="7" t="str">
        <x:v>Oleg Petrovsky</x:v>
      </x:c>
      <x:c r="C50" s="15" t="str">
        <x:v>Défini</x:v>
      </x:c>
      <x:c r="D50" s="17" t="str">
        <x:v>Établi</x:v>
      </x:c>
      <x:c r="E50" s="17" t="str">
        <x:v>P1</x:v>
      </x:c>
      <x:c r="F50" s="7" t="str">
        <x:v>Commandant de l’occupation d’Omega.</x:v>
      </x:c>
      <x:c r="G50" s="7" t="str">
        <x:v>Antagoniste de stratégie, puis choix de reddition ; l’issue dépend des interventions et attitude d’Aria.</x:v>
      </x:c>
      <x:c r="H50" s="7" t="str">
        <x:v>Antagoniste de stratégie, puis choix de reddition ; l’issue dépend des interventions et attitude d’Aria.</x:v>
      </x:c>
      <x:c r="I50" s="7" t="str">
        <x:v>Uniforme Cerberus, écrans et échiquier.</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me3/npcs/petrovsky ; rattacher les ressources et états cités à cet identifiant. Aucun fichier de jeu créé par ce catalogue.</x:v>
      </x:c>
      <x:c r="M50" s="7" t="str"/>
      <x:c r="N50" s="7" t="str">
        <x:v>Le livrable « Oleg Petrovsky » possède une scène ou un scénario de contrôle ; ses règles proposées, ses conditions et ses retours visuels sont vérifiables séparément.</x:v>
      </x:c>
      <x:c r="O50" s="7" t="str"/>
      <x:c r="P50" s="7" t="str">
        <x:v>Oleg Petrovsky</x:v>
      </x:c>
      <x:c r="Q50" s="7" t="str">
        <x:v>ME3-SRC-OMEGA</x:v>
      </x:c>
      <x:c r="R50" s="7" t="str">
        <x:v>https://masseffect.fandom.com/wiki/Omega%3A_Aria_T%27Loak_%28Mass_Effect_3%29</x:v>
      </x:c>
      <x:c r="S50" s="7" t="str">
        <x:v>Spécification à réaliser. Les champs adaptation, gameplay, visual, animation, audio et implementation décrivent le fan game ; ils ne donnent pas des caractéristiques officielles de l’œuvre.</x:v>
      </x:c>
    </x:row>
    <x:row r="51" ht="68" customHeight="1">
      <x:c r="A51" s="18" t="str">
        <x:v>ME3-NPC-BROOKS</x:v>
      </x:c>
      <x:c r="B51" s="9" t="str">
        <x:v>Maya Brooks</x:v>
      </x:c>
      <x:c r="C51" s="15" t="str">
        <x:v>Défini</x:v>
      </x:c>
      <x:c r="D51" s="16" t="str">
        <x:v>Établi</x:v>
      </x:c>
      <x:c r="E51" s="16" t="str">
        <x:v>P1</x:v>
      </x:c>
      <x:c r="F51" s="9" t="str">
        <x:v>Personnage du complot Citadel.</x:v>
      </x:c>
      <x:c r="G51" s="9" t="str">
        <x:v>Alliée apparente puis antagoniste ; UI de confiance sans spoiler anticipé.</x:v>
      </x:c>
      <x:c r="H51" s="9" t="str">
        <x:v>Alliée apparente puis antagoniste ; UI de confiance sans spoiler anticipé.</x:v>
      </x:c>
      <x:c r="I51" s="9" t="str">
        <x:v>Tenue de service puis équipement de combat.</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me3/npcs/brooks ; rattacher les ressources et états cités à cet identifiant. Aucun fichier de jeu créé par ce catalogue.</x:v>
      </x:c>
      <x:c r="M51" s="9" t="str"/>
      <x:c r="N51" s="9" t="str">
        <x:v>Le livrable « Maya Brooks » possède une scène ou un scénario de contrôle ; ses règles proposées, ses conditions et ses retours visuels sont vérifiables séparément.</x:v>
      </x:c>
      <x:c r="O51" s="9" t="str"/>
      <x:c r="P51" s="9" t="str">
        <x:v>Maya Brooks</x:v>
      </x:c>
      <x:c r="Q51" s="9" t="str">
        <x:v>ME3-SRC-BROOKS</x:v>
      </x:c>
      <x:c r="R51" s="9" t="str">
        <x:v>https://masseffect.fandom.com/wiki/Brooks</x:v>
      </x:c>
      <x:c r="S51" s="9" t="str">
        <x:v>Spécification à réaliser. Les champs adaptation, gameplay, visual, animation, audio et implementation décrivent le fan game ; ils ne donnent pas des caractéristiques officielles de l’œuvre.</x:v>
      </x:c>
    </x:row>
    <x:row r="52" ht="68" customHeight="1">
      <x:c r="A52" s="19" t="str">
        <x:v>ME3-NPC-CATALYST</x:v>
      </x:c>
      <x:c r="B52" s="7" t="str">
        <x:v>Catalyseur</x:v>
      </x:c>
      <x:c r="C52" s="15" t="str">
        <x:v>Défini</x:v>
      </x:c>
      <x:c r="D52" s="17" t="str">
        <x:v>Établi</x:v>
      </x:c>
      <x:c r="E52" s="17" t="str">
        <x:v>P1</x:v>
      </x:c>
      <x:c r="F52" s="7" t="str">
        <x:v>Expose les options finales.</x:v>
      </x:c>
      <x:c r="G52" s="7" t="str">
        <x:v>Entretien final et choix explicite ; aucune théorie d’endoctrinement ajoutée comme fait établi.</x:v>
      </x:c>
      <x:c r="H52" s="7" t="str">
        <x:v>Entretien final et choix explicite ; aucune théorie d’endoctrinement ajoutée comme fait établi.</x:v>
      </x:c>
      <x:c r="I52" s="7" t="str">
        <x:v>Apparition lumineuse et espace de décision.</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me3/npcs/catalyst ; rattacher les ressources et états cités à cet identifiant. Aucun fichier de jeu créé par ce catalogue.</x:v>
      </x:c>
      <x:c r="M52" s="7" t="str"/>
      <x:c r="N52" s="7" t="str">
        <x:v>Le livrable « Catalyseur » possède une scène ou un scénario de contrôle ; ses règles proposées, ses conditions et ses retours visuels sont vérifiables séparément.</x:v>
      </x:c>
      <x:c r="O52" s="7" t="str"/>
      <x:c r="P52" s="7" t="str">
        <x:v>Catalyseur</x:v>
      </x:c>
      <x:c r="Q52" s="7" t="str">
        <x:v>ME3-SRC-EARTH</x:v>
      </x:c>
      <x:c r="R52" s="7" t="str">
        <x:v>https://masseffect.fandom.com/wiki/Priority%3A_Earth</x:v>
      </x:c>
      <x:c r="S52" s="7" t="str">
        <x:v>Spécification à réaliser. Les champs adaptation, gameplay, visual, animation, audio et implementation décrivent le fan game ; ils ne donnent pas des caractéristiques officielles de l’œuvre.</x:v>
      </x:c>
    </x:row>
  </x:sheetData>
  <x:conditionalFormatting sqref="D7:D52">
    <x:cfRule type="cellIs" dxfId="4" priority="1" operator="equal">
      <x:formula>"À vérifier"</x:formula>
    </x:cfRule>
    <x:cfRule type="cellIs" dxfId="5" priority="2" operator="equal">
      <x:formula>"Extrapolation"</x:formula>
    </x:cfRule>
  </x:conditionalFormatting>
  <x:conditionalFormatting sqref="C7:C52">
    <x:cfRule type="cellIs" dxfId="6" priority="3" operator="equal">
      <x:formula>"Validé"</x:formula>
    </x:cfRule>
  </x:conditionalFormatting>
  <x:conditionalFormatting sqref="E7:E52">
    <x:cfRule type="cellIs" dxfId="7" priority="4" operator="equal">
      <x:formula>"P0"</x:formula>
    </x:cfRule>
  </x:conditionalFormatting>
  <x:dataValidations count="3">
    <x:dataValidation type="list" sqref="C7:C52">
      <x:formula1>"Défini,Prototype,Intégré,Validé"</x:formula1>
    </x:dataValidation>
    <x:dataValidation type="list" sqref="D7:D52">
      <x:formula1>"Établi,À vérifier,Extrapolation,Coupé attesté,Concept abandonné,Allégation écartée"</x:formula1>
    </x:dataValidation>
    <x:dataValidation type="list" sqref="E7:E52">
      <x:formula1>"P0,P1,P2"</x:formula1>
    </x:dataValidation>
  </x:dataValidations>
  <x:pageMargins left="0.7" right="0.7" top="0.75" bottom="0.75" header="0.3" footer="0.3"/>
  <x:tableParts count="1">
    <x:tablePart xmlns:r="http://schemas.openxmlformats.org/officeDocument/2006/relationships" r:id="R575c6bd1d951440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3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ME3-LOR-REAPERS</x:v>
      </x:c>
      <x:c r="B7" s="9" t="str">
        <x:v>Moissonneurs — invasion</x:v>
      </x:c>
      <x:c r="C7" s="15" t="str">
        <x:v>Défini</x:v>
      </x:c>
      <x:c r="D7" s="16" t="str">
        <x:v>Établi</x:v>
      </x:c>
      <x:c r="E7" s="16" t="str">
        <x:v>P1</x:v>
      </x:c>
      <x:c r="F7" s="9" t="str">
        <x:v>L’invasion structure la campagne.</x:v>
      </x:c>
      <x:c r="G7" s="9" t="str">
        <x:v>Séparer connaissance du joueur, renseignements alliés et révélations tardives ; codex évolutif sans spoiler automatique.</x:v>
      </x:c>
      <x:c r="H7" s="9" t="str">
        <x:v>Séparer connaissance du joueur, renseignements alliés et révélations tardives ; codex évolutif sans spoiler automatique.</x:v>
      </x:c>
      <x:c r="I7" s="9" t="str">
        <x:v>Cartes de fronts et silhouettes gigantesques.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me3/lore/reapers ; rattacher les ressources et états cités à cet identifiant. Aucun fichier de jeu créé par ce catalogue.</x:v>
      </x:c>
      <x:c r="M7" s="9" t="str"/>
      <x:c r="N7" s="9" t="str">
        <x:v>Le livrable « Moissonneurs — invasion » possède une scène ou un scénario de contrôle ; ses règles proposées, ses conditions et ses retours visuels sont vérifiables séparément.</x:v>
      </x:c>
      <x:c r="O7" s="9" t="str"/>
      <x:c r="P7" s="9" t="str">
        <x:v>Moissonneurs — invasion</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ME3-LOR-CRUCIBLE</x:v>
      </x:c>
      <x:c r="B8" s="7" t="str">
        <x:v>Projet Creuset</x:v>
      </x:c>
      <x:c r="C8" s="15" t="str">
        <x:v>Défini</x:v>
      </x:c>
      <x:c r="D8" s="17" t="str">
        <x:v>Établi</x:v>
      </x:c>
      <x:c r="E8" s="17" t="str">
        <x:v>P1</x:v>
      </x:c>
      <x:c r="F8" s="7" t="str">
        <x:v>Les plans de Mars lancent le projet.</x:v>
      </x:c>
      <x:c r="G8" s="7" t="str">
        <x:v>Suivre recherche, construction et coalition par des entrées distinctes ; aucun pourcentage technique canon inventé.</x:v>
      </x:c>
      <x:c r="H8" s="7" t="str">
        <x:v>Suivre recherche, construction et coalition par des entrées distinctes ; aucun pourcentage technique canon inventé.</x:v>
      </x:c>
      <x:c r="I8" s="7" t="str">
        <x:v>Plans holographiques et stations de chantier.</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me3/lore/crucible ; rattacher les ressources et états cités à cet identifiant. Aucun fichier de jeu créé par ce catalogue.</x:v>
      </x:c>
      <x:c r="M8" s="7" t="str"/>
      <x:c r="N8" s="7" t="str">
        <x:v>Le livrable « Projet Creuset » possède une scène ou un scénario de contrôle ; ses règles proposées, ses conditions et ses retours visuels sont vérifiables séparément.</x:v>
      </x:c>
      <x:c r="O8" s="7" t="str"/>
      <x:c r="P8" s="7" t="str">
        <x:v>Projet Creuset</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ME3-LOR-CATALYST</x:v>
      </x:c>
      <x:c r="B9" s="9" t="str">
        <x:v>Catalyseur</x:v>
      </x:c>
      <x:c r="C9" s="15" t="str">
        <x:v>Défini</x:v>
      </x:c>
      <x:c r="D9" s="16" t="str">
        <x:v>Établi</x:v>
      </x:c>
      <x:c r="E9" s="16" t="str">
        <x:v>P1</x:v>
      </x:c>
      <x:c r="F9" s="9" t="str">
        <x:v>Son identité se précise dans le final.</x:v>
      </x:c>
      <x:c r="G9" s="9" t="str">
        <x:v>Entrée verrouillée avant la révélation ; distinguer théorie des personnages et information de fin.</x:v>
      </x:c>
      <x:c r="H9" s="9" t="str">
        <x:v>Entrée verrouillée avant la révélation ; distinguer théorie des personnages et information de fin.</x:v>
      </x:c>
      <x:c r="I9" s="9" t="str">
        <x:v>Icône masquée puis motif de Citadelle.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me3/lore/catalyst ; rattacher les ressources et états cités à cet identifiant. Aucun fichier de jeu créé par ce catalogue.</x:v>
      </x:c>
      <x:c r="M9" s="9" t="str"/>
      <x:c r="N9" s="9" t="str">
        <x:v>Le livrable « Catalyseur » possède une scène ou un scénario de contrôle ; ses règles proposées, ses conditions et ses retours visuels sont vérifiables séparément.</x:v>
      </x:c>
      <x:c r="O9" s="9" t="str"/>
      <x:c r="P9" s="9" t="str">
        <x:v>Catalyseur</x:v>
      </x:c>
      <x:c r="Q9" s="9" t="str">
        <x:v>ME3-SRC-EARTH</x:v>
      </x:c>
      <x:c r="R9" s="9" t="str">
        <x:v>https://masseffect.fandom.com/wiki/Priority%3A_Earth</x:v>
      </x:c>
      <x:c r="S9" s="9" t="str">
        <x:v>Spécification à réaliser. Les champs adaptation, gameplay, visual, animation, audio et implementation décrivent le fan game ; ils ne donnent pas des caractéristiques officielles de l’œuvre.</x:v>
      </x:c>
    </x:row>
    <x:row r="10" ht="68" customHeight="1">
      <x:c r="A10" s="19" t="str">
        <x:v>ME3-LOR-GENOPHAGE</x:v>
      </x:c>
      <x:c r="B10" s="7" t="str">
        <x:v>Génophage et remède</x:v>
      </x:c>
      <x:c r="C10" s="15" t="str">
        <x:v>Défini</x:v>
      </x:c>
      <x:c r="D10" s="17" t="str">
        <x:v>Établi</x:v>
      </x:c>
      <x:c r="E10" s="17" t="str">
        <x:v>P1</x:v>
      </x:c>
      <x:c r="F10" s="7" t="str">
        <x:v>Tuchanka résout l’arc du remède.</x:v>
      </x:c>
      <x:c r="G10" s="7" t="str">
        <x:v>Frise des causes et décisions importées ; afficher les points de vue krogan, turien et galarien sans score moral universel.</x:v>
      </x:c>
      <x:c r="H10" s="7" t="str">
        <x:v>Frise des causes et décisions importées ; afficher les points de vue krogan, turien et galarien sans score moral universel.</x:v>
      </x:c>
      <x:c r="I10" s="7" t="str">
        <x:v>Échantillons et portraits politiques.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me3/lore/genophage ; rattacher les ressources et états cités à cet identifiant. Aucun fichier de jeu créé par ce catalogue.</x:v>
      </x:c>
      <x:c r="M10" s="7" t="str"/>
      <x:c r="N10" s="7" t="str">
        <x:v>Le livrable « Génophage et remède » possède une scène ou un scénario de contrôle ; ses règles proposées, ses conditions et ses retours visuels sont vérifiables séparément.</x:v>
      </x:c>
      <x:c r="O10" s="7" t="str"/>
      <x:c r="P10" s="7" t="str">
        <x:v>Génophage et remède</x:v>
      </x:c>
      <x:c r="Q10" s="7" t="str">
        <x:v>ME3-SRC-TUCH</x:v>
      </x:c>
      <x:c r="R10" s="7" t="str">
        <x:v>https://masseffect.fandom.com/wiki/Priority%3A_Tuchanka</x:v>
      </x:c>
      <x:c r="S10" s="7" t="str">
        <x:v>Spécification à réaliser. Les champs adaptation, gameplay, visual, animation, audio et implementation décrivent le fan game ; ils ne donnent pas des caractéristiques officielles de l’œuvre.</x:v>
      </x:c>
    </x:row>
    <x:row r="11" ht="68" customHeight="1">
      <x:c r="A11" s="18" t="str">
        <x:v>ME3-LOR-QUARIAN-GETH</x:v>
      </x:c>
      <x:c r="B11" s="9" t="str">
        <x:v>Guerre quariens/geth</x:v>
      </x:c>
      <x:c r="C11" s="15" t="str">
        <x:v>Défini</x:v>
      </x:c>
      <x:c r="D11" s="16" t="str">
        <x:v>Établi</x:v>
      </x:c>
      <x:c r="E11" s="16" t="str">
        <x:v>P1</x:v>
      </x:c>
      <x:c r="F11" s="9" t="str">
        <x:v>Rannoch confronte les deux peuples.</x:v>
      </x:c>
      <x:c r="G11" s="9" t="str">
        <x:v>Dossier à deux témoignages ; les souvenirs du consensus et les décisions présentes restent séparés.</x:v>
      </x:c>
      <x:c r="H11" s="9" t="str">
        <x:v>Dossier à deux témoignages ; les souvenirs du consensus et les décisions présentes restent séparés.</x:v>
      </x:c>
      <x:c r="I11" s="9" t="str">
        <x:v>Flottes opposées et mémoire numérique.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me3/lore/quarian-geth ; rattacher les ressources et états cités à cet identifiant. Aucun fichier de jeu créé par ce catalogue.</x:v>
      </x:c>
      <x:c r="M11" s="9" t="str"/>
      <x:c r="N11" s="9" t="str">
        <x:v>Le livrable « Guerre quariens/geth » possède une scène ou un scénario de contrôle ; ses règles proposées, ses conditions et ses retours visuels sont vérifiables séparément.</x:v>
      </x:c>
      <x:c r="O11" s="9" t="str"/>
      <x:c r="P11" s="9" t="str">
        <x:v>Guerre quariens/geth</x:v>
      </x:c>
      <x:c r="Q11" s="9" t="str">
        <x:v>ME3-SRC-RANNOCH, ME3-SRC-FIGHTERS</x:v>
      </x:c>
      <x:c r="R11" s="9" t="str">
        <x:v>https://masseffect.fandom.com/wiki/Priority%3A_Rannoch
https://masseffect.fandom.com/wiki/Rannoch%3A_Geth_Fighter_Squadrons</x:v>
      </x:c>
      <x:c r="S11" s="9" t="str">
        <x:v>Spécification à réaliser. Les champs adaptation, gameplay, visual, animation, audio et implementation décrivent le fan game ; ils ne donnent pas des caractéristiques officielles de l’œuvre.</x:v>
      </x:c>
    </x:row>
    <x:row r="12" ht="68" customHeight="1">
      <x:c r="A12" s="19" t="str">
        <x:v>ME3-LOR-CERBERUS</x:v>
      </x:c>
      <x:c r="B12" s="7" t="str">
        <x:v>Cerberus — force ennemie</x:v>
      </x:c>
      <x:c r="C12" s="15" t="str">
        <x:v>Défini</x:v>
      </x:c>
      <x:c r="D12" s="17" t="str">
        <x:v>Établi</x:v>
      </x:c>
      <x:c r="E12" s="17" t="str">
        <x:v>P1</x:v>
      </x:c>
      <x:c r="F12" s="7" t="str">
        <x:v>Cerberus mène des opérations militaires.</x:v>
      </x:c>
      <x:c r="G12" s="7" t="str">
        <x:v>Distinguer soldats, scientifiques déserteurs, dirigeants et victimes de Sanctuary ; faction ne signifie pas identité individuelle uniforme.</x:v>
      </x:c>
      <x:c r="H12" s="7" t="str">
        <x:v>Distinguer soldats, scientifiques déserteurs, dirigeants et victimes de Sanctuary ; faction ne signifie pas identité individuelle uniforme.</x:v>
      </x:c>
      <x:c r="I12" s="7" t="str">
        <x:v>Emblème noir/orange et chaînes de commandement.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me3/lore/cerberus ; rattacher les ressources et états cités à cet identifiant. Aucun fichier de jeu créé par ce catalogue.</x:v>
      </x:c>
      <x:c r="M12" s="7" t="str"/>
      <x:c r="N12" s="7" t="str">
        <x:v>Le livrable « Cerberus — force ennemie » possède une scène ou un scénario de contrôle ; ses règles proposées, ses conditions et ses retours visuels sont vérifiables séparément.</x:v>
      </x:c>
      <x:c r="O12" s="7" t="str"/>
      <x:c r="P12" s="7" t="str">
        <x:v>Cerberus — force ennemie</x:v>
      </x:c>
      <x:c r="Q12" s="7" t="str">
        <x:v>ME3-SRC-HQ, ME3-SRC-HORIZON, ME3-SRC-ARRAE</x:v>
      </x:c>
      <x:c r="R12" s="7" t="str">
        <x:v>https://masseffect.fandom.com/wiki/Priority%3A_Cerberus_Headquarters
https://masseffect.fandom.com/wiki/Priority%3A_Horizon
https://masseffect.fandom.com/wiki/Arrae%3A_Ex-Cerberus_Scientists</x:v>
      </x:c>
      <x:c r="S12" s="7" t="str">
        <x:v>Spécification à réaliser. Les champs adaptation, gameplay, visual, animation, audio et implementation décrivent le fan game ; ils ne donnent pas des caractéristiques officielles de l’œuvre.</x:v>
      </x:c>
    </x:row>
    <x:row r="13" ht="68" customHeight="1">
      <x:c r="A13" s="18" t="str">
        <x:v>ME3-LOR-INDOCTRINATION</x:v>
      </x:c>
      <x:c r="B13" s="9" t="str">
        <x:v>Endoctrinement</x:v>
      </x:c>
      <x:c r="C13" s="15" t="str">
        <x:v>Défini</x:v>
      </x:c>
      <x:c r="D13" s="16" t="str">
        <x:v>Établi</x:v>
      </x:c>
      <x:c r="E13" s="16" t="str">
        <x:v>P1</x:v>
      </x:c>
      <x:c r="F13" s="9" t="str">
        <x:v>Le contrôle des Moissonneurs intervient dans l’intrigue.</x:v>
      </x:c>
      <x:c r="G13" s="9" t="str">
        <x:v>Indices narratifs contextualisés ; ne pas présenter une théorie sur Shepard comme conclusion officielle.</x:v>
      </x:c>
      <x:c r="H13" s="9" t="str">
        <x:v>Indices narratifs contextualisés ; ne pas présenter une théorie sur Shepard comme conclusion officielle.</x:v>
      </x:c>
      <x:c r="I13" s="9" t="str">
        <x:v>Parasites d’image modérés et dossier de preuves.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me3/lore/indoctrination ; rattacher les ressources et états cités à cet identifiant. Aucun fichier de jeu créé par ce catalogue.</x:v>
      </x:c>
      <x:c r="M13" s="9" t="str"/>
      <x:c r="N13" s="9" t="str">
        <x:v>Le livrable « Endoctrinement » possède une scène ou un scénario de contrôle ; ses règles proposées, ses conditions et ses retours visuels sont vérifiables séparément.</x:v>
      </x:c>
      <x:c r="O13" s="9" t="str"/>
      <x:c r="P13" s="9" t="str">
        <x:v>Endoctrinement</x:v>
      </x:c>
      <x:c r="Q13" s="9" t="str">
        <x:v>ME3-SRC-HQ, ME3-SRC-EARTH</x:v>
      </x:c>
      <x:c r="R13" s="9" t="str">
        <x:v>https://masseffect.fandom.com/wiki/Priority%3A_Cerberus_Headquarters
https://masseffect.fandom.com/wiki/Priority%3A_Earth</x:v>
      </x:c>
      <x:c r="S13" s="9" t="str">
        <x:v>Spécification à réaliser. Les champs adaptation, gameplay, visual, animation, audio et implementation décrivent le fan game ; ils ne donnent pas des caractéristiques officielles de l’œuvre.</x:v>
      </x:c>
    </x:row>
    <x:row r="14" ht="68" customHeight="1">
      <x:c r="A14" s="19" t="str">
        <x:v>ME3-LOR-PROTHEANS</x:v>
      </x:c>
      <x:c r="B14" s="7" t="str">
        <x:v>Héritage prothéen</x:v>
      </x:c>
      <x:c r="C14" s="15" t="str">
        <x:v>Défini</x:v>
      </x:c>
      <x:c r="D14" s="17" t="str">
        <x:v>Établi</x:v>
      </x:c>
      <x:c r="E14" s="17" t="str">
        <x:v>P1</x:v>
      </x:c>
      <x:c r="F14" s="7" t="str">
        <x:v>Javik et les archives éclairent le cycle antérieur.</x:v>
      </x:c>
      <x:c r="G14" s="7" t="str">
        <x:v>Séparer mémoire de Javik, données de Vendetta et croyances asari ; lignes de dialogue selon interlocuteur présent.</x:v>
      </x:c>
      <x:c r="H14" s="7" t="str">
        <x:v>Séparer mémoire de Javik, données de Vendetta et croyances asari ; lignes de dialogue selon interlocuteur présent.</x:v>
      </x:c>
      <x:c r="I14" s="7" t="str">
        <x:v>Reliefs et hologrammes distincts.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me3/lore/protheans ; rattacher les ressources et états cités à cet identifiant. Aucun fichier de jeu créé par ce catalogue.</x:v>
      </x:c>
      <x:c r="M14" s="7" t="str"/>
      <x:c r="N14" s="7" t="str">
        <x:v>Le livrable « Héritage prothéen » possède une scène ou un scénario de contrôle ; ses règles proposées, ses conditions et ses retours visuels sont vérifiables séparément.</x:v>
      </x:c>
      <x:c r="O14" s="7" t="str"/>
      <x:c r="P14" s="7" t="str">
        <x:v>Héritage prothéen</x:v>
      </x:c>
      <x:c r="Q14" s="7" t="str">
        <x:v>ME3-SRC-EA-ASHES, ME3-SRC-THESSIA</x:v>
      </x:c>
      <x:c r="R14" s="7" t="str">
        <x:v>https://www.ea.com/fr-fr/games/mass-effect/mass-effect-3-from-ashes
https://masseffect.fandom.com/wiki/Priority%3A_Thessia</x:v>
      </x:c>
      <x:c r="S14" s="7" t="str">
        <x:v>Spécification à réaliser. Les champs adaptation, gameplay, visual, animation, audio et implementation décrivent le fan game ; ils ne donnent pas des caractéristiques officielles de l’œuvre.</x:v>
      </x:c>
    </x:row>
    <x:row r="15" ht="68" customHeight="1">
      <x:c r="A15" s="18" t="str">
        <x:v>ME3-LOR-ASARI-TEMPLE</x:v>
      </x:c>
      <x:c r="B15" s="9" t="str">
        <x:v>Temple d’Athame</x:v>
      </x:c>
      <x:c r="C15" s="15" t="str">
        <x:v>Défini</x:v>
      </x:c>
      <x:c r="D15" s="16" t="str">
        <x:v>Établi</x:v>
      </x:c>
      <x:c r="E15" s="16" t="str">
        <x:v>P1</x:v>
      </x:c>
      <x:c r="F15" s="9" t="str">
        <x:v>Le temple dissimule une technologie prothéenne.</x:v>
      </x:c>
      <x:c r="G15" s="9" t="str">
        <x:v>Inspection à étapes révélant liens culturels ; aucun changement rétroactif de toute la culture asari à partir d’un seul indice.</x:v>
      </x:c>
      <x:c r="H15" s="9" t="str">
        <x:v>Inspection à étapes révélant liens culturels ; aucun changement rétroactif de toute la culture asari à partir d’un seul indice.</x:v>
      </x:c>
      <x:c r="I15" s="9" t="str">
        <x:v>Statue et balise cachée.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me3/lore/asari-temple ; rattacher les ressources et états cités à cet identifiant. Aucun fichier de jeu créé par ce catalogue.</x:v>
      </x:c>
      <x:c r="M15" s="9" t="str"/>
      <x:c r="N15" s="9" t="str">
        <x:v>Le livrable « Temple d’Athame » possède une scène ou un scénario de contrôle ; ses règles proposées, ses conditions et ses retours visuels sont vérifiables séparément.</x:v>
      </x:c>
      <x:c r="O15" s="9" t="str"/>
      <x:c r="P15" s="9" t="str">
        <x:v>Temple d’Athame</x:v>
      </x:c>
      <x:c r="Q15" s="9" t="str">
        <x:v>ME3-SRC-THESSIA</x:v>
      </x:c>
      <x:c r="R15" s="9" t="str">
        <x:v>https://masseffect.fandom.com/wiki/Priority%3A_Thessia</x:v>
      </x:c>
      <x:c r="S15" s="9" t="str">
        <x:v>Spécification à réaliser. Les champs adaptation, gameplay, visual, animation, audio et implementation décrivent le fan game ; ils ne donnent pas des caractéristiques officielles de l’œuvre.</x:v>
      </x:c>
    </x:row>
    <x:row r="16" ht="68" customHeight="1">
      <x:c r="A16" s="19" t="str">
        <x:v>ME3-LOR-LEVIATHANS</x:v>
      </x:c>
      <x:c r="B16" s="7" t="str">
        <x:v>Léviathans</x:v>
      </x:c>
      <x:c r="C16" s="15" t="str">
        <x:v>Défini</x:v>
      </x:c>
      <x:c r="D16" s="17" t="str">
        <x:v>Établi</x:v>
      </x:c>
      <x:c r="E16" s="17" t="str">
        <x:v>P1</x:v>
      </x:c>
      <x:c r="F16" s="7" t="str">
        <x:v>Le DLC traite l’origine des Moissonneurs.</x:v>
      </x:c>
      <x:c r="G16" s="7" t="str">
        <x:v>Codex de révélation en fin d’enquête ; apparitions et artefacts ne deviennent pas un pouvoir libre de Shepard.</x:v>
      </x:c>
      <x:c r="H16" s="7" t="str">
        <x:v>Codex de révélation en fin d’enquête ; apparitions et artefacts ne deviennent pas un pouvoir libre de Shepard.</x:v>
      </x:c>
      <x:c r="I16" s="7" t="str">
        <x:v>Masses abyssales et orbes.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me3/lore/leviathans ; rattacher les ressources et états cités à cet identifiant. Aucun fichier de jeu créé par ce catalogue.</x:v>
      </x:c>
      <x:c r="M16" s="7" t="str"/>
      <x:c r="N16" s="7" t="str">
        <x:v>Le livrable « Léviathans » possède une scène ou un scénario de contrôle ; ses règles proposées, ses conditions et ses retours visuels sont vérifiables séparément.</x:v>
      </x:c>
      <x:c r="O16" s="7" t="str"/>
      <x:c r="P16" s="7" t="str">
        <x:v>Léviathans</x:v>
      </x:c>
      <x:c r="Q16" s="7" t="str">
        <x:v>ME3-SRC-EA-LEV, ME3-SRC-BW-LEV</x:v>
      </x:c>
      <x:c r="R16" s="7" t="str">
        <x:v>https://www.ea.com/fr-fr/games/mass-effect/mass-effect-3-leviathan
https://blog.bioware.com/2012/08/02/mass-effect-3-leviathan-firefight-dlc-and-wii-u-information/</x:v>
      </x:c>
      <x:c r="S16" s="7" t="str">
        <x:v>Spécification à réaliser. Les champs adaptation, gameplay, visual, animation, audio et implementation décrivent le fan game ; ils ne donnent pas des caractéristiques officielles de l’œuvre.</x:v>
      </x:c>
    </x:row>
    <x:row r="17" ht="68" customHeight="1">
      <x:c r="A17" s="18" t="str">
        <x:v>ME3-LOR-TALONS</x:v>
      </x:c>
      <x:c r="B17" s="9" t="str">
        <x:v>Talons d’Omega</x:v>
      </x:c>
      <x:c r="C17" s="15" t="str">
        <x:v>Défini</x:v>
      </x:c>
      <x:c r="D17" s="16" t="str">
        <x:v>Établi</x:v>
      </x:c>
      <x:c r="E17" s="16" t="str">
        <x:v>P1</x:v>
      </x:c>
      <x:c r="F17" s="9" t="str">
        <x:v>Nyreen dirige une résistance locale.</x:v>
      </x:c>
      <x:c r="G17" s="9" t="str">
        <x:v>Fiche de faction avec civils protégés, postes et relations à Aria ; ne pas fusionner Talons et gangs de mercenaires.</x:v>
      </x:c>
      <x:c r="H17" s="9" t="str">
        <x:v>Fiche de faction avec civils protégés, postes et relations à Aria ; ne pas fusionner Talons et gangs de mercenaires.</x:v>
      </x:c>
      <x:c r="I17" s="9" t="str">
        <x:v>Marques de résistance et équipements disparates.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me3/lore/talons ; rattacher les ressources et états cités à cet identifiant. Aucun fichier de jeu créé par ce catalogue.</x:v>
      </x:c>
      <x:c r="M17" s="9" t="str"/>
      <x:c r="N17" s="9" t="str">
        <x:v>Le livrable « Talons d’Omega » possède une scène ou un scénario de contrôle ; ses règles proposées, ses conditions et ses retours visuels sont vérifiables séparément.</x:v>
      </x:c>
      <x:c r="O17" s="9" t="str"/>
      <x:c r="P17" s="9" t="str">
        <x:v>Talons d’Omega</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ME3-LOR-CAT6</x:v>
      </x:c>
      <x:c r="B18" s="7" t="str">
        <x:v>Mercenaires CAT6</x:v>
      </x:c>
      <x:c r="C18" s="15" t="str">
        <x:v>Défini</x:v>
      </x:c>
      <x:c r="D18" s="17" t="str">
        <x:v>Établi</x:v>
      </x:c>
      <x:c r="E18" s="17" t="str">
        <x:v>P1</x:v>
      </x:c>
      <x:c r="F18" s="7" t="str">
        <x:v>Groupe impliqué dans le complot Citadel.</x:v>
      </x:c>
      <x:c r="G18" s="7" t="str">
        <x:v>Faction de l’extension isolée des forces Cerberus ; réutiliser les catégories tactiques sans reprendre leurs identités.</x:v>
      </x:c>
      <x:c r="H18" s="7" t="str">
        <x:v>Faction de l’extension isolée des forces Cerberus ; réutiliser les catégories tactiques sans reprendre leurs identités.</x:v>
      </x:c>
      <x:c r="I18" s="7" t="str">
        <x:v>Armures tactiques sombres.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me3/lore/cat6 ; rattacher les ressources et états cités à cet identifiant. Aucun fichier de jeu créé par ce catalogue.</x:v>
      </x:c>
      <x:c r="M18" s="7" t="str"/>
      <x:c r="N18" s="7" t="str">
        <x:v>Le livrable « Mercenaires CAT6 » possède une scène ou un scénario de contrôle ; ses règles proposées, ses conditions et ses retours visuels sont vérifiables séparément.</x:v>
      </x:c>
      <x:c r="O18" s="7" t="str"/>
      <x:c r="P18" s="7" t="str">
        <x:v>Mercenaires CAT6</x:v>
      </x:c>
      <x:c r="Q18" s="7" t="str">
        <x:v>ME3-SRC-CAT6, ME3-SRC-CIT-DLC</x:v>
      </x:c>
      <x:c r="R18" s="7" t="str">
        <x:v>https://masseffect.fandom.com/wiki/CAT6_Specialist
https://masseffect.fandom.com/wiki/Mass_Effect_3%3A_Citadel</x:v>
      </x:c>
      <x:c r="S18" s="7" t="str">
        <x:v>Spécification à réaliser. Les champs adaptation, gameplay, visual, animation, audio et implementation décrivent le fan game ; ils ne donnent pas des caractéristiques officielles de l’œuvre.</x:v>
      </x:c>
    </x:row>
    <x:row r="19" ht="68" customHeight="1">
      <x:c r="A19" s="18" t="str">
        <x:v>ME3-LOR-SPECTRES</x:v>
      </x:c>
      <x:c r="B19" s="9" t="str">
        <x:v>Spectres et réquisitions</x:v>
      </x:c>
      <x:c r="C19" s="15" t="str">
        <x:v>Défini</x:v>
      </x:c>
      <x:c r="D19" s="16" t="str">
        <x:v>Établi</x:v>
      </x:c>
      <x:c r="E19" s="16" t="str">
        <x:v>P1</x:v>
      </x:c>
      <x:c r="F19" s="9" t="str">
        <x:v>Le statut de Shepard ouvre des ressources.</x:v>
      </x:c>
      <x:c r="G19" s="9" t="str">
        <x:v>Terminal de décision : autoriser, acheter ou lire sont des opérations différentes ; historique de chaque validation.</x:v>
      </x:c>
      <x:c r="H19" s="9" t="str">
        <x:v>Terminal de décision : autoriser, acheter ou lire sont des opérations différentes ; historique de chaque validation.</x:v>
      </x:c>
      <x:c r="I19" s="9" t="str">
        <x:v>Console diplomatique et accès sécurisé.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me3/lore/spectres ; rattacher les ressources et états cités à cet identifiant. Aucun fichier de jeu créé par ce catalogue.</x:v>
      </x:c>
      <x:c r="M19" s="9" t="str"/>
      <x:c r="N19" s="9" t="str">
        <x:v>Le livrable « Spectres et réquisitions » possède une scène ou un scénario de contrôle ; ses règles proposées, ses conditions et ses retours visuels sont vérifiables séparément.</x:v>
      </x:c>
      <x:c r="O19" s="9" t="str"/>
      <x:c r="P19" s="9" t="str">
        <x:v>Spectres et réquisitions</x:v>
      </x:c>
      <x:c r="Q19" s="9" t="str">
        <x:v>ME3-SRC-CITADEL</x:v>
      </x:c>
      <x:c r="R19" s="9" t="str">
        <x:v>https://masseffect.fandom.com/wiki/Citadel</x:v>
      </x:c>
      <x:c r="S19" s="9" t="str">
        <x:v>Spécification à réaliser. Les champs adaptation, gameplay, visual, animation, audio et implementation décrivent le fan game ; ils ne donnent pas des caractéristiques officielles de l’œuvre.</x:v>
      </x:c>
    </x:row>
    <x:row r="20" ht="68" customHeight="1">
      <x:c r="A20" s="19" t="str">
        <x:v>ME3-LOR-REFUGEES</x:v>
      </x:c>
      <x:c r="B20" s="7" t="str">
        <x:v>Réfugiés de guerre</x:v>
      </x:c>
      <x:c r="C20" s="15" t="str">
        <x:v>Défini</x:v>
      </x:c>
      <x:c r="D20" s="17" t="str">
        <x:v>Établi</x:v>
      </x:c>
      <x:c r="E20" s="17" t="str">
        <x:v>P1</x:v>
      </x:c>
      <x:c r="F20" s="7" t="str">
        <x:v>La Citadelle accueille des déplacés.</x:v>
      </x:c>
      <x:c r="G20" s="7" t="str">
        <x:v>Récits courts avec états de mission et changements de foule ; pas de réduction de chaque personne à un point de guerre.</x:v>
      </x:c>
      <x:c r="H20" s="7" t="str">
        <x:v>Récits courts avec états de mission et changements de foule ; pas de réduction de chaque personne à un point de guerre.</x:v>
      </x:c>
      <x:c r="I20" s="7" t="str">
        <x:v>Lits, bagages et arrivées.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me3/lore/refugees ; rattacher les ressources et états cités à cet identifiant. Aucun fichier de jeu créé par ce catalogue.</x:v>
      </x:c>
      <x:c r="M20" s="7" t="str"/>
      <x:c r="N20" s="7" t="str">
        <x:v>Le livrable « Réfugiés de guerre » possède une scène ou un scénario de contrôle ; ses règles proposées, ses conditions et ses retours visuels sont vérifiables séparément.</x:v>
      </x:c>
      <x:c r="O20" s="7" t="str"/>
      <x:c r="P20" s="7" t="str">
        <x:v>Réfugiés de guerre</x:v>
      </x:c>
      <x:c r="Q20" s="7" t="str">
        <x:v>ME3-SRC-CITADEL</x:v>
      </x:c>
      <x:c r="R20" s="7" t="str">
        <x:v>https://masseffect.fandom.com/wiki/Citadel</x:v>
      </x:c>
      <x:c r="S20" s="7" t="str">
        <x:v>Spécification à réaliser. Les champs adaptation, gameplay, visual, animation, audio et implementation décrivent le fan game ; ils ne donnent pas des caractéristiques officielles de l’œuvre.</x:v>
      </x:c>
    </x:row>
    <x:row r="21" ht="68" customHeight="1">
      <x:c r="A21" s="18" t="str">
        <x:v>ME3-LOR-ALLIANCE</x:v>
      </x:c>
      <x:c r="B21" s="9" t="str">
        <x:v>Alliance et coalition</x:v>
      </x:c>
      <x:c r="C21" s="15" t="str">
        <x:v>Défini</x:v>
      </x:c>
      <x:c r="D21" s="16" t="str">
        <x:v>Établi</x:v>
      </x:c>
      <x:c r="E21" s="16" t="str">
        <x:v>P1</x:v>
      </x:c>
      <x:c r="F21" s="9" t="str">
        <x:v>La reconquête nécessite plusieurs forces.</x:v>
      </x:c>
      <x:c r="G21" s="9" t="str">
        <x:v>Registre de contributions relié aux missions qui les justifient ; drapeaux d’espèce et organisation distincts.</x:v>
      </x:c>
      <x:c r="H21" s="9" t="str">
        <x:v>Registre de contributions relié aux missions qui les justifient ; drapeaux d’espèce et organisation distincts.</x:v>
      </x:c>
      <x:c r="I21" s="9" t="str">
        <x:v>Salle de guerre et logos alliés.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me3/lore/alliance ; rattacher les ressources et états cités à cet identifiant. Aucun fichier de jeu créé par ce catalogue.</x:v>
      </x:c>
      <x:c r="M21" s="9" t="str"/>
      <x:c r="N21" s="9" t="str">
        <x:v>Le livrable « Alliance et coalition » possède une scène ou un scénario de contrôle ; ses règles proposées, ses conditions et ses retours visuels sont vérifiables séparément.</x:v>
      </x:c>
      <x:c r="O21" s="9" t="str"/>
      <x:c r="P21" s="9" t="str">
        <x:v>Alliance et coalition</x:v>
      </x:c>
      <x:c r="Q21" s="9" t="str">
        <x:v>ME3-SRC-GUIDE, ME3-SRC-WAR-ALIEN</x:v>
      </x:c>
      <x:c r="R21" s="9" t="str">
        <x:v>https://masseffect.fandom.com/wiki/Mass_Effect_3_Guide
https://masseffect.fandom.com/wiki/War_Assets/Alien</x:v>
      </x:c>
      <x:c r="S21" s="9" t="str">
        <x:v>Spécification à réaliser. Les champs adaptation, gameplay, visual, animation, audio et implementation décrivent le fan game ; ils ne donnent pas des caractéristiques officielles de l’œuvre.</x:v>
      </x:c>
    </x:row>
    <x:row r="22" ht="68" customHeight="1">
      <x:c r="A22" s="19" t="str">
        <x:v>ME3-LOR-ARMAX-FICTION</x:v>
      </x:c>
      <x:c r="B22" s="7" t="str">
        <x:v>Simulations Armax</x:v>
      </x:c>
      <x:c r="C22" s="15" t="str">
        <x:v>Défini</x:v>
      </x:c>
      <x:c r="D22" s="17" t="str">
        <x:v>Établi</x:v>
      </x:c>
      <x:c r="E22" s="17" t="str">
        <x:v>P1</x:v>
      </x:c>
      <x:c r="F22" s="7" t="str">
        <x:v>L’arène propose des ennemis simulés.</x:v>
      </x:c>
      <x:c r="G22" s="7" t="str">
        <x:v>Étiquette permanente de simulation ; adversaires impossibles dans la campagne ne modifient pas le codex des événements réels.</x:v>
      </x:c>
      <x:c r="H22" s="7" t="str">
        <x:v>Étiquette permanente de simulation ; adversaires impossibles dans la campagne ne modifient pas le codex des événements réels.</x:v>
      </x:c>
      <x:c r="I22" s="7" t="str">
        <x:v>Trame holographique discrète.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me3/lore/armax-fiction ; rattacher les ressources et états cités à cet identifiant. Aucun fichier de jeu créé par ce catalogue.</x:v>
      </x:c>
      <x:c r="M22" s="7" t="str"/>
      <x:c r="N22" s="7" t="str">
        <x:v>Le livrable « Simulations Armax » possède une scène ou un scénario de contrôle ; ses règles proposées, ses conditions et ses retours visuels sont vérifiables séparément.</x:v>
      </x:c>
      <x:c r="O22" s="7" t="str"/>
      <x:c r="P22" s="7" t="str">
        <x:v>Simulations Armax</x:v>
      </x:c>
      <x:c r="Q22" s="7" t="str">
        <x:v>ME3-SRC-BW-CITADEL</x:v>
      </x:c>
      <x:c r="R22" s="7" t="str">
        <x:v>https://blog.bioware.com/2013/02/21/mass-effect-3-citadel-reckoning-dlc-announced/</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8" priority="1" operator="equal">
      <x:formula>"À vérifier"</x:formula>
    </x:cfRule>
    <x:cfRule type="cellIs" dxfId="9" priority="2" operator="equal">
      <x:formula>"Extrapolation"</x:formula>
    </x:cfRule>
  </x:conditionalFormatting>
  <x:conditionalFormatting sqref="C7:C22">
    <x:cfRule type="cellIs" dxfId="10" priority="3" operator="equal">
      <x:formula>"Validé"</x:formula>
    </x:cfRule>
  </x:conditionalFormatting>
  <x:conditionalFormatting sqref="E7:E22">
    <x:cfRule type="cellIs" dxfId="1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4d2d6d3333b545fe"/>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3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ME3-WRL-EARTH</x:v>
      </x:c>
      <x:c r="B7" s="9" t="str">
        <x:v>Terre</x:v>
      </x:c>
      <x:c r="C7" s="15" t="str">
        <x:v>Défini</x:v>
      </x:c>
      <x:c r="D7" s="16" t="str">
        <x:v>Établi</x:v>
      </x:c>
      <x:c r="E7" s="16" t="str">
        <x:v>P1</x:v>
      </x:c>
      <x:c r="F7" s="9" t="str">
        <x:v>Lieu du prologue et de l’assaut final.</x:v>
      </x:c>
      <x:c r="G7" s="9" t="str">
        <x:v>Deux cartes temporelles séparées, Vancouver et Londres ; ne pas raccorder physiquement des villes par une porte.</x:v>
      </x:c>
      <x:c r="H7" s="9" t="str">
        <x:v>Deux cartes temporelles séparées, Vancouver et Londres ; ne pas raccorder physiquement des villes par une porte.</x:v>
      </x:c>
      <x:c r="I7" s="9" t="str">
        <x:v>Ville de départ puis métropole dévastée.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me3/worlds/earth ; rattacher les ressources et états cités à cet identifiant. Aucun fichier de jeu créé par ce catalogue.</x:v>
      </x:c>
      <x:c r="M7" s="9" t="str"/>
      <x:c r="N7" s="9" t="str">
        <x:v>Le livrable « Terre » possède une scène ou un scénario de contrôle ; ses règles proposées, ses conditions et ses retours visuels sont vérifiables séparément.</x:v>
      </x:c>
      <x:c r="O7" s="9" t="str"/>
      <x:c r="P7" s="9" t="str">
        <x:v>Terre</x:v>
      </x:c>
      <x:c r="Q7" s="9" t="str">
        <x:v>ME3-SRC-GUIDE, ME3-SRC-EARTH</x:v>
      </x:c>
      <x:c r="R7" s="9" t="str">
        <x:v>https://masseffect.fandom.com/wiki/Mass_Effect_3_Guide
https://masseffect.fandom.com/wiki/Priority%3A_Earth</x:v>
      </x:c>
      <x:c r="S7" s="9" t="str">
        <x:v>Spécification à réaliser. Les champs adaptation, gameplay, visual, animation, audio et implementation décrivent le fan game ; ils ne donnent pas des caractéristiques officielles de l’œuvre.</x:v>
      </x:c>
    </x:row>
    <x:row r="8" ht="68" customHeight="1">
      <x:c r="A8" s="19" t="str">
        <x:v>ME3-WRL-MARS</x:v>
      </x:c>
      <x:c r="B8" s="7" t="str">
        <x:v>Mars</x:v>
      </x:c>
      <x:c r="C8" s="15" t="str">
        <x:v>Défini</x:v>
      </x:c>
      <x:c r="D8" s="17" t="str">
        <x:v>Établi</x:v>
      </x:c>
      <x:c r="E8" s="17" t="str">
        <x:v>P1</x:v>
      </x:c>
      <x:c r="F8" s="7" t="str">
        <x:v>Les archives recèlent les données du Creuset.</x:v>
      </x:c>
      <x:c r="G8" s="7" t="str">
        <x:v>Carte de recherche et de poursuite ; climat et surface lointaine restent décoratifs hors zones praticables.</x:v>
      </x:c>
      <x:c r="H8" s="7" t="str">
        <x:v>Carte de recherche et de poursuite ; climat et surface lointaine restent décoratifs hors zones praticables.</x:v>
      </x:c>
      <x:c r="I8" s="7" t="str">
        <x:v>Poussière rouge et laboratoire sous neige.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me3/worlds/mars ; rattacher les ressources et états cités à cet identifiant. Aucun fichier de jeu créé par ce catalogue.</x:v>
      </x:c>
      <x:c r="M8" s="7" t="str"/>
      <x:c r="N8" s="7" t="str">
        <x:v>Le livrable « Mars » possède une scène ou un scénario de contrôle ; ses règles proposées, ses conditions et ses retours visuels sont vérifiables séparément.</x:v>
      </x:c>
      <x:c r="O8" s="7" t="str"/>
      <x:c r="P8" s="7" t="str">
        <x:v>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ME3-WRL-CITADEL</x:v>
      </x:c>
      <x:c r="B9" s="9" t="str">
        <x:v>Citadelle</x:v>
      </x:c>
      <x:c r="C9" s="15" t="str">
        <x:v>Défini</x:v>
      </x:c>
      <x:c r="D9" s="16" t="str">
        <x:v>Établi</x:v>
      </x:c>
      <x:c r="E9" s="16" t="str">
        <x:v>P1</x:v>
      </x:c>
      <x:c r="F9" s="9" t="str">
        <x:v>Hub politique et civil de ME3.</x:v>
      </x:c>
      <x:c r="G9" s="9" t="str">
        <x:v>État avant/après coup d’État et accès DLC ; groupes de réfugiés changent au fil de la guerre.</x:v>
      </x:c>
      <x:c r="H9" s="9" t="str">
        <x:v>État avant/après coup d’État et accès DLC ; groupes de réfugiés changent au fil de la guerre.</x:v>
      </x:c>
      <x:c r="I9" s="9" t="str">
        <x:v>Blanc, bleu, foule et signes d’urgence.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me3/worlds/citadel ; rattacher les ressources et états cités à cet identifiant. Aucun fichier de jeu créé par ce catalogue.</x:v>
      </x:c>
      <x:c r="M9" s="9" t="str"/>
      <x:c r="N9" s="9" t="str">
        <x:v>Le livrable « Citadelle » possède une scène ou un scénario de contrôle ; ses règles proposées, ses conditions et ses retours visuels sont vérifiables séparément.</x:v>
      </x:c>
      <x:c r="O9" s="9" t="str"/>
      <x:c r="P9" s="9" t="str">
        <x:v>Citadelle</x:v>
      </x:c>
      <x:c r="Q9" s="9" t="str">
        <x:v>ME3-SRC-CITADEL</x:v>
      </x:c>
      <x:c r="R9" s="9" t="str">
        <x:v>https://masseffect.fandom.com/wiki/Citadel</x:v>
      </x:c>
      <x:c r="S9" s="9" t="str">
        <x:v>Spécification à réaliser. Les champs adaptation, gameplay, visual, animation, audio et implementation décrivent le fan game ; ils ne donnent pas des caractéristiques officielles de l’œuvre.</x:v>
      </x:c>
    </x:row>
    <x:row r="10" ht="68" customHeight="1">
      <x:c r="A10" s="19" t="str">
        <x:v>ME3-WRL-MENAE</x:v>
      </x:c>
      <x:c r="B10" s="7" t="str">
        <x:v>Menae / front de Palaven</x:v>
      </x:c>
      <x:c r="C10" s="15" t="str">
        <x:v>Défini</x:v>
      </x:c>
      <x:c r="D10" s="17" t="str">
        <x:v>Établi</x:v>
      </x:c>
      <x:c r="E10" s="17" t="str">
        <x:v>P1</x:v>
      </x:c>
      <x:c r="F10" s="7" t="str">
        <x:v>Le secours du primarque se déroule sur Menae.</x:v>
      </x:c>
      <x:c r="G10" s="7" t="str">
        <x:v>Front lunaire en progression circulaire ; Palaven sert de repère au ciel sans zone jouable inventée.</x:v>
      </x:c>
      <x:c r="H10" s="7" t="str">
        <x:v>Front lunaire en progression circulaire ; Palaven sert de repère au ciel sans zone jouable inventée.</x:v>
      </x:c>
      <x:c r="I10" s="7" t="str">
        <x:v>Roche lunaire et planète en flammes.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me3/worlds/menae ; rattacher les ressources et états cités à cet identifiant. Aucun fichier de jeu créé par ce catalogue.</x:v>
      </x:c>
      <x:c r="M10" s="7" t="str"/>
      <x:c r="N10" s="7" t="str">
        <x:v>Le livrable « Menae / front de Palaven » possède une scène ou un scénario de contrôle ; ses règles proposées, ses conditions et ses retours visuels sont vérifiables séparément.</x:v>
      </x:c>
      <x:c r="O10" s="7" t="str"/>
      <x:c r="P10" s="7" t="str">
        <x:v>Menae / front de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ME3-WRL-SURKESH</x:v>
      </x:c>
      <x:c r="B11" s="9" t="str">
        <x:v>Sur’Kesh</x:v>
      </x:c>
      <x:c r="C11" s="15" t="str">
        <x:v>Défini</x:v>
      </x:c>
      <x:c r="D11" s="16" t="str">
        <x:v>Établi</x:v>
      </x:c>
      <x:c r="E11" s="16" t="str">
        <x:v>P1</x:v>
      </x:c>
      <x:c r="F11" s="9" t="str">
        <x:v>Installation galarienne de l’escorte.</x:v>
      </x:c>
      <x:c r="G11" s="9" t="str">
        <x:v>Bloc vertical de laboratoire avec jungle en profondeur ; la capsule relie les étages de mission.</x:v>
      </x:c>
      <x:c r="H11" s="9" t="str">
        <x:v>Bloc vertical de laboratoire avec jungle en profondeur ; la capsule relie les étages de mission.</x:v>
      </x:c>
      <x:c r="I11" s="9" t="str">
        <x:v>Verts, blanc clinique et terrasses.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me3/worlds/surkesh ; rattacher les ressources et états cités à cet identifiant. Aucun fichier de jeu créé par ce catalogue.</x:v>
      </x:c>
      <x:c r="M11" s="9" t="str"/>
      <x:c r="N11" s="9" t="str">
        <x:v>Le livrable « Sur’Kesh » possède une scène ou un scénario de contrôle ; ses règles proposées, ses conditions et ses retours visuels sont vérifiables séparément.</x:v>
      </x:c>
      <x:c r="O11" s="9" t="str"/>
      <x:c r="P11" s="9" t="str">
        <x:v>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68" customHeight="1">
      <x:c r="A12" s="19" t="str">
        <x:v>ME3-WRL-TUCHANKA</x:v>
      </x:c>
      <x:c r="B12" s="7" t="str">
        <x:v>Tuchanka</x:v>
      </x:c>
      <x:c r="C12" s="15" t="str">
        <x:v>Défini</x:v>
      </x:c>
      <x:c r="D12" s="17" t="str">
        <x:v>Établi</x:v>
      </x:c>
      <x:c r="E12" s="17" t="str">
        <x:v>P1</x:v>
      </x:c>
      <x:c r="F12" s="7" t="str">
        <x:v>Plusieurs opérations s’y déroulent.</x:v>
      </x:c>
      <x:c r="G12" s="7" t="str">
        <x:v>Cartes de ruines, bombe et Shroud reliées uniquement par missions ; variété de couleurs sans fausse continuité géographique.</x:v>
      </x:c>
      <x:c r="H12" s="7" t="str">
        <x:v>Cartes de ruines, bombe et Shroud reliées uniquement par missions ; variété de couleurs sans fausse continuité géographique.</x:v>
      </x:c>
      <x:c r="I12" s="7" t="str">
        <x:v>Ocre, pierre ancienne et ciel de bataille.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me3/worlds/tuchanka ; rattacher les ressources et états cités à cet identifiant. Aucun fichier de jeu créé par ce catalogue.</x:v>
      </x:c>
      <x:c r="M12" s="7" t="str"/>
      <x:c r="N12" s="7" t="str">
        <x:v>Le livrable « Tuchanka » possède une scène ou un scénario de contrôle ; ses règles proposées, ses conditions et ses retours visuels sont vérifiables séparément.</x:v>
      </x:c>
      <x:c r="O12" s="7" t="str"/>
      <x:c r="P12" s="7" t="str">
        <x:v>Tuchanka</x:v>
      </x:c>
      <x:c r="Q12" s="7" t="str">
        <x:v>ME3-SRC-TUCH, ME3-SRC-BOMB, ME3-SRC-PLATOON</x:v>
      </x:c>
      <x:c r="R12" s="7" t="str">
        <x:v>https://masseffect.fandom.com/wiki/Priority%3A_Tuchanka
https://masseffect.fandom.com/wiki/Tuchanka%3A_Bomb
https://masseffect.fandom.com/wiki/Tuchanka%3A_Turian_Platoon</x:v>
      </x:c>
      <x:c r="S12" s="7" t="str">
        <x:v>Spécification à réaliser. Les champs adaptation, gameplay, visual, animation, audio et implementation décrivent le fan game ; ils ne donnent pas des caractéristiques officielles de l’œuvre.</x:v>
      </x:c>
    </x:row>
    <x:row r="13" ht="68" customHeight="1">
      <x:c r="A13" s="18" t="str">
        <x:v>ME3-WRL-UTUKKU</x:v>
      </x:c>
      <x:c r="B13" s="9" t="str">
        <x:v>Utukku</x:v>
      </x:c>
      <x:c r="C13" s="15" t="str">
        <x:v>Défini</x:v>
      </x:c>
      <x:c r="D13" s="16" t="str">
        <x:v>Établi</x:v>
      </x:c>
      <x:c r="E13" s="16" t="str">
        <x:v>P1</x:v>
      </x:c>
      <x:c r="F13" s="9" t="str">
        <x:v>Lieu de l’équipe krogan disparue.</x:v>
      </x:c>
      <x:c r="G13" s="9" t="str">
        <x:v>Surface froide puis cavernes ; passage continu au sein de la mission.</x:v>
      </x:c>
      <x:c r="H13" s="9" t="str">
        <x:v>Surface froide puis cavernes ; passage continu au sein de la mission.</x:v>
      </x:c>
      <x:c r="I13" s="9" t="str">
        <x:v>Rochers, membranes et noir profond.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me3/worlds/utukku ; rattacher les ressources et états cités à cet identifiant. Aucun fichier de jeu créé par ce catalogue.</x:v>
      </x:c>
      <x:c r="M13" s="9" t="str"/>
      <x:c r="N13" s="9" t="str">
        <x:v>Le livrable « Utukku » possède une scène ou un scénario de contrôle ; ses règles proposées, ses conditions et ses retours visuels sont vérifiables séparément.</x:v>
      </x:c>
      <x:c r="O13" s="9" t="str"/>
      <x:c r="P13" s="9" t="str">
        <x:v>Utukku</x:v>
      </x:c>
      <x:c r="Q13" s="9" t="str">
        <x:v>ME3-SRC-RACHNI</x:v>
      </x:c>
      <x:c r="R13" s="9" t="str">
        <x:v>https://masseffect.fandom.com/wiki/Attican_Traverse%3A_Krogan_Team</x:v>
      </x:c>
      <x:c r="S13" s="9" t="str">
        <x:v>Spécification à réaliser. Les champs adaptation, gameplay, visual, animation, audio et implementation décrivent le fan game ; ils ne donnent pas des caractéristiques officielles de l’œuvre.</x:v>
      </x:c>
    </x:row>
    <x:row r="14" ht="68" customHeight="1">
      <x:c r="A14" s="19" t="str">
        <x:v>ME3-WRL-GRISSOM</x:v>
      </x:c>
      <x:c r="B14" s="7" t="str">
        <x:v>Académie Grissom</x:v>
      </x:c>
      <x:c r="C14" s="15" t="str">
        <x:v>Défini</x:v>
      </x:c>
      <x:c r="D14" s="17" t="str">
        <x:v>Établi</x:v>
      </x:c>
      <x:c r="E14" s="17" t="str">
        <x:v>P1</x:v>
      </x:c>
      <x:c r="F14" s="7" t="str">
        <x:v>Site d’une évacuation.</x:v>
      </x:c>
      <x:c r="G14" s="7" t="str">
        <x:v>Station scolaire à salles distinctes ; protéger la lisibilité des groupes de civils.</x:v>
      </x:c>
      <x:c r="H14" s="7" t="str">
        <x:v>Station scolaire à salles distinctes ; protéger la lisibilité des groupes de civils.</x:v>
      </x:c>
      <x:c r="I14" s="7" t="str">
        <x:v>Coursives claires, jardin et classe.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me3/worlds/grissom ; rattacher les ressources et états cités à cet identifiant. Aucun fichier de jeu créé par ce catalogue.</x:v>
      </x:c>
      <x:c r="M14" s="7" t="str"/>
      <x:c r="N14" s="7" t="str">
        <x:v>Le livrable « Académie Grissom » possède une scène ou un scénario de contrôle ; ses règles proposées, ses conditions et ses retours visuels sont vérifiables séparément.</x:v>
      </x:c>
      <x:c r="O14" s="7" t="str"/>
      <x:c r="P14" s="7" t="str">
        <x:v>Académie Grissom</x:v>
      </x:c>
      <x:c r="Q14" s="7" t="str">
        <x:v>ME3-SRC-GRISSOM</x:v>
      </x:c>
      <x:c r="R14" s="7" t="str">
        <x:v>https://masseffect.fandom.com/wiki/Grissom_Academy%3A_Emergency_Evacuation</x:v>
      </x:c>
      <x:c r="S14" s="7" t="str">
        <x:v>Spécification à réaliser. Les champs adaptation, gameplay, visual, animation, audio et implementation décrivent le fan game ; ils ne donnent pas des caractéristiques officielles de l’œuvre.</x:v>
      </x:c>
    </x:row>
    <x:row r="15" ht="68" customHeight="1">
      <x:c r="A15" s="18" t="str">
        <x:v>ME3-WRL-GELLIX</x:v>
      </x:c>
      <x:c r="B15" s="9" t="str">
        <x:v>Gellix / Arrae</x:v>
      </x:c>
      <x:c r="C15" s="15" t="str">
        <x:v>Défini</x:v>
      </x:c>
      <x:c r="D15" s="16" t="str">
        <x:v>Établi</x:v>
      </x:c>
      <x:c r="E15" s="16" t="str">
        <x:v>P1</x:v>
      </x:c>
      <x:c r="F15" s="9" t="str">
        <x:v>Lieu des ex-scientifiques Cerberus.</x:v>
      </x:c>
      <x:c r="G15" s="9" t="str">
        <x:v>Avant-poste de hauteur et zones d’atterrissage ; deux routes de secours.</x:v>
      </x:c>
      <x:c r="H15" s="9" t="str">
        <x:v>Avant-poste de hauteur et zones d’atterrissage ; deux routes de secours.</x:v>
      </x:c>
      <x:c r="I15" s="9" t="str">
        <x:v>Roche et bâtiments industriels.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me3/worlds/gellix ; rattacher les ressources et états cités à cet identifiant. Aucun fichier de jeu créé par ce catalogue.</x:v>
      </x:c>
      <x:c r="M15" s="9" t="str"/>
      <x:c r="N15" s="9" t="str">
        <x:v>Le livrable « Gellix / Arrae » possède une scène ou un scénario de contrôle ; ses règles proposées, ses conditions et ses retours visuels sont vérifiables séparément.</x:v>
      </x:c>
      <x:c r="O15" s="9" t="str"/>
      <x:c r="P15" s="9" t="str">
        <x:v>Gellix / Arrae</x:v>
      </x:c>
      <x:c r="Q15" s="9" t="str">
        <x:v>ME3-SRC-ARRAE</x:v>
      </x:c>
      <x:c r="R15" s="9" t="str">
        <x:v>https://masseffect.fandom.com/wiki/Arrae%3A_Ex-Cerberus_Scientists</x:v>
      </x:c>
      <x:c r="S15" s="9" t="str">
        <x:v>Spécification à réaliser. Les champs adaptation, gameplay, visual, animation, audio et implementation décrivent le fan game ; ils ne donnent pas des caractéristiques officielles de l’œuvre.</x:v>
      </x:c>
    </x:row>
    <x:row r="16" ht="68" customHeight="1">
      <x:c r="A16" s="19" t="str">
        <x:v>ME3-WRL-LESSUS</x:v>
      </x:c>
      <x:c r="B16" s="7" t="str">
        <x:v>Lessus / Kallini</x:v>
      </x:c>
      <x:c r="C16" s="15" t="str">
        <x:v>Défini</x:v>
      </x:c>
      <x:c r="D16" s="17" t="str">
        <x:v>Établi</x:v>
      </x:c>
      <x:c r="E16" s="17" t="str">
        <x:v>P1</x:v>
      </x:c>
      <x:c r="F16" s="7" t="str">
        <x:v>Lieu du monastère Ardat-Yakshi.</x:v>
      </x:c>
      <x:c r="G16" s="7" t="str">
        <x:v>Approche sombre et intérieur silencieux ; lumière d’objectif indépendante de la lampe du personnage.</x:v>
      </x:c>
      <x:c r="H16" s="7" t="str">
        <x:v>Approche sombre et intérieur silencieux ; lumière d’objectif indépendante de la lampe du personnage.</x:v>
      </x:c>
      <x:c r="I16" s="7" t="str">
        <x:v>Temple asari, montagnes et ruines.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me3/worlds/lessus ; rattacher les ressources et états cités à cet identifiant. Aucun fichier de jeu créé par ce catalogue.</x:v>
      </x:c>
      <x:c r="M16" s="7" t="str"/>
      <x:c r="N16" s="7" t="str">
        <x:v>Le livrable « Lessus / Kallini » possède une scène ou un scénario de contrôle ; ses règles proposées, ses conditions et ses retours visuels sont vérifiables séparément.</x:v>
      </x:c>
      <x:c r="O16" s="7" t="str"/>
      <x:c r="P16" s="7" t="str">
        <x:v>Lessus / Kallini</x:v>
      </x:c>
      <x:c r="Q16" s="7" t="str">
        <x:v>ME3-SRC-KALLINI</x:v>
      </x:c>
      <x:c r="R16" s="7" t="str">
        <x:v>https://masseffect.fandom.com/wiki/Kallini%3A_Ardat-Yakshi_Monastery</x:v>
      </x:c>
      <x:c r="S16" s="7" t="str">
        <x:v>Spécification à réaliser. Les champs adaptation, gameplay, visual, animation, audio et implementation décrivent le fan game ; ils ne donnent pas des caractéristiques officielles de l’œuvre.</x:v>
      </x:c>
    </x:row>
    <x:row r="17" ht="68" customHeight="1">
      <x:c r="A17" s="18" t="str">
        <x:v>ME3-WRL-RANNOCH</x:v>
      </x:c>
      <x:c r="B17" s="9" t="str">
        <x:v>Rannoch</x:v>
      </x:c>
      <x:c r="C17" s="15" t="str">
        <x:v>Défini</x:v>
      </x:c>
      <x:c r="D17" s="16" t="str">
        <x:v>Établi</x:v>
      </x:c>
      <x:c r="E17" s="16" t="str">
        <x:v>P1</x:v>
      </x:c>
      <x:c r="F17" s="9" t="str">
        <x:v>Monde central du conflit geth/quarian.</x:v>
      </x:c>
      <x:c r="G17" s="9" t="str">
        <x:v>Trois opérations terrestres distinctes ; progression de guerre actualise la carte.</x:v>
      </x:c>
      <x:c r="H17" s="9" t="str">
        <x:v>Trois opérations terrestres distinctes ; progression de guerre actualise la carte.</x:v>
      </x:c>
      <x:c r="I17" s="9" t="str">
        <x:v>Montagnes désertiques et architecture geth.</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me3/worlds/rannoch ; rattacher les ressources et états cités à cet identifiant. Aucun fichier de jeu créé par ce catalogue.</x:v>
      </x:c>
      <x:c r="M17" s="9" t="str"/>
      <x:c r="N17" s="9" t="str">
        <x:v>Le livrable « Rannoch » possède une scène ou un scénario de contrôle ; ses règles proposées, ses conditions et ses retours visuels sont vérifiables séparément.</x:v>
      </x:c>
      <x:c r="O17" s="9" t="str"/>
      <x:c r="P17" s="9" t="str">
        <x:v>Rannoch</x:v>
      </x:c>
      <x:c r="Q17" s="9" t="str">
        <x:v>ME3-SRC-RANNOCH, ME3-SRC-FIGHTERS</x:v>
      </x:c>
      <x:c r="R17" s="9" t="str">
        <x:v>https://masseffect.fandom.com/wiki/Priority%3A_Rannoch
https://masseffect.fandom.com/wiki/Rannoch%3A_Geth_Fighter_Squadrons</x:v>
      </x:c>
      <x:c r="S17" s="9" t="str">
        <x:v>Spécification à réaliser. Les champs adaptation, gameplay, visual, animation, audio et implementation décrivent le fan game ; ils ne donnent pas des caractéristiques officielles de l’œuvre.</x:v>
      </x:c>
    </x:row>
    <x:row r="18" ht="68" customHeight="1">
      <x:c r="A18" s="19" t="str">
        <x:v>ME3-WRL-THESSIA</x:v>
      </x:c>
      <x:c r="B18" s="7" t="str">
        <x:v>Thessia</x:v>
      </x:c>
      <x:c r="C18" s="15" t="str">
        <x:v>Défini</x:v>
      </x:c>
      <x:c r="D18" s="17" t="str">
        <x:v>Établi</x:v>
      </x:c>
      <x:c r="E18" s="17" t="str">
        <x:v>P1</x:v>
      </x:c>
      <x:c r="F18" s="7" t="str">
        <x:v>Monde asari attaqué.</x:v>
      </x:c>
      <x:c r="G18" s="7" t="str">
        <x:v>Itinéraire urbain vers temple ; silhouettes de dévastation séparées des unités ciblables.</x:v>
      </x:c>
      <x:c r="H18" s="7" t="str">
        <x:v>Itinéraire urbain vers temple ; silhouettes de dévastation séparées des unités ciblables.</x:v>
      </x:c>
      <x:c r="I18" s="7" t="str">
        <x:v>Bleu asari, statues, fumée et ciel de guerre.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me3/worlds/thessia ; rattacher les ressources et états cités à cet identifiant. Aucun fichier de jeu créé par ce catalogue.</x:v>
      </x:c>
      <x:c r="M18" s="7" t="str"/>
      <x:c r="N18" s="7" t="str">
        <x:v>Le livrable « Thessia » possède une scène ou un scénario de contrôle ; ses règles proposées, ses conditions et ses retours visuels sont vérifiables séparément.</x:v>
      </x:c>
      <x:c r="O18" s="7" t="str"/>
      <x:c r="P18" s="7" t="str">
        <x:v>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68" customHeight="1">
      <x:c r="A19" s="18" t="str">
        <x:v>ME3-WRL-HORIZON</x:v>
      </x:c>
      <x:c r="B19" s="9" t="str">
        <x:v>Horizon — Sanctuary</x:v>
      </x:c>
      <x:c r="C19" s="15" t="str">
        <x:v>Défini</x:v>
      </x:c>
      <x:c r="D19" s="16" t="str">
        <x:v>Établi</x:v>
      </x:c>
      <x:c r="E19" s="16" t="str">
        <x:v>P1</x:v>
      </x:c>
      <x:c r="F19" s="9" t="str">
        <x:v>Site d’un centre Cerberus dissimulé.</x:v>
      </x:c>
      <x:c r="G19" s="9" t="str">
        <x:v>Contraste accueil civil/laboratoire ; toutes les preuves restent rattachées à Sanctuary.</x:v>
      </x:c>
      <x:c r="H19" s="9" t="str">
        <x:v>Contraste accueil civil/laboratoire ; toutes les preuves restent rattachées à Sanctuary.</x:v>
      </x:c>
      <x:c r="I19" s="9" t="str">
        <x:v>Blanc, eau, couloirs et sous-sol technique.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me3/worlds/horizon ; rattacher les ressources et états cités à cet identifiant. Aucun fichier de jeu créé par ce catalogue.</x:v>
      </x:c>
      <x:c r="M19" s="9" t="str"/>
      <x:c r="N19" s="9" t="str">
        <x:v>Le livrable « Horizon — Sanctuary » possède une scène ou un scénario de contrôle ; ses règles proposées, ses conditions et ses retours visuels sont vérifiables séparément.</x:v>
      </x:c>
      <x:c r="O19" s="9" t="str"/>
      <x:c r="P19" s="9" t="str">
        <x:v>Horizon — Sanctuary</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68" customHeight="1">
      <x:c r="A20" s="19" t="str">
        <x:v>ME3-WRL-EDEN</x:v>
      </x:c>
      <x:c r="B20" s="7" t="str">
        <x:v>Eden Prime</x:v>
      </x:c>
      <x:c r="C20" s="15" t="str">
        <x:v>Défini</x:v>
      </x:c>
      <x:c r="D20" s="17" t="str">
        <x:v>Établi</x:v>
      </x:c>
      <x:c r="E20" s="17" t="str">
        <x:v>P1</x:v>
      </x:c>
      <x:c r="F20" s="7" t="str">
        <x:v>Monde du DLC From Ashes.</x:v>
      </x:c>
      <x:c r="G20" s="7" t="str">
        <x:v>Zone de colonie et fouilles ; capsule en destination centrale lisible.</x:v>
      </x:c>
      <x:c r="H20" s="7" t="str">
        <x:v>Zone de colonie et fouilles ; capsule en destination centrale lisible.</x:v>
      </x:c>
      <x:c r="I20" s="7" t="str">
        <x:v>Vert, préfabriqués et technologie prothéenne.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me3/worlds/eden ; rattacher les ressources et états cités à cet identifiant. Aucun fichier de jeu créé par ce catalogue.</x:v>
      </x:c>
      <x:c r="M20" s="7" t="str"/>
      <x:c r="N20" s="7" t="str">
        <x:v>Le livrable « Eden Prime » possède une scène ou un scénario de contrôle ; ses règles proposées, ses conditions et ses retours visuels sont vérifiables séparément.</x:v>
      </x:c>
      <x:c r="O20" s="7" t="str"/>
      <x:c r="P20" s="7" t="str">
        <x:v>Eden Prime</x:v>
      </x:c>
      <x:c r="Q20" s="7" t="str">
        <x:v>ME3-SRC-EA-ASHES, ME3-SRC-MISSIONS</x:v>
      </x:c>
      <x:c r="R20" s="7" t="str">
        <x:v>https://www.ea.com/fr-fr/games/mass-effect/mass-effect-3-from-ashes
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ME3-WRL-OMEGA</x:v>
      </x:c>
      <x:c r="B21" s="9" t="str">
        <x:v>Omega occupée</x:v>
      </x:c>
      <x:c r="C21" s="15" t="str">
        <x:v>Défini</x:v>
      </x:c>
      <x:c r="D21" s="16" t="str">
        <x:v>Établi</x:v>
      </x:c>
      <x:c r="E21" s="16" t="str">
        <x:v>P1</x:v>
      </x:c>
      <x:c r="F21" s="9" t="str">
        <x:v>Cerberus occupe la station.</x:v>
      </x:c>
      <x:c r="G21" s="9" t="str">
        <x:v>Cartes de résistance et reprise ; les anciens hubs ME2 ne deviennent pas tous accessibles automatiquement.</x:v>
      </x:c>
      <x:c r="H21" s="9" t="str">
        <x:v>Cartes de résistance et reprise ; les anciens hubs ME2 ne deviennent pas tous accessibles automatiquement.</x:v>
      </x:c>
      <x:c r="I21" s="9" t="str">
        <x:v>Métal, néons et champs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me3/worlds/omega ; rattacher les ressources et états cités à cet identifiant. Aucun fichier de jeu créé par ce catalogue.</x:v>
      </x:c>
      <x:c r="M21" s="9" t="str"/>
      <x:c r="N21" s="9" t="str">
        <x:v>Le livrable « Omega occupée » possède une scène ou un scénario de contrôle ; ses règles proposées, ses conditions et ses retours visuels sont vérifiables séparément.</x:v>
      </x:c>
      <x:c r="O21" s="9" t="str"/>
      <x:c r="P21" s="9" t="str">
        <x:v>Omega occupée</x:v>
      </x:c>
      <x:c r="Q21" s="9" t="str">
        <x:v>ME3-SRC-EA-OMEGA, ME3-SRC-OMEGA</x:v>
      </x:c>
      <x:c r="R21" s="9" t="str">
        <x:v>https://www.ea.com/fr-fr/games/mass-effect/mass-effect-3-omega
https://masseffect.fandom.com/wiki/Omega%3A_Aria_T%27Loak_%28Mass_Effect_3%29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ME3-WRL-MAHAVID</x:v>
      </x:c>
      <x:c r="B22" s="7" t="str">
        <x:v>Mahavid</x:v>
      </x:c>
      <x:c r="C22" s="15" t="str">
        <x:v>Défini</x:v>
      </x:c>
      <x:c r="D22" s="17" t="str">
        <x:v>Établi</x:v>
      </x:c>
      <x:c r="E22" s="17" t="str">
        <x:v>P1</x:v>
      </x:c>
      <x:c r="F22" s="7" t="str">
        <x:v>Destination de Leviathan.</x:v>
      </x:c>
      <x:c r="G22" s="7" t="str">
        <x:v>Mine d’astéroïde en boucles courtes, espace social étrange puis combat.</x:v>
      </x:c>
      <x:c r="H22" s="7" t="str">
        <x:v>Mine d’astéroïde en boucles courtes, espace social étrange puis combat.</x:v>
      </x:c>
      <x:c r="I22" s="7" t="str">
        <x:v>Gris poussiéreux, machines et regards fixes.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me3/worlds/mahavid ; rattacher les ressources et états cités à cet identifiant. Aucun fichier de jeu créé par ce catalogue.</x:v>
      </x:c>
      <x:c r="M22" s="7" t="str"/>
      <x:c r="N22" s="7" t="str">
        <x:v>Le livrable « Mahavid » possède une scène ou un scénario de contrôle ; ses règles proposées, ses conditions et ses retours visuels sont vérifiables séparément.</x:v>
      </x:c>
      <x:c r="O22" s="7" t="str"/>
      <x:c r="P22" s="7" t="str">
        <x:v>Mahavid</x:v>
      </x:c>
      <x:c r="Q22" s="7" t="str">
        <x:v>ME3-SRC-LEV</x:v>
      </x:c>
      <x:c r="R22" s="7" t="str">
        <x:v>https://masseffect.fandom.com/wiki/Mass_Effect_3%3A_Leviathan</x:v>
      </x:c>
      <x:c r="S22" s="7" t="str">
        <x:v>Spécification à réaliser. Les champs adaptation, gameplay, visual, animation, audio et implementation décrivent le fan game ; ils ne donnent pas des caractéristiques officielles de l’œuvre.</x:v>
      </x:c>
    </x:row>
    <x:row r="23" ht="68" customHeight="1">
      <x:c r="A23" s="18" t="str">
        <x:v>ME3-WRL-NAMAKLI</x:v>
      </x:c>
      <x:c r="B23" s="9" t="str">
        <x:v>Namakli</x:v>
      </x:c>
      <x:c r="C23" s="15" t="str">
        <x:v>Défini</x:v>
      </x:c>
      <x:c r="D23" s="16" t="str">
        <x:v>Établi</x:v>
      </x:c>
      <x:c r="E23" s="16" t="str">
        <x:v>P1</x:v>
      </x:c>
      <x:c r="F23" s="9" t="str">
        <x:v>Destination de secours d’Ann.</x:v>
      </x:c>
      <x:c r="G23" s="9" t="str">
        <x:v>Verticalité de chantier, réparation et défenses ; les échelles ne bloquent pas les compagnons.</x:v>
      </x:c>
      <x:c r="H23" s="9" t="str">
        <x:v>Verticalité de chantier, réparation et défenses ; les échelles ne bloquent pas les compagnons.</x:v>
      </x:c>
      <x:c r="I23" s="9" t="str">
        <x:v>Falaises et plateformes scientifiques.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me3/worlds/namakli ; rattacher les ressources et états cités à cet identifiant. Aucun fichier de jeu créé par ce catalogue.</x:v>
      </x:c>
      <x:c r="M23" s="9" t="str"/>
      <x:c r="N23" s="9" t="str">
        <x:v>Le livrable « Namakli » possède une scène ou un scénario de contrôle ; ses règles proposées, ses conditions et ses retours visuels sont vérifiables séparément.</x:v>
      </x:c>
      <x:c r="O23" s="9" t="str"/>
      <x:c r="P23" s="9" t="str">
        <x:v>Namakli</x:v>
      </x:c>
      <x:c r="Q23" s="9" t="str">
        <x:v>ME3-SRC-LEV</x:v>
      </x:c>
      <x:c r="R23" s="9" t="str">
        <x:v>https://masseffect.fandom.com/wiki/Mass_Effect_3%3A_Leviathan</x:v>
      </x:c>
      <x:c r="S23" s="9" t="str">
        <x:v>Spécification à réaliser. Les champs adaptation, gameplay, visual, animation, audio et implementation décrivent le fan game ; ils ne donnent pas des caractéristiques officielles de l’œuvre.</x:v>
      </x:c>
    </x:row>
    <x:row r="24" ht="68" customHeight="1">
      <x:c r="A24" s="19" t="str">
        <x:v>ME3-WRL-DESPOINA</x:v>
      </x:c>
      <x:c r="B24" s="7" t="str">
        <x:v>Despoina</x:v>
      </x:c>
      <x:c r="C24" s="15" t="str">
        <x:v>Défini</x:v>
      </x:c>
      <x:c r="D24" s="17" t="str">
        <x:v>Établi</x:v>
      </x:c>
      <x:c r="E24" s="17" t="str">
        <x:v>P1</x:v>
      </x:c>
      <x:c r="F24" s="7" t="str">
        <x:v>Destination finale de Leviathan.</x:v>
      </x:c>
      <x:c r="G24" s="7" t="str">
        <x:v>Surface d’épaves puis fond marin en séquence séparée ; volume sous-marin non assimilé à l’espace.</x:v>
      </x:c>
      <x:c r="H24" s="7" t="str">
        <x:v>Surface d’épaves puis fond marin en séquence séparée ; volume sous-marin non assimilé à l’espace.</x:v>
      </x:c>
      <x:c r="I24" s="7" t="str">
        <x:v>Océan sombre, épaves et lueurs abyssales.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me3/worlds/despoina ; rattacher les ressources et états cités à cet identifiant. Aucun fichier de jeu créé par ce catalogue.</x:v>
      </x:c>
      <x:c r="M24" s="7" t="str"/>
      <x:c r="N24" s="7" t="str">
        <x:v>Le livrable « Despoina » possède une scène ou un scénario de contrôle ; ses règles proposées, ses conditions et ses retours visuels sont vérifiables séparément.</x:v>
      </x:c>
      <x:c r="O24" s="7" t="str"/>
      <x:c r="P24" s="7" t="str">
        <x:v>Despoina</x:v>
      </x:c>
      <x:c r="Q24" s="7" t="str">
        <x:v>ME3-SRC-LEV</x:v>
      </x:c>
      <x:c r="R24" s="7" t="str">
        <x:v>https://masseffect.fandom.com/wiki/Mass_Effect_3%3A_Leviathan</x:v>
      </x:c>
      <x:c r="S24" s="7" t="str">
        <x:v>Spécification à réaliser. Les champs adaptation, gameplay, visual, animation, audio et implementation décrivent le fan game ; ils ne donnent pas des caractéristiques officielles de l’œuvre.</x:v>
      </x:c>
    </x:row>
    <x:row r="25" ht="68" customHeight="1">
      <x:c r="A25" s="18" t="str">
        <x:v>ME3-WRL-CERBERUS</x:v>
      </x:c>
      <x:c r="B25" s="9" t="str">
        <x:v>Station de Cerberus</x:v>
      </x:c>
      <x:c r="C25" s="15" t="str">
        <x:v>Défini</x:v>
      </x:c>
      <x:c r="D25" s="16" t="str">
        <x:v>Établi</x:v>
      </x:c>
      <x:c r="E25" s="16" t="str">
        <x:v>P1</x:v>
      </x:c>
      <x:c r="F25" s="9" t="str">
        <x:v>Quartier général attaqué avant la Terre.</x:v>
      </x:c>
      <x:c r="G25" s="9" t="str">
        <x:v>Structure militaire en plusieurs secteurs ; retour galactique verrouillé après engagement.</x:v>
      </x:c>
      <x:c r="H25" s="9" t="str">
        <x:v>Structure militaire en plusieurs secteurs ; retour galactique verrouillé après engagement.</x:v>
      </x:c>
      <x:c r="I25" s="9" t="str">
        <x:v>Blanc Cerberus, noir et orange d’alarme.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me3/worlds/cerberus ; rattacher les ressources et états cités à cet identifiant. Aucun fichier de jeu créé par ce catalogue.</x:v>
      </x:c>
      <x:c r="M25" s="9" t="str"/>
      <x:c r="N25" s="9" t="str">
        <x:v>Le livrable « Station de Cerberus » possède une scène ou un scénario de contrôle ; ses règles proposées, ses conditions et ses retours visuels sont vérifiables séparément.</x:v>
      </x:c>
      <x:c r="O25" s="9" t="str"/>
      <x:c r="P25" s="9" t="str">
        <x:v>Station de Cerberus</x:v>
      </x:c>
      <x:c r="Q25" s="9" t="str">
        <x:v>ME3-SRC-HQ</x:v>
      </x:c>
      <x:c r="R25" s="9" t="str">
        <x:v>https://masseffect.fandom.com/wiki/Priority%3A_Cerberus_Headquarters</x:v>
      </x:c>
      <x:c r="S25" s="9" t="str">
        <x:v>Spécification à réaliser. Les champs adaptation, gameplay, visual, animation, audio et implementation décrivent le fan game ; ils ne donnent pas des caractéristiques officielles de l’œuvre.</x:v>
      </x:c>
    </x:row>
    <x:row r="26" ht="68" customHeight="1">
      <x:c r="A26" s="19" t="str">
        <x:v>ME3-WRL-CRUCIBLE</x:v>
      </x:c>
      <x:c r="B26" s="7" t="str">
        <x:v>Creuset et Citadelle finale</x:v>
      </x:c>
      <x:c r="C26" s="15" t="str">
        <x:v>Défini</x:v>
      </x:c>
      <x:c r="D26" s="17" t="str">
        <x:v>Établi</x:v>
      </x:c>
      <x:c r="E26" s="17" t="str">
        <x:v>P1</x:v>
      </x:c>
      <x:c r="F26" s="7" t="str">
        <x:v>Le Creuset porte la décision finale.</x:v>
      </x:c>
      <x:c r="G26" s="7" t="str">
        <x:v>Espace de récit final sans boutons de combat ; conserver options et conditions dans un résumé clair.</x:v>
      </x:c>
      <x:c r="H26" s="7" t="str">
        <x:v>Espace de récit final sans boutons de combat ; conserver options et conditions dans un résumé clair.</x:v>
      </x:c>
      <x:c r="I26" s="7" t="str">
        <x:v>Lumière blanche et vues sur Terre.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me3/worlds/crucible ; rattacher les ressources et états cités à cet identifiant. Aucun fichier de jeu créé par ce catalogue.</x:v>
      </x:c>
      <x:c r="M26" s="7" t="str"/>
      <x:c r="N26" s="7" t="str">
        <x:v>Le livrable « Creuset et Citadelle finale » possède une scène ou un scénario de contrôle ; ses règles proposées, ses conditions et ses retours visuels sont vérifiables séparément.</x:v>
      </x:c>
      <x:c r="O26" s="7" t="str"/>
      <x:c r="P26" s="7" t="str">
        <x:v>Creuset et Citadelle finale</x:v>
      </x:c>
      <x:c r="Q26" s="7" t="str">
        <x:v>ME3-SRC-EARTH</x:v>
      </x:c>
      <x:c r="R26" s="7" t="str">
        <x:v>https://masseffect.fandom.com/wiki/Priority%3A_Earth</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12" priority="1" operator="equal">
      <x:formula>"À vérifier"</x:formula>
    </x:cfRule>
    <x:cfRule type="cellIs" dxfId="13" priority="2" operator="equal">
      <x:formula>"Extrapolation"</x:formula>
    </x:cfRule>
  </x:conditionalFormatting>
  <x:conditionalFormatting sqref="C7:C26">
    <x:cfRule type="cellIs" dxfId="14" priority="3" operator="equal">
      <x:formula>"Validé"</x:formula>
    </x:cfRule>
  </x:conditionalFormatting>
  <x:conditionalFormatting sqref="E7:E26">
    <x:cfRule type="cellIs" dxfId="1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e0b52258cc51472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3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ME3-ZON-NORM-CIC</x:v>
      </x:c>
      <x:c r="B7" s="9" t="str">
        <x:v>Normandy — CIC et salle de guerre</x:v>
      </x:c>
      <x:c r="C7" s="15" t="str">
        <x:v>Défini</x:v>
      </x:c>
      <x:c r="D7" s="16" t="str">
        <x:v>Établi</x:v>
      </x:c>
      <x:c r="E7" s="16" t="str">
        <x:v>P1</x:v>
      </x:c>
      <x:c r="F7" s="9" t="str">
        <x:v>Centre de commandement de ME3.</x:v>
      </x:c>
      <x:c r="G7" s="9" t="str">
        <x:v>Carte et actifs de guerre séparés ; passerelle ne bloque jamais la route vers une conversation urgente.</x:v>
      </x:c>
      <x:c r="H7" s="9" t="str">
        <x:v>Carte et actifs de guerre séparés ; passerelle ne bloque jamais la route vers une conversation urgente.</x:v>
      </x:c>
      <x:c r="I7" s="9" t="str">
        <x:v>Alliance bleu/gris, hologrammes et table de briefing.</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me3/zones/norm-cic ; rattacher les ressources et états cités à cet identifiant. Aucun fichier de jeu créé par ce catalogue.</x:v>
      </x:c>
      <x:c r="M7" s="9" t="str"/>
      <x:c r="N7" s="9" t="str">
        <x:v>Le livrable « Normandy — CIC et salle de guerre » possède une scène ou un scénario de contrôle ; ses règles proposées, ses conditions et ses retours visuels sont vérifiables séparément.</x:v>
      </x:c>
      <x:c r="O7" s="9" t="str"/>
      <x:c r="P7" s="9" t="str">
        <x:v>Normandy — CIC et salle de guerre</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ME3-ZON-NORM-HANGAR</x:v>
      </x:c>
      <x:c r="B8" s="7" t="str">
        <x:v>Normandy — hangar</x:v>
      </x:c>
      <x:c r="C8" s="15" t="str">
        <x:v>Défini</x:v>
      </x:c>
      <x:c r="D8" s="17" t="str">
        <x:v>Établi</x:v>
      </x:c>
      <x:c r="E8" s="17" t="str">
        <x:v>P1</x:v>
      </x:c>
      <x:c r="F8" s="7" t="str">
        <x:v>Zone de préparation de terrain.</x:v>
      </x:c>
      <x:c r="G8" s="7" t="str">
        <x:v>Atelier d’armes, navette et contacts de James/Cortez distincts ; pas d’ouverture de dialogue par clic d’arme.</x:v>
      </x:c>
      <x:c r="H8" s="7" t="str">
        <x:v>Atelier d’armes, navette et contacts de James/Cortez distincts ; pas d’ouverture de dialogue par clic d’arme.</x:v>
      </x:c>
      <x:c r="I8" s="7" t="str">
        <x:v>Kodiak, caisses et banc d’armes.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me3/zones/norm-hangar ; rattacher les ressources et états cités à cet identifiant. Aucun fichier de jeu créé par ce catalogue.</x:v>
      </x:c>
      <x:c r="M8" s="7" t="str"/>
      <x:c r="N8" s="7" t="str">
        <x:v>Le livrable « Normandy — hangar » possède une scène ou un scénario de contrôle ; ses règles proposées, ses conditions et ses retours visuels sont vérifiables séparément.</x:v>
      </x:c>
      <x:c r="O8" s="7" t="str"/>
      <x:c r="P8" s="7" t="str">
        <x:v>Normandy — hangar</x:v>
      </x:c>
      <x:c r="Q8" s="7" t="str">
        <x:v>ME3-SRC-SQUAD</x:v>
      </x:c>
      <x:c r="R8" s="7" t="str">
        <x:v>https://masseffect.fandom.com/wiki/Squad_Members_Guide_%28Mass_Effect_3%29</x:v>
      </x:c>
      <x:c r="S8" s="7" t="str">
        <x:v>Spécification à réaliser. Les champs adaptation, gameplay, visual, animation, audio et implementation décrivent le fan game ; ils ne donnent pas des caractéristiques officielles de l’œuvre.</x:v>
      </x:c>
    </x:row>
    <x:row r="9" ht="68" customHeight="1">
      <x:c r="A9" s="18" t="str">
        <x:v>ME3-ZON-NORM-CREW</x:v>
      </x:c>
      <x:c r="B9" s="9" t="str">
        <x:v>Normandy — espaces d’équipage</x:v>
      </x:c>
      <x:c r="C9" s="15" t="str">
        <x:v>Défini</x:v>
      </x:c>
      <x:c r="D9" s="16" t="str">
        <x:v>Établi</x:v>
      </x:c>
      <x:c r="E9" s="16" t="str">
        <x:v>P1</x:v>
      </x:c>
      <x:c r="F9" s="9" t="str">
        <x:v>Équipiers vivent à bord.</x:v>
      </x:c>
      <x:c r="G9" s="9" t="str">
        <x:v>Placement dynamique après mission avec minimap de recherche ; conserver la vie quotidienne sans forcer la tournée.</x:v>
      </x:c>
      <x:c r="H9" s="9" t="str">
        <x:v>Placement dynamique après mission avec minimap de recherche ; conserver la vie quotidienne sans forcer la tournée.</x:v>
      </x:c>
      <x:c r="I9" s="9" t="str">
        <x:v>Infirmerie, mess, salon et cabines.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me3/zones/norm-crew ; rattacher les ressources et états cités à cet identifiant. Aucun fichier de jeu créé par ce catalogue.</x:v>
      </x:c>
      <x:c r="M9" s="9" t="str"/>
      <x:c r="N9" s="9" t="str">
        <x:v>Le livrable « Normandy — espaces d’équipage » possède une scène ou un scénario de contrôle ; ses règles proposées, ses conditions et ses retours visuels sont vérifiables séparément.</x:v>
      </x:c>
      <x:c r="O9" s="9" t="str"/>
      <x:c r="P9" s="9" t="str">
        <x:v>Normandy — espaces d’équipage</x:v>
      </x:c>
      <x:c r="Q9" s="9" t="str">
        <x:v>ME3-SRC-SQUAD</x:v>
      </x:c>
      <x:c r="R9" s="9" t="str">
        <x:v>https://masseffect.fandom.com/wiki/Squad_Members_Guide_%28Mass_Effect_3%29</x:v>
      </x:c>
      <x:c r="S9" s="9" t="str">
        <x:v>Spécification à réaliser. Les champs adaptation, gameplay, visual, animation, audio et implementation décrivent le fan game ; ils ne donnent pas des caractéristiques officielles de l’œuvre.</x:v>
      </x:c>
    </x:row>
    <x:row r="10" ht="68" customHeight="1">
      <x:c r="A10" s="19" t="str">
        <x:v>ME3-ZON-CIT-DOCKS</x:v>
      </x:c>
      <x:c r="B10" s="7" t="str">
        <x:v>Citadelle — docks et réfugiés</x:v>
      </x:c>
      <x:c r="C10" s="15" t="str">
        <x:v>Défini</x:v>
      </x:c>
      <x:c r="D10" s="17" t="str">
        <x:v>Établi</x:v>
      </x:c>
      <x:c r="E10" s="17" t="str">
        <x:v>P1</x:v>
      </x:c>
      <x:c r="F10" s="7" t="str">
        <x:v>Secteur de demandes civiles.</x:v>
      </x:c>
      <x:c r="G10" s="7" t="str">
        <x:v>Foule à couloirs libres ; conversations de quête signalées sans les masquer dans l’ambiance.</x:v>
      </x:c>
      <x:c r="H10" s="7" t="str">
        <x:v>Foule à couloirs libres ; conversations de quête signalées sans les masquer dans l’ambiance.</x:v>
      </x:c>
      <x:c r="I10" s="7" t="str">
        <x:v>Containers, lits et arrivées de navettes.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me3/zones/cit-docks ; rattacher les ressources et états cités à cet identifiant. Aucun fichier de jeu créé par ce catalogue.</x:v>
      </x:c>
      <x:c r="M10" s="7" t="str"/>
      <x:c r="N10" s="7" t="str">
        <x:v>Le livrable « Citadelle — docks et réfugiés » possède une scène ou un scénario de contrôle ; ses règles proposées, ses conditions et ses retours visuels sont vérifiables séparément.</x:v>
      </x:c>
      <x:c r="O10" s="7" t="str"/>
      <x:c r="P10" s="7" t="str">
        <x:v>Citadelle — docks et réfugiés</x:v>
      </x:c>
      <x:c r="Q10" s="7" t="str">
        <x:v>ME3-SRC-CITADEL</x:v>
      </x:c>
      <x:c r="R10" s="7" t="str">
        <x:v>https://masseffect.fandom.com/wiki/Citadel</x:v>
      </x:c>
      <x:c r="S10" s="7" t="str">
        <x:v>Spécification à réaliser. Les champs adaptation, gameplay, visual, animation, audio et implementation décrivent le fan game ; ils ne donnent pas des caractéristiques officielles de l’œuvre.</x:v>
      </x:c>
    </x:row>
    <x:row r="11" ht="68" customHeight="1">
      <x:c r="A11" s="18" t="str">
        <x:v>ME3-ZON-CIT-EMBASSY</x:v>
      </x:c>
      <x:c r="B11" s="9" t="str">
        <x:v>Citadelle — ambassades</x:v>
      </x:c>
      <x:c r="C11" s="15" t="str">
        <x:v>Défini</x:v>
      </x:c>
      <x:c r="D11" s="16" t="str">
        <x:v>Établi</x:v>
      </x:c>
      <x:c r="E11" s="16" t="str">
        <x:v>P1</x:v>
      </x:c>
      <x:c r="F11" s="9" t="str">
        <x:v>Hub diplomatique et Spectre.</x:v>
      </x:c>
      <x:c r="G11" s="9" t="str">
        <x:v>Réquisitions, décisions administratives et Conseil sont trois interactions ; titres clairs.</x:v>
      </x:c>
      <x:c r="H11" s="9" t="str">
        <x:v>Réquisitions, décisions administratives et Conseil sont trois interactions ; titres clairs.</x:v>
      </x:c>
      <x:c r="I11" s="9" t="str">
        <x:v>Blanc, panneaux diplomatiques et bureaux.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me3/zones/cit-embassy ; rattacher les ressources et états cités à cet identifiant. Aucun fichier de jeu créé par ce catalogue.</x:v>
      </x:c>
      <x:c r="M11" s="9" t="str"/>
      <x:c r="N11" s="9" t="str">
        <x:v>Le livrable « Citadelle — ambassades » possède une scène ou un scénario de contrôle ; ses règles proposées, ses conditions et ses retours visuels sont vérifiables séparément.</x:v>
      </x:c>
      <x:c r="O11" s="9" t="str"/>
      <x:c r="P11" s="9" t="str">
        <x:v>Citadelle — ambassades</x:v>
      </x:c>
      <x:c r="Q11" s="9" t="str">
        <x:v>ME3-SRC-CITADEL</x:v>
      </x:c>
      <x:c r="R11" s="9" t="str">
        <x:v>https://masseffect.fandom.com/wiki/Citadel</x:v>
      </x:c>
      <x:c r="S11" s="9" t="str">
        <x:v>Spécification à réaliser. Les champs adaptation, gameplay, visual, animation, audio et implementation décrivent le fan game ; ils ne donnent pas des caractéristiques officielles de l’œuvre.</x:v>
      </x:c>
    </x:row>
    <x:row r="12" ht="68" customHeight="1">
      <x:c r="A12" s="19" t="str">
        <x:v>ME3-ZON-CIT-HOSP</x:v>
      </x:c>
      <x:c r="B12" s="7" t="str">
        <x:v>Hôpital Huerta</x:v>
      </x:c>
      <x:c r="C12" s="15" t="str">
        <x:v>Défini</x:v>
      </x:c>
      <x:c r="D12" s="17" t="str">
        <x:v>Établi</x:v>
      </x:c>
      <x:c r="E12" s="17" t="str">
        <x:v>P1</x:v>
      </x:c>
      <x:c r="F12" s="7" t="str">
        <x:v>Lieu de soins et de retrouvailles.</x:v>
      </x:c>
      <x:c r="G12" s="7" t="str">
        <x:v>Conversations conditionnelles par lit ; mission de données distincte des visites personnelles.</x:v>
      </x:c>
      <x:c r="H12" s="7" t="str">
        <x:v>Conversations conditionnelles par lit ; mission de données distincte des visites personnelles.</x:v>
      </x:c>
      <x:c r="I12" s="7" t="str">
        <x:v>Lumière clinique et baies vitrées.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me3/zones/cit-hosp ; rattacher les ressources et états cités à cet identifiant. Aucun fichier de jeu créé par ce catalogue.</x:v>
      </x:c>
      <x:c r="M12" s="7" t="str"/>
      <x:c r="N12" s="7" t="str">
        <x:v>Le livrable « Hôpital Huerta » possède une scène ou un scénario de contrôle ; ses règles proposées, ses conditions et ses retours visuels sont vérifiables séparément.</x:v>
      </x:c>
      <x:c r="O12" s="7" t="str"/>
      <x:c r="P12" s="7" t="str">
        <x:v>Hôpital Huerta</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ME3-ZON-CIT-COMMONS</x:v>
      </x:c>
      <x:c r="B13" s="9" t="str">
        <x:v>Présidium — Commons</x:v>
      </x:c>
      <x:c r="C13" s="15" t="str">
        <x:v>Défini</x:v>
      </x:c>
      <x:c r="D13" s="16" t="str">
        <x:v>Établi</x:v>
      </x:c>
      <x:c r="E13" s="16" t="str">
        <x:v>P1</x:v>
      </x:c>
      <x:c r="F13" s="9" t="str">
        <x:v>Secteur social de Citadelle.</x:v>
      </x:c>
      <x:c r="G13" s="9" t="str">
        <x:v>Marchands et appartements proches ; état de fréquentation suit la guerre.</x:v>
      </x:c>
      <x:c r="H13" s="9" t="str">
        <x:v>Marchands et appartements proches ; état de fréquentation suit la guerre.</x:v>
      </x:c>
      <x:c r="I13" s="9" t="str">
        <x:v>Terrasses blanches et eau.</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me3/zones/cit-commons ; rattacher les ressources et états cités à cet identifiant. Aucun fichier de jeu créé par ce catalogue.</x:v>
      </x:c>
      <x:c r="M13" s="9" t="str">
        <x:v>Les scènes de rencontres exigent leur propre fenêtre.</x:v>
      </x:c>
      <x:c r="N13" s="9" t="str">
        <x:v>Le livrable « Présidium — Commons » possède une scène ou un scénario de contrôle ; ses règles proposées, ses conditions et ses retours visuels sont vérifiables séparément.</x:v>
      </x:c>
      <x:c r="O13" s="9" t="str"/>
      <x:c r="P13" s="9" t="str">
        <x:v>Présidium — Commons</x:v>
      </x:c>
      <x:c r="Q13" s="9" t="str">
        <x:v>ME3-SRC-CITADEL</x:v>
      </x:c>
      <x:c r="R13" s="9" t="str">
        <x:v>https://masseffect.fandom.com/wiki/Citadel</x:v>
      </x:c>
      <x:c r="S13" s="9" t="str">
        <x:v>Spécification à réaliser. Les champs adaptation, gameplay, visual, animation, audio et implementation décrivent le fan game ; ils ne donnent pas des caractéristiques officielles de l’œuvre.</x:v>
      </x:c>
    </x:row>
    <x:row r="14" ht="68" customHeight="1">
      <x:c r="A14" s="19" t="str">
        <x:v>ME3-ZON-CIT-PURGATORY</x:v>
      </x:c>
      <x:c r="B14" s="7" t="str">
        <x:v>Purgatory — bar de ME3</x:v>
      </x:c>
      <x:c r="C14" s="15" t="str">
        <x:v>Défini</x:v>
      </x:c>
      <x:c r="D14" s="17" t="str">
        <x:v>Établi</x:v>
      </x:c>
      <x:c r="E14" s="17" t="str">
        <x:v>P1</x:v>
      </x:c>
      <x:c r="F14" s="7" t="str">
        <x:v>Bar de Citadelle.</x:v>
      </x:c>
      <x:c r="G14" s="7" t="str">
        <x:v>Ne pas utiliser le modèle du vaisseau prison ME2 ; contacts d’Aria et Jack par position fixe.</x:v>
      </x:c>
      <x:c r="H14" s="7" t="str">
        <x:v>Ne pas utiliser le modèle du vaisseau prison ME2 ; contacts d’Aria et Jack par position fixe.</x:v>
      </x:c>
      <x:c r="I14" s="7" t="str">
        <x:v>Lumière violette et piste de danse.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me3/zones/cit-purgatory ; rattacher les ressources et états cités à cet identifiant. Aucun fichier de jeu créé par ce catalogue.</x:v>
      </x:c>
      <x:c r="M14" s="7" t="str"/>
      <x:c r="N14" s="7" t="str">
        <x:v>Le livrable « Purgatory — bar de ME3 » possède une scène ou un scénario de contrôle ; ses règles proposées, ses conditions et ses retours visuels sont vérifiables séparément.</x:v>
      </x:c>
      <x:c r="O14" s="7" t="str"/>
      <x:c r="P14" s="7" t="str">
        <x:v>Purgatory — bar de ME3</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ME3-ZON-MARS-ARCHIVE</x:v>
      </x:c>
      <x:c r="B15" s="9" t="str">
        <x:v>Mars — archives</x:v>
      </x:c>
      <x:c r="C15" s="15" t="str">
        <x:v>Défini</x:v>
      </x:c>
      <x:c r="D15" s="16" t="str">
        <x:v>Établi</x:v>
      </x:c>
      <x:c r="E15" s="16" t="str">
        <x:v>P1</x:v>
      </x:c>
      <x:c r="F15" s="9" t="str">
        <x:v>Site des données du Creuset.</x:v>
      </x:c>
      <x:c r="G15" s="9" t="str">
        <x:v>Combats de couloirs et baie de tempête ; faux murs techniques non utilisables comme couvert.</x:v>
      </x:c>
      <x:c r="H15" s="9" t="str">
        <x:v>Combats de couloirs et baie de tempête ; faux murs techniques non utilisables comme couvert.</x:v>
      </x:c>
      <x:c r="I15" s="9" t="str">
        <x:v>Rouge au-dehors, blanc clinique dedans.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me3/zones/mars-archive ; rattacher les ressources et états cités à cet identifiant. Aucun fichier de jeu créé par ce catalogue.</x:v>
      </x:c>
      <x:c r="M15" s="9" t="str"/>
      <x:c r="N15" s="9" t="str">
        <x:v>Le livrable « Mars — archives » possède une scène ou un scénario de contrôle ; ses règles proposées, ses conditions et ses retours visuels sont vérifiables séparément.</x:v>
      </x:c>
      <x:c r="O15" s="9" t="str"/>
      <x:c r="P15" s="9" t="str">
        <x:v>Mars — archives</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ME3-ZON-MENAE-CAMP</x:v>
      </x:c>
      <x:c r="B16" s="7" t="str">
        <x:v>Menae — camp turien</x:v>
      </x:c>
      <x:c r="C16" s="15" t="str">
        <x:v>Défini</x:v>
      </x:c>
      <x:c r="D16" s="17" t="str">
        <x:v>Établi</x:v>
      </x:c>
      <x:c r="E16" s="17" t="str">
        <x:v>P1</x:v>
      </x:c>
      <x:c r="F16" s="7" t="str">
        <x:v>Front du secours de Victus.</x:v>
      </x:c>
      <x:c r="G16" s="7" t="str">
        <x:v>Centre de commandement et plusieurs sorties, menace de brute par entrée annoncée.</x:v>
      </x:c>
      <x:c r="H16" s="7" t="str">
        <x:v>Centre de commandement et plusieurs sorties, menace de brute par entrée annoncée.</x:v>
      </x:c>
      <x:c r="I16" s="7" t="str">
        <x:v>Batteries, tentes et fumées.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me3/zones/menae-camp ; rattacher les ressources et états cités à cet identifiant. Aucun fichier de jeu créé par ce catalogue.</x:v>
      </x:c>
      <x:c r="M16" s="7" t="str"/>
      <x:c r="N16" s="7" t="str">
        <x:v>Le livrable « Menae — camp turien » possède une scène ou un scénario de contrôle ; ses règles proposées, ses conditions et ses retours visuels sont vérifiables séparément.</x:v>
      </x:c>
      <x:c r="O16" s="7" t="str"/>
      <x:c r="P16" s="7" t="str">
        <x:v>Menae — camp turien</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ME3-ZON-SURKESH-LAB</x:v>
      </x:c>
      <x:c r="B17" s="9" t="str">
        <x:v>Sur’Kesh — laboratoire vertical</x:v>
      </x:c>
      <x:c r="C17" s="15" t="str">
        <x:v>Défini</x:v>
      </x:c>
      <x:c r="D17" s="16" t="str">
        <x:v>Établi</x:v>
      </x:c>
      <x:c r="E17" s="16" t="str">
        <x:v>P1</x:v>
      </x:c>
      <x:c r="F17" s="9" t="str">
        <x:v>Capsule d’Eve à évacuer.</x:v>
      </x:c>
      <x:c r="G17" s="9" t="str">
        <x:v>Étages reliés par ascenseurs de capsule ; les ennemis attaquent les flancs sans téléportation invisible.</x:v>
      </x:c>
      <x:c r="H17" s="9" t="str">
        <x:v>Étages reliés par ascenseurs de capsule ; les ennemis attaquent les flancs sans téléportation invisible.</x:v>
      </x:c>
      <x:c r="I17" s="9" t="str">
        <x:v>Végétation et consoles galariennes.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me3/zones/surkesh-lab ; rattacher les ressources et états cités à cet identifiant. Aucun fichier de jeu créé par ce catalogue.</x:v>
      </x:c>
      <x:c r="M17" s="9" t="str"/>
      <x:c r="N17" s="9" t="str">
        <x:v>Le livrable « Sur’Kesh — laboratoire vertical » possède une scène ou un scénario de contrôle ; ses règles proposées, ses conditions et ses retours visuels sont vérifiables séparément.</x:v>
      </x:c>
      <x:c r="O17" s="9" t="str"/>
      <x:c r="P17" s="9" t="str">
        <x:v>Sur’Kesh — laboratoire vertical</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ME3-ZON-SHROUD</x:v>
      </x:c>
      <x:c r="B18" s="7" t="str">
        <x:v>Tuchanka — Shroud</x:v>
      </x:c>
      <x:c r="C18" s="15" t="str">
        <x:v>Défini</x:v>
      </x:c>
      <x:c r="D18" s="17" t="str">
        <x:v>Établi</x:v>
      </x:c>
      <x:c r="E18" s="17" t="str">
        <x:v>P1</x:v>
      </x:c>
      <x:c r="F18" s="7" t="str">
        <x:v>La cure passe par la tour.</x:v>
      </x:c>
      <x:c r="G18" s="7" t="str">
        <x:v>Montée narrative, sabotage et conclusion ; garder le combat géant à distance de l’intérieur.</x:v>
      </x:c>
      <x:c r="H18" s="7" t="str">
        <x:v>Montée narrative, sabotage et conclusion ; garder le combat géant à distance de l’intérieur.</x:v>
      </x:c>
      <x:c r="I18" s="7" t="str">
        <x:v>Tour atmosphérique et ruines sacrées.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me3/zones/shroud ; rattacher les ressources et états cités à cet identifiant. Aucun fichier de jeu créé par ce catalogue.</x:v>
      </x:c>
      <x:c r="M18" s="7" t="str"/>
      <x:c r="N18" s="7" t="str">
        <x:v>Le livrable « Tuchanka — Shroud » possède une scène ou un scénario de contrôle ; ses règles proposées, ses conditions et ses retours visuels sont vérifiables séparément.</x:v>
      </x:c>
      <x:c r="O18" s="7" t="str"/>
      <x:c r="P18" s="7" t="str">
        <x:v>Tuchanka — Shroud</x:v>
      </x:c>
      <x:c r="Q18" s="7" t="str">
        <x:v>ME3-SRC-TUCH</x:v>
      </x:c>
      <x:c r="R18" s="7" t="str">
        <x:v>https://masseffect.fandom.com/wiki/Priority%3A_Tuchanka</x:v>
      </x:c>
      <x:c r="S18" s="7" t="str">
        <x:v>Spécification à réaliser. Les champs adaptation, gameplay, visual, animation, audio et implementation décrivent le fan game ; ils ne donnent pas des caractéristiques officielles de l’œuvre.</x:v>
      </x:c>
    </x:row>
    <x:row r="19" ht="68" customHeight="1">
      <x:c r="A19" s="18" t="str">
        <x:v>ME3-ZON-TUCH-BOMB</x:v>
      </x:c>
      <x:c r="B19" s="9" t="str">
        <x:v>Tuchanka — site de la bombe</x:v>
      </x:c>
      <x:c r="C19" s="15" t="str">
        <x:v>Défini</x:v>
      </x:c>
      <x:c r="D19" s="16" t="str">
        <x:v>Établi</x:v>
      </x:c>
      <x:c r="E19" s="16" t="str">
        <x:v>P1</x:v>
      </x:c>
      <x:c r="F19" s="9" t="str">
        <x:v>Zone de désamorçage.</x:v>
      </x:c>
      <x:c r="G19" s="9" t="str">
        <x:v>Couverture en anneau et défense de l’officier ; arme lourde locale marquée comme temporaire.</x:v>
      </x:c>
      <x:c r="H19" s="9" t="str">
        <x:v>Couverture en anneau et défense de l’officier ; arme lourde locale marquée comme temporaire.</x:v>
      </x:c>
      <x:c r="I19" s="9" t="str">
        <x:v>Pylônes et dispositif sous ruines.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me3/zones/tuch-bomb ; rattacher les ressources et états cités à cet identifiant. Aucun fichier de jeu créé par ce catalogue.</x:v>
      </x:c>
      <x:c r="M19" s="9" t="str"/>
      <x:c r="N19" s="9" t="str">
        <x:v>Le livrable « Tuchanka — site de la bombe » possède une scène ou un scénario de contrôle ; ses règles proposées, ses conditions et ses retours visuels sont vérifiables séparément.</x:v>
      </x:c>
      <x:c r="O19" s="9" t="str"/>
      <x:c r="P19" s="9" t="str">
        <x:v>Tuchanka — site de la bombe</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ME3-ZON-RACHNI-TUNNEL</x:v>
      </x:c>
      <x:c r="B20" s="7" t="str">
        <x:v>Utukku — tunnels rachni</x:v>
      </x:c>
      <x:c r="C20" s="15" t="str">
        <x:v>Défini</x:v>
      </x:c>
      <x:c r="D20" s="17" t="str">
        <x:v>Établi</x:v>
      </x:c>
      <x:c r="E20" s="17" t="str">
        <x:v>P1</x:v>
      </x:c>
      <x:c r="F20" s="7" t="str">
        <x:v>La reine est au fond des tunnels.</x:v>
      </x:c>
      <x:c r="G20" s="7" t="str">
        <x:v>Coulées organiques, sacs de swarmer et poche de reine ; les flammes dégageant le chemin restent distinctes du tir d’arme.</x:v>
      </x:c>
      <x:c r="H20" s="7" t="str">
        <x:v>Coulées organiques, sacs de swarmer et poche de reine ; les flammes dégageant le chemin restent distinctes du tir d’arme.</x:v>
      </x:c>
      <x:c r="I20" s="7" t="str">
        <x:v>Membranes et halos Moissonneurs.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me3/zones/rachni-tunnel ; rattacher les ressources et états cités à cet identifiant. Aucun fichier de jeu créé par ce catalogue.</x:v>
      </x:c>
      <x:c r="M20" s="7" t="str"/>
      <x:c r="N20" s="7" t="str">
        <x:v>Le livrable « Utukku — tunnels rachni » possède une scène ou un scénario de contrôle ; ses règles proposées, ses conditions et ses retours visuels sont vérifiables séparément.</x:v>
      </x:c>
      <x:c r="O20" s="7" t="str"/>
      <x:c r="P20" s="7" t="str">
        <x:v>Utukku — tunnels rachni</x:v>
      </x:c>
      <x:c r="Q20" s="7" t="str">
        <x:v>ME3-SRC-RACHNI</x:v>
      </x:c>
      <x:c r="R20" s="7" t="str">
        <x:v>https://masseffect.fandom.com/wiki/Attican_Traverse%3A_Krogan_Team</x:v>
      </x:c>
      <x:c r="S20" s="7" t="str">
        <x:v>Spécification à réaliser. Les champs adaptation, gameplay, visual, animation, audio et implementation décrivent le fan game ; ils ne donnent pas des caractéristiques officielles de l’œuvre.</x:v>
      </x:c>
    </x:row>
    <x:row r="21" ht="68" customHeight="1">
      <x:c r="A21" s="18" t="str">
        <x:v>ME3-ZON-GRISSOM-ATRIUM</x:v>
      </x:c>
      <x:c r="B21" s="9" t="str">
        <x:v>Grissom — atrium</x:v>
      </x:c>
      <x:c r="C21" s="15" t="str">
        <x:v>Défini</x:v>
      </x:c>
      <x:c r="D21" s="16" t="str">
        <x:v>Établi</x:v>
      </x:c>
      <x:c r="E21" s="16" t="str">
        <x:v>P1</x:v>
      </x:c>
      <x:c r="F21" s="9" t="str">
        <x:v>L’évacuation traverse les salles d’école.</x:v>
      </x:c>
      <x:c r="G21" s="9" t="str">
        <x:v>Deux niveaux avec défenses d’élèves ; les silhouettes civiles utilisent des marques de non-cible.</x:v>
      </x:c>
      <x:c r="H21" s="9" t="str">
        <x:v>Deux niveaux avec défenses d’élèves ; les silhouettes civiles utilisent des marques de non-cible.</x:v>
      </x:c>
      <x:c r="I21" s="9" t="str">
        <x:v>Jardin intérieur, vitres et classe détruite.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me3/zones/grissom-atrium ; rattacher les ressources et états cités à cet identifiant. Aucun fichier de jeu créé par ce catalogue.</x:v>
      </x:c>
      <x:c r="M21" s="9" t="str"/>
      <x:c r="N21" s="9" t="str">
        <x:v>Le livrable « Grissom — atrium » possède une scène ou un scénario de contrôle ; ses règles proposées, ses conditions et ses retours visuels sont vérifiables séparément.</x:v>
      </x:c>
      <x:c r="O21" s="9" t="str"/>
      <x:c r="P21" s="9" t="str">
        <x:v>Grissom — atrium</x:v>
      </x:c>
      <x:c r="Q21" s="9" t="str">
        <x:v>ME3-SRC-GRISSOM</x:v>
      </x:c>
      <x:c r="R21" s="9" t="str">
        <x:v>https://masseffect.fandom.com/wiki/Grissom_Academy%3A_Emergency_Evacuation</x:v>
      </x:c>
      <x:c r="S21" s="9" t="str">
        <x:v>Spécification à réaliser. Les champs adaptation, gameplay, visual, animation, audio et implementation décrivent le fan game ; ils ne donnent pas des caractéristiques officielles de l’œuvre.</x:v>
      </x:c>
    </x:row>
    <x:row r="22" ht="68" customHeight="1">
      <x:c r="A22" s="19" t="str">
        <x:v>ME3-ZON-ARRAE-BASE</x:v>
      </x:c>
      <x:c r="B22" s="7" t="str">
        <x:v>Gellix — camp scientifique</x:v>
      </x:c>
      <x:c r="C22" s="15" t="str">
        <x:v>Défini</x:v>
      </x:c>
      <x:c r="D22" s="17" t="str">
        <x:v>Établi</x:v>
      </x:c>
      <x:c r="E22" s="17" t="str">
        <x:v>P1</x:v>
      </x:c>
      <x:c r="F22" s="7" t="str">
        <x:v>Les civils attendent l’extraction.</x:v>
      </x:c>
      <x:c r="G22" s="7" t="str">
        <x:v>Périphérie de tourelle et toit de communication ; routes d’évacuation réservées.</x:v>
      </x:c>
      <x:c r="H22" s="7" t="str">
        <x:v>Périphérie de tourelle et toit de communication ; routes d’évacuation réservées.</x:v>
      </x:c>
      <x:c r="I22" s="7" t="str">
        <x:v>Containers et laboratoire de fortune.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me3/zones/arrae-base ; rattacher les ressources et états cités à cet identifiant. Aucun fichier de jeu créé par ce catalogue.</x:v>
      </x:c>
      <x:c r="M22" s="7" t="str"/>
      <x:c r="N22" s="7" t="str">
        <x:v>Le livrable « Gellix — camp scientifique » possède une scène ou un scénario de contrôle ; ses règles proposées, ses conditions et ses retours visuels sont vérifiables séparément.</x:v>
      </x:c>
      <x:c r="O22" s="7" t="str"/>
      <x:c r="P22" s="7" t="str">
        <x:v>Gellix — camp scientifique</x:v>
      </x:c>
      <x:c r="Q22" s="7" t="str">
        <x:v>ME3-SRC-ARRAE</x:v>
      </x:c>
      <x:c r="R22" s="7" t="str">
        <x:v>https://masseffect.fandom.com/wiki/Arrae%3A_Ex-Cerberus_Scientists</x:v>
      </x:c>
      <x:c r="S22" s="7" t="str">
        <x:v>Spécification à réaliser. Les champs adaptation, gameplay, visual, animation, audio et implementation décrivent le fan game ; ils ne donnent pas des caractéristiques officielles de l’œuvre.</x:v>
      </x:c>
    </x:row>
    <x:row r="23" ht="68" customHeight="1">
      <x:c r="A23" s="18" t="str">
        <x:v>ME3-ZON-KALLINI-HALL</x:v>
      </x:c>
      <x:c r="B23" s="9" t="str">
        <x:v>Monastère — grand hall</x:v>
      </x:c>
      <x:c r="C23" s="15" t="str">
        <x:v>Défini</x:v>
      </x:c>
      <x:c r="D23" s="16" t="str">
        <x:v>Établi</x:v>
      </x:c>
      <x:c r="E23" s="16" t="str">
        <x:v>P1</x:v>
      </x:c>
      <x:c r="F23" s="9" t="str">
        <x:v>Falere recherche Rila.</x:v>
      </x:c>
      <x:c r="G23" s="9" t="str">
        <x:v>Salle sombre avec repères fixes ; Banshee audible et visible avant entrée dans la zone proche.</x:v>
      </x:c>
      <x:c r="H23" s="9" t="str">
        <x:v>Salle sombre avec repères fixes ; Banshee audible et visible avant entrée dans la zone proche.</x:v>
      </x:c>
      <x:c r="I23" s="9" t="str">
        <x:v>Grand volume asari et piliers.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me3/zones/kallini-hall ; rattacher les ressources et états cités à cet identifiant. Aucun fichier de jeu créé par ce catalogue.</x:v>
      </x:c>
      <x:c r="M23" s="9" t="str"/>
      <x:c r="N23" s="9" t="str">
        <x:v>Le livrable « Monastère — grand hall » possède une scène ou un scénario de contrôle ; ses règles proposées, ses conditions et ses retours visuels sont vérifiables séparément.</x:v>
      </x:c>
      <x:c r="O23" s="9" t="str"/>
      <x:c r="P23" s="9" t="str">
        <x:v>Monastère — grand hall</x:v>
      </x:c>
      <x:c r="Q23" s="9" t="str">
        <x:v>ME3-SRC-KALLINI</x:v>
      </x:c>
      <x:c r="R23" s="9" t="str">
        <x:v>https://masseffect.fandom.com/wiki/Kallini%3A_Ardat-Yakshi_Monastery</x:v>
      </x:c>
      <x:c r="S23" s="9" t="str">
        <x:v>Spécification à réaliser. Les champs adaptation, gameplay, visual, animation, audio et implementation décrivent le fan game ; ils ne donnent pas des caractéristiques officielles de l’œuvre.</x:v>
      </x:c>
    </x:row>
    <x:row r="24" ht="68" customHeight="1">
      <x:c r="A24" s="19" t="str">
        <x:v>ME3-ZON-GETH-DREAD</x:v>
      </x:c>
      <x:c r="B24" s="7" t="str">
        <x:v>Cuirassé geth — canon</x:v>
      </x:c>
      <x:c r="C24" s="15" t="str">
        <x:v>Défini</x:v>
      </x:c>
      <x:c r="D24" s="17" t="str">
        <x:v>Établi</x:v>
      </x:c>
      <x:c r="E24" s="17" t="str">
        <x:v>P1</x:v>
      </x:c>
      <x:c r="F24" s="7" t="str">
        <x:v>Mission d’assaut du cuirassé.</x:v>
      </x:c>
      <x:c r="G24" s="7" t="str">
        <x:v>Impulsions périodiques annoncées au sol ; abris ne cachant pas la jauge de charge.</x:v>
      </x:c>
      <x:c r="H24" s="7" t="str">
        <x:v>Impulsions périodiques annoncées au sol ; abris ne cachant pas la jauge de charge.</x:v>
      </x:c>
      <x:c r="I24" s="7" t="str">
        <x:v>Canon central bleu et surfaces synthétiques.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me3/zones/geth-dread ; rattacher les ressources et états cités à cet identifiant. Aucun fichier de jeu créé par ce catalogue.</x:v>
      </x:c>
      <x:c r="M24" s="7" t="str"/>
      <x:c r="N24" s="7" t="str">
        <x:v>Le livrable « Cuirassé geth — canon » possède une scène ou un scénario de contrôle ; ses règles proposées, ses conditions et ses retours visuels sont vérifiables séparément.</x:v>
      </x:c>
      <x:c r="O24" s="7" t="str"/>
      <x:c r="P24" s="7" t="str">
        <x:v>Cuirassé geth — canon</x:v>
      </x:c>
      <x:c r="Q24" s="7" t="str">
        <x:v>ME3-SRC-MISSIONS</x:v>
      </x:c>
      <x:c r="R24" s="7" t="str">
        <x:v>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ME3-ZON-GETH-CONSENSUS</x:v>
      </x:c>
      <x:c r="B25" s="9" t="str">
        <x:v>Consensus geth</x:v>
      </x:c>
      <x:c r="C25" s="15" t="str">
        <x:v>Défini</x:v>
      </x:c>
      <x:c r="D25" s="16" t="str">
        <x:v>Établi</x:v>
      </x:c>
      <x:c r="E25" s="16" t="str">
        <x:v>P1</x:v>
      </x:c>
      <x:c r="F25" s="9" t="str">
        <x:v>Le joueur visite un espace virtuel.</x:v>
      </x:c>
      <x:c r="G25" s="9" t="str">
        <x:v>Traversée en couche séparée ; arme de débogage sans inventaire de campagne et fragments de mémoire non tirables.</x:v>
      </x:c>
      <x:c r="H25" s="9" t="str">
        <x:v>Traversée en couche séparée ; arme de débogage sans inventaire de campagne et fragments de mémoire non tirables.</x:v>
      </x:c>
      <x:c r="I25" s="9" t="str">
        <x:v>Blanc numérique et chemins de données.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me3/zones/geth-consensus ; rattacher les ressources et états cités à cet identifiant. Aucun fichier de jeu créé par ce catalogue.</x:v>
      </x:c>
      <x:c r="M25" s="9" t="str"/>
      <x:c r="N25" s="9" t="str">
        <x:v>Le livrable « Consensus geth » possède une scène ou un scénario de contrôle ; ses règles proposées, ses conditions et ses retours visuels sont vérifiables séparément.</x:v>
      </x:c>
      <x:c r="O25" s="9" t="str"/>
      <x:c r="P25" s="9" t="str">
        <x:v>Consensus geth</x:v>
      </x:c>
      <x:c r="Q25" s="9" t="str">
        <x:v>ME3-SRC-FIGHTERS</x:v>
      </x:c>
      <x:c r="R25" s="9" t="str">
        <x:v>https://masseffect.fandom.com/wiki/Rannoch%3A_Geth_Fighter_Squadrons</x:v>
      </x:c>
      <x:c r="S25" s="9" t="str">
        <x:v>Spécification à réaliser. Les champs adaptation, gameplay, visual, animation, audio et implementation décrivent le fan game ; ils ne donnent pas des caractéristiques officielles de l’œuvre.</x:v>
      </x:c>
    </x:row>
    <x:row r="26" ht="68" customHeight="1">
      <x:c r="A26" s="19" t="str">
        <x:v>ME3-ZON-RANNOCH-BASE</x:v>
      </x:c>
      <x:c r="B26" s="7" t="str">
        <x:v>Rannoch — base du Moissonneur</x:v>
      </x:c>
      <x:c r="C26" s="15" t="str">
        <x:v>Défini</x:v>
      </x:c>
      <x:c r="D26" s="17" t="str">
        <x:v>Établi</x:v>
      </x:c>
      <x:c r="E26" s="17" t="str">
        <x:v>P1</x:v>
      </x:c>
      <x:c r="F26" s="7" t="str">
        <x:v>Site de confrontation planétaire.</x:v>
      </x:c>
      <x:c r="G26" s="7" t="str">
        <x:v>Trois arènes jusqu’au ciblage de vaisseau ; mode d’aide de visée du boss proposé.</x:v>
      </x:c>
      <x:c r="H26" s="7" t="str">
        <x:v>Trois arènes jusqu’au ciblage de vaisseau ; mode d’aide de visée du boss proposé.</x:v>
      </x:c>
      <x:c r="I26" s="7" t="str">
        <x:v>Structures geth, plateaux et grand rayon.</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me3/zones/rannoch-base ; rattacher les ressources et états cités à cet identifiant. Aucun fichier de jeu créé par ce catalogue.</x:v>
      </x:c>
      <x:c r="M26" s="7" t="str"/>
      <x:c r="N26" s="7" t="str">
        <x:v>Le livrable « Rannoch — base du Moissonneur » possède une scène ou un scénario de contrôle ; ses règles proposées, ses conditions et ses retours visuels sont vérifiables séparément.</x:v>
      </x:c>
      <x:c r="O26" s="7" t="str"/>
      <x:c r="P26" s="7" t="str">
        <x:v>Rannoch — base du Moissonneur</x:v>
      </x:c>
      <x:c r="Q26" s="7" t="str">
        <x:v>ME3-SRC-RANNOCH</x:v>
      </x:c>
      <x:c r="R26" s="7" t="str">
        <x:v>https://masseffect.fandom.com/wiki/Priority%3A_Rannoch</x:v>
      </x:c>
      <x:c r="S26" s="7" t="str">
        <x:v>Spécification à réaliser. Les champs adaptation, gameplay, visual, animation, audio et implementation décrivent le fan game ; ils ne donnent pas des caractéristiques officielles de l’œuvre.</x:v>
      </x:c>
    </x:row>
    <x:row r="27" ht="68" customHeight="1">
      <x:c r="A27" s="18" t="str">
        <x:v>ME3-ZON-THESSIA-TEMPLE</x:v>
      </x:c>
      <x:c r="B27" s="9" t="str">
        <x:v>Thessia — temple d’Athame</x:v>
      </x:c>
      <x:c r="C27" s="15" t="str">
        <x:v>Défini</x:v>
      </x:c>
      <x:c r="D27" s="16" t="str">
        <x:v>Établi</x:v>
      </x:c>
      <x:c r="E27" s="16" t="str">
        <x:v>P1</x:v>
      </x:c>
      <x:c r="F27" s="9" t="str">
        <x:v>Vendetta est révélée au temple.</x:v>
      </x:c>
      <x:c r="G27" s="9" t="str">
        <x:v>Indices architecturaux puis activation ; dialogues de Javik conditionnels sans le rendre obligatoire.</x:v>
      </x:c>
      <x:c r="H27" s="9" t="str">
        <x:v>Indices architecturaux puis activation ; dialogues de Javik conditionnels sans le rendre obligatoire.</x:v>
      </x:c>
      <x:c r="I27" s="9" t="str">
        <x:v>Statues asari et hologramme prothéen.</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me3/zones/thessia-temple ; rattacher les ressources et états cités à cet identifiant. Aucun fichier de jeu créé par ce catalogue.</x:v>
      </x:c>
      <x:c r="M27" s="9" t="str"/>
      <x:c r="N27" s="9" t="str">
        <x:v>Le livrable « Thessia — temple d’Athame » possède une scène ou un scénario de contrôle ; ses règles proposées, ses conditions et ses retours visuels sont vérifiables séparément.</x:v>
      </x:c>
      <x:c r="O27" s="9" t="str"/>
      <x:c r="P27" s="9" t="str">
        <x:v>Thessia — temple d’Athame</x:v>
      </x:c>
      <x:c r="Q27" s="9" t="str">
        <x:v>ME3-SRC-THESSIA</x:v>
      </x:c>
      <x:c r="R27" s="9" t="str">
        <x:v>https://masseffect.fandom.com/wiki/Priority%3A_Thessia</x:v>
      </x:c>
      <x:c r="S27" s="9" t="str">
        <x:v>Spécification à réaliser. Les champs adaptation, gameplay, visual, animation, audio et implementation décrivent le fan game ; ils ne donnent pas des caractéristiques officielles de l’œuvre.</x:v>
      </x:c>
    </x:row>
    <x:row r="28" ht="68" customHeight="1">
      <x:c r="A28" s="19" t="str">
        <x:v>ME3-ZON-SANCTUARY</x:v>
      </x:c>
      <x:c r="B28" s="7" t="str">
        <x:v>Horizon — accueil et laboratoires</x:v>
      </x:c>
      <x:c r="C28" s="15" t="str">
        <x:v>Défini</x:v>
      </x:c>
      <x:c r="D28" s="17" t="str">
        <x:v>Établi</x:v>
      </x:c>
      <x:c r="E28" s="17" t="str">
        <x:v>P1</x:v>
      </x:c>
      <x:c r="F28" s="7" t="str">
        <x:v>Sanctuary cache son programme.</x:v>
      </x:c>
      <x:c r="G28" s="7" t="str">
        <x:v>Parcours de dévoilement en couches ; panneaux de bienvenue contrastent avec équipement de recherche.</x:v>
      </x:c>
      <x:c r="H28" s="7" t="str">
        <x:v>Parcours de dévoilement en couches ; panneaux de bienvenue contrastent avec équipement de recherche.</x:v>
      </x:c>
      <x:c r="I28" s="7" t="str">
        <x:v>Blanc rassurant puis noir technique.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me3/zones/sanctuary ; rattacher les ressources et états cités à cet identifiant. Aucun fichier de jeu créé par ce catalogue.</x:v>
      </x:c>
      <x:c r="M28" s="7" t="str"/>
      <x:c r="N28" s="7" t="str">
        <x:v>Le livrable « Horizon — accueil et laboratoires » possède une scène ou un scénario de contrôle ; ses règles proposées, ses conditions et ses retours visuels sont vérifiables séparément.</x:v>
      </x:c>
      <x:c r="O28" s="7" t="str"/>
      <x:c r="P28" s="7" t="str">
        <x:v>Horizon — accueil et laboratoires</x:v>
      </x:c>
      <x:c r="Q28" s="7" t="str">
        <x:v>ME3-SRC-HORIZON</x:v>
      </x:c>
      <x:c r="R28" s="7" t="str">
        <x:v>https://masseffect.fandom.com/wiki/Priority%3A_Horizon</x:v>
      </x:c>
      <x:c r="S28" s="7" t="str">
        <x:v>Spécification à réaliser. Les champs adaptation, gameplay, visual, animation, audio et implementation décrivent le fan game ; ils ne donnent pas des caractéristiques officielles de l’œuvre.</x:v>
      </x:c>
    </x:row>
    <x:row r="29" ht="68" customHeight="1">
      <x:c r="A29" s="18" t="str">
        <x:v>ME3-ZON-HQ-HANGAR</x:v>
      </x:c>
      <x:c r="B29" s="9" t="str">
        <x:v>Cerberus — hangar et archives</x:v>
      </x:c>
      <x:c r="C29" s="15" t="str">
        <x:v>Défini</x:v>
      </x:c>
      <x:c r="D29" s="16" t="str">
        <x:v>Établi</x:v>
      </x:c>
      <x:c r="E29" s="16" t="str">
        <x:v>P1</x:v>
      </x:c>
      <x:c r="F29" s="9" t="str">
        <x:v>L’assaut mène aux données de Cerberus.</x:v>
      </x:c>
      <x:c r="G29" s="9" t="str">
        <x:v>Hangar d’Atlas, passerelles puis salle Kai Leng ; écran de verrou final avant embarquement.</x:v>
      </x:c>
      <x:c r="H29" s="9" t="str">
        <x:v>Hangar d’Atlas, passerelles puis salle Kai Leng ; écran de verrou final avant embarquement.</x:v>
      </x:c>
      <x:c r="I29" s="9" t="str">
        <x:v>Navettes, vidéos et bureaux.</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me3/zones/hq-hangar ; rattacher les ressources et états cités à cet identifiant. Aucun fichier de jeu créé par ce catalogue.</x:v>
      </x:c>
      <x:c r="M29" s="9" t="str"/>
      <x:c r="N29" s="9" t="str">
        <x:v>Le livrable « Cerberus — hangar et archives » possède une scène ou un scénario de contrôle ; ses règles proposées, ses conditions et ses retours visuels sont vérifiables séparément.</x:v>
      </x:c>
      <x:c r="O29" s="9" t="str"/>
      <x:c r="P29" s="9" t="str">
        <x:v>Cerberus — hangar et archives</x:v>
      </x:c>
      <x:c r="Q29" s="9" t="str">
        <x:v>ME3-SRC-HQ</x:v>
      </x:c>
      <x:c r="R29" s="9" t="str">
        <x:v>https://masseffect.fandom.com/wiki/Priority%3A_Cerberus_Headquarters</x:v>
      </x:c>
      <x:c r="S29" s="9" t="str">
        <x:v>Spécification à réaliser. Les champs adaptation, gameplay, visual, animation, audio et implementation décrivent le fan game ; ils ne donnent pas des caractéristiques officielles de l’œuvre.</x:v>
      </x:c>
    </x:row>
    <x:row r="30" ht="68" customHeight="1">
      <x:c r="A30" s="19" t="str">
        <x:v>ME3-ZON-LONDON-FOB</x:v>
      </x:c>
      <x:c r="B30" s="7" t="str">
        <x:v>Londres — base avancée</x:v>
      </x:c>
      <x:c r="C30" s="15" t="str">
        <x:v>Défini</x:v>
      </x:c>
      <x:c r="D30" s="17" t="str">
        <x:v>Établi</x:v>
      </x:c>
      <x:c r="E30" s="17" t="str">
        <x:v>P1</x:v>
      </x:c>
      <x:c r="F30" s="7" t="str">
        <x:v>Point de préparation avant l’attaque.</x:v>
      </x:c>
      <x:c r="G30" s="7" t="str">
        <x:v>Derniers entretiens, composition et tirs de soutien ; la validation de départ est distincte des adieux.</x:v>
      </x:c>
      <x:c r="H30" s="7" t="str">
        <x:v>Derniers entretiens, composition et tirs de soutien ; la validation de départ est distincte des adieux.</x:v>
      </x:c>
      <x:c r="I30" s="7" t="str">
        <x:v>Ruines, radio et alliés rassemblés.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me3/zones/london-fob ; rattacher les ressources et états cités à cet identifiant. Aucun fichier de jeu créé par ce catalogue.</x:v>
      </x:c>
      <x:c r="M30" s="7" t="str"/>
      <x:c r="N30" s="7" t="str">
        <x:v>Le livrable « Londres — base avancée » possède une scène ou un scénario de contrôle ; ses règles proposées, ses conditions et ses retours visuels sont vérifiables séparément.</x:v>
      </x:c>
      <x:c r="O30" s="7" t="str"/>
      <x:c r="P30" s="7" t="str">
        <x:v>Londres — base avancée</x:v>
      </x:c>
      <x:c r="Q30" s="7" t="str">
        <x:v>ME3-SRC-EARTH</x:v>
      </x:c>
      <x:c r="R30" s="7" t="str">
        <x:v>https://masseffect.fandom.com/wiki/Priority%3A_Earth</x:v>
      </x:c>
      <x:c r="S30" s="7" t="str">
        <x:v>Spécification à réaliser. Les champs adaptation, gameplay, visual, animation, audio et implementation décrivent le fan game ; ils ne donnent pas des caractéristiques officielles de l’œuvre.</x:v>
      </x:c>
    </x:row>
    <x:row r="31" ht="68" customHeight="1">
      <x:c r="A31" s="18" t="str">
        <x:v>ME3-ZON-LONDON-MISSILES</x:v>
      </x:c>
      <x:c r="B31" s="9" t="str">
        <x:v>Londres — batterie de missiles</x:v>
      </x:c>
      <x:c r="C31" s="15" t="str">
        <x:v>Défini</x:v>
      </x:c>
      <x:c r="D31" s="16" t="str">
        <x:v>Établi</x:v>
      </x:c>
      <x:c r="E31" s="16" t="str">
        <x:v>P1</x:v>
      </x:c>
      <x:c r="F31" s="9" t="str">
        <x:v>Le final comporte une défense lourde.</x:v>
      </x:c>
      <x:c r="G31" s="9" t="str">
        <x:v>Survie jusqu’à fenêtre de tir ; zones de menace des Banshees et Brutes visibles entre vagues.</x:v>
      </x:c>
      <x:c r="H31" s="9" t="str">
        <x:v>Survie jusqu’à fenêtre de tir ; zones de menace des Banshees et Brutes visibles entre vagues.</x:v>
      </x:c>
      <x:c r="I31" s="9" t="str">
        <x:v>Rue détruite, lanceur et barricades.</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me3/zones/london-missiles ; rattacher les ressources et états cités à cet identifiant. Aucun fichier de jeu créé par ce catalogue.</x:v>
      </x:c>
      <x:c r="M31" s="9" t="str"/>
      <x:c r="N31" s="9" t="str">
        <x:v>Le livrable « Londres — batterie de missiles » possède une scène ou un scénario de contrôle ; ses règles proposées, ses conditions et ses retours visuels sont vérifiables séparément.</x:v>
      </x:c>
      <x:c r="O31" s="9" t="str"/>
      <x:c r="P31" s="9" t="str">
        <x:v>Londres — batterie de missiles</x:v>
      </x:c>
      <x:c r="Q31" s="9" t="str">
        <x:v>ME3-SRC-EARTH</x:v>
      </x:c>
      <x:c r="R31" s="9" t="str">
        <x:v>https://masseffect.fandom.com/wiki/Priority%3A_Earth</x:v>
      </x:c>
      <x:c r="S31" s="9" t="str">
        <x:v>Spécification à réaliser. Les champs adaptation, gameplay, visual, animation, audio et implementation décrivent le fan game ; ils ne donnent pas des caractéristiques officielles de l’œuvre.</x:v>
      </x:c>
    </x:row>
    <x:row r="32" ht="68" customHeight="1">
      <x:c r="A32" s="19" t="str">
        <x:v>ME3-ZON-BEAM</x:v>
      </x:c>
      <x:c r="B32" s="7" t="str">
        <x:v>Londres — course au faisceau</x:v>
      </x:c>
      <x:c r="C32" s="15" t="str">
        <x:v>Défini</x:v>
      </x:c>
      <x:c r="D32" s="17" t="str">
        <x:v>Établi</x:v>
      </x:c>
      <x:c r="E32" s="17" t="str">
        <x:v>P1</x:v>
      </x:c>
      <x:c r="F32" s="7" t="str">
        <x:v>Le faisceau conduit à la Citadelle.</x:v>
      </x:c>
      <x:c r="G32" s="7" t="str">
        <x:v>Séquence d’assaut narrative avec contrôle limité annoncé ; pas de récompense d’optimisation cachée.</x:v>
      </x:c>
      <x:c r="H32" s="7" t="str">
        <x:v>Séquence d’assaut narrative avec contrôle limité annoncé ; pas de récompense d’optimisation cachée.</x:v>
      </x:c>
      <x:c r="I32" s="7" t="str">
        <x:v>Rayon vertical, ombres de Moissonneur et sol détruit.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me3/zones/beam ; rattacher les ressources et états cités à cet identifiant. Aucun fichier de jeu créé par ce catalogue.</x:v>
      </x:c>
      <x:c r="M32" s="7" t="str"/>
      <x:c r="N32" s="7" t="str">
        <x:v>Le livrable « Londres — course au faisceau » possède une scène ou un scénario de contrôle ; ses règles proposées, ses conditions et ses retours visuels sont vérifiables séparément.</x:v>
      </x:c>
      <x:c r="O32" s="7" t="str"/>
      <x:c r="P32" s="7" t="str">
        <x:v>Londres — course au faisceau</x:v>
      </x:c>
      <x:c r="Q32" s="7" t="str">
        <x:v>ME3-SRC-EARTH</x:v>
      </x:c>
      <x:c r="R32" s="7" t="str">
        <x:v>https://masseffect.fandom.com/wiki/Priority%3A_Earth</x:v>
      </x:c>
      <x:c r="S32" s="7" t="str">
        <x:v>Spécification à réaliser. Les champs adaptation, gameplay, visual, animation, audio et implementation décrivent le fan game ; ils ne donnent pas des caractéristiques officielles de l’œuvre.</x:v>
      </x:c>
    </x:row>
    <x:row r="33" ht="68" customHeight="1">
      <x:c r="A33" s="18" t="str">
        <x:v>ME3-ZON-BRYSON-LAB</x:v>
      </x:c>
      <x:c r="B33" s="9" t="str">
        <x:v>Citadelle — laboratoire Bryson</x:v>
      </x:c>
      <x:c r="C33" s="15" t="str">
        <x:v>Défini</x:v>
      </x:c>
      <x:c r="D33" s="16" t="str">
        <x:v>Établi</x:v>
      </x:c>
      <x:c r="E33" s="16" t="str">
        <x:v>P1</x:v>
      </x:c>
      <x:c r="F33" s="9" t="str">
        <x:v>Base de l’enquête Leviathan.</x:v>
      </x:c>
      <x:c r="G33" s="9" t="str">
        <x:v>Table à filtres, archives et artéfacts ; les indices importants restent cliquables sans pixels minuscules.</x:v>
      </x:c>
      <x:c r="H33" s="9" t="str">
        <x:v>Table à filtres, archives et artéfacts ; les indices importants restent cliquables sans pixels minuscules.</x:v>
      </x:c>
      <x:c r="I33" s="9" t="str">
        <x:v>Objets scientifiques et baie sur Citadelle.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me3/zones/bryson-lab ; rattacher les ressources et états cités à cet identifiant. Aucun fichier de jeu créé par ce catalogue.</x:v>
      </x:c>
      <x:c r="M33" s="9" t="str"/>
      <x:c r="N33" s="9" t="str">
        <x:v>Le livrable « Citadelle — laboratoire Bryson » possède une scène ou un scénario de contrôle ; ses règles proposées, ses conditions et ses retours visuels sont vérifiables séparément.</x:v>
      </x:c>
      <x:c r="O33" s="9" t="str"/>
      <x:c r="P33" s="9" t="str">
        <x:v>Citadelle — laboratoire Bryson</x:v>
      </x:c>
      <x:c r="Q33" s="9" t="str">
        <x:v>ME3-SRC-LEV</x:v>
      </x:c>
      <x:c r="R33" s="9" t="str">
        <x:v>https://masseffect.fandom.com/wiki/Mass_Effect_3%3A_Leviathan</x:v>
      </x:c>
      <x:c r="S33" s="9" t="str">
        <x:v>Spécification à réaliser. Les champs adaptation, gameplay, visual, animation, audio et implementation décrivent le fan game ; ils ne donnent pas des caractéristiques officielles de l’œuvre.</x:v>
      </x:c>
    </x:row>
    <x:row r="34" ht="68" customHeight="1">
      <x:c r="A34" s="19" t="str">
        <x:v>ME3-ZON-LEV-OCEAN</x:v>
      </x:c>
      <x:c r="B34" s="7" t="str">
        <x:v>Despoina — épaves et abîme</x:v>
      </x:c>
      <x:c r="C34" s="15" t="str">
        <x:v>Défini</x:v>
      </x:c>
      <x:c r="D34" s="17" t="str">
        <x:v>Établi</x:v>
      </x:c>
      <x:c r="E34" s="17" t="str">
        <x:v>P1</x:v>
      </x:c>
      <x:c r="F34" s="7" t="str">
        <x:v>La rencontre Leviathan est sous-marine.</x:v>
      </x:c>
      <x:c r="G34" s="7" t="str">
        <x:v>Défense d’épaves puis descente encadrée ; définir un horizon de vision cohérent sous l’eau.</x:v>
      </x:c>
      <x:c r="H34" s="7" t="str">
        <x:v>Défense d’épaves puis descente encadrée ; définir un horizon de vision cohérent sous l’eau.</x:v>
      </x:c>
      <x:c r="I34" s="7" t="str">
        <x:v>Océan noir et coque de méca.</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me3/zones/lev-ocean ; rattacher les ressources et états cités à cet identifiant. Aucun fichier de jeu créé par ce catalogue.</x:v>
      </x:c>
      <x:c r="M34" s="7" t="str"/>
      <x:c r="N34" s="7" t="str">
        <x:v>Le livrable « Despoina — épaves et abîme » possède une scène ou un scénario de contrôle ; ses règles proposées, ses conditions et ses retours visuels sont vérifiables séparément.</x:v>
      </x:c>
      <x:c r="O34" s="7" t="str"/>
      <x:c r="P34" s="7" t="str">
        <x:v>Despoina — épaves et abîme</x:v>
      </x:c>
      <x:c r="Q34" s="7" t="str">
        <x:v>ME3-SRC-LEV</x:v>
      </x:c>
      <x:c r="R34" s="7" t="str">
        <x:v>https://masseffect.fandom.com/wiki/Mass_Effect_3%3A_Leviathan</x:v>
      </x:c>
      <x:c r="S34" s="7" t="str">
        <x:v>Spécification à réaliser. Les champs adaptation, gameplay, visual, animation, audio et implementation décrivent le fan game ; ils ne donnent pas des caractéristiques officielles de l’œuvre.</x:v>
      </x:c>
    </x:row>
    <x:row r="35" ht="68" customHeight="1">
      <x:c r="A35" s="18" t="str">
        <x:v>ME3-ZON-OMEGA-BUNKER</x:v>
      </x:c>
      <x:c r="B35" s="9" t="str">
        <x:v>Omega — bunker d’Aria</x:v>
      </x:c>
      <x:c r="C35" s="15" t="str">
        <x:v>Défini</x:v>
      </x:c>
      <x:c r="D35" s="16" t="str">
        <x:v>Établi</x:v>
      </x:c>
      <x:c r="E35" s="16" t="str">
        <x:v>P1</x:v>
      </x:c>
      <x:c r="F35" s="9" t="str">
        <x:v>QG de la résistance.</x:v>
      </x:c>
      <x:c r="G35" s="9" t="str">
        <x:v>Contacts, table de carte et demandes locales ; retour permis seulement aux étapes valides.</x:v>
      </x:c>
      <x:c r="H35" s="9" t="str">
        <x:v>Contacts, table de carte et demandes locales ; retour permis seulement aux étapes valides.</x:v>
      </x:c>
      <x:c r="I35" s="9" t="str">
        <x:v>Bunker de fortune et écrans anciens.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me3/zones/omega-bunker ; rattacher les ressources et états cités à cet identifiant. Aucun fichier de jeu créé par ce catalogue.</x:v>
      </x:c>
      <x:c r="M35" s="9" t="str"/>
      <x:c r="N35" s="9" t="str">
        <x:v>Le livrable « Omega — bunker d’Aria » possède une scène ou un scénario de contrôle ; ses règles proposées, ses conditions et ses retours visuels sont vérifiables séparément.</x:v>
      </x:c>
      <x:c r="O35" s="9" t="str"/>
      <x:c r="P35" s="9" t="str">
        <x:v>Omega — bunker d’Aria</x:v>
      </x:c>
      <x:c r="Q35" s="9" t="str">
        <x:v>ME3-SRC-OMEGA</x:v>
      </x:c>
      <x:c r="R35" s="9" t="str">
        <x:v>https://masseffect.fandom.com/wiki/Omega%3A_Aria_T%27Loak_%28Mass_Effect_3%29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ME3-ZON-OMEGA-TUNNELS</x:v>
      </x:c>
      <x:c r="B36" s="7" t="str">
        <x:v>Omega — tunnels et réacteur</x:v>
      </x:c>
      <x:c r="C36" s="15" t="str">
        <x:v>Défini</x:v>
      </x:c>
      <x:c r="D36" s="17" t="str">
        <x:v>Établi</x:v>
      </x:c>
      <x:c r="E36" s="17" t="str">
        <x:v>P1</x:v>
      </x:c>
      <x:c r="F36" s="7" t="str">
        <x:v>La libération traverse les entrailles.</x:v>
      </x:c>
      <x:c r="G36" s="7" t="str">
        <x:v>Alternance Ramparts et Adjutants ; générateurs identifiés avant interruption d’alimentation.</x:v>
      </x:c>
      <x:c r="H36" s="7" t="str">
        <x:v>Alternance Ramparts et Adjutants ; générateurs identifiés avant interruption d’alimentation.</x:v>
      </x:c>
      <x:c r="I36" s="7" t="str">
        <x:v>Conduites, obscurité et champs de force.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me3/zones/omega-tunnels ; rattacher les ressources et états cités à cet identifiant. Aucun fichier de jeu créé par ce catalogue.</x:v>
      </x:c>
      <x:c r="M36" s="7" t="str"/>
      <x:c r="N36" s="7" t="str">
        <x:v>Le livrable « Omega — tunnels et réacteur » possède une scène ou un scénario de contrôle ; ses règles proposées, ses conditions et ses retours visuels sont vérifiables séparément.</x:v>
      </x:c>
      <x:c r="O36" s="7" t="str"/>
      <x:c r="P36" s="7" t="str">
        <x:v>Omega — tunnels et réacteur</x:v>
      </x:c>
      <x:c r="Q36" s="7" t="str">
        <x:v>ME3-SRC-OMEGA</x:v>
      </x:c>
      <x:c r="R36" s="7" t="str">
        <x:v>https://masseffect.fandom.com/wiki/Omega%3A_Aria_T%27Loak_%28Mass_Effect_3%29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ME3-ZON-OMEGA-AFTERLIFE</x:v>
      </x:c>
      <x:c r="B37" s="9" t="str">
        <x:v>Omega — Afterlife occupé</x:v>
      </x:c>
      <x:c r="C37" s="15" t="str">
        <x:v>Défini</x:v>
      </x:c>
      <x:c r="D37" s="16" t="str">
        <x:v>Établi</x:v>
      </x:c>
      <x:c r="E37" s="16" t="str">
        <x:v>P1</x:v>
      </x:c>
      <x:c r="F37" s="9" t="str">
        <x:v>Confrontation finale de l’extension.</x:v>
      </x:c>
      <x:c r="G37" s="9" t="str">
        <x:v>Anneau de consoles et générateurs ; libérer Aria puis traiter Petrovsky sans nouveau combat superflu.</x:v>
      </x:c>
      <x:c r="H37" s="9" t="str">
        <x:v>Anneau de consoles et générateurs ; libérer Aria puis traiter Petrovsky sans nouveau combat superflu.</x:v>
      </x:c>
      <x:c r="I37" s="9" t="str">
        <x:v>Club transformé en poste de commandement.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me3/zones/omega-afterlife ; rattacher les ressources et états cités à cet identifiant. Aucun fichier de jeu créé par ce catalogue.</x:v>
      </x:c>
      <x:c r="M37" s="9" t="str"/>
      <x:c r="N37" s="9" t="str">
        <x:v>Le livrable « Omega — Afterlife occupé » possède une scène ou un scénario de contrôle ; ses règles proposées, ses conditions et ses retours visuels sont vérifiables séparément.</x:v>
      </x:c>
      <x:c r="O37" s="9" t="str"/>
      <x:c r="P37" s="9" t="str">
        <x:v>Omega — Afterlife occupé</x:v>
      </x:c>
      <x:c r="Q37" s="9" t="str">
        <x:v>ME3-SRC-OMEGA</x:v>
      </x:c>
      <x:c r="R37" s="9" t="str">
        <x:v>https://masseffect.fandom.com/wiki/Omega%3A_Aria_T%27Loak_%28Mass_Effect_3%29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ME3-ZON-SILVERSUN</x:v>
      </x:c>
      <x:c r="B38" s="7" t="str">
        <x:v>Silversun Strip</x:v>
      </x:c>
      <x:c r="C38" s="15" t="str">
        <x:v>Défini</x:v>
      </x:c>
      <x:c r="D38" s="17" t="str">
        <x:v>Établi</x:v>
      </x:c>
      <x:c r="E38" s="17" t="str">
        <x:v>P1</x:v>
      </x:c>
      <x:c r="F38" s="7" t="str">
        <x:v>Zone sociale du DLC Citadel.</x:v>
      </x:c>
      <x:c r="G38" s="7" t="str">
        <x:v>Casino, arène et activités dans un hub compact ; nom et fonction à chaque entrée.</x:v>
      </x:c>
      <x:c r="H38" s="7" t="str">
        <x:v>Casino, arène et activités dans un hub compact ; nom et fonction à chaque entrée.</x:v>
      </x:c>
      <x:c r="I38" s="7" t="str">
        <x:v>Néons, façade luxueuse et foule festive.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me3/zones/silversun ; rattacher les ressources et états cités à cet identifiant. Aucun fichier de jeu créé par ce catalogue.</x:v>
      </x:c>
      <x:c r="M38" s="7" t="str"/>
      <x:c r="N38" s="7" t="str">
        <x:v>Le livrable « Silversun Strip » possède une scène ou un scénario de contrôle ; ses règles proposées, ses conditions et ses retours visuels sont vérifiables séparément.</x:v>
      </x:c>
      <x:c r="O38" s="7" t="str"/>
      <x:c r="P38" s="7" t="str">
        <x:v>Silversun Strip</x:v>
      </x:c>
      <x:c r="Q38" s="7" t="str">
        <x:v>ME3-SRC-BW-CITADEL</x:v>
      </x:c>
      <x:c r="R38" s="7" t="str">
        <x:v>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row r="39" ht="68" customHeight="1">
      <x:c r="A39" s="18" t="str">
        <x:v>ME3-ZON-APARTMENT</x:v>
      </x:c>
      <x:c r="B39" s="9" t="str">
        <x:v>Appartement de Shepard</x:v>
      </x:c>
      <x:c r="C39" s="15" t="str">
        <x:v>Défini</x:v>
      </x:c>
      <x:c r="D39" s="16" t="str">
        <x:v>Établi</x:v>
      </x:c>
      <x:c r="E39" s="16" t="str">
        <x:v>P1</x:v>
      </x:c>
      <x:c r="F39" s="9" t="str">
        <x:v>Lieu de rencontres et de fête.</x:v>
      </x:c>
      <x:c r="G39" s="9" t="str">
        <x:v>Pièces à capacité définie ; invitations déterminent sièges, photographies et petites scènes.</x:v>
      </x:c>
      <x:c r="H39" s="9" t="str">
        <x:v>Pièces à capacité définie ; invitations déterminent sièges, photographies et petites scènes.</x:v>
      </x:c>
      <x:c r="I39" s="9" t="str">
        <x:v>Terrasse, cuisine, salon et souvenirs.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me3/zones/apartment ; rattacher les ressources et états cités à cet identifiant. Aucun fichier de jeu créé par ce catalogue.</x:v>
      </x:c>
      <x:c r="M39" s="9" t="str"/>
      <x:c r="N39" s="9" t="str">
        <x:v>Le livrable « Appartement de Shepard » possède une scène ou un scénario de contrôle ; ses règles proposées, ses conditions et ses retours visuels sont vérifiables séparément.</x:v>
      </x:c>
      <x:c r="O39" s="9" t="str"/>
      <x:c r="P39" s="9" t="str">
        <x:v>Appartement de Shepard</x:v>
      </x:c>
      <x:c r="Q39" s="9" t="str">
        <x:v>ME3-SRC-BW-CITADEL</x:v>
      </x:c>
      <x:c r="R39" s="9" t="str">
        <x:v>https://blog.bioware.com/2013/02/21/mass-effect-3-citadel-reckoning-dlc-announced/</x:v>
      </x:c>
      <x:c r="S39" s="9" t="str">
        <x:v>Spécification à réaliser. Les champs adaptation, gameplay, visual, animation, audio et implementation décrivent le fan game ; ils ne donnent pas des caractéristiques officielles de l’œuvre.</x:v>
      </x:c>
    </x:row>
    <x:row r="40" ht="68" customHeight="1">
      <x:c r="A40" s="19" t="str">
        <x:v>ME3-ZON-CASINO</x:v>
      </x:c>
      <x:c r="B40" s="7" t="str">
        <x:v>Silver Coast Casino</x:v>
      </x:c>
      <x:c r="C40" s="15" t="str">
        <x:v>Défini</x:v>
      </x:c>
      <x:c r="D40" s="17" t="str">
        <x:v>Établi</x:v>
      </x:c>
      <x:c r="E40" s="17" t="str">
        <x:v>P1</x:v>
      </x:c>
      <x:c r="F40" s="7" t="str">
        <x:v>Lieu d’infiltration.</x:v>
      </x:c>
      <x:c r="G40" s="7" t="str">
        <x:v>Points sociaux et accès de maintenance en boucle courte ; caméras comme indices d’enquête.</x:v>
      </x:c>
      <x:c r="H40" s="7" t="str">
        <x:v>Points sociaux et accès de maintenance en boucle courte ; caméras comme indices d’enquête.</x:v>
      </x:c>
      <x:c r="I40" s="7" t="str">
        <x:v>Or, verre et lumière de jeu.</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me3/zones/casino ; rattacher les ressources et états cités à cet identifiant. Aucun fichier de jeu créé par ce catalogue.</x:v>
      </x:c>
      <x:c r="M40" s="7" t="str"/>
      <x:c r="N40" s="7" t="str">
        <x:v>Le livrable « Silver Coast Casino » possède une scène ou un scénario de contrôle ; ses règles proposées, ses conditions et ses retours visuels sont vérifiables séparément.</x:v>
      </x:c>
      <x:c r="O40" s="7" t="str"/>
      <x:c r="P40" s="7" t="str">
        <x:v>Silver Coast Casino</x:v>
      </x:c>
      <x:c r="Q40" s="7" t="str">
        <x:v>ME3-SRC-BW-CITADEL</x:v>
      </x:c>
      <x:c r="R40" s="7" t="str">
        <x:v>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ME3-ZON-ARCHIVES</x:v>
      </x:c>
      <x:c r="B41" s="9" t="str">
        <x:v>Archives du Conseil</x:v>
      </x:c>
      <x:c r="C41" s="15" t="str">
        <x:v>Défini</x:v>
      </x:c>
      <x:c r="D41" s="16" t="str">
        <x:v>Établi</x:v>
      </x:c>
      <x:c r="E41" s="16" t="str">
        <x:v>P1</x:v>
      </x:c>
      <x:c r="F41" s="9" t="str">
        <x:v>Zone de combat du DLC.</x:v>
      </x:c>
      <x:c r="G41" s="9" t="str">
        <x:v>Mémoire historique et combat en cours séparés visuellement ; absence de collisions avec hologrammes.</x:v>
      </x:c>
      <x:c r="H41" s="9" t="str">
        <x:v>Mémoire historique et combat en cours séparés visuellement ; absence de collisions avec hologrammes.</x:v>
      </x:c>
      <x:c r="I41" s="9" t="str">
        <x:v>Plates-formes et reconstitutions bleues.</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me3/zones/archives ; rattacher les ressources et états cités à cet identifiant. Aucun fichier de jeu créé par ce catalogue.</x:v>
      </x:c>
      <x:c r="M41" s="9" t="str"/>
      <x:c r="N41" s="9" t="str">
        <x:v>Le livrable « Archives du Conseil » possède une scène ou un scénario de contrôle ; ses règles proposées, ses conditions et ses retours visuels sont vérifiables séparément.</x:v>
      </x:c>
      <x:c r="O41" s="9" t="str"/>
      <x:c r="P41" s="9" t="str">
        <x:v>Archives du Conseil</x:v>
      </x:c>
      <x:c r="Q41" s="9" t="str">
        <x:v>ME3-SRC-BW-CITADEL</x:v>
      </x:c>
      <x:c r="R41" s="9" t="str">
        <x:v>https://blog.bioware.com/2013/02/21/mass-effect-3-citadel-reckoning-dlc-announced/</x:v>
      </x:c>
      <x:c r="S41" s="9" t="str">
        <x:v>Spécification à réaliser. Les champs adaptation, gameplay, visual, animation, audio et implementation décrivent le fan game ; ils ne donnent pas des caractéristiques officielles de l’œuvre.</x:v>
      </x:c>
    </x:row>
    <x:row r="42" ht="68" customHeight="1">
      <x:c r="A42" s="19" t="str">
        <x:v>ME3-ZON-ARMAX</x:v>
      </x:c>
      <x:c r="B42" s="7" t="str">
        <x:v>Armax Arsenal Arena</x:v>
      </x:c>
      <x:c r="C42" s="15" t="str">
        <x:v>Défini</x:v>
      </x:c>
      <x:c r="D42" s="17" t="str">
        <x:v>Établi</x:v>
      </x:c>
      <x:c r="E42" s="17" t="str">
        <x:v>P1</x:v>
      </x:c>
      <x:c r="F42" s="7" t="str">
        <x:v>Simulateur du DLC Citadel.</x:v>
      </x:c>
      <x:c r="G42" s="7" t="str">
        <x:v>Chargeur de carte, modificateurs et tableau de scores ; état de simulation ne fuit pas dans la campagne.</x:v>
      </x:c>
      <x:c r="H42" s="7" t="str">
        <x:v>Chargeur de carte, modificateurs et tableau de scores ; état de simulation ne fuit pas dans la campagne.</x:v>
      </x:c>
      <x:c r="I42" s="7" t="str">
        <x:v>Grille holographique et barrières de match.</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me3/zones/armax ; rattacher les ressources et états cités à cet identifiant. Aucun fichier de jeu créé par ce catalogue.</x:v>
      </x:c>
      <x:c r="M42" s="7" t="str"/>
      <x:c r="N42" s="7" t="str">
        <x:v>Le livrable « Armax Arsenal Arena » possède une scène ou un scénario de contrôle ; ses règles proposées, ses conditions et ses retours visuels sont vérifiables séparément.</x:v>
      </x:c>
      <x:c r="O42" s="7" t="str"/>
      <x:c r="P42" s="7" t="str">
        <x:v>Armax Arsenal Arena</x:v>
      </x:c>
      <x:c r="Q42" s="7" t="str">
        <x:v>ME3-SRC-BW-CITADEL</x:v>
      </x:c>
      <x:c r="R42" s="7" t="str">
        <x:v>https://blog.bioware.com/2013/02/21/mass-effect-3-citadel-reckoning-dlc-announced/</x:v>
      </x:c>
      <x:c r="S42" s="7" t="str">
        <x:v>Spécification à réaliser. Les champs adaptation, gameplay, visual, animation, audio et implementation décrivent le fan game ; ils ne donnent pas des caractéristiques officielles de l’œuvre.</x:v>
      </x:c>
    </x:row>
    <x:row r="43" ht="68" customHeight="1">
      <x:c r="A43" s="18" t="str">
        <x:v>ME3-ZON-MP-DAGGER</x:v>
      </x:c>
      <x:c r="B43" s="9" t="str">
        <x:v>Firebase Dagger</x:v>
      </x:c>
      <x:c r="C43" s="15" t="str">
        <x:v>Défini</x:v>
      </x:c>
      <x:c r="D43" s="16" t="str">
        <x:v>Établi</x:v>
      </x:c>
      <x:c r="E43" s="16" t="str">
        <x:v>P1</x:v>
      </x:c>
      <x:c r="F43" s="9" t="str">
        <x:v>Carte du multijoueur ME3 original.</x:v>
      </x:c>
      <x:c r="G43" s="9" t="str">
        <x:v>Arène de vagues séparée : réserver quatre entrées de groupe, répartir objectifs et munitions, conserver au moins deux voies de repli lisibles ; topologie exacte à relever avant reproduction.</x:v>
      </x:c>
      <x:c r="H43" s="9" t="str">
        <x:v>Arène de vagues séparée : réserver quatre entrées de groupe, répartir objectifs et munitions, conserver au moins deux voies de repli lisibles ; topologie exacte à relever avant reproduction.</x:v>
      </x:c>
      <x:c r="I43" s="9" t="str">
        <x:v>Base désertique, ponts et toiture.</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me3/zones/mp-dagger ; rattacher les ressources et états cités à cet identifiant. Aucun fichier de jeu créé par ce catalogue.</x:v>
      </x:c>
      <x:c r="M43" s="9" t="str">
        <x:v>Module multijoueur original uniquement ; absent de Legendary.</x:v>
      </x:c>
      <x:c r="N43" s="9" t="str">
        <x:v>Le lancement indique multijoueur ; aucune mission solo ne charge cette carte par erreur ; tester objectif, extraction et réapparition sans blocage de chemin.</x:v>
      </x:c>
      <x:c r="O43" s="9" t="str"/>
      <x:c r="P43" s="9" t="str">
        <x:v>Firebase Dagger</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ME3-ZON-MP-GHOST</x:v>
      </x:c>
      <x:c r="B44" s="7" t="str">
        <x:v>Firebase Ghost</x:v>
      </x:c>
      <x:c r="C44" s="15" t="str">
        <x:v>Défini</x:v>
      </x:c>
      <x:c r="D44" s="17" t="str">
        <x:v>Établi</x:v>
      </x:c>
      <x:c r="E44" s="17" t="str">
        <x:v>P1</x:v>
      </x:c>
      <x:c r="F44" s="7" t="str">
        <x:v>Carte du multijoueur ME3 original.</x:v>
      </x:c>
      <x:c r="G44" s="7" t="str">
        <x:v>Arène de vagues séparée : réserver quatre entrées de groupe, répartir objectifs et munitions, conserver au moins deux voies de repli lisibles ; topologie exacte à relever avant reproduction.</x:v>
      </x:c>
      <x:c r="H44" s="7" t="str">
        <x:v>Arène de vagues séparée : réserver quatre entrées de groupe, répartir objectifs et munitions, conserver au moins deux voies de repli lisibles ; topologie exacte à relever avant reproduction.</x:v>
      </x:c>
      <x:c r="I44" s="7" t="str">
        <x:v>Quartier industriel et rues étroites.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me3/zones/mp-ghost ; rattacher les ressources et états cités à cet identifiant. Aucun fichier de jeu créé par ce catalogue.</x:v>
      </x:c>
      <x:c r="M44" s="7" t="str">
        <x:v>Module multijoueur original uniquement ; absent de Legendary.</x:v>
      </x:c>
      <x:c r="N44" s="7" t="str">
        <x:v>Le lancement indique multijoueur ; aucune mission solo ne charge cette carte par erreur ; tester objectif, extraction et réapparition sans blocage de chemin.</x:v>
      </x:c>
      <x:c r="O44" s="7" t="str"/>
      <x:c r="P44" s="7" t="str">
        <x:v>Firebase Ghost</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ME3-ZON-MP-GIANT</x:v>
      </x:c>
      <x:c r="B45" s="9" t="str">
        <x:v>Firebase Giant</x:v>
      </x:c>
      <x:c r="C45" s="15" t="str">
        <x:v>Défini</x:v>
      </x:c>
      <x:c r="D45" s="16" t="str">
        <x:v>Établi</x:v>
      </x:c>
      <x:c r="E45" s="16" t="str">
        <x:v>P1</x:v>
      </x:c>
      <x:c r="F45" s="9" t="str">
        <x:v>Carte du multijoueur ME3 original.</x:v>
      </x:c>
      <x:c r="G45" s="9" t="str">
        <x:v>Arène de vagues séparée : réserver quatre entrées de groupe, répartir objectifs et munitions, conserver au moins deux voies de repli lisibles ; topologie exacte à relever avant reproduction.</x:v>
      </x:c>
      <x:c r="H45" s="9" t="str">
        <x:v>Arène de vagues séparée : réserver quatre entrées de groupe, répartir objectifs et munitions, conserver au moins deux voies de repli lisibles ; topologie exacte à relever avant reproduction.</x:v>
      </x:c>
      <x:c r="I45" s="9" t="str">
        <x:v>Chantier industriel et longues lignes.</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me3/zones/mp-giant ; rattacher les ressources et états cités à cet identifiant. Aucun fichier de jeu créé par ce catalogue.</x:v>
      </x:c>
      <x:c r="M45" s="9" t="str">
        <x:v>Module multijoueur original uniquement ; absent de Legendary.</x:v>
      </x:c>
      <x:c r="N45" s="9" t="str">
        <x:v>Le lancement indique multijoueur ; aucune mission solo ne charge cette carte par erreur ; tester objectif, extraction et réapparition sans blocage de chemin.</x:v>
      </x:c>
      <x:c r="O45" s="9" t="str"/>
      <x:c r="P45" s="9" t="str">
        <x:v>Firebase Giant</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row r="46" ht="68" customHeight="1">
      <x:c r="A46" s="19" t="str">
        <x:v>ME3-ZON-MP-GLACIER</x:v>
      </x:c>
      <x:c r="B46" s="7" t="str">
        <x:v>Firebase Glacier</x:v>
      </x:c>
      <x:c r="C46" s="15" t="str">
        <x:v>Défini</x:v>
      </x:c>
      <x:c r="D46" s="17" t="str">
        <x:v>Établi</x:v>
      </x:c>
      <x:c r="E46" s="17" t="str">
        <x:v>P1</x:v>
      </x:c>
      <x:c r="F46" s="7" t="str">
        <x:v>Carte du multijoueur ME3 original.</x:v>
      </x:c>
      <x:c r="G46" s="7" t="str">
        <x:v>Arène de vagues séparée : réserver quatre entrées de groupe, répartir objectifs et munitions, conserver au moins deux voies de repli lisibles ; topologie exacte à relever avant reproduction.</x:v>
      </x:c>
      <x:c r="H46" s="7" t="str">
        <x:v>Arène de vagues séparée : réserver quatre entrées de groupe, répartir objectifs et munitions, conserver au moins deux voies de repli lisibles ; topologie exacte à relever avant reproduction.</x:v>
      </x:c>
      <x:c r="I46" s="7" t="str">
        <x:v>Installation enneigée et passages serrés.</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me3/zones/mp-glacier ; rattacher les ressources et états cités à cet identifiant. Aucun fichier de jeu créé par ce catalogue.</x:v>
      </x:c>
      <x:c r="M46" s="7" t="str">
        <x:v>Module multijoueur original uniquement ; absent de Legendary.</x:v>
      </x:c>
      <x:c r="N46" s="7" t="str">
        <x:v>Le lancement indique multijoueur ; aucune mission solo ne charge cette carte par erreur ; tester objectif, extraction et réapparition sans blocage de chemin.</x:v>
      </x:c>
      <x:c r="O46" s="7" t="str"/>
      <x:c r="P46" s="7" t="str">
        <x:v>Firebase Glacier</x:v>
      </x:c>
      <x:c r="Q46" s="7" t="str">
        <x:v>ME3-SRC-MP</x:v>
      </x:c>
      <x:c r="R46" s="7" t="str">
        <x:v>https://masseffect.fandom.com/wiki/Mass_Effect_3_Multiplayer</x:v>
      </x:c>
      <x:c r="S46" s="7" t="str">
        <x:v>Spécification à réaliser. Les champs adaptation, gameplay, visual, animation, audio et implementation décrivent le fan game ; ils ne donnent pas des caractéristiques officielles de l’œuvre.</x:v>
      </x:c>
    </x:row>
    <x:row r="47" ht="68" customHeight="1">
      <x:c r="A47" s="18" t="str">
        <x:v>ME3-ZON-MP-REACTOR</x:v>
      </x:c>
      <x:c r="B47" s="9" t="str">
        <x:v>Firebase Reactor</x:v>
      </x:c>
      <x:c r="C47" s="15" t="str">
        <x:v>Défini</x:v>
      </x:c>
      <x:c r="D47" s="16" t="str">
        <x:v>Établi</x:v>
      </x:c>
      <x:c r="E47" s="16" t="str">
        <x:v>P1</x:v>
      </x:c>
      <x:c r="F47" s="9" t="str">
        <x:v>Carte du multijoueur ME3 original.</x:v>
      </x:c>
      <x:c r="G47" s="9" t="str">
        <x:v>Arène de vagues séparée : réserver quatre entrées de groupe, répartir objectifs et munitions, conserver au moins deux voies de repli lisibles ; topologie exacte à relever avant reproduction.</x:v>
      </x:c>
      <x:c r="H47" s="9" t="str">
        <x:v>Arène de vagues séparée : réserver quatre entrées de groupe, répartir objectifs et munitions, conserver au moins deux voies de repli lisibles ; topologie exacte à relever avant reproduction.</x:v>
      </x:c>
      <x:c r="I47" s="9" t="str">
        <x:v>Réacteur, passerelles et portes.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me3/zones/mp-reactor ; rattacher les ressources et états cités à cet identifiant. Aucun fichier de jeu créé par ce catalogue.</x:v>
      </x:c>
      <x:c r="M47" s="9" t="str">
        <x:v>Module multijoueur original uniquement ; absent de Legendary.</x:v>
      </x:c>
      <x:c r="N47" s="9" t="str">
        <x:v>Le lancement indique multijoueur ; aucune mission solo ne charge cette carte par erreur ; tester objectif, extraction et réapparition sans blocage de chemin.</x:v>
      </x:c>
      <x:c r="O47" s="9" t="str"/>
      <x:c r="P47" s="9" t="str">
        <x:v>Firebase Reactor</x:v>
      </x:c>
      <x:c r="Q47" s="9" t="str">
        <x:v>ME3-SRC-MP</x:v>
      </x:c>
      <x:c r="R47" s="9" t="str">
        <x:v>https://masseffect.fandom.com/wiki/Mass_Effect_3_Multiplayer</x:v>
      </x:c>
      <x:c r="S47" s="9" t="str">
        <x:v>Spécification à réaliser. Les champs adaptation, gameplay, visual, animation, audio et implementation décrivent le fan game ; ils ne donnent pas des caractéristiques officielles de l’œuvre.</x:v>
      </x:c>
    </x:row>
    <x:row r="48" ht="68" customHeight="1">
      <x:c r="A48" s="19" t="str">
        <x:v>ME3-ZON-MP-WHITE</x:v>
      </x:c>
      <x:c r="B48" s="7" t="str">
        <x:v>Firebase White</x:v>
      </x:c>
      <x:c r="C48" s="15" t="str">
        <x:v>Défini</x:v>
      </x:c>
      <x:c r="D48" s="17" t="str">
        <x:v>Établi</x:v>
      </x:c>
      <x:c r="E48" s="17" t="str">
        <x:v>P1</x:v>
      </x:c>
      <x:c r="F48" s="7" t="str">
        <x:v>Carte du multijoueur ME3 original.</x:v>
      </x:c>
      <x:c r="G48" s="7" t="str">
        <x:v>Arène de vagues séparée : réserver quatre entrées de groupe, répartir objectifs et munitions, conserver au moins deux voies de repli lisibles ; topologie exacte à relever avant reproduction.</x:v>
      </x:c>
      <x:c r="H48" s="7" t="str">
        <x:v>Arène de vagues séparée : réserver quatre entrées de groupe, répartir objectifs et munitions, conserver au moins deux voies de repli lisibles ; topologie exacte à relever avant reproduction.</x:v>
      </x:c>
      <x:c r="I48" s="7" t="str">
        <x:v>Base froide et terrasses.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me3/zones/mp-white ; rattacher les ressources et états cités à cet identifiant. Aucun fichier de jeu créé par ce catalogue.</x:v>
      </x:c>
      <x:c r="M48" s="7" t="str">
        <x:v>Module multijoueur original uniquement ; absent de Legendary.</x:v>
      </x:c>
      <x:c r="N48" s="7" t="str">
        <x:v>Le lancement indique multijoueur ; aucune mission solo ne charge cette carte par erreur ; tester objectif, extraction et réapparition sans blocage de chemin.</x:v>
      </x:c>
      <x:c r="O48" s="7" t="str"/>
      <x:c r="P48" s="7" t="str">
        <x:v>Firebase White</x:v>
      </x:c>
      <x:c r="Q48" s="7" t="str">
        <x:v>ME3-SRC-MP</x:v>
      </x:c>
      <x:c r="R48" s="7" t="str">
        <x:v>https://masseffect.fandom.com/wiki/Mass_Effect_3_Multiplayer</x:v>
      </x:c>
      <x:c r="S48" s="7" t="str">
        <x:v>Spécification à réaliser. Les champs adaptation, gameplay, visual, animation, audio et implementation décrivent le fan game ; ils ne donnent pas des caractéristiques officielles de l’œuvre.</x:v>
      </x:c>
    </x:row>
    <x:row r="49" ht="68" customHeight="1">
      <x:c r="A49" s="18" t="str">
        <x:v>ME3-ZON-MP-HYDRA</x:v>
      </x:c>
      <x:c r="B49" s="9" t="str">
        <x:v>Firebase Hydra</x:v>
      </x:c>
      <x:c r="C49" s="15" t="str">
        <x:v>Défini</x:v>
      </x:c>
      <x:c r="D49" s="16" t="str">
        <x:v>Établi</x:v>
      </x:c>
      <x:c r="E49" s="16" t="str">
        <x:v>P1</x:v>
      </x:c>
      <x:c r="F49" s="9" t="str">
        <x:v>Carte du multijoueur ME3 original.</x:v>
      </x:c>
      <x:c r="G49" s="9" t="str">
        <x:v>Arène de vagues séparée : réserver quatre entrées de groupe, répartir objectifs et munitions, conserver au moins deux voies de repli lisibles ; topologie exacte à relever avant reproduction.</x:v>
      </x:c>
      <x:c r="H49" s="9" t="str">
        <x:v>Arène de vagues séparée : réserver quatre entrées de groupe, répartir objectifs et munitions, conserver au moins deux voies de repli lisibles ; topologie exacte à relever avant reproduction.</x:v>
      </x:c>
      <x:c r="I49" s="9" t="str">
        <x:v>Installations aquatiques et plateformes.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me3/zones/mp-hydra ; rattacher les ressources et états cités à cet identifiant. Aucun fichier de jeu créé par ce catalogue.</x:v>
      </x:c>
      <x:c r="M49" s="9" t="str">
        <x:v>Module multijoueur original uniquement ; absent de Legendary.</x:v>
      </x:c>
      <x:c r="N49" s="9" t="str">
        <x:v>Le lancement indique multijoueur ; aucune mission solo ne charge cette carte par erreur ; tester objectif, extraction et réapparition sans blocage de chemin.</x:v>
      </x:c>
      <x:c r="O49" s="9" t="str"/>
      <x:c r="P49" s="9" t="str">
        <x:v>Firebase Hydra</x:v>
      </x:c>
      <x:c r="Q49" s="9" t="str">
        <x:v>ME3-SRC-MP</x:v>
      </x:c>
      <x:c r="R49" s="9" t="str">
        <x:v>https://masseffect.fandom.com/wiki/Mass_Effect_3_Multiplayer</x:v>
      </x:c>
      <x:c r="S49" s="9" t="str">
        <x:v>Spécification à réaliser. Les champs adaptation, gameplay, visual, animation, audio et implementation décrivent le fan game ; ils ne donnent pas des caractéristiques officielles de l’œuvre.</x:v>
      </x:c>
    </x:row>
    <x:row r="50" ht="68" customHeight="1">
      <x:c r="A50" s="19" t="str">
        <x:v>ME3-ZON-MP-CONDOR</x:v>
      </x:c>
      <x:c r="B50" s="7" t="str">
        <x:v>Firebase Condor</x:v>
      </x:c>
      <x:c r="C50" s="15" t="str">
        <x:v>Défini</x:v>
      </x:c>
      <x:c r="D50" s="17" t="str">
        <x:v>Établi</x:v>
      </x:c>
      <x:c r="E50" s="17" t="str">
        <x:v>P1</x:v>
      </x:c>
      <x:c r="F50" s="7" t="str">
        <x:v>Carte du multijoueur ME3 original.</x:v>
      </x:c>
      <x:c r="G50" s="7" t="str">
        <x:v>Arène de vagues séparée : réserver quatre entrées de groupe, répartir objectifs et munitions, conserver au moins deux voies de repli lisibles ; topologie exacte à relever avant reproduction.</x:v>
      </x:c>
      <x:c r="H50" s="7" t="str">
        <x:v>Arène de vagues séparée : réserver quatre entrées de groupe, répartir objectifs et munitions, conserver au moins deux voies de repli lisibles ; topologie exacte à relever avant reproduction.</x:v>
      </x:c>
      <x:c r="I50" s="7" t="str">
        <x:v>Relief lunaire et ruines.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me3/zones/mp-condor ; rattacher les ressources et états cités à cet identifiant. Aucun fichier de jeu créé par ce catalogue.</x:v>
      </x:c>
      <x:c r="M50" s="7" t="str">
        <x:v>Module multijoueur original uniquement ; absent de Legendary.</x:v>
      </x:c>
      <x:c r="N50" s="7" t="str">
        <x:v>Le lancement indique multijoueur ; aucune mission solo ne charge cette carte par erreur ; tester objectif, extraction et réapparition sans blocage de chemin.</x:v>
      </x:c>
      <x:c r="O50" s="7" t="str"/>
      <x:c r="P50" s="7" t="str">
        <x:v>Firebase Condor</x:v>
      </x:c>
      <x:c r="Q50" s="7" t="str">
        <x:v>ME3-SRC-MP</x:v>
      </x:c>
      <x:c r="R50" s="7" t="str">
        <x:v>https://masseffect.fandom.com/wiki/Mass_Effect_3_Multiplayer</x:v>
      </x:c>
      <x:c r="S50" s="7" t="str">
        <x:v>Spécification à réaliser. Les champs adaptation, gameplay, visual, animation, audio et implementation décrivent le fan game ; ils ne donnent pas des caractéristiques officielles de l’œuvre.</x:v>
      </x:c>
    </x:row>
    <x:row r="51" ht="68" customHeight="1">
      <x:c r="A51" s="18" t="str">
        <x:v>ME3-ZON-MP-GODDESS</x:v>
      </x:c>
      <x:c r="B51" s="9" t="str">
        <x:v>Firebase Goddess</x:v>
      </x:c>
      <x:c r="C51" s="15" t="str">
        <x:v>Défini</x:v>
      </x:c>
      <x:c r="D51" s="16" t="str">
        <x:v>Établi</x:v>
      </x:c>
      <x:c r="E51" s="16" t="str">
        <x:v>P1</x:v>
      </x:c>
      <x:c r="F51" s="9" t="str">
        <x:v>Carte du multijoueur ME3 original.</x:v>
      </x:c>
      <x:c r="G51" s="9" t="str">
        <x:v>Arène de vagues séparée : réserver quatre entrées de groupe, répartir objectifs et munitions, conserver au moins deux voies de repli lisibles ; topologie exacte à relever avant reproduction.</x:v>
      </x:c>
      <x:c r="H51" s="9" t="str">
        <x:v>Arène de vagues séparée : réserver quatre entrées de groupe, répartir objectifs et munitions, conserver au moins deux voies de repli lisibles ; topologie exacte à relever avant reproduction.</x:v>
      </x:c>
      <x:c r="I51" s="9" t="str">
        <x:v>Architecture asari et avenues.</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me3/zones/mp-goddess ; rattacher les ressources et états cités à cet identifiant. Aucun fichier de jeu créé par ce catalogue.</x:v>
      </x:c>
      <x:c r="M51" s="9" t="str">
        <x:v>Module multijoueur original uniquement ; absent de Legendary.</x:v>
      </x:c>
      <x:c r="N51" s="9" t="str">
        <x:v>Le lancement indique multijoueur ; aucune mission solo ne charge cette carte par erreur ; tester objectif, extraction et réapparition sans blocage de chemin.</x:v>
      </x:c>
      <x:c r="O51" s="9" t="str"/>
      <x:c r="P51" s="9" t="str">
        <x:v>Firebase Goddess</x:v>
      </x:c>
      <x:c r="Q51" s="9" t="str">
        <x:v>ME3-SRC-MP</x:v>
      </x:c>
      <x:c r="R51" s="9" t="str">
        <x:v>https://masseffect.fandom.com/wiki/Mass_Effect_3_Multiplayer</x:v>
      </x:c>
      <x:c r="S51" s="9" t="str">
        <x:v>Spécification à réaliser. Les champs adaptation, gameplay, visual, animation, audio et implementation décrivent le fan game ; ils ne donnent pas des caractéristiques officielles de l’œuvre.</x:v>
      </x:c>
    </x:row>
    <x:row r="52" ht="68" customHeight="1">
      <x:c r="A52" s="19" t="str">
        <x:v>ME3-ZON-MP-JADE</x:v>
      </x:c>
      <x:c r="B52" s="7" t="str">
        <x:v>Firebase Jade</x:v>
      </x:c>
      <x:c r="C52" s="15" t="str">
        <x:v>Défini</x:v>
      </x:c>
      <x:c r="D52" s="17" t="str">
        <x:v>Établi</x:v>
      </x:c>
      <x:c r="E52" s="17" t="str">
        <x:v>P1</x:v>
      </x:c>
      <x:c r="F52" s="7" t="str">
        <x:v>Carte du multijoueur ME3 original.</x:v>
      </x:c>
      <x:c r="G52" s="7" t="str">
        <x:v>Arène de vagues séparée : réserver quatre entrées de groupe, répartir objectifs et munitions, conserver au moins deux voies de repli lisibles ; topologie exacte à relever avant reproduction.</x:v>
      </x:c>
      <x:c r="H52" s="7" t="str">
        <x:v>Arène de vagues séparée : réserver quatre entrées de groupe, répartir objectifs et munitions, conserver au moins deux voies de repli lisibles ; topologie exacte à relever avant reproduction.</x:v>
      </x:c>
      <x:c r="I52" s="7" t="str">
        <x:v>Jungle et installations scientifiques.</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me3/zones/mp-jade ; rattacher les ressources et états cités à cet identifiant. Aucun fichier de jeu créé par ce catalogue.</x:v>
      </x:c>
      <x:c r="M52" s="7" t="str">
        <x:v>Module multijoueur original uniquement ; absent de Legendary.</x:v>
      </x:c>
      <x:c r="N52" s="7" t="str">
        <x:v>Le lancement indique multijoueur ; aucune mission solo ne charge cette carte par erreur ; tester objectif, extraction et réapparition sans blocage de chemin.</x:v>
      </x:c>
      <x:c r="O52" s="7" t="str"/>
      <x:c r="P52" s="7" t="str">
        <x:v>Firebase Jade</x:v>
      </x:c>
      <x:c r="Q52" s="7" t="str">
        <x:v>ME3-SRC-MP</x:v>
      </x:c>
      <x:c r="R52" s="7" t="str">
        <x:v>https://masseffect.fandom.com/wiki/Mass_Effect_3_Multiplayer</x:v>
      </x:c>
      <x:c r="S52" s="7" t="str">
        <x:v>Spécification à réaliser. Les champs adaptation, gameplay, visual, animation, audio et implementation décrivent le fan game ; ils ne donnent pas des caractéristiques officielles de l’œuvre.</x:v>
      </x:c>
    </x:row>
    <x:row r="53" ht="68" customHeight="1">
      <x:c r="A53" s="18" t="str">
        <x:v>ME3-ZON-MP-LONDON</x:v>
      </x:c>
      <x:c r="B53" s="9" t="str">
        <x:v>Firebase London</x:v>
      </x:c>
      <x:c r="C53" s="15" t="str">
        <x:v>Défini</x:v>
      </x:c>
      <x:c r="D53" s="16" t="str">
        <x:v>Établi</x:v>
      </x:c>
      <x:c r="E53" s="16" t="str">
        <x:v>P1</x:v>
      </x:c>
      <x:c r="F53" s="9" t="str">
        <x:v>Carte du multijoueur ME3 original.</x:v>
      </x:c>
      <x:c r="G53" s="9" t="str">
        <x:v>Arène de vagues séparée : réserver quatre entrées de groupe, répartir objectifs et munitions, conserver au moins deux voies de repli lisibles ; topologie exacte à relever avant reproduction.</x:v>
      </x:c>
      <x:c r="H53" s="9" t="str">
        <x:v>Arène de vagues séparée : réserver quatre entrées de groupe, répartir objectifs et munitions, conserver au moins deux voies de repli lisibles ; topologie exacte à relever avant reproduction.</x:v>
      </x:c>
      <x:c r="I53" s="9" t="str">
        <x:v>Rues terrestres en ruines.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me3/zones/mp-london ; rattacher les ressources et états cités à cet identifiant. Aucun fichier de jeu créé par ce catalogue.</x:v>
      </x:c>
      <x:c r="M53" s="9" t="str">
        <x:v>Module multijoueur original uniquement ; absent de Legendary.</x:v>
      </x:c>
      <x:c r="N53" s="9" t="str">
        <x:v>Le lancement indique multijoueur ; aucune mission solo ne charge cette carte par erreur ; tester objectif, extraction et réapparition sans blocage de chemin.</x:v>
      </x:c>
      <x:c r="O53" s="9" t="str"/>
      <x:c r="P53" s="9" t="str">
        <x:v>Firebase London</x:v>
      </x:c>
      <x:c r="Q53" s="9" t="str">
        <x:v>ME3-SRC-MP</x:v>
      </x:c>
      <x:c r="R53" s="9" t="str">
        <x:v>https://masseffect.fandom.com/wiki/Mass_Effect_3_Multiplayer</x:v>
      </x:c>
      <x:c r="S53" s="9" t="str">
        <x:v>Spécification à réaliser. Les champs adaptation, gameplay, visual, animation, audio et implementation décrivent le fan game ; ils ne donnent pas des caractéristiques officielles de l’œuvre.</x:v>
      </x:c>
    </x:row>
    <x:row r="54" ht="68" customHeight="1">
      <x:c r="A54" s="19" t="str">
        <x:v>ME3-ZON-MP-RIO</x:v>
      </x:c>
      <x:c r="B54" s="7" t="str">
        <x:v>Firebase Rio</x:v>
      </x:c>
      <x:c r="C54" s="15" t="str">
        <x:v>Défini</x:v>
      </x:c>
      <x:c r="D54" s="17" t="str">
        <x:v>Établi</x:v>
      </x:c>
      <x:c r="E54" s="17" t="str">
        <x:v>P1</x:v>
      </x:c>
      <x:c r="F54" s="7" t="str">
        <x:v>Carte du multijoueur ME3 original.</x:v>
      </x:c>
      <x:c r="G54" s="7" t="str">
        <x:v>Arène de vagues séparée : réserver quatre entrées de groupe, répartir objectifs et munitions, conserver au moins deux voies de repli lisibles ; topologie exacte à relever avant reproduction.</x:v>
      </x:c>
      <x:c r="H54" s="7" t="str">
        <x:v>Arène de vagues séparée : réserver quatre entrées de groupe, répartir objectifs et munitions, conserver au moins deux voies de repli lisibles ; topologie exacte à relever avant reproduction.</x:v>
      </x:c>
      <x:c r="I54" s="7" t="str">
        <x:v>Installations portuaires et verticalité.</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me3/zones/mp-rio ; rattacher les ressources et états cités à cet identifiant. Aucun fichier de jeu créé par ce catalogue.</x:v>
      </x:c>
      <x:c r="M54" s="7" t="str">
        <x:v>Module multijoueur original uniquement ; absent de Legendary.</x:v>
      </x:c>
      <x:c r="N54" s="7" t="str">
        <x:v>Le lancement indique multijoueur ; aucune mission solo ne charge cette carte par erreur ; tester objectif, extraction et réapparition sans blocage de chemin.</x:v>
      </x:c>
      <x:c r="O54" s="7" t="str"/>
      <x:c r="P54" s="7" t="str">
        <x:v>Firebase Rio</x:v>
      </x:c>
      <x:c r="Q54" s="7" t="str">
        <x:v>ME3-SRC-MP</x:v>
      </x:c>
      <x:c r="R54" s="7" t="str">
        <x:v>https://masseffect.fandom.com/wiki/Mass_Effect_3_Multiplayer</x:v>
      </x:c>
      <x:c r="S54" s="7" t="str">
        <x:v>Spécification à réaliser. Les champs adaptation, gameplay, visual, animation, audio et implementation décrivent le fan game ; ils ne donnent pas des caractéristiques officielles de l’œuvre.</x:v>
      </x:c>
    </x:row>
    <x:row r="55" ht="68" customHeight="1">
      <x:c r="A55" s="18" t="str">
        <x:v>ME3-ZON-MP-VANCOUVER</x:v>
      </x:c>
      <x:c r="B55" s="9" t="str">
        <x:v>Firebase Vancouver</x:v>
      </x:c>
      <x:c r="C55" s="15" t="str">
        <x:v>Défini</x:v>
      </x:c>
      <x:c r="D55" s="16" t="str">
        <x:v>Établi</x:v>
      </x:c>
      <x:c r="E55" s="16" t="str">
        <x:v>P1</x:v>
      </x:c>
      <x:c r="F55" s="9" t="str">
        <x:v>Carte du multijoueur ME3 original.</x:v>
      </x:c>
      <x:c r="G55" s="9" t="str">
        <x:v>Arène de vagues séparée : réserver quatre entrées de groupe, répartir objectifs et munitions, conserver au moins deux voies de repli lisibles ; topologie exacte à relever avant reproduction.</x:v>
      </x:c>
      <x:c r="H55" s="9" t="str">
        <x:v>Arène de vagues séparée : réserver quatre entrées de groupe, répartir objectifs et munitions, conserver au moins deux voies de repli lisibles ; topologie exacte à relever avant reproduction.</x:v>
      </x:c>
      <x:c r="I55" s="9" t="str">
        <x:v>Toitures et ville en guerre.</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me3/zones/mp-vancouver ; rattacher les ressources et états cités à cet identifiant. Aucun fichier de jeu créé par ce catalogue.</x:v>
      </x:c>
      <x:c r="M55" s="9" t="str">
        <x:v>Module multijoueur original uniquement ; absent de Legendary.</x:v>
      </x:c>
      <x:c r="N55" s="9" t="str">
        <x:v>Le lancement indique multijoueur ; aucune mission solo ne charge cette carte par erreur ; tester objectif, extraction et réapparition sans blocage de chemin.</x:v>
      </x:c>
      <x:c r="O55" s="9" t="str"/>
      <x:c r="P55" s="9" t="str">
        <x:v>Firebase Vancouver</x:v>
      </x:c>
      <x:c r="Q55" s="9" t="str">
        <x:v>ME3-SRC-MP</x:v>
      </x:c>
      <x:c r="R55" s="9" t="str">
        <x:v>https://masseffect.fandom.com/wiki/Mass_Effect_3_Multiplayer</x:v>
      </x:c>
      <x:c r="S55" s="9" t="str">
        <x:v>Spécification à réaliser. Les champs adaptation, gameplay, visual, animation, audio et implementation décrivent le fan game ; ils ne donnent pas des caractéristiques officielles de l’œuvre.</x:v>
      </x:c>
    </x:row>
  </x:sheetData>
  <x:conditionalFormatting sqref="D7:D55">
    <x:cfRule type="cellIs" dxfId="16" priority="1" operator="equal">
      <x:formula>"À vérifier"</x:formula>
    </x:cfRule>
    <x:cfRule type="cellIs" dxfId="17" priority="2" operator="equal">
      <x:formula>"Extrapolation"</x:formula>
    </x:cfRule>
  </x:conditionalFormatting>
  <x:conditionalFormatting sqref="C7:C55">
    <x:cfRule type="cellIs" dxfId="18" priority="3" operator="equal">
      <x:formula>"Validé"</x:formula>
    </x:cfRule>
  </x:conditionalFormatting>
  <x:conditionalFormatting sqref="E7:E55">
    <x:cfRule type="cellIs" dxfId="19" priority="4" operator="equal">
      <x:formula>"P0"</x:formula>
    </x:cfRule>
  </x:conditionalFormatting>
  <x:dataValidations count="3">
    <x:dataValidation type="list" sqref="C7:C55">
      <x:formula1>"Défini,Prototype,Intégré,Validé"</x:formula1>
    </x:dataValidation>
    <x:dataValidation type="list" sqref="D7:D55">
      <x:formula1>"Établi,À vérifier,Extrapolation,Coupé attesté,Concept abandonné,Allégation écartée"</x:formula1>
    </x:dataValidation>
    <x:dataValidation type="list" sqref="E7:E55">
      <x:formula1>"P0,P1,P2"</x:formula1>
    </x:dataValidation>
  </x:dataValidations>
  <x:pageMargins left="0.7" right="0.7" top="0.75" bottom="0.75" header="0.3" footer="0.3"/>
  <x:tableParts count="1">
    <x:tablePart xmlns:r="http://schemas.openxmlformats.org/officeDocument/2006/relationships" r:id="Rd90b49437b084e25"/>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3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ME3-LNK-GALAXY</x:v>
      </x:c>
      <x:c r="B7" s="9" t="str">
        <x:v>Normandy ↔ carte galactique</x:v>
      </x:c>
      <x:c r="C7" s="15" t="str">
        <x:v>Défini</x:v>
      </x:c>
      <x:c r="D7" s="16" t="str">
        <x:v>Extrapolation</x:v>
      </x:c>
      <x:c r="E7" s="16" t="str">
        <x:v>P1</x:v>
      </x:c>
      <x:c r="F7" s="9" t="str">
        <x:v>Livrable original proposé : Normandy ↔ carte galactique.</x:v>
      </x:c>
      <x:c r="G7" s="9" t="str">
        <x:v>Voyage par interface avec confirmation de mission, consommation et alerte ; jamais de marche directe entre planètes.</x:v>
      </x:c>
      <x:c r="H7" s="9" t="str">
        <x:v>Voyage par interface avec confirmation de mission, consommation et alerte ; jamais de marche directe entre planètes.</x:v>
      </x:c>
      <x:c r="I7" s="9" t="str">
        <x:v>Carte, destination et bouton de départ.</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me3/links/galaxy ; rattacher les ressources et états cités à cet identifiant. Aucun fichier de jeu créé par ce catalogue.</x:v>
      </x:c>
      <x:c r="M7" s="9" t="str"/>
      <x:c r="N7" s="9" t="str">
        <x:v>Le livrable « Normandy ↔ carte galactique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ME3-LNK-CIT-HUB</x:v>
      </x:c>
      <x:c r="B8" s="7" t="str">
        <x:v>Navette ↔ quartiers de Citadelle</x:v>
      </x:c>
      <x:c r="C8" s="15" t="str">
        <x:v>Défini</x:v>
      </x:c>
      <x:c r="D8" s="17" t="str">
        <x:v>Extrapolation</x:v>
      </x:c>
      <x:c r="E8" s="17" t="str">
        <x:v>P1</x:v>
      </x:c>
      <x:c r="F8" s="7" t="str">
        <x:v>Livrable original proposé : Navette ↔ quartiers de Citadelle.</x:v>
      </x:c>
      <x:c r="G8" s="7" t="str">
        <x:v>Sélection du district puis arrivée au point connu ; hub mémorise dernier quartier et messages non lus.</x:v>
      </x:c>
      <x:c r="H8" s="7" t="str">
        <x:v>Sélection du district puis arrivée au point connu ; hub mémorise dernier quartier et messages non lus.</x:v>
      </x:c>
      <x:c r="I8" s="7" t="str">
        <x:v>Carte de transport et portes de district.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me3/links/cit-hub ; rattacher les ressources et états cités à cet identifiant. Aucun fichier de jeu créé par ce catalogue.</x:v>
      </x:c>
      <x:c r="M8" s="7" t="str"/>
      <x:c r="N8" s="7" t="str">
        <x:v>Le livrable « Navette ↔ quartiers de Citadelle » possède une scène ou un scénario de contrôle ; ses règles proposées, ses conditions et ses retours visuels sont vérifiables séparément.</x:v>
      </x:c>
      <x:c r="O8" s="7" t="str">
        <x:v>ME3-WRL-CITADEL, ME3-ZON-CIT-DOCKS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ME3-LNK-HOSPITAL</x:v>
      </x:c>
      <x:c r="B9" s="9" t="str">
        <x:v>Ambassades ↔ hôpital</x:v>
      </x:c>
      <x:c r="C9" s="15" t="str">
        <x:v>Défini</x:v>
      </x:c>
      <x:c r="D9" s="16" t="str">
        <x:v>Extrapolation</x:v>
      </x:c>
      <x:c r="E9" s="16" t="str">
        <x:v>P1</x:v>
      </x:c>
      <x:c r="F9" s="9" t="str">
        <x:v>Livrable original proposé : Ambassades ↔ hôpital.</x:v>
      </x:c>
      <x:c r="G9" s="9" t="str">
        <x:v>Transit de hub à distance explicite ; disponibilité des visites vérifiée avant placement du PNJ.</x:v>
      </x:c>
      <x:c r="H9" s="9" t="str">
        <x:v>Transit de hub à distance explicite ; disponibilité des visites vérifiée avant placement du PNJ.</x:v>
      </x:c>
      <x:c r="I9" s="9" t="str">
        <x:v>Sélecteur hôpital et lit ciblé.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me3/links/hospital ; rattacher les ressources et états cités à cet identifiant. Aucun fichier de jeu créé par ce catalogue.</x:v>
      </x:c>
      <x:c r="M9" s="9" t="str"/>
      <x:c r="N9" s="9" t="str">
        <x:v>Le livrable « Ambassades ↔ hôpital » possède une scène ou un scénario de contrôle ; ses règles proposées, ses conditions et ses retours visuels sont vérifiables séparément.</x:v>
      </x:c>
      <x:c r="O9" s="9" t="str">
        <x:v>ME3-ZON-CIT-EMBASSY, ME3-ZON-CIT-HOSP</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ME3-LNK-SURKESH</x:v>
      </x:c>
      <x:c r="B10" s="7" t="str">
        <x:v>Étages de Sur’Kesh</x:v>
      </x:c>
      <x:c r="C10" s="15" t="str">
        <x:v>Défini</x:v>
      </x:c>
      <x:c r="D10" s="17" t="str">
        <x:v>Extrapolation</x:v>
      </x:c>
      <x:c r="E10" s="17" t="str">
        <x:v>P1</x:v>
      </x:c>
      <x:c r="F10" s="7" t="str">
        <x:v>Livrable original proposé : Étages de Sur’Kesh.</x:v>
      </x:c>
      <x:c r="G10" s="7" t="str">
        <x:v>Ascenseur de capsule et escaliers joueurs synchronisés ; empêcher Eve de disparaître si un allié reste en retard.</x:v>
      </x:c>
      <x:c r="H10" s="7" t="str">
        <x:v>Ascenseur de capsule et escaliers joueurs synchronisés ; empêcher Eve de disparaître si un allié reste en retard.</x:v>
      </x:c>
      <x:c r="I10" s="7" t="str">
        <x:v>Capsule sur rail et balises d’étage.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me3/links/surkesh ; rattacher les ressources et états cités à cet identifiant. Aucun fichier de jeu créé par ce catalogue.</x:v>
      </x:c>
      <x:c r="M10" s="7" t="str"/>
      <x:c r="N10" s="7" t="str">
        <x:v>Le livrable « Étages de Sur’Kesh » possède une scène ou un scénario de contrôle ; ses règles proposées, ses conditions et ses retours visuels sont vérifiables séparément.</x:v>
      </x:c>
      <x:c r="O10" s="7" t="str">
        <x:v>ME3-ZON-SURKESH-LAB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ME3-LNK-TUCH-ROUTES</x:v>
      </x:c>
      <x:c r="B11" s="9" t="str">
        <x:v>Trajets des missions Tuchanka</x:v>
      </x:c>
      <x:c r="C11" s="15" t="str">
        <x:v>Défini</x:v>
      </x:c>
      <x:c r="D11" s="16" t="str">
        <x:v>Extrapolation</x:v>
      </x:c>
      <x:c r="E11" s="16" t="str">
        <x:v>P1</x:v>
      </x:c>
      <x:c r="F11" s="9" t="str">
        <x:v>Livrable original proposé : Trajets des missions Tuchanka.</x:v>
      </x:c>
      <x:c r="G11" s="9" t="str">
        <x:v>Chaque opération a son point d’arrivée ; seules liaisons réellement scénarisées sont jouées, autres transitent par carte.</x:v>
      </x:c>
      <x:c r="H11" s="9" t="str">
        <x:v>Chaque opération a son point d’arrivée ; seules liaisons réellement scénarisées sont jouées, autres transitent par carte.</x:v>
      </x:c>
      <x:c r="I11" s="9" t="str">
        <x:v>Trois icônes de mission séparées.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me3/links/tuch-routes ; rattacher les ressources et états cités à cet identifiant. Aucun fichier de jeu créé par ce catalogue.</x:v>
      </x:c>
      <x:c r="M11" s="9" t="str"/>
      <x:c r="N11" s="9" t="str">
        <x:v>Le livrable « Trajets des missions Tuchanka » possède une scène ou un scénario de contrôle ; ses règles proposées, ses conditions et ses retours visuels sont vérifiables séparément.</x:v>
      </x:c>
      <x:c r="O11" s="9" t="str">
        <x:v>ME3-WRL-TUCHANKA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ME3-LNK-CONSENSUS</x:v>
      </x:c>
      <x:c r="B12" s="7" t="str">
        <x:v>Cuirassé / Rannoch ↔ consensus</x:v>
      </x:c>
      <x:c r="C12" s="15" t="str">
        <x:v>Défini</x:v>
      </x:c>
      <x:c r="D12" s="17" t="str">
        <x:v>Extrapolation</x:v>
      </x:c>
      <x:c r="E12" s="17" t="str">
        <x:v>P1</x:v>
      </x:c>
      <x:c r="F12" s="7" t="str">
        <x:v>Livrable original proposé : Cuirassé / Rannoch ↔ consensus.</x:v>
      </x:c>
      <x:c r="G12" s="7" t="str">
        <x:v>Entrée virtuelle sauvegarde loadout et état physique ; sortie restaure l’inventaire sans garder l’arme de nettoyage.</x:v>
      </x:c>
      <x:c r="H12" s="7" t="str">
        <x:v>Entrée virtuelle sauvegarde loadout et état physique ; sortie restaure l’inventaire sans garder l’arme de nettoyage.</x:v>
      </x:c>
      <x:c r="I12" s="7" t="str">
        <x:v>Transition de données et cadre virtuel.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me3/links/consensus ; rattacher les ressources et états cités à cet identifiant. Aucun fichier de jeu créé par ce catalogue.</x:v>
      </x:c>
      <x:c r="M12" s="7" t="str"/>
      <x:c r="N12" s="7" t="str">
        <x:v>Le livrable « Cuirassé / Rannoch ↔ consensus » possède une scène ou un scénario de contrôle ; ses règles proposées, ses conditions et ses retours visuels sont vérifiables séparément.</x:v>
      </x:c>
      <x:c r="O12" s="7" t="str">
        <x:v>ME3-ZON-GETH-CONSENSUS, ME3-WPN-GETH-SOFT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ME3-LNK-SANCTUARY</x:v>
      </x:c>
      <x:c r="B13" s="9" t="str">
        <x:v>Accueil → niveaux cachés</x:v>
      </x:c>
      <x:c r="C13" s="15" t="str">
        <x:v>Défini</x:v>
      </x:c>
      <x:c r="D13" s="16" t="str">
        <x:v>Extrapolation</x:v>
      </x:c>
      <x:c r="E13" s="16" t="str">
        <x:v>P1</x:v>
      </x:c>
      <x:c r="F13" s="9" t="str">
        <x:v>Livrable original proposé : Accueil → niveaux cachés.</x:v>
      </x:c>
      <x:c r="G13" s="9" t="str">
        <x:v>Une porte d’enquête irréversible marque la révélation ; indices accessibles avant validation du dernier passage.</x:v>
      </x:c>
      <x:c r="H13" s="9" t="str">
        <x:v>Une porte d’enquête irréversible marque la révélation ; indices accessibles avant validation du dernier passage.</x:v>
      </x:c>
      <x:c r="I13" s="9" t="str">
        <x:v>Signalétique d’accueil puis maintenance.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me3/links/sanctuary ; rattacher les ressources et états cités à cet identifiant. Aucun fichier de jeu créé par ce catalogue.</x:v>
      </x:c>
      <x:c r="M13" s="9" t="str"/>
      <x:c r="N13" s="9" t="str">
        <x:v>Le livrable « Accueil → niveaux cachés » possède une scène ou un scénario de contrôle ; ses règles proposées, ses conditions et ses retours visuels sont vérifiables séparément.</x:v>
      </x:c>
      <x:c r="O13" s="9" t="str">
        <x:v>ME3-ZON-SANCTUARY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ME3-LNK-ENDGAME</x:v>
      </x:c>
      <x:c r="B14" s="7" t="str">
        <x:v>Carte galactique → QG Cerberus</x:v>
      </x:c>
      <x:c r="C14" s="15" t="str">
        <x:v>Défini</x:v>
      </x:c>
      <x:c r="D14" s="17" t="str">
        <x:v>Extrapolation</x:v>
      </x:c>
      <x:c r="E14" s="17" t="str">
        <x:v>P1</x:v>
      </x:c>
      <x:c r="F14" s="7" t="str">
        <x:v>Livrable original proposé : Carte galactique → QG Cerberus.</x:v>
      </x:c>
      <x:c r="G14" s="7" t="str">
        <x:v>Écran dédié annonce verrou de fin et sauvegarde avant départ ; annuler conserve quêtes et composition.</x:v>
      </x:c>
      <x:c r="H14" s="7" t="str">
        <x:v>Écran dédié annonce verrou de fin et sauvegarde avant départ ; annuler conserve quêtes et composition.</x:v>
      </x:c>
      <x:c r="I14" s="7" t="str">
        <x:v>Avertissement narratif clair sans spoiler de fin.</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me3/links/endgame ; rattacher les ressources et états cités à cet identifiant. Aucun fichier de jeu créé par ce catalogue.</x:v>
      </x:c>
      <x:c r="M14" s="7" t="str"/>
      <x:c r="N14" s="7" t="str">
        <x:v>Le livrable « Carte galactique → QG Cerberus » possède une scène ou un scénario de contrôle ; ses règles proposées, ses conditions et ses retours visuels sont vérifiables séparément.</x:v>
      </x:c>
      <x:c r="O14" s="7" t="str">
        <x:v>ME3-MQ-CERBERUS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ME3-LNK-LONDON</x:v>
      </x:c>
      <x:c r="B15" s="9" t="str">
        <x:v>Base avancée → batterie → faisceau</x:v>
      </x:c>
      <x:c r="C15" s="15" t="str">
        <x:v>Défini</x:v>
      </x:c>
      <x:c r="D15" s="16" t="str">
        <x:v>Extrapolation</x:v>
      </x:c>
      <x:c r="E15" s="16" t="str">
        <x:v>P1</x:v>
      </x:c>
      <x:c r="F15" s="9" t="str">
        <x:v>Livrable original proposé : Base avancée → batterie → faisceau.</x:v>
      </x:c>
      <x:c r="G15" s="9" t="str">
        <x:v>Trois transitions conservent les adieux et états d’armée ; un chargement ne relance pas le briefing final.</x:v>
      </x:c>
      <x:c r="H15" s="9" t="str">
        <x:v>Trois transitions conservent les adieux et états d’armée ; un chargement ne relance pas le briefing final.</x:v>
      </x:c>
      <x:c r="I15" s="9" t="str">
        <x:v>Flèches d’assaut et jalons de radio.</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me3/links/london ; rattacher les ressources et états cités à cet identifiant. Aucun fichier de jeu créé par ce catalogue.</x:v>
      </x:c>
      <x:c r="M15" s="9" t="str"/>
      <x:c r="N15" s="9" t="str">
        <x:v>Le livrable « Base avancée → batterie → faisceau » possède une scène ou un scénario de contrôle ; ses règles proposées, ses conditions et ses retours visuels sont vérifiables séparément.</x:v>
      </x:c>
      <x:c r="O15" s="9" t="str">
        <x:v>ME3-ZON-LONDON-FOB, ME3-ZON-LONDON-MISSILES, ME3-ZON-BEAM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ME3-LNK-LEV-INVEST</x:v>
      </x:c>
      <x:c r="B16" s="7" t="str">
        <x:v>Laboratoire → destinations Leviathan</x:v>
      </x:c>
      <x:c r="C16" s="15" t="str">
        <x:v>Défini</x:v>
      </x:c>
      <x:c r="D16" s="17" t="str">
        <x:v>Extrapolation</x:v>
      </x:c>
      <x:c r="E16" s="17" t="str">
        <x:v>P1</x:v>
      </x:c>
      <x:c r="F16" s="7" t="str">
        <x:v>Livrable original proposé : Laboratoire → destinations Leviathan.</x:v>
      </x:c>
      <x:c r="G16" s="7" t="str">
        <x:v>Filtres d’enquête déverrouillent des destinations sans effacer les pistes ; retour au laboratoire restaure tableau et preuves.</x:v>
      </x:c>
      <x:c r="H16" s="7" t="str">
        <x:v>Filtres d’enquête déverrouillent des destinations sans effacer les pistes ; retour au laboratoire restaure tableau et preuves.</x:v>
      </x:c>
      <x:c r="I16" s="7" t="str">
        <x:v>Table d’indices et carte galactique.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me3/links/lev-invest ; rattacher les ressources et états cités à cet identifiant. Aucun fichier de jeu créé par ce catalogue.</x:v>
      </x:c>
      <x:c r="M16" s="7" t="str"/>
      <x:c r="N16" s="7" t="str">
        <x:v>Le livrable « Laboratoire → destinations Leviathan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ME3-LNK-LEV-DIVE</x:v>
      </x:c>
      <x:c r="B17" s="9" t="str">
        <x:v>Épaves → abîme de Despoina</x:v>
      </x:c>
      <x:c r="C17" s="15" t="str">
        <x:v>Défini</x:v>
      </x:c>
      <x:c r="D17" s="16" t="str">
        <x:v>Extrapolation</x:v>
      </x:c>
      <x:c r="E17" s="16" t="str">
        <x:v>P1</x:v>
      </x:c>
      <x:c r="F17" s="9" t="str">
        <x:v>Livrable original proposé : Épaves → abîme de Despoina.</x:v>
      </x:c>
      <x:c r="G17" s="9" t="str">
        <x:v>Transition vers méca de plongée vérifie équipement et pilote ; pas d’accès libre à l’eau comme si sol marchable.</x:v>
      </x:c>
      <x:c r="H17" s="9" t="str">
        <x:v>Transition vers méca de plongée vérifie équipement et pilote ; pas d’accès libre à l’eau comme si sol marchable.</x:v>
      </x:c>
      <x:c r="I17" s="9" t="str">
        <x:v>Plateforme de descente et noir abyssal.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me3/links/lev-dive ; rattacher les ressources et états cités à cet identifiant. Aucun fichier de jeu créé par ce catalogue.</x:v>
      </x:c>
      <x:c r="M17" s="9" t="str"/>
      <x:c r="N17" s="9" t="str">
        <x:v>Le livrable « Épaves → abîme de Despoina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ME3-LNK-OMEGA</x:v>
      </x:c>
      <x:c r="B18" s="7" t="str">
        <x:v>Normandy → campagne Omega</x:v>
      </x:c>
      <x:c r="C18" s="15" t="str">
        <x:v>Défini</x:v>
      </x:c>
      <x:c r="D18" s="17" t="str">
        <x:v>Extrapolation</x:v>
      </x:c>
      <x:c r="E18" s="17" t="str">
        <x:v>P1</x:v>
      </x:c>
      <x:c r="F18" s="7" t="str">
        <x:v>Livrable original proposé : Normandy → campagne Omega.</x:v>
      </x:c>
      <x:c r="G18" s="7" t="str">
        <x:v>Entrée avec engagement dans extension, roster Aria/Nyreen et journal local ; sortie restaure groupe standard.</x:v>
      </x:c>
      <x:c r="H18" s="7" t="str">
        <x:v>Entrée avec engagement dans extension, roster Aria/Nyreen et journal local ; sortie restaure groupe standard.</x:v>
      </x:c>
      <x:c r="I18" s="7" t="str">
        <x:v>Carte de station et navette dédiée.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me3/links/omega ; rattacher les ressources et états cités à cet identifiant. Aucun fichier de jeu créé par ce catalogue.</x:v>
      </x:c>
      <x:c r="M18" s="7" t="str"/>
      <x:c r="N18" s="7" t="str">
        <x:v>Le livrable « Normandy → campagne Omega » possède une scène ou un scénario de contrôle ; ses règles proposées, ses conditions et ses retours visuels sont vérifiables séparément.</x:v>
      </x:c>
      <x:c r="O18" s="7" t="str">
        <x:v>ME3-MQ-OMEGA</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ME3-LNK-CIT-LEISURE</x:v>
      </x:c>
      <x:c r="B19" s="9" t="str">
        <x:v>Appartement ↔ Silversun</x:v>
      </x:c>
      <x:c r="C19" s="15" t="str">
        <x:v>Défini</x:v>
      </x:c>
      <x:c r="D19" s="16" t="str">
        <x:v>Extrapolation</x:v>
      </x:c>
      <x:c r="E19" s="16" t="str">
        <x:v>P1</x:v>
      </x:c>
      <x:c r="F19" s="9" t="str">
        <x:v>Livrable original proposé : Appartement ↔ Silversun.</x:v>
      </x:c>
      <x:c r="G19" s="9" t="str">
        <x:v>Retour au hub social après complot ; état fête dépend d’invitations, pas de réapparition arbitraire des équipiers.</x:v>
      </x:c>
      <x:c r="H19" s="9" t="str">
        <x:v>Retour au hub social après complot ; état fête dépend d’invitations, pas de réapparition arbitraire des équipiers.</x:v>
      </x:c>
      <x:c r="I19" s="9" t="str">
        <x:v>Ascenseur, terrasse et rue néon.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me3/links/cit-leisure ; rattacher les ressources et états cités à cet identifiant. Aucun fichier de jeu créé par ce catalogue.</x:v>
      </x:c>
      <x:c r="M19" s="9" t="str"/>
      <x:c r="N19" s="9" t="str">
        <x:v>Le livrable « Appartement ↔ Silversun » possède une scène ou un scénario de contrôle ; ses règles proposées, ses conditions et ses retours visuels sont vérifiables séparément.</x:v>
      </x:c>
      <x:c r="O19" s="9" t="str">
        <x:v>ME3-ZON-APARTMENT, ME3-ZON-SILVERSUN</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ME3-LNK-ARENA</x:v>
      </x:c>
      <x:c r="B20" s="7" t="str">
        <x:v>Silversun ↔ simulation Armax</x:v>
      </x:c>
      <x:c r="C20" s="15" t="str">
        <x:v>Défini</x:v>
      </x:c>
      <x:c r="D20" s="17" t="str">
        <x:v>Extrapolation</x:v>
      </x:c>
      <x:c r="E20" s="17" t="str">
        <x:v>P1</x:v>
      </x:c>
      <x:c r="F20" s="7" t="str">
        <x:v>Livrable original proposé : Silversun ↔ simulation Armax.</x:v>
      </x:c>
      <x:c r="G20" s="7" t="str">
        <x:v>Sauvegarder inventaire et états campagne à entrée ; abandon ou victoire restaure exactement l’état extérieur autorisé.</x:v>
      </x:c>
      <x:c r="H20" s="7" t="str">
        <x:v>Sauvegarder inventaire et états campagne à entrée ; abandon ou victoire restaure exactement l’état extérieur autorisé.</x:v>
      </x:c>
      <x:c r="I20" s="7" t="str">
        <x:v>Sas de simulation et paramètres.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me3/links/arena ; rattacher les ressources et états cités à cet identifiant. Aucun fichier de jeu créé par ce catalogue.</x:v>
      </x:c>
      <x:c r="M20" s="7" t="str"/>
      <x:c r="N20" s="7" t="str">
        <x:v>Le livrable « Silversun ↔ simulation Armax » possède une scène ou un scénario de contrôle ; ses règles proposées, ses conditions et ses retours visuels sont vérifiables séparément.</x:v>
      </x:c>
      <x:c r="O20" s="7" t="str">
        <x:v>ME3-ZON-ARMAX</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20" priority="1" operator="equal">
      <x:formula>"À vérifier"</x:formula>
    </x:cfRule>
    <x:cfRule type="cellIs" dxfId="21" priority="2" operator="equal">
      <x:formula>"Extrapolation"</x:formula>
    </x:cfRule>
  </x:conditionalFormatting>
  <x:conditionalFormatting sqref="C7:C20">
    <x:cfRule type="cellIs" dxfId="22" priority="3" operator="equal">
      <x:formula>"Validé"</x:formula>
    </x:cfRule>
  </x:conditionalFormatting>
  <x:conditionalFormatting sqref="E7:E20">
    <x:cfRule type="cellIs" dxfId="2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a277817bf1994527"/>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3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ME3-SCN-VANCOUVER</x:v>
      </x:c>
      <x:c r="B7" s="9" t="str">
        <x:v>Kit 3D — Vancouver en invasion</x:v>
      </x:c>
      <x:c r="C7" s="15" t="str">
        <x:v>Défini</x:v>
      </x:c>
      <x:c r="D7" s="16" t="str">
        <x:v>Extrapolation</x:v>
      </x:c>
      <x:c r="E7" s="16" t="str">
        <x:v>P1</x:v>
      </x:c>
      <x:c r="F7" s="9" t="str">
        <x:v>Livrable original proposé : Kit 3D — Vancouver en invasion.</x:v>
      </x:c>
      <x:c r="G7" s="9" t="str">
        <x:v>Façades et passerelles de fuite avec ruines en fond ; privilégier parcours lisible et grande échelle des Moissonneurs.</x:v>
      </x:c>
      <x:c r="H7" s="9" t="str">
        <x:v>Façades et passerelles de fuite avec ruines en fond ; privilégier parcours lisible et grande échelle des Moissonneurs.</x:v>
      </x:c>
      <x:c r="I7" s="9" t="str">
        <x:v>Béton clair, poussière et ciel sombre.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me3/scenery/vancouver ; rattacher les ressources et états cités à cet identifiant. Aucun fichier de jeu créé par ce catalogue.</x:v>
      </x:c>
      <x:c r="M7" s="9" t="str"/>
      <x:c r="N7" s="9" t="str">
        <x:v>Le livrable « Kit 3D — Vancouver en invasion » possède une scène ou un scénario de contrôle ; ses règles proposées, ses conditions et ses retours visuels sont vérifiables séparément.</x:v>
      </x:c>
      <x:c r="O7" s="9" t="str">
        <x:v>ME3-WRL-EARTH</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ME3-SCN-MARS</x:v>
      </x:c>
      <x:c r="B8" s="7" t="str">
        <x:v>Kit 3D — archives martiennes</x:v>
      </x:c>
      <x:c r="C8" s="15" t="str">
        <x:v>Défini</x:v>
      </x:c>
      <x:c r="D8" s="17" t="str">
        <x:v>Extrapolation</x:v>
      </x:c>
      <x:c r="E8" s="17" t="str">
        <x:v>P1</x:v>
      </x:c>
      <x:c r="F8" s="7" t="str">
        <x:v>Livrable original proposé : Kit 3D — archives martiennes.</x:v>
      </x:c>
      <x:c r="G8" s="7" t="str">
        <x:v>Modules blancs et vitres sur tempête rouge ; couvert collidable séparé des consoles de récit.</x:v>
      </x:c>
      <x:c r="H8" s="7" t="str">
        <x:v>Modules blancs et vitres sur tempête rouge ; couvert collidable séparé des consoles de récit.</x:v>
      </x:c>
      <x:c r="I8" s="7" t="str">
        <x:v>Baies, sas et poussière rouge.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me3/scenery/mars ; rattacher les ressources et états cités à cet identifiant. Aucun fichier de jeu créé par ce catalogue.</x:v>
      </x:c>
      <x:c r="M8" s="7" t="str"/>
      <x:c r="N8" s="7" t="str">
        <x:v>Le livrable « Kit 3D — archives martiennes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ME3-SCN-MENAE</x:v>
      </x:c>
      <x:c r="B9" s="9" t="str">
        <x:v>Kit 3D — front lunaire</x:v>
      </x:c>
      <x:c r="C9" s="15" t="str">
        <x:v>Défini</x:v>
      </x:c>
      <x:c r="D9" s="16" t="str">
        <x:v>Extrapolation</x:v>
      </x:c>
      <x:c r="E9" s="16" t="str">
        <x:v>P1</x:v>
      </x:c>
      <x:c r="F9" s="9" t="str">
        <x:v>Livrable original proposé : Kit 3D — front lunaire.</x:v>
      </x:c>
      <x:c r="G9" s="9" t="str">
        <x:v>Roches, tentes et batteries avec Palaven comme ciel ; aucun faux chemin vers la planète en arrière-plan.</x:v>
      </x:c>
      <x:c r="H9" s="9" t="str">
        <x:v>Roches, tentes et batteries avec Palaven comme ciel ; aucun faux chemin vers la planète en arrière-plan.</x:v>
      </x:c>
      <x:c r="I9" s="9" t="str">
        <x:v>Gris froid et lueurs de ville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me3/scenery/menae ; rattacher les ressources et états cités à cet identifiant. Aucun fichier de jeu créé par ce catalogue.</x:v>
      </x:c>
      <x:c r="M9" s="9" t="str"/>
      <x:c r="N9" s="9" t="str">
        <x:v>Le livrable « Kit 3D — front lunaire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ME3-SCN-CITADEL</x:v>
      </x:c>
      <x:c r="B10" s="7" t="str">
        <x:v>Kit 3D — Citadelle civile en guerre</x:v>
      </x:c>
      <x:c r="C10" s="15" t="str">
        <x:v>Défini</x:v>
      </x:c>
      <x:c r="D10" s="17" t="str">
        <x:v>Extrapolation</x:v>
      </x:c>
      <x:c r="E10" s="17" t="str">
        <x:v>P1</x:v>
      </x:c>
      <x:c r="F10" s="7" t="str">
        <x:v>Livrable original proposé : Kit 3D — Citadelle civile en guerre.</x:v>
      </x:c>
      <x:c r="G10" s="7" t="str">
        <x:v>Dalles, kiosques et lits de réfugiés ; états avant/après coup d’État via variantes de décor sans casser navigation.</x:v>
      </x:c>
      <x:c r="H10" s="7" t="str">
        <x:v>Dalles, kiosques et lits de réfugiés ; états avant/après coup d’État via variantes de décor sans casser navigation.</x:v>
      </x:c>
      <x:c r="I10" s="7" t="str">
        <x:v>Blanc, bleu, bagages et balisage d’urgence.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me3/scenery/citadel ; rattacher les ressources et états cités à cet identifiant. Aucun fichier de jeu créé par ce catalogue.</x:v>
      </x:c>
      <x:c r="M10" s="7" t="str"/>
      <x:c r="N10" s="7" t="str">
        <x:v>Le livrable « Kit 3D — Citadelle civile en guerre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ME3-SCN-SURKESH</x:v>
      </x:c>
      <x:c r="B11" s="9" t="str">
        <x:v>Kit 3D — laboratoire galarien</x:v>
      </x:c>
      <x:c r="C11" s="15" t="str">
        <x:v>Défini</x:v>
      </x:c>
      <x:c r="D11" s="16" t="str">
        <x:v>Extrapolation</x:v>
      </x:c>
      <x:c r="E11" s="16" t="str">
        <x:v>P1</x:v>
      </x:c>
      <x:c r="F11" s="9" t="str">
        <x:v>Livrable original proposé : Kit 3D — laboratoire galarien.</x:v>
      </x:c>
      <x:c r="G11" s="9" t="str">
        <x:v>Piliers et plateformes superposées avec lianes au fond ; transparence de toit quand personnage passe dessous.</x:v>
      </x:c>
      <x:c r="H11" s="9" t="str">
        <x:v>Piliers et plateformes superposées avec lianes au fond ; transparence de toit quand personnage passe dessous.</x:v>
      </x:c>
      <x:c r="I11" s="9" t="str">
        <x:v>Végétation verte et blanc clinique.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me3/scenery/surkesh ; rattacher les ressources et états cités à cet identifiant. Aucun fichier de jeu créé par ce catalogue.</x:v>
      </x:c>
      <x:c r="M11" s="9" t="str"/>
      <x:c r="N11" s="9" t="str">
        <x:v>Le livrable « Kit 3D — laboratoire galarien » possède une scène ou un scénario de contrôle ; ses règles proposées, ses conditions et ses retours visuels sont vérifiables séparément.</x:v>
      </x:c>
      <x:c r="O11" s="9" t="str">
        <x:v>ME3-ZON-SURKESH-LAB</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ME3-SCN-TUCHANKA</x:v>
      </x:c>
      <x:c r="B12" s="7" t="str">
        <x:v>Kit 3D — ruines krogan</x:v>
      </x:c>
      <x:c r="C12" s="15" t="str">
        <x:v>Défini</x:v>
      </x:c>
      <x:c r="D12" s="17" t="str">
        <x:v>Extrapolation</x:v>
      </x:c>
      <x:c r="E12" s="17" t="str">
        <x:v>P1</x:v>
      </x:c>
      <x:c r="F12" s="7" t="str">
        <x:v>Livrable original proposé : Kit 3D — ruines krogan.</x:v>
      </x:c>
      <x:c r="G12" s="7" t="str">
        <x:v>Modules de pierre ancienne et gravats ; chemin de Kalros séparé du terrain jouable.</x:v>
      </x:c>
      <x:c r="H12" s="7" t="str">
        <x:v>Modules de pierre ancienne et gravats ; chemin de Kalros séparé du terrain jouable.</x:v>
      </x:c>
      <x:c r="I12" s="7" t="str">
        <x:v>Ocres, sculptures et poussière.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me3/scenery/tuchanka ; rattacher les ressources et états cités à cet identifiant. Aucun fichier de jeu créé par ce catalogue.</x:v>
      </x:c>
      <x:c r="M12" s="7" t="str"/>
      <x:c r="N12" s="7" t="str">
        <x:v>Le livrable « Kit 3D — ruines krogan » possède une scène ou un scénario de contrôle ; ses règles proposées, ses conditions et ses retours visuels sont vérifiables séparément.</x:v>
      </x:c>
      <x:c r="O12" s="7" t="str">
        <x:v>ME3-WRL-TUCHANKA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ME3-SCN-ORGANIC</x:v>
      </x:c>
      <x:c r="B13" s="9" t="str">
        <x:v>Kit 3D — tunnels organiques</x:v>
      </x:c>
      <x:c r="C13" s="15" t="str">
        <x:v>Défini</x:v>
      </x:c>
      <x:c r="D13" s="16" t="str">
        <x:v>Extrapolation</x:v>
      </x:c>
      <x:c r="E13" s="16" t="str">
        <x:v>P1</x:v>
      </x:c>
      <x:c r="F13" s="9" t="str">
        <x:v>Livrable original proposé : Kit 3D — tunnels organiques.</x:v>
      </x:c>
      <x:c r="G13" s="9" t="str">
        <x:v>Membranes, poches et ponts rocheux ; collisions simples indépendantes du mouvement visuel des tissus.</x:v>
      </x:c>
      <x:c r="H13" s="9" t="str">
        <x:v>Membranes, poches et ponts rocheux ; collisions simples indépendantes du mouvement visuel des tissus.</x:v>
      </x:c>
      <x:c r="I13" s="9" t="str">
        <x:v>Noir, chair stylisée et halos bleus.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me3/scenery/organic ; rattacher les ressources et états cités à cet identifiant. Aucun fichier de jeu créé par ce catalogue.</x:v>
      </x:c>
      <x:c r="M13" s="9" t="str"/>
      <x:c r="N13" s="9" t="str">
        <x:v>Le livrable « Kit 3D — tunnels organiques » possède une scène ou un scénario de contrôle ; ses règles proposées, ses conditions et ses retours visuels sont vérifiables séparément.</x:v>
      </x:c>
      <x:c r="O13" s="9" t="str">
        <x:v>ME3-ZON-RACHNI-TUNNEL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ME3-SCN-GRISSOM</x:v>
      </x:c>
      <x:c r="B14" s="7" t="str">
        <x:v>Kit 3D — école attaquée</x:v>
      </x:c>
      <x:c r="C14" s="15" t="str">
        <x:v>Défini</x:v>
      </x:c>
      <x:c r="D14" s="17" t="str">
        <x:v>Extrapolation</x:v>
      </x:c>
      <x:c r="E14" s="17" t="str">
        <x:v>P1</x:v>
      </x:c>
      <x:c r="F14" s="7" t="str">
        <x:v>Livrable original proposé : Kit 3D — école attaquée.</x:v>
      </x:c>
      <x:c r="G14" s="7" t="str">
        <x:v>Salles et atrium avec mobilier scolaire identifiable ; civils lisibles malgré végétation et vitres.</x:v>
      </x:c>
      <x:c r="H14" s="7" t="str">
        <x:v>Salles et atrium avec mobilier scolaire identifiable ; civils lisibles malgré végétation et vitres.</x:v>
      </x:c>
      <x:c r="I14" s="7" t="str">
        <x:v>Blanc, jardin et écrans éducatifs.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me3/scenery/grissom ; rattacher les ressources et états cités à cet identifiant. Aucun fichier de jeu créé par ce catalogue.</x:v>
      </x:c>
      <x:c r="M14" s="7" t="str"/>
      <x:c r="N14" s="7" t="str">
        <x:v>Le livrable « Kit 3D — école attaquée » possède une scène ou un scénario de contrôle ; ses règles proposées, ses conditions et ses retours visuels sont vérifiables séparément.</x:v>
      </x:c>
      <x:c r="O14" s="7" t="str">
        <x:v>ME3-ZON-GRISSOM-ATRIUM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ME3-SCN-MONASTERY</x:v>
      </x:c>
      <x:c r="B15" s="9" t="str">
        <x:v>Kit 3D — monastère asari</x:v>
      </x:c>
      <x:c r="C15" s="15" t="str">
        <x:v>Défini</x:v>
      </x:c>
      <x:c r="D15" s="16" t="str">
        <x:v>Extrapolation</x:v>
      </x:c>
      <x:c r="E15" s="16" t="str">
        <x:v>P1</x:v>
      </x:c>
      <x:c r="F15" s="9" t="str">
        <x:v>Livrable original proposé : Kit 3D — monastère asari.</x:v>
      </x:c>
      <x:c r="G15" s="9" t="str">
        <x:v>Grands piliers et perspectives noires ; obscurité de décor ne masque jamais une entrée de Banshee.</x:v>
      </x:c>
      <x:c r="H15" s="9" t="str">
        <x:v>Grands piliers et perspectives noires ; obscurité de décor ne masque jamais une entrée de Banshee.</x:v>
      </x:c>
      <x:c r="I15" s="9" t="str">
        <x:v>Pierre froide et halo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me3/scenery/monastery ; rattacher les ressources et états cités à cet identifiant. Aucun fichier de jeu créé par ce catalogue.</x:v>
      </x:c>
      <x:c r="M15" s="9" t="str"/>
      <x:c r="N15" s="9" t="str">
        <x:v>Le livrable « Kit 3D — monastère asari » possède une scène ou un scénario de contrôle ; ses règles proposées, ses conditions et ses retours visuels sont vérifiables séparément.</x:v>
      </x:c>
      <x:c r="O15" s="9" t="str">
        <x:v>ME3-ZON-KALLINI-HALL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ME3-SCN-RANNOCH</x:v>
      </x:c>
      <x:c r="B16" s="7" t="str">
        <x:v>Kit 3D — installations geth</x:v>
      </x:c>
      <x:c r="C16" s="15" t="str">
        <x:v>Défini</x:v>
      </x:c>
      <x:c r="D16" s="17" t="str">
        <x:v>Extrapolation</x:v>
      </x:c>
      <x:c r="E16" s="17" t="str">
        <x:v>P1</x:v>
      </x:c>
      <x:c r="F16" s="7" t="str">
        <x:v>Livrable original proposé : Kit 3D — installations geth.</x:v>
      </x:c>
      <x:c r="G16" s="7" t="str">
        <x:v>Falaises et modules synthétiques avec câbles ; hauteurs ont contours au sol cohérents pour les sprites.</x:v>
      </x:c>
      <x:c r="H16" s="7" t="str">
        <x:v>Falaises et modules synthétiques avec câbles ; hauteurs ont contours au sol cohérents pour les sprites.</x:v>
      </x:c>
      <x:c r="I16" s="7" t="str">
        <x:v>Sable, métal lisse et lignes bleues.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me3/scenery/rannoch ; rattacher les ressources et états cités à cet identifiant. Aucun fichier de jeu créé par ce catalogue.</x:v>
      </x:c>
      <x:c r="M16" s="7" t="str"/>
      <x:c r="N16" s="7" t="str">
        <x:v>Le livrable « Kit 3D — installations geth » possède une scène ou un scénario de contrôle ; ses règles proposées, ses conditions et ses retours visuels sont vérifiables séparément.</x:v>
      </x:c>
      <x:c r="O16" s="7" t="str">
        <x:v>ME3-WRL-RANNOCH</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ME3-SCN-THESSIA</x:v>
      </x:c>
      <x:c r="B17" s="9" t="str">
        <x:v>Kit 3D — cité et temple asari</x:v>
      </x:c>
      <x:c r="C17" s="15" t="str">
        <x:v>Défini</x:v>
      </x:c>
      <x:c r="D17" s="16" t="str">
        <x:v>Extrapolation</x:v>
      </x:c>
      <x:c r="E17" s="16" t="str">
        <x:v>P1</x:v>
      </x:c>
      <x:c r="F17" s="9" t="str">
        <x:v>Livrable original proposé : Kit 3D — cité et temple asari.</x:v>
      </x:c>
      <x:c r="G17" s="9" t="str">
        <x:v>Courbes monumentales et statues ; destructibles d’action distincts des ruines de fond.</x:v>
      </x:c>
      <x:c r="H17" s="9" t="str">
        <x:v>Courbes monumentales et statues ; destructibles d’action distincts des ruines de fond.</x:v>
      </x:c>
      <x:c r="I17" s="9" t="str">
        <x:v>Bleu, blanc et fissures.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me3/scenery/thessia ; rattacher les ressources et états cités à cet identifiant. Aucun fichier de jeu créé par ce catalogue.</x:v>
      </x:c>
      <x:c r="M17" s="9" t="str"/>
      <x:c r="N17" s="9" t="str">
        <x:v>Le livrable « Kit 3D — cité et temple asari » possède une scène ou un scénario de contrôle ; ses règles proposées, ses conditions et ses retours visuels sont vérifiables séparément.</x:v>
      </x:c>
      <x:c r="O17" s="9" t="str">
        <x:v>ME3-ZON-THESSIA-TEMPLE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ME3-SCN-SANCTUARY</x:v>
      </x:c>
      <x:c r="B18" s="7" t="str">
        <x:v>Kit 3D — façade et sous-sol Sanctuary</x:v>
      </x:c>
      <x:c r="C18" s="15" t="str">
        <x:v>Défini</x:v>
      </x:c>
      <x:c r="D18" s="17" t="str">
        <x:v>Extrapolation</x:v>
      </x:c>
      <x:c r="E18" s="17" t="str">
        <x:v>P1</x:v>
      </x:c>
      <x:c r="F18" s="7" t="str">
        <x:v>Livrable original proposé : Kit 3D — façade et sous-sol Sanctuary.</x:v>
      </x:c>
      <x:c r="G18" s="7" t="str">
        <x:v>Même langage architectural transformé par portes de maintenance ; progression visuelle soutient la révélation.</x:v>
      </x:c>
      <x:c r="H18" s="7" t="str">
        <x:v>Même langage architectural transformé par portes de maintenance ; progression visuelle soutient la révélation.</x:v>
      </x:c>
      <x:c r="I18" s="7" t="str">
        <x:v>Blanc rassurant puis panneaux techniques sombres.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me3/scenery/sanctuary ; rattacher les ressources et états cités à cet identifiant. Aucun fichier de jeu créé par ce catalogue.</x:v>
      </x:c>
      <x:c r="M18" s="7" t="str"/>
      <x:c r="N18" s="7" t="str">
        <x:v>Le livrable « Kit 3D — façade et sous-sol Sanctuary » possède une scène ou un scénario de contrôle ; ses règles proposées, ses conditions et ses retours visuels sont vérifiables séparément.</x:v>
      </x:c>
      <x:c r="O18" s="7" t="str">
        <x:v>ME3-ZON-SANCTUARY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ME3-SCN-LONDON</x:v>
      </x:c>
      <x:c r="B19" s="9" t="str">
        <x:v>Kit 3D — Londres final</x:v>
      </x:c>
      <x:c r="C19" s="15" t="str">
        <x:v>Défini</x:v>
      </x:c>
      <x:c r="D19" s="16" t="str">
        <x:v>Extrapolation</x:v>
      </x:c>
      <x:c r="E19" s="16" t="str">
        <x:v>P1</x:v>
      </x:c>
      <x:c r="F19" s="9" t="str">
        <x:v>Livrable original proposé : Kit 3D — Londres final.</x:v>
      </x:c>
      <x:c r="G19" s="9" t="str">
        <x:v>Rues à barricades et silhouettes de bâtiments ; voies sûres toujours distinguables des zones de frappe.</x:v>
      </x:c>
      <x:c r="H19" s="9" t="str">
        <x:v>Rues à barricades et silhouettes de bâtiments ; voies sûres toujours distinguables des zones de frappe.</x:v>
      </x:c>
      <x:c r="I19" s="9" t="str">
        <x:v>Gris, feux, fumée et drapeaux alliés.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me3/scenery/london ; rattacher les ressources et états cités à cet identifiant. Aucun fichier de jeu créé par ce catalogue.</x:v>
      </x:c>
      <x:c r="M19" s="9" t="str"/>
      <x:c r="N19" s="9" t="str">
        <x:v>Le livrable « Kit 3D — Londres final » possède une scène ou un scénario de contrôle ; ses règles proposées, ses conditions et ses retours visuels sont vérifiables séparément.</x:v>
      </x:c>
      <x:c r="O19" s="9" t="str">
        <x:v>ME3-ZON-LONDON-MISSILES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ME3-SCN-OMEGA</x:v>
      </x:c>
      <x:c r="B20" s="7" t="str">
        <x:v>Kit 3D — occupation d’Omega</x:v>
      </x:c>
      <x:c r="C20" s="15" t="str">
        <x:v>Défini</x:v>
      </x:c>
      <x:c r="D20" s="17" t="str">
        <x:v>Extrapolation</x:v>
      </x:c>
      <x:c r="E20" s="17" t="str">
        <x:v>P1</x:v>
      </x:c>
      <x:c r="F20" s="7" t="str">
        <x:v>Livrable original proposé : Kit 3D — occupation d’Omega.</x:v>
      </x:c>
      <x:c r="G20" s="7" t="str">
        <x:v>Reprendre identité industrielle avec ajouts Cerberus ; champs de force et passage libre ont couleurs/formes distinctes.</x:v>
      </x:c>
      <x:c r="H20" s="7" t="str">
        <x:v>Reprendre identité industrielle avec ajouts Cerberus ; champs de force et passage libre ont couleurs/formes distinctes.</x:v>
      </x:c>
      <x:c r="I20" s="7" t="str">
        <x:v>Métal noir, néon et orange militaire.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me3/scenery/omega ; rattacher les ressources et états cités à cet identifiant. Aucun fichier de jeu créé par ce catalogue.</x:v>
      </x:c>
      <x:c r="M20" s="7" t="str"/>
      <x:c r="N20" s="7" t="str">
        <x:v>Le livrable « Kit 3D — occupation d’Omega » possède une scène ou un scénario de contrôle ; ses règles proposées, ses conditions et ses retours visuels sont vérifiables séparément.</x:v>
      </x:c>
      <x:c r="O20" s="7" t="str">
        <x:v>ME3-WRL-OMEGA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ME3-SCN-ABYSS</x:v>
      </x:c>
      <x:c r="B21" s="9" t="str">
        <x:v>Kit 3D — Despoina</x:v>
      </x:c>
      <x:c r="C21" s="15" t="str">
        <x:v>Défini</x:v>
      </x:c>
      <x:c r="D21" s="16" t="str">
        <x:v>Extrapolation</x:v>
      </x:c>
      <x:c r="E21" s="16" t="str">
        <x:v>P1</x:v>
      </x:c>
      <x:c r="F21" s="9" t="str">
        <x:v>Livrable original proposé : Kit 3D — Despoina.</x:v>
      </x:c>
      <x:c r="G21" s="9" t="str">
        <x:v>Épaves mouillées puis volume sous-marin ; réduire visibilité sans rendre l’objectif invisible.</x:v>
      </x:c>
      <x:c r="H21" s="9" t="str">
        <x:v>Épaves mouillées puis volume sous-marin ; réduire visibilité sans rendre l’objectif invisible.</x:v>
      </x:c>
      <x:c r="I21" s="9" t="str">
        <x:v>Océan sombre, faisceaux et particules.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me3/scenery/abyss ; rattacher les ressources et états cités à cet identifiant. Aucun fichier de jeu créé par ce catalogue.</x:v>
      </x:c>
      <x:c r="M21" s="9" t="str"/>
      <x:c r="N21" s="9" t="str">
        <x:v>Le livrable « Kit 3D — Despoina » possède une scène ou un scénario de contrôle ; ses règles proposées, ses conditions et ses retours visuels sont vérifiables séparément.</x:v>
      </x:c>
      <x:c r="O21" s="9" t="str">
        <x:v>ME3-WRL-DESPOINA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ME3-SCN-SILVERSUN</x:v>
      </x:c>
      <x:c r="B22" s="7" t="str">
        <x:v>Kit 3D — luxe et loisirs</x:v>
      </x:c>
      <x:c r="C22" s="15" t="str">
        <x:v>Défini</x:v>
      </x:c>
      <x:c r="D22" s="17" t="str">
        <x:v>Extrapolation</x:v>
      </x:c>
      <x:c r="E22" s="17" t="str">
        <x:v>P1</x:v>
      </x:c>
      <x:c r="F22" s="7" t="str">
        <x:v>Livrable original proposé : Kit 3D — luxe et loisirs.</x:v>
      </x:c>
      <x:c r="G22" s="7" t="str">
        <x:v>Façades de casino, appartement et arène ; échelle sociale différente des cartes de guerre.</x:v>
      </x:c>
      <x:c r="H22" s="7" t="str">
        <x:v>Façades de casino, appartement et arène ; échelle sociale différente des cartes de guerre.</x:v>
      </x:c>
      <x:c r="I22" s="7" t="str">
        <x:v>Verre, dorure et néons chaleureux.</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me3/scenery/silversun ; rattacher les ressources et états cités à cet identifiant. Aucun fichier de jeu créé par ce catalogue.</x:v>
      </x:c>
      <x:c r="M22" s="7" t="str"/>
      <x:c r="N22" s="7" t="str">
        <x:v>Le livrable « Kit 3D — luxe et loisirs » possède une scène ou un scénario de contrôle ; ses règles proposées, ses conditions et ses retours visuels sont vérifiables séparément.</x:v>
      </x:c>
      <x:c r="O22" s="7" t="str">
        <x:v>ME3-ZON-SILVERSUN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4" priority="1" operator="equal">
      <x:formula>"À vérifier"</x:formula>
    </x:cfRule>
    <x:cfRule type="cellIs" dxfId="25" priority="2" operator="equal">
      <x:formula>"Extrapolation"</x:formula>
    </x:cfRule>
  </x:conditionalFormatting>
  <x:conditionalFormatting sqref="C7:C22">
    <x:cfRule type="cellIs" dxfId="26" priority="3" operator="equal">
      <x:formula>"Validé"</x:formula>
    </x:cfRule>
  </x:conditionalFormatting>
  <x:conditionalFormatting sqref="E7:E22">
    <x:cfRule type="cellIs" dxfId="27"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3677c76b19e5472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3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ME3-PRP-WAR-TABLE</x:v>
      </x:c>
      <x:c r="B7" s="9" t="str">
        <x:v>Table holographique de guerre</x:v>
      </x:c>
      <x:c r="C7" s="15" t="str">
        <x:v>Défini</x:v>
      </x:c>
      <x:c r="D7" s="16" t="str">
        <x:v>Extrapolation</x:v>
      </x:c>
      <x:c r="E7" s="16" t="str">
        <x:v>P1</x:v>
      </x:c>
      <x:c r="F7" s="9" t="str">
        <x:v>Livrable original proposé : Table holographique de guerre.</x:v>
      </x:c>
      <x:c r="G7" s="9" t="str">
        <x:v>Afficher contribution, origine et état de chaque force ; interaction à portée large et zoom accessible.</x:v>
      </x:c>
      <x:c r="H7" s="9" t="str">
        <x:v>Afficher contribution, origine et état de chaque force ; interaction à portée large et zoom accessible.</x:v>
      </x:c>
      <x:c r="I7" s="9" t="str">
        <x:v>Plan galactique bleu et panneaux de faction.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me3/props/war-table ; rattacher les ressources et états cités à cet identifiant. Aucun fichier de jeu créé par ce catalogue.</x:v>
      </x:c>
      <x:c r="M7" s="9" t="str"/>
      <x:c r="N7" s="9" t="str">
        <x:v>Le livrable « Table holographique de guerre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ME3-PRP-MARS-DATA</x:v>
      </x:c>
      <x:c r="B8" s="7" t="str">
        <x:v>Terminal des plans de Mars</x:v>
      </x:c>
      <x:c r="C8" s="15" t="str">
        <x:v>Défini</x:v>
      </x:c>
      <x:c r="D8" s="17" t="str">
        <x:v>Extrapolation</x:v>
      </x:c>
      <x:c r="E8" s="17" t="str">
        <x:v>P1</x:v>
      </x:c>
      <x:c r="F8" s="7" t="str">
        <x:v>Livrable original proposé : Terminal des plans de Mars.</x:v>
      </x:c>
      <x:c r="G8" s="7" t="str">
        <x:v>Un téléchargement atomique ouvre le chapitre Creuset ; reprise après chargement ne duplique pas la découverte.</x:v>
      </x:c>
      <x:c r="H8" s="7" t="str">
        <x:v>Un téléchargement atomique ouvre le chapitre Creuset ; reprise après chargement ne duplique pas la découverte.</x:v>
      </x:c>
      <x:c r="I8" s="7" t="str">
        <x:v>Console et schéma ancien.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me3/props/mars-data ; rattacher les ressources et états cités à cet identifiant. Aucun fichier de jeu créé par ce catalogue.</x:v>
      </x:c>
      <x:c r="M8" s="7" t="str"/>
      <x:c r="N8" s="7" t="str">
        <x:v>Le livrable « Terminal des plans de Mars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ME3-PRP-EVE-POD</x:v>
      </x:c>
      <x:c r="B9" s="9" t="str">
        <x:v>Capsule d’Eve</x:v>
      </x:c>
      <x:c r="C9" s="15" t="str">
        <x:v>Défini</x:v>
      </x:c>
      <x:c r="D9" s="16" t="str">
        <x:v>Extrapolation</x:v>
      </x:c>
      <x:c r="E9" s="16" t="str">
        <x:v>P1</x:v>
      </x:c>
      <x:c r="F9" s="9" t="str">
        <x:v>Livrable original proposé : Capsule d’Eve.</x:v>
      </x:c>
      <x:c r="G9" s="9" t="str">
        <x:v>Objet d’escorte avec repère d’intégrité de scénario ; distinguer état de capsule et santé de la personne.</x:v>
      </x:c>
      <x:c r="H9" s="9" t="str">
        <x:v>Objet d’escorte avec repère d’intégrité de scénario ; distinguer état de capsule et santé de la personne.</x:v>
      </x:c>
      <x:c r="I9" s="9" t="str">
        <x:v>Capsule médicale sur rail.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me3/props/eve-pod ; rattacher les ressources et états cités à cet identifiant. Aucun fichier de jeu créé par ce catalogue.</x:v>
      </x:c>
      <x:c r="M9" s="9" t="str"/>
      <x:c r="N9" s="9" t="str">
        <x:v>Le livrable « Capsule d’Eve » possède une scène ou un scénario de contrôle ; ses règles proposées, ses conditions et ses retours visuels sont vérifiables séparément.</x:v>
      </x:c>
      <x:c r="O9" s="9" t="str">
        <x:v>ME3-ZON-SURKESH-LAB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ME3-PRP-BOMB</x:v>
      </x:c>
      <x:c r="B10" s="7" t="str">
        <x:v>Bombe de Tuchanka</x:v>
      </x:c>
      <x:c r="C10" s="15" t="str">
        <x:v>Défini</x:v>
      </x:c>
      <x:c r="D10" s="17" t="str">
        <x:v>Extrapolation</x:v>
      </x:c>
      <x:c r="E10" s="17" t="str">
        <x:v>P1</x:v>
      </x:c>
      <x:c r="F10" s="7" t="str">
        <x:v>Livrable original proposé : Bombe de Tuchanka.</x:v>
      </x:c>
      <x:c r="G10" s="7" t="str">
        <x:v>Objet interactif du désamorçage avec étapes visuelles ; dégâts externes ne réinitialisent pas silencieusement le progrès.</x:v>
      </x:c>
      <x:c r="H10" s="7" t="str">
        <x:v>Objet interactif du désamorçage avec étapes visuelles ; dégâts externes ne réinitialisent pas silencieusement le progrès.</x:v>
      </x:c>
      <x:c r="I10" s="7" t="str">
        <x:v>Dispositif sous terrain et câblages.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me3/props/bomb ; rattacher les ressources et états cités à cet identifiant. Aucun fichier de jeu créé par ce catalogue.</x:v>
      </x:c>
      <x:c r="M10" s="7" t="str"/>
      <x:c r="N10" s="7" t="str">
        <x:v>Le livrable « Bombe de Tuchanka » possède une scène ou un scénario de contrôle ; ses règles proposées, ses conditions et ses retours visuels sont vérifiables séparément.</x:v>
      </x:c>
      <x:c r="O10" s="7" t="str">
        <x:v>ME3-SQ-BOMB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ME3-PRP-HAMMER</x:v>
      </x:c>
      <x:c r="B11" s="9" t="str">
        <x:v>Commande du marteau de Kalros</x:v>
      </x:c>
      <x:c r="C11" s="15" t="str">
        <x:v>Défini</x:v>
      </x:c>
      <x:c r="D11" s="16" t="str">
        <x:v>Extrapolation</x:v>
      </x:c>
      <x:c r="E11" s="16" t="str">
        <x:v>P1</x:v>
      </x:c>
      <x:c r="F11" s="9" t="str">
        <x:v>Livrable original proposé : Commande du marteau de Kalros.</x:v>
      </x:c>
      <x:c r="G11" s="9" t="str">
        <x:v>Objet d’objectif avec accès dégagé ; activation après prérequis, animation interruptible seulement avant engagement.</x:v>
      </x:c>
      <x:c r="H11" s="9" t="str">
        <x:v>Objet d’objectif avec accès dégagé ; activation après prérequis, animation interruptible seulement avant engagement.</x:v>
      </x:c>
      <x:c r="I11" s="9" t="str">
        <x:v>Grand mécanisme krogan et signal sismique.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me3/props/hammer ; rattacher les ressources et états cités à cet identifiant. Aucun fichier de jeu créé par ce catalogue.</x:v>
      </x:c>
      <x:c r="M11" s="9" t="str"/>
      <x:c r="N11" s="9" t="str">
        <x:v>Le livrable « Commande du marteau de Kalros » possède une scène ou un scénario de contrôle ; ses règles proposées, ses conditions et ses retours visuels sont vérifiables séparément.</x:v>
      </x:c>
      <x:c r="O11" s="9" t="str">
        <x:v>ME3-MQ-TUCHANKA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ME3-PRP-SHROUD</x:v>
      </x:c>
      <x:c r="B12" s="7" t="str">
        <x:v>Console du Shroud</x:v>
      </x:c>
      <x:c r="C12" s="15" t="str">
        <x:v>Défini</x:v>
      </x:c>
      <x:c r="D12" s="17" t="str">
        <x:v>Extrapolation</x:v>
      </x:c>
      <x:c r="E12" s="17" t="str">
        <x:v>P1</x:v>
      </x:c>
      <x:c r="F12" s="7" t="str">
        <x:v>Livrable original proposé : Console du Shroud.</x:v>
      </x:c>
      <x:c r="G12" s="7" t="str">
        <x:v>Deux états narratifs, sabotage connu/inconnu ; aucune action de combat à la place de la décision finale.</x:v>
      </x:c>
      <x:c r="H12" s="7" t="str">
        <x:v>Deux états narratifs, sabotage connu/inconnu ; aucune action de combat à la place de la décision finale.</x:v>
      </x:c>
      <x:c r="I12" s="7" t="str">
        <x:v>Console de dispersion et ascenseur.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me3/props/shroud ; rattacher les ressources et états cités à cet identifiant. Aucun fichier de jeu créé par ce catalogue.</x:v>
      </x:c>
      <x:c r="M12" s="7" t="str"/>
      <x:c r="N12" s="7" t="str">
        <x:v>Le livrable « Console du Shroud » possède une scène ou un scénario de contrôle ; ses règles proposées, ses conditions et ses retours visuels sont vérifiables séparément.</x:v>
      </x:c>
      <x:c r="O12" s="7" t="str">
        <x:v>ME3-ZON-SHROUD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ME3-PRP-GETH-GUN</x:v>
      </x:c>
      <x:c r="B13" s="9" t="str">
        <x:v>Canon du cuirassé geth</x:v>
      </x:c>
      <x:c r="C13" s="15" t="str">
        <x:v>Défini</x:v>
      </x:c>
      <x:c r="D13" s="16" t="str">
        <x:v>Extrapolation</x:v>
      </x:c>
      <x:c r="E13" s="16" t="str">
        <x:v>P1</x:v>
      </x:c>
      <x:c r="F13" s="9" t="str">
        <x:v>Livrable original proposé : Canon du cuirassé geth.</x:v>
      </x:c>
      <x:c r="G13" s="9" t="str">
        <x:v>Cycle d’impulsion indépendant des animations du groupe ; anticipation au sol et abri vérifiés à chaque cycle.</x:v>
      </x:c>
      <x:c r="H13" s="9" t="str">
        <x:v>Cycle d’impulsion indépendant des animations du groupe ; anticipation au sol et abri vérifiés à chaque cycle.</x:v>
      </x:c>
      <x:c r="I13" s="9" t="str">
        <x:v>Long tube et accumulations bleues.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me3/props/geth-gun ; rattacher les ressources et états cités à cet identifiant. Aucun fichier de jeu créé par ce catalogue.</x:v>
      </x:c>
      <x:c r="M13" s="9" t="str"/>
      <x:c r="N13" s="9" t="str">
        <x:v>Le livrable « Canon du cuirassé geth » possède une scène ou un scénario de contrôle ; ses règles proposées, ses conditions et ses retours visuels sont vérifiables séparément.</x:v>
      </x:c>
      <x:c r="O13" s="9" t="str">
        <x:v>ME3-ZON-GETH-DREAD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ME3-PRP-TARGET-LASER</x:v>
      </x:c>
      <x:c r="B14" s="7" t="str">
        <x:v>Désignateur de Rannoch</x:v>
      </x:c>
      <x:c r="C14" s="15" t="str">
        <x:v>Défini</x:v>
      </x:c>
      <x:c r="D14" s="17" t="str">
        <x:v>Extrapolation</x:v>
      </x:c>
      <x:c r="E14" s="17" t="str">
        <x:v>P1</x:v>
      </x:c>
      <x:c r="F14" s="7" t="str">
        <x:v>Livrable original proposé : Désignateur de Rannoch.</x:v>
      </x:c>
      <x:c r="G14" s="7" t="str">
        <x:v>Interface de verrou à maintien facultatif ; progression conservée selon règle annoncée lors d’une interruption.</x:v>
      </x:c>
      <x:c r="H14" s="7" t="str">
        <x:v>Interface de verrou à maintien facultatif ; progression conservée selon règle annoncée lors d’une interruption.</x:v>
      </x:c>
      <x:c r="I14" s="7" t="str">
        <x:v>Viseur sur œil et jauge de charge.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me3/props/target-laser ; rattacher les ressources et états cités à cet identifiant. Aucun fichier de jeu créé par ce catalogue.</x:v>
      </x:c>
      <x:c r="M14" s="7" t="str"/>
      <x:c r="N14" s="7" t="str">
        <x:v>Le livrable « Désignateur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ME3-PRP-PROTHEAN-POD</x:v>
      </x:c>
      <x:c r="B15" s="9" t="str">
        <x:v>Capsule de Javik</x:v>
      </x:c>
      <x:c r="C15" s="15" t="str">
        <x:v>Défini</x:v>
      </x:c>
      <x:c r="D15" s="16" t="str">
        <x:v>Extrapolation</x:v>
      </x:c>
      <x:c r="E15" s="16" t="str">
        <x:v>P1</x:v>
      </x:c>
      <x:c r="F15" s="9" t="str">
        <x:v>Livrable original proposé : Capsule de Javik.</x:v>
      </x:c>
      <x:c r="G15" s="9" t="str">
        <x:v>Lecture avant ouverture, personnage créé une seule fois ; éviter double recrutement après chargement de fouilles.</x:v>
      </x:c>
      <x:c r="H15" s="9" t="str">
        <x:v>Lecture avant ouverture, personnage créé une seule fois ; éviter double recrutement après chargement de fouilles.</x:v>
      </x:c>
      <x:c r="I15" s="9" t="str">
        <x:v>Capsule ancienne et écriture prothéenne.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me3/props/prothean-pod ; rattacher les ressources et états cités à cet identifiant. Aucun fichier de jeu créé par ce catalogue.</x:v>
      </x:c>
      <x:c r="M15" s="9" t="str"/>
      <x:c r="N15" s="9" t="str">
        <x:v>Le livrable « Capsule de Javik » possède une scène ou un scénario de contrôle ; ses règles proposées, ses conditions et ses retours visuels sont vérifiables séparément.</x:v>
      </x:c>
      <x:c r="O15" s="9" t="str">
        <x:v>ME3-MQ-EDEN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ME3-PRP-BYRSON-ORB</x:v>
      </x:c>
      <x:c r="B16" s="7" t="str">
        <x:v>Artefact de Bryson</x:v>
      </x:c>
      <x:c r="C16" s="15" t="str">
        <x:v>Défini</x:v>
      </x:c>
      <x:c r="D16" s="17" t="str">
        <x:v>Extrapolation</x:v>
      </x:c>
      <x:c r="E16" s="17" t="str">
        <x:v>P1</x:v>
      </x:c>
      <x:c r="F16" s="7" t="str">
        <x:v>Livrable original proposé : Artefact de Bryson.</x:v>
      </x:c>
      <x:c r="G16" s="7" t="str">
        <x:v>État d’observation, danger et contact distincts ; les indices ne nécessitent pas de toucher sans prévenir.</x:v>
      </x:c>
      <x:c r="H16" s="7" t="str">
        <x:v>État d’observation, danger et contact distincts ; les indices ne nécessitent pas de toucher sans prévenir.</x:v>
      </x:c>
      <x:c r="I16" s="7" t="str">
        <x:v>Orbe sombre et appareil de confinement.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me3/props/byrson-orb ; rattacher les ressources et états cités à cet identifiant. Aucun fichier de jeu créé par ce catalogue.</x:v>
      </x:c>
      <x:c r="M16" s="7" t="str"/>
      <x:c r="N16" s="7" t="str">
        <x:v>Le livrable « Artefact de Bryson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ME3-PRP-FILTERS</x:v>
      </x:c>
      <x:c r="B17" s="9" t="str">
        <x:v>Table de filtres Leviathan</x:v>
      </x:c>
      <x:c r="C17" s="15" t="str">
        <x:v>Défini</x:v>
      </x:c>
      <x:c r="D17" s="16" t="str">
        <x:v>Extrapolation</x:v>
      </x:c>
      <x:c r="E17" s="16" t="str">
        <x:v>P1</x:v>
      </x:c>
      <x:c r="F17" s="9" t="str">
        <x:v>Livrable original proposé : Table de filtres Leviathan.</x:v>
      </x:c>
      <x:c r="G17" s="9" t="str">
        <x:v>Pistes activables/désactivables et historique ; solution accessible sans identifier de minuscules pixels de couleur.</x:v>
      </x:c>
      <x:c r="H17" s="9" t="str">
        <x:v>Pistes activables/désactivables et historique ; solution accessible sans identifier de minuscules pixels de couleur.</x:v>
      </x:c>
      <x:c r="I17" s="9" t="str">
        <x:v>Carte d’enquête et jeux de données.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me3/props/filters ; rattacher les ressources et états cités à cet identifiant. Aucun fichier de jeu créé par ce catalogue.</x:v>
      </x:c>
      <x:c r="M17" s="9" t="str"/>
      <x:c r="N17" s="9" t="str">
        <x:v>Le livrable « Table de filtres Leviathan » possède une scène ou un scénario de contrôle ; ses règles proposées, ses conditions et ses retours visuels sont vérifiables séparément.</x:v>
      </x:c>
      <x:c r="O17" s="9" t="str">
        <x:v>ME3-MQ-LEV-LAB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ME3-PRP-DIVE-MECH</x:v>
      </x:c>
      <x:c r="B18" s="7" t="str">
        <x:v>Méca de plongée</x:v>
      </x:c>
      <x:c r="C18" s="15" t="str">
        <x:v>Défini</x:v>
      </x:c>
      <x:c r="D18" s="17" t="str">
        <x:v>Extrapolation</x:v>
      </x:c>
      <x:c r="E18" s="17" t="str">
        <x:v>P1</x:v>
      </x:c>
      <x:c r="F18" s="7" t="str">
        <x:v>Livrable original proposé : Méca de plongée.</x:v>
      </x:c>
      <x:c r="G18" s="7" t="str">
        <x:v>Cockpit de récit, commandes de descente et communication ; statut d’eau distingue le modèle des Atlas de combat.</x:v>
      </x:c>
      <x:c r="H18" s="7" t="str">
        <x:v>Cockpit de récit, commandes de descente et communication ; statut d’eau distingue le modèle des Atlas de combat.</x:v>
      </x:c>
      <x:c r="I18" s="7" t="str">
        <x:v>Coque massive, lampes et hublot.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me3/props/dive-mech ; rattacher les ressources et états cités à cet identifiant. Aucun fichier de jeu créé par ce catalogue.</x:v>
      </x:c>
      <x:c r="M18" s="7" t="str"/>
      <x:c r="N18" s="7" t="str">
        <x:v>Le livrable « Méca de plongée » possède une scène ou un scénario de contrôle ; ses règles proposées, ses conditions et ses retours visuels sont vérifiables séparément.</x:v>
      </x:c>
      <x:c r="O18" s="7" t="str">
        <x:v>ME3-ZON-LEV-OCEAN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ME3-PRP-OMEGA-GEN</x:v>
      </x:c>
      <x:c r="B19" s="9" t="str">
        <x:v>Générateurs d’Afterlife</x:v>
      </x:c>
      <x:c r="C19" s="15" t="str">
        <x:v>Défini</x:v>
      </x:c>
      <x:c r="D19" s="16" t="str">
        <x:v>Extrapolation</x:v>
      </x:c>
      <x:c r="E19" s="16" t="str">
        <x:v>P1</x:v>
      </x:c>
      <x:c r="F19" s="9" t="str">
        <x:v>Livrable original proposé : Générateurs d’Afterlife.</x:v>
      </x:c>
      <x:c r="G19" s="9" t="str">
        <x:v>Objets d’objectif numérotés par position, pas seulement couleur ; leur destruction actualise un état global de barrière.</x:v>
      </x:c>
      <x:c r="H19" s="9" t="str">
        <x:v>Objets d’objectif numérotés par position, pas seulement couleur ; leur destruction actualise un état global de barrière.</x:v>
      </x:c>
      <x:c r="I19" s="9" t="str">
        <x:v>Pylônes orange et liens d’énergie.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me3/props/omega-gen ; rattacher les ressources et états cités à cet identifiant. Aucun fichier de jeu créé par ce catalogue.</x:v>
      </x:c>
      <x:c r="M19" s="9" t="str"/>
      <x:c r="N19" s="9" t="str">
        <x:v>Le livrable « Générateurs d’Afterlife » possède une scène ou un scénario de contrôle ; ses règles proposées, ses conditions et ses retours visuels sont vérifiables séparément.</x:v>
      </x:c>
      <x:c r="O19" s="9" t="str">
        <x:v>ME3-ZON-OMEGA-AFTERLIFE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ME3-PRP-CHESS</x:v>
      </x:c>
      <x:c r="B20" s="7" t="str">
        <x:v>Échiquier de Petrovsky</x:v>
      </x:c>
      <x:c r="C20" s="15" t="str">
        <x:v>Défini</x:v>
      </x:c>
      <x:c r="D20" s="17" t="str">
        <x:v>Extrapolation</x:v>
      </x:c>
      <x:c r="E20" s="17" t="str">
        <x:v>P1</x:v>
      </x:c>
      <x:c r="F20" s="7" t="str">
        <x:v>Livrable original proposé : Échiquier de Petrovsky.</x:v>
      </x:c>
      <x:c r="G20" s="7" t="str">
        <x:v>Souvenir narratif avec une interaction unique après reprise ; pas de nouveau minijeu attribué à l’œuvre.</x:v>
      </x:c>
      <x:c r="H20" s="7" t="str">
        <x:v>Souvenir narratif avec une interaction unique après reprise ; pas de nouveau minijeu attribué à l’œuvre.</x:v>
      </x:c>
      <x:c r="I20" s="7" t="str">
        <x:v>Plateau de stratégie sur table.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me3/props/chess ; rattacher les ressources et états cités à cet identifiant. Aucun fichier de jeu créé par ce catalogue.</x:v>
      </x:c>
      <x:c r="M20" s="7" t="str"/>
      <x:c r="N20" s="7" t="str">
        <x:v>Le livrable « Échiquier de Petrovsky » possède une scène ou un scénario de contrôle ; ses règles proposées, ses conditions et ses retours visuels sont vérifiables séparément.</x:v>
      </x:c>
      <x:c r="O20" s="7" t="str">
        <x:v>ME3-NPC-PETROVSKY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ME3-PRP-CASINO</x:v>
      </x:c>
      <x:c r="B21" s="9" t="str">
        <x:v>Table de casino et passe d’accès</x:v>
      </x:c>
      <x:c r="C21" s="15" t="str">
        <x:v>Défini</x:v>
      </x:c>
      <x:c r="D21" s="16" t="str">
        <x:v>Extrapolation</x:v>
      </x:c>
      <x:c r="E21" s="16" t="str">
        <x:v>P1</x:v>
      </x:c>
      <x:c r="F21" s="9" t="str">
        <x:v>Livrable original proposé : Table de casino et passe d’accès.</x:v>
      </x:c>
      <x:c r="G21" s="9" t="str">
        <x:v>Interaction sociale et accès de maintenance distincts ; le passe ne devient pas monnaie de boutique.</x:v>
      </x:c>
      <x:c r="H21" s="9" t="str">
        <x:v>Interaction sociale et accès de maintenance distincts ; le passe ne devient pas monnaie de boutique.</x:v>
      </x:c>
      <x:c r="I21" s="9" t="str">
        <x:v>Table de jeu et carte d’accès.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me3/props/casino ; rattacher les ressources et états cités à cet identifiant. Aucun fichier de jeu créé par ce catalogue.</x:v>
      </x:c>
      <x:c r="M21" s="9" t="str"/>
      <x:c r="N21" s="9" t="str">
        <x:v>Le livrable « Table de casino et passe d’accès » possède une scène ou un scénario de contrôle ; ses règles proposées, ses conditions et ses retours visuels sont vérifiables séparément.</x:v>
      </x:c>
      <x:c r="O21" s="9" t="str">
        <x:v>ME3-ZON-CASINO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ME3-PRP-INVITATION</x:v>
      </x:c>
      <x:c r="B22" s="7" t="str">
        <x:v>Terminal d’invitations</x:v>
      </x:c>
      <x:c r="C22" s="15" t="str">
        <x:v>Défini</x:v>
      </x:c>
      <x:c r="D22" s="17" t="str">
        <x:v>Extrapolation</x:v>
      </x:c>
      <x:c r="E22" s="17" t="str">
        <x:v>P1</x:v>
      </x:c>
      <x:c r="F22" s="7" t="str">
        <x:v>Livrable original proposé : Terminal d’invitations.</x:v>
      </x:c>
      <x:c r="G22" s="7" t="str">
        <x:v>Liste de personnes disponibles et rendez-vous ; conserver refus, invitation et scène achevée séparément.</x:v>
      </x:c>
      <x:c r="H22" s="7" t="str">
        <x:v>Liste de personnes disponibles et rendez-vous ; conserver refus, invitation et scène achevée séparément.</x:v>
      </x:c>
      <x:c r="I22" s="7" t="str">
        <x:v>Tablette de l’appartement.</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me3/props/invitation ; rattacher les ressources et états cités à cet identifiant. Aucun fichier de jeu créé par ce catalogue.</x:v>
      </x:c>
      <x:c r="M22" s="7" t="str"/>
      <x:c r="N22" s="7" t="str">
        <x:v>Le livrable « Terminal d’invitations » possède une scène ou un scénario de contrôle ; ses règles proposées, ses conditions et ses retours visuels sont vérifiables séparément.</x:v>
      </x:c>
      <x:c r="O22" s="7" t="str">
        <x:v>ME3-CHO-INVITATIONS</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ME3-PRP-PHOTO</x:v>
      </x:c>
      <x:c r="B23" s="9" t="str">
        <x:v>Photo de groupe</x:v>
      </x:c>
      <x:c r="C23" s="15" t="str">
        <x:v>Défini</x:v>
      </x:c>
      <x:c r="D23" s="16" t="str">
        <x:v>Extrapolation</x:v>
      </x:c>
      <x:c r="E23" s="16" t="str">
        <x:v>P1</x:v>
      </x:c>
      <x:c r="F23" s="9" t="str">
        <x:v>Livrable original proposé : Photo de groupe.</x:v>
      </x:c>
      <x:c r="G23" s="9" t="str">
        <x:v>Composer positions selon invités ; aucun espace de portrait mort ou silhouette flottante si un personnage manque.</x:v>
      </x:c>
      <x:c r="H23" s="9" t="str">
        <x:v>Composer positions selon invités ; aucun espace de portrait mort ou silhouette flottante si un personnage manque.</x:v>
      </x:c>
      <x:c r="I23" s="9" t="str">
        <x:v>Cadrage de salon et disposition adaptative.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me3/props/photo ; rattacher les ressources et états cités à cet identifiant. Aucun fichier de jeu créé par ce catalogue.</x:v>
      </x:c>
      <x:c r="M23" s="9" t="str"/>
      <x:c r="N23" s="9" t="str">
        <x:v>Le livrable « Photo de groupe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28" priority="1" operator="equal">
      <x:formula>"À vérifier"</x:formula>
    </x:cfRule>
    <x:cfRule type="cellIs" dxfId="29" priority="2" operator="equal">
      <x:formula>"Extrapolation"</x:formula>
    </x:cfRule>
  </x:conditionalFormatting>
  <x:conditionalFormatting sqref="C7:C23">
    <x:cfRule type="cellIs" dxfId="30" priority="3" operator="equal">
      <x:formula>"Validé"</x:formula>
    </x:cfRule>
  </x:conditionalFormatting>
  <x:conditionalFormatting sqref="E7:E23">
    <x:cfRule type="cellIs" dxfId="31"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190ba1f96c6441bb"/>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3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ME3-ENM-ASSAULT</x:v>
      </x:c>
      <x:c r="B7" s="9" t="str">
        <x:v>Cerberus Assault Trooper</x:v>
      </x:c>
      <x:c r="C7" s="15" t="str">
        <x:v>Défini</x:v>
      </x:c>
      <x:c r="D7" s="16" t="str">
        <x:v>Établi</x:v>
      </x:c>
      <x:c r="E7" s="16" t="str">
        <x:v>P1</x:v>
      </x:c>
      <x:c r="F7" s="9" t="str">
        <x:v>Fantassin Cerberus.</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Séparer anticipation et impact : Avance de couvert en couvert et lance une grenade de délogement ; sortie sûre affichée avant résolution.</x:v>
      </x:c>
      <x:c r="K7" s="9" t="str">
        <x:v>Créer un signal de préparation propre à cette famille, un départ d’action et un impact ; afficher un équivalent visuel du signal hors champ.</x:v>
      </x:c>
      <x:c r="L7" s="9" t="str">
        <x:v>Prévu : fiche de données me3/enemies/assault ; rattacher les ressources et états cités à cet identifiant. Aucun fichier de jeu créé par ce catalogue.</x:v>
      </x:c>
      <x:c r="M7" s="9" t="str">
        <x:v>Campagne et simulation.</x:v>
      </x:c>
      <x:c r="N7" s="9" t="str">
        <x:v>Cerberus Assault Trooper : la menace décrite est annoncée avant résolution ; tester une esquive, une interruption admise et une résistance refusée avec message explicite.</x:v>
      </x:c>
      <x:c r="O7" s="9" t="str"/>
      <x:c r="P7" s="9" t="str">
        <x:v>Cerberus Assault Trooper</x:v>
      </x:c>
      <x:c r="Q7" s="9" t="str">
        <x:v>ME3-SRC-PHANTOM</x:v>
      </x:c>
      <x:c r="R7" s="9" t="str">
        <x:v>https://masseffect.fandom.com/wiki/Phantom</x:v>
      </x:c>
      <x:c r="S7" s="9" t="str">
        <x:v>Spécification à réaliser. Les champs adaptation, gameplay, visual, animation, audio et implementation décrivent le fan game ; ils ne donnent pas des caractéristiques officielles de l’œuvre.</x:v>
      </x:c>
    </x:row>
    <x:row r="8" ht="68" customHeight="1">
      <x:c r="A8" s="19" t="str">
        <x:v>ME3-ENM-CENTURION</x:v>
      </x:c>
      <x:c r="B8" s="7" t="str">
        <x:v>Cerberus Centurion</x:v>
      </x:c>
      <x:c r="C8" s="15" t="str">
        <x:v>Défini</x:v>
      </x:c>
      <x:c r="D8" s="17" t="str">
        <x:v>Établi</x:v>
      </x:c>
      <x:c r="E8" s="17" t="str">
        <x:v>P1</x:v>
      </x:c>
      <x:c r="F8" s="7" t="str">
        <x:v>Unité Cerberus.</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Séparer anticipation et impact : Fumée de protection et rafale ; son écran brouille la visée mais jamais les marqueurs de menace du fan game.</x:v>
      </x:c>
      <x:c r="K8" s="7" t="str">
        <x:v>Créer un signal de préparation propre à cette famille, un départ d’action et un impact ; afficher un équivalent visuel du signal hors champ.</x:v>
      </x:c>
      <x:c r="L8" s="7" t="str">
        <x:v>Prévu : fiche de données me3/enemies/centurion ; rattacher les ressources et états cités à cet identifiant. Aucun fichier de jeu créé par ce catalogue.</x:v>
      </x:c>
      <x:c r="M8" s="7" t="str">
        <x:v>Campagne et simulation.</x:v>
      </x:c>
      <x:c r="N8" s="7" t="str">
        <x:v>Cerberus Centurion : la menace décrite est annoncée avant résolution ; tester une esquive, une interruption admise et une résistance refusée avec message explicite.</x:v>
      </x:c>
      <x:c r="O8" s="7" t="str"/>
      <x:c r="P8" s="7" t="str">
        <x:v>Cerberus Centurion</x:v>
      </x:c>
      <x:c r="Q8" s="7" t="str">
        <x:v>ME3-SRC-PHANTOM</x:v>
      </x:c>
      <x:c r="R8" s="7" t="str">
        <x:v>https://masseffect.fandom.com/wiki/Phantom</x:v>
      </x:c>
      <x:c r="S8" s="7" t="str">
        <x:v>Spécification à réaliser. Les champs adaptation, gameplay, visual, animation, audio et implementation décrivent le fan game ; ils ne donnent pas des caractéristiques officielles de l’œuvre.</x:v>
      </x:c>
    </x:row>
    <x:row r="9" ht="68" customHeight="1">
      <x:c r="A9" s="18" t="str">
        <x:v>ME3-ENM-ENGINEER</x:v>
      </x:c>
      <x:c r="B9" s="9" t="str">
        <x:v>Cerberus Combat Engineer</x:v>
      </x:c>
      <x:c r="C9" s="15" t="str">
        <x:v>Défini</x:v>
      </x:c>
      <x:c r="D9" s="16" t="str">
        <x:v>Établi</x:v>
      </x:c>
      <x:c r="E9" s="16" t="str">
        <x:v>P1</x:v>
      </x:c>
      <x:c r="F9" s="9" t="str">
        <x:v>Unité de soutien Cerberus.</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Séparer anticipation et impact : Pose une tourelle à un emplacement annoncé ; interrompre le montage évite l’activation, détruire l’ingénieur ne téléporte pas l’objet.</x:v>
      </x:c>
      <x:c r="K9" s="9" t="str">
        <x:v>Créer un signal de préparation propre à cette famille, un départ d’action et un impact ; afficher un équivalent visuel du signal hors champ.</x:v>
      </x:c>
      <x:c r="L9" s="9" t="str">
        <x:v>Prévu : fiche de données me3/enemies/engineer ; rattacher les ressources et états cités à cet identifiant. Aucun fichier de jeu créé par ce catalogue.</x:v>
      </x:c>
      <x:c r="M9" s="9" t="str">
        <x:v>Campagne et simulation.</x:v>
      </x:c>
      <x:c r="N9" s="9" t="str">
        <x:v>Cerberus Combat Engineer : la menace décrite est annoncée avant résolution ; tester une esquive, une interruption admise et une résistance refusée avec message explicite.</x:v>
      </x:c>
      <x:c r="O9" s="9" t="str"/>
      <x:c r="P9" s="9" t="str">
        <x:v>Cerberus Combat Engineer</x:v>
      </x:c>
      <x:c r="Q9" s="9" t="str">
        <x:v>ME3-SRC-PHANTOM</x:v>
      </x:c>
      <x:c r="R9" s="9" t="str">
        <x:v>https://masseffect.fandom.com/wiki/Phantom</x:v>
      </x:c>
      <x:c r="S9" s="9" t="str">
        <x:v>Spécification à réaliser. Les champs adaptation, gameplay, visual, animation, audio et implementation décrivent le fan game ; ils ne donnent pas des caractéristiques officielles de l’œuvre.</x:v>
      </x:c>
    </x:row>
    <x:row r="10" ht="68" customHeight="1">
      <x:c r="A10" s="19" t="str">
        <x:v>ME3-ENM-GUARDIAN</x:v>
      </x:c>
      <x:c r="B10" s="7" t="str">
        <x:v>Cerberus Guardian</x:v>
      </x:c>
      <x:c r="C10" s="15" t="str">
        <x:v>Défini</x:v>
      </x:c>
      <x:c r="D10" s="17" t="str">
        <x:v>Établi</x:v>
      </x:c>
      <x:c r="E10" s="17" t="str">
        <x:v>P1</x:v>
      </x:c>
      <x:c r="F10" s="7" t="str">
        <x:v>Porteur de bouclier.</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Séparer anticipation et impact : Avancée frontale ; flanc et ouverture de tir clairement prévisualisés, résistance ne se réduit pas à une santé arbitraire.</x:v>
      </x:c>
      <x:c r="K10" s="7" t="str">
        <x:v>Créer un signal de préparation propre à cette famille, un départ d’action et un impact ; afficher un équivalent visuel du signal hors champ.</x:v>
      </x:c>
      <x:c r="L10" s="7" t="str">
        <x:v>Prévu : fiche de données me3/enemies/guardian ; rattacher les ressources et états cités à cet identifiant. Aucun fichier de jeu créé par ce catalogue.</x:v>
      </x:c>
      <x:c r="M10" s="7" t="str">
        <x:v>Campagne et simulation.</x:v>
      </x:c>
      <x:c r="N10" s="7" t="str">
        <x:v>Cerberus Guardian : la menace décrite est annoncée avant résolution ; tester une esquive, une interruption admise et une résistance refusée avec message explicite.</x:v>
      </x:c>
      <x:c r="O10" s="7" t="str"/>
      <x:c r="P10" s="7" t="str">
        <x:v>Cerberus Guardian</x:v>
      </x:c>
      <x:c r="Q10" s="7" t="str">
        <x:v>ME3-SRC-PHANTOM</x:v>
      </x:c>
      <x:c r="R10" s="7" t="str">
        <x:v>https://masseffect.fandom.com/wiki/Phantom</x:v>
      </x:c>
      <x:c r="S10" s="7" t="str">
        <x:v>Spécification à réaliser. Les champs adaptation, gameplay, visual, animation, audio et implementation décrivent le fan game ; ils ne donnent pas des caractéristiques officielles de l’œuvre.</x:v>
      </x:c>
    </x:row>
    <x:row r="11" ht="68" customHeight="1">
      <x:c r="A11" s="18" t="str">
        <x:v>ME3-ENM-NEMESIS</x:v>
      </x:c>
      <x:c r="B11" s="9" t="str">
        <x:v>Cerberus Nemesis</x:v>
      </x:c>
      <x:c r="C11" s="15" t="str">
        <x:v>Défini</x:v>
      </x:c>
      <x:c r="D11" s="16" t="str">
        <x:v>Établi</x:v>
      </x:c>
      <x:c r="E11" s="16" t="str">
        <x:v>P1</x:v>
      </x:c>
      <x:c r="F11" s="9" t="str">
        <x:v>Tireuse de précision.</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Séparer anticipation et impact : Marque sa cible par laser avant tir ; briser la ligne ou l’interrompre annule la charge.</x:v>
      </x:c>
      <x:c r="K11" s="9" t="str">
        <x:v>Créer un signal de préparation propre à cette famille, un départ d’action et un impact ; afficher un équivalent visuel du signal hors champ.</x:v>
      </x:c>
      <x:c r="L11" s="9" t="str">
        <x:v>Prévu : fiche de données me3/enemies/nemesis ; rattacher les ressources et états cités à cet identifiant. Aucun fichier de jeu créé par ce catalogue.</x:v>
      </x:c>
      <x:c r="M11" s="9" t="str">
        <x:v>Campagne et simulation.</x:v>
      </x:c>
      <x:c r="N11" s="9" t="str">
        <x:v>Cerberus Nemesis : la menace décrite est annoncée avant résolution ; tester une esquive, une interruption admise et une résistance refusée avec message explicite.</x:v>
      </x:c>
      <x:c r="O11" s="9" t="str"/>
      <x:c r="P11" s="9" t="str">
        <x:v>Cerberus Nemesis</x:v>
      </x:c>
      <x:c r="Q11" s="9" t="str">
        <x:v>ME3-SRC-PHANTOM</x:v>
      </x:c>
      <x:c r="R11" s="9" t="str">
        <x:v>https://masseffect.fandom.com/wiki/Phantom</x:v>
      </x:c>
      <x:c r="S11" s="9" t="str">
        <x:v>Spécification à réaliser. Les champs adaptation, gameplay, visual, animation, audio et implementation décrivent le fan game ; ils ne donnent pas des caractéristiques officielles de l’œuvre.</x:v>
      </x:c>
    </x:row>
    <x:row r="12" ht="68" customHeight="1">
      <x:c r="A12" s="19" t="str">
        <x:v>ME3-ENM-PHANTOM</x:v>
      </x:c>
      <x:c r="B12" s="7" t="str">
        <x:v>Cerberus Phantom</x:v>
      </x:c>
      <x:c r="C12" s="15" t="str">
        <x:v>Défini</x:v>
      </x:c>
      <x:c r="D12" s="17" t="str">
        <x:v>Établi</x:v>
      </x:c>
      <x:c r="E12" s="17" t="str">
        <x:v>P1</x:v>
      </x:c>
      <x:c r="F12" s="7" t="str">
        <x:v>Assaillante rapprochée.</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Séparer anticipation et impact : Approche furtive, barrière puis attaque de lame ; prise létale originale convertie en saisie télégraphiée avec possibilité de secours.</x:v>
      </x:c>
      <x:c r="K12" s="7" t="str">
        <x:v>Créer un signal de préparation propre à cette famille, un départ d’action et un impact ; afficher un équivalent visuel du signal hors champ.</x:v>
      </x:c>
      <x:c r="L12" s="7" t="str">
        <x:v>Prévu : fiche de données me3/enemies/phantom ; rattacher les ressources et états cités à cet identifiant. Aucun fichier de jeu créé par ce catalogue.</x:v>
      </x:c>
      <x:c r="M12" s="7" t="str">
        <x:v>Campagne et simulation.</x:v>
      </x:c>
      <x:c r="N12" s="7" t="str">
        <x:v>Cerberus Phantom : la menace décrite est annoncée avant résolution ; tester une esquive, une interruption admise et une résistance refusée avec message explicite.</x:v>
      </x:c>
      <x:c r="O12" s="7" t="str"/>
      <x:c r="P12" s="7" t="str">
        <x:v>Cerberus Phantom</x:v>
      </x:c>
      <x:c r="Q12" s="7" t="str">
        <x:v>ME3-SRC-PHANTOM</x:v>
      </x:c>
      <x:c r="R12" s="7" t="str">
        <x:v>https://masseffect.fandom.com/wiki/Phantom</x:v>
      </x:c>
      <x:c r="S12" s="7" t="str">
        <x:v>Spécification à réaliser. Les champs adaptation, gameplay, visual, animation, audio et implementation décrivent le fan game ; ils ne donnent pas des caractéristiques officielles de l’œuvre.</x:v>
      </x:c>
    </x:row>
    <x:row r="13" ht="68" customHeight="1">
      <x:c r="A13" s="18" t="str">
        <x:v>ME3-ENM-ATLAS</x:v>
      </x:c>
      <x:c r="B13" s="9" t="str">
        <x:v>Atlas</x:v>
      </x:c>
      <x:c r="C13" s="15" t="str">
        <x:v>Défini</x:v>
      </x:c>
      <x:c r="D13" s="16" t="str">
        <x:v>Établi</x:v>
      </x:c>
      <x:c r="E13" s="16" t="str">
        <x:v>P1</x:v>
      </x:c>
      <x:c r="F13" s="9" t="str">
        <x:v>Méca Cerberus piloté.</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Séparer anticipation et impact : Missile de zone, canon puis récupération ; pilote visible comme point ciblable si la rencontre autorise cette interaction.</x:v>
      </x:c>
      <x:c r="K13" s="9" t="str">
        <x:v>Créer un signal de préparation propre à cette famille, un départ d’action et un impact ; afficher un équivalent visuel du signal hors champ.</x:v>
      </x:c>
      <x:c r="L13" s="9" t="str">
        <x:v>Prévu : fiche de données me3/enemies/atlas ; rattacher les ressources et états cités à cet identifiant. Aucun fichier de jeu créé par ce catalogue.</x:v>
      </x:c>
      <x:c r="M13" s="9" t="str">
        <x:v>Campagne ; variantes de pilotage à vérifier.</x:v>
      </x:c>
      <x:c r="N13" s="9" t="str">
        <x:v>Atlas : la menace décrite est annoncée avant résolution ; tester une esquive, une interruption admise et une résistance refusée avec message explicite.</x:v>
      </x:c>
      <x:c r="O13" s="9" t="str"/>
      <x:c r="P13" s="9" t="str">
        <x:v>Atlas</x:v>
      </x:c>
      <x:c r="Q13" s="9" t="str">
        <x:v>ME3-SRC-PHANTOM</x:v>
      </x:c>
      <x:c r="R13" s="9" t="str">
        <x:v>https://masseffect.fandom.com/wiki/Phantom</x:v>
      </x:c>
      <x:c r="S13" s="9" t="str">
        <x:v>Spécification à réaliser. Les champs adaptation, gameplay, visual, animation, audio et implementation décrivent le fan game ; ils ne donnent pas des caractéristiques officielles de l’œuvre.</x:v>
      </x:c>
    </x:row>
    <x:row r="14" ht="68" customHeight="1">
      <x:c r="A14" s="19" t="str">
        <x:v>ME3-ENM-TURRET</x:v>
      </x:c>
      <x:c r="B14" s="7" t="str">
        <x:v>Tourelle Cerberus</x:v>
      </x:c>
      <x:c r="C14" s="15" t="str">
        <x:v>Défini</x:v>
      </x:c>
      <x:c r="D14" s="17" t="str">
        <x:v>Établi</x:v>
      </x:c>
      <x:c r="E14" s="17" t="str">
        <x:v>P1</x:v>
      </x:c>
      <x:c r="F14" s="7" t="str">
        <x:v>Construction de l’ingénieur.</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Séparer anticipation et impact : Pivot limité et cône de suppression ; l’interface montre sa ligne de tir même derrière un sprite allié.</x:v>
      </x:c>
      <x:c r="K14" s="7" t="str">
        <x:v>Créer un signal de préparation propre à cette famille, un départ d’action et un impact ; afficher un équivalent visuel du signal hors champ.</x:v>
      </x:c>
      <x:c r="L14" s="7" t="str">
        <x:v>Prévu : fiche de données me3/enemies/turret ; rattacher les ressources et états cités à cet identifiant. Aucun fichier de jeu créé par ce catalogue.</x:v>
      </x:c>
      <x:c r="M14" s="7" t="str">
        <x:v>Campagne et simulation.</x:v>
      </x:c>
      <x:c r="N14" s="7" t="str">
        <x:v>Tourelle Cerberus : la menace décrite est annoncée avant résolution ; tester une esquive, une interruption admise et une résistance refusée avec message explicite.</x:v>
      </x:c>
      <x:c r="O14" s="7" t="str"/>
      <x:c r="P14" s="7" t="str">
        <x:v>Tourelle Cerberus</x:v>
      </x:c>
      <x:c r="Q14" s="7" t="str">
        <x:v>ME3-SRC-PHANTOM</x:v>
      </x:c>
      <x:c r="R14" s="7" t="str">
        <x:v>https://masseffect.fandom.com/wiki/Phantom</x:v>
      </x:c>
      <x:c r="S14" s="7" t="str">
        <x:v>Spécification à réaliser. Les champs adaptation, gameplay, visual, animation, audio et implementation décrivent le fan game ; ils ne donnent pas des caractéristiques officielles de l’œuvre.</x:v>
      </x:c>
    </x:row>
    <x:row r="15" ht="68" customHeight="1">
      <x:c r="A15" s="18" t="str">
        <x:v>ME3-ENM-EVA</x:v>
      </x:c>
      <x:c r="B15" s="9" t="str">
        <x:v>Dr Eva Coré — confrontation</x:v>
      </x:c>
      <x:c r="C15" s="15" t="str">
        <x:v>Défini</x:v>
      </x:c>
      <x:c r="D15" s="16" t="str">
        <x:v>Établi</x:v>
      </x:c>
      <x:c r="E15" s="16" t="str">
        <x:v>P1</x:v>
      </x:c>
      <x:c r="F15" s="9" t="str">
        <x:v>Antagoniste de Mars.</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Séparer anticipation et impact : Course avec jalons de poursuite puis confrontation courte ; aucun combat d’endurance inventé comme événement source.</x:v>
      </x:c>
      <x:c r="K15" s="9" t="str">
        <x:v>Créer un signal de préparation propre à cette famille, un départ d’action et un impact ; afficher un équivalent visuel du signal hors champ.</x:v>
      </x:c>
      <x:c r="L15" s="9" t="str">
        <x:v>Prévu : fiche de données me3/enemies/eva ; rattacher les ressources et états cités à cet identifiant. Aucun fichier de jeu créé par ce catalogue.</x:v>
      </x:c>
      <x:c r="M15" s="9" t="str">
        <x:v>Mars uniquement.</x:v>
      </x:c>
      <x:c r="N15" s="9" t="str">
        <x:v>Dr Eva Coré — confrontation : la menace décrite est annoncée avant résolution ; tester une esquive, une interruption admise et une résistance refusée avec message explicite.</x:v>
      </x:c>
      <x:c r="O15" s="9" t="str"/>
      <x:c r="P15" s="9" t="str">
        <x:v>Dr Eva Coré — confrontation</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ME3-ENM-KAI</x:v>
      </x:c>
      <x:c r="B16" s="7" t="str">
        <x:v>Kai Leng</x:v>
      </x:c>
      <x:c r="C16" s="15" t="str">
        <x:v>Défini</x:v>
      </x:c>
      <x:c r="D16" s="17" t="str">
        <x:v>Établi</x:v>
      </x:c>
      <x:c r="E16" s="17" t="str">
        <x:v>P1</x:v>
      </x:c>
      <x:c r="F16" s="7" t="str">
        <x:v>Boss récurrent de Cerberus.</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Séparer anticipation et impact : Rush de lame et phases de protection ; afficher ce qui relève d’une phase narrative invulnérable et ce qui peut être interrompu.</x:v>
      </x:c>
      <x:c r="K16" s="7" t="str">
        <x:v>Créer un signal de préparation propre à cette famille, un départ d’action et un impact ; afficher un équivalent visuel du signal hors champ.</x:v>
      </x:c>
      <x:c r="L16" s="7" t="str">
        <x:v>Prévu : fiche de données me3/enemies/kai ; rattacher les ressources et états cités à cet identifiant. Aucun fichier de jeu créé par ce catalogue.</x:v>
      </x:c>
      <x:c r="M16" s="7" t="str">
        <x:v>Thessia et QG ; tables de phases distinctes.</x:v>
      </x:c>
      <x:c r="N16" s="7" t="str">
        <x:v>Kai Leng : la menace décrite est annoncée avant résolution ; tester une esquive, une interruption admise et une résistance refusée avec message explicite.</x:v>
      </x:c>
      <x:c r="O16" s="7" t="str"/>
      <x:c r="P16" s="7" t="str">
        <x:v>Kai Leng</x:v>
      </x:c>
      <x:c r="Q16" s="7" t="str">
        <x:v>ME3-SRC-KAI</x:v>
      </x:c>
      <x:c r="R16" s="7" t="str">
        <x:v>https://masseffect.fandom.com/wiki/Kai_Leng_%28enemy%29</x:v>
      </x:c>
      <x:c r="S16" s="7" t="str">
        <x:v>Spécification à réaliser. Les champs adaptation, gameplay, visual, animation, audio et implementation décrivent le fan game ; ils ne donnent pas des caractéristiques officielles de l’œuvre.</x:v>
      </x:c>
    </x:row>
    <x:row r="17" ht="68" customHeight="1">
      <x:c r="A17" s="18" t="str">
        <x:v>ME3-ENM-RAMPART</x:v>
      </x:c>
      <x:c r="B17" s="9" t="str">
        <x:v>Rampart Mech</x:v>
      </x:c>
      <x:c r="C17" s="15" t="str">
        <x:v>Défini</x:v>
      </x:c>
      <x:c r="D17" s="16" t="str">
        <x:v>Établi</x:v>
      </x:c>
      <x:c r="E17" s="16" t="str">
        <x:v>P1</x:v>
      </x:c>
      <x:c r="F17" s="9" t="str">
        <x:v>Robot rencontré dans Omega.</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Séparer anticipation et impact : Avance directe et rafale ; un noyau de faiblesse proposé encourage la rotation du groupe autour des couverts.</x:v>
      </x:c>
      <x:c r="K17" s="9" t="str">
        <x:v>Créer un signal de préparation propre à cette famille, un départ d’action et un impact ; afficher un équivalent visuel du signal hors champ.</x:v>
      </x:c>
      <x:c r="L17" s="9" t="str">
        <x:v>Prévu : fiche de données me3/enemies/rampart ; rattacher les ressources et états cités à cet identifiant. Aucun fichier de jeu créé par ce catalogue.</x:v>
      </x:c>
      <x:c r="M17" s="9" t="str">
        <x:v>DLC Omega.</x:v>
      </x:c>
      <x:c r="N17" s="9" t="str">
        <x:v>Rampart Mech : la menace décrite est annoncée avant résolution ; tester une esquive, une interruption admise et une résistance refusée avec message explicite.</x:v>
      </x:c>
      <x:c r="O17" s="9" t="str"/>
      <x:c r="P17" s="9" t="str">
        <x:v>Rampart Mech</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ME3-ENM-ADJUTANT</x:v>
      </x:c>
      <x:c r="B18" s="7" t="str">
        <x:v>Adjutant</x:v>
      </x:c>
      <x:c r="C18" s="15" t="str">
        <x:v>Défini</x:v>
      </x:c>
      <x:c r="D18" s="17" t="str">
        <x:v>Établi</x:v>
      </x:c>
      <x:c r="E18" s="17" t="str">
        <x:v>P1</x:v>
      </x:c>
      <x:c r="F18" s="7" t="str">
        <x:v>Créature d’Omega.</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Séparer anticipation et impact : Bond à zone d’arrivée visible, projectile puis ruée ; empêcher deux saisies simultanées non évitables dans couloir.</x:v>
      </x:c>
      <x:c r="K18" s="7" t="str">
        <x:v>Créer un signal de préparation propre à cette famille, un départ d’action et un impact ; afficher un équivalent visuel du signal hors champ.</x:v>
      </x:c>
      <x:c r="L18" s="7" t="str">
        <x:v>Prévu : fiche de données me3/enemies/adjutant ; rattacher les ressources et états cités à cet identifiant. Aucun fichier de jeu créé par ce catalogue.</x:v>
      </x:c>
      <x:c r="M18" s="7" t="str">
        <x:v>DLC Omega.</x:v>
      </x:c>
      <x:c r="N18" s="7" t="str">
        <x:v>Adjutant : la menace décrite est annoncée avant résolution ; tester une esquive, une interruption admise et une résistance refusée avec message explicite.</x:v>
      </x:c>
      <x:c r="O18" s="7" t="str"/>
      <x:c r="P18" s="7" t="str">
        <x:v>Adjutant</x:v>
      </x:c>
      <x:c r="Q18" s="7" t="str">
        <x:v>ME3-SRC-OMEGA</x:v>
      </x:c>
      <x:c r="R18" s="7" t="str">
        <x:v>https://masseffect.fandom.com/wiki/Omega%3A_Aria_T%27Loak_%28Mass_Effect_3%29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ME3-ENM-HUSK</x:v>
      </x:c>
      <x:c r="B19" s="9" t="str">
        <x:v>Husk</x:v>
      </x:c>
      <x:c r="C19" s="15" t="str">
        <x:v>Défini</x:v>
      </x:c>
      <x:c r="D19" s="16" t="str">
        <x:v>Établi</x:v>
      </x:c>
      <x:c r="E19" s="16" t="str">
        <x:v>P1</x:v>
      </x:c>
      <x:c r="F19" s="9" t="str">
        <x:v>Infanterie transformée des Moissonneurs.</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Séparer anticipation et impact : Course de contact et encerclement ; grappin contestable par allié et indicateur de pression plutôt que spam de touche.</x:v>
      </x:c>
      <x:c r="K19" s="9" t="str">
        <x:v>Créer un signal de préparation propre à cette famille, un départ d’action et un impact ; afficher un équivalent visuel du signal hors champ.</x:v>
      </x:c>
      <x:c r="L19" s="9" t="str">
        <x:v>Prévu : fiche de données me3/enemies/husk ; rattacher les ressources et états cités à cet identifiant. Aucun fichier de jeu créé par ce catalogue.</x:v>
      </x:c>
      <x:c r="M19" s="9" t="str">
        <x:v>Campagne et simulation.</x:v>
      </x:c>
      <x:c r="N19" s="9" t="str">
        <x:v>Husk : la menace décrite est annoncée avant résolution ; tester une esquive, une interruption admise et une résistance refusée avec message explicite.</x:v>
      </x:c>
      <x:c r="O19" s="9" t="str"/>
      <x:c r="P19" s="9" t="str">
        <x:v>Husk</x:v>
      </x:c>
      <x:c r="Q19" s="9" t="str">
        <x:v>ME3-SRC-MARAUDER</x:v>
      </x:c>
      <x:c r="R19" s="9" t="str">
        <x:v>https://masseffect.fandom.com/wiki/Marauder</x:v>
      </x:c>
      <x:c r="S19" s="9" t="str">
        <x:v>Spécification à réaliser. Les champs adaptation, gameplay, visual, animation, audio et implementation décrivent le fan game ; ils ne donnent pas des caractéristiques officielles de l’œuvre.</x:v>
      </x:c>
    </x:row>
    <x:row r="20" ht="68" customHeight="1">
      <x:c r="A20" s="19" t="str">
        <x:v>ME3-ENM-CANNIBAL</x:v>
      </x:c>
      <x:c r="B20" s="7" t="str">
        <x:v>Cannibal</x:v>
      </x:c>
      <x:c r="C20" s="15" t="str">
        <x:v>Défini</x:v>
      </x:c>
      <x:c r="D20" s="17" t="str">
        <x:v>Établi</x:v>
      </x:c>
      <x:c r="E20" s="17" t="str">
        <x:v>P1</x:v>
      </x:c>
      <x:c r="F20" s="7" t="str">
        <x:v>Infanterie des Moissonneurs.</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Séparer anticipation et impact : Tir, grenade et consommation de cadavre ; annoncer le gain de protection, neutraliser le cadavre comme interaction facultative.</x:v>
      </x:c>
      <x:c r="K20" s="7" t="str">
        <x:v>Créer un signal de préparation propre à cette famille, un départ d’action et un impact ; afficher un équivalent visuel du signal hors champ.</x:v>
      </x:c>
      <x:c r="L20" s="7" t="str">
        <x:v>Prévu : fiche de données me3/enemies/cannibal ; rattacher les ressources et états cités à cet identifiant. Aucun fichier de jeu créé par ce catalogue.</x:v>
      </x:c>
      <x:c r="M20" s="7" t="str">
        <x:v>Campagne et simulation.</x:v>
      </x:c>
      <x:c r="N20" s="7" t="str">
        <x:v>Cannibal : la menace décrite est annoncée avant résolution ; tester une esquive, une interruption admise et une résistance refusée avec message explicite.</x:v>
      </x:c>
      <x:c r="O20" s="7" t="str"/>
      <x:c r="P20" s="7" t="str">
        <x:v>Cannibal</x:v>
      </x:c>
      <x:c r="Q20" s="7" t="str">
        <x:v>ME3-SRC-MARAUDER</x:v>
      </x:c>
      <x:c r="R20" s="7" t="str">
        <x:v>https://masseffect.fandom.com/wiki/Marauder</x:v>
      </x:c>
      <x:c r="S20" s="7" t="str">
        <x:v>Spécification à réaliser. Les champs adaptation, gameplay, visual, animation, audio et implementation décrivent le fan game ; ils ne donnent pas des caractéristiques officielles de l’œuvre.</x:v>
      </x:c>
    </x:row>
    <x:row r="21" ht="68" customHeight="1">
      <x:c r="A21" s="18" t="str">
        <x:v>ME3-ENM-MARAUDER</x:v>
      </x:c>
      <x:c r="B21" s="9" t="str">
        <x:v>Marauder</x:v>
      </x:c>
      <x:c r="C21" s="15" t="str">
        <x:v>Défini</x:v>
      </x:c>
      <x:c r="D21" s="16" t="str">
        <x:v>Établi</x:v>
      </x:c>
      <x:c r="E21" s="16" t="str">
        <x:v>P1</x:v>
      </x:c>
      <x:c r="F21" s="9" t="str">
        <x:v>Unité de soutien des Moissonneurs.</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Séparer anticipation et impact : Renforce les voisins compatibles et tire en couverture ; aura de soutien relie visuellement les bénéficiaires.</x:v>
      </x:c>
      <x:c r="K21" s="9" t="str">
        <x:v>Créer un signal de préparation propre à cette famille, un départ d’action et un impact ; afficher un équivalent visuel du signal hors champ.</x:v>
      </x:c>
      <x:c r="L21" s="9" t="str">
        <x:v>Prévu : fiche de données me3/enemies/marauder ; rattacher les ressources et états cités à cet identifiant. Aucun fichier de jeu créé par ce catalogue.</x:v>
      </x:c>
      <x:c r="M21" s="9" t="str">
        <x:v>Campagne et simulation.</x:v>
      </x:c>
      <x:c r="N21" s="9" t="str">
        <x:v>Marauder : la menace décrite est annoncée avant résolution ; tester une esquive, une interruption admise et une résistance refusée avec message explicite.</x:v>
      </x:c>
      <x:c r="O21" s="9" t="str"/>
      <x:c r="P21" s="9" t="str">
        <x:v>Marauder</x:v>
      </x:c>
      <x:c r="Q21" s="9" t="str">
        <x:v>ME3-SRC-MARAUDER</x:v>
      </x:c>
      <x:c r="R21" s="9" t="str">
        <x:v>https://masseffect.fandom.com/wiki/Marauder</x:v>
      </x:c>
      <x:c r="S21" s="9" t="str">
        <x:v>Spécification à réaliser. Les champs adaptation, gameplay, visual, animation, audio et implementation décrivent le fan game ; ils ne donnent pas des caractéristiques officielles de l’œuvre.</x:v>
      </x:c>
    </x:row>
    <x:row r="22" ht="68" customHeight="1">
      <x:c r="A22" s="19" t="str">
        <x:v>ME3-ENM-BRUTE</x:v>
      </x:c>
      <x:c r="B22" s="7" t="str">
        <x:v>Brute</x:v>
      </x:c>
      <x:c r="C22" s="15" t="str">
        <x:v>Défini</x:v>
      </x:c>
      <x:c r="D22" s="17" t="str">
        <x:v>Établi</x:v>
      </x:c>
      <x:c r="E22" s="17" t="str">
        <x:v>P1</x:v>
      </x:c>
      <x:c r="F22" s="7" t="str">
        <x:v>Unité lourde des Moissonneurs.</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Séparer anticipation et impact : Charge en couloir puis balayage ; zone d’impact au sol et fenêtre latérale après collision.</x:v>
      </x:c>
      <x:c r="K22" s="7" t="str">
        <x:v>Créer un signal de préparation propre à cette famille, un départ d’action et un impact ; afficher un équivalent visuel du signal hors champ.</x:v>
      </x:c>
      <x:c r="L22" s="7" t="str">
        <x:v>Prévu : fiche de données me3/enemies/brute ; rattacher les ressources et états cités à cet identifiant. Aucun fichier de jeu créé par ce catalogue.</x:v>
      </x:c>
      <x:c r="M22" s="7" t="str">
        <x:v>Campagne et simulation.</x:v>
      </x:c>
      <x:c r="N22" s="7" t="str">
        <x:v>Brute : la menace décrite est annoncée avant résolution ; tester une esquive, une interruption admise et une résistance refusée avec message explicite.</x:v>
      </x:c>
      <x:c r="O22" s="7" t="str"/>
      <x:c r="P22" s="7" t="str">
        <x:v>Brute</x:v>
      </x:c>
      <x:c r="Q22" s="7" t="str">
        <x:v>ME3-SRC-MARAUDER</x:v>
      </x:c>
      <x:c r="R22" s="7" t="str">
        <x:v>https://masseffect.fandom.com/wiki/Marauder</x:v>
      </x:c>
      <x:c r="S22" s="7" t="str">
        <x:v>Spécification à réaliser. Les champs adaptation, gameplay, visual, animation, audio et implementation décrivent le fan game ; ils ne donnent pas des caractéristiques officielles de l’œuvre.</x:v>
      </x:c>
    </x:row>
    <x:row r="23" ht="68" customHeight="1">
      <x:c r="A23" s="18" t="str">
        <x:v>ME3-ENM-RAVAGER</x:v>
      </x:c>
      <x:c r="B23" s="9" t="str">
        <x:v>Ravager</x:v>
      </x:c>
      <x:c r="C23" s="15" t="str">
        <x:v>Défini</x:v>
      </x:c>
      <x:c r="D23" s="16" t="str">
        <x:v>Établi</x:v>
      </x:c>
      <x:c r="E23" s="16" t="str">
        <x:v>P1</x:v>
      </x:c>
      <x:c r="F23" s="9" t="str">
        <x:v>Artillerie des Moissonneurs.</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Séparer anticipation et impact : Salves à zone ciblée et sacs fragiles ; rupture des sacs libère des Swarmers à places réservées.</x:v>
      </x:c>
      <x:c r="K23" s="9" t="str">
        <x:v>Créer un signal de préparation propre à cette famille, un départ d’action et un impact ; afficher un équivalent visuel du signal hors champ.</x:v>
      </x:c>
      <x:c r="L23" s="9" t="str">
        <x:v>Prévu : fiche de données me3/enemies/ravager ; rattacher les ressources et états cités à cet identifiant. Aucun fichier de jeu créé par ce catalogue.</x:v>
      </x:c>
      <x:c r="M23" s="9" t="str">
        <x:v>Campagne et simulation.</x:v>
      </x:c>
      <x:c r="N23" s="9" t="str">
        <x:v>Ravager : la menace décrite est annoncée avant résolution ; tester une esquive, une interruption admise et une résistance refusée avec message explicite.</x:v>
      </x:c>
      <x:c r="O23" s="9" t="str"/>
      <x:c r="P23" s="9" t="str">
        <x:v>Ravager</x:v>
      </x:c>
      <x:c r="Q23" s="9" t="str">
        <x:v>ME3-SRC-RAVAGER</x:v>
      </x:c>
      <x:c r="R23" s="9" t="str">
        <x:v>https://masseffect.fandom.com/wiki/Ravager</x:v>
      </x:c>
      <x:c r="S23" s="9" t="str">
        <x:v>Spécification à réaliser. Les champs adaptation, gameplay, visual, animation, audio et implementation décrivent le fan game ; ils ne donnent pas des caractéristiques officielles de l’œuvre.</x:v>
      </x:c>
    </x:row>
    <x:row r="24" ht="68" customHeight="1">
      <x:c r="A24" s="19" t="str">
        <x:v>ME3-ENM-SWARMER</x:v>
      </x:c>
      <x:c r="B24" s="7" t="str">
        <x:v>Swarmer</x:v>
      </x:c>
      <x:c r="C24" s="15" t="str">
        <x:v>Défini</x:v>
      </x:c>
      <x:c r="D24" s="17" t="str">
        <x:v>Établi</x:v>
      </x:c>
      <x:c r="E24" s="17" t="str">
        <x:v>P1</x:v>
      </x:c>
      <x:c r="F24" s="7" t="str">
        <x:v>Petite unité associée aux Ravagers.</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Séparer anticipation et impact : Approche rapide par groupes limités ; indicateur collectif de danger et sélection par grappe pour ne pas viser des pixels.</x:v>
      </x:c>
      <x:c r="K24" s="7" t="str">
        <x:v>Créer un signal de préparation propre à cette famille, un départ d’action et un impact ; afficher un équivalent visuel du signal hors champ.</x:v>
      </x:c>
      <x:c r="L24" s="7" t="str">
        <x:v>Prévu : fiche de données me3/enemies/swarmer ; rattacher les ressources et états cités à cet identifiant. Aucun fichier de jeu créé par ce catalogue.</x:v>
      </x:c>
      <x:c r="M24" s="7" t="str">
        <x:v>Campagne et simulation.</x:v>
      </x:c>
      <x:c r="N24" s="7" t="str">
        <x:v>Swarmer : la menace décrite est annoncée avant résolution ; tester une esquive, une interruption admise et une résistance refusée avec message explicite.</x:v>
      </x:c>
      <x:c r="O24" s="7" t="str"/>
      <x:c r="P24" s="7" t="str">
        <x:v>Swarmer</x:v>
      </x:c>
      <x:c r="Q24" s="7" t="str">
        <x:v>ME3-SRC-RAVAGER</x:v>
      </x:c>
      <x:c r="R24" s="7" t="str">
        <x:v>https://masseffect.fandom.com/wiki/Ravager</x:v>
      </x:c>
      <x:c r="S24" s="7" t="str">
        <x:v>Spécification à réaliser. Les champs adaptation, gameplay, visual, animation, audio et implementation décrivent le fan game ; ils ne donnent pas des caractéristiques officielles de l’œuvre.</x:v>
      </x:c>
    </x:row>
    <x:row r="25" ht="68" customHeight="1">
      <x:c r="A25" s="18" t="str">
        <x:v>ME3-ENM-BANSHEE</x:v>
      </x:c>
      <x:c r="B25" s="9" t="str">
        <x:v>Banshee</x:v>
      </x:c>
      <x:c r="C25" s="15" t="str">
        <x:v>Défini</x:v>
      </x:c>
      <x:c r="D25" s="16" t="str">
        <x:v>Établi</x:v>
      </x:c>
      <x:c r="E25" s="16" t="str">
        <x:v>P1</x:v>
      </x:c>
      <x:c r="F25" s="9" t="str">
        <x:v>Unité biotique des Moissonneurs.</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Séparer anticipation et impact : Téléportations préparées, projectile et saisie ; halo de portée et signal sonore distinct avant menace de contact.</x:v>
      </x:c>
      <x:c r="K25" s="9" t="str">
        <x:v>Créer un signal de préparation propre à cette famille, un départ d’action et un impact ; afficher un équivalent visuel du signal hors champ.</x:v>
      </x:c>
      <x:c r="L25" s="9" t="str">
        <x:v>Prévu : fiche de données me3/enemies/banshee ; rattacher les ressources et états cités à cet identifiant. Aucun fichier de jeu créé par ce catalogue.</x:v>
      </x:c>
      <x:c r="M25" s="9" t="str">
        <x:v>Campagne et simulation.</x:v>
      </x:c>
      <x:c r="N25" s="9" t="str">
        <x:v>Banshee : la menace décrite est annoncée avant résolution ; tester une esquive, une interruption admise et une résistance refusée avec message explicite.</x:v>
      </x:c>
      <x:c r="O25" s="9" t="str"/>
      <x:c r="P25" s="9" t="str">
        <x:v>Banshee</x:v>
      </x:c>
      <x:c r="Q25" s="9" t="str">
        <x:v>ME3-SRC-MARAUDER</x:v>
      </x:c>
      <x:c r="R25" s="9" t="str">
        <x:v>https://masseffect.fandom.com/wiki/Marauder</x:v>
      </x:c>
      <x:c r="S25" s="9" t="str">
        <x:v>Spécification à réaliser. Les champs adaptation, gameplay, visual, animation, audio et implementation décrivent le fan game ; ils ne donnent pas des caractéristiques officielles de l’œuvre.</x:v>
      </x:c>
    </x:row>
    <x:row r="26" ht="68" customHeight="1">
      <x:c r="A26" s="19" t="str">
        <x:v>ME3-ENM-HARVESTER</x:v>
      </x:c>
      <x:c r="B26" s="7" t="str">
        <x:v>Harvester</x:v>
      </x:c>
      <x:c r="C26" s="15" t="str">
        <x:v>Défini</x:v>
      </x:c>
      <x:c r="D26" s="17" t="str">
        <x:v>Établi</x:v>
      </x:c>
      <x:c r="E26" s="17" t="str">
        <x:v>P1</x:v>
      </x:c>
      <x:c r="F26" s="7" t="str">
        <x:v>Grande créature volante.</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Séparer anticipation et impact : Passage de bombardement puis exposition au tir ; altitude visuelle séparée du point ciblable projeté au sol.</x:v>
      </x:c>
      <x:c r="K26" s="7" t="str">
        <x:v>Créer un signal de préparation propre à cette famille, un départ d’action et un impact ; afficher un équivalent visuel du signal hors champ.</x:v>
      </x:c>
      <x:c r="L26" s="7" t="str">
        <x:v>Prévu : fiche de données me3/enemies/harvester ; rattacher les ressources et états cités à cet identifiant. Aucun fichier de jeu créé par ce catalogue.</x:v>
      </x:c>
      <x:c r="M26" s="7" t="str">
        <x:v>Rencontres terrestres prévues.</x:v>
      </x:c>
      <x:c r="N26" s="7" t="str">
        <x:v>Harvester : la menace décrite est annoncée avant résolution ; tester une esquive, une interruption admise et une résistance refusée avec message explicite.</x:v>
      </x:c>
      <x:c r="O26" s="7" t="str"/>
      <x:c r="P26" s="7" t="str">
        <x:v>Harvester</x:v>
      </x:c>
      <x:c r="Q26" s="7" t="str">
        <x:v>ME3-SRC-HARVESTER</x:v>
      </x:c>
      <x:c r="R26" s="7" t="str">
        <x:v>https://masseffect.fandom.com/wiki/Harvester_%28enemy%29</x:v>
      </x:c>
      <x:c r="S26" s="7" t="str">
        <x:v>Spécification à réaliser. Les champs adaptation, gameplay, visual, animation, audio et implementation décrivent le fan game ; ils ne donnent pas des caractéristiques officielles de l’œuvre.</x:v>
      </x:c>
    </x:row>
    <x:row r="27" ht="68" customHeight="1">
      <x:c r="A27" s="18" t="str">
        <x:v>ME3-ENM-REAPER-RANNOCH</x:v>
      </x:c>
      <x:c r="B27" s="9" t="str">
        <x:v>Moissonneur de Rannoch</x:v>
      </x:c>
      <x:c r="C27" s="15" t="str">
        <x:v>Défini</x:v>
      </x:c>
      <x:c r="D27" s="16" t="str">
        <x:v>Établi</x:v>
      </x:c>
      <x:c r="E27" s="16" t="str">
        <x:v>P1</x:v>
      </x:c>
      <x:c r="F27" s="9" t="str">
        <x:v>Boss de la conclusion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Séparer anticipation et impact : Alternance acquisition laser et déplacement latéral ; assistances de maintien de visée et de rythme proposées.</x:v>
      </x:c>
      <x:c r="K27" s="9" t="str">
        <x:v>Créer un signal de préparation propre à cette famille, un départ d’action et un impact ; afficher un équivalent visuel du signal hors champ.</x:v>
      </x:c>
      <x:c r="L27" s="9" t="str">
        <x:v>Prévu : fiche de données me3/enemies/reaper-rannoch ; rattacher les ressources et états cités à cet identifiant. Aucun fichier de jeu créé par ce catalogue.</x:v>
      </x:c>
      <x:c r="M27" s="9" t="str">
        <x:v>Rannoch uniquement.</x:v>
      </x:c>
      <x:c r="N27" s="9" t="str">
        <x:v>Moissonneur de Rannoch : la menace décrite est annoncée avant résolution ; tester une esquive, une interruption admise et une résistance refusée avec message explicite.</x:v>
      </x:c>
      <x:c r="O27" s="9" t="str"/>
      <x:c r="P27" s="9" t="str">
        <x:v>Moissonneur de Rannoch</x:v>
      </x:c>
      <x:c r="Q27" s="9" t="str">
        <x:v>ME3-SRC-RANNOCH</x:v>
      </x:c>
      <x:c r="R27" s="9" t="str">
        <x:v>https://masseffect.fandom.com/wiki/Priority%3A_Rannoch</x:v>
      </x:c>
      <x:c r="S27" s="9" t="str">
        <x:v>Spécification à réaliser. Les champs adaptation, gameplay, visual, animation, audio et implementation décrivent le fan game ; ils ne donnent pas des caractéristiques officielles de l’œuvre.</x:v>
      </x:c>
    </x:row>
    <x:row r="28" ht="68" customHeight="1">
      <x:c r="A28" s="19" t="str">
        <x:v>ME3-ENM-GETH-TROOPER</x:v>
      </x:c>
      <x:c r="B28" s="7" t="str">
        <x:v>Geth Trooper</x:v>
      </x:c>
      <x:c r="C28" s="15" t="str">
        <x:v>Défini</x:v>
      </x:c>
      <x:c r="D28" s="17" t="str">
        <x:v>Établi</x:v>
      </x:c>
      <x:c r="E28" s="17" t="str">
        <x:v>P1</x:v>
      </x:c>
      <x:c r="F28" s="7" t="str">
        <x:v>Infanterie geth.</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Séparer anticipation et impact : Tir soutenu et déplacement coordonné ; signal réseau lors du changement de cible pour lire le groupe.</x:v>
      </x:c>
      <x:c r="K28" s="7" t="str">
        <x:v>Créer un signal de préparation propre à cette famille, un départ d’action et un impact ; afficher un équivalent visuel du signal hors champ.</x:v>
      </x:c>
      <x:c r="L28" s="7" t="str">
        <x:v>Prévu : fiche de données me3/enemies/geth-trooper ; rattacher les ressources et états cités à cet identifiant. Aucun fichier de jeu créé par ce catalogue.</x:v>
      </x:c>
      <x:c r="M28" s="7" t="str">
        <x:v>Arc geth, Armax ou multijoueur selon rencontre.</x:v>
      </x:c>
      <x:c r="N28" s="7" t="str">
        <x:v>Geth Trooper : la menace décrite est annoncée avant résolution ; tester une esquive, une interruption admise et une résistance refusée avec message explicite.</x:v>
      </x:c>
      <x:c r="O28" s="7" t="str"/>
      <x:c r="P28" s="7" t="str">
        <x:v>Geth Trooper</x:v>
      </x:c>
      <x:c r="Q28" s="7" t="str">
        <x:v>ME3-SRC-MARAUDER</x:v>
      </x:c>
      <x:c r="R28" s="7" t="str">
        <x:v>https://masseffect.fandom.com/wiki/Marauder</x:v>
      </x:c>
      <x:c r="S28" s="7" t="str">
        <x:v>Spécification à réaliser. Les champs adaptation, gameplay, visual, animation, audio et implementation décrivent le fan game ; ils ne donnent pas des caractéristiques officielles de l’œuvre.</x:v>
      </x:c>
    </x:row>
    <x:row r="29" ht="68" customHeight="1">
      <x:c r="A29" s="18" t="str">
        <x:v>ME3-ENM-GETH-ROCKET</x:v>
      </x:c>
      <x:c r="B29" s="9" t="str">
        <x:v>Geth Rocket Trooper</x:v>
      </x:c>
      <x:c r="C29" s="15" t="str">
        <x:v>Défini</x:v>
      </x:c>
      <x:c r="D29" s="16" t="str">
        <x:v>Établi</x:v>
      </x:c>
      <x:c r="E29" s="16" t="str">
        <x:v>P1</x:v>
      </x:c>
      <x:c r="F29" s="9" t="str">
        <x:v>Unité geth à roquettes.</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Séparer anticipation et impact : Charge d’un tir explosif puis récupération ; trajectoire et rayon d’explosion annoncés.</x:v>
      </x:c>
      <x:c r="K29" s="9" t="str">
        <x:v>Créer un signal de préparation propre à cette famille, un départ d’action et un impact ; afficher un équivalent visuel du signal hors champ.</x:v>
      </x:c>
      <x:c r="L29" s="9" t="str">
        <x:v>Prévu : fiche de données me3/enemies/geth-rocket ; rattacher les ressources et états cités à cet identifiant. Aucun fichier de jeu créé par ce catalogue.</x:v>
      </x:c>
      <x:c r="M29" s="9" t="str">
        <x:v>Arc geth, Armax ou multijoueur selon rencontre.</x:v>
      </x:c>
      <x:c r="N29" s="9" t="str">
        <x:v>Geth Rocket Trooper : la menace décrite est annoncée avant résolution ; tester une esquive, une interruption admise et une résistance refusée avec message explicite.</x:v>
      </x:c>
      <x:c r="O29" s="9" t="str"/>
      <x:c r="P29" s="9" t="str">
        <x:v>Geth Rocket Trooper</x:v>
      </x:c>
      <x:c r="Q29" s="9" t="str">
        <x:v>ME3-SRC-MARAUDER</x:v>
      </x:c>
      <x:c r="R29" s="9" t="str">
        <x:v>https://masseffect.fandom.com/wiki/Marauder</x:v>
      </x:c>
      <x:c r="S29" s="9" t="str">
        <x:v>Spécification à réaliser. Les champs adaptation, gameplay, visual, animation, audio et implementation décrivent le fan game ; ils ne donnent pas des caractéristiques officielles de l’œuvre.</x:v>
      </x:c>
    </x:row>
    <x:row r="30" ht="68" customHeight="1">
      <x:c r="A30" s="19" t="str">
        <x:v>ME3-ENM-GETH-HUNTER</x:v>
      </x:c>
      <x:c r="B30" s="7" t="str">
        <x:v>Geth Hunter</x:v>
      </x:c>
      <x:c r="C30" s="15" t="str">
        <x:v>Défini</x:v>
      </x:c>
      <x:c r="D30" s="17" t="str">
        <x:v>Établi</x:v>
      </x:c>
      <x:c r="E30" s="17" t="str">
        <x:v>P1</x:v>
      </x:c>
      <x:c r="F30" s="7" t="str">
        <x:v>Unité geth camouflée.</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Séparer anticipation et impact : Approche furtive et tir proche ; perturbation visible au sol et bruit directionnel accessibles sans vision parfaite.</x:v>
      </x:c>
      <x:c r="K30" s="7" t="str">
        <x:v>Créer un signal de préparation propre à cette famille, un départ d’action et un impact ; afficher un équivalent visuel du signal hors champ.</x:v>
      </x:c>
      <x:c r="L30" s="7" t="str">
        <x:v>Prévu : fiche de données me3/enemies/geth-hunter ; rattacher les ressources et états cités à cet identifiant. Aucun fichier de jeu créé par ce catalogue.</x:v>
      </x:c>
      <x:c r="M30" s="7" t="str">
        <x:v>Arc geth, Armax ou multijoueur selon rencontre.</x:v>
      </x:c>
      <x:c r="N30" s="7" t="str">
        <x:v>Geth Hunter : la menace décrite est annoncée avant résolution ; tester une esquive, une interruption admise et une résistance refusée avec message explicite.</x:v>
      </x:c>
      <x:c r="O30" s="7" t="str"/>
      <x:c r="P30" s="7" t="str">
        <x:v>Geth Hunter</x:v>
      </x:c>
      <x:c r="Q30" s="7" t="str">
        <x:v>ME3-SRC-MARAUDER</x:v>
      </x:c>
      <x:c r="R30" s="7" t="str">
        <x:v>https://masseffect.fandom.com/wiki/Marauder</x:v>
      </x:c>
      <x:c r="S30" s="7" t="str">
        <x:v>Spécification à réaliser. Les champs adaptation, gameplay, visual, animation, audio et implementation décrivent le fan game ; ils ne donnent pas des caractéristiques officielles de l’œuvre.</x:v>
      </x:c>
    </x:row>
    <x:row r="31" ht="68" customHeight="1">
      <x:c r="A31" s="18" t="str">
        <x:v>ME3-ENM-GETH-PYRO</x:v>
      </x:c>
      <x:c r="B31" s="9" t="str">
        <x:v>Geth Pyro</x:v>
      </x:c>
      <x:c r="C31" s="15" t="str">
        <x:v>Défini</x:v>
      </x:c>
      <x:c r="D31" s="16" t="str">
        <x:v>Établi</x:v>
      </x:c>
      <x:c r="E31" s="16" t="str">
        <x:v>P1</x:v>
      </x:c>
      <x:c r="F31" s="9" t="str">
        <x:v>Unité geth incendiaire.</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Séparer anticipation et impact : Cône de feu court, rotation lente proposée ; flanquement et rupture de jet ouvrent une fenêtre de secours.</x:v>
      </x:c>
      <x:c r="K31" s="9" t="str">
        <x:v>Créer un signal de préparation propre à cette famille, un départ d’action et un impact ; afficher un équivalent visuel du signal hors champ.</x:v>
      </x:c>
      <x:c r="L31" s="9" t="str">
        <x:v>Prévu : fiche de données me3/enemies/geth-pyro ; rattacher les ressources et états cités à cet identifiant. Aucun fichier de jeu créé par ce catalogue.</x:v>
      </x:c>
      <x:c r="M31" s="9" t="str">
        <x:v>Arc geth, Armax ou multijoueur selon rencontre.</x:v>
      </x:c>
      <x:c r="N31" s="9" t="str">
        <x:v>Geth Pyro : la menace décrite est annoncée avant résolution ; tester une esquive, une interruption admise et une résistance refusée avec message explicite.</x:v>
      </x:c>
      <x:c r="O31" s="9" t="str"/>
      <x:c r="P31" s="9" t="str">
        <x:v>Geth Pyro</x:v>
      </x:c>
      <x:c r="Q31" s="9" t="str">
        <x:v>ME3-SRC-MARAUDER</x:v>
      </x:c>
      <x:c r="R31" s="9" t="str">
        <x:v>https://masseffect.fandom.com/wiki/Marauder</x:v>
      </x:c>
      <x:c r="S31" s="9" t="str">
        <x:v>Spécification à réaliser. Les champs adaptation, gameplay, visual, animation, audio et implementation décrivent le fan game ; ils ne donnent pas des caractéristiques officielles de l’œuvre.</x:v>
      </x:c>
    </x:row>
    <x:row r="32" ht="68" customHeight="1">
      <x:c r="A32" s="19" t="str">
        <x:v>ME3-ENM-GETH-PRIME</x:v>
      </x:c>
      <x:c r="B32" s="7" t="str">
        <x:v>Geth Prime</x:v>
      </x:c>
      <x:c r="C32" s="15" t="str">
        <x:v>Défini</x:v>
      </x:c>
      <x:c r="D32" s="17" t="str">
        <x:v>Établi</x:v>
      </x:c>
      <x:c r="E32" s="17" t="str">
        <x:v>P1</x:v>
      </x:c>
      <x:c r="F32" s="7" t="str">
        <x:v>Plateforme geth lourde.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Séparer anticipation et impact : Tir lourd et soutien de machines ; limites de créations actives pour conserver une arène lisible.</x:v>
      </x:c>
      <x:c r="K32" s="7" t="str">
        <x:v>Créer un signal de préparation propre à cette famille, un départ d’action et un impact ; afficher un équivalent visuel du signal hors champ.</x:v>
      </x:c>
      <x:c r="L32" s="7" t="str">
        <x:v>Prévu : fiche de données me3/enemies/geth-prime ; rattacher les ressources et états cités à cet identifiant. Aucun fichier de jeu créé par ce catalogue.</x:v>
      </x:c>
      <x:c r="M32" s="7" t="str">
        <x:v>Arc geth, Armax ou multijoueur selon rencontre.</x:v>
      </x:c>
      <x:c r="N32" s="7" t="str">
        <x:v>Geth Prime : la menace décrite est annoncée avant résolution ; tester une esquive, une interruption admise et une résistance refusée avec message explicite.</x:v>
      </x:c>
      <x:c r="O32" s="7" t="str"/>
      <x:c r="P32" s="7" t="str">
        <x:v>Geth Prime</x:v>
      </x:c>
      <x:c r="Q32" s="7" t="str">
        <x:v>ME3-SRC-MARAUDER</x:v>
      </x:c>
      <x:c r="R32" s="7" t="str">
        <x:v>https://masseffect.fandom.com/wiki/Marauder</x:v>
      </x:c>
      <x:c r="S32" s="7" t="str">
        <x:v>Spécification à réaliser. Les champs adaptation, gameplay, visual, animation, audio et implementation décrivent le fan game ; ils ne donnent pas des caractéristiques officielles de l’œuvre.</x:v>
      </x:c>
    </x:row>
    <x:row r="33" ht="68" customHeight="1">
      <x:c r="A33" s="18" t="str">
        <x:v>ME3-ENM-GETH-TURRET</x:v>
      </x:c>
      <x:c r="B33" s="9" t="str">
        <x:v>Tourelle geth</x:v>
      </x:c>
      <x:c r="C33" s="15" t="str">
        <x:v>Défini</x:v>
      </x:c>
      <x:c r="D33" s="16" t="str">
        <x:v>Établi</x:v>
      </x:c>
      <x:c r="E33" s="16" t="str">
        <x:v>P1</x:v>
      </x:c>
      <x:c r="F33" s="9" t="str">
        <x:v>Défense synthétique.</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Séparer anticipation et impact : Conserve l’orientation acquise pendant préparation ; pas de pivot instantané vers une cible hors de son arc.</x:v>
      </x:c>
      <x:c r="K33" s="9" t="str">
        <x:v>Créer un signal de préparation propre à cette famille, un départ d’action et un impact ; afficher un équivalent visuel du signal hors champ.</x:v>
      </x:c>
      <x:c r="L33" s="9" t="str">
        <x:v>Prévu : fiche de données me3/enemies/geth-turret ; rattacher les ressources et états cités à cet identifiant. Aucun fichier de jeu créé par ce catalogue.</x:v>
      </x:c>
      <x:c r="M33" s="9" t="str">
        <x:v>Rencontres et simulations compatibles.</x:v>
      </x:c>
      <x:c r="N33" s="9" t="str">
        <x:v>Tourelle geth : la menace décrite est annoncée avant résolution ; tester une esquive, une interruption admise et une résistance refusée avec message explicite.</x:v>
      </x:c>
      <x:c r="O33" s="9" t="str"/>
      <x:c r="P33" s="9" t="str">
        <x:v>Tourelle geth</x:v>
      </x:c>
      <x:c r="Q33" s="9" t="str">
        <x:v>ME3-SRC-MARAUDER</x:v>
      </x:c>
      <x:c r="R33" s="9" t="str">
        <x:v>https://masseffect.fandom.com/wiki/Marauder</x:v>
      </x:c>
      <x:c r="S33" s="9" t="str">
        <x:v>Spécification à réaliser. Les champs adaptation, gameplay, visual, animation, audio et implementation décrivent le fan game ; ils ne donnent pas des caractéristiques officielles de l’œuvre.</x:v>
      </x:c>
    </x:row>
    <x:row r="34" ht="68" customHeight="1">
      <x:c r="A34" s="19" t="str">
        <x:v>ME3-ENM-CAT6-MERC</x:v>
      </x:c>
      <x:c r="B34" s="7" t="str">
        <x:v>CAT6 Mercenary</x:v>
      </x:c>
      <x:c r="C34" s="15" t="str">
        <x:v>Défini</x:v>
      </x:c>
      <x:c r="D34" s="17" t="str">
        <x:v>Établi</x:v>
      </x:c>
      <x:c r="E34" s="17" t="str">
        <x:v>P1</x:v>
      </x:c>
      <x:c r="F34" s="7" t="str">
        <x:v>Mercenaire de Citadel.</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Séparer anticipation et impact : Rafale et grenade de délogement ; marquage d’équipe propre à CAT6 malgré gabarit humain partagé.</x:v>
      </x:c>
      <x:c r="K34" s="7" t="str">
        <x:v>Créer un signal de préparation propre à cette famille, un départ d’action et un impact ; afficher un équivalent visuel du signal hors champ.</x:v>
      </x:c>
      <x:c r="L34" s="7" t="str">
        <x:v>Prévu : fiche de données me3/enemies/cat6-merc ; rattacher les ressources et états cités à cet identifiant. Aucun fichier de jeu créé par ce catalogue.</x:v>
      </x:c>
      <x:c r="M34" s="7" t="str">
        <x:v>DLC Citadel / Armax.</x:v>
      </x:c>
      <x:c r="N34" s="7" t="str">
        <x:v>CAT6 Mercenary : la menace décrite est annoncée avant résolution ; tester une esquive, une interruption admise et une résistance refusée avec message explicite.</x:v>
      </x:c>
      <x:c r="O34" s="7" t="str"/>
      <x:c r="P34" s="7" t="str">
        <x:v>CAT6 Mercenary</x:v>
      </x:c>
      <x:c r="Q34" s="7" t="str">
        <x:v>ME3-SRC-CAT6</x:v>
      </x:c>
      <x:c r="R34" s="7" t="str">
        <x:v>https://masseffect.fandom.com/wiki/CAT6_Specialist</x:v>
      </x:c>
      <x:c r="S34" s="7" t="str">
        <x:v>Spécification à réaliser. Les champs adaptation, gameplay, visual, animation, audio et implementation décrivent le fan game ; ils ne donnent pas des caractéristiques officielles de l’œuvre.</x:v>
      </x:c>
    </x:row>
    <x:row r="35" ht="68" customHeight="1">
      <x:c r="A35" s="18" t="str">
        <x:v>ME3-ENM-CAT6-SPECIALIST</x:v>
      </x:c>
      <x:c r="B35" s="9" t="str">
        <x:v>CAT6 Specialist</x:v>
      </x:c>
      <x:c r="C35" s="15" t="str">
        <x:v>Défini</x:v>
      </x:c>
      <x:c r="D35" s="16" t="str">
        <x:v>Établi</x:v>
      </x:c>
      <x:c r="E35" s="16" t="str">
        <x:v>P1</x:v>
      </x:c>
      <x:c r="F35" s="9" t="str">
        <x:v>Technicien CAT6.</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Séparer anticipation et impact : Déploie un Disruption Drone ; un lien de commande discret facilite l’identification de la source.</x:v>
      </x:c>
      <x:c r="K35" s="9" t="str">
        <x:v>Créer un signal de préparation propre à cette famille, un départ d’action et un impact ; afficher un équivalent visuel du signal hors champ.</x:v>
      </x:c>
      <x:c r="L35" s="9" t="str">
        <x:v>Prévu : fiche de données me3/enemies/cat6-specialist ; rattacher les ressources et états cités à cet identifiant. Aucun fichier de jeu créé par ce catalogue.</x:v>
      </x:c>
      <x:c r="M35" s="9" t="str">
        <x:v>DLC Citadel.</x:v>
      </x:c>
      <x:c r="N35" s="9" t="str">
        <x:v>CAT6 Specialist : la menace décrite est annoncée avant résolution ; tester une esquive, une interruption admise et une résistance refusée avec message explicite.</x:v>
      </x:c>
      <x:c r="O35" s="9" t="str"/>
      <x:c r="P35" s="9" t="str">
        <x:v>CAT6 Specialist</x:v>
      </x:c>
      <x:c r="Q35" s="9" t="str">
        <x:v>ME3-SRC-CAT6</x:v>
      </x:c>
      <x:c r="R35" s="9" t="str">
        <x:v>https://masseffect.fandom.com/wiki/CAT6_Specialist</x:v>
      </x:c>
      <x:c r="S35" s="9" t="str">
        <x:v>Spécification à réaliser. Les champs adaptation, gameplay, visual, animation, audio et implementation décrivent le fan game ; ils ne donnent pas des caractéristiques officielles de l’œuvre.</x:v>
      </x:c>
    </x:row>
    <x:row r="36" ht="68" customHeight="1">
      <x:c r="A36" s="19" t="str">
        <x:v>ME3-ENM-CAT6-HEAVY</x:v>
      </x:c>
      <x:c r="B36" s="7" t="str">
        <x:v>CAT6 Heavy</x:v>
      </x:c>
      <x:c r="C36" s="15" t="str">
        <x:v>Défini</x:v>
      </x:c>
      <x:c r="D36" s="17" t="str">
        <x:v>Établi</x:v>
      </x:c>
      <x:c r="E36" s="17" t="str">
        <x:v>P1</x:v>
      </x:c>
      <x:c r="F36" s="7" t="str">
        <x:v>Unité CAT6 protégée.</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Séparer anticipation et impact : Avance avec protection frontale ; contourner ou interrompre la posture expose une fenêtre de tir.</x:v>
      </x:c>
      <x:c r="K36" s="7" t="str">
        <x:v>Créer un signal de préparation propre à cette famille, un départ d’action et un impact ; afficher un équivalent visuel du signal hors champ.</x:v>
      </x:c>
      <x:c r="L36" s="7" t="str">
        <x:v>Prévu : fiche de données me3/enemies/cat6-heavy ; rattacher les ressources et états cités à cet identifiant. Aucun fichier de jeu créé par ce catalogue.</x:v>
      </x:c>
      <x:c r="M36" s="7" t="str">
        <x:v>DLC Citadel.</x:v>
      </x:c>
      <x:c r="N36" s="7" t="str">
        <x:v>CAT6 Heavy : la menace décrite est annoncée avant résolution ; tester une esquive, une interruption admise et une résistance refusée avec message explicite.</x:v>
      </x:c>
      <x:c r="O36" s="7" t="str"/>
      <x:c r="P36" s="7" t="str">
        <x:v>CAT6 Heavy</x:v>
      </x:c>
      <x:c r="Q36" s="7" t="str">
        <x:v>ME3-SRC-CAT6</x:v>
      </x:c>
      <x:c r="R36" s="7" t="str">
        <x:v>https://masseffect.fandom.com/wiki/CAT6_Specialist</x:v>
      </x:c>
      <x:c r="S36" s="7" t="str">
        <x:v>Spécification à réaliser. Les champs adaptation, gameplay, visual, animation, audio et implementation décrivent le fan game ; ils ne donnent pas des caractéristiques officielles de l’œuvre.</x:v>
      </x:c>
    </x:row>
    <x:row r="37" ht="68" customHeight="1">
      <x:c r="A37" s="18" t="str">
        <x:v>ME3-ENM-DISRUPTION</x:v>
      </x:c>
      <x:c r="B37" s="9" t="str">
        <x:v>Disruption Drone</x:v>
      </x:c>
      <x:c r="C37" s="15" t="str">
        <x:v>Défini</x:v>
      </x:c>
      <x:c r="D37" s="16" t="str">
        <x:v>Établi</x:v>
      </x:c>
      <x:c r="E37" s="16" t="str">
        <x:v>P1</x:v>
      </x:c>
      <x:c r="F37" s="9" t="str">
        <x:v>Drone CAT6.</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Séparer anticipation et impact : Approche et perturbation locale ; zone de brouillage n’empêche jamais d’ouvrir le menu accessible.</x:v>
      </x:c>
      <x:c r="K37" s="9" t="str">
        <x:v>Créer un signal de préparation propre à cette famille, un départ d’action et un impact ; afficher un équivalent visuel du signal hors champ.</x:v>
      </x:c>
      <x:c r="L37" s="9" t="str">
        <x:v>Prévu : fiche de données me3/enemies/disruption ; rattacher les ressources et états cités à cet identifiant. Aucun fichier de jeu créé par ce catalogue.</x:v>
      </x:c>
      <x:c r="M37" s="9" t="str">
        <x:v>DLC Citadel.</x:v>
      </x:c>
      <x:c r="N37" s="9" t="str">
        <x:v>Disruption Drone : la menace décrite est annoncée avant résolution ; tester une esquive, une interruption admise et une résistance refusée avec message explicite.</x:v>
      </x:c>
      <x:c r="O37" s="9" t="str"/>
      <x:c r="P37" s="9" t="str">
        <x:v>Disruption Drone</x:v>
      </x:c>
      <x:c r="Q37" s="9" t="str">
        <x:v>ME3-SRC-CAT6</x:v>
      </x:c>
      <x:c r="R37" s="9" t="str">
        <x:v>https://masseffect.fandom.com/wiki/CAT6_Specialist</x:v>
      </x:c>
      <x:c r="S37" s="9" t="str">
        <x:v>Spécification à réaliser. Les champs adaptation, gameplay, visual, animation, audio et implementation décrivent le fan game ; ils ne donnent pas des caractéristiques officielles de l’œuvre.</x:v>
      </x:c>
    </x:row>
    <x:row r="38" ht="68" customHeight="1">
      <x:c r="A38" s="19" t="str">
        <x:v>ME3-ENM-CLONE</x:v>
      </x:c>
      <x:c r="B38" s="7" t="str">
        <x:v>Clone de Shepard</x:v>
      </x:c>
      <x:c r="C38" s="15" t="str">
        <x:v>Défini</x:v>
      </x:c>
      <x:c r="D38" s="17" t="str">
        <x:v>Établi</x:v>
      </x:c>
      <x:c r="E38" s="17" t="str">
        <x:v>P1</x:v>
      </x:c>
      <x:c r="F38" s="7" t="str">
        <x:v>Antagoniste de Citadel.</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Séparer anticipation et impact : Construire un miroir de la classe sélectionnée avec télégraphes propres ; ses soins et changements de phase sont visibles.</x:v>
      </x:c>
      <x:c r="K38" s="7" t="str">
        <x:v>Créer un signal de préparation propre à cette famille, un départ d’action et un impact ; afficher un équivalent visuel du signal hors champ.</x:v>
      </x:c>
      <x:c r="L38" s="7" t="str">
        <x:v>Prévu : fiche de données me3/enemies/clone ; rattacher les ressources et états cités à cet identifiant. Aucun fichier de jeu créé par ce catalogue.</x:v>
      </x:c>
      <x:c r="M38" s="7" t="str">
        <x:v>DLC Citadel ; classe du joueur prise en compte.</x:v>
      </x:c>
      <x:c r="N38" s="7" t="str">
        <x:v>Clone de Shepard : la menace décrite est annoncée avant résolution ; tester une esquive, une interruption admise et une résistance refusée avec message explicite.</x:v>
      </x:c>
      <x:c r="O38" s="7" t="str"/>
      <x:c r="P38" s="7" t="str">
        <x:v>Clone de Shepard</x:v>
      </x:c>
      <x:c r="Q38" s="7" t="str">
        <x:v>ME3-SRC-CLONE</x:v>
      </x:c>
      <x:c r="R38" s="7" t="str">
        <x:v>https://masseffect.fandom.com/wiki/Clone</x:v>
      </x:c>
      <x:c r="S38" s="7" t="str">
        <x:v>Spécification à réaliser. Les champs adaptation, gameplay, visual, animation, audio et implementation décrivent le fan game ; ils ne donnent pas des caractéristiques officielles de l’œuvre.</x:v>
      </x:c>
    </x:row>
    <x:row r="39" ht="68" customHeight="1">
      <x:c r="A39" s="18" t="str">
        <x:v>ME3-ENM-BROOKS</x:v>
      </x:c>
      <x:c r="B39" s="9" t="str">
        <x:v>Maya Brooks — combat</x:v>
      </x:c>
      <x:c r="C39" s="15" t="str">
        <x:v>Défini</x:v>
      </x:c>
      <x:c r="D39" s="16" t="str">
        <x:v>Établi</x:v>
      </x:c>
      <x:c r="E39" s="16" t="str">
        <x:v>P1</x:v>
      </x:c>
      <x:c r="F39" s="9" t="str">
        <x:v>Antagoniste de Citadel.</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Séparer anticipation et impact : Tir de soutien pendant duel du clone ; la cibler interrompt son appui sans faire disparaître la scène de reddition.</x:v>
      </x:c>
      <x:c r="K39" s="9" t="str">
        <x:v>Créer un signal de préparation propre à cette famille, un départ d’action et un impact ; afficher un équivalent visuel du signal hors champ.</x:v>
      </x:c>
      <x:c r="L39" s="9" t="str">
        <x:v>Prévu : fiche de données me3/enemies/brooks ; rattacher les ressources et états cités à cet identifiant. Aucun fichier de jeu créé par ce catalogue.</x:v>
      </x:c>
      <x:c r="M39" s="9" t="str">
        <x:v>DLC Citadel.</x:v>
      </x:c>
      <x:c r="N39" s="9" t="str">
        <x:v>Maya Brooks — combat : la menace décrite est annoncée avant résolution ; tester une esquive, une interruption admise et une résistance refusée avec message explicite.</x:v>
      </x:c>
      <x:c r="O39" s="9" t="str"/>
      <x:c r="P39" s="9" t="str">
        <x:v>Maya Brooks — combat</x:v>
      </x:c>
      <x:c r="Q39" s="9" t="str">
        <x:v>ME3-SRC-BROOKS</x:v>
      </x:c>
      <x:c r="R39" s="9" t="str">
        <x:v>https://masseffect.fandom.com/wiki/Brooks</x:v>
      </x:c>
      <x:c r="S39" s="9" t="str">
        <x:v>Spécification à réaliser. Les champs adaptation, gameplay, visual, animation, audio et implementation décrivent le fan game ; ils ne donnent pas des caractéristiques officielles de l’œuvre.</x:v>
      </x:c>
    </x:row>
    <x:row r="40" ht="68" customHeight="1">
      <x:c r="A40" s="19" t="str">
        <x:v>ME3-ENM-COLLECTOR-TROOPER</x:v>
      </x:c>
      <x:c r="B40" s="7" t="str">
        <x:v>Collector Trooper — simulation / multi</x:v>
      </x:c>
      <x:c r="C40" s="15" t="str">
        <x:v>Défini</x:v>
      </x:c>
      <x:c r="D40" s="17" t="str">
        <x:v>Établi</x:v>
      </x:c>
      <x:c r="E40" s="17" t="str">
        <x:v>P1</x:v>
      </x:c>
      <x:c r="F40" s="7" t="str">
        <x:v>Les Récolteurs figurent dans Retaliation.</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Séparer anticipation et impact : Tir en couverture avec possible possession de vague ; aucune présence réelle ajoutée à l’histoire ME3.</x:v>
      </x:c>
      <x:c r="K40" s="7" t="str">
        <x:v>Créer un signal de préparation propre à cette famille, un départ d’action et un impact ; afficher un équivalent visuel du signal hors champ.</x:v>
      </x:c>
      <x:c r="L40" s="7" t="str">
        <x:v>Prévu : fiche de données me3/enemies/collector-trooper ; rattacher les ressources et états cités à cet identifiant. Aucun fichier de jeu créé par ce catalogue.</x:v>
      </x:c>
      <x:c r="M40" s="7" t="str">
        <x:v>Multijoueur Retaliation ou simulation Armax uniquement.</x:v>
      </x:c>
      <x:c r="N40" s="7" t="str">
        <x:v>Collector Trooper — simulation / multi : la menace décrite est annoncée avant résolution ; tester une esquive, une interruption admise et une résistance refusée avec message explicite.</x:v>
      </x:c>
      <x:c r="O40" s="7" t="str"/>
      <x:c r="P40" s="7" t="str">
        <x:v>Collector Trooper — simulation / multi</x:v>
      </x:c>
      <x:c r="Q40" s="7" t="str">
        <x:v>ME3-SRC-MP</x:v>
      </x:c>
      <x:c r="R40" s="7" t="str">
        <x:v>https://masseffect.fandom.com/wiki/Mass_Effect_3_Multiplayer</x:v>
      </x:c>
      <x:c r="S40" s="7" t="str">
        <x:v>Spécification à réaliser. Les champs adaptation, gameplay, visual, animation, audio et implementation décrivent le fan game ; ils ne donnent pas des caractéristiques officielles de l’œuvre.</x:v>
      </x:c>
    </x:row>
    <x:row r="41" ht="68" customHeight="1">
      <x:c r="A41" s="18" t="str">
        <x:v>ME3-ENM-COLLECTOR-CAPTAIN</x:v>
      </x:c>
      <x:c r="B41" s="9" t="str">
        <x:v>Collector Captain — simulation / multi</x:v>
      </x:c>
      <x:c r="C41" s="15" t="str">
        <x:v>Défini</x:v>
      </x:c>
      <x:c r="D41" s="16" t="str">
        <x:v>Établi</x:v>
      </x:c>
      <x:c r="E41" s="16" t="str">
        <x:v>P1</x:v>
      </x:c>
      <x:c r="F41" s="9" t="str">
        <x:v>Unité du module Récolteurs.</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Séparer anticipation et impact : Soutien de groupe et harcèlement ; possession signalée par transformation d’aura et priorité tactique.</x:v>
      </x:c>
      <x:c r="K41" s="9" t="str">
        <x:v>Créer un signal de préparation propre à cette famille, un départ d’action et un impact ; afficher un équivalent visuel du signal hors champ.</x:v>
      </x:c>
      <x:c r="L41" s="9" t="str">
        <x:v>Prévu : fiche de données me3/enemies/collector-captain ; rattacher les ressources et états cités à cet identifiant. Aucun fichier de jeu créé par ce catalogue.</x:v>
      </x:c>
      <x:c r="M41" s="9" t="str">
        <x:v>Multijoueur Retaliation / simulations prévues.</x:v>
      </x:c>
      <x:c r="N41" s="9" t="str">
        <x:v>Collector Captain — simulation / multi : la menace décrite est annoncée avant résolution ; tester une esquive, une interruption admise et une résistance refusée avec message explicite.</x:v>
      </x:c>
      <x:c r="O41" s="9" t="str"/>
      <x:c r="P41" s="9" t="str">
        <x:v>Collector Captain — simulation / multi</x:v>
      </x:c>
      <x:c r="Q41" s="9" t="str">
        <x:v>ME3-SRC-MP</x:v>
      </x:c>
      <x:c r="R41" s="9" t="str">
        <x:v>https://masseffect.fandom.com/wiki/Mass_Effect_3_Multiplayer</x:v>
      </x:c>
      <x:c r="S41" s="9" t="str">
        <x:v>Spécification à réaliser. Les champs adaptation, gameplay, visual, animation, audio et implementation décrivent le fan game ; ils ne donnent pas des caractéristiques officielles de l’œuvre.</x:v>
      </x:c>
    </x:row>
    <x:row r="42" ht="68" customHeight="1">
      <x:c r="A42" s="19" t="str">
        <x:v>ME3-ENM-ABOMINATION</x:v>
      </x:c>
      <x:c r="B42" s="7" t="str">
        <x:v>Abomination — simulation / multi</x:v>
      </x:c>
      <x:c r="C42" s="15" t="str">
        <x:v>Défini</x:v>
      </x:c>
      <x:c r="D42" s="17" t="str">
        <x:v>Établi</x:v>
      </x:c>
      <x:c r="E42" s="17" t="str">
        <x:v>P1</x:v>
      </x:c>
      <x:c r="F42" s="7" t="str">
        <x:v>Unité explosive des Récolteurs.</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Séparer anticipation et impact : Course puis explosion avec zone d’évacuation ; distinguer cadavre inerte et charge encore active.</x:v>
      </x:c>
      <x:c r="K42" s="7" t="str">
        <x:v>Créer un signal de préparation propre à cette famille, un départ d’action et un impact ; afficher un équivalent visuel du signal hors champ.</x:v>
      </x:c>
      <x:c r="L42" s="7" t="str">
        <x:v>Prévu : fiche de données me3/enemies/abomination ; rattacher les ressources et états cités à cet identifiant. Aucun fichier de jeu créé par ce catalogue.</x:v>
      </x:c>
      <x:c r="M42" s="7" t="str">
        <x:v>Multijoueur Retaliation / simulations prévues.</x:v>
      </x:c>
      <x:c r="N42" s="7" t="str">
        <x:v>Abomination — simulation / multi : la menace décrite est annoncée avant résolution ; tester une esquive, une interruption admise et une résistance refusée avec message explicite.</x:v>
      </x:c>
      <x:c r="O42" s="7" t="str"/>
      <x:c r="P42" s="7" t="str">
        <x:v>Abomination — simulation / multi</x:v>
      </x:c>
      <x:c r="Q42" s="7" t="str">
        <x:v>ME3-SRC-MP</x:v>
      </x:c>
      <x:c r="R42" s="7" t="str">
        <x:v>https://masseffect.fandom.com/wiki/Mass_Effect_3_Multiplayer</x:v>
      </x:c>
      <x:c r="S42" s="7" t="str">
        <x:v>Spécification à réaliser. Les champs adaptation, gameplay, visual, animation, audio et implementation décrivent le fan game ; ils ne donnent pas des caractéristiques officielles de l’œuvre.</x:v>
      </x:c>
    </x:row>
    <x:row r="43" ht="68" customHeight="1">
      <x:c r="A43" s="18" t="str">
        <x:v>ME3-ENM-SCION</x:v>
      </x:c>
      <x:c r="B43" s="9" t="str">
        <x:v>Scion — simulation / multi</x:v>
      </x:c>
      <x:c r="C43" s="15" t="str">
        <x:v>Défini</x:v>
      </x:c>
      <x:c r="D43" s="16" t="str">
        <x:v>Établi</x:v>
      </x:c>
      <x:c r="E43" s="16" t="str">
        <x:v>P1</x:v>
      </x:c>
      <x:c r="F43" s="9" t="str">
        <x:v>Unité lourde des Récolteurs.</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Séparer anticipation et impact : Onde linéaire et attaque proche ; origine du cône et fenêtre de sortie visibles depuis toute caméra.</x:v>
      </x:c>
      <x:c r="K43" s="9" t="str">
        <x:v>Créer un signal de préparation propre à cette famille, un départ d’action et un impact ; afficher un équivalent visuel du signal hors champ.</x:v>
      </x:c>
      <x:c r="L43" s="9" t="str">
        <x:v>Prévu : fiche de données me3/enemies/scion ; rattacher les ressources et états cités à cet identifiant. Aucun fichier de jeu créé par ce catalogue.</x:v>
      </x:c>
      <x:c r="M43" s="9" t="str">
        <x:v>Multijoueur Retaliation / simulations prévues.</x:v>
      </x:c>
      <x:c r="N43" s="9" t="str">
        <x:v>Scion — simulation / multi : la menace décrite est annoncée avant résolution ; tester une esquive, une interruption admise et une résistance refusée avec message explicite.</x:v>
      </x:c>
      <x:c r="O43" s="9" t="str"/>
      <x:c r="P43" s="9" t="str">
        <x:v>Scion — simulation / multi</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ME3-ENM-PRAETORIAN</x:v>
      </x:c>
      <x:c r="B44" s="7" t="str">
        <x:v>Praetorian — simulation / multi</x:v>
      </x:c>
      <x:c r="C44" s="15" t="str">
        <x:v>Défini</x:v>
      </x:c>
      <x:c r="D44" s="17" t="str">
        <x:v>Établi</x:v>
      </x:c>
      <x:c r="E44" s="17" t="str">
        <x:v>P1</x:v>
      </x:c>
      <x:c r="F44" s="7" t="str">
        <x:v>Unité lourde volante des Récolteurs.</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Séparer anticipation et impact : Descente de protection puis rayons ; zones sûres indépendantes de sa grande image en surplomb.</x:v>
      </x:c>
      <x:c r="K44" s="7" t="str">
        <x:v>Créer un signal de préparation propre à cette famille, un départ d’action et un impact ; afficher un équivalent visuel du signal hors champ.</x:v>
      </x:c>
      <x:c r="L44" s="7" t="str">
        <x:v>Prévu : fiche de données me3/enemies/praetorian ; rattacher les ressources et états cités à cet identifiant. Aucun fichier de jeu créé par ce catalogue.</x:v>
      </x:c>
      <x:c r="M44" s="7" t="str">
        <x:v>Multijoueur Retaliation / simulations prévues.</x:v>
      </x:c>
      <x:c r="N44" s="7" t="str">
        <x:v>Praetorian — simulation / multi : la menace décrite est annoncée avant résolution ; tester une esquive, une interruption admise et une résistance refusée avec message explicite.</x:v>
      </x:c>
      <x:c r="O44" s="7" t="str"/>
      <x:c r="P44" s="7" t="str">
        <x:v>Praetorian — simulation / multi</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ME3-ENM-DRAGOON</x:v>
      </x:c>
      <x:c r="B45" s="9" t="str">
        <x:v>Cerberus Dragoon — multi</x:v>
      </x:c>
      <x:c r="C45" s="15" t="str">
        <x:v>Défini</x:v>
      </x:c>
      <x:c r="D45" s="16" t="str">
        <x:v>Établi</x:v>
      </x:c>
      <x:c r="E45" s="16" t="str">
        <x:v>P1</x:v>
      </x:c>
      <x:c r="F45" s="9" t="str">
        <x:v>Unité Cerberus du multijoueur.</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Séparer anticipation et impact : Rush et combo rapproché séparés par une préparation ; le groupe peut rompre l’approche.</x:v>
      </x:c>
      <x:c r="K45" s="9" t="str">
        <x:v>Créer un signal de préparation propre à cette famille, un départ d’action et un impact ; afficher un équivalent visuel du signal hors champ.</x:v>
      </x:c>
      <x:c r="L45" s="9" t="str">
        <x:v>Prévu : fiche de données me3/enemies/dragoon ; rattacher les ressources et états cités à cet identifiant. Aucun fichier de jeu créé par ce catalogue.</x:v>
      </x:c>
      <x:c r="M45" s="9" t="str">
        <x:v>Multijoueur Retaliation ; absence de campagne imposée.</x:v>
      </x:c>
      <x:c r="N45" s="9" t="str">
        <x:v>Cerberus Dragoon — multi : la menace décrite est annoncée avant résolution ; tester une esquive, une interruption admise et une résistance refusée avec message explicite.</x:v>
      </x:c>
      <x:c r="O45" s="9" t="str"/>
      <x:c r="P45" s="9" t="str">
        <x:v>Cerberus Dragoon — multi</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2" priority="1" operator="equal">
      <x:formula>"À vérifier"</x:formula>
    </x:cfRule>
    <x:cfRule type="cellIs" dxfId="33" priority="2" operator="equal">
      <x:formula>"Extrapolation"</x:formula>
    </x:cfRule>
  </x:conditionalFormatting>
  <x:conditionalFormatting sqref="C7:C45">
    <x:cfRule type="cellIs" dxfId="34" priority="3" operator="equal">
      <x:formula>"Validé"</x:formula>
    </x:cfRule>
  </x:conditionalFormatting>
  <x:conditionalFormatting sqref="E7:E45">
    <x:cfRule type="cellIs" dxfId="3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9efdb90c18db4813"/>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3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ME3-MQ-EARTH-PROLOGUE</x:v>
      </x:c>
      <x:c r="B7" s="9" t="str">
        <x:v>Prologue: Earth</x:v>
      </x:c>
      <x:c r="C7" s="15" t="str">
        <x:v>Défini</x:v>
      </x:c>
      <x:c r="D7" s="16" t="str">
        <x:v>Établi</x:v>
      </x:c>
      <x:c r="E7" s="16" t="str">
        <x:v>P0</x:v>
      </x:c>
      <x:c r="F7" s="9" t="str">
        <x:v>La Terre est envahie.</x:v>
      </x:c>
      <x:c r="G7" s="9" t="str">
        <x:v>Évacuation tutorielle avec Anderson ; progression entre ruines et attente d’extraction.</x:v>
      </x:c>
      <x:c r="H7" s="9" t="str">
        <x:v>Évacuation tutorielle avec Anderson ; progression entre ruines et attente d’extraction.</x:v>
      </x:c>
      <x:c r="I7" s="9" t="str">
        <x:v>Ville détruite, bâtiments militaires et Moissonneur lointain.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me3/main_quests/earth-prologue ; rattacher les ressources et états cités à cet identifiant. Aucun fichier de jeu créé par ce catalogue.</x:v>
      </x:c>
      <x:c r="M7" s="9" t="str"/>
      <x:c r="N7" s="9" t="str">
        <x:v>Le livrable « Prologue: Earth » possède une scène ou un scénario de contrôle ; ses règles proposées, ses conditions et ses retours visuels sont vérifiables séparément.</x:v>
      </x:c>
      <x:c r="O7" s="9" t="str"/>
      <x:c r="P7" s="9" t="str">
        <x:v>Prologue: Earth</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ME3-MQ-MARS</x:v>
      </x:c>
      <x:c r="B8" s="7" t="str">
        <x:v>Priority: Mars</x:v>
      </x:c>
      <x:c r="C8" s="15" t="str">
        <x:v>Défini</x:v>
      </x:c>
      <x:c r="D8" s="17" t="str">
        <x:v>Établi</x:v>
      </x:c>
      <x:c r="E8" s="17" t="str">
        <x:v>P0</x:v>
      </x:c>
      <x:c r="F8" s="7" t="str">
        <x:v>Liara recherche les données du Creuset.</x:v>
      </x:c>
      <x:c r="G8" s="7" t="str">
        <x:v>Archives enneigées, train et poursuite d’Eva ; apprendre combos et objectifs au milieu de Cerberus.</x:v>
      </x:c>
      <x:c r="H8" s="7" t="str">
        <x:v>Archives enneigées, train et poursuite d’Eva ; apprendre combos et objectifs au milieu de Cerberus.</x:v>
      </x:c>
      <x:c r="I8" s="7" t="str">
        <x:v>Rouge martien, laboratoires blancs et neige.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me3/main_quests/mars ; rattacher les ressources et états cités à cet identifiant. Aucun fichier de jeu créé par ce catalogue.</x:v>
      </x:c>
      <x:c r="M8" s="7" t="str"/>
      <x:c r="N8" s="7" t="str">
        <x:v>Le livrable « Priority: Mars » possède une scène ou un scénario de contrôle ; ses règles proposées, ses conditions et ses retours visuels sont vérifiables séparément.</x:v>
      </x:c>
      <x:c r="O8" s="7" t="str"/>
      <x:c r="P8" s="7" t="str">
        <x:v>Priority: 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ME3-MQ-CITADEL1</x:v>
      </x:c>
      <x:c r="B9" s="9" t="str">
        <x:v>Priority: The Citadel I</x:v>
      </x:c>
      <x:c r="C9" s="15" t="str">
        <x:v>Défini</x:v>
      </x:c>
      <x:c r="D9" s="16" t="str">
        <x:v>Établi</x:v>
      </x:c>
      <x:c r="E9" s="16" t="str">
        <x:v>P0</x:v>
      </x:c>
      <x:c r="F9" s="9" t="str">
        <x:v>Shepard cherche des alliances.</x:v>
      </x:c>
      <x:c r="G9" s="9" t="str">
        <x:v>Hub politique et hôpital ; nouveaux contacts clairement repérés sans combat.</x:v>
      </x:c>
      <x:c r="H9" s="9" t="str">
        <x:v>Hub politique et hôpital ; nouveaux contacts clairement repérés sans combat.</x:v>
      </x:c>
      <x:c r="I9" s="9" t="str">
        <x:v>Ambassades, hôpital et docks.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me3/main_quests/citadel1 ; rattacher les ressources et états cités à cet identifiant. Aucun fichier de jeu créé par ce catalogue.</x:v>
      </x:c>
      <x:c r="M9" s="9" t="str"/>
      <x:c r="N9" s="9" t="str">
        <x:v>Le livrable « Priority: The Citadel I » possède une scène ou un scénario de contrôle ; ses règles proposées, ses conditions et ses retours visuels sont vérifiables séparément.</x:v>
      </x:c>
      <x:c r="O9" s="9" t="str"/>
      <x:c r="P9" s="9" t="str">
        <x:v>Priority: The Citadel I</x:v>
      </x:c>
      <x:c r="Q9" s="9" t="str">
        <x:v>ME3-SRC-GUIDE</x:v>
      </x:c>
      <x:c r="R9" s="9" t="str">
        <x:v>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ME3-MQ-PALAVEN</x:v>
      </x:c>
      <x:c r="B10" s="7" t="str">
        <x:v>Priority: Palaven</x:v>
      </x:c>
      <x:c r="C10" s="15" t="str">
        <x:v>Défini</x:v>
      </x:c>
      <x:c r="D10" s="17" t="str">
        <x:v>Établi</x:v>
      </x:c>
      <x:c r="E10" s="17" t="str">
        <x:v>P0</x:v>
      </x:c>
      <x:c r="F10" s="7" t="str">
        <x:v>Un primarque turien doit être retrouvé.</x:v>
      </x:c>
      <x:c r="G10" s="7" t="str">
        <x:v>Mission sur Menae : défendre les positions, retrouver Victus et repousser la pression au sol.</x:v>
      </x:c>
      <x:c r="H10" s="7" t="str">
        <x:v>Mission sur Menae : défendre les positions, retrouver Victus et repousser la pression au sol.</x:v>
      </x:c>
      <x:c r="I10" s="7" t="str">
        <x:v>Lune en guerre, ciel de Palaven embrasé et barricades.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me3/main_quests/palaven ; rattacher les ressources et états cités à cet identifiant. Aucun fichier de jeu créé par ce catalogue.</x:v>
      </x:c>
      <x:c r="M10" s="7" t="str"/>
      <x:c r="N10" s="7" t="str">
        <x:v>Le livrable « Priority: Palaven » possède une scène ou un scénario de contrôle ; ses règles proposées, ses conditions et ses retours visuels sont vérifiables séparément.</x:v>
      </x:c>
      <x:c r="O10" s="7" t="str"/>
      <x:c r="P10" s="7" t="str">
        <x:v>Priority: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ME3-MQ-SURKESH</x:v>
      </x:c>
      <x:c r="B11" s="9" t="str">
        <x:v>Priority: Sur’Kesh</x:v>
      </x:c>
      <x:c r="C11" s="15" t="str">
        <x:v>Défini</x:v>
      </x:c>
      <x:c r="D11" s="16" t="str">
        <x:v>Établi</x:v>
      </x:c>
      <x:c r="E11" s="16" t="str">
        <x:v>P0</x:v>
      </x:c>
      <x:c r="F11" s="9" t="str">
        <x:v>Une krogan est évacuée sous attaque.</x:v>
      </x:c>
      <x:c r="G11" s="9" t="str">
        <x:v>Escorte d’une capsule d’un étage à l’autre ; menaces alternées et réparations exposées.</x:v>
      </x:c>
      <x:c r="H11" s="9" t="str">
        <x:v>Escorte d’une capsule d’un étage à l’autre ; menaces alternées et réparations exposées.</x:v>
      </x:c>
      <x:c r="I11" s="9" t="str">
        <x:v>Laboratoire galarien, jungle et ascenseurs.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me3/main_quests/surkesh ; rattacher les ressources et états cités à cet identifiant. Aucun fichier de jeu créé par ce catalogue.</x:v>
      </x:c>
      <x:c r="M11" s="9" t="str"/>
      <x:c r="N11" s="9" t="str">
        <x:v>Le livrable « Priority: Sur’Kesh » possède une scène ou un scénario de contrôle ; ses règles proposées, ses conditions et ses retours visuels sont vérifiables séparément.</x:v>
      </x:c>
      <x:c r="O11" s="9" t="str"/>
      <x:c r="P11" s="9" t="str">
        <x:v>Priority: 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82" customHeight="1">
      <x:c r="A12" s="19" t="str">
        <x:v>ME3-MQ-TUCHANKA</x:v>
      </x:c>
      <x:c r="B12" s="7" t="str">
        <x:v>Priority: Tuchanka</x:v>
      </x:c>
      <x:c r="C12" s="15" t="str">
        <x:v>Défini</x:v>
      </x:c>
      <x:c r="D12" s="17" t="str">
        <x:v>Établi</x:v>
      </x:c>
      <x:c r="E12" s="17" t="str">
        <x:v>P0</x:v>
      </x:c>
      <x:c r="F12" s="7" t="str">
        <x:v>Le remède du génophage est en jeu.</x:v>
      </x:c>
      <x:c r="G12" s="7" t="str">
        <x:v>Ruines, convois et route vers le Shroud ; choix du sabotage résolu après les attaques du Moissonneur.</x:v>
      </x:c>
      <x:c r="H12" s="7" t="str">
        <x:v>Ruines, convois et route vers le Shroud ; choix du sabotage résolu après les attaques du Moissonneur.</x:v>
      </x:c>
      <x:c r="I12" s="7" t="str">
        <x:v>Architecture krogan, Kalros et tour atmosphérique.</x:v>
      </x:c>
      <x:c r="J12" s="7" t="str">
        <x:v>Prévoir chaque variante de scène comme état nommé ; lecture, interruption et saut appliquent exactement les mêmes décisions et positions finales. Architecture krogan, Kalros et tour atmosphérique.</x:v>
      </x:c>
      <x:c r="K12" s="7" t="str">
        <x:v>Dialogues originaux enregistrés par branche, nom du locuteur et sous-titres ; couper les répliques de personnages absents avant mixage, préserver les alertes utiles pendant les transitions.</x:v>
      </x:c>
      <x:c r="L12" s="7" t="str">
        <x:v>Prévu : fiche de données me3/main_quests/tuchanka ; rattacher les ressources et états cités à cet identifiant. Aucun fichier de jeu créé par ce catalogue.</x:v>
      </x:c>
      <x:c r="M12" s="7" t="str"/>
      <x:c r="N12" s="7" t="str">
        <x:v>Chaque branche de cure/sabotage charge le bon scientifique, le bon dirigeant et le bon état d’Eve ; la tour, le journal, les forces de guerre et les entretiens suivants donnent le même résultat. Aucune branche de survie de Mordin sans prérequis vérifiés.</x:v>
      </x:c>
      <x:c r="O12" s="7" t="str"/>
      <x:c r="P12" s="7" t="str">
        <x:v>Priority: Tuchanka</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ME3-MQ-CITADEL2</x:v>
      </x:c>
      <x:c r="B13" s="9" t="str">
        <x:v>Priority: The Citadel II</x:v>
      </x:c>
      <x:c r="C13" s="15" t="str">
        <x:v>Défini</x:v>
      </x:c>
      <x:c r="D13" s="16" t="str">
        <x:v>Établi</x:v>
      </x:c>
      <x:c r="E13" s="16" t="str">
        <x:v>P0</x:v>
      </x:c>
      <x:c r="F13" s="9" t="str">
        <x:v>Cerberus attaque la Citadelle.</x:v>
      </x:c>
      <x:c r="G13" s="9" t="str">
        <x:v>Progression C-Sec, poursuite et face-à-face politique ; dialogue du survivant de Virmire reste une étape séparée.</x:v>
      </x:c>
      <x:c r="H13" s="9" t="str">
        <x:v>Progression C-Sec, poursuite et face-à-face politique ; dialogue du survivant de Virmire reste une étape séparée.</x:v>
      </x:c>
      <x:c r="I13" s="9" t="str">
        <x:v>Docks, rues et ascenseur diplomatique.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me3/main_quests/citadel2 ; rattacher les ressources et états cités à cet identifiant. Aucun fichier de jeu créé par ce catalogue.</x:v>
      </x:c>
      <x:c r="M13" s="9" t="str"/>
      <x:c r="N13" s="9" t="str">
        <x:v>Le livrable « Priority: The Citadel II » possède une scène ou un scénario de contrôle ; ses règles proposées, ses conditions et ses retours visuels sont vérifiables séparément.</x:v>
      </x:c>
      <x:c r="O13" s="9" t="str"/>
      <x:c r="P13" s="9" t="str">
        <x:v>Priority: The Citadel II</x:v>
      </x:c>
      <x:c r="Q13" s="9" t="str">
        <x:v>ME3-SRC-CITADEL2</x:v>
      </x:c>
      <x:c r="R13" s="9" t="str">
        <x:v>https://masseffect.fandom.com/wiki/Priority%3A_The_Citadel_II</x:v>
      </x:c>
      <x:c r="S13" s="9" t="str">
        <x:v>Spécification à réaliser. Les champs adaptation, gameplay, visual, animation, audio et implementation décrivent le fan game ; ils ne donnent pas des caractéristiques officielles de l’œuvre.</x:v>
      </x:c>
    </x:row>
    <x:row r="14" ht="68" customHeight="1">
      <x:c r="A14" s="19" t="str">
        <x:v>ME3-MQ-PERSEUS</x:v>
      </x:c>
      <x:c r="B14" s="7" t="str">
        <x:v>Priority: Perseus Veil</x:v>
      </x:c>
      <x:c r="C14" s="15" t="str">
        <x:v>Défini</x:v>
      </x:c>
      <x:c r="D14" s="17" t="str">
        <x:v>Établi</x:v>
      </x:c>
      <x:c r="E14" s="17" t="str">
        <x:v>P0</x:v>
      </x:c>
      <x:c r="F14" s="7" t="str">
        <x:v>La campagne rejoint le conflit quarian/geth.</x:v>
      </x:c>
      <x:c r="G14" s="7" t="str">
        <x:v>Sommet de flotte en zone sûre ; préparer les règles du cuirassé et restaurer les contacts conditionnels.</x:v>
      </x:c>
      <x:c r="H14" s="7" t="str">
        <x:v>Sommet de flotte en zone sûre ; préparer les règles du cuirassé et restaurer les contacts conditionnels.</x:v>
      </x:c>
      <x:c r="I14" s="7" t="str">
        <x:v>Hologrammes d’amiraux et vaisseaux.</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me3/main_quests/perseus ; rattacher les ressources et états cités à cet identifiant. Aucun fichier de jeu créé par ce catalogue.</x:v>
      </x:c>
      <x:c r="M14" s="7" t="str"/>
      <x:c r="N14" s="7" t="str">
        <x:v>Le livrable « Priority: Perseus Veil » possède une scène ou un scénario de contrôle ; ses règles proposées, ses conditions et ses retours visuels sont vérifiables séparément.</x:v>
      </x:c>
      <x:c r="O14" s="7" t="str"/>
      <x:c r="P14" s="7" t="str">
        <x:v>Priority: Perseus Veil</x:v>
      </x:c>
      <x:c r="Q14" s="7" t="str">
        <x:v>ME3-SRC-MISSIONS</x:v>
      </x:c>
      <x:c r="R14" s="7" t="str">
        <x:v>https://masseffect.fandom.com/wiki/Missions</x:v>
      </x:c>
      <x:c r="S14" s="7" t="str">
        <x:v>Spécification à réaliser. Les champs adaptation, gameplay, visual, animation, audio et implementation décrivent le fan game ; ils ne donnent pas des caractéristiques officielles de l’œuvre.</x:v>
      </x:c>
    </x:row>
    <x:row r="15" ht="68" customHeight="1">
      <x:c r="A15" s="18" t="str">
        <x:v>ME3-MQ-DREADNOUGHT</x:v>
      </x:c>
      <x:c r="B15" s="9" t="str">
        <x:v>Priority: Geth Dreadnought</x:v>
      </x:c>
      <x:c r="C15" s="15" t="str">
        <x:v>Défini</x:v>
      </x:c>
      <x:c r="D15" s="16" t="str">
        <x:v>Établi</x:v>
      </x:c>
      <x:c r="E15" s="16" t="str">
        <x:v>P0</x:v>
      </x:c>
      <x:c r="F15" s="9" t="str">
        <x:v>Le cuirassé geth est une cible majeure.</x:v>
      </x:c>
      <x:c r="G15" s="9" t="str">
        <x:v>Avancer dans une structure à impulsions ; libérer l’interlocuteur geth et planifier l’évasion.</x:v>
      </x:c>
      <x:c r="H15" s="9" t="str">
        <x:v>Avancer dans une structure à impulsions ; libérer l’interlocuteur geth et planifier l’évasion.</x:v>
      </x:c>
      <x:c r="I15" s="9" t="str">
        <x:v>Canon central, réseaux geth et couloir sous tension.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me3/main_quests/dreadnought ; rattacher les ressources et états cités à cet identifiant. Aucun fichier de jeu créé par ce catalogue.</x:v>
      </x:c>
      <x:c r="M15" s="9" t="str"/>
      <x:c r="N15" s="9" t="str">
        <x:v>Le livrable « Priority: Geth Dreadnought » possède une scène ou un scénario de contrôle ; ses règles proposées, ses conditions et ses retours visuels sont vérifiables séparément.</x:v>
      </x:c>
      <x:c r="O15" s="9" t="str"/>
      <x:c r="P15" s="9" t="str">
        <x:v>Priority: Geth Dreadnought</x:v>
      </x:c>
      <x:c r="Q15" s="9" t="str">
        <x:v>ME3-SRC-MISSIONS</x:v>
      </x:c>
      <x:c r="R15" s="9" t="str">
        <x:v>https://masseffect.fandom.com/wiki/Missions</x:v>
      </x:c>
      <x:c r="S15" s="9" t="str">
        <x:v>Spécification à réaliser. Les champs adaptation, gameplay, visual, animation, audio et implementation décrivent le fan game ; ils ne donnent pas des caractéristiques officielles de l’œuvre.</x:v>
      </x:c>
    </x:row>
    <x:row r="16" ht="82" customHeight="1">
      <x:c r="A16" s="19" t="str">
        <x:v>ME3-MQ-RANNOCH</x:v>
      </x:c>
      <x:c r="B16" s="7" t="str">
        <x:v>Priority: Rannoch</x:v>
      </x:c>
      <x:c r="C16" s="15" t="str">
        <x:v>Défini</x:v>
      </x:c>
      <x:c r="D16" s="17" t="str">
        <x:v>Établi</x:v>
      </x:c>
      <x:c r="E16" s="17" t="str">
        <x:v>P0</x:v>
      </x:c>
      <x:c r="F16" s="7" t="str">
        <x:v>Le conflit geth/quarian arrive à son choix.</x:v>
      </x:c>
      <x:c r="G16" s="7" t="str">
        <x:v>Assaut terrestre puis désignation du Moissonneur ; négociation finale séparée des réflexes de visée.</x:v>
      </x:c>
      <x:c r="H16" s="7" t="str">
        <x:v>Assaut terrestre puis désignation du Moissonneur ; négociation finale séparée des réflexes de visée.</x:v>
      </x:c>
      <x:c r="I16" s="7" t="str">
        <x:v>Montagnes, base geth et ciel de Rannoch.</x:v>
      </x:c>
      <x:c r="J16" s="7" t="str">
        <x:v>Prévoir chaque variante de scène comme état nommé ; lecture, interruption et saut appliquent exactement les mêmes décisions et positions finales. Montagnes, base geth et ciel de Rannoch.</x:v>
      </x:c>
      <x:c r="K16" s="7" t="str">
        <x:v>Dialogues originaux enregistrés par branche, nom du locuteur et sous-titres ; couper les répliques de personnages absents avant mixage, préserver les alertes utiles pendant les transitions.</x:v>
      </x:c>
      <x:c r="L16" s="7" t="str">
        <x:v>Prévu : fiche de données me3/main_quests/rannoch ; rattacher les ressources et états cités à cet identifiant. Aucun fichier de jeu créé par ce catalogue.</x:v>
      </x:c>
      <x:c r="M16" s="7" t="str">
        <x:v>Prérequis de paix à vérifier avant validation.</x:v>
      </x:c>
      <x:c r="N16" s="7" t="str">
        <x:v>La paix n’apparaît que si tous les prérequis documentés sont satisfaits ; détruire une flotte retire ses contributions et applique le destin des personnages avant retour au Normandy. Le laser possède une aide de maintien et un signal avant rayon.</x:v>
      </x:c>
      <x:c r="O16" s="7" t="str"/>
      <x:c r="P16" s="7" t="str">
        <x:v>Priority: Rannoch</x:v>
      </x:c>
      <x:c r="Q16" s="7" t="str">
        <x:v>ME3-SRC-RANNOCH</x:v>
      </x:c>
      <x:c r="R16" s="7" t="str">
        <x:v>https://masseffect.fandom.com/wiki/Priority%3A_Rannoch</x:v>
      </x:c>
      <x:c r="S16" s="7" t="str">
        <x:v>Spécification à réaliser. Les champs adaptation, gameplay, visual, animation, audio et implementation décrivent le fan game ; ils ne donnent pas des caractéristiques officielles de l’œuvre.</x:v>
      </x:c>
    </x:row>
    <x:row r="17" ht="68" customHeight="1">
      <x:c r="A17" s="18" t="str">
        <x:v>ME3-MQ-CITADEL3</x:v>
      </x:c>
      <x:c r="B17" s="9" t="str">
        <x:v>Priority: The Citadel III</x:v>
      </x:c>
      <x:c r="C17" s="15" t="str">
        <x:v>Défini</x:v>
      </x:c>
      <x:c r="D17" s="16" t="str">
        <x:v>Établi</x:v>
      </x:c>
      <x:c r="E17" s="16" t="str">
        <x:v>P0</x:v>
      </x:c>
      <x:c r="F17" s="9" t="str">
        <x:v>Rencontre politique après Rannoch.</x:v>
      </x:c>
      <x:c r="G17" s="9" t="str">
        <x:v>Donner un point clair de passage vers Thessia et garder les retours de compagnons accessibles.</x:v>
      </x:c>
      <x:c r="H17" s="9" t="str">
        <x:v>Donner un point clair de passage vers Thessia et garder les retours de compagnons accessibles.</x:v>
      </x:c>
      <x:c r="I17" s="9" t="str">
        <x:v>Ambassade asari et passage du Présidium.</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me3/main_quests/citadel3 ; rattacher les ressources et états cités à cet identifiant. Aucun fichier de jeu créé par ce catalogue.</x:v>
      </x:c>
      <x:c r="M17" s="9" t="str"/>
      <x:c r="N17" s="9" t="str">
        <x:v>Le livrable « Priority: The Citadel III » possède une scène ou un scénario de contrôle ; ses règles proposées, ses conditions et ses retours visuels sont vérifiables séparément.</x:v>
      </x:c>
      <x:c r="O17" s="9" t="str"/>
      <x:c r="P17" s="9" t="str">
        <x:v>Priority: The Citadel III</x:v>
      </x:c>
      <x:c r="Q17" s="9" t="str">
        <x:v>ME3-SRC-MISSIONS</x:v>
      </x:c>
      <x:c r="R17" s="9" t="str">
        <x:v>https://masseffect.fandom.com/wiki/Missions</x:v>
      </x:c>
      <x:c r="S17" s="9" t="str">
        <x:v>Spécification à réaliser. Les champs adaptation, gameplay, visual, animation, audio et implementation décrivent le fan game ; ils ne donnent pas des caractéristiques officielles de l’œuvre.</x:v>
      </x:c>
    </x:row>
    <x:row r="18" ht="68" customHeight="1">
      <x:c r="A18" s="19" t="str">
        <x:v>ME3-MQ-THESSIA</x:v>
      </x:c>
      <x:c r="B18" s="7" t="str">
        <x:v>Priority: Thessia</x:v>
      </x:c>
      <x:c r="C18" s="15" t="str">
        <x:v>Défini</x:v>
      </x:c>
      <x:c r="D18" s="17" t="str">
        <x:v>Établi</x:v>
      </x:c>
      <x:c r="E18" s="17" t="str">
        <x:v>P0</x:v>
      </x:c>
      <x:c r="F18" s="7" t="str">
        <x:v>Shepard atteint le temple de Thessia.</x:v>
      </x:c>
      <x:c r="G18" s="7" t="str">
        <x:v>Montée urbaine sous feu, temple et Vendetta ; afficher l’issue narrative imposée sans faux choix de victoire.</x:v>
      </x:c>
      <x:c r="H18" s="7" t="str">
        <x:v>Montée urbaine sous feu, temple et Vendetta ; afficher l’issue narrative imposée sans faux choix de victoire.</x:v>
      </x:c>
      <x:c r="I18" s="7" t="str">
        <x:v>Ruines asari, temple et Moissonneurs.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me3/main_quests/thessia ; rattacher les ressources et états cités à cet identifiant. Aucun fichier de jeu créé par ce catalogue.</x:v>
      </x:c>
      <x:c r="M18" s="7" t="str"/>
      <x:c r="N18" s="7" t="str">
        <x:v>Le livrable « Priority: Thessia » possède une scène ou un scénario de contrôle ; ses règles proposées, ses conditions et ses retours visuels sont vérifiables séparément.</x:v>
      </x:c>
      <x:c r="O18" s="7" t="str"/>
      <x:c r="P18" s="7" t="str">
        <x:v>Priority: 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82" customHeight="1">
      <x:c r="A19" s="18" t="str">
        <x:v>ME3-MQ-HORIZON</x:v>
      </x:c>
      <x:c r="B19" s="9" t="str">
        <x:v>Priority: Horizon</x:v>
      </x:c>
      <x:c r="C19" s="15" t="str">
        <x:v>Défini</x:v>
      </x:c>
      <x:c r="D19" s="16" t="str">
        <x:v>Établi</x:v>
      </x:c>
      <x:c r="E19" s="16" t="str">
        <x:v>P0</x:v>
      </x:c>
      <x:c r="F19" s="9" t="str">
        <x:v>Sanctuary cache des expériences Cerberus.</x:v>
      </x:c>
      <x:c r="G19" s="9" t="str">
        <x:v>Enquête de centre de réfugiés, laboratoire puis confrontation familiale ; preuves téléchargeables avant la sortie.</x:v>
      </x:c>
      <x:c r="H19" s="9" t="str">
        <x:v>Enquête de centre de réfugiés, laboratoire puis confrontation familiale ; preuves téléchargeables avant la sortie.</x:v>
      </x:c>
      <x:c r="I19" s="9" t="str">
        <x:v>Centre d’accueil blanc et sous-sols industriels.</x:v>
      </x:c>
      <x:c r="J19" s="9" t="str">
        <x:v>Prévoir chaque variante de scène comme état nommé ; lecture, interruption et saut appliquent exactement les mêmes décisions et positions finales. Centre d’accueil blanc et sous-sols industriels.</x:v>
      </x:c>
      <x:c r="K19" s="9" t="str">
        <x:v>Dialogues originaux enregistrés par branche, nom du locuteur et sous-titres ; couper les répliques de personnages absents avant mixage, préserver les alertes utiles pendant les transitions.</x:v>
      </x:c>
      <x:c r="L19" s="9" t="str">
        <x:v>Prévu : fiche de données me3/main_quests/horizon ; rattacher les ressources et états cités à cet identifiant. Aucun fichier de jeu créé par ce catalogue.</x:v>
      </x:c>
      <x:c r="M19" s="9" t="str"/>
      <x:c r="N19" s="9" t="str">
        <x:v>Les rencontres et aides réellement enregistrées déterminent la variante Lawson ; Miranda absente n’apparaît pas dans une cinématique, Oriana reçoit toujours son état final et le journal clôt Sanctuary une fois.</x:v>
      </x:c>
      <x:c r="O19" s="9" t="str"/>
      <x:c r="P19" s="9" t="str">
        <x:v>Priority: Horizon</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82" customHeight="1">
      <x:c r="A20" s="19" t="str">
        <x:v>ME3-MQ-CERBERUS</x:v>
      </x:c>
      <x:c r="B20" s="7" t="str">
        <x:v>Priority: Cerberus Headquarters</x:v>
      </x:c>
      <x:c r="C20" s="15" t="str">
        <x:v>Défini</x:v>
      </x:c>
      <x:c r="D20" s="17" t="str">
        <x:v>Établi</x:v>
      </x:c>
      <x:c r="E20" s="17" t="str">
        <x:v>P0</x:v>
      </x:c>
      <x:c r="F20" s="7" t="str">
        <x:v>Shepard attaque le quartier général.</x:v>
      </x:c>
      <x:c r="G20" s="7" t="str">
        <x:v>Assaut de hangar, archives de Lazarus et duel Kai Leng ; avertissement clair du verrou final avant départ.</x:v>
      </x:c>
      <x:c r="H20" s="7" t="str">
        <x:v>Assaut de hangar, archives de Lazarus et duel Kai Leng ; avertissement clair du verrou final avant départ.</x:v>
      </x:c>
      <x:c r="I20" s="7" t="str">
        <x:v>Station Cerberus et bureaux profonds.</x:v>
      </x:c>
      <x:c r="J20" s="7" t="str">
        <x:v>Prévoir chaque variante de scène comme état nommé ; lecture, interruption et saut appliquent exactement les mêmes décisions et positions finales. Station Cerberus et bureaux profonds.</x:v>
      </x:c>
      <x:c r="K20" s="7" t="str">
        <x:v>Dialogues originaux enregistrés par branche, nom du locuteur et sous-titres ; couper les répliques de personnages absents avant mixage, préserver les alertes utiles pendant les transitions.</x:v>
      </x:c>
      <x:c r="L20" s="7" t="str">
        <x:v>Prévu : fiche de données me3/main_quests/cerberus ; rattacher les ressources et états cités à cet identifiant. Aucun fichier de jeu créé par ce catalogue.</x:v>
      </x:c>
      <x:c r="M20" s="7" t="str">
        <x:v>Point de non-retour de campagne.</x:v>
      </x:c>
      <x:c r="N20" s="7" t="str">
        <x:v>Le départ requiert une confirmation du verrou narratif et crée une sauvegarde préalable ; retour menu n’annule pas le verrou après engagement, archives et Kai Leng se clôturent sans doubler les preuves.</x:v>
      </x:c>
      <x:c r="O20" s="7" t="str"/>
      <x:c r="P20" s="7" t="str">
        <x:v>Priority: Cerberus Headquarters</x:v>
      </x:c>
      <x:c r="Q20" s="7" t="str">
        <x:v>ME3-SRC-HQ, ME3-SRC-GUIDE</x:v>
      </x:c>
      <x:c r="R20" s="7" t="str">
        <x:v>https://masseffect.fandom.com/wiki/Priority%3A_Cerberus_Headquarters
https://masseffect.fandom.com/wiki/Mass_Effect_3_Guide</x:v>
      </x:c>
      <x:c r="S20" s="7" t="str">
        <x:v>Spécification à réaliser. Les champs adaptation, gameplay, visual, animation, audio et implementation décrivent le fan game ; ils ne donnent pas des caractéristiques officielles de l’œuvre.</x:v>
      </x:c>
    </x:row>
    <x:row r="21" ht="68" customHeight="1">
      <x:c r="A21" s="18" t="str">
        <x:v>ME3-MQ-EARTH</x:v>
      </x:c>
      <x:c r="B21" s="9" t="str">
        <x:v>Priority: Earth</x:v>
      </x:c>
      <x:c r="C21" s="15" t="str">
        <x:v>Défini</x:v>
      </x:c>
      <x:c r="D21" s="16" t="str">
        <x:v>Établi</x:v>
      </x:c>
      <x:c r="E21" s="16" t="str">
        <x:v>P0</x:v>
      </x:c>
      <x:c r="F21" s="9" t="str">
        <x:v>Les alliés attaquent pour ouvrir le Creuset.</x:v>
      </x:c>
      <x:c r="G21" s="9" t="str">
        <x:v>Deux grandes phases avec pause de composition ; routes de Londres, tir lourd, défense des missiles et faisceau.</x:v>
      </x:c>
      <x:c r="H21" s="9" t="str">
        <x:v>Deux grandes phases avec pause de composition ; routes de Londres, tir lourd, défense des missiles et faisceau.</x:v>
      </x:c>
      <x:c r="I21" s="9" t="str">
        <x:v>Londres en ruine, blindés et faisceau de Citadelle.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me3/main_quests/earth ; rattacher les ressources et états cités à cet identifiant. Aucun fichier de jeu créé par ce catalogue.</x:v>
      </x:c>
      <x:c r="M21" s="9" t="str"/>
      <x:c r="N21" s="9" t="str">
        <x:v>Le livrable « Priority: Earth » possède une scène ou un scénario de contrôle ; ses règles proposées, ses conditions et ses retours visuels sont vérifiables séparément.</x:v>
      </x:c>
      <x:c r="O21" s="9" t="str"/>
      <x:c r="P21" s="9" t="str">
        <x:v>Priority: Earth</x:v>
      </x:c>
      <x:c r="Q21" s="9" t="str">
        <x:v>ME3-SRC-EARTH</x:v>
      </x:c>
      <x:c r="R21" s="9" t="str">
        <x:v>https://masseffect.fandom.com/wiki/Priority%3A_Earth</x:v>
      </x:c>
      <x:c r="S21" s="9" t="str">
        <x:v>Spécification à réaliser. Les champs adaptation, gameplay, visual, animation, audio et implementation décrivent le fan game ; ils ne donnent pas des caractéristiques officielles de l’œuvre.</x:v>
      </x:c>
    </x:row>
    <x:row r="22" ht="82" customHeight="1">
      <x:c r="A22" s="19" t="str">
        <x:v>ME3-MQ-FINAL</x:v>
      </x:c>
      <x:c r="B22" s="7" t="str">
        <x:v>Final — Catalyseur et épilogues</x:v>
      </x:c>
      <x:c r="C22" s="15" t="str">
        <x:v>Défini</x:v>
      </x:c>
      <x:c r="D22" s="17" t="str">
        <x:v>Établi</x:v>
      </x:c>
      <x:c r="E22" s="17" t="str">
        <x:v>P0</x:v>
      </x:c>
      <x:c r="F22" s="7" t="str">
        <x:v>Les décisions finales ont plusieurs issues.</x:v>
      </x:c>
      <x:c r="G22" s="7" t="str">
        <x:v>Entretien sans ATB ; chaque option montre sa portée et exige confirmation ; épilogues lisent le parcours entier.</x:v>
      </x:c>
      <x:c r="H22" s="7" t="str">
        <x:v>Entretien sans ATB ; chaque option montre sa portée et exige confirmation ; épilogues lisent le parcours entier.</x:v>
      </x:c>
      <x:c r="I22" s="7" t="str">
        <x:v>Espace du Creuset et scènes de reconstruction conditionnelles.</x:v>
      </x:c>
      <x:c r="J22" s="7" t="str">
        <x:v>Prévoir chaque variante de scène comme état nommé ; lecture, interruption et saut appliquent exactement les mêmes décisions et positions finales. Espace du Creuset et scènes de reconstruction conditionnelles.</x:v>
      </x:c>
      <x:c r="K22" s="7" t="str">
        <x:v>Dialogues originaux enregistrés par branche, nom du locuteur et sous-titres ; couper les répliques de personnages absents avant mixage, préserver les alertes utiles pendant les transitions.</x:v>
      </x:c>
      <x:c r="L22" s="7" t="str">
        <x:v>Prévu : fiche de données me3/main_quests/final ; rattacher les ressources et états cités à cet identifiant. Aucun fichier de jeu créé par ce catalogue.</x:v>
      </x:c>
      <x:c r="M22" s="7" t="str">
        <x:v>Profil Extended Cut par défaut pour Legendary.</x:v>
      </x:c>
      <x:c r="N22" s="7" t="str">
        <x:v>L’option sélectionnée, le profil d’édition et les états politiques produisent un montage cohérent ; une option indisponible ne peut être validée via clavier. Le refus est une branche narrative définie, jamais une erreur technique.</x:v>
      </x:c>
      <x:c r="O22" s="7" t="str"/>
      <x:c r="P22" s="7" t="str">
        <x:v>Final — Catalyseur et épilogues</x:v>
      </x:c>
      <x:c r="Q22" s="7" t="str">
        <x:v>ME3-SRC-EARTH, ME3-SRC-EA-CAL, ME3-SRC-BW-EC</x:v>
      </x:c>
      <x:c r="R22" s="7" t="str">
        <x:v>https://masseffect.fandom.com/wiki/Priority%3A_Earth
https://www.ea.com/ea-play/news/gameplay-calibrations
https://blog.bioware.com/2012/06/22/mass-effect-3-extended-cut-2/</x:v>
      </x:c>
      <x:c r="S22" s="7" t="str">
        <x:v>Spécification à réaliser. Les champs adaptation, gameplay, visual, animation, audio et implementation décrivent le fan game ; ils ne donnent pas des caractéristiques officielles de l’œuvre.</x:v>
      </x:c>
    </x:row>
    <x:row r="23" ht="68" customHeight="1">
      <x:c r="A23" s="18" t="str">
        <x:v>ME3-MQ-EDEN</x:v>
      </x:c>
      <x:c r="B23" s="9" t="str">
        <x:v>Priority: Eden Prime</x:v>
      </x:c>
      <x:c r="C23" s="15" t="str">
        <x:v>Défini</x:v>
      </x:c>
      <x:c r="D23" s="16" t="str">
        <x:v>Établi</x:v>
      </x:c>
      <x:c r="E23" s="16" t="str">
        <x:v>P0</x:v>
      </x:c>
      <x:c r="F23" s="9" t="str">
        <x:v>From Ashes permet de recruter Javik.</x:v>
      </x:c>
      <x:c r="G23" s="9" t="str">
        <x:v>Exploration de colonie et capsule prothéenne ; lire deux archives avant déverrouillage de réveil.</x:v>
      </x:c>
      <x:c r="H23" s="9" t="str">
        <x:v>Exploration de colonie et capsule prothéenne ; lire deux archives avant déverrouillage de réveil.</x:v>
      </x:c>
      <x:c r="I23" s="9" t="str">
        <x:v>Colonie verte, fouilles et capsule.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me3/main_quests/eden ; rattacher les ressources et états cités à cet identifiant. Aucun fichier de jeu créé par ce catalogue.</x:v>
      </x:c>
      <x:c r="M23" s="9" t="str">
        <x:v>DLC / Legendary.</x:v>
      </x:c>
      <x:c r="N23" s="9" t="str">
        <x:v>Le livrable « Priority: Eden Prime » possède une scène ou un scénario de contrôle ; ses règles proposées, ses conditions et ses retours visuels sont vérifiables séparément.</x:v>
      </x:c>
      <x:c r="O23" s="9" t="str"/>
      <x:c r="P23" s="9" t="str">
        <x:v>Priority: Eden Prime</x:v>
      </x:c>
      <x:c r="Q23" s="9" t="str">
        <x:v>ME3-SRC-EA-ASHES, ME3-SRC-MISSIONS</x:v>
      </x:c>
      <x:c r="R23" s="9" t="str">
        <x:v>https://www.ea.com/fr-fr/games/mass-effect/mass-effect-3-from-ashes
https://masseffect.fandom.com/wiki/Missions</x:v>
      </x:c>
      <x:c r="S23" s="9" t="str">
        <x:v>Spécification à réaliser. Les champs adaptation, gameplay, visual, animation, audio et implementation décrivent le fan game ; ils ne donnent pas des caractéristiques officielles de l’œuvre.</x:v>
      </x:c>
    </x:row>
    <x:row r="24" ht="68" customHeight="1">
      <x:c r="A24" s="19" t="str">
        <x:v>ME3-MQ-BRYSON</x:v>
      </x:c>
      <x:c r="B24" s="7" t="str">
        <x:v>Citadel: Dr. Bryson / Leviathan I</x:v>
      </x:c>
      <x:c r="C24" s="15" t="str">
        <x:v>Défini</x:v>
      </x:c>
      <x:c r="D24" s="17" t="str">
        <x:v>Établi</x:v>
      </x:c>
      <x:c r="E24" s="17" t="str">
        <x:v>P0</x:v>
      </x:c>
      <x:c r="F24" s="7" t="str">
        <x:v>Entrée de l’enquête Leviathan.</x:v>
      </x:c>
      <x:c r="G24" s="7" t="str">
        <x:v>Table d’indices au laboratoire ; combiner pistes pour réduire les systèmes à scanner.</x:v>
      </x:c>
      <x:c r="H24" s="7" t="str">
        <x:v>Table d’indices au laboratoire ; combiner pistes pour réduire les systèmes à scanner.</x:v>
      </x:c>
      <x:c r="I24" s="7" t="str">
        <x:v>Objets scientifiques, carte et artéfacts.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me3/main_quests/bryson ; rattacher les ressources et états cités à cet identifiant. Aucun fichier de jeu créé par ce catalogue.</x:v>
      </x:c>
      <x:c r="M24" s="7" t="str">
        <x:v>DLC / Legendary.</x:v>
      </x:c>
      <x:c r="N24" s="7" t="str">
        <x:v>Le livrable « Citadel: Dr. Bryson / Leviathan I » possède une scène ou un scénario de contrôle ; ses règles proposées, ses conditions et ses retours visuels sont vérifiables séparément.</x:v>
      </x:c>
      <x:c r="O24" s="7" t="str"/>
      <x:c r="P24" s="7" t="str">
        <x:v>Citadel: Dr. Bryson / Leviathan I</x:v>
      </x:c>
      <x:c r="Q24" s="7" t="str">
        <x:v>ME3-SRC-LEV, ME3-SRC-MISSIONS</x:v>
      </x:c>
      <x:c r="R24" s="7" t="str">
        <x:v>https://masseffect.fandom.com/wiki/Mass_Effect_3%3A_Leviathan
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ME3-MQ-GARNEAU</x:v>
      </x:c>
      <x:c r="B25" s="9" t="str">
        <x:v>Leviathan: Find Garneau / Mahavid</x:v>
      </x:c>
      <x:c r="C25" s="15" t="str">
        <x:v>Défini</x:v>
      </x:c>
      <x:c r="D25" s="16" t="str">
        <x:v>Établi</x:v>
      </x:c>
      <x:c r="E25" s="16" t="str">
        <x:v>P0</x:v>
      </x:c>
      <x:c r="F25" s="9" t="str">
        <x:v>L’enquête mène à Mahavid.</x:v>
      </x:c>
      <x:c r="G25" s="9" t="str">
        <x:v>Minerie silencieuse, travailleurs étranges et fuite ; le doute progresse via objets et regards.</x:v>
      </x:c>
      <x:c r="H25" s="9" t="str">
        <x:v>Minerie silencieuse, travailleurs étranges et fuite ; le doute progresse via objets et regards.</x:v>
      </x:c>
      <x:c r="I25" s="9" t="str">
        <x:v>Astéroïde, mine et logements industriels.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me3/main_quests/garneau ; rattacher les ressources et états cités à cet identifiant. Aucun fichier de jeu créé par ce catalogue.</x:v>
      </x:c>
      <x:c r="M25" s="9" t="str">
        <x:v>Première piste de Leviathan.</x:v>
      </x:c>
      <x:c r="N25" s="9" t="str">
        <x:v>Le livrable « Leviathan: Find Garneau / Mahavid » possède une scène ou un scénario de contrôle ; ses règles proposées, ses conditions et ses retours visuels sont vérifiables séparément.</x:v>
      </x:c>
      <x:c r="O25" s="9" t="str"/>
      <x:c r="P25" s="9" t="str">
        <x:v>Leviathan: Find Garneau / Mahavid</x:v>
      </x:c>
      <x:c r="Q25" s="9" t="str">
        <x:v>ME3-SRC-LEV, ME3-SRC-MISSIONS</x:v>
      </x:c>
      <x:c r="R25" s="9" t="str">
        <x:v>https://masseffect.fandom.com/wiki/Mass_Effect_3%3A_Leviathan
https://masseffect.fandom.com/wiki/Missions</x:v>
      </x:c>
      <x:c r="S25" s="9" t="str">
        <x:v>Spécification à réaliser. Les champs adaptation, gameplay, visual, animation, audio et implementation décrivent le fan game ; ils ne donnent pas des caractéristiques officielles de l’œuvre.</x:v>
      </x:c>
    </x:row>
    <x:row r="26" ht="68" customHeight="1">
      <x:c r="A26" s="19" t="str">
        <x:v>ME3-MQ-ANN</x:v>
      </x:c>
      <x:c r="B26" s="7" t="str">
        <x:v>Leviathan: Find Ann Bryson / Namakli</x:v>
      </x:c>
      <x:c r="C26" s="15" t="str">
        <x:v>Défini</x:v>
      </x:c>
      <x:c r="D26" s="17" t="str">
        <x:v>Établi</x:v>
      </x:c>
      <x:c r="E26" s="17" t="str">
        <x:v>P0</x:v>
      </x:c>
      <x:c r="F26" s="7" t="str">
        <x:v>Ann Bryson doit être retrouvée.</x:v>
      </x:c>
      <x:c r="G26" s="7" t="str">
        <x:v>Sauvetage sous pression avec chemins de réparation ; permettre une dernière inspection de preuve après sécurisation.</x:v>
      </x:c>
      <x:c r="H26" s="7" t="str">
        <x:v>Sauvetage sous pression avec chemins de réparation ; permettre une dernière inspection de preuve après sécurisation.</x:v>
      </x:c>
      <x:c r="I26" s="7" t="str">
        <x:v>Falaises, fouilles et base précaire.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me3/main_quests/ann ; rattacher les ressources et états cités à cet identifiant. Aucun fichier de jeu créé par ce catalogue.</x:v>
      </x:c>
      <x:c r="M26" s="7" t="str">
        <x:v>Après première visite laboratoire.</x:v>
      </x:c>
      <x:c r="N26" s="7" t="str">
        <x:v>Le livrable « Leviathan: Find Ann Bryson / Namakli » possède une scène ou un scénario de contrôle ; ses règles proposées, ses conditions et ses retours visuels sont vérifiables séparément.</x:v>
      </x:c>
      <x:c r="O26" s="7" t="str"/>
      <x:c r="P26" s="7" t="str">
        <x:v>Leviathan: Find Ann Bryson / Namakli</x:v>
      </x:c>
      <x:c r="Q26" s="7" t="str">
        <x:v>ME3-SRC-LEV, ME3-SRC-MISSIONS</x:v>
      </x:c>
      <x:c r="R26" s="7" t="str">
        <x:v>https://masseffect.fandom.com/wiki/Mass_Effect_3%3A_Leviathan
https://masseffect.fandom.com/wiki/Missions</x:v>
      </x:c>
      <x:c r="S26" s="7" t="str">
        <x:v>Spécification à réaliser. Les champs adaptation, gameplay, visual, animation, audio et implementation décrivent le fan game ; ils ne donnent pas des caractéristiques officielles de l’œuvre.</x:v>
      </x:c>
    </x:row>
    <x:row r="27" ht="68" customHeight="1">
      <x:c r="A27" s="18" t="str">
        <x:v>ME3-MQ-LEV-LAB</x:v>
      </x:c>
      <x:c r="B27" s="9" t="str">
        <x:v>Citadel: Leviathan II / III</x:v>
      </x:c>
      <x:c r="C27" s="15" t="str">
        <x:v>Défini</x:v>
      </x:c>
      <x:c r="D27" s="16" t="str">
        <x:v>Établi</x:v>
      </x:c>
      <x:c r="E27" s="16" t="str">
        <x:v>P0</x:v>
      </x:c>
      <x:c r="F27" s="9" t="str">
        <x:v>Le laboratoire sert plusieurs étapes.</x:v>
      </x:c>
      <x:c r="G27" s="9" t="str">
        <x:v>Graphe d’enquête conservant les filtres précédents ; le choix concernant Ann n’efface pas les indices.</x:v>
      </x:c>
      <x:c r="H27" s="9" t="str">
        <x:v>Graphe d’enquête conservant les filtres précédents ; le choix concernant Ann n’efface pas les indices.</x:v>
      </x:c>
      <x:c r="I27" s="9" t="str">
        <x:v>Table centrale et filtres holographiques.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me3/main_quests/lev-lab ; rattacher les ressources et états cités à cet identifiant. Aucun fichier de jeu créé par ce catalogue.</x:v>
      </x:c>
      <x:c r="M27" s="9" t="str">
        <x:v>Deux retours narratifs regroupés dans cette fiche.</x:v>
      </x:c>
      <x:c r="N27" s="9" t="str">
        <x:v>Le livrable « Citadel: Leviathan II / III » possède une scène ou un scénario de contrôle ; ses règles proposées, ses conditions et ses retours visuels sont vérifiables séparément.</x:v>
      </x:c>
      <x:c r="O27" s="9" t="str"/>
      <x:c r="P27" s="9" t="str">
        <x:v>Citadel: Leviathan II / III</x:v>
      </x:c>
      <x:c r="Q27" s="9" t="str">
        <x:v>ME3-SRC-LEV, ME3-SRC-MISSIONS</x:v>
      </x:c>
      <x:c r="R27" s="9" t="str">
        <x:v>https://masseffect.fandom.com/wiki/Mass_Effect_3%3A_Leviathan
https://masseffect.fandom.com/wiki/Missions</x:v>
      </x:c>
      <x:c r="S27" s="9" t="str">
        <x:v>Spécification à réaliser. Les champs adaptation, gameplay, visual, animation, audio et implementation décrivent le fan game ; ils ne donnent pas des caractéristiques officielles de l’œuvre.</x:v>
      </x:c>
    </x:row>
    <x:row r="28" ht="82" customHeight="1">
      <x:c r="A28" s="19" t="str">
        <x:v>ME3-MQ-DESPOINA</x:v>
      </x:c>
      <x:c r="B28" s="7" t="str">
        <x:v>Leviathan: Scan Locations / Despoina</x:v>
      </x:c>
      <x:c r="C28" s="15" t="str">
        <x:v>Défini</x:v>
      </x:c>
      <x:c r="D28" s="17" t="str">
        <x:v>Établi</x:v>
      </x:c>
      <x:c r="E28" s="17" t="str">
        <x:v>P0</x:v>
      </x:c>
      <x:c r="F28" s="7" t="str">
        <x:v>L’enquête aboutit à Despoina.</x:v>
      </x:c>
      <x:c r="G28" s="7" t="str">
        <x:v>Épaves de surface puis plongée en méca ; pression et oxygène comme réglages originaux facultatifs, pas faits de statistiques.</x:v>
      </x:c>
      <x:c r="H28" s="7" t="str">
        <x:v>Épaves de surface puis plongée en méca ; pression et oxygène comme réglages originaux facultatifs, pas faits de statistiques.</x:v>
      </x:c>
      <x:c r="I28" s="7" t="str">
        <x:v>Océan, coques et obscurité sous-marine.</x:v>
      </x:c>
      <x:c r="J28" s="7" t="str">
        <x:v>Prévoir chaque variante de scène comme état nommé ; lecture, interruption et saut appliquent exactement les mêmes décisions et positions finales. Océan, coques et obscurité sous-marine.</x:v>
      </x:c>
      <x:c r="K28" s="7" t="str">
        <x:v>Dialogues originaux enregistrés par branche, nom du locuteur et sous-titres ; couper les répliques de personnages absents avant mixage, préserver les alertes utiles pendant les transitions.</x:v>
      </x:c>
      <x:c r="L28" s="7" t="str">
        <x:v>Prévu : fiche de données me3/main_quests/despoina ; rattacher les ressources et états cités à cet identifiant. Aucun fichier de jeu créé par ce catalogue.</x:v>
      </x:c>
      <x:c r="M28" s="7" t="str">
        <x:v>Conclusion Leviathan.</x:v>
      </x:c>
      <x:c r="N28" s="7" t="str">
        <x:v>Le passage épave/méca/abîme se charge sans perdre les preuves ; voix compréhensible avec effets réduits, aucune commande de combat dans dialogue final, retour au Normandy avec révélation et contribution enregistrées une fois.</x:v>
      </x:c>
      <x:c r="O28" s="7" t="str"/>
      <x:c r="P28" s="7" t="str">
        <x:v>Leviathan: Scan Locations / Despoina</x:v>
      </x:c>
      <x:c r="Q28" s="7" t="str">
        <x:v>ME3-SRC-LEV, ME3-SRC-MISSIONS, ME3-SRC-EA-LEV</x:v>
      </x:c>
      <x:c r="R28" s="7" t="str">
        <x:v>https://masseffect.fandom.com/wiki/Mass_Effect_3%3A_Leviathan
https://masseffect.fandom.com/wiki/Missions
https://www.ea.com/fr-fr/games/mass-effect/mass-effect-3-leviathan</x:v>
      </x:c>
      <x:c r="S28" s="7" t="str">
        <x:v>Spécification à réaliser. Les champs adaptation, gameplay, visual, animation, audio et implementation décrivent le fan game ; ils ne donnent pas des caractéristiques officielles de l’œuvre.</x:v>
      </x:c>
    </x:row>
    <x:row r="29" ht="68" customHeight="1">
      <x:c r="A29" s="18" t="str">
        <x:v>ME3-MQ-OMEGA-BRIEF</x:v>
      </x:c>
      <x:c r="B29" s="9" t="str">
        <x:v>Citadel: Aria T’Loak</x:v>
      </x:c>
      <x:c r="C29" s="15" t="str">
        <x:v>Défini</x:v>
      </x:c>
      <x:c r="D29" s="16" t="str">
        <x:v>Établi</x:v>
      </x:c>
      <x:c r="E29" s="16" t="str">
        <x:v>P0</x:v>
      </x:c>
      <x:c r="F29" s="9" t="str">
        <x:v>Aria recrute Shepard pour Omega.</x:v>
      </x:c>
      <x:c r="G29" s="9" t="str">
        <x:v>Briefing avant départ avec verrou d’équipe annoncé ; la sélection permanente n’apparaît pas pendant ce DLC.</x:v>
      </x:c>
      <x:c r="H29" s="9" t="str">
        <x:v>Briefing avant départ avec verrou d’équipe annoncé ; la sélection permanente n’apparaît pas pendant ce DLC.</x:v>
      </x:c>
      <x:c r="I29" s="9" t="str">
        <x:v>Navette, Aria et plan d’invasion.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me3/main_quests/omega-brief ; rattacher les ressources et états cités à cet identifiant. Aucun fichier de jeu créé par ce catalogue.</x:v>
      </x:c>
      <x:c r="M29" s="9" t="str">
        <x:v>DLC / Legendary.</x:v>
      </x:c>
      <x:c r="N29" s="9" t="str">
        <x:v>Le livrable « Citadel: Aria T’Loak » possède une scène ou un scénario de contrôle ; ses règles proposées, ses conditions et ses retours visuels sont vérifiables séparément.</x:v>
      </x:c>
      <x:c r="O29" s="9" t="str"/>
      <x:c r="P29" s="9" t="str">
        <x:v>Citadel: Aria T’Loak</x:v>
      </x:c>
      <x:c r="Q29" s="9" t="str">
        <x:v>ME3-SRC-OMEGA-START</x:v>
      </x:c>
      <x:c r="R29" s="9" t="str">
        <x:v>https://masseffect.fandom.com/wiki/Citadel%3A_Aria_T%27Loak</x:v>
      </x:c>
      <x:c r="S29" s="9" t="str">
        <x:v>Spécification à réaliser. Les champs adaptation, gameplay, visual, animation, audio et implementation décrivent le fan game ; ils ne donnent pas des caractéristiques officielles de l’œuvre.</x:v>
      </x:c>
    </x:row>
    <x:row r="30" ht="82" customHeight="1">
      <x:c r="A30" s="19" t="str">
        <x:v>ME3-MQ-OMEGA</x:v>
      </x:c>
      <x:c r="B30" s="7" t="str">
        <x:v>Omega: Aria T’Loak</x:v>
      </x:c>
      <x:c r="C30" s="15" t="str">
        <x:v>Défini</x:v>
      </x:c>
      <x:c r="D30" s="17" t="str">
        <x:v>Établi</x:v>
      </x:c>
      <x:c r="E30" s="17" t="str">
        <x:v>P0</x:v>
      </x:c>
      <x:c r="F30" s="7" t="str">
        <x:v>Aria reprend la station à Cerberus.</x:v>
      </x:c>
      <x:c r="G30" s="7" t="str">
        <x:v>Assaut, bunker, tunnels, Talons, réacteur puis Afterlife ; séparer morale d’Aria, civils et reddition finale.</x:v>
      </x:c>
      <x:c r="H30" s="7" t="str">
        <x:v>Assaut, bunker, tunnels, Talons, réacteur puis Afterlife ; séparer morale d’Aria, civils et reddition finale.</x:v>
      </x:c>
      <x:c r="I30" s="7" t="str">
        <x:v>Station occupée, champs de force et Adjutants.</x:v>
      </x:c>
      <x:c r="J30" s="7" t="str">
        <x:v>Prévoir chaque variante de scène comme état nommé ; lecture, interruption et saut appliquent exactement les mêmes décisions et positions finales. Station occupée, champs de force et Adjutants.</x:v>
      </x:c>
      <x:c r="K30" s="7" t="str">
        <x:v>Dialogues originaux enregistrés par branche, nom du locuteur et sous-titres ; couper les répliques de personnages absents avant mixage, préserver les alertes utiles pendant les transitions.</x:v>
      </x:c>
      <x:c r="L30" s="7" t="str">
        <x:v>Prévu : fiche de données me3/main_quests/omega ; rattacher les ressources et états cités à cet identifiant. Aucun fichier de jeu créé par ce catalogue.</x:v>
      </x:c>
      <x:c r="M30" s="7" t="str">
        <x:v>Aria et Nyreen temporaires ; retour libre limité.</x:v>
      </x:c>
      <x:c r="N30" s="7" t="str">
        <x:v>Les étapes locales n’acceptent que les compagnons autorisés ; chaque générateur désactivé est conservé à la reprise, la boucle de combat s’arrête à la victoire et la branche Petrovsky restitue le groupe normal après départ.</x:v>
      </x:c>
      <x:c r="O30" s="7" t="str"/>
      <x:c r="P30" s="7" t="str">
        <x:v>Omega: Aria T’Loak</x:v>
      </x:c>
      <x:c r="Q30" s="7" t="str">
        <x:v>ME3-SRC-OMEGA, ME3-SRC-EA-OMEGA</x:v>
      </x:c>
      <x:c r="R30" s="7" t="str">
        <x:v>https://masseffect.fandom.com/wiki/Omega%3A_Aria_T%27Loak_%28Mass_Effect_3%29
https://www.ea.com/fr-fr/games/mass-effect/mass-effect-3-omega</x:v>
      </x:c>
      <x:c r="S30" s="7" t="str">
        <x:v>Spécification à réaliser. Les champs adaptation, gameplay, visual, animation, audio et implementation décrivent le fan game ; ils ne donnent pas des caractéristiques officielles de l’œuvre.</x:v>
      </x:c>
    </x:row>
    <x:row r="31" ht="68" customHeight="1">
      <x:c r="A31" s="18" t="str">
        <x:v>ME3-MQ-CIT-SHORE</x:v>
      </x:c>
      <x:c r="B31" s="9" t="str">
        <x:v>Citadel: Shore Leave</x:v>
      </x:c>
      <x:c r="C31" s="15" t="str">
        <x:v>Défini</x:v>
      </x:c>
      <x:c r="D31" s="16" t="str">
        <x:v>Établi</x:v>
      </x:c>
      <x:c r="E31" s="16" t="str">
        <x:v>P0</x:v>
      </x:c>
      <x:c r="F31" s="9" t="str">
        <x:v>Le DLC Citadel commence pendant une permission.</x:v>
      </x:c>
      <x:c r="G31" s="9" t="str">
        <x:v>Installer appartement et rencontre au restaurant ; aucune position après-fin canonique imposée.</x:v>
      </x:c>
      <x:c r="H31" s="9" t="str">
        <x:v>Installer appartement et rencontre au restaurant ; aucune position après-fin canonique imposée.</x:v>
      </x:c>
      <x:c r="I31" s="9" t="str">
        <x:v>Silversun Strip, appartement et restaurant.</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me3/main_quests/cit-shore ; rattacher les ressources et états cités à cet identifiant. Aucun fichier de jeu créé par ce catalogue.</x:v>
      </x:c>
      <x:c r="M31" s="9" t="str">
        <x:v>Pendant la campagne, avant verrou final.</x:v>
      </x:c>
      <x:c r="N31" s="9" t="str">
        <x:v>Le livrable « Citadel: Shore Leave » possède une scène ou un scénario de contrôle ; ses règles proposées, ses conditions et ses retours visuels sont vérifiables séparément.</x:v>
      </x:c>
      <x:c r="O31" s="9" t="str"/>
      <x:c r="P31" s="9" t="str">
        <x:v>Citadel: Shore Leave</x:v>
      </x:c>
      <x:c r="Q31" s="9" t="str">
        <x:v>ME3-SRC-CIT-DLC, ME3-SRC-BW-CITADEL</x:v>
      </x:c>
      <x:c r="R31" s="9" t="str">
        <x:v>https://masseffect.fandom.com/wiki/Mass_Effect_3%3A_Citadel
https://blog.bioware.com/2013/02/21/mass-effect-3-citadel-reckoning-dlc-announced/</x:v>
      </x:c>
      <x:c r="S31" s="9" t="str">
        <x:v>Spécification à réaliser. Les champs adaptation, gameplay, visual, animation, audio et implementation décrivent le fan game ; ils ne donnent pas des caractéristiques officielles de l’œuvre.</x:v>
      </x:c>
    </x:row>
    <x:row r="32" ht="68" customHeight="1">
      <x:c r="A32" s="19" t="str">
        <x:v>ME3-MQ-CIT-AMBUSH</x:v>
      </x:c>
      <x:c r="B32" s="7" t="str">
        <x:v>Citadel Wards: Ambush</x:v>
      </x:c>
      <x:c r="C32" s="15" t="str">
        <x:v>Défini</x:v>
      </x:c>
      <x:c r="D32" s="17" t="str">
        <x:v>Établi</x:v>
      </x:c>
      <x:c r="E32" s="17" t="str">
        <x:v>P0</x:v>
      </x:c>
      <x:c r="F32" s="7" t="str">
        <x:v>Shepard subit une attaque.</x:v>
      </x:c>
      <x:c r="G32" s="7" t="str">
        <x:v>Fuite avec arsenal limité puis rassemblement des alliés ; routes latérales et couvert léger.</x:v>
      </x:c>
      <x:c r="H32" s="7" t="str">
        <x:v>Fuite avec arsenal limité puis rassemblement des alliés ; routes latérales et couvert léger.</x:v>
      </x:c>
      <x:c r="I32" s="7" t="str">
        <x:v>Restaurant endommagé, rues basses et parkings.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me3/main_quests/cit-ambush ; rattacher les ressources et états cités à cet identifiant. Aucun fichier de jeu créé par ce catalogue.</x:v>
      </x:c>
      <x:c r="M32" s="7" t="str">
        <x:v>DLC Citadel.</x:v>
      </x:c>
      <x:c r="N32" s="7" t="str">
        <x:v>Le livrable « Citadel Wards: Ambush » possède une scène ou un scénario de contrôle ; ses règles proposées, ses conditions et ses retours visuels sont vérifiables séparément.</x:v>
      </x:c>
      <x:c r="O32" s="7" t="str"/>
      <x:c r="P32" s="7" t="str">
        <x:v>Citadel Wards: Ambush</x:v>
      </x:c>
      <x:c r="Q32" s="7" t="str">
        <x:v>ME3-SRC-MISSIONS, ME3-SRC-CIT-DLC</x:v>
      </x:c>
      <x:c r="R32" s="7" t="str">
        <x:v>https://masseffect.fandom.com/wiki/Missions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ME3-MQ-CIT-IDENTITY1</x:v>
      </x:c>
      <x:c r="B33" s="9" t="str">
        <x:v>Citadel: Identity Theft I</x:v>
      </x:c>
      <x:c r="C33" s="15" t="str">
        <x:v>Défini</x:v>
      </x:c>
      <x:c r="D33" s="16" t="str">
        <x:v>Établi</x:v>
      </x:c>
      <x:c r="E33" s="16" t="str">
        <x:v>P0</x:v>
      </x:c>
      <x:c r="F33" s="9" t="str">
        <x:v>Enquête sur le complot.</x:v>
      </x:c>
      <x:c r="G33" s="9" t="str">
        <x:v>Débriefing à l’appartement, équipe et choix de partenaire pour la soirée ; ne pas doubler les scènes avec compagnons absents.</x:v>
      </x:c>
      <x:c r="H33" s="9" t="str">
        <x:v>Débriefing à l’appartement, équipe et choix de partenaire pour la soirée ; ne pas doubler les scènes avec compagnons absents.</x:v>
      </x:c>
      <x:c r="I33" s="9" t="str">
        <x:v>Appartement converti en poste d’enquête.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me3/main_quests/cit-identity1 ; rattacher les ressources et états cités à cet identifiant. Aucun fichier de jeu créé par ce catalogue.</x:v>
      </x:c>
      <x:c r="M33" s="9" t="str">
        <x:v>DLC Citadel.</x:v>
      </x:c>
      <x:c r="N33" s="9" t="str">
        <x:v>Le livrable « Citadel: Identity Theft I » possède une scène ou un scénario de contrôle ; ses règles proposées, ses conditions et ses retours visuels sont vérifiables séparément.</x:v>
      </x:c>
      <x:c r="O33" s="9" t="str"/>
      <x:c r="P33" s="9" t="str">
        <x:v>Citadel: Identity Theft I</x:v>
      </x:c>
      <x:c r="Q33" s="9" t="str">
        <x:v>ME3-SRC-MISSIONS</x:v>
      </x:c>
      <x:c r="R33" s="9" t="str">
        <x:v>https://masseffect.fandom.com/wiki/Missions</x:v>
      </x:c>
      <x:c r="S33" s="9" t="str">
        <x:v>Spécification à réaliser. Les champs adaptation, gameplay, visual, animation, audio et implementation décrivent le fan game ; ils ne donnent pas des caractéristiques officielles de l’œuvre.</x:v>
      </x:c>
    </x:row>
    <x:row r="34" ht="68" customHeight="1">
      <x:c r="A34" s="19" t="str">
        <x:v>ME3-MQ-CIT-CASINO</x:v>
      </x:c>
      <x:c r="B34" s="7" t="str">
        <x:v>Silver Coast Casino: Infiltration</x:v>
      </x:c>
      <x:c r="C34" s="15" t="str">
        <x:v>Défini</x:v>
      </x:c>
      <x:c r="D34" s="17" t="str">
        <x:v>Établi</x:v>
      </x:c>
      <x:c r="E34" s="17" t="str">
        <x:v>P0</x:v>
      </x:c>
      <x:c r="F34" s="7" t="str">
        <x:v>L’enquête traverse un casino.</x:v>
      </x:c>
      <x:c r="G34" s="7" t="str">
        <x:v>Phase sociale, capteurs et partenaire ; navigation discrète sans combat imposé.</x:v>
      </x:c>
      <x:c r="H34" s="7" t="str">
        <x:v>Phase sociale, capteurs et partenaire ; navigation discrète sans combat imposé.</x:v>
      </x:c>
      <x:c r="I34" s="7" t="str">
        <x:v>Salle de jeu, éclairage or et caméras.</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me3/main_quests/cit-casino ; rattacher les ressources et états cités à cet identifiant. Aucun fichier de jeu créé par ce catalogue.</x:v>
      </x:c>
      <x:c r="M34" s="7" t="str">
        <x:v>DLC Citadel.</x:v>
      </x:c>
      <x:c r="N34" s="7" t="str">
        <x:v>Le livrable « Silver Coast Casino: Infiltration » possède une scène ou un scénario de contrôle ; ses règles proposées, ses conditions et ses retours visuels sont vérifiables séparément.</x:v>
      </x:c>
      <x:c r="O34" s="7" t="str"/>
      <x:c r="P34" s="7" t="str">
        <x:v>Silver Coast Casino: Infiltration</x:v>
      </x:c>
      <x:c r="Q34" s="7" t="str">
        <x:v>ME3-SRC-MISSIONS, ME3-SRC-BW-CITADEL</x:v>
      </x:c>
      <x:c r="R34" s="7" t="str">
        <x:v>https://masseffect.fandom.com/wiki/Missions
https://blog.bioware.com/2013/02/21/mass-effect-3-citadel-reckoning-dlc-announced/</x:v>
      </x:c>
      <x:c r="S34" s="7" t="str">
        <x:v>Spécification à réaliser. Les champs adaptation, gameplay, visual, animation, audio et implementation décrivent le fan game ; ils ne donnent pas des caractéristiques officielles de l’œuvre.</x:v>
      </x:c>
    </x:row>
    <x:row r="35" ht="68" customHeight="1">
      <x:c r="A35" s="18" t="str">
        <x:v>ME3-MQ-CIT-IDENTITY2</x:v>
      </x:c>
      <x:c r="B35" s="9" t="str">
        <x:v>Citadel: Identity Theft II</x:v>
      </x:c>
      <x:c r="C35" s="15" t="str">
        <x:v>Défini</x:v>
      </x:c>
      <x:c r="D35" s="16" t="str">
        <x:v>Établi</x:v>
      </x:c>
      <x:c r="E35" s="16" t="str">
        <x:v>P0</x:v>
      </x:c>
      <x:c r="F35" s="9" t="str">
        <x:v>La piste conduit aux archives.</x:v>
      </x:c>
      <x:c r="G35" s="9" t="str">
        <x:v>Débriefing de groupe et préparation de l’assaut ; conversation de romance sélectionnée par état.</x:v>
      </x:c>
      <x:c r="H35" s="9" t="str">
        <x:v>Débriefing de groupe et préparation de l’assaut ; conversation de romance sélectionnée par état.</x:v>
      </x:c>
      <x:c r="I35" s="9" t="str">
        <x:v>Appartement et carte d’archives.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me3/main_quests/cit-identity2 ; rattacher les ressources et états cités à cet identifiant. Aucun fichier de jeu créé par ce catalogue.</x:v>
      </x:c>
      <x:c r="M35" s="9" t="str">
        <x:v>DLC Citadel.</x:v>
      </x:c>
      <x:c r="N35" s="9" t="str">
        <x:v>Le livrable « Citadel: Identity Theft II » possède une scène ou un scénario de contrôle ; ses règles proposées, ses conditions et ses retours visuels sont vérifiables séparément.</x:v>
      </x:c>
      <x:c r="O35" s="9" t="str"/>
      <x:c r="P35" s="9" t="str">
        <x:v>Citadel: Identity Theft II</x:v>
      </x:c>
      <x:c r="Q35" s="9" t="str">
        <x:v>ME3-SRC-MISSIONS</x:v>
      </x:c>
      <x:c r="R35" s="9" t="str">
        <x:v>https://masseffect.fandom.com/wiki/Missions</x:v>
      </x:c>
      <x:c r="S35" s="9" t="str">
        <x:v>Spécification à réaliser. Les champs adaptation, gameplay, visual, animation, audio et implementation décrivent le fan game ; ils ne donnent pas des caractéristiques officielles de l’œuvre.</x:v>
      </x:c>
    </x:row>
    <x:row r="36" ht="68" customHeight="1">
      <x:c r="A36" s="19" t="str">
        <x:v>ME3-MQ-CIT-ARCHIVES</x:v>
      </x:c>
      <x:c r="B36" s="7" t="str">
        <x:v>Citadel Archives: Escape</x:v>
      </x:c>
      <x:c r="C36" s="15" t="str">
        <x:v>Défini</x:v>
      </x:c>
      <x:c r="D36" s="17" t="str">
        <x:v>Établi</x:v>
      </x:c>
      <x:c r="E36" s="17" t="str">
        <x:v>P0</x:v>
      </x:c>
      <x:c r="F36" s="7" t="str">
        <x:v>Le groupe entre dans les archives.</x:v>
      </x:c>
      <x:c r="G36" s="7" t="str">
        <x:v>Combats à équipes multiples et découverte du clone ; parallèles de groupe représentés par événements précis.</x:v>
      </x:c>
      <x:c r="H36" s="7" t="str">
        <x:v>Combats à équipes multiples et découverte du clone ; parallèles de groupe représentés par événements précis.</x:v>
      </x:c>
      <x:c r="I36" s="7" t="str">
        <x:v>Salles de mémoire, hologrammes et passerelles.</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me3/main_quests/cit-archives ; rattacher les ressources et états cités à cet identifiant. Aucun fichier de jeu créé par ce catalogue.</x:v>
      </x:c>
      <x:c r="M36" s="7" t="str">
        <x:v>DLC Citadel.</x:v>
      </x:c>
      <x:c r="N36" s="7" t="str">
        <x:v>Le livrable « Citadel Archives: Escape » possède une scène ou un scénario de contrôle ; ses règles proposées, ses conditions et ses retours visuels sont vérifiables séparément.</x:v>
      </x:c>
      <x:c r="O36" s="7" t="str"/>
      <x:c r="P36" s="7" t="str">
        <x:v>Citadel Archives: Escape</x:v>
      </x:c>
      <x:c r="Q36" s="7" t="str">
        <x:v>ME3-SRC-MISSIONS, ME3-SRC-BW-CITADEL</x:v>
      </x:c>
      <x:c r="R36" s="7" t="str">
        <x:v>https://masseffect.fandom.com/wiki/Missions
https://blog.bioware.com/2013/02/21/mass-effect-3-citadel-reckoning-dlc-announced/</x:v>
      </x:c>
      <x:c r="S36" s="7" t="str">
        <x:v>Spécification à réaliser. Les champs adaptation, gameplay, visual, animation, audio et implementation décrivent le fan game ; ils ne donnent pas des caractéristiques officielles de l’œuvre.</x:v>
      </x:c>
    </x:row>
    <x:row r="37" ht="82" customHeight="1">
      <x:c r="A37" s="18" t="str">
        <x:v>ME3-MQ-CIT-NORMANDY</x:v>
      </x:c>
      <x:c r="B37" s="9" t="str">
        <x:v>Citadel Docks: Retake the Normandy</x:v>
      </x:c>
      <x:c r="C37" s="15" t="str">
        <x:v>Défini</x:v>
      </x:c>
      <x:c r="D37" s="16" t="str">
        <x:v>Établi</x:v>
      </x:c>
      <x:c r="E37" s="16" t="str">
        <x:v>P0</x:v>
      </x:c>
      <x:c r="F37" s="9" t="str">
        <x:v>Le complot menace le Normandy.</x:v>
      </x:c>
      <x:c r="G37" s="9" t="str">
        <x:v>Assaut de soute et duel clone/Brooks ; contre-mesures selon classe du clone, médi-gel visible.</x:v>
      </x:c>
      <x:c r="H37" s="9" t="str">
        <x:v>Assaut de soute et duel clone/Brooks ; contre-mesures selon classe du clone, médi-gel visible.</x:v>
      </x:c>
      <x:c r="I37" s="9" t="str">
        <x:v>Normandy envahi et rampe de soute.</x:v>
      </x:c>
      <x:c r="J37" s="9" t="str">
        <x:v>Prévoir chaque variante de scène comme état nommé ; lecture, interruption et saut appliquent exactement les mêmes décisions et positions finales. Normandy envahi et rampe de soute.</x:v>
      </x:c>
      <x:c r="K37" s="9" t="str">
        <x:v>Dialogues originaux enregistrés par branche, nom du locuteur et sous-titres ; couper les répliques de personnages absents avant mixage, préserver les alertes utiles pendant les transitions.</x:v>
      </x:c>
      <x:c r="L37" s="9" t="str">
        <x:v>Prévu : fiche de données me3/main_quests/cit-normandy ; rattacher les ressources et états cités à cet identifiant. Aucun fichier de jeu créé par ce catalogue.</x:v>
      </x:c>
      <x:c r="M37" s="9" t="str">
        <x:v>DLC Citadel.</x:v>
      </x:c>
      <x:c r="N37" s="9" t="str">
        <x:v>Chaque classe du clone possède un cycle d’action contrôlable ; skip et lecture complète rendent le même équipement, le même sort de Brooks et le même journal. Aucun invité n’est modifié par le duel.</x:v>
      </x:c>
      <x:c r="O37" s="9" t="str"/>
      <x:c r="P37" s="9" t="str">
        <x:v>Citadel Docks: Retake the Normandy</x:v>
      </x:c>
      <x:c r="Q37" s="9" t="str">
        <x:v>ME3-SRC-MISSIONS, ME3-SRC-CLONE, ME3-SRC-BROOKS</x:v>
      </x:c>
      <x:c r="R37" s="9" t="str">
        <x:v>https://masseffect.fandom.com/wiki/Missions
https://masseffect.fandom.com/wiki/Clone
https://masseffect.fandom.com/wiki/Brooks</x:v>
      </x:c>
      <x:c r="S37" s="9" t="str">
        <x:v>Spécification à réaliser. Les champs adaptation, gameplay, visual, animation, audio et implementation décrivent le fan game ; ils ne donnent pas des caractéristiques officielles de l’œuvre.</x:v>
      </x:c>
    </x:row>
    <x:row r="38" ht="68" customHeight="1">
      <x:c r="A38" s="19" t="str">
        <x:v>ME3-MQ-CIT-PARTY</x:v>
      </x:c>
      <x:c r="B38" s="7" t="str">
        <x:v>Citadel: Party</x:v>
      </x:c>
      <x:c r="C38" s="15" t="str">
        <x:v>Défini</x:v>
      </x:c>
      <x:c r="D38" s="17" t="str">
        <x:v>Établi</x:v>
      </x:c>
      <x:c r="E38" s="17" t="str">
        <x:v>P0</x:v>
      </x:c>
      <x:c r="F38" s="7" t="str">
        <x:v>La permission permet une fête d’équipage.</x:v>
      </x:c>
      <x:c r="G38" s="7" t="str">
        <x:v>Invitations conditionnelles, phases d’ambiance et photo de groupe ; positions sans collision et chronologie explicite.</x:v>
      </x:c>
      <x:c r="H38" s="7" t="str">
        <x:v>Invitations conditionnelles, phases d’ambiance et photo de groupe ; positions sans collision et chronologie explicite.</x:v>
      </x:c>
      <x:c r="I38" s="7" t="str">
        <x:v>Appartement, musique originale et souvenirs.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me3/main_quests/cit-party ; rattacher les ressources et états cités à cet identifiant. Aucun fichier de jeu créé par ce catalogue.</x:v>
      </x:c>
      <x:c r="M38" s="7" t="str">
        <x:v>Personnages vivants et invités uniquement.</x:v>
      </x:c>
      <x:c r="N38" s="7" t="str">
        <x:v>Le livrable « Citadel: Party » possède une scène ou un scénario de contrôle ; ses règles proposées, ses conditions et ses retours visuels sont vérifiables séparément.</x:v>
      </x:c>
      <x:c r="O38" s="7" t="str"/>
      <x:c r="P38" s="7" t="str">
        <x:v>Citadel: Party</x:v>
      </x:c>
      <x:c r="Q38" s="7" t="str">
        <x:v>ME3-SRC-MISSIONS, ME3-SRC-BW-CITADEL</x:v>
      </x:c>
      <x:c r="R38" s="7" t="str">
        <x:v>https://masseffect.fandom.com/wiki/Missions
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sheetData>
  <x:conditionalFormatting sqref="D7:D38">
    <x:cfRule type="cellIs" dxfId="36" priority="1" operator="equal">
      <x:formula>"À vérifier"</x:formula>
    </x:cfRule>
    <x:cfRule type="cellIs" dxfId="37" priority="2" operator="equal">
      <x:formula>"Extrapolation"</x:formula>
    </x:cfRule>
  </x:conditionalFormatting>
  <x:conditionalFormatting sqref="C7:C38">
    <x:cfRule type="cellIs" dxfId="38" priority="3" operator="equal">
      <x:formula>"Validé"</x:formula>
    </x:cfRule>
  </x:conditionalFormatting>
  <x:conditionalFormatting sqref="E7:E38">
    <x:cfRule type="cellIs" dxfId="39" priority="4" operator="equal">
      <x:formula>"P0"</x:formula>
    </x:cfRule>
  </x:conditionalFormatting>
  <x:dataValidations count="3">
    <x:dataValidation type="list" sqref="C7:C38">
      <x:formula1>"Défini,Prototype,Intégré,Validé"</x:formula1>
    </x:dataValidation>
    <x:dataValidation type="list" sqref="D7:D38">
      <x:formula1>"Établi,À vérifier,Extrapolation,Coupé attesté,Concept abandonné,Allégation écartée"</x:formula1>
    </x:dataValidation>
    <x:dataValidation type="list" sqref="E7:E38">
      <x:formula1>"P0,P1,P2"</x:formula1>
    </x:dataValidation>
  </x:dataValidations>
  <x:pageMargins left="0.7" right="0.7" top="0.75" bottom="0.75" header="0.3" footer="0.3"/>
  <x:tableParts count="1">
    <x:tablePart xmlns:r="http://schemas.openxmlformats.org/officeDocument/2006/relationships" r:id="R269d35805086472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3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ME3-SQ-RACHNI</x:v>
      </x:c>
      <x:c r="B7" s="9" t="str">
        <x:v>Attican Traverse: Krogan Team / The Rachni</x:v>
      </x:c>
      <x:c r="C7" s="15" t="str">
        <x:v>Défini</x:v>
      </x:c>
      <x:c r="D7" s="16" t="str">
        <x:v>Établi</x:v>
      </x:c>
      <x:c r="E7" s="16" t="str">
        <x:v>P1</x:v>
      </x:c>
      <x:c r="F7" s="9" t="str">
        <x:v>Une équipe krogan manque à l’appel.</x:v>
      </x:c>
      <x:c r="G7" s="9" t="str">
        <x:v>Exploration de tunnels, flammes contre membranes et choix de reine ; suivre survie de Grunt séparément de l’équipe.</x:v>
      </x:c>
      <x:c r="H7" s="9" t="str">
        <x:v>Exploration de tunnels, flammes contre membranes et choix de reine ; suivre survie de Grunt séparément de l’équipe.</x:v>
      </x:c>
      <x:c r="I7" s="9" t="str">
        <x:v>Cavernes rachni et structures Moissonneurs.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me3/side_quests/rachni ; rattacher les ressources et états cités à cet identifiant. Aucun fichier de jeu créé par ce catalogue.</x:v>
      </x:c>
      <x:c r="M7" s="9" t="str">
        <x:v>Titre selon choix ME1.</x:v>
      </x:c>
      <x:c r="N7" s="9" t="str">
        <x:v>Le livrable « Attican Traverse: Krogan Team / The Rachni » possède une scène ou un scénario de contrôle ; ses règles proposées, ses conditions et ses retours visuels sont vérifiables séparément.</x:v>
      </x:c>
      <x:c r="O7" s="9" t="str"/>
      <x:c r="P7" s="9" t="str">
        <x:v>Attican Traverse: Krogan Team / The Rachni</x:v>
      </x:c>
      <x:c r="Q7" s="9" t="str">
        <x:v>ME3-SRC-RACHNI</x:v>
      </x:c>
      <x:c r="R7" s="9" t="str">
        <x:v>https://masseffect.fandom.com/wiki/Attican_Traverse%3A_Krogan_Team</x:v>
      </x:c>
      <x:c r="S7" s="9" t="str">
        <x:v>Spécification à réaliser. Les champs adaptation, gameplay, visual, animation, audio et implementation décrivent le fan game ; ils ne donnent pas des caractéristiques officielles de l’œuvre.</x:v>
      </x:c>
    </x:row>
    <x:row r="8" ht="68" customHeight="1">
      <x:c r="A8" s="19" t="str">
        <x:v>ME3-SQ-PLATOON</x:v>
      </x:c>
      <x:c r="B8" s="7" t="str">
        <x:v>Tuchanka: Turian Platoon</x:v>
      </x:c>
      <x:c r="C8" s="15" t="str">
        <x:v>Défini</x:v>
      </x:c>
      <x:c r="D8" s="17" t="str">
        <x:v>Établi</x:v>
      </x:c>
      <x:c r="E8" s="17" t="str">
        <x:v>P1</x:v>
      </x:c>
      <x:c r="F8" s="7" t="str">
        <x:v>Un peloton turien doit être secouru.</x:v>
      </x:c>
      <x:c r="G8" s="7" t="str">
        <x:v>Traversée de ruines à menaces aériennes ; dernier combat ouvre l’alerte de bombe.</x:v>
      </x:c>
      <x:c r="H8" s="7" t="str">
        <x:v>Traversée de ruines à menaces aériennes ; dernier combat ouvre l’alerte de bombe.</x:v>
      </x:c>
      <x:c r="I8" s="7" t="str">
        <x:v>Ruines et vaisseau turien abattu.</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me3/side_quests/platoon ; rattacher les ressources et états cités à cet identifiant. Aucun fichier de jeu créé par ce catalogue.</x:v>
      </x:c>
      <x:c r="M8" s="7" t="str"/>
      <x:c r="N8" s="7" t="str">
        <x:v>Le livrable « Tuchanka: Turian Platoon » possède une scène ou un scénario de contrôle ; ses règles proposées, ses conditions et ses retours visuels sont vérifiables séparément.</x:v>
      </x:c>
      <x:c r="O8" s="7" t="str"/>
      <x:c r="P8" s="7" t="str">
        <x:v>Tuchanka: Turian Platoon</x:v>
      </x:c>
      <x:c r="Q8" s="7" t="str">
        <x:v>ME3-SRC-PLATOON</x:v>
      </x:c>
      <x:c r="R8" s="7" t="str">
        <x:v>https://masseffect.fandom.com/wiki/Tuchanka%3A_Turian_Platoon</x:v>
      </x:c>
      <x:c r="S8" s="7" t="str">
        <x:v>Spécification à réaliser. Les champs adaptation, gameplay, visual, animation, audio et implementation décrivent le fan game ; ils ne donnent pas des caractéristiques officielles de l’œuvre.</x:v>
      </x:c>
    </x:row>
    <x:row r="9" ht="82" customHeight="1">
      <x:c r="A9" s="18" t="str">
        <x:v>ME3-SQ-BOMB</x:v>
      </x:c>
      <x:c r="B9" s="9" t="str">
        <x:v>Tuchanka: Bomb</x:v>
      </x:c>
      <x:c r="C9" s="15" t="str">
        <x:v>Défini</x:v>
      </x:c>
      <x:c r="D9" s="16" t="str">
        <x:v>Établi</x:v>
      </x:c>
      <x:c r="E9" s="16" t="str">
        <x:v>P1</x:v>
      </x:c>
      <x:c r="F9" s="9" t="str">
        <x:v>Victus désamorce une bombe.</x:v>
      </x:c>
      <x:c r="G9" s="9" t="str">
        <x:v>Défendre le technicien contre assauts latéraux ; annoncer les transporteurs et garder un abri de secours.</x:v>
      </x:c>
      <x:c r="H9" s="9" t="str">
        <x:v>Défendre le technicien contre assauts latéraux ; annoncer les transporteurs et garder un abri de secours.</x:v>
      </x:c>
      <x:c r="I9" s="9" t="str">
        <x:v>Plateforme de bombe et piliers.</x:v>
      </x:c>
      <x:c r="J9" s="9" t="str">
        <x:v>Prévoir chaque variante de scène comme état nommé ; lecture, interruption et saut appliquent exactement les mêmes décisions et positions finales. Plateforme de bombe et piliers.</x:v>
      </x:c>
      <x:c r="K9" s="9" t="str">
        <x:v>Dialogues originaux enregistrés par branche, nom du locuteur et sous-titres ; couper les répliques de personnages absents avant mixage, préserver les alertes utiles pendant les transitions.</x:v>
      </x:c>
      <x:c r="L9" s="9" t="str">
        <x:v>Prévu : fiche de données me3/side_quests/bomb ; rattacher les ressources et états cités à cet identifiant. Aucun fichier de jeu créé par ce catalogue.</x:v>
      </x:c>
      <x:c r="M9" s="9" t="str">
        <x:v>Mission à échéance de progression.</x:v>
      </x:c>
      <x:c r="N9" s="9" t="str">
        <x:v>La fenêtre compte les événements de mission définis et persiste après sauvegarde ; lancement de Priority: Tuchanka ne doit pas être codé comme expiration automatique sans preuve de la règle choisie.</x:v>
      </x:c>
      <x:c r="O9" s="9" t="str"/>
      <x:c r="P9" s="9" t="str">
        <x:v>Tuchanka: Bomb</x:v>
      </x:c>
      <x:c r="Q9" s="9" t="str">
        <x:v>ME3-SRC-BOMB, ME3-SRC-GUIDE</x:v>
      </x:c>
      <x:c r="R9" s="9" t="str">
        <x:v>https://masseffect.fandom.com/wiki/Tuchanka%3A_Bomb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82" customHeight="1">
      <x:c r="A10" s="19" t="str">
        <x:v>ME3-SQ-GRISSOM</x:v>
      </x:c>
      <x:c r="B10" s="7" t="str">
        <x:v>Grissom Academy: Emergency Evacuation</x:v>
      </x:c>
      <x:c r="C10" s="15" t="str">
        <x:v>Défini</x:v>
      </x:c>
      <x:c r="D10" s="17" t="str">
        <x:v>Établi</x:v>
      </x:c>
      <x:c r="E10" s="17" t="str">
        <x:v>P1</x:v>
      </x:c>
      <x:c r="F10" s="7" t="str">
        <x:v>L’Académie subit une attaque Cerberus.</x:v>
      </x:c>
      <x:c r="G10" s="7" t="str">
        <x:v>Sauver les groupes d’élèves puis évacuer ; écoles de combat et choix d’emploi des élèves séparés.</x:v>
      </x:c>
      <x:c r="H10" s="7" t="str">
        <x:v>Sauver les groupes d’élèves puis évacuer ; écoles de combat et choix d’emploi des élèves séparés.</x:v>
      </x:c>
      <x:c r="I10" s="7" t="str">
        <x:v>Salles de classe, verrière et défenses biotiques.</x:v>
      </x:c>
      <x:c r="J10" s="7" t="str">
        <x:v>Prévoir chaque variante de scène comme état nommé ; lecture, interruption et saut appliquent exactement les mêmes décisions et positions finales. Salles de classe, verrière et défenses biotiques.</x:v>
      </x:c>
      <x:c r="K10" s="7" t="str">
        <x:v>Dialogues originaux enregistrés par branche, nom du locuteur et sous-titres ; couper les répliques de personnages absents avant mixage, préserver les alertes utiles pendant les transitions.</x:v>
      </x:c>
      <x:c r="L10" s="7" t="str">
        <x:v>Prévu : fiche de données me3/side_quests/grissom ; rattacher les ressources et états cités à cet identifiant. Aucun fichier de jeu créé par ce catalogue.</x:v>
      </x:c>
      <x:c r="M10" s="7" t="str">
        <x:v>À terminer dans sa fenêtre de campagne.</x:v>
      </x:c>
      <x:c r="N10" s="7" t="str">
        <x:v>La fenêtre de secours et ses conséquences sont testées ; tous les groupes d’élèves atteignent l’extraction sans collider bloquant, Jack et David n’apparaissent que selon import.</x:v>
      </x:c>
      <x:c r="O10" s="7" t="str"/>
      <x:c r="P10" s="7" t="str">
        <x:v>Grissom Academy: Emergency Evacuation</x:v>
      </x:c>
      <x:c r="Q10" s="7" t="str">
        <x:v>ME3-SRC-GRISSOM</x:v>
      </x:c>
      <x:c r="R10" s="7" t="str">
        <x:v>https://masseffect.fandom.com/wiki/Grissom_Academy%3A_Emergency_Evacuation</x:v>
      </x:c>
      <x:c r="S10" s="7" t="str">
        <x:v>Spécification à réaliser. Les champs adaptation, gameplay, visual, animation, audio et implementation décrivent le fan game ; ils ne donnent pas des caractéristiques officielles de l’œuvre.</x:v>
      </x:c>
    </x:row>
    <x:row r="11" ht="68" customHeight="1">
      <x:c r="A11" s="18" t="str">
        <x:v>ME3-SQ-ARRAE</x:v>
      </x:c>
      <x:c r="B11" s="9" t="str">
        <x:v>Arrae: Ex-Cerberus Scientists</x:v>
      </x:c>
      <x:c r="C11" s="15" t="str">
        <x:v>Défini</x:v>
      </x:c>
      <x:c r="D11" s="16" t="str">
        <x:v>Établi</x:v>
      </x:c>
      <x:c r="E11" s="16" t="str">
        <x:v>P1</x:v>
      </x:c>
      <x:c r="F11" s="9" t="str">
        <x:v>Des scientifiques demandent une évacuation.</x:v>
      </x:c>
      <x:c r="G11" s="9" t="str">
        <x:v>Réparer communications, défendre civils et couvrir la navette ; priorité de menace claire.</x:v>
      </x:c>
      <x:c r="H11" s="9" t="str">
        <x:v>Réparer communications, défendre civils et couvrir la navette ; priorité de menace claire.</x:v>
      </x:c>
      <x:c r="I11" s="9" t="str">
        <x:v>Avant-poste Cerberus retourné et plateau rocheux.</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me3/side_quests/arrae ; rattacher les ressources et états cités à cet identifiant. Aucun fichier de jeu créé par ce catalogue.</x:v>
      </x:c>
      <x:c r="M11" s="9" t="str"/>
      <x:c r="N11" s="9" t="str">
        <x:v>Le livrable « Arrae: Ex-Cerberus Scientists » possède une scène ou un scénario de contrôle ; ses règles proposées, ses conditions et ses retours visuels sont vérifiables séparément.</x:v>
      </x:c>
      <x:c r="O11" s="9" t="str"/>
      <x:c r="P11" s="9" t="str">
        <x:v>Arrae: Ex-Cerberus Scientists</x:v>
      </x:c>
      <x:c r="Q11" s="9" t="str">
        <x:v>ME3-SRC-ARRAE</x:v>
      </x:c>
      <x:c r="R11" s="9" t="str">
        <x:v>https://masseffect.fandom.com/wiki/Arrae%3A_Ex-Cerberus_Scientists</x:v>
      </x:c>
      <x:c r="S11" s="9" t="str">
        <x:v>Spécification à réaliser. Les champs adaptation, gameplay, visual, animation, audio et implementation décrivent le fan game ; ils ne donnent pas des caractéristiques officielles de l’œuvre.</x:v>
      </x:c>
    </x:row>
    <x:row r="12" ht="68" customHeight="1">
      <x:c r="A12" s="19" t="str">
        <x:v>ME3-SQ-KALLINI</x:v>
      </x:c>
      <x:c r="B12" s="7" t="str">
        <x:v>Kallini: Ardat-Yakshi Monastery</x:v>
      </x:c>
      <x:c r="C12" s="15" t="str">
        <x:v>Défini</x:v>
      </x:c>
      <x:c r="D12" s="17" t="str">
        <x:v>Établi</x:v>
      </x:c>
      <x:c r="E12" s="17" t="str">
        <x:v>P1</x:v>
      </x:c>
      <x:c r="F12" s="7" t="str">
        <x:v>Le monastère contient des survivantes.</x:v>
      </x:c>
      <x:c r="G12" s="7" t="str">
        <x:v>Enquête silencieuse, grand hall et sortie explosive ; interruption de Samara accessible.</x:v>
      </x:c>
      <x:c r="H12" s="7" t="str">
        <x:v>Enquête silencieuse, grand hall et sortie explosive ; interruption de Samara accessible.</x:v>
      </x:c>
      <x:c r="I12" s="7" t="str">
        <x:v>Monastère asari, noir profond et architecture sobre.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me3/side_quests/kallini ; rattacher les ressources et états cités à cet identifiant. Aucun fichier de jeu créé par ce catalogue.</x:v>
      </x:c>
      <x:c r="M12" s="7" t="str"/>
      <x:c r="N12" s="7" t="str">
        <x:v>Le livrable « Kallini: Ardat-Yakshi Monastery » possède une scène ou un scénario de contrôle ; ses règles proposées, ses conditions et ses retours visuels sont vérifiables séparément.</x:v>
      </x:c>
      <x:c r="O12" s="7" t="str"/>
      <x:c r="P12" s="7" t="str">
        <x:v>Kallini: Ardat-Yakshi Monastery</x:v>
      </x:c>
      <x:c r="Q12" s="7" t="str">
        <x:v>ME3-SRC-KALLINI</x:v>
      </x:c>
      <x:c r="R12" s="7" t="str">
        <x:v>https://masseffect.fandom.com/wiki/Kallini%3A_Ardat-Yakshi_Monastery</x:v>
      </x:c>
      <x:c r="S12" s="7" t="str">
        <x:v>Spécification à réaliser. Les champs adaptation, gameplay, visual, animation, audio et implementation décrivent le fan game ; ils ne donnent pas des caractéristiques officielles de l’œuvre.</x:v>
      </x:c>
    </x:row>
    <x:row r="13" ht="68" customHeight="1">
      <x:c r="A13" s="18" t="str">
        <x:v>ME3-SQ-KORIS</x:v>
      </x:c>
      <x:c r="B13" s="9" t="str">
        <x:v>Rannoch: Admiral Koris</x:v>
      </x:c>
      <x:c r="C13" s="15" t="str">
        <x:v>Défini</x:v>
      </x:c>
      <x:c r="D13" s="16" t="str">
        <x:v>Établi</x:v>
      </x:c>
      <x:c r="E13" s="16" t="str">
        <x:v>P1</x:v>
      </x:c>
      <x:c r="F13" s="9" t="str">
        <x:v>L’amiral Koris est recherché.</x:v>
      </x:c>
      <x:c r="G13" s="9" t="str">
        <x:v>Détruire défenses puis choisir extraction ; les personnes sauvées influent séparément sur la flotte.</x:v>
      </x:c>
      <x:c r="H13" s="9" t="str">
        <x:v>Détruire défenses puis choisir extraction ; les personnes sauvées influent séparément sur la flotte.</x:v>
      </x:c>
      <x:c r="I13" s="9" t="str">
        <x:v>Base et crash quarian.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me3/side_quests/koris ; rattacher les ressources et états cités à cet identifiant. Aucun fichier de jeu créé par ce catalogue.</x:v>
      </x:c>
      <x:c r="M13" s="9" t="str">
        <x:v>Avant Priority: Rannoch.</x:v>
      </x:c>
      <x:c r="N13" s="9" t="str">
        <x:v>Le livrable « Rannoch: Admiral Koris » possède une scène ou un scénario de contrôle ; ses règles proposées, ses conditions et ses retours visuels sont vérifiables séparément.</x:v>
      </x:c>
      <x:c r="O13" s="9" t="str"/>
      <x:c r="P13" s="9" t="str">
        <x:v>Rannoch: Admiral Koris</x:v>
      </x:c>
      <x:c r="Q13" s="9" t="str">
        <x:v>ME3-SRC-RANNOCH</x:v>
      </x:c>
      <x:c r="R13" s="9" t="str">
        <x:v>https://masseffect.fandom.com/wiki/Priority%3A_Rannoch</x:v>
      </x:c>
      <x:c r="S13" s="9" t="str">
        <x:v>Spécification à réaliser. Les champs adaptation, gameplay, visual, animation, audio et implementation décrivent le fan game ; ils ne donnent pas des caractéristiques officielles de l’œuvre.</x:v>
      </x:c>
    </x:row>
    <x:row r="14" ht="68" customHeight="1">
      <x:c r="A14" s="19" t="str">
        <x:v>ME3-SQ-FIGHTERS</x:v>
      </x:c>
      <x:c r="B14" s="7" t="str">
        <x:v>Rannoch: Geth Fighter Squadrons</x:v>
      </x:c>
      <x:c r="C14" s="15" t="str">
        <x:v>Défini</x:v>
      </x:c>
      <x:c r="D14" s="17" t="str">
        <x:v>Établi</x:v>
      </x:c>
      <x:c r="E14" s="17" t="str">
        <x:v>P1</x:v>
      </x:c>
      <x:c r="F14" s="7" t="str">
        <x:v>Shepard entre dans le consensus geth.</x:v>
      </x:c>
      <x:c r="G14" s="7" t="str">
        <x:v>Nettoyage virtuel simplifié, fragments de mémoire et retour clair au monde réel.</x:v>
      </x:c>
      <x:c r="H14" s="7" t="str">
        <x:v>Nettoyage virtuel simplifié, fragments de mémoire et retour clair au monde réel.</x:v>
      </x:c>
      <x:c r="I14" s="7" t="str">
        <x:v>Espace blanc, lignes de données et reconstitutions.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me3/side_quests/fighters ; rattacher les ressources et états cités à cet identifiant. Aucun fichier de jeu créé par ce catalogue.</x:v>
      </x:c>
      <x:c r="M14" s="7" t="str">
        <x:v>Avant Priority: Rannoch.</x:v>
      </x:c>
      <x:c r="N14" s="7" t="str">
        <x:v>Le livrable « Rannoch: Geth Fighter Squadrons » possède une scène ou un scénario de contrôle ; ses règles proposées, ses conditions et ses retours visuels sont vérifiables séparément.</x:v>
      </x:c>
      <x:c r="O14" s="7" t="str"/>
      <x:c r="P14" s="7" t="str">
        <x:v>Rannoch: Geth Fighter Squadrons</x:v>
      </x:c>
      <x:c r="Q14" s="7" t="str">
        <x:v>ME3-SRC-FIGHTERS</x:v>
      </x:c>
      <x:c r="R14" s="7" t="str">
        <x:v>https://masseffect.fandom.com/wiki/Rannoch%3A_Geth_Fighter_Squadrons</x:v>
      </x:c>
      <x:c r="S14" s="7" t="str">
        <x:v>Spécification à réaliser. Les champs adaptation, gameplay, visual, animation, audio et implementation décrivent le fan game ; ils ne donnent pas des caractéristiques officielles de l’œuvre.</x:v>
      </x:c>
    </x:row>
    <x:row r="15" ht="68" customHeight="1">
      <x:c r="A15" s="18" t="str">
        <x:v>ME3-SQ-N7-LAB</x:v>
      </x:c>
      <x:c r="B15" s="9" t="str">
        <x:v>N7: Cerberus Lab</x:v>
      </x:c>
      <x:c r="C15" s="15" t="str">
        <x:v>Défini</x:v>
      </x:c>
      <x:c r="D15" s="16" t="str">
        <x:v>Établi</x:v>
      </x:c>
      <x:c r="E15" s="16" t="str">
        <x:v>P1</x:v>
      </x:c>
      <x:c r="F15" s="9" t="str">
        <x:v>Mission N7 de laboratoire.</x:v>
      </x:c>
      <x:c r="G15" s="9" t="str">
        <x:v>Récupérer preuves puis tenir l’extraction ; inclure la formule médicale dans un point distinct.</x:v>
      </x:c>
      <x:c r="H15" s="9" t="str">
        <x:v>Récupérer preuves puis tenir l’extraction ; inclure la formule médicale dans un point distinct.</x:v>
      </x:c>
      <x:c r="I15" s="9" t="str">
        <x:v>Installation de Sanctum et neige.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me3/side_quests/n7-lab ; rattacher les ressources et états cités à cet identifiant. Aucun fichier de jeu créé par ce catalogue.</x:v>
      </x:c>
      <x:c r="M15" s="9" t="str"/>
      <x:c r="N15" s="9" t="str">
        <x:v>Le livrable « N7: Cerberus Lab » possède une scène ou un scénario de contrôle ; ses règles proposées, ses conditions et ses retours visuels sont vérifiables séparément.</x:v>
      </x:c>
      <x:c r="O15" s="9" t="str"/>
      <x:c r="P15" s="9" t="str">
        <x:v>N7: Cerberus Lab</x:v>
      </x:c>
      <x:c r="Q15" s="9" t="str">
        <x:v>ME3-SRC-ALIEN-MED, ME3-SRC-GUIDE</x:v>
      </x:c>
      <x:c r="R15" s="9" t="str">
        <x:v>https://masseffect.fandom.com/wiki/Citadel%3A_Alien_Medi-Gel_Formula
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ME3-SQ-N7-ABDUCTIONS</x:v>
      </x:c>
      <x:c r="B16" s="7" t="str">
        <x:v>N7: Cerberus Abductions</x:v>
      </x:c>
      <x:c r="C16" s="15" t="str">
        <x:v>Défini</x:v>
      </x:c>
      <x:c r="D16" s="17" t="str">
        <x:v>Établi</x:v>
      </x:c>
      <x:c r="E16" s="17" t="str">
        <x:v>P1</x:v>
      </x:c>
      <x:c r="F16" s="7" t="str">
        <x:v>Mission N7 d’enlèvements.</x:v>
      </x:c>
      <x:c r="G16" s="7" t="str">
        <x:v>Secourir civils à plusieurs points ; interdire une victoire qui ignore le dernier groupe.</x:v>
      </x:c>
      <x:c r="H16" s="7" t="str">
        <x:v>Secourir civils à plusieurs points ; interdire une victoire qui ignore le dernier groupe.</x:v>
      </x:c>
      <x:c r="I16" s="7" t="str">
        <x:v>Ville et navettes Cerberus.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me3/side_quests/n7-abductions ; rattacher les ressources et états cités à cet identifiant. Aucun fichier de jeu créé par ce catalogue.</x:v>
      </x:c>
      <x:c r="M16" s="7" t="str"/>
      <x:c r="N16" s="7" t="str">
        <x:v>Le livrable « N7: Cerberus Abductions » possède une scène ou un scénario de contrôle ; ses règles proposées, ses conditions et ses retours visuels sont vérifiables séparément.</x:v>
      </x:c>
      <x:c r="O16" s="7" t="str"/>
      <x:c r="P16" s="7" t="str">
        <x:v>N7: Cerberus Abductions</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ME3-SQ-N7-ATTACK</x:v>
      </x:c>
      <x:c r="B17" s="9" t="str">
        <x:v>N7: Cerberus Attack</x:v>
      </x:c>
      <x:c r="C17" s="15" t="str">
        <x:v>Défini</x:v>
      </x:c>
      <x:c r="D17" s="16" t="str">
        <x:v>Établi</x:v>
      </x:c>
      <x:c r="E17" s="16" t="str">
        <x:v>P1</x:v>
      </x:c>
      <x:c r="F17" s="9" t="str">
        <x:v>Mission N7 sur Tuchanka.</x:v>
      </x:c>
      <x:c r="G17" s="9" t="str">
        <x:v>Rétablir un canon puis repousser la riposte ; télégraphier les consoles désactivées.</x:v>
      </x:c>
      <x:c r="H17" s="9" t="str">
        <x:v>Rétablir un canon puis repousser la riposte ; télégraphier les consoles désactivées.</x:v>
      </x:c>
      <x:c r="I17" s="9" t="str">
        <x:v>Cour industrielle et artillerie.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me3/side_quests/n7-attack ; rattacher les ressources et états cités à cet identifiant. Aucun fichier de jeu créé par ce catalogue.</x:v>
      </x:c>
      <x:c r="M17" s="9" t="str"/>
      <x:c r="N17" s="9" t="str">
        <x:v>Le livrable « N7: Cerberus Attack » possède une scène ou un scénario de contrôle ; ses règles proposées, ses conditions et ses retours visuels sont vérifiables séparément.</x:v>
      </x:c>
      <x:c r="O17" s="9" t="str"/>
      <x:c r="P17" s="9" t="str">
        <x:v>N7: Cerberus Attack</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ME3-SQ-N7-FIGHTER</x:v>
      </x:c>
      <x:c r="B18" s="7" t="str">
        <x:v>N7: Cerberus Fighter Base</x:v>
      </x:c>
      <x:c r="C18" s="15" t="str">
        <x:v>Défini</x:v>
      </x:c>
      <x:c r="D18" s="17" t="str">
        <x:v>Établi</x:v>
      </x:c>
      <x:c r="E18" s="17" t="str">
        <x:v>P1</x:v>
      </x:c>
      <x:c r="F18" s="7" t="str">
        <x:v>Mission N7 d’aérodrome.</x:v>
      </x:c>
      <x:c r="G18" s="7" t="str">
        <x:v>Neutraliser appareils et sécuriser les commandes ; éviter la confusion entre objectif et décoration aérienne.</x:v>
      </x:c>
      <x:c r="H18" s="7" t="str">
        <x:v>Neutraliser appareils et sécuriser les commandes ; éviter la confusion entre objectif et décoration aérienne.</x:v>
      </x:c>
      <x:c r="I18" s="7" t="str">
        <x:v>Base enneigée, hangars et pistes.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me3/side_quests/n7-fighter ; rattacher les ressources et états cités à cet identifiant. Aucun fichier de jeu créé par ce catalogue.</x:v>
      </x:c>
      <x:c r="M18" s="7" t="str"/>
      <x:c r="N18" s="7" t="str">
        <x:v>Le livrable « N7: Cerberus Fighter Base » possède une scène ou un scénario de contrôle ; ses règles proposées, ses conditions et ses retours visuels sont vérifiables séparément.</x:v>
      </x:c>
      <x:c r="O18" s="7" t="str"/>
      <x:c r="P18" s="7" t="str">
        <x:v>N7: Cerberus Fighter Base</x:v>
      </x:c>
      <x:c r="Q18" s="7" t="str">
        <x:v>ME3-SRC-GUIDE</x:v>
      </x:c>
      <x:c r="R18" s="7" t="str">
        <x:v>https://masseffect.fandom.com/wiki/Mass_Effect_3_Guide</x:v>
      </x:c>
      <x:c r="S18" s="7" t="str">
        <x:v>Spécification à réaliser. Les champs adaptation, gameplay, visual, animation, audio et implementation décrivent le fan game ; ils ne donnent pas des caractéristiques officielles de l’œuvre.</x:v>
      </x:c>
    </x:row>
    <x:row r="19" ht="68" customHeight="1">
      <x:c r="A19" s="18" t="str">
        <x:v>ME3-SQ-N7-REACTOR</x:v>
      </x:c>
      <x:c r="B19" s="9" t="str">
        <x:v>N7: Fuel Reactors</x:v>
      </x:c>
      <x:c r="C19" s="15" t="str">
        <x:v>Défini</x:v>
      </x:c>
      <x:c r="D19" s="16" t="str">
        <x:v>Établi</x:v>
      </x:c>
      <x:c r="E19" s="16" t="str">
        <x:v>P1</x:v>
      </x:c>
      <x:c r="F19" s="9" t="str">
        <x:v>Mission N7 de réacteurs.</x:v>
      </x:c>
      <x:c r="G19" s="9" t="str">
        <x:v>Réacheminer le carburant et protéger les intervenants ; signaux de fuite lisibles avec effets réduits.</x:v>
      </x:c>
      <x:c r="H19" s="9" t="str">
        <x:v>Réacheminer le carburant et protéger les intervenants ; signaux de fuite lisibles avec effets réduits.</x:v>
      </x:c>
      <x:c r="I19" s="9" t="str">
        <x:v>Réacteur et conduites vertes.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me3/side_quests/n7-reactor ; rattacher les ressources et états cités à cet identifiant. Aucun fichier de jeu créé par ce catalogue.</x:v>
      </x:c>
      <x:c r="M19" s="9" t="str"/>
      <x:c r="N19" s="9" t="str">
        <x:v>Le livrable « N7: Fuel Reactors » possède une scène ou un scénario de contrôle ; ses règles proposées, ses conditions et ses retours visuels sont vérifiables séparément.</x:v>
      </x:c>
      <x:c r="O19" s="9" t="str"/>
      <x:c r="P19" s="9" t="str">
        <x:v>N7: Fuel Reactors</x:v>
      </x:c>
      <x:c r="Q19" s="9" t="str">
        <x:v>ME3-SRC-MISSIONS</x:v>
      </x:c>
      <x:c r="R19" s="9" t="str">
        <x:v>https://masseffect.fandom.com/wiki/Missions</x:v>
      </x:c>
      <x:c r="S19" s="9" t="str">
        <x:v>Spécification à réaliser. Les champs adaptation, gameplay, visual, animation, audio et implementation décrivent le fan game ; ils ne donnent pas des caractéristiques officielles de l’œuvre.</x:v>
      </x:c>
    </x:row>
    <x:row r="20" ht="68" customHeight="1">
      <x:c r="A20" s="19" t="str">
        <x:v>ME3-SQ-N7-COMMS</x:v>
      </x:c>
      <x:c r="B20" s="7" t="str">
        <x:v>N7: Communication Hub</x:v>
      </x:c>
      <x:c r="C20" s="15" t="str">
        <x:v>Défini</x:v>
      </x:c>
      <x:c r="D20" s="17" t="str">
        <x:v>Établi</x:v>
      </x:c>
      <x:c r="E20" s="17" t="str">
        <x:v>P1</x:v>
      </x:c>
      <x:c r="F20" s="7" t="str">
        <x:v>Mission N7 de communications.</x:v>
      </x:c>
      <x:c r="G20" s="7" t="str">
        <x:v>Désactiver des nœuds à distance puis extraction ; les renforts viennent de routes marquées.</x:v>
      </x:c>
      <x:c r="H20" s="7" t="str">
        <x:v>Désactiver des nœuds à distance puis extraction ; les renforts viennent de routes marquées.</x:v>
      </x:c>
      <x:c r="I20" s="7" t="str">
        <x:v>Antenne et plateformes rocheuses.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me3/side_quests/n7-comms ; rattacher les ressources et états cités à cet identifiant. Aucun fichier de jeu créé par ce catalogue.</x:v>
      </x:c>
      <x:c r="M20" s="7" t="str"/>
      <x:c r="N20" s="7" t="str">
        <x:v>Le livrable « N7: Communication Hub » possède une scène ou un scénario de contrôle ; ses règles proposées, ses conditions et ses retours visuels sont vérifiables séparément.</x:v>
      </x:c>
      <x:c r="O20" s="7" t="str"/>
      <x:c r="P20" s="7" t="str">
        <x:v>N7: Communication Hub</x:v>
      </x:c>
      <x:c r="Q20" s="7" t="str">
        <x:v>ME3-SRC-MISSIONS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ME3-SQ-ARIA-BLOOD</x:v>
      </x:c>
      <x:c r="B21" s="9" t="str">
        <x:v>Aria: Blood Pack</x:v>
      </x:c>
      <x:c r="C21" s="15" t="str">
        <x:v>Défini</x:v>
      </x:c>
      <x:c r="D21" s="16" t="str">
        <x:v>Établi</x:v>
      </x:c>
      <x:c r="E21" s="16" t="str">
        <x:v>P1</x:v>
      </x:c>
      <x:c r="F21" s="9" t="str">
        <x:v>Recrutement de mercenaires pour Aria.</x:v>
      </x:c>
      <x:c r="G21" s="9" t="str">
        <x:v>Scène de négociation distincte d’Omega DLC ; résultat ajoute une contribution une seule fois.</x:v>
      </x:c>
      <x:c r="H21" s="9" t="str">
        <x:v>Scène de négociation distincte d’Omega DLC ; résultat ajoute une contribution une seule fois.</x:v>
      </x:c>
      <x:c r="I21" s="9" t="str">
        <x:v>Bar et rencontre de faction.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me3/side_quests/aria-blood ; rattacher les ressources et états cités à cet identifiant. Aucun fichier de jeu créé par ce catalogue.</x:v>
      </x:c>
      <x:c r="M21" s="9" t="str"/>
      <x:c r="N21" s="9" t="str">
        <x:v>Le livrable « Aria: Blood Pack » possède une scène ou un scénario de contrôle ; ses règles proposées, ses conditions et ses retours visuels sont vérifiables séparément.</x:v>
      </x:c>
      <x:c r="O21" s="9" t="str"/>
      <x:c r="P21" s="9" t="str">
        <x:v>Aria: Blood Pack</x:v>
      </x:c>
      <x:c r="Q21" s="9" t="str">
        <x:v>ME3-SRC-CITADEL</x:v>
      </x:c>
      <x:c r="R21" s="9" t="str">
        <x:v>https://masseffect.fandom.com/wiki/Citadel</x:v>
      </x:c>
      <x:c r="S21" s="9" t="str">
        <x:v>Spécification à réaliser. Les champs adaptation, gameplay, visual, animation, audio et implementation décrivent le fan game ; ils ne donnent pas des caractéristiques officielles de l’œuvre.</x:v>
      </x:c>
    </x:row>
    <x:row r="22" ht="68" customHeight="1">
      <x:c r="A22" s="19" t="str">
        <x:v>ME3-SQ-ARIA-BLUE</x:v>
      </x:c>
      <x:c r="B22" s="7" t="str">
        <x:v>Aria: Blue Suns</x:v>
      </x:c>
      <x:c r="C22" s="15" t="str">
        <x:v>Défini</x:v>
      </x:c>
      <x:c r="D22" s="17" t="str">
        <x:v>Établi</x:v>
      </x:c>
      <x:c r="E22" s="17" t="str">
        <x:v>P1</x:v>
      </x:c>
      <x:c r="F22" s="7" t="str">
        <x:v>Recrutement de mercenaires pour Aria.</x:v>
      </x:c>
      <x:c r="G22" s="7" t="str">
        <x:v>Choisir méthode d’accord ; enregistrer conditions et interlocuteur final.</x:v>
      </x:c>
      <x:c r="H22" s="7" t="str">
        <x:v>Choisir méthode d’accord ; enregistrer conditions et interlocuteur final.</x:v>
      </x:c>
      <x:c r="I22" s="7" t="str">
        <x:v>Docks et contacts militaires.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me3/side_quests/aria-blue ; rattacher les ressources et états cités à cet identifiant. Aucun fichier de jeu créé par ce catalogue.</x:v>
      </x:c>
      <x:c r="M22" s="7" t="str"/>
      <x:c r="N22" s="7" t="str">
        <x:v>Le livrable « Aria: Blue Suns » possède une scène ou un scénario de contrôle ; ses règles proposées, ses conditions et ses retours visuels sont vérifiables séparément.</x:v>
      </x:c>
      <x:c r="O22" s="7" t="str"/>
      <x:c r="P22" s="7" t="str">
        <x:v>Aria: Blue Suns</x:v>
      </x:c>
      <x:c r="Q22" s="7" t="str">
        <x:v>ME3-SRC-CITADEL</x:v>
      </x:c>
      <x:c r="R22" s="7" t="str">
        <x:v>https://masseffect.fandom.com/wiki/Citadel</x:v>
      </x:c>
      <x:c r="S22" s="7" t="str">
        <x:v>Spécification à réaliser. Les champs adaptation, gameplay, visual, animation, audio et implementation décrivent le fan game ; ils ne donnent pas des caractéristiques officielles de l’œuvre.</x:v>
      </x:c>
    </x:row>
    <x:row r="23" ht="68" customHeight="1">
      <x:c r="A23" s="18" t="str">
        <x:v>ME3-SQ-ARIA-ECLIPSE</x:v>
      </x:c>
      <x:c r="B23" s="9" t="str">
        <x:v>Aria: Eclipse</x:v>
      </x:c>
      <x:c r="C23" s="15" t="str">
        <x:v>Défini</x:v>
      </x:c>
      <x:c r="D23" s="16" t="str">
        <x:v>Établi</x:v>
      </x:c>
      <x:c r="E23" s="16" t="str">
        <x:v>P1</x:v>
      </x:c>
      <x:c r="F23" s="9" t="str">
        <x:v>Recrutement de mercenaires pour Aria.</x:v>
      </x:c>
      <x:c r="G23" s="9" t="str">
        <x:v>Enquête entre C-Sec et dirigeant ; séparer libération et succession interne.</x:v>
      </x:c>
      <x:c r="H23" s="9" t="str">
        <x:v>Enquête entre C-Sec et dirigeant ; séparer libération et succession interne.</x:v>
      </x:c>
      <x:c r="I23" s="9" t="str">
        <x:v>Bureau C-Sec et bar.</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me3/side_quests/aria-eclipse ; rattacher les ressources et états cités à cet identifiant. Aucun fichier de jeu créé par ce catalogue.</x:v>
      </x:c>
      <x:c r="M23" s="9" t="str"/>
      <x:c r="N23" s="9" t="str">
        <x:v>Le livrable « Aria: Eclipse » possède une scène ou un scénario de contrôle ; ses règles proposées, ses conditions et ses retours visuels sont vérifiables séparément.</x:v>
      </x:c>
      <x:c r="O23" s="9" t="str"/>
      <x:c r="P23" s="9" t="str">
        <x:v>Aria: Eclipse</x:v>
      </x:c>
      <x:c r="Q23" s="9" t="str">
        <x:v>ME3-SRC-CITADEL</x:v>
      </x:c>
      <x:c r="R23" s="9" t="str">
        <x:v>https://masseffect.fandom.com/wiki/Citadel</x:v>
      </x:c>
      <x:c r="S23" s="9" t="str">
        <x:v>Spécification à réaliser. Les champs adaptation, gameplay, visual, animation, audio et implementation décrivent le fan game ; ils ne donnent pas des caractéristiques officielles de l’œuvre.</x:v>
      </x:c>
    </x:row>
    <x:row r="24" ht="68" customHeight="1">
      <x:c r="A24" s="19" t="str">
        <x:v>ME3-SQ-HANAR</x:v>
      </x:c>
      <x:c r="B24" s="7" t="str">
        <x:v>Citadel: Hanar Diplomat</x:v>
      </x:c>
      <x:c r="C24" s="15" t="str">
        <x:v>Défini</x:v>
      </x:c>
      <x:c r="D24" s="17" t="str">
        <x:v>Établi</x:v>
      </x:c>
      <x:c r="E24" s="17" t="str">
        <x:v>P1</x:v>
      </x:c>
      <x:c r="F24" s="7" t="str">
        <x:v>Enquête de diplomate hanari.</x:v>
      </x:c>
      <x:c r="G24" s="7" t="str">
        <x:v>Suivre les terminaux dans l’ordre de preuve ; Kasumi apparaît seulement sous ses conditions.</x:v>
      </x:c>
      <x:c r="H24" s="7" t="str">
        <x:v>Suivre les terminaux dans l’ordre de preuve ; Kasumi apparaît seulement sous ses conditions.</x:v>
      </x:c>
      <x:c r="I24" s="7" t="str">
        <x:v>Ambassades et écrans de trafic.</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me3/side_quests/hanar ; rattacher les ressources et états cités à cet identifiant. Aucun fichier de jeu créé par ce catalogue.</x:v>
      </x:c>
      <x:c r="M24" s="7" t="str"/>
      <x:c r="N24" s="7" t="str">
        <x:v>Le livrable « Citadel: Hanar Diplomat » possède une scène ou un scénario de contrôle ; ses règles proposées, ses conditions et ses retours visuels sont vérifiables séparément.</x:v>
      </x:c>
      <x:c r="O24" s="7" t="str"/>
      <x:c r="P24" s="7" t="str">
        <x:v>Citadel: Hanar Diplomat</x:v>
      </x:c>
      <x:c r="Q24" s="7" t="str">
        <x:v>ME3-SRC-CITADEL</x:v>
      </x:c>
      <x:c r="R24" s="7" t="str">
        <x:v>https://masseffect.fandom.com/wiki/Citadel</x:v>
      </x:c>
      <x:c r="S24" s="7" t="str">
        <x:v>Spécification à réaliser. Les champs adaptation, gameplay, visual, animation, audio et implementation décrivent le fan game ; ils ne donnent pas des caractéristiques officielles de l’œuvre.</x:v>
      </x:c>
    </x:row>
    <x:row r="25" ht="68" customHeight="1">
      <x:c r="A25" s="18" t="str">
        <x:v>ME3-SQ-VOLUS</x:v>
      </x:c>
      <x:c r="B25" s="9" t="str">
        <x:v>Citadel: Volus Ambassador</x:v>
      </x:c>
      <x:c r="C25" s="15" t="str">
        <x:v>Défini</x:v>
      </x:c>
      <x:c r="D25" s="16" t="str">
        <x:v>Établi</x:v>
      </x:c>
      <x:c r="E25" s="16" t="str">
        <x:v>P1</x:v>
      </x:c>
      <x:c r="F25" s="9" t="str">
        <x:v>Enquête d’ambassadeur volus.</x:v>
      </x:c>
      <x:c r="G25" s="9" t="str">
        <x:v>Recouper communication et rendez-vous ; Zaeed conditionnel ne devient pas compagnon permanent.</x:v>
      </x:c>
      <x:c r="H25" s="9" t="str">
        <x:v>Recouper communication et rendez-vous ; Zaeed conditionnel ne devient pas compagnon permanent.</x:v>
      </x:c>
      <x:c r="I25" s="9" t="str">
        <x:v>Ambassade et appartements.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me3/side_quests/volus ; rattacher les ressources et états cités à cet identifiant. Aucun fichier de jeu créé par ce catalogue.</x:v>
      </x:c>
      <x:c r="M25" s="9" t="str"/>
      <x:c r="N25" s="9" t="str">
        <x:v>Le livrable « Citadel: Volus Ambassador » possède une scène ou un scénario de contrôle ; ses règles proposées, ses conditions et ses retours visuels sont vérifiables séparément.</x:v>
      </x:c>
      <x:c r="O25" s="9" t="str"/>
      <x:c r="P25" s="9" t="str">
        <x:v>Citadel: Volus Ambassador</x:v>
      </x:c>
      <x:c r="Q25" s="9" t="str">
        <x:v>ME3-SRC-CITADEL</x:v>
      </x:c>
      <x:c r="R25" s="9" t="str">
        <x:v>https://masseffect.fandom.com/wiki/Citadel</x:v>
      </x:c>
      <x:c r="S25" s="9" t="str">
        <x:v>Spécification à réaliser. Les champs adaptation, gameplay, visual, animation, audio et implementation décrivent le fan game ; ils ne donnent pas des caractéristiques officielles de l’œuvre.</x:v>
      </x:c>
    </x:row>
    <x:row r="26" ht="68" customHeight="1">
      <x:c r="A26" s="19" t="str">
        <x:v>ME3-SQ-BATARIAN</x:v>
      </x:c>
      <x:c r="B26" s="7" t="str">
        <x:v>Citadel: Batarian Codes</x:v>
      </x:c>
      <x:c r="C26" s="15" t="str">
        <x:v>Défini</x:v>
      </x:c>
      <x:c r="D26" s="17" t="str">
        <x:v>Établi</x:v>
      </x:c>
      <x:c r="E26" s="17" t="str">
        <x:v>P1</x:v>
      </x:c>
      <x:c r="F26" s="7" t="str">
        <x:v>Enquête sur des accès batariens.</x:v>
      </x:c>
      <x:c r="G26" s="7" t="str">
        <x:v>Relier terminaux et suspect ; choix final conserve identité et contribution de guerre.</x:v>
      </x:c>
      <x:c r="H26" s="7" t="str">
        <x:v>Relier terminaux et suspect ; choix final conserve identité et contribution de guerre.</x:v>
      </x:c>
      <x:c r="I26" s="7" t="str">
        <x:v>Postes de transit et holo-enquête.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me3/side_quests/batarian ; rattacher les ressources et états cités à cet identifiant. Aucun fichier de jeu créé par ce catalogue.</x:v>
      </x:c>
      <x:c r="M26" s="7" t="str"/>
      <x:c r="N26" s="7" t="str">
        <x:v>Le livrable « Citadel: Batarian Codes » possède une scène ou un scénario de contrôle ; ses règles proposées, ses conditions et ses retours visuels sont vérifiables séparément.</x:v>
      </x:c>
      <x:c r="O26" s="7" t="str"/>
      <x:c r="P26" s="7" t="str">
        <x:v>Citadel: Batarian Codes</x:v>
      </x:c>
      <x:c r="Q26" s="7" t="str">
        <x:v>ME3-SRC-CITADEL, ME3-SRC-WAR-ALIEN</x:v>
      </x:c>
      <x:c r="R26" s="7" t="str">
        <x:v>https://masseffect.fandom.com/wiki/Citadel
https://masseffect.fandom.com/wiki/War_Assets/Alien</x:v>
      </x:c>
      <x:c r="S26" s="7" t="str">
        <x:v>Spécification à réaliser. Les champs adaptation, gameplay, visual, animation, audio et implementation décrivent le fan game ; ils ne donnent pas des caractéristiques officielles de l’œuvre.</x:v>
      </x:c>
    </x:row>
    <x:row r="27" ht="68" customHeight="1">
      <x:c r="A27" s="18" t="str">
        <x:v>ME3-SQ-SABOTAGE</x:v>
      </x:c>
      <x:c r="B27" s="9" t="str">
        <x:v>Citadel: Medi-Gel Sabotage</x:v>
      </x:c>
      <x:c r="C27" s="15" t="str">
        <x:v>Défini</x:v>
      </x:c>
      <x:c r="D27" s="16" t="str">
        <x:v>Établi</x:v>
      </x:c>
      <x:c r="E27" s="16" t="str">
        <x:v>P1</x:v>
      </x:c>
      <x:c r="F27" s="9" t="str">
        <x:v>Mission concernant des dispensateurs.</x:v>
      </x:c>
      <x:c r="G27" s="9" t="str">
        <x:v>Inspecter plusieurs distributeurs puis signaler le responsable ; état de preuve séparé de réparation.</x:v>
      </x:c>
      <x:c r="H27" s="9" t="str">
        <x:v>Inspecter plusieurs distributeurs puis signaler le responsable ; état de preuve séparé de réparation.</x:v>
      </x:c>
      <x:c r="I27" s="9" t="str">
        <x:v>Camp de réfugiés et distributeurs.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me3/side_quests/sabotage ; rattacher les ressources et états cités à cet identifiant. Aucun fichier de jeu créé par ce catalogue.</x:v>
      </x:c>
      <x:c r="M27" s="9" t="str"/>
      <x:c r="N27" s="9" t="str">
        <x:v>Le livrable « Citadel: Medi-Gel Sabotage » possède une scène ou un scénario de contrôle ; ses règles proposées, ses conditions et ses retours visuels sont vérifiables séparément.</x:v>
      </x:c>
      <x:c r="O27" s="9" t="str"/>
      <x:c r="P27" s="9" t="str">
        <x:v>Citadel: Medi-Gel Sabotage</x:v>
      </x:c>
      <x:c r="Q27" s="9" t="str">
        <x:v>ME3-SRC-CITADEL</x:v>
      </x:c>
      <x:c r="R27" s="9" t="str">
        <x:v>https://masseffect.fandom.com/wiki/Citadel</x:v>
      </x:c>
      <x:c r="S27" s="9" t="str">
        <x:v>Spécification à réaliser. Les champs adaptation, gameplay, visual, animation, audio et implementation décrivent le fan game ; ils ne donnent pas des caractéristiques officielles de l’œuvre.</x:v>
      </x:c>
    </x:row>
    <x:row r="28" ht="68" customHeight="1">
      <x:c r="A28" s="19" t="str">
        <x:v>ME3-SQ-RETRIBUTION</x:v>
      </x:c>
      <x:c r="B28" s="7" t="str">
        <x:v>Citadel: Cerberus Retribution</x:v>
      </x:c>
      <x:c r="C28" s="15" t="str">
        <x:v>Défini</x:v>
      </x:c>
      <x:c r="D28" s="17" t="str">
        <x:v>Établi</x:v>
      </x:c>
      <x:c r="E28" s="17" t="str">
        <x:v>P1</x:v>
      </x:c>
      <x:c r="F28" s="7" t="str">
        <x:v>Mission de Citadelle.</x:v>
      </x:c>
      <x:c r="G28" s="7" t="str">
        <x:v>Enquête de sécurité à deux contacts ; consigner l’information sans ajouter un combat de quartier non attesté.</x:v>
      </x:c>
      <x:c r="H28" s="7" t="str">
        <x:v>Enquête de sécurité à deux contacts ; consigner l’information sans ajouter un combat de quartier non attesté.</x:v>
      </x:c>
      <x:c r="I28" s="7" t="str">
        <x:v>Secteur civil et communications.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me3/side_quests/retribution ; rattacher les ressources et états cités à cet identifiant. Aucun fichier de jeu créé par ce catalogue.</x:v>
      </x:c>
      <x:c r="M28" s="7" t="str"/>
      <x:c r="N28" s="7" t="str">
        <x:v>Le livrable « Citadel: Cerberus Retribution » possède une scène ou un scénario de contrôle ; ses règles proposées, ses conditions et ses retours visuels sont vérifiables séparément.</x:v>
      </x:c>
      <x:c r="O28" s="7" t="str"/>
      <x:c r="P28" s="7" t="str">
        <x:v>Citadel: Cerberus Retribution</x:v>
      </x:c>
      <x:c r="Q28" s="7" t="str">
        <x:v>ME3-SRC-CITADEL</x:v>
      </x:c>
      <x:c r="R28" s="7" t="str">
        <x:v>https://masseffect.fandom.com/wiki/Citadel</x:v>
      </x:c>
      <x:c r="S28" s="7" t="str">
        <x:v>Spécification à réaliser. Les champs adaptation, gameplay, visual, animation, audio et implementation décrivent le fan game ; ils ne donnent pas des caractéristiques officielles de l’œuvre.</x:v>
      </x:c>
    </x:row>
    <x:row r="29" ht="68" customHeight="1">
      <x:c r="A29" s="18" t="str">
        <x:v>ME3-SQ-STORIES</x:v>
      </x:c>
      <x:c r="B29" s="9" t="str">
        <x:v>Citadel: Inspirational Stories</x:v>
      </x:c>
      <x:c r="C29" s="15" t="str">
        <x:v>Défini</x:v>
      </x:c>
      <x:c r="D29" s="16" t="str">
        <x:v>Établi</x:v>
      </x:c>
      <x:c r="E29" s="16" t="str">
        <x:v>P1</x:v>
      </x:c>
      <x:c r="F29" s="9" t="str">
        <x:v>Mission de reportages.</x:v>
      </x:c>
      <x:c r="G29" s="9" t="str">
        <x:v>Collecter des cadrages autorisés dans le camp puis valider un compte rendu original.</x:v>
      </x:c>
      <x:c r="H29" s="9" t="str">
        <x:v>Collecter des cadrages autorisés dans le camp puis valider un compte rendu original.</x:v>
      </x:c>
      <x:c r="I29" s="9" t="str">
        <x:v>Points de vue sur aides et réfugiés.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me3/side_quests/stories ; rattacher les ressources et états cités à cet identifiant. Aucun fichier de jeu créé par ce catalogue.</x:v>
      </x:c>
      <x:c r="M29" s="9" t="str"/>
      <x:c r="N29" s="9" t="str">
        <x:v>Le livrable « Citadel: Inspirational Stories » possède une scène ou un scénario de contrôle ; ses règles proposées, ses conditions et ses retours visuels sont vérifiables séparément.</x:v>
      </x:c>
      <x:c r="O29" s="9" t="str"/>
      <x:c r="P29" s="9" t="str">
        <x:v>Citadel: Inspirational Stories</x:v>
      </x:c>
      <x:c r="Q29" s="9" t="str">
        <x:v>ME3-SRC-CITADEL</x:v>
      </x:c>
      <x:c r="R29" s="9" t="str">
        <x:v>https://masseffect.fandom.com/wiki/Citadel</x:v>
      </x:c>
      <x:c r="S29" s="9" t="str">
        <x:v>Spécification à réaliser. Les champs adaptation, gameplay, visual, animation, audio et implementation décrivent le fan game ; ils ne donnent pas des caractéristiques officielles de l’œuvre.</x:v>
      </x:c>
    </x:row>
    <x:row r="30" ht="68" customHeight="1">
      <x:c r="A30" s="19" t="str">
        <x:v>ME3-SQ-WOUNDED</x:v>
      </x:c>
      <x:c r="B30" s="7" t="str">
        <x:v>Citadel: Wounded Batarian</x:v>
      </x:c>
      <x:c r="C30" s="15" t="str">
        <x:v>Défini</x:v>
      </x:c>
      <x:c r="D30" s="17" t="str">
        <x:v>Établi</x:v>
      </x:c>
      <x:c r="E30" s="17" t="str">
        <x:v>P1</x:v>
      </x:c>
      <x:c r="F30" s="7" t="str">
        <x:v>Un blessé peut être rencontré.</x:v>
      </x:c>
      <x:c r="G30" s="7" t="str">
        <x:v>Dialogue médical et moral avec choix explicite ; ne pas récompenser la souffrance comme mini-jeu.</x:v>
      </x:c>
      <x:c r="H30" s="7" t="str">
        <x:v>Dialogue médical et moral avec choix explicite ; ne pas récompenser la souffrance comme mini-jeu.</x:v>
      </x:c>
      <x:c r="I30" s="7" t="str">
        <x:v>Hôpital, lit et respiration filtrée.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me3/side_quests/wounded ; rattacher les ressources et états cités à cet identifiant. Aucun fichier de jeu créé par ce catalogue.</x:v>
      </x:c>
      <x:c r="M30" s="7" t="str"/>
      <x:c r="N30" s="7" t="str">
        <x:v>Le livrable « Citadel: Wounded Batarian » possède une scène ou un scénario de contrôle ; ses règles proposées, ses conditions et ses retours visuels sont vérifiables séparément.</x:v>
      </x:c>
      <x:c r="O30" s="7" t="str"/>
      <x:c r="P30" s="7" t="str">
        <x:v>Citadel: Wounded Batarian</x:v>
      </x:c>
      <x:c r="Q30" s="7" t="str">
        <x:v>ME3-SRC-CITADEL</x:v>
      </x:c>
      <x:c r="R30" s="7" t="str">
        <x:v>https://masseffect.fandom.com/wiki/Citadel</x:v>
      </x:c>
      <x:c r="S30" s="7" t="str">
        <x:v>Spécification à réaliser. Les champs adaptation, gameplay, visual, animation, audio et implementation décrivent le fan game ; ils ne donnent pas des caractéristiques officielles de l’œuvre.</x:v>
      </x:c>
    </x:row>
    <x:row r="31" ht="68" customHeight="1">
      <x:c r="A31" s="18" t="str">
        <x:v>ME3-SQ-BARLAVON</x:v>
      </x:c>
      <x:c r="B31" s="9" t="str">
        <x:v>Citadel: Barla Von</x:v>
      </x:c>
      <x:c r="C31" s="15" t="str">
        <x:v>Défini</x:v>
      </x:c>
      <x:c r="D31" s="16" t="str">
        <x:v>Établi</x:v>
      </x:c>
      <x:c r="E31" s="16" t="str">
        <x:v>P1</x:v>
      </x:c>
      <x:c r="F31" s="9" t="str">
        <x:v>Mission fournie par Barla Von.</x:v>
      </x:c>
      <x:c r="G31" s="9" t="str">
        <x:v>Piste galactique puis compte rendu ; distinguer données trouvées et personne contactée.</x:v>
      </x:c>
      <x:c r="H31" s="9" t="str">
        <x:v>Piste galactique puis compte rendu ; distinguer données trouvées et personne contactée.</x:v>
      </x:c>
      <x:c r="I31" s="9" t="str">
        <x:v>Banquier volus et carte de région.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me3/side_quests/barlavon ; rattacher les ressources et états cités à cet identifiant. Aucun fichier de jeu créé par ce catalogue.</x:v>
      </x:c>
      <x:c r="M31" s="9" t="str"/>
      <x:c r="N31" s="9" t="str">
        <x:v>Le livrable « Citadel: Barla Von » possède une scène ou un scénario de contrôle ; ses règles proposées, ses conditions et ses retours visuels sont vérifiables séparément.</x:v>
      </x:c>
      <x:c r="O31" s="9" t="str"/>
      <x:c r="P31" s="9" t="str">
        <x:v>Citadel: Barla Von</x:v>
      </x:c>
      <x:c r="Q31" s="9" t="str">
        <x:v>ME3-SRC-CITADEL</x:v>
      </x:c>
      <x:c r="R31" s="9" t="str">
        <x:v>https://masseffect.fandom.com/wiki/Citadel</x:v>
      </x:c>
      <x:c r="S31" s="9" t="str">
        <x:v>Spécification à réaliser. Les champs adaptation, gameplay, visual, animation, audio et implementation décrivent le fan game ; ils ne donnent pas des caractéristiques officielles de l’œuvre.</x:v>
      </x:c>
    </x:row>
    <x:row r="32" ht="68" customHeight="1">
      <x:c r="A32" s="19" t="str">
        <x:v>ME3-SQ-MEDFORM</x:v>
      </x:c>
      <x:c r="B32" s="7" t="str">
        <x:v>Citadel: Alien Medi-Gel Formula</x:v>
      </x:c>
      <x:c r="C32" s="15" t="str">
        <x:v>Défini</x:v>
      </x:c>
      <x:c r="D32" s="17" t="str">
        <x:v>Établi</x:v>
      </x:c>
      <x:c r="E32" s="17" t="str">
        <x:v>P1</x:v>
      </x:c>
      <x:c r="F32" s="7" t="str">
        <x:v>Formule trouvable au laboratoire Cerberus.</x:v>
      </x:c>
      <x:c r="G32" s="7" t="str">
        <x:v>Objet de mission récupérable via réquisitions s’il est manqué ; retour auprès du docteur à la bonne période.</x:v>
      </x:c>
      <x:c r="H32" s="7" t="str">
        <x:v>Objet de mission récupérable via réquisitions s’il est manqué ; retour auprès du docteur à la bonne période.</x:v>
      </x:c>
      <x:c r="I32" s="7" t="str">
        <x:v>Datapad et bureau de Dr. Ravin.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me3/side_quests/medform ; rattacher les ressources et états cités à cet identifiant. Aucun fichier de jeu créé par ce catalogue.</x:v>
      </x:c>
      <x:c r="M32" s="7" t="str">
        <x:v>Échéance avant Tuchanka.</x:v>
      </x:c>
      <x:c r="N32" s="7" t="str">
        <x:v>Le livrable « Citadel: Alien Medi-Gel Formula » possède une scène ou un scénario de contrôle ; ses règles proposées, ses conditions et ses retours visuels sont vérifiables séparément.</x:v>
      </x:c>
      <x:c r="O32" s="7" t="str"/>
      <x:c r="P32" s="7" t="str">
        <x:v>Citadel: Alien Medi-Gel Formula</x:v>
      </x:c>
      <x:c r="Q32" s="7" t="str">
        <x:v>ME3-SRC-ALIEN-MED</x:v>
      </x:c>
      <x:c r="R32" s="7" t="str">
        <x:v>https://masseffect.fandom.com/wiki/Citadel%3A_Alien_Medi-Gel_Formula</x:v>
      </x:c>
      <x:c r="S32" s="7" t="str">
        <x:v>Spécification à réaliser. Les champs adaptation, gameplay, visual, animation, audio et implementation décrivent le fan game ; ils ne donnent pas des caractéristiques officielles de l’œuvre.</x:v>
      </x:c>
    </x:row>
    <x:row r="33" ht="68" customHeight="1">
      <x:c r="A33" s="18" t="str">
        <x:v>ME3-SQ-BIOTIC-AMP</x:v>
      </x:c>
      <x:c r="B33" s="9" t="str">
        <x:v>Citadel: Biotic Amp Interfaces</x:v>
      </x:c>
      <x:c r="C33" s="15" t="str">
        <x:v>Défini</x:v>
      </x:c>
      <x:c r="D33" s="16" t="str">
        <x:v>Établi</x:v>
      </x:c>
      <x:c r="E33" s="16" t="str">
        <x:v>P1</x:v>
      </x:c>
      <x:c r="F33" s="9" t="str">
        <x:v>Mission de données d’amplificateur.</x:v>
      </x:c>
      <x:c r="G33" s="9" t="str">
        <x:v>Ramener le schéma trouvé à l’hôpital ; afficher sa provenance Grissom et solution de rattrapage à vérifier.</x:v>
      </x:c>
      <x:c r="H33" s="9" t="str">
        <x:v>Ramener le schéma trouvé à l’hôpital ; afficher sa provenance Grissom et solution de rattrapage à vérifier.</x:v>
      </x:c>
      <x:c r="I33" s="9" t="str">
        <x:v>Schéma et poste médical.</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me3/side_quests/biotic-amp ; rattacher les ressources et états cités à cet identifiant. Aucun fichier de jeu créé par ce catalogue.</x:v>
      </x:c>
      <x:c r="M33" s="9" t="str"/>
      <x:c r="N33" s="9" t="str">
        <x:v>Le livrable « Citadel: Biotic Amp Interfaces » possède une scène ou un scénario de contrôle ; ses règles proposées, ses conditions et ses retours visuels sont vérifiables séparément.</x:v>
      </x:c>
      <x:c r="O33" s="9" t="str"/>
      <x:c r="P33" s="9" t="str">
        <x:v>Citadel: Biotic Amp Interfaces</x:v>
      </x:c>
      <x:c r="Q33" s="9" t="str">
        <x:v>ME3-SRC-CITADEL</x:v>
      </x:c>
      <x:c r="R33" s="9" t="str">
        <x:v>https://masseffect.fandom.com/wiki/Citadel</x:v>
      </x:c>
      <x:c r="S33" s="9" t="str">
        <x:v>Spécification à réaliser. Les champs adaptation, gameplay, visual, animation, audio et implementation décrivent le fan game ; ils ne donnent pas des caractéristiques officielles de l’œuvre.</x:v>
      </x:c>
    </x:row>
    <x:row r="34" ht="68" customHeight="1">
      <x:c r="A34" s="19" t="str">
        <x:v>ME3-SQ-TURRET</x:v>
      </x:c>
      <x:c r="B34" s="7" t="str">
        <x:v>Citadel: Cerberus Automated Turret Schematics</x:v>
      </x:c>
      <x:c r="C34" s="15" t="str">
        <x:v>Défini</x:v>
      </x:c>
      <x:c r="D34" s="17" t="str">
        <x:v>Établi</x:v>
      </x:c>
      <x:c r="E34" s="17" t="str">
        <x:v>P1</x:v>
      </x:c>
      <x:c r="F34" s="7" t="str">
        <x:v>Mission de plans de tourelles.</x:v>
      </x:c>
      <x:c r="G34" s="7" t="str">
        <x:v>Faire correspondre plans de mission et demande après coup d’État ; acquisition et remise séparées.</x:v>
      </x:c>
      <x:c r="H34" s="7" t="str">
        <x:v>Faire correspondre plans de mission et demande après coup d’État ; acquisition et remise séparées.</x:v>
      </x:c>
      <x:c r="I34" s="7" t="str">
        <x:v>Datapad de mécanisme.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me3/side_quests/turret ; rattacher les ressources et états cités à cet identifiant. Aucun fichier de jeu créé par ce catalogue.</x:v>
      </x:c>
      <x:c r="M34" s="7" t="str"/>
      <x:c r="N34" s="7" t="str">
        <x:v>Le livrable « Citadel: Cerberus Automated Turret Schematics » possède une scène ou un scénario de contrôle ; ses règles proposées, ses conditions et ses retours visuels sont vérifiables séparément.</x:v>
      </x:c>
      <x:c r="O34" s="7" t="str"/>
      <x:c r="P34" s="7" t="str">
        <x:v>Citadel: Cerberus Automated Turret Schematics</x:v>
      </x:c>
      <x:c r="Q34" s="7" t="str">
        <x:v>ME3-SRC-CITADEL, ME3-SRC-GUIDE</x:v>
      </x:c>
      <x:c r="R34" s="7" t="str">
        <x:v>https://masseffect.fandom.com/wiki/Citadel
https://masseffect.fandom.com/wiki/Mass_Effect_3_Guide</x:v>
      </x:c>
      <x:c r="S34" s="7" t="str">
        <x:v>Spécification à réaliser. Les champs adaptation, gameplay, visual, animation, audio et implementation décrivent le fan game ; ils ne donnent pas des caractéristiques officielles de l’œuvre.</x:v>
      </x:c>
    </x:row>
    <x:row r="35" ht="68" customHeight="1">
      <x:c r="A35" s="18" t="str">
        <x:v>ME3-SQ-CIPHERS</x:v>
      </x:c>
      <x:c r="B35" s="9" t="str">
        <x:v>Citadel: Cerberus Ciphers</x:v>
      </x:c>
      <x:c r="C35" s="15" t="str">
        <x:v>Défini</x:v>
      </x:c>
      <x:c r="D35" s="16" t="str">
        <x:v>Établi</x:v>
      </x:c>
      <x:c r="E35" s="16" t="str">
        <x:v>P1</x:v>
      </x:c>
      <x:c r="F35" s="9" t="str">
        <x:v>Mission de codes Cerberus.</x:v>
      </x:c>
      <x:c r="G35" s="9" t="str">
        <x:v>Déposer des codes au bon contact ; état unique même si le joueur acquiert d’abord l’objet.</x:v>
      </x:c>
      <x:c r="H35" s="9" t="str">
        <x:v>Déposer des codes au bon contact ; état unique même si le joueur acquiert d’abord l’objet.</x:v>
      </x:c>
      <x:c r="I35" s="9" t="str">
        <x:v>Écran de décryptage.</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me3/side_quests/ciphers ; rattacher les ressources et états cités à cet identifiant. Aucun fichier de jeu créé par ce catalogue.</x:v>
      </x:c>
      <x:c r="M35" s="9" t="str"/>
      <x:c r="N35" s="9" t="str">
        <x:v>Le livrable « Citadel: Cerberus Ciphers » possède une scène ou un scénario de contrôle ; ses règles proposées, ses conditions et ses retours visuels sont vérifiables séparément.</x:v>
      </x:c>
      <x:c r="O35" s="9" t="str"/>
      <x:c r="P35" s="9" t="str">
        <x:v>Citadel: Cerberus Ciphers</x:v>
      </x:c>
      <x:c r="Q35" s="9" t="str">
        <x:v>ME3-SRC-CITADEL</x:v>
      </x:c>
      <x:c r="R35" s="9" t="str">
        <x:v>https://masseffect.fandom.com/wiki/Citadel</x:v>
      </x:c>
      <x:c r="S35" s="9" t="str">
        <x:v>Spécification à réaliser. Les champs adaptation, gameplay, visual, animation, audio et implementation décrivent le fan game ; ils ne donnent pas des caractéristiques officielles de l’œuvre.</x:v>
      </x:c>
    </x:row>
    <x:row r="36" ht="68" customHeight="1">
      <x:c r="A36" s="19" t="str">
        <x:v>ME3-SQ-POISON</x:v>
      </x:c>
      <x:c r="B36" s="7" t="str">
        <x:v>Citadel: Cerberus Turian Poison</x:v>
      </x:c>
      <x:c r="C36" s="15" t="str">
        <x:v>Défini</x:v>
      </x:c>
      <x:c r="D36" s="17" t="str">
        <x:v>Établi</x:v>
      </x:c>
      <x:c r="E36" s="17" t="str">
        <x:v>P1</x:v>
      </x:c>
      <x:c r="F36" s="7" t="str">
        <x:v>Mission de traitement d’un poison.</x:v>
      </x:c>
      <x:c r="G36" s="7" t="str">
        <x:v>Retour médical après découverte ; preuve présentée sans inventer une recette réelle.</x:v>
      </x:c>
      <x:c r="H36" s="7" t="str">
        <x:v>Retour médical après découverte ; preuve présentée sans inventer une recette réelle.</x:v>
      </x:c>
      <x:c r="I36" s="7" t="str">
        <x:v>Dossier de soins turien.</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me3/side_quests/poison ; rattacher les ressources et états cités à cet identifiant. Aucun fichier de jeu créé par ce catalogue.</x:v>
      </x:c>
      <x:c r="M36" s="7" t="str"/>
      <x:c r="N36" s="7" t="str">
        <x:v>Le livrable « Citadel: Cerberus Turian Poison » possède une scène ou un scénario de contrôle ; ses règles proposées, ses conditions et ses retours visuels sont vérifiables séparément.</x:v>
      </x:c>
      <x:c r="O36" s="7" t="str"/>
      <x:c r="P36" s="7" t="str">
        <x:v>Citadel: Cerberus Turian Poison</x:v>
      </x:c>
      <x:c r="Q36" s="7" t="str">
        <x:v>ME3-SRC-CITADEL</x:v>
      </x:c>
      <x:c r="R36" s="7" t="str">
        <x:v>https://masseffect.fandom.com/wiki/Citadel</x:v>
      </x:c>
      <x:c r="S36" s="7" t="str">
        <x:v>Spécification à réaliser. Les champs adaptation, gameplay, visual, animation, audio et implementation décrivent le fan game ; ils ne donnent pas des caractéristiques officielles de l’œuvre.</x:v>
      </x:c>
    </x:row>
    <x:row r="37" ht="68" customHeight="1">
      <x:c r="A37" s="18" t="str">
        <x:v>ME3-SQ-CHEMICAL</x:v>
      </x:c>
      <x:c r="B37" s="9" t="str">
        <x:v>Citadel: Chemical Treatment</x:v>
      </x:c>
      <x:c r="C37" s="15" t="str">
        <x:v>Défini</x:v>
      </x:c>
      <x:c r="D37" s="16" t="str">
        <x:v>Établi</x:v>
      </x:c>
      <x:c r="E37" s="16" t="str">
        <x:v>P1</x:v>
      </x:c>
      <x:c r="F37" s="9" t="str">
        <x:v>Mission de traitement chimique.</x:v>
      </x:c>
      <x:c r="G37" s="9" t="str">
        <x:v>Suivre demande, donnée et restitution ; journal précise le lieu de retour.</x:v>
      </x:c>
      <x:c r="H37" s="9" t="str">
        <x:v>Suivre demande, donnée et restitution ; journal précise le lieu de retour.</x:v>
      </x:c>
      <x:c r="I37" s="9" t="str">
        <x:v>Hôpital et fiche de laboratoire.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me3/side_quests/chemical ; rattacher les ressources et états cités à cet identifiant. Aucun fichier de jeu créé par ce catalogue.</x:v>
      </x:c>
      <x:c r="M37" s="9" t="str"/>
      <x:c r="N37" s="9" t="str">
        <x:v>Le livrable « Citadel: Chemical Treatment » possède une scène ou un scénario de contrôle ; ses règles proposées, ses conditions et ses retours visuels sont vérifiables séparément.</x:v>
      </x:c>
      <x:c r="O37" s="9" t="str"/>
      <x:c r="P37" s="9" t="str">
        <x:v>Citadel: Chemical Treatment</x:v>
      </x:c>
      <x:c r="Q37" s="9" t="str">
        <x:v>ME3-SRC-CITADEL</x:v>
      </x:c>
      <x:c r="R37" s="9" t="str">
        <x:v>https://masseffect.fandom.com/wiki/Citadel</x:v>
      </x:c>
      <x:c r="S37" s="9" t="str">
        <x:v>Spécification à réaliser. Les champs adaptation, gameplay, visual, animation, audio et implementation décrivent le fan game ; ils ne donnent pas des caractéristiques officielles de l’œuvre.</x:v>
      </x:c>
    </x:row>
    <x:row r="38" ht="68" customHeight="1">
      <x:c r="A38" s="19" t="str">
        <x:v>ME3-SQ-GX12</x:v>
      </x:c>
      <x:c r="B38" s="7" t="str">
        <x:v>Citadel: GX12 Thermal Pipe</x:v>
      </x:c>
      <x:c r="C38" s="15" t="str">
        <x:v>Défini</x:v>
      </x:c>
      <x:c r="D38" s="17" t="str">
        <x:v>Établi</x:v>
      </x:c>
      <x:c r="E38" s="17" t="str">
        <x:v>P1</x:v>
      </x:c>
      <x:c r="F38" s="7" t="str">
        <x:v>Mission d’une pièce pour le Normandy.</x:v>
      </x:c>
      <x:c r="G38" s="7" t="str">
        <x:v>Achat puis remise à l’ingénierie ; capacité du vaisseau actualisée une fois.</x:v>
      </x:c>
      <x:c r="H38" s="7" t="str">
        <x:v>Achat puis remise à l’ingénierie ; capacité du vaisseau actualisée une fois.</x:v>
      </x:c>
      <x:c r="I38" s="7" t="str">
        <x:v>Tuyau thermique identifiable.</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me3/side_quests/gx12 ; rattacher les ressources et états cités à cet identifiant. Aucun fichier de jeu créé par ce catalogue.</x:v>
      </x:c>
      <x:c r="M38" s="7" t="str"/>
      <x:c r="N38" s="7" t="str">
        <x:v>Le livrable « Citadel: GX12 Thermal Pipe » possède une scène ou un scénario de contrôle ; ses règles proposées, ses conditions et ses retours visuels sont vérifiables séparément.</x:v>
      </x:c>
      <x:c r="O38" s="7" t="str"/>
      <x:c r="P38" s="7" t="str">
        <x:v>Citadel: GX12 Thermal Pipe</x:v>
      </x:c>
      <x:c r="Q38" s="7" t="str">
        <x:v>ME3-SRC-CITADEL</x:v>
      </x:c>
      <x:c r="R38" s="7" t="str">
        <x:v>https://masseffect.fandom.com/wiki/Citadel</x:v>
      </x:c>
      <x:c r="S38" s="7" t="str">
        <x:v>Spécification à réaliser. Les champs adaptation, gameplay, visual, animation, audio et implementation décrivent le fan game ; ils ne donnent pas des caractéristiques officielles de l’œuvre.</x:v>
      </x:c>
    </x:row>
    <x:row r="39" ht="68" customHeight="1">
      <x:c r="A39" s="18" t="str">
        <x:v>ME3-SQ-HEATING</x:v>
      </x:c>
      <x:c r="B39" s="9" t="str">
        <x:v>Citadel: Heating Unit Stabilizers</x:v>
      </x:c>
      <x:c r="C39" s="15" t="str">
        <x:v>Défini</x:v>
      </x:c>
      <x:c r="D39" s="16" t="str">
        <x:v>Établi</x:v>
      </x:c>
      <x:c r="E39" s="16" t="str">
        <x:v>P1</x:v>
      </x:c>
      <x:c r="F39" s="9" t="str">
        <x:v>Mission de stabilisateurs.</x:v>
      </x:c>
      <x:c r="G39" s="9" t="str">
        <x:v>Récupérer matériel ou voie de rattrapage confirmée ; présenter l’usage civil de l’objet.</x:v>
      </x:c>
      <x:c r="H39" s="9" t="str">
        <x:v>Récupérer matériel ou voie de rattrapage confirmée ; présenter l’usage civil de l’objet.</x:v>
      </x:c>
      <x:c r="I39" s="9" t="str">
        <x:v>Pièce de chauffage dans caisse.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me3/side_quests/heating ; rattacher les ressources et états cités à cet identifiant. Aucun fichier de jeu créé par ce catalogue.</x:v>
      </x:c>
      <x:c r="M39" s="9" t="str"/>
      <x:c r="N39" s="9" t="str">
        <x:v>Le livrable « Citadel: Heating Unit Stabilizers » possède une scène ou un scénario de contrôle ; ses règles proposées, ses conditions et ses retours visuels sont vérifiables séparément.</x:v>
      </x:c>
      <x:c r="O39" s="9" t="str"/>
      <x:c r="P39" s="9" t="str">
        <x:v>Citadel: Heating Unit Stabilizers</x:v>
      </x:c>
      <x:c r="Q39" s="9" t="str">
        <x:v>ME3-SRC-CITADEL</x:v>
      </x:c>
      <x:c r="R39" s="9" t="str">
        <x:v>https://masseffect.fandom.com/wiki/Citadel</x:v>
      </x:c>
      <x:c r="S39" s="9" t="str">
        <x:v>Spécification à réaliser. Les champs adaptation, gameplay, visual, animation, audio et implementation décrivent le fan game ; ils ne donnent pas des caractéristiques officielles de l’œuvre.</x:v>
      </x:c>
    </x:row>
    <x:row r="40" ht="68" customHeight="1">
      <x:c r="A40" s="19" t="str">
        <x:v>ME3-SQ-GRID</x:v>
      </x:c>
      <x:c r="B40" s="7" t="str">
        <x:v>Citadel: Improved Power Grid</x:v>
      </x:c>
      <x:c r="C40" s="15" t="str">
        <x:v>Défini</x:v>
      </x:c>
      <x:c r="D40" s="17" t="str">
        <x:v>Établi</x:v>
      </x:c>
      <x:c r="E40" s="17" t="str">
        <x:v>P1</x:v>
      </x:c>
      <x:c r="F40" s="7" t="str">
        <x:v>Mission d’un réseau électrique.</x:v>
      </x:c>
      <x:c r="G40" s="7" t="str">
        <x:v>Remettre un schéma à l’interlocuteur ; l’effet de guerre n’écrase pas un ancien résultat.</x:v>
      </x:c>
      <x:c r="H40" s="7" t="str">
        <x:v>Remettre un schéma à l’interlocuteur ; l’effet de guerre n’écrase pas un ancien résultat.</x:v>
      </x:c>
      <x:c r="I40" s="7" t="str">
        <x:v>Schéma de distribution.</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me3/side_quests/grid ; rattacher les ressources et états cités à cet identifiant. Aucun fichier de jeu créé par ce catalogue.</x:v>
      </x:c>
      <x:c r="M40" s="7" t="str"/>
      <x:c r="N40" s="7" t="str">
        <x:v>Le livrable « Citadel: Improved Power Grid » possède une scène ou un scénario de contrôle ; ses règles proposées, ses conditions et ses retours visuels sont vérifiables séparément.</x:v>
      </x:c>
      <x:c r="O40" s="7" t="str"/>
      <x:c r="P40" s="7" t="str">
        <x:v>Citadel: Improved Power Grid</x:v>
      </x:c>
      <x:c r="Q40" s="7" t="str">
        <x:v>ME3-SRC-CITADEL</x:v>
      </x:c>
      <x:c r="R40" s="7" t="str">
        <x:v>https://masseffect.fandom.com/wiki/Citadel</x:v>
      </x:c>
      <x:c r="S40" s="7" t="str">
        <x:v>Spécification à réaliser. Les champs adaptation, gameplay, visual, animation, audio et implementation décrivent le fan game ; ils ne donnent pas des caractéristiques officielles de l’œuvre.</x:v>
      </x:c>
    </x:row>
    <x:row r="41" ht="68" customHeight="1">
      <x:c r="A41" s="18" t="str">
        <x:v>ME3-SQ-FOSSIL</x:v>
      </x:c>
      <x:c r="B41" s="9" t="str">
        <x:v>Citadel: Kakliosaur Fossil</x:v>
      </x:c>
      <x:c r="C41" s="15" t="str">
        <x:v>Défini</x:v>
      </x:c>
      <x:c r="D41" s="16" t="str">
        <x:v>Établi</x:v>
      </x:c>
      <x:c r="E41" s="16" t="str">
        <x:v>P1</x:v>
      </x:c>
      <x:c r="F41" s="9" t="str">
        <x:v>Mission d’un fossile.</x:v>
      </x:c>
      <x:c r="G41" s="9" t="str">
        <x:v>Scan galactique et restitution ; séparer découverte scientifique et contribution finale.</x:v>
      </x:c>
      <x:c r="H41" s="9" t="str">
        <x:v>Scan galactique et restitution ; séparer découverte scientifique et contribution finale.</x:v>
      </x:c>
      <x:c r="I41" s="9" t="str">
        <x:v>Échantillon fossilisé.</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me3/side_quests/fossil ; rattacher les ressources et états cités à cet identifiant. Aucun fichier de jeu créé par ce catalogue.</x:v>
      </x:c>
      <x:c r="M41" s="9" t="str"/>
      <x:c r="N41" s="9" t="str">
        <x:v>Le livrable « Citadel: Kakliosaur Fossil » possède une scène ou un scénario de contrôle ; ses règles proposées, ses conditions et ses retours visuels sont vérifiables séparément.</x:v>
      </x:c>
      <x:c r="O41" s="9" t="str"/>
      <x:c r="P41" s="9" t="str">
        <x:v>Citadel: Kakliosaur Fossil</x:v>
      </x:c>
      <x:c r="Q41" s="9" t="str">
        <x:v>ME3-SRC-CITADEL</x:v>
      </x:c>
      <x:c r="R41" s="9" t="str">
        <x:v>https://masseffect.fandom.com/wiki/Citadel</x:v>
      </x:c>
      <x:c r="S41" s="9" t="str">
        <x:v>Spécification à réaliser. Les champs adaptation, gameplay, visual, animation, audio et implementation décrivent le fan game ; ils ne donnent pas des caractéristiques officielles de l’œuvre.</x:v>
      </x:c>
    </x:row>
    <x:row r="42" ht="68" customHeight="1">
      <x:c r="A42" s="19" t="str">
        <x:v>ME3-SQ-MESSAGE</x:v>
      </x:c>
      <x:c r="B42" s="7" t="str">
        <x:v>Citadel: Krogan Dying Message</x:v>
      </x:c>
      <x:c r="C42" s="15" t="str">
        <x:v>Défini</x:v>
      </x:c>
      <x:c r="D42" s="17" t="str">
        <x:v>Établi</x:v>
      </x:c>
      <x:c r="E42" s="17" t="str">
        <x:v>P1</x:v>
      </x:c>
      <x:c r="F42" s="7" t="str">
        <x:v>Message récupérable dans l’arc rachni.</x:v>
      </x:c>
      <x:c r="G42" s="7" t="str">
        <x:v>Restitution personnelle avec lecture facultative ; l’objet n’est ni vendable ni destructible.</x:v>
      </x:c>
      <x:c r="H42" s="7" t="str">
        <x:v>Restitution personnelle avec lecture facultative ; l’objet n’est ni vendable ni destructible.</x:v>
      </x:c>
      <x:c r="I42" s="7" t="str">
        <x:v>Enregistrement krogan.</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me3/side_quests/message ; rattacher les ressources et états cités à cet identifiant. Aucun fichier de jeu créé par ce catalogue.</x:v>
      </x:c>
      <x:c r="M42" s="7" t="str"/>
      <x:c r="N42" s="7" t="str">
        <x:v>Le livrable « Citadel: Krogan Dying Message » possède une scène ou un scénario de contrôle ; ses règles proposées, ses conditions et ses retours visuels sont vérifiables séparément.</x:v>
      </x:c>
      <x:c r="O42" s="7" t="str"/>
      <x:c r="P42" s="7" t="str">
        <x:v>Citadel: Krogan Dying Message</x:v>
      </x:c>
      <x:c r="Q42" s="7" t="str">
        <x:v>ME3-SRC-CITADEL, ME3-SRC-RACHNI</x:v>
      </x:c>
      <x:c r="R42" s="7" t="str">
        <x:v>https://masseffect.fandom.com/wiki/Citadel
https://masseffect.fandom.com/wiki/Attican_Traverse%3A_Krogan_Team</x:v>
      </x:c>
      <x:c r="S42" s="7" t="str">
        <x:v>Spécification à réaliser. Les champs adaptation, gameplay, visual, animation, audio et implementation décrivent le fan game ; ils ne donnent pas des caractéristiques officielles de l’œuvre.</x:v>
      </x:c>
    </x:row>
    <x:row r="43" ht="68" customHeight="1">
      <x:c r="A43" s="18" t="str">
        <x:v>ME3-SQ-REAPER-CODE</x:v>
      </x:c>
      <x:c r="B43" s="9" t="str">
        <x:v>Citadel: Reaper Code Fragments</x:v>
      </x:c>
      <x:c r="C43" s="15" t="str">
        <x:v>Défini</x:v>
      </x:c>
      <x:c r="D43" s="16" t="str">
        <x:v>Établi</x:v>
      </x:c>
      <x:c r="E43" s="16" t="str">
        <x:v>P1</x:v>
      </x:c>
      <x:c r="F43" s="9" t="str">
        <x:v>Mission de données.</x:v>
      </x:c>
      <x:c r="G43" s="9" t="str">
        <x:v>Récupérer fragments du consensus puis livrer ; distinguer information de guerre et souvenir geth.</x:v>
      </x:c>
      <x:c r="H43" s="9" t="str">
        <x:v>Récupérer fragments du consensus puis livrer ; distinguer information de guerre et souvenir geth.</x:v>
      </x:c>
      <x:c r="I43" s="9" t="str">
        <x:v>Paquets de code et motif réseau.</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me3/side_quests/reaper-code ; rattacher les ressources et états cités à cet identifiant. Aucun fichier de jeu créé par ce catalogue.</x:v>
      </x:c>
      <x:c r="M43" s="9" t="str"/>
      <x:c r="N43" s="9" t="str">
        <x:v>Le livrable « Citadel: Reaper Code Fragments » possède une scène ou un scénario de contrôle ; ses règles proposées, ses conditions et ses retours visuels sont vérifiables séparément.</x:v>
      </x:c>
      <x:c r="O43" s="9" t="str"/>
      <x:c r="P43" s="9" t="str">
        <x:v>Citadel: Reaper Code Fragments</x:v>
      </x:c>
      <x:c r="Q43" s="9" t="str">
        <x:v>ME3-SRC-CITADEL, ME3-SRC-FIGHTERS</x:v>
      </x:c>
      <x:c r="R43" s="9" t="str">
        <x:v>https://masseffect.fandom.com/wiki/Citadel
https://masseffect.fandom.com/wiki/Rannoch%3A_Geth_Fighter_Squadrons</x:v>
      </x:c>
      <x:c r="S43" s="9" t="str">
        <x:v>Spécification à réaliser. Les champs adaptation, gameplay, visual, animation, audio et implementation décrivent le fan game ; ils ne donnent pas des caractéristiques officielles de l’œuvre.</x:v>
      </x:c>
    </x:row>
    <x:row r="44" ht="68" customHeight="1">
      <x:c r="A44" s="19" t="str">
        <x:v>ME3-SQ-JAMMER</x:v>
      </x:c>
      <x:c r="B44" s="7" t="str">
        <x:v>Citadel: Target Jamming Technology</x:v>
      </x:c>
      <x:c r="C44" s="15" t="str">
        <x:v>Défini</x:v>
      </x:c>
      <x:c r="D44" s="17" t="str">
        <x:v>Établi</x:v>
      </x:c>
      <x:c r="E44" s="17" t="str">
        <x:v>P1</x:v>
      </x:c>
      <x:c r="F44" s="7" t="str">
        <x:v>Mission de brouillage.</x:v>
      </x:c>
      <x:c r="G44" s="7" t="str">
        <x:v>Retour au contact après mission de Rannoch ; état de fin reste cohérent si remise tardive autorisée.</x:v>
      </x:c>
      <x:c r="H44" s="7" t="str">
        <x:v>Retour au contact après mission de Rannoch ; état de fin reste cohérent si remise tardive autorisée.</x:v>
      </x:c>
      <x:c r="I44" s="7" t="str">
        <x:v>Module d’antenne compact.</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me3/side_quests/jammer ; rattacher les ressources et états cités à cet identifiant. Aucun fichier de jeu créé par ce catalogue.</x:v>
      </x:c>
      <x:c r="M44" s="7" t="str"/>
      <x:c r="N44" s="7" t="str">
        <x:v>Le livrable « Citadel: Target Jamming Technology » possède une scène ou un scénario de contrôle ; ses règles proposées, ses conditions et ses retours visuels sont vérifiables séparément.</x:v>
      </x:c>
      <x:c r="O44" s="7" t="str"/>
      <x:c r="P44" s="7" t="str">
        <x:v>Citadel: Target Jamming Technology</x:v>
      </x:c>
      <x:c r="Q44" s="7" t="str">
        <x:v>ME3-SRC-CITADEL</x:v>
      </x:c>
      <x:c r="R44" s="7" t="str">
        <x:v>https://masseffect.fandom.com/wiki/Citadel</x:v>
      </x:c>
      <x:c r="S44" s="7" t="str">
        <x:v>Spécification à réaliser. Les champs adaptation, gameplay, visual, animation, audio et implementation décrivent le fan game ; ils ne donnent pas des caractéristiques officielles de l’œuvre.</x:v>
      </x:c>
    </x:row>
    <x:row r="45" ht="68" customHeight="1">
      <x:c r="A45" s="18" t="str">
        <x:v>ME3-SQ-WIDOW</x:v>
      </x:c>
      <x:c r="B45" s="9" t="str">
        <x:v>Citadel: Asari Widow</x:v>
      </x:c>
      <x:c r="C45" s="15" t="str">
        <x:v>Défini</x:v>
      </x:c>
      <x:c r="D45" s="16" t="str">
        <x:v>Établi</x:v>
      </x:c>
      <x:c r="E45" s="16" t="str">
        <x:v>P1</x:v>
      </x:c>
      <x:c r="F45" s="9" t="str">
        <x:v>Message destiné à une veuve.</x:v>
      </x:c>
      <x:c r="G45" s="9" t="str">
        <x:v>Scène de remise sobre et brève ; aucune récompense spectaculaire pendant le deuil.</x:v>
      </x:c>
      <x:c r="H45" s="9" t="str">
        <x:v>Scène de remise sobre et brève ; aucune récompense spectaculaire pendant le deuil.</x:v>
      </x:c>
      <x:c r="I45" s="9" t="str">
        <x:v>Datapad et banc de Citadelle.</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me3/side_quests/widow ; rattacher les ressources et états cités à cet identifiant. Aucun fichier de jeu créé par ce catalogue.</x:v>
      </x:c>
      <x:c r="M45" s="9" t="str"/>
      <x:c r="N45" s="9" t="str">
        <x:v>Le livrable « Citadel: Asari Widow » possède une scène ou un scénario de contrôle ; ses règles proposées, ses conditions et ses retours visuels sont vérifiables séparément.</x:v>
      </x:c>
      <x:c r="O45" s="9" t="str"/>
      <x:c r="P45" s="9" t="str">
        <x:v>Citadel: Asari Widow</x:v>
      </x:c>
      <x:c r="Q45" s="9" t="str">
        <x:v>ME3-SRC-CITADEL, ME3-SRC-KALLINI</x:v>
      </x:c>
      <x:c r="R45" s="9" t="str">
        <x:v>https://masseffect.fandom.com/wiki/Citadel
https://masseffect.fandom.com/wiki/Kallini%3A_Ardat-Yakshi_Monastery</x:v>
      </x:c>
      <x:c r="S45" s="9" t="str">
        <x:v>Spécification à réaliser. Les champs adaptation, gameplay, visual, animation, audio et implementation décrivent le fan game ; ils ne donnent pas des caractéristiques officielles de l’œuvre.</x:v>
      </x:c>
    </x:row>
    <x:row r="46" ht="68" customHeight="1">
      <x:c r="A46" s="19" t="str">
        <x:v>ME3-SQ-MEDSUPPLY</x:v>
      </x:c>
      <x:c r="B46" s="7" t="str">
        <x:v>Citadel: Medical Supplies</x:v>
      </x:c>
      <x:c r="C46" s="15" t="str">
        <x:v>Défini</x:v>
      </x:c>
      <x:c r="D46" s="17" t="str">
        <x:v>Établi</x:v>
      </x:c>
      <x:c r="E46" s="17" t="str">
        <x:v>P1</x:v>
      </x:c>
      <x:c r="F46" s="7" t="str">
        <x:v>Mission d’approvisionnement médical.</x:v>
      </x:c>
      <x:c r="G46" s="7" t="str">
        <x:v>Négociation entre fournisseurs et équipage médical ; registre de stock sans combat ajouté.</x:v>
      </x:c>
      <x:c r="H46" s="7" t="str">
        <x:v>Négociation entre fournisseurs et équipage médical ; registre de stock sans combat ajouté.</x:v>
      </x:c>
      <x:c r="I46" s="7" t="str">
        <x:v>Caisses de medi-gel.</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me3/side_quests/medsupply ; rattacher les ressources et états cités à cet identifiant. Aucun fichier de jeu créé par ce catalogue.</x:v>
      </x:c>
      <x:c r="M46" s="7" t="str"/>
      <x:c r="N46" s="7" t="str">
        <x:v>Le livrable « Citadel: Medical Supplies » possède une scène ou un scénario de contrôle ; ses règles proposées, ses conditions et ses retours visuels sont vérifiables séparément.</x:v>
      </x:c>
      <x:c r="O46" s="7" t="str"/>
      <x:c r="P46" s="7" t="str">
        <x:v>Citadel: Medical Supplies</x:v>
      </x:c>
      <x:c r="Q46" s="7" t="str">
        <x:v>ME3-SRC-CITADEL</x:v>
      </x:c>
      <x:c r="R46" s="7" t="str">
        <x:v>https://masseffect.fandom.com/wiki/Citadel</x:v>
      </x:c>
      <x:c r="S46" s="7" t="str">
        <x:v>Spécification à réaliser. Les champs adaptation, gameplay, visual, animation, audio et implementation décrivent le fan game ; ils ne donnent pas des caractéristiques officielles de l’œuvre.</x:v>
      </x:c>
    </x:row>
    <x:row r="47" ht="68" customHeight="1">
      <x:c r="A47" s="18" t="str">
        <x:v>ME3-SQ-APIEN</x:v>
      </x:c>
      <x:c r="B47" s="9" t="str">
        <x:v>Apien Crest: Banner of the First Regiment</x:v>
      </x:c>
      <x:c r="C47" s="15" t="str">
        <x:v>Défini</x:v>
      </x:c>
      <x:c r="D47" s="16" t="str">
        <x:v>Établi</x:v>
      </x:c>
      <x:c r="E47" s="16" t="str">
        <x:v>P1</x:v>
      </x:c>
      <x:c r="F47" s="9" t="str">
        <x:v>Mission de récupération galactique.</x:v>
      </x:c>
      <x:c r="G47" s="9" t="str">
        <x:v>Repérer la bannière par scan puis livrer au contact ; les ressources trouvées restent distinctes du drapeau.</x:v>
      </x:c>
      <x:c r="H47" s="9" t="str">
        <x:v>Repérer la bannière par scan puis livrer au contact ; les ressources trouvées restent distinctes du drapeau.</x:v>
      </x:c>
      <x:c r="I47" s="9" t="str">
        <x:v>Bannière turienne.</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me3/side_quests/apien ; rattacher les ressources et états cités à cet identifiant. Aucun fichier de jeu créé par ce catalogue.</x:v>
      </x:c>
      <x:c r="M47" s="9" t="str">
        <x:v>Références de planète exactes à compléter.</x:v>
      </x:c>
      <x:c r="N47" s="9" t="str">
        <x:v>Le livrable « Apien Crest: Banner of the First Regiment » possède une scène ou un scénario de contrôle ; ses règles proposées, ses conditions et ses retours visuels sont vérifiables séparément.</x:v>
      </x:c>
      <x:c r="O47" s="9" t="str"/>
      <x:c r="P47" s="9" t="str">
        <x:v>Apien Crest: Banner of the First Regiment</x:v>
      </x:c>
      <x:c r="Q47" s="9" t="str">
        <x:v>ME3-SRC-CITADEL</x:v>
      </x:c>
      <x:c r="R47" s="9" t="str">
        <x:v>https://masseffect.fandom.com/wiki/Citadel</x:v>
      </x:c>
      <x:c r="S47" s="9" t="str">
        <x:v>Spécification à réaliser. Les champs adaptation, gameplay, visual, animation, audio et implementation décrivent le fan game ; ils ne donnent pas des caractéristiques officielles de l’œuvre.</x:v>
      </x:c>
    </x:row>
    <x:row r="48" ht="68" customHeight="1">
      <x:c r="A48" s="19" t="str">
        <x:v>ME3-SQ-ATHENA</x:v>
      </x:c>
      <x:c r="B48" s="7" t="str">
        <x:v>Athena Nebula: Hesperia-Period Statue</x:v>
      </x:c>
      <x:c r="C48" s="15" t="str">
        <x:v>Défini</x:v>
      </x:c>
      <x:c r="D48" s="17" t="str">
        <x:v>Établi</x:v>
      </x:c>
      <x:c r="E48" s="17" t="str">
        <x:v>P1</x:v>
      </x:c>
      <x:c r="F48" s="7" t="str">
        <x:v>Mission de récupération galactique.</x:v>
      </x:c>
      <x:c r="G48" s="7" t="str">
        <x:v>Scan ciblé et objet culturel ; retour à la personne demandeuse.</x:v>
      </x:c>
      <x:c r="H48" s="7" t="str">
        <x:v>Scan ciblé et objet culturel ; retour à la personne demandeuse.</x:v>
      </x:c>
      <x:c r="I48" s="7" t="str">
        <x:v>Statue asari sur socle.</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me3/side_quests/athena ; rattacher les ressources et états cités à cet identifiant. Aucun fichier de jeu créé par ce catalogue.</x:v>
      </x:c>
      <x:c r="M48" s="7" t="str"/>
      <x:c r="N48" s="7" t="str">
        <x:v>Le livrable « Athena Nebula: Hesperia-Period Statue » possède une scène ou un scénario de contrôle ; ses règles proposées, ses conditions et ses retours visuels sont vérifiables séparément.</x:v>
      </x:c>
      <x:c r="O48" s="7" t="str"/>
      <x:c r="P48" s="7" t="str">
        <x:v>Athena Nebula: Hesperia-Period Statue</x:v>
      </x:c>
      <x:c r="Q48" s="7" t="str">
        <x:v>ME3-SRC-CITADEL</x:v>
      </x:c>
      <x:c r="R48" s="7" t="str">
        <x:v>https://masseffect.fandom.com/wiki/Citadel</x:v>
      </x:c>
      <x:c r="S48" s="7" t="str">
        <x:v>Spécification à réaliser. Les champs adaptation, gameplay, visual, animation, audio et implementation décrivent le fan game ; ils ne donnent pas des caractéristiques officielles de l’œuvre.</x:v>
      </x:c>
    </x:row>
    <x:row r="49" ht="68" customHeight="1">
      <x:c r="A49" s="18" t="str">
        <x:v>ME3-SQ-BENNING</x:v>
      </x:c>
      <x:c r="B49" s="9" t="str">
        <x:v>Benning: Evidence</x:v>
      </x:c>
      <x:c r="C49" s="15" t="str">
        <x:v>Défini</x:v>
      </x:c>
      <x:c r="D49" s="16" t="str">
        <x:v>Établi</x:v>
      </x:c>
      <x:c r="E49" s="16" t="str">
        <x:v>P1</x:v>
      </x:c>
      <x:c r="F49" s="9" t="str">
        <x:v>Mission de preuve sur Benning.</x:v>
      </x:c>
      <x:c r="G49" s="9" t="str">
        <x:v>Prélèvement et retour personnel ; vérifier que le document demeure accessible après N7.</x:v>
      </x:c>
      <x:c r="H49" s="9" t="str">
        <x:v>Prélèvement et retour personnel ; vérifier que le document demeure accessible après N7.</x:v>
      </x:c>
      <x:c r="I49" s="9" t="str">
        <x:v>Preuve dans un quartier évacué.</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me3/side_quests/benning ; rattacher les ressources et états cités à cet identifiant. Aucun fichier de jeu créé par ce catalogue.</x:v>
      </x:c>
      <x:c r="M49" s="9" t="str"/>
      <x:c r="N49" s="9" t="str">
        <x:v>Le livrable « Benning: Evidence » possède une scène ou un scénario de contrôle ; ses règles proposées, ses conditions et ses retours visuels sont vérifiables séparément.</x:v>
      </x:c>
      <x:c r="O49" s="9" t="str"/>
      <x:c r="P49" s="9" t="str">
        <x:v>Benning: Evidence</x:v>
      </x:c>
      <x:c r="Q49" s="9" t="str">
        <x:v>ME3-SRC-CITADEL</x:v>
      </x:c>
      <x:c r="R49" s="9" t="str">
        <x:v>https://masseffect.fandom.com/wiki/Citadel</x:v>
      </x:c>
      <x:c r="S49" s="9" t="str">
        <x:v>Spécification à réaliser. Les champs adaptation, gameplay, visual, animation, audio et implementation décrivent le fan game ; ils ne donnent pas des caractéristiques officielles de l’œuvre.</x:v>
      </x:c>
    </x:row>
    <x:row r="50" ht="68" customHeight="1">
      <x:c r="A50" s="19" t="str">
        <x:v>ME3-SQ-DEKUUNA-CODE</x:v>
      </x:c>
      <x:c r="B50" s="7" t="str">
        <x:v>Dekuuna: Code of the Ancients</x:v>
      </x:c>
      <x:c r="C50" s="15" t="str">
        <x:v>Défini</x:v>
      </x:c>
      <x:c r="D50" s="17" t="str">
        <x:v>Établi</x:v>
      </x:c>
      <x:c r="E50" s="17" t="str">
        <x:v>P1</x:v>
      </x:c>
      <x:c r="F50" s="7" t="str">
        <x:v>Mission culturelle elcor.</x:v>
      </x:c>
      <x:c r="G50" s="7" t="str">
        <x:v>Récupérer des données patrimoniales et les restituer sans les convertir en artefact de combat.</x:v>
      </x:c>
      <x:c r="H50" s="7" t="str">
        <x:v>Récupérer des données patrimoniales et les restituer sans les convertir en artefact de combat.</x:v>
      </x:c>
      <x:c r="I50" s="7" t="str">
        <x:v>Tablette elcor.</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me3/side_quests/dekuuna-code ; rattacher les ressources et états cités à cet identifiant. Aucun fichier de jeu créé par ce catalogue.</x:v>
      </x:c>
      <x:c r="M50" s="7" t="str"/>
      <x:c r="N50" s="7" t="str">
        <x:v>Le livrable « Dekuuna: Code of the Ancients » possède une scène ou un scénario de contrôle ; ses règles proposées, ses conditions et ses retours visuels sont vérifiables séparément.</x:v>
      </x:c>
      <x:c r="O50" s="7" t="str"/>
      <x:c r="P50" s="7" t="str">
        <x:v>Dekuuna: Code of the Ancients</x:v>
      </x:c>
      <x:c r="Q50" s="7" t="str">
        <x:v>ME3-SRC-CITADEL</x:v>
      </x:c>
      <x:c r="R50" s="7" t="str">
        <x:v>https://masseffect.fandom.com/wiki/Citadel</x:v>
      </x:c>
      <x:c r="S50" s="7" t="str">
        <x:v>Spécification à réaliser. Les champs adaptation, gameplay, visual, animation, audio et implementation décrivent le fan game ; ils ne donnent pas des caractéristiques officielles de l’œuvre.</x:v>
      </x:c>
    </x:row>
    <x:row r="51" ht="68" customHeight="1">
      <x:c r="A51" s="18" t="str">
        <x:v>ME3-SQ-DEKUUNA-RESCUE</x:v>
      </x:c>
      <x:c r="B51" s="9" t="str">
        <x:v>Dekuuna: Elcor Extraction</x:v>
      </x:c>
      <x:c r="C51" s="15" t="str">
        <x:v>Défini</x:v>
      </x:c>
      <x:c r="D51" s="16" t="str">
        <x:v>Établi</x:v>
      </x:c>
      <x:c r="E51" s="16" t="str">
        <x:v>P1</x:v>
      </x:c>
      <x:c r="F51" s="9" t="str">
        <x:v>Mission d’extraction elcor.</x:v>
      </x:c>
      <x:c r="G51" s="9" t="str">
        <x:v>Expédition sur carte avec état de secours et compte rendu ; ne pas créer un niveau non existant comme canon.</x:v>
      </x:c>
      <x:c r="H51" s="9" t="str">
        <x:v>Expédition sur carte avec état de secours et compte rendu ; ne pas créer un niveau non existant comme canon.</x:v>
      </x:c>
      <x:c r="I51" s="9" t="str">
        <x:v>Carte de secours et vaisseaux lourds.</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me3/side_quests/dekuuna-rescue ; rattacher les ressources et états cités à cet identifiant. Aucun fichier de jeu créé par ce catalogue.</x:v>
      </x:c>
      <x:c r="M51" s="9" t="str"/>
      <x:c r="N51" s="9" t="str">
        <x:v>Le livrable « Dekuuna: Elcor Extraction » possède une scène ou un scénario de contrôle ; ses règles proposées, ses conditions et ses retours visuels sont vérifiables séparément.</x:v>
      </x:c>
      <x:c r="O51" s="9" t="str"/>
      <x:c r="P51" s="9" t="str">
        <x:v>Dekuuna: Elcor Extraction</x:v>
      </x:c>
      <x:c r="Q51" s="9" t="str">
        <x:v>ME3-SRC-CITADEL</x:v>
      </x:c>
      <x:c r="R51" s="9" t="str">
        <x:v>https://masseffect.fandom.com/wiki/Citadel</x:v>
      </x:c>
      <x:c r="S51" s="9" t="str">
        <x:v>Spécification à réaliser. Les champs adaptation, gameplay, visual, animation, audio et implementation décrivent le fan game ; ils ne donnent pas des caractéristiques officielles de l’œuvre.</x:v>
      </x:c>
    </x:row>
    <x:row r="52" ht="68" customHeight="1">
      <x:c r="A52" s="19" t="str">
        <x:v>ME3-SQ-HADES-OBELISK</x:v>
      </x:c>
      <x:c r="B52" s="7" t="str">
        <x:v>Hades Nexus: Obelisk of Karza</x:v>
      </x:c>
      <x:c r="C52" s="15" t="str">
        <x:v>Défini</x:v>
      </x:c>
      <x:c r="D52" s="17" t="str">
        <x:v>Établi</x:v>
      </x:c>
      <x:c r="E52" s="17" t="str">
        <x:v>P1</x:v>
      </x:c>
      <x:c r="F52" s="7" t="str">
        <x:v>Mission d’objet ancien.</x:v>
      </x:c>
      <x:c r="G52" s="7" t="str">
        <x:v>Scan, inventaire de quête puis retour ; afficher le nom entier pour éviter confusion avec l’autre obélisque.</x:v>
      </x:c>
      <x:c r="H52" s="7" t="str">
        <x:v>Scan, inventaire de quête puis retour ; afficher le nom entier pour éviter confusion avec l’autre obélisque.</x:v>
      </x:c>
      <x:c r="I52" s="7" t="str">
        <x:v>Obélisque sur vignette.</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me3/side_quests/hades-obelisk ; rattacher les ressources et états cités à cet identifiant. Aucun fichier de jeu créé par ce catalogue.</x:v>
      </x:c>
      <x:c r="M52" s="7" t="str"/>
      <x:c r="N52" s="7" t="str">
        <x:v>Le livrable « Hades Nexus: Obelisk of Karza » possède une scène ou un scénario de contrôle ; ses règles proposées, ses conditions et ses retours visuels sont vérifiables séparément.</x:v>
      </x:c>
      <x:c r="O52" s="7" t="str"/>
      <x:c r="P52" s="7" t="str">
        <x:v>Hades Nexus: Obelisk of Karza</x:v>
      </x:c>
      <x:c r="Q52" s="7" t="str">
        <x:v>ME3-SRC-CITADEL</x:v>
      </x:c>
      <x:c r="R52" s="7" t="str">
        <x:v>https://masseffect.fandom.com/wiki/Citadel</x:v>
      </x:c>
      <x:c r="S52" s="7" t="str">
        <x:v>Spécification à réaliser. Les champs adaptation, gameplay, visual, animation, audio et implementation décrivent le fan game ; ils ne donnent pas des caractéristiques officielles de l’œuvre.</x:v>
      </x:c>
    </x:row>
    <x:row r="53" ht="68" customHeight="1">
      <x:c r="A53" s="18" t="str">
        <x:v>ME3-SQ-HADES-SPHERE</x:v>
      </x:c>
      <x:c r="B53" s="9" t="str">
        <x:v>Hades Nexus: Prothean Sphere</x:v>
      </x:c>
      <x:c r="C53" s="15" t="str">
        <x:v>Défini</x:v>
      </x:c>
      <x:c r="D53" s="16" t="str">
        <x:v>Établi</x:v>
      </x:c>
      <x:c r="E53" s="16" t="str">
        <x:v>P1</x:v>
      </x:c>
      <x:c r="F53" s="9" t="str">
        <x:v>Mission d’objet prothéen.</x:v>
      </x:c>
      <x:c r="G53" s="9" t="str">
        <x:v>Circuit galactique sans combat imposé ; validation de provenance et interlocuteur.</x:v>
      </x:c>
      <x:c r="H53" s="9" t="str">
        <x:v>Circuit galactique sans combat imposé ; validation de provenance et interlocuteur.</x:v>
      </x:c>
      <x:c r="I53" s="9" t="str">
        <x:v>Sphère métallique ancienne.</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me3/side_quests/hades-sphere ; rattacher les ressources et états cités à cet identifiant. Aucun fichier de jeu créé par ce catalogue.</x:v>
      </x:c>
      <x:c r="M53" s="9" t="str"/>
      <x:c r="N53" s="9" t="str">
        <x:v>Le livrable « Hades Nexus: Prothean Sphere » possède une scène ou un scénario de contrôle ; ses règles proposées, ses conditions et ses retours visuels sont vérifiables séparément.</x:v>
      </x:c>
      <x:c r="O53" s="9" t="str"/>
      <x:c r="P53" s="9" t="str">
        <x:v>Hades Nexus: Prothean Sphere</x:v>
      </x:c>
      <x:c r="Q53" s="9" t="str">
        <x:v>ME3-SRC-CITADEL</x:v>
      </x:c>
      <x:c r="R53" s="9" t="str">
        <x:v>https://masseffect.fandom.com/wiki/Citadel</x:v>
      </x:c>
      <x:c r="S53" s="9" t="str">
        <x:v>Spécification à réaliser. Les champs adaptation, gameplay, visual, animation, audio et implementation décrivent le fan game ; ils ne donnent pas des caractéristiques officielles de l’œuvre.</x:v>
      </x:c>
    </x:row>
    <x:row r="54" ht="68" customHeight="1">
      <x:c r="A54" s="19" t="str">
        <x:v>ME3-SQ-IRUNE</x:v>
      </x:c>
      <x:c r="B54" s="7" t="str">
        <x:v>Irune: Book of Plenix</x:v>
      </x:c>
      <x:c r="C54" s="15" t="str">
        <x:v>Défini</x:v>
      </x:c>
      <x:c r="D54" s="17" t="str">
        <x:v>Établi</x:v>
      </x:c>
      <x:c r="E54" s="17" t="str">
        <x:v>P1</x:v>
      </x:c>
      <x:c r="F54" s="7" t="str">
        <x:v>Mission culturelle volus.</x:v>
      </x:c>
      <x:c r="G54" s="7" t="str">
        <x:v>Retour d’un texte à son demandeur ; ne pas reproduire de texte source complet.</x:v>
      </x:c>
      <x:c r="H54" s="7" t="str">
        <x:v>Retour d’un texte à son demandeur ; ne pas reproduire de texte source complet.</x:v>
      </x:c>
      <x:c r="I54" s="7" t="str">
        <x:v>Volume scellé et pictogramme volus.</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me3/side_quests/irune ; rattacher les ressources et états cités à cet identifiant. Aucun fichier de jeu créé par ce catalogue.</x:v>
      </x:c>
      <x:c r="M54" s="7" t="str"/>
      <x:c r="N54" s="7" t="str">
        <x:v>Le livrable « Irune: Book of Plenix » possède une scène ou un scénario de contrôle ; ses règles proposées, ses conditions et ses retours visuels sont vérifiables séparément.</x:v>
      </x:c>
      <x:c r="O54" s="7" t="str"/>
      <x:c r="P54" s="7" t="str">
        <x:v>Irune: Book of Plenix</x:v>
      </x:c>
      <x:c r="Q54" s="7" t="str">
        <x:v>ME3-SRC-CITADEL</x:v>
      </x:c>
      <x:c r="R54" s="7" t="str">
        <x:v>https://masseffect.fandom.com/wiki/Citadel</x:v>
      </x:c>
      <x:c r="S54" s="7" t="str">
        <x:v>Spécification à réaliser. Les champs adaptation, gameplay, visual, animation, audio et implementation décrivent le fan game ; ils ne donnent pas des caractéristiques officielles de l’œuvre.</x:v>
      </x:c>
    </x:row>
    <x:row r="55" ht="68" customHeight="1">
      <x:c r="A55" s="18" t="str">
        <x:v>ME3-SQ-ISMAR</x:v>
      </x:c>
      <x:c r="B55" s="9" t="str">
        <x:v>Ismar Frontier: Prototype Components</x:v>
      </x:c>
      <x:c r="C55" s="15" t="str">
        <x:v>Défini</x:v>
      </x:c>
      <x:c r="D55" s="16" t="str">
        <x:v>Établi</x:v>
      </x:c>
      <x:c r="E55" s="16" t="str">
        <x:v>P1</x:v>
      </x:c>
      <x:c r="F55" s="9" t="str">
        <x:v>Mission de composants.</x:v>
      </x:c>
      <x:c r="G55" s="9" t="str">
        <x:v>Scan et remise avant échéance ; objet de quête distinct des matériaux usuels.</x:v>
      </x:c>
      <x:c r="H55" s="9" t="str">
        <x:v>Scan et remise avant échéance ; objet de quête distinct des matériaux usuels.</x:v>
      </x:c>
      <x:c r="I55" s="9" t="str">
        <x:v>Composants en caisse.</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me3/side_quests/ismar ; rattacher les ressources et états cités à cet identifiant. Aucun fichier de jeu créé par ce catalogue.</x:v>
      </x:c>
      <x:c r="M55" s="9" t="str"/>
      <x:c r="N55" s="9" t="str">
        <x:v>Le livrable « Ismar Frontier: Prototype Components » possède une scène ou un scénario de contrôle ; ses règles proposées, ses conditions et ses retours visuels sont vérifiables séparément.</x:v>
      </x:c>
      <x:c r="O55" s="9" t="str"/>
      <x:c r="P55" s="9" t="str">
        <x:v>Ismar Frontier: Prototype Components</x:v>
      </x:c>
      <x:c r="Q55" s="9" t="str">
        <x:v>ME3-SRC-CITADEL</x:v>
      </x:c>
      <x:c r="R55" s="9" t="str">
        <x:v>https://masseffect.fandom.com/wiki/Citadel</x:v>
      </x:c>
      <x:c r="S55" s="9" t="str">
        <x:v>Spécification à réaliser. Les champs adaptation, gameplay, visual, animation, audio et implementation décrivent le fan game ; ils ne donnent pas des caractéristiques officielles de l’œuvre.</x:v>
      </x:c>
    </x:row>
    <x:row r="56" ht="68" customHeight="1">
      <x:c r="A56" s="19" t="str">
        <x:v>ME3-SQ-KITE</x:v>
      </x:c>
      <x:c r="B56" s="7" t="str">
        <x:v>Kite’s Nest: Pillars of Strength</x:v>
      </x:c>
      <x:c r="C56" s="15" t="str">
        <x:v>Défini</x:v>
      </x:c>
      <x:c r="D56" s="17" t="str">
        <x:v>Établi</x:v>
      </x:c>
      <x:c r="E56" s="17" t="str">
        <x:v>P1</x:v>
      </x:c>
      <x:c r="F56" s="7" t="str">
        <x:v>Mission culturelle batarienne.</x:v>
      </x:c>
      <x:c r="G56" s="7" t="str">
        <x:v>Localiser puis remettre un artefact ; noter contexte de réfugiés.</x:v>
      </x:c>
      <x:c r="H56" s="7" t="str">
        <x:v>Localiser puis remettre un artefact ; noter contexte de réfugiés.</x:v>
      </x:c>
      <x:c r="I56" s="7" t="str">
        <x:v>Objet de tradition et emballage de voyage.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me3/side_quests/kite ; rattacher les ressources et états cités à cet identifiant. Aucun fichier de jeu créé par ce catalogue.</x:v>
      </x:c>
      <x:c r="M56" s="7" t="str"/>
      <x:c r="N56" s="7" t="str">
        <x:v>Le livrable « Kite’s Nest: Pillars of Strength » possède une scène ou un scénario de contrôle ; ses règles proposées, ses conditions et ses retours visuels sont vérifiables séparément.</x:v>
      </x:c>
      <x:c r="O56" s="7" t="str"/>
      <x:c r="P56" s="7" t="str">
        <x:v>Kite’s Nest: Pillars of Strength</x:v>
      </x:c>
      <x:c r="Q56" s="7" t="str">
        <x:v>ME3-SRC-CITADEL</x:v>
      </x:c>
      <x:c r="R56" s="7" t="str">
        <x:v>https://masseffect.fandom.com/wiki/Citadel</x:v>
      </x:c>
      <x:c r="S56" s="7" t="str">
        <x:v>Spécification à réaliser. Les champs adaptation, gameplay, visual, animation, audio et implementation décrivent le fan game ; ils ne donnent pas des caractéristiques officielles de l’œuvre.</x:v>
      </x:c>
    </x:row>
    <x:row r="57" ht="68" customHeight="1">
      <x:c r="A57" s="18" t="str">
        <x:v>ME3-SQ-NIMBUS</x:v>
      </x:c>
      <x:c r="B57" s="9" t="str">
        <x:v>Nimbus Cluster: Library of Asha</x:v>
      </x:c>
      <x:c r="C57" s="15" t="str">
        <x:v>Défini</x:v>
      </x:c>
      <x:c r="D57" s="16" t="str">
        <x:v>Établi</x:v>
      </x:c>
      <x:c r="E57" s="16" t="str">
        <x:v>P1</x:v>
      </x:c>
      <x:c r="F57" s="9" t="str">
        <x:v>Mission d’archives.</x:v>
      </x:c>
      <x:c r="G57" s="9" t="str">
        <x:v>Récupérer données culturelles ; entrée de codex séparée du bonus de guerre.</x:v>
      </x:c>
      <x:c r="H57" s="9" t="str">
        <x:v>Récupérer données culturelles ; entrée de codex séparée du bonus de guerre.</x:v>
      </x:c>
      <x:c r="I57" s="9" t="str">
        <x:v>Support numérique d’archive.</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me3/side_quests/nimbus ; rattacher les ressources et états cités à cet identifiant. Aucun fichier de jeu créé par ce catalogue.</x:v>
      </x:c>
      <x:c r="M57" s="9" t="str"/>
      <x:c r="N57" s="9" t="str">
        <x:v>Le livrable « Nimbus Cluster: Library of Asha » possède une scène ou un scénario de contrôle ; ses règles proposées, ses conditions et ses retours visuels sont vérifiables séparément.</x:v>
      </x:c>
      <x:c r="O57" s="9" t="str"/>
      <x:c r="P57" s="9" t="str">
        <x:v>Nimbus Cluster: Library of Asha</x:v>
      </x:c>
      <x:c r="Q57" s="9" t="str">
        <x:v>ME3-SRC-CITADEL</x:v>
      </x:c>
      <x:c r="R57" s="9" t="str">
        <x:v>https://masseffect.fandom.com/wiki/Citadel</x:v>
      </x:c>
      <x:c r="S57" s="9" t="str">
        <x:v>Spécification à réaliser. Les champs adaptation, gameplay, visual, animation, audio et implementation décrivent le fan game ; ils ne donnent pas des caractéristiques officielles de l’œuvre.</x:v>
      </x:c>
    </x:row>
    <x:row r="58" ht="68" customHeight="1">
      <x:c r="A58" s="19" t="str">
        <x:v>ME3-SQ-SHRIKE</x:v>
      </x:c>
      <x:c r="B58" s="7" t="str">
        <x:v>Shrike Abyssal: Prothean Obelisk</x:v>
      </x:c>
      <x:c r="C58" s="15" t="str">
        <x:v>Défini</x:v>
      </x:c>
      <x:c r="D58" s="17" t="str">
        <x:v>Établi</x:v>
      </x:c>
      <x:c r="E58" s="17" t="str">
        <x:v>P1</x:v>
      </x:c>
      <x:c r="F58" s="7" t="str">
        <x:v>Mission d’obélisque prothéen.</x:v>
      </x:c>
      <x:c r="G58" s="7" t="str">
        <x:v>Nom complet affiché sur objet et remise ; aucun partage d’ID avec Karza.</x:v>
      </x:c>
      <x:c r="H58" s="7" t="str">
        <x:v>Nom complet affiché sur objet et remise ; aucun partage d’ID avec Karza.</x:v>
      </x:c>
      <x:c r="I58" s="7" t="str">
        <x:v>Monolithe sur carte d’inventaire.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me3/side_quests/shrike ; rattacher les ressources et états cités à cet identifiant. Aucun fichier de jeu créé par ce catalogue.</x:v>
      </x:c>
      <x:c r="M58" s="7" t="str"/>
      <x:c r="N58" s="7" t="str">
        <x:v>Le livrable « Shrike Abyssal: Prothean Obelisk » possède une scène ou un scénario de contrôle ; ses règles proposées, ses conditions et ses retours visuels sont vérifiables séparément.</x:v>
      </x:c>
      <x:c r="O58" s="7" t="str"/>
      <x:c r="P58" s="7" t="str">
        <x:v>Shrike Abyssal: Prothean Obelisk</x:v>
      </x:c>
      <x:c r="Q58" s="7" t="str">
        <x:v>ME3-SRC-CITADEL</x:v>
      </x:c>
      <x:c r="R58" s="7" t="str">
        <x:v>https://masseffect.fandom.com/wiki/Citadel</x:v>
      </x:c>
      <x:c r="S58" s="7" t="str">
        <x:v>Spécification à réaliser. Les champs adaptation, gameplay, visual, animation, audio et implementation décrivent le fan game ; ils ne donnent pas des caractéristiques officielles de l’œuvre.</x:v>
      </x:c>
    </x:row>
    <x:row r="59" ht="68" customHeight="1">
      <x:c r="A59" s="18" t="str">
        <x:v>ME3-SQ-SILEAN</x:v>
      </x:c>
      <x:c r="B59" s="9" t="str">
        <x:v>Silean Nebula: Rings of Alune</x:v>
      </x:c>
      <x:c r="C59" s="15" t="str">
        <x:v>Défini</x:v>
      </x:c>
      <x:c r="D59" s="16" t="str">
        <x:v>Établi</x:v>
      </x:c>
      <x:c r="E59" s="16" t="str">
        <x:v>P1</x:v>
      </x:c>
      <x:c r="F59" s="9" t="str">
        <x:v>Mission d’artefacts.</x:v>
      </x:c>
      <x:c r="G59" s="9" t="str">
        <x:v>Scan puis remise ; plusieurs anneaux restent un objet de quête cohérent.</x:v>
      </x:c>
      <x:c r="H59" s="9" t="str">
        <x:v>Scan puis remise ; plusieurs anneaux restent un objet de quête cohérent.</x:v>
      </x:c>
      <x:c r="I59" s="9" t="str">
        <x:v>Anneaux entrelacés.</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me3/side_quests/silean ; rattacher les ressources et états cités à cet identifiant. Aucun fichier de jeu créé par ce catalogue.</x:v>
      </x:c>
      <x:c r="M59" s="9" t="str"/>
      <x:c r="N59" s="9" t="str">
        <x:v>Le livrable « Silean Nebula: Rings of Alune » possède une scène ou un scénario de contrôle ; ses règles proposées, ses conditions et ses retours visuels sont vérifiables séparément.</x:v>
      </x:c>
      <x:c r="O59" s="9" t="str"/>
      <x:c r="P59" s="9" t="str">
        <x:v>Silean Nebula: Rings of Alune</x:v>
      </x:c>
      <x:c r="Q59" s="9" t="str">
        <x:v>ME3-SRC-CITADEL</x:v>
      </x:c>
      <x:c r="R59" s="9" t="str">
        <x:v>https://masseffect.fandom.com/wiki/Citadel</x:v>
      </x:c>
      <x:c r="S59" s="9" t="str">
        <x:v>Spécification à réaliser. Les champs adaptation, gameplay, visual, animation, audio et implementation décrivent le fan game ; ils ne donnent pas des caractéristiques officielles de l’œuvre.</x:v>
      </x:c>
    </x:row>
    <x:row r="60" ht="68" customHeight="1">
      <x:c r="A60" s="19" t="str">
        <x:v>ME3-SQ-VALHALLAN</x:v>
      </x:c>
      <x:c r="B60" s="7" t="str">
        <x:v>Valhallan Threshold: Prothean Data Drives</x:v>
      </x:c>
      <x:c r="C60" s="15" t="str">
        <x:v>Défini</x:v>
      </x:c>
      <x:c r="D60" s="17" t="str">
        <x:v>Établi</x:v>
      </x:c>
      <x:c r="E60" s="17" t="str">
        <x:v>P1</x:v>
      </x:c>
      <x:c r="F60" s="7" t="str">
        <x:v>Mission de données prothéennes.</x:v>
      </x:c>
      <x:c r="G60" s="7" t="str">
        <x:v>Récupérer puis donner les supports ; progression indépendante du codex prothéen de Javik.</x:v>
      </x:c>
      <x:c r="H60" s="7" t="str">
        <x:v>Récupérer puis donner les supports ; progression indépendante du codex prothéen de Javik.</x:v>
      </x:c>
      <x:c r="I60" s="7" t="str">
        <x:v>Petits modules anciens.</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me3/side_quests/valhallan ; rattacher les ressources et états cités à cet identifiant. Aucun fichier de jeu créé par ce catalogue.</x:v>
      </x:c>
      <x:c r="M60" s="7" t="str"/>
      <x:c r="N60" s="7" t="str">
        <x:v>Le livrable « Valhallan Threshold: Prothean Data Drives » possède une scène ou un scénario de contrôle ; ses règles proposées, ses conditions et ses retours visuels sont vérifiables séparément.</x:v>
      </x:c>
      <x:c r="O60" s="7" t="str"/>
      <x:c r="P60" s="7" t="str">
        <x:v>Valhallan Threshold: Prothean Data Drives</x:v>
      </x:c>
      <x:c r="Q60" s="7" t="str">
        <x:v>ME3-SRC-CITADEL</x:v>
      </x:c>
      <x:c r="R60" s="7" t="str">
        <x:v>https://masseffect.fandom.com/wiki/Citadel</x:v>
      </x:c>
      <x:c r="S60" s="7" t="str">
        <x:v>Spécification à réaliser. Les champs adaptation, gameplay, visual, animation, audio et implementation décrivent le fan game ; ils ne donnent pas des caractéristiques officielles de l’œuvre.</x:v>
      </x:c>
    </x:row>
    <x:row r="61" ht="68" customHeight="1">
      <x:c r="A61" s="18" t="str">
        <x:v>ME3-SQ-EDEN-RESIST</x:v>
      </x:c>
      <x:c r="B61" s="9" t="str">
        <x:v>Eden Prime: Resistance Movement</x:v>
      </x:c>
      <x:c r="C61" s="15" t="str">
        <x:v>Défini</x:v>
      </x:c>
      <x:c r="D61" s="16" t="str">
        <x:v>Établi</x:v>
      </x:c>
      <x:c r="E61" s="16" t="str">
        <x:v>P1</x:v>
      </x:c>
      <x:c r="F61" s="9" t="str">
        <x:v>Mission liée à From Ashes.</x:v>
      </x:c>
      <x:c r="G61" s="9" t="str">
        <x:v>Rechercher les preuves pendant l’opération Eden Prime ; avertir au dernier passage avant extraction.</x:v>
      </x:c>
      <x:c r="H61" s="9" t="str">
        <x:v>Rechercher les preuves pendant l’opération Eden Prime ; avertir au dernier passage avant extraction.</x:v>
      </x:c>
      <x:c r="I61" s="9" t="str">
        <x:v>Trois groupes d’informations identifiables.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me3/side_quests/eden-resist ; rattacher les ressources et états cités à cet identifiant. Aucun fichier de jeu créé par ce catalogue.</x:v>
      </x:c>
      <x:c r="M61" s="9" t="str">
        <x:v>DLC / Legendary ; nombre exact à revérifier en jeu.</x:v>
      </x:c>
      <x:c r="N61" s="9" t="str">
        <x:v>Le livrable « Eden Prime: Resistance Movement » possède une scène ou un scénario de contrôle ; ses règles proposées, ses conditions et ses retours visuels sont vérifiables séparément.</x:v>
      </x:c>
      <x:c r="O61" s="9" t="str"/>
      <x:c r="P61" s="9" t="str">
        <x:v>Eden Prime: Resistance Movement</x:v>
      </x:c>
      <x:c r="Q61" s="9" t="str">
        <x:v>ME3-SRC-MISSIONS</x:v>
      </x:c>
      <x:c r="R61" s="9" t="str">
        <x:v>https://masseffect.fandom.com/wiki/Missions</x:v>
      </x:c>
      <x:c r="S61" s="9" t="str">
        <x:v>Spécification à réaliser. Les champs adaptation, gameplay, visual, animation, audio et implementation décrivent le fan game ; ils ne donnent pas des caractéristiques officielles de l’œuvre.</x:v>
      </x:c>
    </x:row>
    <x:row r="62" ht="68" customHeight="1">
      <x:c r="A62" s="19" t="str">
        <x:v>ME3-SQ-OMEGA-HACK</x:v>
      </x:c>
      <x:c r="B62" s="7" t="str">
        <x:v>Omega: Assist the Hacker</x:v>
      </x:c>
      <x:c r="C62" s="15" t="str">
        <x:v>Défini</x:v>
      </x:c>
      <x:c r="D62" s="17" t="str">
        <x:v>Établi</x:v>
      </x:c>
      <x:c r="E62" s="17" t="str">
        <x:v>P1</x:v>
      </x:c>
      <x:c r="F62" s="7" t="str">
        <x:v>Demande locale du DLC Omega.</x:v>
      </x:c>
      <x:c r="G62" s="7" t="str">
        <x:v>Activer les éléments requis pendant le trajet ; retour au bunker sans traversée répétitive ajoutée.</x:v>
      </x:c>
      <x:c r="H62" s="7" t="str">
        <x:v>Activer les éléments requis pendant le trajet ; retour au bunker sans traversée répétitive ajoutée.</x:v>
      </x:c>
      <x:c r="I62" s="7" t="str">
        <x:v>Terminaux et poste de résistants.</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me3/side_quests/omega-hack ; rattacher les ressources et états cités à cet identifiant. Aucun fichier de jeu créé par ce catalogue.</x:v>
      </x:c>
      <x:c r="M62" s="7" t="str">
        <x:v>DLC Omega.</x:v>
      </x:c>
      <x:c r="N62" s="7" t="str">
        <x:v>Le livrable « Omega: Assist the Hacker » possède une scène ou un scénario de contrôle ; ses règles proposées, ses conditions et ses retours visuels sont vérifiables séparément.</x:v>
      </x:c>
      <x:c r="O62" s="7" t="str"/>
      <x:c r="P62" s="7" t="str">
        <x:v>Omega: Assist the Hacker</x:v>
      </x:c>
      <x:c r="Q62" s="7" t="str">
        <x:v>ME3-SRC-MISSIONS</x:v>
      </x:c>
      <x:c r="R62" s="7" t="str">
        <x:v>https://masseffect.fandom.com/wiki/Missions</x:v>
      </x:c>
      <x:c r="S62" s="7" t="str">
        <x:v>Spécification à réaliser. Les champs adaptation, gameplay, visual, animation, audio et implementation décrivent le fan game ; ils ne donnent pas des caractéristiques officielles de l’œuvre.</x:v>
      </x:c>
    </x:row>
    <x:row r="63" ht="68" customHeight="1">
      <x:c r="A63" s="18" t="str">
        <x:v>ME3-SQ-OMEGA-MECH</x:v>
      </x:c>
      <x:c r="B63" s="9" t="str">
        <x:v>Omega: Assist the Mechanic</x:v>
      </x:c>
      <x:c r="C63" s="15" t="str">
        <x:v>Défini</x:v>
      </x:c>
      <x:c r="D63" s="16" t="str">
        <x:v>Établi</x:v>
      </x:c>
      <x:c r="E63" s="16" t="str">
        <x:v>P1</x:v>
      </x:c>
      <x:c r="F63" s="9" t="str">
        <x:v>Demande locale du DLC Omega.</x:v>
      </x:c>
      <x:c r="G63" s="9" t="str">
        <x:v>Récupération mécanique imbriquée dans la libération ; pas de planète annexe inventée.</x:v>
      </x:c>
      <x:c r="H63" s="9" t="str">
        <x:v>Récupération mécanique imbriquée dans la libération ; pas de planète annexe inventée.</x:v>
      </x:c>
      <x:c r="I63" s="9" t="str">
        <x:v>Outils et composants du bunker.</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me3/side_quests/omega-mech ; rattacher les ressources et états cités à cet identifiant. Aucun fichier de jeu créé par ce catalogue.</x:v>
      </x:c>
      <x:c r="M63" s="9" t="str">
        <x:v>DLC Omega.</x:v>
      </x:c>
      <x:c r="N63" s="9" t="str">
        <x:v>Le livrable « Omega: Assist the Mechanic » possède une scène ou un scénario de contrôle ; ses règles proposées, ses conditions et ses retours visuels sont vérifiables séparément.</x:v>
      </x:c>
      <x:c r="O63" s="9" t="str"/>
      <x:c r="P63" s="9" t="str">
        <x:v>Omega: Assist the Mechanic</x:v>
      </x:c>
      <x:c r="Q63" s="9" t="str">
        <x:v>ME3-SRC-MISSIONS</x:v>
      </x:c>
      <x:c r="R63" s="9" t="str">
        <x:v>https://masseffect.fandom.com/wiki/Missions</x:v>
      </x:c>
      <x:c r="S63" s="9" t="str">
        <x:v>Spécification à réaliser. Les champs adaptation, gameplay, visual, animation, audio et implementation décrivent le fan game ; ils ne donnent pas des caractéristiques officielles de l’œuvre.</x:v>
      </x:c>
    </x:row>
    <x:row r="64" ht="68" customHeight="1">
      <x:c r="A64" s="19" t="str">
        <x:v>ME3-SQ-OMEGA-HARROT</x:v>
      </x:c>
      <x:c r="B64" s="7" t="str">
        <x:v>Omega: Assist Harrot</x:v>
      </x:c>
      <x:c r="C64" s="15" t="str">
        <x:v>Défini</x:v>
      </x:c>
      <x:c r="D64" s="17" t="str">
        <x:v>Établi</x:v>
      </x:c>
      <x:c r="E64" s="17" t="str">
        <x:v>P1</x:v>
      </x:c>
      <x:c r="F64" s="7" t="str">
        <x:v>Demande locale du DLC Omega.</x:v>
      </x:c>
      <x:c r="G64" s="7" t="str">
        <x:v>Recherche du souvenir d’Aria ; validation avant de quitter les zones à sens unique.</x:v>
      </x:c>
      <x:c r="H64" s="7" t="str">
        <x:v>Recherche du souvenir d’Aria ; validation avant de quitter les zones à sens unique.</x:v>
      </x:c>
      <x:c r="I64" s="7" t="str">
        <x:v>Mobilier familier au milieu des débris.</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me3/side_quests/omega-harrot ; rattacher les ressources et états cités à cet identifiant. Aucun fichier de jeu créé par ce catalogue.</x:v>
      </x:c>
      <x:c r="M64" s="7" t="str">
        <x:v>DLC Omega.</x:v>
      </x:c>
      <x:c r="N64" s="7" t="str">
        <x:v>Le livrable « Omega: Assist Harrot » possède une scène ou un scénario de contrôle ; ses règles proposées, ses conditions et ses retours visuels sont vérifiables séparément.</x:v>
      </x:c>
      <x:c r="O64" s="7" t="str"/>
      <x:c r="P64" s="7" t="str">
        <x:v>Omega: Assist Harrot</x:v>
      </x:c>
      <x:c r="Q64" s="7" t="str">
        <x:v>ME3-SRC-MISSIONS, ME3-SRC-OMEGA</x:v>
      </x:c>
      <x:c r="R64" s="7" t="str">
        <x:v>https://masseffect.fandom.com/wiki/Missions
https://masseffect.fandom.com/wiki/Omega%3A_Aria_T%27Loak_%28Mass_Effect_3%29</x:v>
      </x:c>
      <x:c r="S64" s="7" t="str">
        <x:v>Spécification à réaliser. Les champs adaptation, gameplay, visual, animation, audio et implementation décrivent le fan game ; ils ne donnent pas des caractéristiques officielles de l’œuvre.</x:v>
      </x:c>
    </x:row>
    <x:row r="65" ht="68" customHeight="1">
      <x:c r="A65" s="18" t="str">
        <x:v>ME3-SQ-ARMAX</x:v>
      </x:c>
      <x:c r="B65" s="9" t="str">
        <x:v>Armax Arsenal Arena — accès et récompenses</x:v>
      </x:c>
      <x:c r="C65" s="15" t="str">
        <x:v>Défini</x:v>
      </x:c>
      <x:c r="D65" s="16" t="str">
        <x:v>Établi</x:v>
      </x:c>
      <x:c r="E65" s="16" t="str">
        <x:v>P1</x:v>
      </x:c>
      <x:c r="F65" s="9" t="str">
        <x:v>Citadel ajoute le simulateur Armax.</x:v>
      </x:c>
      <x:c r="G65" s="9" t="str">
        <x:v>Mode combat séparé de campagne : règles, compagnons, adversaires et récompenses affichés avant lancement.</x:v>
      </x:c>
      <x:c r="H65" s="9" t="str">
        <x:v>Mode combat séparé de campagne : règles, compagnons, adversaires et récompenses affichés avant lancement.</x:v>
      </x:c>
      <x:c r="I65" s="9" t="str">
        <x:v>Arène holographique et comptoir de récompenses.</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me3/side_quests/armax ; rattacher les ressources et états cités à cet identifiant. Aucun fichier de jeu créé par ce catalogue.</x:v>
      </x:c>
      <x:c r="M65" s="9" t="str">
        <x:v>DLC Citadel.</x:v>
      </x:c>
      <x:c r="N65" s="9" t="str">
        <x:v>Le livrable « Armax Arsenal Arena — accès et récompenses » possède une scène ou un scénario de contrôle ; ses règles proposées, ses conditions et ses retours visuels sont vérifiables séparément.</x:v>
      </x:c>
      <x:c r="O65" s="9" t="str"/>
      <x:c r="P65" s="9" t="str">
        <x:v>Armax Arsenal Arena — accès et récompenses</x:v>
      </x:c>
      <x:c r="Q65" s="9" t="str">
        <x:v>ME3-SRC-BW-CITADEL, ME3-SRC-SQUAD</x:v>
      </x:c>
      <x:c r="R65" s="9" t="str">
        <x:v>https://blog.bioware.com/2013/02/21/mass-effect-3-citadel-reckoning-dlc-announced/
https://masseffect.fandom.com/wiki/Squad_Members_Guide_%28Mass_Effect_3%29</x:v>
      </x:c>
      <x:c r="S65" s="9" t="str">
        <x:v>Spécification à réaliser. Les champs adaptation, gameplay, visual, animation, audio et implementation décrivent le fan game ; ils ne donnent pas des caractéristiques officielles de l’œuvre.</x:v>
      </x:c>
    </x:row>
    <x:row r="66" ht="68" customHeight="1">
      <x:c r="A66" s="19" t="str">
        <x:v>ME3-SQ-ARENA-GETH</x:v>
      </x:c>
      <x:c r="B66" s="7" t="str">
        <x:v>Citadel Arena: Geth Challenge</x:v>
      </x:c>
      <x:c r="C66" s="15" t="str">
        <x:v>Défini</x:v>
      </x:c>
      <x:c r="D66" s="17" t="str">
        <x:v>Établi</x:v>
      </x:c>
      <x:c r="E66" s="17" t="str">
        <x:v>P1</x:v>
      </x:c>
      <x:c r="F66" s="7" t="str">
        <x:v>Défi nommé de l’arène Citadel.</x:v>
      </x:c>
      <x:c r="G66" s="7" t="str">
        <x:v>Sélection de faction geth et critère de score ; chronomètre de simulation distinct de la mission.</x:v>
      </x:c>
      <x:c r="H66" s="7" t="str">
        <x:v>Sélection de faction geth et critère de score ; chronomètre de simulation distinct de la mission.</x:v>
      </x:c>
      <x:c r="I66" s="7" t="str">
        <x:v>Interface de simulateur, paramètres de vague et score.</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me3/side_quests/arena-geth ; rattacher les ressources et états cités à cet identifiant. Aucun fichier de jeu créé par ce catalogue.</x:v>
      </x:c>
      <x:c r="M66" s="7" t="str">
        <x:v>Simulateur Armax uniquement ; paramètres détaillés à vérifier dans l’édition choisie.</x:v>
      </x:c>
      <x:c r="N66" s="7" t="str">
        <x:v>Le livrable « Citadel Arena: Geth Challenge » possède une scène ou un scénario de contrôle ; ses règles proposées, ses conditions et ses retours visuels sont vérifiables séparément.</x:v>
      </x:c>
      <x:c r="O66" s="7" t="str">
        <x:v>ME3-SQ-ARMAX</x:v>
      </x:c>
      <x:c r="P66" s="7" t="str">
        <x:v>Mass Effect 3: Citadel — missions d’arène</x:v>
      </x:c>
      <x:c r="Q66" s="7" t="str">
        <x:v>ME3-SRC-MISSIONS</x:v>
      </x:c>
      <x:c r="R66" s="7" t="str">
        <x:v>https://masseffect.fandom.com/wiki/Missions</x:v>
      </x:c>
      <x:c r="S66" s="7" t="str">
        <x:v>Spécification à réaliser. Les champs adaptation, gameplay, visual, animation, audio et implementation décrivent le fan game ; ils ne donnent pas des caractéristiques officielles de l’œuvre.</x:v>
      </x:c>
    </x:row>
    <x:row r="67" ht="68" customHeight="1">
      <x:c r="A67" s="18" t="str">
        <x:v>ME3-SQ-ARENA-SPIN</x:v>
      </x:c>
      <x:c r="B67" s="9" t="str">
        <x:v>Citadel Arena: Spin Zone Elite Challenge</x:v>
      </x:c>
      <x:c r="C67" s="15" t="str">
        <x:v>Défini</x:v>
      </x:c>
      <x:c r="D67" s="16" t="str">
        <x:v>Établi</x:v>
      </x:c>
      <x:c r="E67" s="16" t="str">
        <x:v>P1</x:v>
      </x:c>
      <x:c r="F67" s="9" t="str">
        <x:v>Défi nommé de l’arène Citadel.</x:v>
      </x:c>
      <x:c r="G67" s="9" t="str">
        <x:v>Contraintes de carte et de score clairement exposées avant entrée ; valeurs originales à vérifier.</x:v>
      </x:c>
      <x:c r="H67" s="9" t="str">
        <x:v>Contraintes de carte et de score clairement exposées avant entrée ; valeurs originales à vérifier.</x:v>
      </x:c>
      <x:c r="I67" s="9" t="str">
        <x:v>Interface de simulateur, paramètres de vague et score.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me3/side_quests/arena-spin ; rattacher les ressources et états cités à cet identifiant. Aucun fichier de jeu créé par ce catalogue.</x:v>
      </x:c>
      <x:c r="M67" s="9" t="str">
        <x:v>Simulateur Armax uniquement ; paramètres détaillés à vérifier dans l’édition choisie.</x:v>
      </x:c>
      <x:c r="N67" s="9" t="str">
        <x:v>Le livrable « Citadel Arena: Spin Zone Elite Challenge » possède une scène ou un scénario de contrôle ; ses règles proposées, ses conditions et ses retours visuels sont vérifiables séparément.</x:v>
      </x:c>
      <x:c r="O67" s="9" t="str">
        <x:v>ME3-SQ-ARMAX</x:v>
      </x:c>
      <x:c r="P67" s="9" t="str">
        <x:v>Mass Effect 3: Citadel — missions d’arène</x:v>
      </x:c>
      <x:c r="Q67" s="9" t="str">
        <x:v>ME3-SRC-MISSIONS</x:v>
      </x:c>
      <x:c r="R67" s="9" t="str">
        <x:v>https://masseffect.fandom.com/wiki/Missions</x:v>
      </x:c>
      <x:c r="S67" s="9" t="str">
        <x:v>Spécification à réaliser. Les champs adaptation, gameplay, visual, animation, audio et implementation décrivent le fan game ; ils ne donnent pas des caractéristiques officielles de l’œuvre.</x:v>
      </x:c>
    </x:row>
    <x:row r="68" ht="68" customHeight="1">
      <x:c r="A68" s="19" t="str">
        <x:v>ME3-SQ-ARENA-MEDIGEL</x:v>
      </x:c>
      <x:c r="B68" s="7" t="str">
        <x:v>Citadel Arena: Medi-Gel Challenge</x:v>
      </x:c>
      <x:c r="C68" s="15" t="str">
        <x:v>Défini</x:v>
      </x:c>
      <x:c r="D68" s="17" t="str">
        <x:v>Établi</x:v>
      </x:c>
      <x:c r="E68" s="17" t="str">
        <x:v>P1</x:v>
      </x:c>
      <x:c r="F68" s="7" t="str">
        <x:v>Défi nommé de l’arène Citadel.</x:v>
      </x:c>
      <x:c r="G68" s="7" t="str">
        <x:v>Règle de ressource explicite avec compteur de soins ; aucune consommation sur inventaire de campagne.</x:v>
      </x:c>
      <x:c r="H68" s="7" t="str">
        <x:v>Règle de ressource explicite avec compteur de soins ; aucune consommation sur inventaire de campagne.</x:v>
      </x:c>
      <x:c r="I68" s="7" t="str">
        <x:v>Interface de simulateur, paramètres de vague et score.</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me3/side_quests/arena-medigel ; rattacher les ressources et états cités à cet identifiant. Aucun fichier de jeu créé par ce catalogue.</x:v>
      </x:c>
      <x:c r="M68" s="7" t="str">
        <x:v>Simulateur Armax uniquement ; paramètres détaillés à vérifier dans l’édition choisie.</x:v>
      </x:c>
      <x:c r="N68" s="7" t="str">
        <x:v>Le livrable « Citadel Arena: Medi-Gel Challenge » possède une scène ou un scénario de contrôle ; ses règles proposées, ses conditions et ses retours visuels sont vérifiables séparément.</x:v>
      </x:c>
      <x:c r="O68" s="7" t="str">
        <x:v>ME3-SQ-ARMAX</x:v>
      </x:c>
      <x:c r="P68" s="7" t="str">
        <x:v>Mass Effect 3: Citadel — missions d’arène</x:v>
      </x:c>
      <x:c r="Q68" s="7" t="str">
        <x:v>ME3-SRC-MISSIONS</x:v>
      </x:c>
      <x:c r="R68" s="7" t="str">
        <x:v>https://masseffect.fandom.com/wiki/Missions</x:v>
      </x:c>
      <x:c r="S68" s="7" t="str">
        <x:v>Spécification à réaliser. Les champs adaptation, gameplay, visual, animation, audio et implementation décrivent le fan game ; ils ne donnent pas des caractéristiques officielles de l’œuvre.</x:v>
      </x:c>
    </x:row>
    <x:row r="69" ht="68" customHeight="1">
      <x:c r="A69" s="18" t="str">
        <x:v>ME3-SQ-ARENA-REAPER-SOLO</x:v>
      </x:c>
      <x:c r="B69" s="9" t="str">
        <x:v>Citadel Arena: Reaper Solo Challenge</x:v>
      </x:c>
      <x:c r="C69" s="15" t="str">
        <x:v>Défini</x:v>
      </x:c>
      <x:c r="D69" s="16" t="str">
        <x:v>Établi</x:v>
      </x:c>
      <x:c r="E69" s="16" t="str">
        <x:v>P1</x:v>
      </x:c>
      <x:c r="F69" s="9" t="str">
        <x:v>Défi nommé de l’arène Citadel.</x:v>
      </x:c>
      <x:c r="G69" s="9" t="str">
        <x:v>Verrou de groupe solo et faction Moissonneur affichés ; retour du roster normal à la sortie.</x:v>
      </x:c>
      <x:c r="H69" s="9" t="str">
        <x:v>Verrou de groupe solo et faction Moissonneur affichés ; retour du roster normal à la sortie.</x:v>
      </x:c>
      <x:c r="I69" s="9" t="str">
        <x:v>Interface de simulateur, paramètres de vague et score.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me3/side_quests/arena-reaper-solo ; rattacher les ressources et états cités à cet identifiant. Aucun fichier de jeu créé par ce catalogue.</x:v>
      </x:c>
      <x:c r="M69" s="9" t="str">
        <x:v>Simulateur Armax uniquement ; paramètres détaillés à vérifier dans l’édition choisie.</x:v>
      </x:c>
      <x:c r="N69" s="9" t="str">
        <x:v>Le livrable « Citadel Arena: Reaper Solo Challenge » possède une scène ou un scénario de contrôle ; ses règles proposées, ses conditions et ses retours visuels sont vérifiables séparément.</x:v>
      </x:c>
      <x:c r="O69" s="9" t="str">
        <x:v>ME3-SQ-ARMAX</x:v>
      </x:c>
      <x:c r="P69" s="9" t="str">
        <x:v>Mass Effect 3: Citadel — missions d’arène</x:v>
      </x:c>
      <x:c r="Q69" s="9" t="str">
        <x:v>ME3-SRC-MISSIONS</x:v>
      </x:c>
      <x:c r="R69" s="9" t="str">
        <x:v>https://masseffect.fandom.com/wiki/Missions</x:v>
      </x:c>
      <x:c r="S69" s="9" t="str">
        <x:v>Spécification à réaliser. Les champs adaptation, gameplay, visual, animation, audio et implementation décrivent le fan game ; ils ne donnent pas des caractéristiques officielles de l’œuvre.</x:v>
      </x:c>
    </x:row>
    <x:row r="70" ht="68" customHeight="1">
      <x:c r="A70" s="19" t="str">
        <x:v>ME3-SQ-ARENA-THERMAL</x:v>
      </x:c>
      <x:c r="B70" s="7" t="str">
        <x:v>Citadel Arena: Thermal Clip Challenge</x:v>
      </x:c>
      <x:c r="C70" s="15" t="str">
        <x:v>Défini</x:v>
      </x:c>
      <x:c r="D70" s="17" t="str">
        <x:v>Établi</x:v>
      </x:c>
      <x:c r="E70" s="17" t="str">
        <x:v>P1</x:v>
      </x:c>
      <x:c r="F70" s="7" t="str">
        <x:v>Défi nommé de l’arène Citadel.</x:v>
      </x:c>
      <x:c r="G70" s="7" t="str">
        <x:v>Restriction de clips et suivi de réserve propre au défi ; armes sans clips gérées explicitement.</x:v>
      </x:c>
      <x:c r="H70" s="7" t="str">
        <x:v>Restriction de clips et suivi de réserve propre au défi ; armes sans clips gérées explicitement.</x:v>
      </x:c>
      <x:c r="I70" s="7" t="str">
        <x:v>Interface de simulateur, paramètres de vague et score.</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me3/side_quests/arena-thermal ; rattacher les ressources et états cités à cet identifiant. Aucun fichier de jeu créé par ce catalogue.</x:v>
      </x:c>
      <x:c r="M70" s="7" t="str">
        <x:v>Simulateur Armax uniquement ; paramètres détaillés à vérifier dans l’édition choisie.</x:v>
      </x:c>
      <x:c r="N70" s="7" t="str">
        <x:v>Le livrable « Citadel Arena: Thermal Clip Challenge » possède une scène ou un scénario de contrôle ; ses règles proposées, ses conditions et ses retours visuels sont vérifiables séparément.</x:v>
      </x:c>
      <x:c r="O70" s="7" t="str">
        <x:v>ME3-SQ-ARMAX</x:v>
      </x:c>
      <x:c r="P70" s="7" t="str">
        <x:v>Mass Effect 3: Citadel — missions d’arène</x:v>
      </x:c>
      <x:c r="Q70" s="7" t="str">
        <x:v>ME3-SRC-MISSIONS</x:v>
      </x:c>
      <x:c r="R70" s="7" t="str">
        <x:v>https://masseffect.fandom.com/wiki/Missions</x:v>
      </x:c>
      <x:c r="S70" s="7" t="str">
        <x:v>Spécification à réaliser. Les champs adaptation, gameplay, visual, animation, audio et implementation décrivent le fan game ; ils ne donnent pas des caractéristiques officielles de l’œuvre.</x:v>
      </x:c>
    </x:row>
    <x:row r="71" ht="68" customHeight="1">
      <x:c r="A71" s="18" t="str">
        <x:v>ME3-SQ-ARENA-PROTHEAN</x:v>
      </x:c>
      <x:c r="B71" s="9" t="str">
        <x:v>Citadel Arena: Prothean Challenge</x:v>
      </x:c>
      <x:c r="C71" s="15" t="str">
        <x:v>Défini</x:v>
      </x:c>
      <x:c r="D71" s="16" t="str">
        <x:v>Établi</x:v>
      </x:c>
      <x:c r="E71" s="16" t="str">
        <x:v>P1</x:v>
      </x:c>
      <x:c r="F71" s="9" t="str">
        <x:v>Défi nommé de l’arène Citadel.</x:v>
      </x:c>
      <x:c r="G71" s="9" t="str">
        <x:v>Conditions particulières présentées en fiche ; vérifier les paramètres exacts avant reproduction.</x:v>
      </x:c>
      <x:c r="H71" s="9" t="str">
        <x:v>Conditions particulières présentées en fiche ; vérifier les paramètres exacts avant reproduction.</x:v>
      </x:c>
      <x:c r="I71" s="9" t="str">
        <x:v>Interface de simulateur, paramètres de vague et score.</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me3/side_quests/arena-prothean ; rattacher les ressources et états cités à cet identifiant. Aucun fichier de jeu créé par ce catalogue.</x:v>
      </x:c>
      <x:c r="M71" s="9" t="str">
        <x:v>Simulateur Armax uniquement ; paramètres détaillés à vérifier dans l’édition choisie.</x:v>
      </x:c>
      <x:c r="N71" s="9" t="str">
        <x:v>Le livrable « Citadel Arena: Prothean Challenge » possède une scène ou un scénario de contrôle ; ses règles proposées, ses conditions et ses retours visuels sont vérifiables séparément.</x:v>
      </x:c>
      <x:c r="O71" s="9" t="str">
        <x:v>ME3-SQ-ARMAX</x:v>
      </x:c>
      <x:c r="P71" s="9" t="str">
        <x:v>Mass Effect 3: Citadel — missions d’arène</x:v>
      </x:c>
      <x:c r="Q71" s="9" t="str">
        <x:v>ME3-SRC-MISSIONS</x:v>
      </x:c>
      <x:c r="R71" s="9" t="str">
        <x:v>https://masseffect.fandom.com/wiki/Missions</x:v>
      </x:c>
      <x:c r="S71" s="9" t="str">
        <x:v>Spécification à réaliser. Les champs adaptation, gameplay, visual, animation, audio et implementation décrivent le fan game ; ils ne donnent pas des caractéristiques officielles de l’œuvre.</x:v>
      </x:c>
    </x:row>
    <x:row r="72" ht="68" customHeight="1">
      <x:c r="A72" s="19" t="str">
        <x:v>ME3-SQ-ARENA-CERBERUS</x:v>
      </x:c>
      <x:c r="B72" s="7" t="str">
        <x:v>Citadel Arena: Cerberus Challenge</x:v>
      </x:c>
      <x:c r="C72" s="15" t="str">
        <x:v>Défini</x:v>
      </x:c>
      <x:c r="D72" s="17" t="str">
        <x:v>Établi</x:v>
      </x:c>
      <x:c r="E72" s="17" t="str">
        <x:v>P1</x:v>
      </x:c>
      <x:c r="F72" s="7" t="str">
        <x:v>Défi nommé de l’arène Citadel.</x:v>
      </x:c>
      <x:c r="G72" s="7" t="str">
        <x:v>Composer des vagues Cerberus et afficher la mesure de réussite attendue.</x:v>
      </x:c>
      <x:c r="H72" s="7" t="str">
        <x:v>Composer des vagues Cerberus et afficher la mesure de réussite attendue.</x:v>
      </x:c>
      <x:c r="I72" s="7" t="str">
        <x:v>Interface de simulateur, paramètres de vague et score.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me3/side_quests/arena-cerberus ; rattacher les ressources et états cités à cet identifiant. Aucun fichier de jeu créé par ce catalogue.</x:v>
      </x:c>
      <x:c r="M72" s="7" t="str">
        <x:v>Simulateur Armax uniquement ; paramètres détaillés à vérifier dans l’édition choisie.</x:v>
      </x:c>
      <x:c r="N72" s="7" t="str">
        <x:v>Le livrable « Citadel Arena: Cerberus Challenge » possède une scène ou un scénario de contrôle ; ses règles proposées, ses conditions et ses retours visuels sont vérifiables séparément.</x:v>
      </x:c>
      <x:c r="O72" s="7" t="str">
        <x:v>ME3-SQ-ARMAX</x:v>
      </x:c>
      <x:c r="P72" s="7" t="str">
        <x:v>Mass Effect 3: Citadel — missions d’arène</x:v>
      </x:c>
      <x:c r="Q72" s="7" t="str">
        <x:v>ME3-SRC-MISSIONS</x:v>
      </x:c>
      <x:c r="R72" s="7" t="str">
        <x:v>https://masseffect.fandom.com/wiki/Missions</x:v>
      </x:c>
      <x:c r="S72" s="7" t="str">
        <x:v>Spécification à réaliser. Les champs adaptation, gameplay, visual, animation, audio et implementation décrivent le fan game ; ils ne donnent pas des caractéristiques officielles de l’œuvre.</x:v>
      </x:c>
    </x:row>
    <x:row r="73" ht="68" customHeight="1">
      <x:c r="A73" s="18" t="str">
        <x:v>ME3-SQ-ARENA-CHARITY</x:v>
      </x:c>
      <x:c r="B73" s="9" t="str">
        <x:v>Citadel Arena: Charity Reaper Challenge</x:v>
      </x:c>
      <x:c r="C73" s="15" t="str">
        <x:v>Défini</x:v>
      </x:c>
      <x:c r="D73" s="16" t="str">
        <x:v>Établi</x:v>
      </x:c>
      <x:c r="E73" s="16" t="str">
        <x:v>P1</x:v>
      </x:c>
      <x:c r="F73" s="9" t="str">
        <x:v>Défi nommé de l’arène Citadel.</x:v>
      </x:c>
      <x:c r="G73" s="9" t="str">
        <x:v>Contrat d’arène et bénéficiaire narratif séparés ; récompense validée une fois.</x:v>
      </x:c>
      <x:c r="H73" s="9" t="str">
        <x:v>Contrat d’arène et bénéficiaire narratif séparés ; récompense validée une fois.</x:v>
      </x:c>
      <x:c r="I73" s="9" t="str">
        <x:v>Interface de simulateur, paramètres de vague et score.</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me3/side_quests/arena-charity ; rattacher les ressources et états cités à cet identifiant. Aucun fichier de jeu créé par ce catalogue.</x:v>
      </x:c>
      <x:c r="M73" s="9" t="str">
        <x:v>Simulateur Armax uniquement ; paramètres détaillés à vérifier dans l’édition choisie.</x:v>
      </x:c>
      <x:c r="N73" s="9" t="str">
        <x:v>Le livrable « Citadel Arena: Charity Reaper Challenge » possède une scène ou un scénario de contrôle ; ses règles proposées, ses conditions et ses retours visuels sont vérifiables séparément.</x:v>
      </x:c>
      <x:c r="O73" s="9" t="str">
        <x:v>ME3-SQ-ARMAX</x:v>
      </x:c>
      <x:c r="P73" s="9" t="str">
        <x:v>Mass Effect 3: Citadel — missions d’arène</x:v>
      </x:c>
      <x:c r="Q73" s="9" t="str">
        <x:v>ME3-SRC-MISSIONS</x:v>
      </x:c>
      <x:c r="R73" s="9" t="str">
        <x:v>https://masseffect.fandom.com/wiki/Missions</x:v>
      </x:c>
      <x:c r="S73" s="9" t="str">
        <x:v>Spécification à réaliser. Les champs adaptation, gameplay, visual, animation, audio et implementation décrivent le fan game ; ils ne donnent pas des caractéristiques officielles de l’œuvre.</x:v>
      </x:c>
    </x:row>
    <x:row r="74" ht="68" customHeight="1">
      <x:c r="A74" s="19" t="str">
        <x:v>ME3-SQ-ARENA-UNUSUAL</x:v>
      </x:c>
      <x:c r="B74" s="7" t="str">
        <x:v>Citadel Arena: Unusual Scores</x:v>
      </x:c>
      <x:c r="C74" s="15" t="str">
        <x:v>Défini</x:v>
      </x:c>
      <x:c r="D74" s="17" t="str">
        <x:v>Établi</x:v>
      </x:c>
      <x:c r="E74" s="17" t="str">
        <x:v>P1</x:v>
      </x:c>
      <x:c r="F74" s="7" t="str">
        <x:v>Défi nommé de l’arène Citadel.</x:v>
      </x:c>
      <x:c r="G74" s="7" t="str">
        <x:v>Suite d’anomalies et rencontre de simulation ; tous les adversaires demeurent des copies holographiques.</x:v>
      </x:c>
      <x:c r="H74" s="7" t="str">
        <x:v>Suite d’anomalies et rencontre de simulation ; tous les adversaires demeurent des copies holographiques.</x:v>
      </x:c>
      <x:c r="I74" s="7" t="str">
        <x:v>Interface de simulateur, paramètres de vague et score.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me3/side_quests/arena-unusual ; rattacher les ressources et états cités à cet identifiant. Aucun fichier de jeu créé par ce catalogue.</x:v>
      </x:c>
      <x:c r="M74" s="7" t="str">
        <x:v>Simulateur Armax uniquement ; paramètres détaillés à vérifier dans l’édition choisie.</x:v>
      </x:c>
      <x:c r="N74" s="7" t="str">
        <x:v>Le livrable « Citadel Arena: Unusual Scores » possède une scène ou un scénario de contrôle ; ses règles proposées, ses conditions et ses retours visuels sont vérifiables séparément.</x:v>
      </x:c>
      <x:c r="O74" s="7" t="str">
        <x:v>ME3-SQ-ARMAX</x:v>
      </x:c>
      <x:c r="P74" s="7" t="str">
        <x:v>Mass Effect 3: Citadel — missions d’arène</x:v>
      </x:c>
      <x:c r="Q74" s="7" t="str">
        <x:v>ME3-SRC-MISSIONS</x:v>
      </x:c>
      <x:c r="R74" s="7" t="str">
        <x:v>https://masseffect.fandom.com/wiki/Missions</x:v>
      </x:c>
      <x:c r="S74" s="7" t="str">
        <x:v>Spécification à réaliser. Les champs adaptation, gameplay, visual, animation, audio et implementation décrivent le fan game ; ils ne donnent pas des caractéristiques officielles de l’œuvre.</x:v>
      </x:c>
    </x:row>
  </x:sheetData>
  <x:conditionalFormatting sqref="D7:D74">
    <x:cfRule type="cellIs" dxfId="40" priority="1" operator="equal">
      <x:formula>"À vérifier"</x:formula>
    </x:cfRule>
    <x:cfRule type="cellIs" dxfId="41" priority="2" operator="equal">
      <x:formula>"Extrapolation"</x:formula>
    </x:cfRule>
  </x:conditionalFormatting>
  <x:conditionalFormatting sqref="C7:C74">
    <x:cfRule type="cellIs" dxfId="42" priority="3" operator="equal">
      <x:formula>"Validé"</x:formula>
    </x:cfRule>
  </x:conditionalFormatting>
  <x:conditionalFormatting sqref="E7:E74">
    <x:cfRule type="cellIs" dxfId="43" priority="4" operator="equal">
      <x:formula>"P0"</x:formula>
    </x:cfRule>
  </x:conditionalFormatting>
  <x:dataValidations count="3">
    <x:dataValidation type="list" sqref="C7:C74">
      <x:formula1>"Défini,Prototype,Intégré,Validé"</x:formula1>
    </x:dataValidation>
    <x:dataValidation type="list" sqref="D7:D74">
      <x:formula1>"Établi,À vérifier,Extrapolation,Coupé attesté,Concept abandonné,Allégation écartée"</x:formula1>
    </x:dataValidation>
    <x:dataValidation type="list" sqref="E7:E74">
      <x:formula1>"P0,P1,P2"</x:formula1>
    </x:dataValidation>
  </x:dataValidations>
  <x:pageMargins left="0.7" right="0.7" top="0.75" bottom="0.75" header="0.3" footer="0.3"/>
  <x:tableParts count="1">
    <x:tablePart xmlns:r="http://schemas.openxmlformats.org/officeDocument/2006/relationships" r:id="Raccb2a7bc0a041d6"/>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3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ME3-CHO-IMPORT</x:v>
      </x:c>
      <x:c r="B7" s="9" t="str">
        <x:v>Importer la survie et les relations</x:v>
      </x:c>
      <x:c r="C7" s="15" t="str">
        <x:v>Défini</x:v>
      </x:c>
      <x:c r="D7" s="16" t="str">
        <x:v>Établi</x:v>
      </x:c>
      <x:c r="E7" s="16" t="str">
        <x:v>P1</x:v>
      </x:c>
      <x:c r="F7" s="9" t="str">
        <x:v>ME3 reprend des décisions antérieures.</x:v>
      </x:c>
      <x:c r="G7" s="9" t="str">
        <x:v>Écran de contrôle des événements majeurs avant prologue ; valeur inconnue distincte de faux, pas d’inférence depuis romance.</x:v>
      </x:c>
      <x:c r="H7" s="9" t="str">
        <x:v>Écran de contrôle des événements majeurs avant prologue ; valeur inconnue distincte de faux, pas d’inférence depuis romance.</x:v>
      </x:c>
      <x:c r="I7" s="9" t="str">
        <x:v>Frise des deux jeux précédents.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me3/choices/import ; rattacher les ressources et états cités à cet identifiant. Aucun fichier de jeu créé par ce catalogue.</x:v>
      </x:c>
      <x:c r="M7" s="9" t="str"/>
      <x:c r="N7" s="9" t="str">
        <x:v>Le livrable « Importer la survie et les relations » possède une scène ou un scénario de contrôle ; ses règles proposées, ses conditions et ses retours visuels sont vérifiables séparément.</x:v>
      </x:c>
      <x:c r="O7" s="9" t="str"/>
      <x:c r="P7" s="9" t="str">
        <x:v>Importer la survie et les relations</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ME3-CHO-COUNCIL</x:v>
      </x:c>
      <x:c r="B8" s="7" t="str">
        <x:v>Survivant de Virmire et confiance</x:v>
      </x:c>
      <x:c r="C8" s="15" t="str">
        <x:v>Défini</x:v>
      </x:c>
      <x:c r="D8" s="17" t="str">
        <x:v>Établi</x:v>
      </x:c>
      <x:c r="E8" s="17" t="str">
        <x:v>P1</x:v>
      </x:c>
      <x:c r="F8" s="7" t="str">
        <x:v>Le retour d’Ashley/Kaidan est conditionnel.</x:v>
      </x:c>
      <x:c r="G8" s="7" t="str">
        <x:v>Mémoriser visites, entretiens et affrontement politique séparément ; preview ne révèle pas la trahison avant scène.</x:v>
      </x:c>
      <x:c r="H8" s="7" t="str">
        <x:v>Mémoriser visites, entretiens et affrontement politique séparément ; preview ne révèle pas la trahison avant scène.</x:v>
      </x:c>
      <x:c r="I8" s="7" t="str">
        <x:v>Portrait unique du survivant.</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me3/choices/council ; rattacher les ressources et états cités à cet identifiant. Aucun fichier de jeu créé par ce catalogue.</x:v>
      </x:c>
      <x:c r="M8" s="7" t="str"/>
      <x:c r="N8" s="7" t="str">
        <x:v>Le livrable « Survivant de Virmire et confiance » possède une scène ou un scénario de contrôle ; ses règles proposées, ses conditions et ses retours visuels sont vérifiables séparément.</x:v>
      </x:c>
      <x:c r="O8" s="7" t="str"/>
      <x:c r="P8" s="7" t="str">
        <x:v>Survivant de Virmire et confiance</x:v>
      </x:c>
      <x:c r="Q8" s="7" t="str">
        <x:v>ME3-SRC-CITADEL2</x:v>
      </x:c>
      <x:c r="R8" s="7" t="str">
        <x:v>https://masseffect.fandom.com/wiki/Priority%3A_The_Citadel_II</x:v>
      </x:c>
      <x:c r="S8" s="7" t="str">
        <x:v>Spécification à réaliser. Les champs adaptation, gameplay, visual, animation, audio et implementation décrivent le fan game ; ils ne donnent pas des caractéristiques officielles de l’œuvre.</x:v>
      </x:c>
    </x:row>
    <x:row r="9" ht="68" customHeight="1">
      <x:c r="A9" s="18" t="str">
        <x:v>ME3-CHO-DOCTOR</x:v>
      </x:c>
      <x:c r="B9" s="9" t="str">
        <x:v>Médecin du Normandy</x:v>
      </x:c>
      <x:c r="C9" s="15" t="str">
        <x:v>Défini</x:v>
      </x:c>
      <x:c r="D9" s="16" t="str">
        <x:v>Établi</x:v>
      </x:c>
      <x:c r="E9" s="16" t="str">
        <x:v>P1</x:v>
      </x:c>
      <x:c r="F9" s="9" t="str">
        <x:v>Des choix de recrutement existent.</x:v>
      </x:c>
      <x:c r="G9" s="9" t="str">
        <x:v>Enregistrer nomination et refus séparément ; un même lit de responsable ne doit pas faire disparaître l’autre PNJ du monde.</x:v>
      </x:c>
      <x:c r="H9" s="9" t="str">
        <x:v>Enregistrer nomination et refus séparément ; un même lit de responsable ne doit pas faire disparaître l’autre PNJ du monde.</x:v>
      </x:c>
      <x:c r="I9" s="9" t="str">
        <x:v>Choix de personnel dans infirmerie.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me3/choices/doctor ; rattacher les ressources et états cités à cet identifiant. Aucun fichier de jeu créé par ce catalogue.</x:v>
      </x:c>
      <x:c r="M9" s="9" t="str"/>
      <x:c r="N9" s="9" t="str">
        <x:v>Le livrable « Médecin du Normandy » possède une scène ou un scénario de contrôle ; ses règles proposées, ses conditions et ses retours visuels sont vérifiables séparément.</x:v>
      </x:c>
      <x:c r="O9" s="9" t="str"/>
      <x:c r="P9" s="9" t="str">
        <x:v>Médecin du Normandy</x:v>
      </x:c>
      <x:c r="Q9" s="9" t="str">
        <x:v>ME3-SRC-HUERTA</x:v>
      </x:c>
      <x:c r="R9" s="9" t="str">
        <x:v>https://masseffect.fandom.com/wiki/Huerta_Memorial_Hospital</x:v>
      </x:c>
      <x:c r="S9" s="9" t="str">
        <x:v>Spécification à réaliser. Les champs adaptation, gameplay, visual, animation, audio et implementation décrivent le fan game ; ils ne donnent pas des caractéristiques officielles de l’œuvre.</x:v>
      </x:c>
    </x:row>
    <x:row r="10" ht="68" customHeight="1">
      <x:c r="A10" s="19" t="str">
        <x:v>ME3-CHO-KELLY</x:v>
      </x:c>
      <x:c r="B10" s="7" t="str">
        <x:v>Conseils à Kelly</x:v>
      </x:c>
      <x:c r="C10" s="15" t="str">
        <x:v>Défini</x:v>
      </x:c>
      <x:c r="D10" s="17" t="str">
        <x:v>Établi</x:v>
      </x:c>
      <x:c r="E10" s="17" t="str">
        <x:v>P1</x:v>
      </x:c>
      <x:c r="F10" s="7" t="str">
        <x:v>Ses choix de sécurité ont des conséquences.</x:v>
      </x:c>
      <x:c r="G10" s="7" t="str">
        <x:v>Variable de conseil et événement du coup d’État ; réplique nouvelle si identité protégée, aucun effacement sans journal.</x:v>
      </x:c>
      <x:c r="H10" s="7" t="str">
        <x:v>Variable de conseil et événement du coup d’État ; réplique nouvelle si identité protégée, aucun effacement sans journal.</x:v>
      </x:c>
      <x:c r="I10" s="7" t="str">
        <x:v>Refuge et conversation privée.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me3/choices/kelly ; rattacher les ressources et états cités à cet identifiant. Aucun fichier de jeu créé par ce catalogue.</x:v>
      </x:c>
      <x:c r="M10" s="7" t="str"/>
      <x:c r="N10" s="7" t="str">
        <x:v>Le livrable « Conseils à Kelly » possède une scène ou un scénario de contrôle ; ses règles proposées, ses conditions et ses retours visuels sont vérifiables séparément.</x:v>
      </x:c>
      <x:c r="O10" s="7" t="str"/>
      <x:c r="P10" s="7" t="str">
        <x:v>Conseils à Kelly</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ME3-CHO-EVE</x:v>
      </x:c>
      <x:c r="B11" s="9" t="str">
        <x:v>Données de Maelon et Eve</x:v>
      </x:c>
      <x:c r="C11" s="15" t="str">
        <x:v>Défini</x:v>
      </x:c>
      <x:c r="D11" s="16" t="str">
        <x:v>Établi</x:v>
      </x:c>
      <x:c r="E11" s="16" t="str">
        <x:v>P1</x:v>
      </x:c>
      <x:c r="F11" s="9" t="str">
        <x:v>L’import influe sur Eve.</x:v>
      </x:c>
      <x:c r="G11" s="9" t="str">
        <x:v>Séparer conservation des données, présence de Mordin et survie d’Eve ; toutes les combinaisons valides disposent d’une scène.</x:v>
      </x:c>
      <x:c r="H11" s="9" t="str">
        <x:v>Séparer conservation des données, présence de Mordin et survie d’Eve ; toutes les combinaisons valides disposent d’une scène.</x:v>
      </x:c>
      <x:c r="I11" s="9" t="str">
        <x:v>Portrait d’Eve et note de laboratoire.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me3/choices/eve ; rattacher les ressources et états cités à cet identifiant. Aucun fichier de jeu créé par ce catalogue.</x:v>
      </x:c>
      <x:c r="M11" s="9" t="str"/>
      <x:c r="N11" s="9" t="str">
        <x:v>Le livrable « Données de Maelon et Eve » possède une scène ou un scénario de contrôle ; ses règles proposées, ses conditions et ses retours visuels sont vérifiables séparément.</x:v>
      </x:c>
      <x:c r="O11" s="9" t="str"/>
      <x:c r="P11" s="9" t="str">
        <x:v>Données de Maelon et Eve</x:v>
      </x:c>
      <x:c r="Q11" s="9" t="str">
        <x:v>ME3-SRC-TUCH</x:v>
      </x:c>
      <x:c r="R11" s="9" t="str">
        <x:v>https://masseffect.fandom.com/wiki/Priority%3A_Tuchanka</x:v>
      </x:c>
      <x:c r="S11" s="9" t="str">
        <x:v>Spécification à réaliser. Les champs adaptation, gameplay, visual, animation, audio et implementation décrivent le fan game ; ils ne donnent pas des caractéristiques officielles de l’œuvre.</x:v>
      </x:c>
    </x:row>
    <x:row r="12" ht="68" customHeight="1">
      <x:c r="A12" s="19" t="str">
        <x:v>ME3-CHO-REVEAL-SABOTAGE</x:v>
      </x:c>
      <x:c r="B12" s="7" t="str">
        <x:v>Révéler l’offre de sabotage</x:v>
      </x:c>
      <x:c r="C12" s="15" t="str">
        <x:v>Défini</x:v>
      </x:c>
      <x:c r="D12" s="17" t="str">
        <x:v>Établi</x:v>
      </x:c>
      <x:c r="E12" s="17" t="str">
        <x:v>P1</x:v>
      </x:c>
      <x:c r="F12" s="7" t="str">
        <x:v>Le secret influe sur Tuchanka.</x:v>
      </x:c>
      <x:c r="G12" s="7" t="str">
        <x:v>Choix de révélation à plusieurs fenêtres ; une révélation antérieure bloque les dialogues prétendant encore un secret.</x:v>
      </x:c>
      <x:c r="H12" s="7" t="str">
        <x:v>Choix de révélation à plusieurs fenêtres ; une révélation antérieure bloque les dialogues prétendant encore un secret.</x:v>
      </x:c>
      <x:c r="I12" s="7" t="str">
        <x:v>Conversation de trajet ou sommet.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me3/choices/reveal-sabotage ; rattacher les ressources et états cités à cet identifiant. Aucun fichier de jeu créé par ce catalogue.</x:v>
      </x:c>
      <x:c r="M12" s="7" t="str"/>
      <x:c r="N12" s="7" t="str">
        <x:v>Le livrable « Révéler l’offre de sabotage » possède une scène ou un scénario de contrôle ; ses règles proposées, ses conditions et ses retours visuels sont vérifiables séparément.</x:v>
      </x:c>
      <x:c r="O12" s="7" t="str"/>
      <x:c r="P12" s="7" t="str">
        <x:v>Révéler l’offre de sabotage</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ME3-CHO-CURE</x:v>
      </x:c>
      <x:c r="B13" s="9" t="str">
        <x:v>Remède effectif ou sabotage</x:v>
      </x:c>
      <x:c r="C13" s="15" t="str">
        <x:v>Défini</x:v>
      </x:c>
      <x:c r="D13" s="16" t="str">
        <x:v>Établi</x:v>
      </x:c>
      <x:c r="E13" s="16" t="str">
        <x:v>P1</x:v>
      </x:c>
      <x:c r="F13" s="9" t="str">
        <x:v>Tuchanka offre des issues divergentes.</x:v>
      </x:c>
      <x:c r="G13" s="9" t="str">
        <x:v>Décision finale rattachée au monde et au savant ; bénéfices politiques et conséquences personnelles restent des états séparés.</x:v>
      </x:c>
      <x:c r="H13" s="9" t="str">
        <x:v>Décision finale rattachée au monde et au savant ; bénéfices politiques et conséquences personnelles restent des états séparés.</x:v>
      </x:c>
      <x:c r="I13" s="9" t="str">
        <x:v>Shroud et hologrammes d’alliés.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me3/choices/cure ; rattacher les ressources et états cités à cet identifiant. Aucun fichier de jeu créé par ce catalogue.</x:v>
      </x:c>
      <x:c r="M13" s="9" t="str"/>
      <x:c r="N13" s="9" t="str">
        <x:v>Le livrable « Remède effectif ou sabotage » possède une scène ou un scénario de contrôle ; ses règles proposées, ses conditions et ses retours visuels sont vérifiables séparément.</x:v>
      </x:c>
      <x:c r="O13" s="9" t="str"/>
      <x:c r="P13" s="9" t="str">
        <x:v>Remède effectif ou sabotage</x:v>
      </x:c>
      <x:c r="Q13" s="9" t="str">
        <x:v>ME3-SRC-TUCH</x:v>
      </x:c>
      <x:c r="R13" s="9" t="str">
        <x:v>https://masseffect.fandom.com/wiki/Priority%3A_Tuchanka</x:v>
      </x:c>
      <x:c r="S13" s="9" t="str">
        <x:v>Spécification à réaliser. Les champs adaptation, gameplay, visual, animation, audio et implementation décrivent le fan game ; ils ne donnent pas des caractéristiques officielles de l’œuvre.</x:v>
      </x:c>
    </x:row>
    <x:row r="14" ht="82" customHeight="1">
      <x:c r="A14" s="19" t="str">
        <x:v>ME3-CHO-MORDIN-SURVIVE</x:v>
      </x:c>
      <x:c r="B14" s="7" t="str">
        <x:v>Issue exceptionnelle de Mordin</x:v>
      </x:c>
      <x:c r="C14" s="15" t="str">
        <x:v>Défini</x:v>
      </x:c>
      <x:c r="D14" s="17" t="str">
        <x:v>Établi</x:v>
      </x:c>
      <x:c r="E14" s="17" t="str">
        <x:v>P1</x:v>
      </x:c>
      <x:c r="F14" s="7" t="str">
        <x:v>Sa survie exige des conditions précises.</x:v>
      </x:c>
      <x:c r="G14" s="7" t="str">
        <x:v>Branche de persuasion seulement avec Wrex et Eve morts et secret compatible ; vérifier l’ensemble exact en jeu avant reproduction fidèle.</x:v>
      </x:c>
      <x:c r="H14" s="7" t="str">
        <x:v>Branche de persuasion seulement avec Wrex et Eve morts et secret compatible ; vérifier l’ensemble exact en jeu avant reproduction fidèle.</x:v>
      </x:c>
      <x:c r="I14" s="7" t="str">
        <x:v>Ascenseur du Shroud et départ discret.</x:v>
      </x:c>
      <x:c r="J14" s="7" t="str">
        <x:v>Prévoir chaque variante de scène comme état nommé ; lecture, interruption et saut appliquent exactement les mêmes décisions et positions finales. Ascenseur du Shroud et départ discret.</x:v>
      </x:c>
      <x:c r="K14" s="7" t="str">
        <x:v>Dialogues originaux enregistrés par branche, nom du locuteur et sous-titres ; couper les répliques de personnages absents avant mixage, préserver les alertes utiles pendant les transitions.</x:v>
      </x:c>
      <x:c r="L14" s="7" t="str">
        <x:v>Prévu : fiche de données me3/choices/mordin-survive ; rattacher les ressources et états cités à cet identifiant. Aucun fichier de jeu créé par ce catalogue.</x:v>
      </x:c>
      <x:c r="M14" s="7" t="str">
        <x:v>Survie ME2 ; variantes de dialogue à revérifier.</x:v>
      </x:c>
      <x:c r="N14" s="7" t="str">
        <x:v>Tester Wrex vivant, Eve vivante et sabotage révélé séparément : chacun doit bloquer la branche exceptionnelle correspondante. Tester le cas admissible puis vérifier absence de scène de mort et attribution correcte de sa contribution.</x:v>
      </x:c>
      <x:c r="O14" s="7" t="str"/>
      <x:c r="P14" s="7" t="str">
        <x:v>Issue exceptionnelle de Mordin</x:v>
      </x:c>
      <x:c r="Q14" s="7" t="str">
        <x:v>ME3-SRC-TUCH</x:v>
      </x:c>
      <x:c r="R14" s="7" t="str">
        <x:v>https://masseffect.fandom.com/wiki/Priority%3A_Tuchanka</x:v>
      </x:c>
      <x:c r="S14" s="7" t="str">
        <x:v>Spécification à réaliser. Les champs adaptation, gameplay, visual, animation, audio et implementation décrivent le fan game ; ils ne donnent pas des caractéristiques officielles de l’œuvre.</x:v>
      </x:c>
    </x:row>
    <x:row r="15" ht="68" customHeight="1">
      <x:c r="A15" s="18" t="str">
        <x:v>ME3-CHO-WIKS</x:v>
      </x:c>
      <x:c r="B15" s="9" t="str">
        <x:v>Résolution avec Padok Wiks</x:v>
      </x:c>
      <x:c r="C15" s="15" t="str">
        <x:v>Défini</x:v>
      </x:c>
      <x:c r="D15" s="16" t="str">
        <x:v>Établi</x:v>
      </x:c>
      <x:c r="E15" s="16" t="str">
        <x:v>P1</x:v>
      </x:c>
      <x:c r="F15" s="9" t="str">
        <x:v>Wiks remplace Mordin si nécessaire.</x:v>
      </x:c>
      <x:c r="G15" s="9" t="str">
        <x:v>Graphe propre au scientifique ; ne pas réutiliser automatiquement les conditions émotionnelles de Mordin.</x:v>
      </x:c>
      <x:c r="H15" s="9" t="str">
        <x:v>Graphe propre au scientifique ; ne pas réutiliser automatiquement les conditions émotionnelles de Mordin.</x:v>
      </x:c>
      <x:c r="I15" s="9" t="str">
        <x:v>Portrait galarien et salle du Shroud.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me3/choices/wiks ; rattacher les ressources et états cités à cet identifiant. Aucun fichier de jeu créé par ce catalogue.</x:v>
      </x:c>
      <x:c r="M15" s="9" t="str">
        <x:v>Mordin absent.</x:v>
      </x:c>
      <x:c r="N15" s="9" t="str">
        <x:v>Le livrable « Résolution avec Padok Wiks » possède une scène ou un scénario de contrôle ; ses règles proposées, ses conditions et ses retours visuels sont vérifiables séparément.</x:v>
      </x:c>
      <x:c r="O15" s="9" t="str"/>
      <x:c r="P15" s="9" t="str">
        <x:v>Résolution avec Padok Wiks</x:v>
      </x:c>
      <x:c r="Q15" s="9" t="str">
        <x:v>ME3-SRC-TUCH</x:v>
      </x:c>
      <x:c r="R15" s="9" t="str">
        <x:v>https://masseffect.fandom.com/wiki/Priority%3A_Tuchanka</x:v>
      </x:c>
      <x:c r="S15" s="9" t="str">
        <x:v>Spécification à réaliser. Les champs adaptation, gameplay, visual, animation, audio et implementation décrivent le fan game ; ils ne donnent pas des caractéristiques officielles de l’œuvre.</x:v>
      </x:c>
    </x:row>
    <x:row r="16" ht="68" customHeight="1">
      <x:c r="A16" s="19" t="str">
        <x:v>ME3-CHO-RACHNI</x:v>
      </x:c>
      <x:c r="B16" s="7" t="str">
        <x:v>Reine rachni ou substitut</x:v>
      </x:c>
      <x:c r="C16" s="15" t="str">
        <x:v>Défini</x:v>
      </x:c>
      <x:c r="D16" s="17" t="str">
        <x:v>Établi</x:v>
      </x:c>
      <x:c r="E16" s="17" t="str">
        <x:v>P1</x:v>
      </x:c>
      <x:c r="F16" s="7" t="str">
        <x:v>Le passé modifie l’identité de la captive.</x:v>
      </x:c>
      <x:c r="G16" s="7" t="str">
        <x:v>Deux identités différentes, deux conséquences distinctes ; sauver la reine synthétique n’est pas sauvetage de la reine de ME1.</x:v>
      </x:c>
      <x:c r="H16" s="7" t="str">
        <x:v>Deux identités différentes, deux conséquences distinctes ; sauver la reine synthétique n’est pas sauvetage de la reine de ME1.</x:v>
      </x:c>
      <x:c r="I16" s="7" t="str">
        <x:v>Prison organique et identification préalable.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me3/choices/rachni ; rattacher les ressources et états cités à cet identifiant. Aucun fichier de jeu créé par ce catalogue.</x:v>
      </x:c>
      <x:c r="M16" s="7" t="str"/>
      <x:c r="N16" s="7" t="str">
        <x:v>Le livrable « Reine rachni ou substitut » possède une scène ou un scénario de contrôle ; ses règles proposées, ses conditions et ses retours visuels sont vérifiables séparément.</x:v>
      </x:c>
      <x:c r="O16" s="7" t="str"/>
      <x:c r="P16" s="7" t="str">
        <x:v>Reine rachni ou substitut</x:v>
      </x:c>
      <x:c r="Q16" s="7" t="str">
        <x:v>ME3-SRC-RACHNI, ME3-SRC-WAR-KROGAN</x:v>
      </x:c>
      <x:c r="R16" s="7" t="str">
        <x:v>https://masseffect.fandom.com/wiki/Attican_Traverse%3A_Krogan_Team
https://masseffect.fandom.com/wiki/War_Assets/Krogan</x:v>
      </x:c>
      <x:c r="S16" s="7" t="str">
        <x:v>Spécification à réaliser. Les champs adaptation, gameplay, visual, animation, audio et implementation décrivent le fan game ; ils ne donnent pas des caractéristiques officielles de l’œuvre.</x:v>
      </x:c>
    </x:row>
    <x:row r="17" ht="68" customHeight="1">
      <x:c r="A17" s="18" t="str">
        <x:v>ME3-CHO-GRUNT</x:v>
      </x:c>
      <x:c r="B17" s="9" t="str">
        <x:v>Destin de l’équipe de Grunt</x:v>
      </x:c>
      <x:c r="C17" s="15" t="str">
        <x:v>Défini</x:v>
      </x:c>
      <x:c r="D17" s="16" t="str">
        <x:v>Établi</x:v>
      </x:c>
      <x:c r="E17" s="16" t="str">
        <x:v>P1</x:v>
      </x:c>
      <x:c r="F17" s="9" t="str">
        <x:v>Sa présence et son passé comptent.</x:v>
      </x:c>
      <x:c r="G17" s="9" t="str">
        <x:v>Tester import, loyauté et décision de sauvetage ; narration ne suppose pas qu’il mène toujours l’équipe.</x:v>
      </x:c>
      <x:c r="H17" s="9" t="str">
        <x:v>Tester import, loyauté et décision de sauvetage ; narration ne suppose pas qu’il mène toujours l’équipe.</x:v>
      </x:c>
      <x:c r="I17" s="9" t="str">
        <x:v>Tunnel et sortie après combat.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me3/choices/grunt ; rattacher les ressources et états cités à cet identifiant. Aucun fichier de jeu créé par ce catalogue.</x:v>
      </x:c>
      <x:c r="M17" s="9" t="str"/>
      <x:c r="N17" s="9" t="str">
        <x:v>Le livrable « Destin de l’équipe de Grunt » possède une scène ou un scénario de contrôle ; ses règles proposées, ses conditions et ses retours visuels sont vérifiables séparément.</x:v>
      </x:c>
      <x:c r="O17" s="9" t="str"/>
      <x:c r="P17" s="9" t="str">
        <x:v>Destin de l’équipe de Grunt</x:v>
      </x:c>
      <x:c r="Q17" s="9" t="str">
        <x:v>ME3-SRC-RACHNI</x:v>
      </x:c>
      <x:c r="R17" s="9" t="str">
        <x:v>https://masseffect.fandom.com/wiki/Attican_Traverse%3A_Krogan_Team</x:v>
      </x:c>
      <x:c r="S17" s="9" t="str">
        <x:v>Spécification à réaliser. Les champs adaptation, gameplay, visual, animation, audio et implementation décrivent le fan game ; ils ne donnent pas des caractéristiques officielles de l’œuvre.</x:v>
      </x:c>
    </x:row>
    <x:row r="18" ht="68" customHeight="1">
      <x:c r="A18" s="19" t="str">
        <x:v>ME3-CHO-STUDENTS</x:v>
      </x:c>
      <x:c r="B18" s="7" t="str">
        <x:v>Affectation des élèves de Grissom</x:v>
      </x:c>
      <x:c r="C18" s="15" t="str">
        <x:v>Défini</x:v>
      </x:c>
      <x:c r="D18" s="17" t="str">
        <x:v>Établi</x:v>
      </x:c>
      <x:c r="E18" s="17" t="str">
        <x:v>P1</x:v>
      </x:c>
      <x:c r="F18" s="7" t="str">
        <x:v>Les élèves contribuent à la guerre.</x:v>
      </x:c>
      <x:c r="G18" s="7" t="str">
        <x:v>Présenter soutien ou rôle offensif selon options de mission ; recrutement ne conditionne pas rétroactivement le sauvetage.</x:v>
      </x:c>
      <x:c r="H18" s="7" t="str">
        <x:v>Présenter soutien ou rôle offensif selon options de mission ; recrutement ne conditionne pas rétroactivement le sauvetage.</x:v>
      </x:c>
      <x:c r="I18" s="7" t="str">
        <x:v>Débriefing d’évacuation.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me3/choices/students ; rattacher les ressources et états cités à cet identifiant. Aucun fichier de jeu créé par ce catalogue.</x:v>
      </x:c>
      <x:c r="M18" s="7" t="str"/>
      <x:c r="N18" s="7" t="str">
        <x:v>Le livrable « Affectation des élèves de Grissom » possède une scène ou un scénario de contrôle ; ses règles proposées, ses conditions et ses retours visuels sont vérifiables séparément.</x:v>
      </x:c>
      <x:c r="O18" s="7" t="str"/>
      <x:c r="P18" s="7" t="str">
        <x:v>Affectation des élèves de Grissom</x:v>
      </x:c>
      <x:c r="Q18" s="7" t="str">
        <x:v>ME3-SRC-GRISSOM</x:v>
      </x:c>
      <x:c r="R18" s="7" t="str">
        <x:v>https://masseffect.fandom.com/wiki/Grissom_Academy%3A_Emergency_Evacuation</x:v>
      </x:c>
      <x:c r="S18" s="7" t="str">
        <x:v>Spécification à réaliser. Les champs adaptation, gameplay, visual, animation, audio et implementation décrivent le fan game ; ils ne donnent pas des caractéristiques officielles de l’œuvre.</x:v>
      </x:c>
    </x:row>
    <x:row r="19" ht="68" customHeight="1">
      <x:c r="A19" s="18" t="str">
        <x:v>ME3-CHO-SAMARA</x:v>
      </x:c>
      <x:c r="B19" s="9" t="str">
        <x:v>Intervenir au monastère</x:v>
      </x:c>
      <x:c r="C19" s="15" t="str">
        <x:v>Défini</x:v>
      </x:c>
      <x:c r="D19" s="16" t="str">
        <x:v>Établi</x:v>
      </x:c>
      <x:c r="E19" s="16" t="str">
        <x:v>P1</x:v>
      </x:c>
      <x:c r="F19" s="9" t="str">
        <x:v>Une intervention peut sauver Samara.</x:v>
      </x:c>
      <x:c r="G19" s="9" t="str">
        <x:v>Fenêtre suspendable et alternative de choix non chronométré ; gérer Falere dans la branche où l’intervention manque.</x:v>
      </x:c>
      <x:c r="H19" s="9" t="str">
        <x:v>Fenêtre suspendable et alternative de choix non chronométré ; gérer Falere dans la branche où l’intervention manque.</x:v>
      </x:c>
      <x:c r="I19" s="9" t="str">
        <x:v>Plan rapproché mains/arme et Falere.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me3/choices/samara ; rattacher les ressources et états cités à cet identifiant. Aucun fichier de jeu créé par ce catalogue.</x:v>
      </x:c>
      <x:c r="M19" s="9" t="str">
        <x:v>Samara vivante.</x:v>
      </x:c>
      <x:c r="N19" s="9" t="str">
        <x:v>Le livrable « Intervenir au monastère » possède une scène ou un scénario de contrôle ; ses règles proposées, ses conditions et ses retours visuels sont vérifiables séparément.</x:v>
      </x:c>
      <x:c r="O19" s="9" t="str"/>
      <x:c r="P19" s="9" t="str">
        <x:v>Intervenir au monastère</x:v>
      </x:c>
      <x:c r="Q19" s="9" t="str">
        <x:v>ME3-SRC-KALLINI</x:v>
      </x:c>
      <x:c r="R19" s="9" t="str">
        <x:v>https://masseffect.fandom.com/wiki/Kallini%3A_Ardat-Yakshi_Monastery</x:v>
      </x:c>
      <x:c r="S19" s="9" t="str">
        <x:v>Spécification à réaliser. Les champs adaptation, gameplay, visual, animation, audio et implementation décrivent le fan game ; ils ne donnent pas des caractéristiques officielles de l’œuvre.</x:v>
      </x:c>
    </x:row>
    <x:row r="20" ht="68" customHeight="1">
      <x:c r="A20" s="19" t="str">
        <x:v>ME3-CHO-KORIS</x:v>
      </x:c>
      <x:c r="B20" s="7" t="str">
        <x:v>Sauvetage de Koris</x:v>
      </x:c>
      <x:c r="C20" s="15" t="str">
        <x:v>Défini</x:v>
      </x:c>
      <x:c r="D20" s="17" t="str">
        <x:v>Établi</x:v>
      </x:c>
      <x:c r="E20" s="17" t="str">
        <x:v>P1</x:v>
      </x:c>
      <x:c r="F20" s="7" t="str">
        <x:v>La mission de Rannoch permet des choix.</x:v>
      </x:c>
      <x:c r="G20" s="7" t="str">
        <x:v>Isoler décision de secours, présence de l’amiral et bilan quarian ; ne pas déduire paix d’un seul drapeau.</x:v>
      </x:c>
      <x:c r="H20" s="7" t="str">
        <x:v>Isoler décision de secours, présence de l’amiral et bilan quarian ; ne pas déduire paix d’un seul drapeau.</x:v>
      </x:c>
      <x:c r="I20" s="7" t="str">
        <x:v>Radio et point d’extraction.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me3/choices/koris ; rattacher les ressources et états cités à cet identifiant. Aucun fichier de jeu créé par ce catalogue.</x:v>
      </x:c>
      <x:c r="M20" s="7" t="str"/>
      <x:c r="N20" s="7" t="str">
        <x:v>Le livrable « Sauvetage de Koris » possède une scène ou un scénario de contrôle ; ses règles proposées, ses conditions et ses retours visuels sont vérifiables séparément.</x:v>
      </x:c>
      <x:c r="O20" s="7" t="str"/>
      <x:c r="P20" s="7" t="str">
        <x:v>Sauvetage de Koris</x:v>
      </x:c>
      <x:c r="Q20" s="7" t="str">
        <x:v>ME3-SRC-RANNOCH</x:v>
      </x:c>
      <x:c r="R20" s="7" t="str">
        <x:v>https://masseffect.fandom.com/wiki/Priority%3A_Rannoch</x:v>
      </x:c>
      <x:c r="S20" s="7" t="str">
        <x:v>Spécification à réaliser. Les champs adaptation, gameplay, visual, animation, audio et implementation décrivent le fan game ; ils ne donnent pas des caractéristiques officielles de l’œuvre.</x:v>
      </x:c>
    </x:row>
    <x:row r="21" ht="82" customHeight="1">
      <x:c r="A21" s="18" t="str">
        <x:v>ME3-CHO-PEACE</x:v>
      </x:c>
      <x:c r="B21" s="9" t="str">
        <x:v>Paix geth/quariens</x:v>
      </x:c>
      <x:c r="C21" s="15" t="str">
        <x:v>Défini</x:v>
      </x:c>
      <x:c r="D21" s="16" t="str">
        <x:v>Établi</x:v>
      </x:c>
      <x:c r="E21" s="16" t="str">
        <x:v>P1</x:v>
      </x:c>
      <x:c r="F21" s="9" t="str">
        <x:v>Une issue de coexistence est conditionnelle.</x:v>
      </x:c>
      <x:c r="G21" s="9" t="str">
        <x:v>Évaluateur lisible par provenance : passé ME2, Tali/Legion et missions de Rannoch ; aucun seuil numérique non vérifié.</x:v>
      </x:c>
      <x:c r="H21" s="9" t="str">
        <x:v>Évaluateur lisible par provenance : passé ME2, Tali/Legion et missions de Rannoch ; aucun seuil numérique non vérifié.</x:v>
      </x:c>
      <x:c r="I21" s="9" t="str">
        <x:v>Flottes, portraits et route de dialogue verrouillée.</x:v>
      </x:c>
      <x:c r="J21" s="9" t="str">
        <x:v>Prévoir chaque variante de scène comme état nommé ; lecture, interruption et saut appliquent exactement les mêmes décisions et positions finales. Flottes, portraits et route de dialogue verrouillée.</x:v>
      </x:c>
      <x:c r="K21" s="9" t="str">
        <x:v>Dialogues originaux enregistrés par branche, nom du locuteur et sous-titres ; couper les répliques de personnages absents avant mixage, préserver les alertes utiles pendant les transitions.</x:v>
      </x:c>
      <x:c r="L21" s="9" t="str">
        <x:v>Prévu : fiche de données me3/choices/peace ; rattacher les ressources et états cités à cet identifiant. Aucun fichier de jeu créé par ce catalogue.</x:v>
      </x:c>
      <x:c r="M21" s="9" t="str"/>
      <x:c r="N21" s="9" t="str">
        <x:v>Tester sauvegardes satisfaisant tous les prérequis puis retirer chacun à tour de rôle ; aucune paix avec Tali ou Legion absents si la table de référence l’exclut. Pas de seuil numérique reconstitué sans preuve.</x:v>
      </x:c>
      <x:c r="O21" s="9" t="str"/>
      <x:c r="P21" s="9" t="str">
        <x:v>Paix geth/quariens</x:v>
      </x:c>
      <x:c r="Q21" s="9" t="str">
        <x:v>ME3-SRC-RANNOCH, ME3-SRC-FIGHTERS</x:v>
      </x:c>
      <x:c r="R21" s="9" t="str">
        <x:v>https://masseffect.fandom.com/wiki/Priority%3A_Rannoch
https://masseffect.fandom.com/wiki/Rannoch%3A_Geth_Fighter_Squadrons</x:v>
      </x:c>
      <x:c r="S21" s="9" t="str">
        <x:v>Spécification à réaliser. Les champs adaptation, gameplay, visual, animation, audio et implementation décrivent le fan game ; ils ne donnent pas des caractéristiques officielles de l’œuvre.</x:v>
      </x:c>
    </x:row>
    <x:row r="22" ht="68" customHeight="1">
      <x:c r="A22" s="19" t="str">
        <x:v>ME3-CHO-GETH-UPDATE</x:v>
      </x:c>
      <x:c r="B22" s="7" t="str">
        <x:v>Accepter ou refuser la mise à jour geth</x:v>
      </x:c>
      <x:c r="C22" s="15" t="str">
        <x:v>Défini</x:v>
      </x:c>
      <x:c r="D22" s="17" t="str">
        <x:v>Établi</x:v>
      </x:c>
      <x:c r="E22" s="17" t="str">
        <x:v>P1</x:v>
      </x:c>
      <x:c r="F22" s="7" t="str">
        <x:v>La conclusion Rannoch diverge.</x:v>
      </x:c>
      <x:c r="G22" s="7" t="str">
        <x:v>Deux résolutions incompatibles, éventuelle médiation avant combat ; maintenir état de Tali et Legion cohérent jusqu’à l’épilogue.</x:v>
      </x:c>
      <x:c r="H22" s="7" t="str">
        <x:v>Deux résolutions incompatibles, éventuelle médiation avant combat ; maintenir état de Tali et Legion cohérent jusqu’à l’épilogue.</x:v>
      </x:c>
      <x:c r="I22" s="7" t="str">
        <x:v>Lien geth et navires quariens.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me3/choices/geth-update ; rattacher les ressources et états cités à cet identifiant. Aucun fichier de jeu créé par ce catalogue.</x:v>
      </x:c>
      <x:c r="M22" s="7" t="str"/>
      <x:c r="N22" s="7" t="str">
        <x:v>Le livrable « Accepter ou refuser la mise à jour geth » possède une scène ou un scénario de contrôle ; ses règles proposées, ses conditions et ses retours visuels sont vérifiables séparément.</x:v>
      </x:c>
      <x:c r="O22" s="7" t="str"/>
      <x:c r="P22" s="7" t="str">
        <x:v>Accepter ou refuser la mise à jour geth</x:v>
      </x:c>
      <x:c r="Q22" s="7" t="str">
        <x:v>ME3-SRC-RANNOCH</x:v>
      </x:c>
      <x:c r="R22" s="7" t="str">
        <x:v>https://masseffect.fandom.com/wiki/Priority%3A_Rannoch</x:v>
      </x:c>
      <x:c r="S22" s="7" t="str">
        <x:v>Spécification à réaliser. Les champs adaptation, gameplay, visual, animation, audio et implementation décrivent le fan game ; ils ne donnent pas des caractéristiques officielles de l’œuvre.</x:v>
      </x:c>
    </x:row>
    <x:row r="23" ht="68" customHeight="1">
      <x:c r="A23" s="18" t="str">
        <x:v>ME3-CHO-MIRANDA</x:v>
      </x:c>
      <x:c r="B23" s="9" t="str">
        <x:v>Aide et survie de Miranda</x:v>
      </x:c>
      <x:c r="C23" s="15" t="str">
        <x:v>Défini</x:v>
      </x:c>
      <x:c r="D23" s="16" t="str">
        <x:v>Établi</x:v>
      </x:c>
      <x:c r="E23" s="16" t="str">
        <x:v>P1</x:v>
      </x:c>
      <x:c r="F23" s="9" t="str">
        <x:v>Plusieurs rencontres influencent Horizon.</x:v>
      </x:c>
      <x:c r="G23" s="9" t="str">
        <x:v>Suivre avertissement, aide et relation importée séparément ; une rencontre manquée ne devient pas aide reçue par défaut.</x:v>
      </x:c>
      <x:c r="H23" s="9" t="str">
        <x:v>Suivre avertissement, aide et relation importée séparément ; une rencontre manquée ne devient pas aide reçue par défaut.</x:v>
      </x:c>
      <x:c r="I23" s="9" t="str">
        <x:v>Messages, appartement et Sanctuary.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me3/choices/miranda ; rattacher les ressources et états cités à cet identifiant. Aucun fichier de jeu créé par ce catalogue.</x:v>
      </x:c>
      <x:c r="M23" s="9" t="str">
        <x:v>Miranda vivante après ME2.</x:v>
      </x:c>
      <x:c r="N23" s="9" t="str">
        <x:v>Le livrable « Aide et survie de Miranda » possède une scène ou un scénario de contrôle ; ses règles proposées, ses conditions et ses retours visuels sont vérifiables séparément.</x:v>
      </x:c>
      <x:c r="O23" s="9" t="str"/>
      <x:c r="P23" s="9" t="str">
        <x:v>Aide et survie de Miranda</x:v>
      </x:c>
      <x:c r="Q23" s="9" t="str">
        <x:v>ME3-SRC-HORIZON</x:v>
      </x:c>
      <x:c r="R23" s="9" t="str">
        <x:v>https://masseffect.fandom.com/wiki/Priority%3A_Horizon</x:v>
      </x:c>
      <x:c r="S23" s="9" t="str">
        <x:v>Spécification à réaliser. Les champs adaptation, gameplay, visual, animation, audio et implementation décrivent le fan game ; ils ne donnent pas des caractéristiques officielles de l’œuvre.</x:v>
      </x:c>
    </x:row>
    <x:row r="24" ht="68" customHeight="1">
      <x:c r="A24" s="19" t="str">
        <x:v>ME3-CHO-ORIANA</x:v>
      </x:c>
      <x:c r="B24" s="7" t="str">
        <x:v>Confrontation avec Henry Lawson</x:v>
      </x:c>
      <x:c r="C24" s="15" t="str">
        <x:v>Défini</x:v>
      </x:c>
      <x:c r="D24" s="17" t="str">
        <x:v>Établi</x:v>
      </x:c>
      <x:c r="E24" s="17" t="str">
        <x:v>P1</x:v>
      </x:c>
      <x:c r="F24" s="7" t="str">
        <x:v>Horizon conclut l’arc familial.</x:v>
      </x:c>
      <x:c r="G24" s="7" t="str">
        <x:v>Dialogue et intervention ont des variantes ; Oriana, Henry et Miranda reçoivent des états propres après la scène.</x:v>
      </x:c>
      <x:c r="H24" s="7" t="str">
        <x:v>Dialogue et intervention ont des variantes ; Oriana, Henry et Miranda reçoivent des états propres après la scène.</x:v>
      </x:c>
      <x:c r="I24" s="7" t="str">
        <x:v>Baie de Sanctuary.</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me3/choices/oriana ; rattacher les ressources et états cités à cet identifiant. Aucun fichier de jeu créé par ce catalogue.</x:v>
      </x:c>
      <x:c r="M24" s="7" t="str"/>
      <x:c r="N24" s="7" t="str">
        <x:v>Le livrable « Confrontation avec Henry Lawson » possède une scène ou un scénario de contrôle ; ses règles proposées, ses conditions et ses retours visuels sont vérifiables séparément.</x:v>
      </x:c>
      <x:c r="O24" s="7" t="str"/>
      <x:c r="P24" s="7" t="str">
        <x:v>Confrontation avec Henry Lawson</x:v>
      </x:c>
      <x:c r="Q24" s="7" t="str">
        <x:v>ME3-SRC-HORIZON</x:v>
      </x:c>
      <x:c r="R24" s="7" t="str">
        <x:v>https://masseffect.fandom.com/wiki/Priority%3A_Horizon</x:v>
      </x:c>
      <x:c r="S24" s="7" t="str">
        <x:v>Spécification à réaliser. Les champs adaptation, gameplay, visual, animation, audio et implementation décrivent le fan game ; ils ne donnent pas des caractéristiques officielles de l’œuvre.</x:v>
      </x:c>
    </x:row>
    <x:row r="25" ht="68" customHeight="1">
      <x:c r="A25" s="18" t="str">
        <x:v>ME3-CHO-LEVIATHAN-ANN</x:v>
      </x:c>
      <x:c r="B25" s="9" t="str">
        <x:v>Interrogation d’Ann</x:v>
      </x:c>
      <x:c r="C25" s="15" t="str">
        <x:v>Défini</x:v>
      </x:c>
      <x:c r="D25" s="16" t="str">
        <x:v>Établi</x:v>
      </x:c>
      <x:c r="E25" s="16" t="str">
        <x:v>P1</x:v>
      </x:c>
      <x:c r="F25" s="9" t="str">
        <x:v>L’enquête peut pousser Ann au risque.</x:v>
      </x:c>
      <x:c r="G25" s="9" t="str">
        <x:v>Afficher caractère insistant du choix et résultat d’indice ; pas de jauge médicale inventée présentée comme règle originale.</x:v>
      </x:c>
      <x:c r="H25" s="9" t="str">
        <x:v>Afficher caractère insistant du choix et résultat d’indice ; pas de jauge médicale inventée présentée comme règle originale.</x:v>
      </x:c>
      <x:c r="I25" s="9" t="str">
        <x:v>Fauteuil de laboratoire et écran de signal.</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me3/choices/leviathan-ann ; rattacher les ressources et états cités à cet identifiant. Aucun fichier de jeu créé par ce catalogue.</x:v>
      </x:c>
      <x:c r="M25" s="9" t="str"/>
      <x:c r="N25" s="9" t="str">
        <x:v>Le livrable « Interrogation d’Ann » possède une scène ou un scénario de contrôle ; ses règles proposées, ses conditions et ses retours visuels sont vérifiables séparément.</x:v>
      </x:c>
      <x:c r="O25" s="9" t="str"/>
      <x:c r="P25" s="9" t="str">
        <x:v>Interrogation d’Ann</x:v>
      </x:c>
      <x:c r="Q25" s="9" t="str">
        <x:v>ME3-SRC-LEV</x:v>
      </x:c>
      <x:c r="R25" s="9" t="str">
        <x:v>https://masseffect.fandom.com/wiki/Mass_Effect_3%3A_Leviathan</x:v>
      </x:c>
      <x:c r="S25" s="9" t="str">
        <x:v>Spécification à réaliser. Les champs adaptation, gameplay, visual, animation, audio et implementation décrivent le fan game ; ils ne donnent pas des caractéristiques officielles de l’œuvre.</x:v>
      </x:c>
    </x:row>
    <x:row r="26" ht="68" customHeight="1">
      <x:c r="A26" s="19" t="str">
        <x:v>ME3-CHO-OMEGA-REACTOR</x:v>
      </x:c>
      <x:c r="B26" s="7" t="str">
        <x:v>Énergie et civils d’Omega</x:v>
      </x:c>
      <x:c r="C26" s="15" t="str">
        <x:v>Défini</x:v>
      </x:c>
      <x:c r="D26" s="17" t="str">
        <x:v>Établi</x:v>
      </x:c>
      <x:c r="E26" s="17" t="str">
        <x:v>P1</x:v>
      </x:c>
      <x:c r="F26" s="7" t="str">
        <x:v>La reprise pose des choix locaux.</x:v>
      </x:c>
      <x:c r="G26" s="7" t="str">
        <x:v>Conserver sauvetage, vitesse et réaction d’Aria dans variables séparées ; feedback du quartier après la décision.</x:v>
      </x:c>
      <x:c r="H26" s="7" t="str">
        <x:v>Conserver sauvetage, vitesse et réaction d’Aria dans variables séparées ; feedback du quartier après la décision.</x:v>
      </x:c>
      <x:c r="I26" s="7" t="str">
        <x:v>Interrupteurs de puissance et communications.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me3/choices/omega-reactor ; rattacher les ressources et états cités à cet identifiant. Aucun fichier de jeu créé par ce catalogue.</x:v>
      </x:c>
      <x:c r="M26" s="7" t="str"/>
      <x:c r="N26" s="7" t="str">
        <x:v>Le livrable « Énergie et civils d’Omega » possède une scène ou un scénario de contrôle ; ses règles proposées, ses conditions et ses retours visuels sont vérifiables séparément.</x:v>
      </x:c>
      <x:c r="O26" s="7" t="str"/>
      <x:c r="P26" s="7" t="str">
        <x:v>Énergie et civils d’Omega</x:v>
      </x:c>
      <x:c r="Q26" s="7" t="str">
        <x:v>ME3-SRC-OMEGA</x:v>
      </x:c>
      <x:c r="R26" s="7" t="str">
        <x:v>https://masseffect.fandom.com/wiki/Omega%3A_Aria_T%27Loak_%28Mass_Effect_3%29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ME3-CHO-PETROVSKY</x:v>
      </x:c>
      <x:c r="B27" s="9" t="str">
        <x:v>Sort de Petrovsky</x:v>
      </x:c>
      <x:c r="C27" s="15" t="str">
        <x:v>Défini</x:v>
      </x:c>
      <x:c r="D27" s="16" t="str">
        <x:v>Établi</x:v>
      </x:c>
      <x:c r="E27" s="16" t="str">
        <x:v>P1</x:v>
      </x:c>
      <x:c r="F27" s="9" t="str">
        <x:v>La conclusion d’Omega possède des variantes.</x:v>
      </x:c>
      <x:c r="G27" s="9" t="str">
        <x:v>Choix final et interventions selon relation construite avec Aria ; éviter une seule bascule qui efface les décisions antérieures.</x:v>
      </x:c>
      <x:c r="H27" s="9" t="str">
        <x:v>Choix final et interventions selon relation construite avec Aria ; éviter une seule bascule qui efface les décisions antérieures.</x:v>
      </x:c>
      <x:c r="I27" s="9" t="str">
        <x:v>Afterlife libéré, Aria et général.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me3/choices/petrovsky ; rattacher les ressources et états cités à cet identifiant. Aucun fichier de jeu créé par ce catalogue.</x:v>
      </x:c>
      <x:c r="M27" s="9" t="str"/>
      <x:c r="N27" s="9" t="str">
        <x:v>Le livrable « Sort de Petrovsky » possède une scène ou un scénario de contrôle ; ses règles proposées, ses conditions et ses retours visuels sont vérifiables séparément.</x:v>
      </x:c>
      <x:c r="O27" s="9" t="str"/>
      <x:c r="P27" s="9" t="str">
        <x:v>Sort de Petrovsky</x:v>
      </x:c>
      <x:c r="Q27" s="9" t="str">
        <x:v>ME3-SRC-OMEGA</x:v>
      </x:c>
      <x:c r="R27" s="9" t="str">
        <x:v>https://masseffect.fandom.com/wiki/Omega%3A_Aria_T%27Loak_%28Mass_Effect_3%29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ME3-CHO-BROOKS</x:v>
      </x:c>
      <x:c r="B28" s="7" t="str">
        <x:v>Reddition de Brooks</x:v>
      </x:c>
      <x:c r="C28" s="15" t="str">
        <x:v>Défini</x:v>
      </x:c>
      <x:c r="D28" s="17" t="str">
        <x:v>Établi</x:v>
      </x:c>
      <x:c r="E28" s="17" t="str">
        <x:v>P1</x:v>
      </x:c>
      <x:c r="F28" s="7" t="str">
        <x:v>Le DLC conclut son arc par un choix.</x:v>
      </x:c>
      <x:c r="G28" s="7" t="str">
        <x:v>État prisonnière, tentative de fuite et réaction de Shepard sont séquentiels ; pas de relance de combat après validation finale.</x:v>
      </x:c>
      <x:c r="H28" s="7" t="str">
        <x:v>État prisonnière, tentative de fuite et réaction de Shepard sont séquentiels ; pas de relance de combat après validation finale.</x:v>
      </x:c>
      <x:c r="I28" s="7" t="str">
        <x:v>Quai et escorte.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me3/choices/brooks ; rattacher les ressources et états cités à cet identifiant. Aucun fichier de jeu créé par ce catalogue.</x:v>
      </x:c>
      <x:c r="M28" s="7" t="str"/>
      <x:c r="N28" s="7" t="str">
        <x:v>Le livrable « Reddition de Brooks » possède une scène ou un scénario de contrôle ; ses règles proposées, ses conditions et ses retours visuels sont vérifiables séparément.</x:v>
      </x:c>
      <x:c r="O28" s="7" t="str"/>
      <x:c r="P28" s="7" t="str">
        <x:v>Reddition de Brooks</x:v>
      </x:c>
      <x:c r="Q28" s="7" t="str">
        <x:v>ME3-SRC-BROOKS</x:v>
      </x:c>
      <x:c r="R28" s="7" t="str">
        <x:v>https://masseffect.fandom.com/wiki/Brooks</x:v>
      </x:c>
      <x:c r="S28" s="7" t="str">
        <x:v>Spécification à réaliser. Les champs adaptation, gameplay, visual, animation, audio et implementation décrivent le fan game ; ils ne donnent pas des caractéristiques officielles de l’œuvre.</x:v>
      </x:c>
    </x:row>
    <x:row r="29" ht="68" customHeight="1">
      <x:c r="A29" s="18" t="str">
        <x:v>ME3-CHO-CLONE</x:v>
      </x:c>
      <x:c r="B29" s="9" t="str">
        <x:v>Dernier geste envers le clone</x:v>
      </x:c>
      <x:c r="C29" s="15" t="str">
        <x:v>Défini</x:v>
      </x:c>
      <x:c r="D29" s="16" t="str">
        <x:v>Établi</x:v>
      </x:c>
      <x:c r="E29" s="16" t="str">
        <x:v>P1</x:v>
      </x:c>
      <x:c r="F29" s="9" t="str">
        <x:v>La fin du duel comporte une réaction.</x:v>
      </x:c>
      <x:c r="G29" s="9" t="str">
        <x:v>Distinguer tentative d’aide et issue narrative ; ne pas proposer un recrutement qui n’existe pas dans l’œuvre.</x:v>
      </x:c>
      <x:c r="H29" s="9" t="str">
        <x:v>Distinguer tentative d’aide et issue narrative ; ne pas proposer un recrutement qui n’existe pas dans l’œuvre.</x:v>
      </x:c>
      <x:c r="I29" s="9" t="str">
        <x:v>Rampe du Normandy.</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me3/choices/clone ; rattacher les ressources et états cités à cet identifiant. Aucun fichier de jeu créé par ce catalogue.</x:v>
      </x:c>
      <x:c r="M29" s="9" t="str"/>
      <x:c r="N29" s="9" t="str">
        <x:v>Le livrable « Dernier geste envers le clone » possède une scène ou un scénario de contrôle ; ses règles proposées, ses conditions et ses retours visuels sont vérifiables séparément.</x:v>
      </x:c>
      <x:c r="O29" s="9" t="str"/>
      <x:c r="P29" s="9" t="str">
        <x:v>Dernier geste envers le clone</x:v>
      </x:c>
      <x:c r="Q29" s="9" t="str">
        <x:v>ME3-SRC-CLONE</x:v>
      </x:c>
      <x:c r="R29" s="9" t="str">
        <x:v>https://masseffect.fandom.com/wiki/Clone</x:v>
      </x:c>
      <x:c r="S29" s="9" t="str">
        <x:v>Spécification à réaliser. Les champs adaptation, gameplay, visual, animation, audio et implementation décrivent le fan game ; ils ne donnent pas des caractéristiques officielles de l’œuvre.</x:v>
      </x:c>
    </x:row>
    <x:row r="30" ht="82" customHeight="1">
      <x:c r="A30" s="19" t="str">
        <x:v>ME3-CHO-INVITATIONS</x:v>
      </x:c>
      <x:c r="B30" s="7" t="str">
        <x:v>Invités de la fête</x:v>
      </x:c>
      <x:c r="C30" s="15" t="str">
        <x:v>Défini</x:v>
      </x:c>
      <x:c r="D30" s="17" t="str">
        <x:v>Établi</x:v>
      </x:c>
      <x:c r="E30" s="17" t="str">
        <x:v>P1</x:v>
      </x:c>
      <x:c r="F30" s="7" t="str">
        <x:v>Citadel dépend des survivants disponibles.</x:v>
      </x:c>
      <x:c r="G30" s="7" t="str">
        <x:v>Liste fondée sur survie, progression et invitations ; messages expliquent absence sans faire apparaître un mort.</x:v>
      </x:c>
      <x:c r="H30" s="7" t="str">
        <x:v>Liste fondée sur survie, progression et invitations ; messages expliquent absence sans faire apparaître un mort.</x:v>
      </x:c>
      <x:c r="I30" s="7" t="str">
        <x:v>Tablette d’organisation et sièges.</x:v>
      </x:c>
      <x:c r="J30" s="7" t="str">
        <x:v>Prévoir chaque variante de scène comme état nommé ; lecture, interruption et saut appliquent exactement les mêmes décisions et positions finales. Tablette d’organisation et sièges.</x:v>
      </x:c>
      <x:c r="K30" s="7" t="str">
        <x:v>Dialogues originaux enregistrés par branche, nom du locuteur et sous-titres ; couper les répliques de personnages absents avant mixage, préserver les alertes utiles pendant les transitions.</x:v>
      </x:c>
      <x:c r="L30" s="7" t="str">
        <x:v>Prévu : fiche de données me3/choices/invitations ; rattacher les ressources et états cités à cet identifiant. Aucun fichier de jeu créé par ce catalogue.</x:v>
      </x:c>
      <x:c r="M30" s="7" t="str"/>
      <x:c r="N30" s="7" t="str">
        <x:v>Chaque invité satisfait survie et progression ; bouton invité ne duplique pas la personne, la photo et les conversations excluent toute absence et fonctionnent avec le roster minimal.</x:v>
      </x:c>
      <x:c r="O30" s="7" t="str"/>
      <x:c r="P30" s="7" t="str">
        <x:v>Invités de la fête</x:v>
      </x:c>
      <x:c r="Q30" s="7" t="str">
        <x:v>ME3-SRC-CIT-DLC</x:v>
      </x:c>
      <x:c r="R30" s="7" t="str">
        <x:v>https://masseffect.fandom.com/wiki/Mass_Effect_3%3A_Citadel</x:v>
      </x:c>
      <x:c r="S30" s="7" t="str">
        <x:v>Spécification à réaliser. Les champs adaptation, gameplay, visual, animation, audio et implementation décrivent le fan game ; ils ne donnent pas des caractéristiques officielles de l’œuvre.</x:v>
      </x:c>
    </x:row>
    <x:row r="31" ht="68" customHeight="1">
      <x:c r="A31" s="18" t="str">
        <x:v>ME3-CHO-PARTY-TONE</x:v>
      </x:c>
      <x:c r="B31" s="9" t="str">
        <x:v>Ambiance de la fête</x:v>
      </x:c>
      <x:c r="C31" s="15" t="str">
        <x:v>Défini</x:v>
      </x:c>
      <x:c r="D31" s="16" t="str">
        <x:v>Établi</x:v>
      </x:c>
      <x:c r="E31" s="16" t="str">
        <x:v>P1</x:v>
      </x:c>
      <x:c r="F31" s="9" t="str">
        <x:v>Citadel propose des variations sociales.</x:v>
      </x:c>
      <x:c r="G31" s="9" t="str">
        <x:v>Choix d’ambiance par phase ; transitions de musique et placement des invités conservent les conversations déjà vues.</x:v>
      </x:c>
      <x:c r="H31" s="9" t="str">
        <x:v>Choix d’ambiance par phase ; transitions de musique et placement des invités conservent les conversations déjà vues.</x:v>
      </x:c>
      <x:c r="I31" s="9" t="str">
        <x:v>Appartement en soirée.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me3/choices/party-tone ; rattacher les ressources et états cités à cet identifiant. Aucun fichier de jeu créé par ce catalogue.</x:v>
      </x:c>
      <x:c r="M31" s="9" t="str"/>
      <x:c r="N31" s="9" t="str">
        <x:v>Le livrable « Ambiance de la fête » possède une scène ou un scénario de contrôle ; ses règles proposées, ses conditions et ses retours visuels sont vérifiables séparément.</x:v>
      </x:c>
      <x:c r="O31" s="9" t="str"/>
      <x:c r="P31" s="9" t="str">
        <x:v>Ambiance de la fête</x:v>
      </x:c>
      <x:c r="Q31" s="9" t="str">
        <x:v>ME3-SRC-CIT-DLC</x:v>
      </x:c>
      <x:c r="R31" s="9" t="str">
        <x:v>https://masseffect.fandom.com/wiki/Mass_Effect_3%3A_Citadel</x:v>
      </x:c>
      <x:c r="S31" s="9" t="str">
        <x:v>Spécification à réaliser. Les champs adaptation, gameplay, visual, animation, audio et implementation décrivent le fan game ; ils ne donnent pas des caractéristiques officielles de l’œuvre.</x:v>
      </x:c>
    </x:row>
    <x:row r="32" ht="68" customHeight="1">
      <x:c r="A32" s="19" t="str">
        <x:v>ME3-CHO-ROMANCE</x:v>
      </x:c>
      <x:c r="B32" s="7" t="str">
        <x:v>Relations et invitations</x:v>
      </x:c>
      <x:c r="C32" s="15" t="str">
        <x:v>Défini</x:v>
      </x:c>
      <x:c r="D32" s="17" t="str">
        <x:v>Établi</x:v>
      </x:c>
      <x:c r="E32" s="17" t="str">
        <x:v>P1</x:v>
      </x:c>
      <x:c r="F32" s="7" t="str">
        <x:v>Les relations influencent les scènes.</x:v>
      </x:c>
      <x:c r="G32" s="7" t="str">
        <x:v>Contrat de relation exclusivité/rupture explicite par personnage ; états ME1, ME2 et ME3 séparés.</x:v>
      </x:c>
      <x:c r="H32" s="7" t="str">
        <x:v>Contrat de relation exclusivité/rupture explicite par personnage ; états ME1, ME2 et ME3 séparés.</x:v>
      </x:c>
      <x:c r="I32" s="7" t="str">
        <x:v>Portraits et souvenir de conversation.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me3/choices/romance ; rattacher les ressources et états cités à cet identifiant. Aucun fichier de jeu créé par ce catalogue.</x:v>
      </x:c>
      <x:c r="M32" s="7" t="str">
        <x:v>Conditions exactes par partenaire à vérifier.</x:v>
      </x:c>
      <x:c r="N32" s="7" t="str">
        <x:v>Le livrable « Relations et invitations » possède une scène ou un scénario de contrôle ; ses règles proposées, ses conditions et ses retours visuels sont vérifiables séparément.</x:v>
      </x:c>
      <x:c r="O32" s="7" t="str"/>
      <x:c r="P32" s="7" t="str">
        <x:v>Relations et invitations</x:v>
      </x:c>
      <x:c r="Q32" s="7" t="str">
        <x:v>ME3-SRC-CHAR, ME3-SRC-CIT-DLC</x:v>
      </x:c>
      <x:c r="R32" s="7" t="str">
        <x:v>https://masseffect.fandom.com/wiki/Characters/Mass_Effect_3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ME3-CHO-DESTROY</x:v>
      </x:c>
      <x:c r="B33" s="9" t="str">
        <x:v>Fin — Destruction</x:v>
      </x:c>
      <x:c r="C33" s="15" t="str">
        <x:v>Défini</x:v>
      </x:c>
      <x:c r="D33" s="16" t="str">
        <x:v>Établi</x:v>
      </x:c>
      <x:c r="E33" s="16" t="str">
        <x:v>P1</x:v>
      </x:c>
      <x:c r="F33" s="9" t="str">
        <x:v>Une option vise les synthétiques.</x:v>
      </x:c>
      <x:c r="G33" s="9" t="str">
        <x:v>Présenter conséquence annoncée, valider choix puis charger un épilogue de la bonne version et force de guerre.</x:v>
      </x:c>
      <x:c r="H33" s="9" t="str">
        <x:v>Présenter conséquence annoncée, valider choix puis charger un épilogue de la bonne version et force de guerre.</x:v>
      </x:c>
      <x:c r="I33" s="9" t="str">
        <x:v>Flux rouge et galerie d’épilogue.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me3/choices/destroy ; rattacher les ressources et états cités à cet identifiant. Aucun fichier de jeu créé par ce catalogue.</x:v>
      </x:c>
      <x:c r="M33" s="9" t="str">
        <x:v>Options disponibles conditionnelles ; aucune fin canon imposée.</x:v>
      </x:c>
      <x:c r="N33" s="9" t="str">
        <x:v>Le livrable « Fin — Destruction » possède une scène ou un scénario de contrôle ; ses règles proposées, ses conditions et ses retours visuels sont vérifiables séparément.</x:v>
      </x:c>
      <x:c r="O33" s="9" t="str"/>
      <x:c r="P33" s="9" t="str">
        <x:v>Fin — Destruction</x:v>
      </x:c>
      <x:c r="Q33" s="9" t="str">
        <x:v>ME3-SRC-EARTH, ME3-SRC-BW-EC</x:v>
      </x:c>
      <x:c r="R33" s="9" t="str">
        <x:v>https://masseffect.fandom.com/wiki/Priority%3A_Earth
https://blog.bioware.com/2012/06/22/mass-effect-3-extended-cut-2/</x:v>
      </x:c>
      <x:c r="S33" s="9" t="str">
        <x:v>Spécification à réaliser. Les champs adaptation, gameplay, visual, animation, audio et implementation décrivent le fan game ; ils ne donnent pas des caractéristiques officielles de l’œuvre.</x:v>
      </x:c>
    </x:row>
    <x:row r="34" ht="68" customHeight="1">
      <x:c r="A34" s="19" t="str">
        <x:v>ME3-CHO-CONTROL</x:v>
      </x:c>
      <x:c r="B34" s="7" t="str">
        <x:v>Fin — Contrôle</x:v>
      </x:c>
      <x:c r="C34" s="15" t="str">
        <x:v>Défini</x:v>
      </x:c>
      <x:c r="D34" s="17" t="str">
        <x:v>Établi</x:v>
      </x:c>
      <x:c r="E34" s="17" t="str">
        <x:v>P1</x:v>
      </x:c>
      <x:c r="F34" s="7" t="str">
        <x:v>Une option porte sur le contrôle des Moissonneurs.</x:v>
      </x:c>
      <x:c r="G34" s="7" t="str">
        <x:v>Décision finale séparée de l’argumentaire de l’Homme trouble ; variantes de voix et d’images vérifiées par état.</x:v>
      </x:c>
      <x:c r="H34" s="7" t="str">
        <x:v>Décision finale séparée de l’argumentaire de l’Homme trouble ; variantes de voix et d’images vérifiées par état.</x:v>
      </x:c>
      <x:c r="I34" s="7" t="str">
        <x:v>Flux bleu et nouvel horizon.</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me3/choices/control ; rattacher les ressources et états cités à cet identifiant. Aucun fichier de jeu créé par ce catalogue.</x:v>
      </x:c>
      <x:c r="M34" s="7" t="str">
        <x:v>Disponibilité selon version et état.</x:v>
      </x:c>
      <x:c r="N34" s="7" t="str">
        <x:v>Le livrable « Fin — Contrôle » possède une scène ou un scénario de contrôle ; ses règles proposées, ses conditions et ses retours visuels sont vérifiables séparément.</x:v>
      </x:c>
      <x:c r="O34" s="7" t="str"/>
      <x:c r="P34" s="7" t="str">
        <x:v>Fin — Contrôle</x:v>
      </x:c>
      <x:c r="Q34" s="7" t="str">
        <x:v>ME3-SRC-EARTH, ME3-SRC-BW-EC</x:v>
      </x:c>
      <x:c r="R34" s="7" t="str">
        <x:v>https://masseffect.fandom.com/wiki/Priority%3A_Earth
https://blog.bioware.com/2012/06/22/mass-effect-3-extended-cut-2/</x:v>
      </x:c>
      <x:c r="S34" s="7" t="str">
        <x:v>Spécification à réaliser. Les champs adaptation, gameplay, visual, animation, audio et implementation décrivent le fan game ; ils ne donnent pas des caractéristiques officielles de l’œuvre.</x:v>
      </x:c>
    </x:row>
    <x:row r="35" ht="68" customHeight="1">
      <x:c r="A35" s="18" t="str">
        <x:v>ME3-CHO-SYNTHESIS</x:v>
      </x:c>
      <x:c r="B35" s="9" t="str">
        <x:v>Fin — Synthèse</x:v>
      </x:c>
      <x:c r="C35" s="15" t="str">
        <x:v>Défini</x:v>
      </x:c>
      <x:c r="D35" s="16" t="str">
        <x:v>Établi</x:v>
      </x:c>
      <x:c r="E35" s="16" t="str">
        <x:v>P1</x:v>
      </x:c>
      <x:c r="F35" s="9" t="str">
        <x:v>Une option transforme le vivant et le synthétique.</x:v>
      </x:c>
      <x:c r="G35" s="9" t="str">
        <x:v>Annonce du changement et confirmation sans minijeu ajouté ; pas de présentation comme résultat objectivement supérieur.</x:v>
      </x:c>
      <x:c r="H35" s="9" t="str">
        <x:v>Annonce du changement et confirmation sans minijeu ajouté ; pas de présentation comme résultat objectivement supérieur.</x:v>
      </x:c>
      <x:c r="I35" s="9" t="str">
        <x:v>Flux vert et motifs transformés.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me3/choices/synthesis ; rattacher les ressources et états cités à cet identifiant. Aucun fichier de jeu créé par ce catalogue.</x:v>
      </x:c>
      <x:c r="M35" s="9" t="str">
        <x:v>Disponibilité selon version et état.</x:v>
      </x:c>
      <x:c r="N35" s="9" t="str">
        <x:v>Le livrable « Fin — Synthèse » possède une scène ou un scénario de contrôle ; ses règles proposées, ses conditions et ses retours visuels sont vérifiables séparément.</x:v>
      </x:c>
      <x:c r="O35" s="9" t="str"/>
      <x:c r="P35" s="9" t="str">
        <x:v>Fin — Synthèse</x:v>
      </x:c>
      <x:c r="Q35" s="9" t="str">
        <x:v>ME3-SRC-EARTH, ME3-SRC-BW-EC</x:v>
      </x:c>
      <x:c r="R35" s="9" t="str">
        <x:v>https://masseffect.fandom.com/wiki/Priority%3A_Earth
https://blog.bioware.com/2012/06/22/mass-effect-3-extended-cut-2/</x:v>
      </x:c>
      <x:c r="S35" s="9" t="str">
        <x:v>Spécification à réaliser. Les champs adaptation, gameplay, visual, animation, audio et implementation décrivent le fan game ; ils ne donnent pas des caractéristiques officielles de l’œuvre.</x:v>
      </x:c>
    </x:row>
    <x:row r="36" ht="68" customHeight="1">
      <x:c r="A36" s="19" t="str">
        <x:v>ME3-CHO-REFUSAL</x:v>
      </x:c>
      <x:c r="B36" s="7" t="str">
        <x:v>Fin — Refus</x:v>
      </x:c>
      <x:c r="C36" s="15" t="str">
        <x:v>Défini</x:v>
      </x:c>
      <x:c r="D36" s="17" t="str">
        <x:v>Établi</x:v>
      </x:c>
      <x:c r="E36" s="17" t="str">
        <x:v>P1</x:v>
      </x:c>
      <x:c r="F36" s="7" t="str">
        <x:v>Extended Cut permet une voie de refus.</x:v>
      </x:c>
      <x:c r="G36" s="7" t="str">
        <x:v>Séparer refus explicite et gestes déclencheurs si reproduits ; sauvegarde finale conserve le choix sans le convertir en échec technique.</x:v>
      </x:c>
      <x:c r="H36" s="7" t="str">
        <x:v>Séparer refus explicite et gestes déclencheurs si reproduits ; sauvegarde finale conserve le choix sans le convertir en échec technique.</x:v>
      </x:c>
      <x:c r="I36" s="7" t="str">
        <x:v>Silence, extinction et témoignage futur.</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me3/choices/refusal ; rattacher les ressources et états cités à cet identifiant. Aucun fichier de jeu créé par ce catalogue.</x:v>
      </x:c>
      <x:c r="M36" s="7" t="str">
        <x:v>Extended Cut / Legendary.</x:v>
      </x:c>
      <x:c r="N36" s="7" t="str">
        <x:v>Le livrable « Fin — Refus » possède une scène ou un scénario de contrôle ; ses règles proposées, ses conditions et ses retours visuels sont vérifiables séparément.</x:v>
      </x:c>
      <x:c r="O36" s="7" t="str"/>
      <x:c r="P36" s="7" t="str">
        <x:v>Fin — Refus</x:v>
      </x:c>
      <x:c r="Q36" s="7" t="str">
        <x:v>ME3-SRC-EARTH, ME3-SRC-BW-EC</x:v>
      </x:c>
      <x:c r="R36" s="7" t="str">
        <x:v>https://masseffect.fandom.com/wiki/Priority%3A_Earth
https://blog.bioware.com/2012/06/22/mass-effect-3-extended-cut-2/</x:v>
      </x:c>
      <x:c r="S36" s="7" t="str">
        <x:v>Spécification à réaliser. Les champs adaptation, gameplay, visual, animation, audio et implementation décrivent le fan game ; ils ne donnent pas des caractéristiques officielles de l’œuvre.</x:v>
      </x:c>
    </x:row>
  </x:sheetData>
  <x:conditionalFormatting sqref="D7:D36">
    <x:cfRule type="cellIs" dxfId="44" priority="1" operator="equal">
      <x:formula>"À vérifier"</x:formula>
    </x:cfRule>
    <x:cfRule type="cellIs" dxfId="45" priority="2" operator="equal">
      <x:formula>"Extrapolation"</x:formula>
    </x:cfRule>
  </x:conditionalFormatting>
  <x:conditionalFormatting sqref="C7:C36">
    <x:cfRule type="cellIs" dxfId="46" priority="3" operator="equal">
      <x:formula>"Validé"</x:formula>
    </x:cfRule>
  </x:conditionalFormatting>
  <x:conditionalFormatting sqref="E7:E36">
    <x:cfRule type="cellIs" dxfId="47" priority="4" operator="equal">
      <x:formula>"P0"</x:formula>
    </x:cfRule>
  </x:conditionalFormatting>
  <x:dataValidations count="3">
    <x:dataValidation type="list" sqref="C7:C36">
      <x:formula1>"Défini,Prototype,Intégré,Validé"</x:formula1>
    </x:dataValidation>
    <x:dataValidation type="list" sqref="D7:D36">
      <x:formula1>"Établi,À vérifier,Extrapolation,Coupé attesté,Concept abandonné,Allégation écartée"</x:formula1>
    </x:dataValidation>
    <x:dataValidation type="list" sqref="E7:E36">
      <x:formula1>"P0,P1,P2"</x:formula1>
    </x:dataValidation>
  </x:dataValidations>
  <x:pageMargins left="0.7" right="0.7" top="0.75" bottom="0.75" header="0.3" footer="0.3"/>
  <x:tableParts count="1">
    <x:tablePart xmlns:r="http://schemas.openxmlformats.org/officeDocument/2006/relationships" r:id="Ra186cdd205d1431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3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ME3-DIA-WAR</x:v>
      </x:c>
      <x:c r="B7" s="9" t="str">
        <x:v>Briefings de Hackett</x:v>
      </x:c>
      <x:c r="C7" s="15" t="str">
        <x:v>Défini</x:v>
      </x:c>
      <x:c r="D7" s="16" t="str">
        <x:v>Extrapolation</x:v>
      </x:c>
      <x:c r="E7" s="16" t="str">
        <x:v>P1</x:v>
      </x:c>
      <x:c r="F7" s="9" t="str">
        <x:v>Livrable original proposé : Briefings de Hackett.</x:v>
      </x:c>
      <x:c r="G7" s="9" t="str">
        <x:v>Répliques originales courtes distinguant objectif, événement accompli et contribution nouvelle ; éviter répétitions à chaque scan.</x:v>
      </x:c>
      <x:c r="H7" s="9" t="str">
        <x:v>Répliques originales courtes distinguant objectif, événement accompli et contribution nouvelle ; éviter répétitions à chaque scan.</x:v>
      </x:c>
      <x:c r="I7" s="9" t="str">
        <x:v>Hologramme Alliance et journal d’écoute.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me3/dialogues/war ; rattacher les ressources et états cités à cet identifiant. Aucun fichier de jeu créé par ce catalogue.</x:v>
      </x:c>
      <x:c r="M7" s="9" t="str"/>
      <x:c r="N7" s="9" t="str">
        <x:v>Le livrable « Briefings de Hackett » possède une scène ou un scénario de contrôle ; ses règles proposées, ses conditions et ses retours visuels sont vérifiables séparément.</x:v>
      </x:c>
      <x:c r="O7" s="9" t="str">
        <x:v>ME3-NPC-HACKETT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ME3-DIA-SABOTAGE</x:v>
      </x:c>
      <x:c r="B8" s="7" t="str">
        <x:v>Offre de la dalatrasse</x:v>
      </x:c>
      <x:c r="C8" s="15" t="str">
        <x:v>Défini</x:v>
      </x:c>
      <x:c r="D8" s="17" t="str">
        <x:v>Extrapolation</x:v>
      </x:c>
      <x:c r="E8" s="17" t="str">
        <x:v>P1</x:v>
      </x:c>
      <x:c r="F8" s="7" t="str">
        <x:v>Livrable original proposé : Offre de la dalatrasse.</x:v>
      </x:c>
      <x:c r="G8" s="7" t="str">
        <x:v>Afficher proposition, refus et report de décision ; ne pas attribuer consentement au seul fait d’avoir écouté.</x:v>
      </x:c>
      <x:c r="H8" s="7" t="str">
        <x:v>Afficher proposition, refus et report de décision ; ne pas attribuer consentement au seul fait d’avoir écouté.</x:v>
      </x:c>
      <x:c r="I8" s="7" t="str">
        <x:v>Fenêtre de canal privé.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me3/dialogues/sabotage ; rattacher les ressources et états cités à cet identifiant. Aucun fichier de jeu créé par ce catalogue.</x:v>
      </x:c>
      <x:c r="M8" s="7" t="str"/>
      <x:c r="N8" s="7" t="str">
        <x:v>Le livrable « Offre de la dalatrasse » possède une scène ou un scénario de contrôle ; ses règles proposées, ses conditions et ses retours visuels sont vérifiables séparément.</x:v>
      </x:c>
      <x:c r="O8" s="7" t="str">
        <x:v>ME3-NPC-DALATRASS, ME3-CHO-REVEAL-SABOTAGE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ME3-DIA-MORDIN</x:v>
      </x:c>
      <x:c r="B9" s="9" t="str">
        <x:v>Dernier entretien au Shroud</x:v>
      </x:c>
      <x:c r="C9" s="15" t="str">
        <x:v>Défini</x:v>
      </x:c>
      <x:c r="D9" s="16" t="str">
        <x:v>Extrapolation</x:v>
      </x:c>
      <x:c r="E9" s="16" t="str">
        <x:v>P1</x:v>
      </x:c>
      <x:c r="F9" s="9" t="str">
        <x:v>Livrable original proposé : Dernier entretien au Shroud.</x:v>
      </x:c>
      <x:c r="G9" s="9" t="str">
        <x:v>Variantes liées à Eve, Wrex, données et secret ; toute ligne de remords dépend d’un fait réellement vécu dans la sauvegarde.</x:v>
      </x:c>
      <x:c r="H9" s="9" t="str">
        <x:v>Variantes liées à Eve, Wrex, données et secret ; toute ligne de remords dépend d’un fait réellement vécu dans la sauvegarde.</x:v>
      </x:c>
      <x:c r="I9" s="9" t="str">
        <x:v>Ascenseur et plans serrés.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me3/dialogues/mordin ; rattacher les ressources et états cités à cet identifiant. Aucun fichier de jeu créé par ce catalogue.</x:v>
      </x:c>
      <x:c r="M9" s="9" t="str"/>
      <x:c r="N9" s="9" t="str">
        <x:v>Le livrable « Dernier entretien au Shroud » possède une scène ou un scénario de contrôle ; ses règles proposées, ses conditions et ses retours visuels sont vérifiables séparément.</x:v>
      </x:c>
      <x:c r="O9" s="9" t="str">
        <x:v>ME3-CHO-CURE, ME3-CHO-MORDIN-SURVIVE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ME3-DIA-TALI-LEGION</x:v>
      </x:c>
      <x:c r="B10" s="7" t="str">
        <x:v>Médiation Rannoch</x:v>
      </x:c>
      <x:c r="C10" s="15" t="str">
        <x:v>Défini</x:v>
      </x:c>
      <x:c r="D10" s="17" t="str">
        <x:v>Extrapolation</x:v>
      </x:c>
      <x:c r="E10" s="17" t="str">
        <x:v>P1</x:v>
      </x:c>
      <x:c r="F10" s="7" t="str">
        <x:v>Livrable original proposé : Médiation Rannoch.</x:v>
      </x:c>
      <x:c r="G10" s="7" t="str">
        <x:v>Écrire les arguments des deux camps puis conditions de médiation ; les choix indisponibles expliquent la catégorie de prérequis sans inventer un chiffre canon.</x:v>
      </x:c>
      <x:c r="H10" s="7" t="str">
        <x:v>Écrire les arguments des deux camps puis conditions de médiation ; les choix indisponibles expliquent la catégorie de prérequis sans inventer un chiffre canon.</x:v>
      </x:c>
      <x:c r="I10" s="7" t="str">
        <x:v>Alternance Tali/Legion et radio de flotte.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me3/dialogues/tali-legion ; rattacher les ressources et états cités à cet identifiant. Aucun fichier de jeu créé par ce catalogue.</x:v>
      </x:c>
      <x:c r="M10" s="7" t="str"/>
      <x:c r="N10" s="7" t="str">
        <x:v>Le livrable « Médiation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ME3-DIA-MIRANDA</x:v>
      </x:c>
      <x:c r="B11" s="9" t="str">
        <x:v>Messages et rencontres Miranda</x:v>
      </x:c>
      <x:c r="C11" s="15" t="str">
        <x:v>Défini</x:v>
      </x:c>
      <x:c r="D11" s="16" t="str">
        <x:v>Extrapolation</x:v>
      </x:c>
      <x:c r="E11" s="16" t="str">
        <x:v>P1</x:v>
      </x:c>
      <x:c r="F11" s="9" t="str">
        <x:v>Livrable original proposé : Messages et rencontres Miranda.</x:v>
      </x:c>
      <x:c r="G11" s="9" t="str">
        <x:v>Trois fenêtres de récit avec sujet propre ; avertissement et aide ont accusé de réception et état persisté.</x:v>
      </x:c>
      <x:c r="H11" s="9" t="str">
        <x:v>Trois fenêtres de récit avec sujet propre ; avertissement et aide ont accusé de réception et état persisté.</x:v>
      </x:c>
      <x:c r="I11" s="9" t="str">
        <x:v>Terminal puis appartement privé.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me3/dialogues/miranda ; rattacher les ressources et états cités à cet identifiant. Aucun fichier de jeu créé par ce catalogue.</x:v>
      </x:c>
      <x:c r="M11" s="9" t="str"/>
      <x:c r="N11" s="9" t="str">
        <x:v>Le livrable « Messages et rencontres Miranda » possède une scène ou un scénario de contrôle ; ses règles proposées, ses conditions et ses retours visuels sont vérifiables séparément.</x:v>
      </x:c>
      <x:c r="O11" s="9" t="str">
        <x:v>ME3-NPC-MIRANDA, 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ME3-DIA-EVE-WREX</x:v>
      </x:c>
      <x:c r="B12" s="7" t="str">
        <x:v>Entretien politique krogan</x:v>
      </x:c>
      <x:c r="C12" s="15" t="str">
        <x:v>Défini</x:v>
      </x:c>
      <x:c r="D12" s="17" t="str">
        <x:v>Extrapolation</x:v>
      </x:c>
      <x:c r="E12" s="17" t="str">
        <x:v>P1</x:v>
      </x:c>
      <x:c r="F12" s="7" t="str">
        <x:v>Livrable original proposé : Entretien politique krogan.</x:v>
      </x:c>
      <x:c r="G12" s="7" t="str">
        <x:v>Distinguer espoir d’Eve et stratégie du dirigeant présent ; variante Wreav réécrite, aucun remplacement de nom mécanique.</x:v>
      </x:c>
      <x:c r="H12" s="7" t="str">
        <x:v>Distinguer espoir d’Eve et stratégie du dirigeant présent ; variante Wreav réécrite, aucun remplacement de nom mécanique.</x:v>
      </x:c>
      <x:c r="I12" s="7" t="str">
        <x:v>Couple de portraits krogan.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me3/dialogues/eve-wrex ; rattacher les ressources et états cités à cet identifiant. Aucun fichier de jeu créé par ce catalogue.</x:v>
      </x:c>
      <x:c r="M12" s="7" t="str"/>
      <x:c r="N12" s="7" t="str">
        <x:v>Le livrable « Entretien politique krogan » possède une scène ou un scénario de contrôle ; ses règles proposées, ses conditions et ses retours visuels sont vérifiables séparément.</x:v>
      </x:c>
      <x:c r="O12" s="7" t="str">
        <x:v>ME3-NPC-EVE, ME3-NPC-WREAV</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ME3-DIA-JAVIK</x:v>
      </x:c>
      <x:c r="B13" s="9" t="str">
        <x:v>Réactions de Javik aux archives</x:v>
      </x:c>
      <x:c r="C13" s="15" t="str">
        <x:v>Défini</x:v>
      </x:c>
      <x:c r="D13" s="16" t="str">
        <x:v>Extrapolation</x:v>
      </x:c>
      <x:c r="E13" s="16" t="str">
        <x:v>P1</x:v>
      </x:c>
      <x:c r="F13" s="9" t="str">
        <x:v>Livrable original proposé : Réactions de Javik aux archives.</x:v>
      </x:c>
      <x:c r="G13" s="9" t="str">
        <x:v>Interventions conditionnelles au groupe présent ; exposé principal reste compréhensible sans lui.</x:v>
      </x:c>
      <x:c r="H13" s="9" t="str">
        <x:v>Interventions conditionnelles au groupe présent ; exposé principal reste compréhensible sans lui.</x:v>
      </x:c>
      <x:c r="I13" s="9" t="str">
        <x:v>Hologramme ancien et visage prothéen.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me3/dialogues/javik ; rattacher les ressources et états cités à cet identifiant. Aucun fichier de jeu créé par ce catalogue.</x:v>
      </x:c>
      <x:c r="M13" s="9" t="str"/>
      <x:c r="N13" s="9" t="str">
        <x:v>Le livrable « Réactions de Javik aux archives » possède une scène ou un scénario de contrôle ; ses règles proposées, ses conditions et ses retours visuels sont vérifiables séparément.</x:v>
      </x:c>
      <x:c r="O13" s="9" t="str">
        <x:v>ME3-CHR-JAVIK, ME3-ZON-THESSIA-TEMPLE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ME3-DIA-ANN</x:v>
      </x:c>
      <x:c r="B14" s="7" t="str">
        <x:v>Interrogatoire d’Ann</x:v>
      </x:c>
      <x:c r="C14" s="15" t="str">
        <x:v>Défini</x:v>
      </x:c>
      <x:c r="D14" s="17" t="str">
        <x:v>Extrapolation</x:v>
      </x:c>
      <x:c r="E14" s="17" t="str">
        <x:v>P1</x:v>
      </x:c>
      <x:c r="F14" s="7" t="str">
        <x:v>Livrable original proposé : Interrogatoire d’Ann.</x:v>
      </x:c>
      <x:c r="G14" s="7" t="str">
        <x:v>Clarifier les propositions risquées et la possibilité d’arrêter ; maintenir les indices déjà obtenus après refus.</x:v>
      </x:c>
      <x:c r="H14" s="7" t="str">
        <x:v>Clarifier les propositions risquées et la possibilité d’arrêter ; maintenir les indices déjà obtenus après refus.</x:v>
      </x:c>
      <x:c r="I14" s="7" t="str">
        <x:v>Laboratoire et pulsation de signal.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me3/dialogues/ann ; rattacher les ressources et états cités à cet identifiant. Aucun fichier de jeu créé par ce catalogue.</x:v>
      </x:c>
      <x:c r="M14" s="7" t="str"/>
      <x:c r="N14" s="7" t="str">
        <x:v>Le livrable « Interrogatoire d’Ann » possède une scène ou un scénario de contrôle ; ses règles proposées, ses conditions et ses retours visuels sont vérifiables séparément.</x:v>
      </x:c>
      <x:c r="O14" s="7" t="str">
        <x:v>ME3-NPC-ANN, ME3-CHO-LEVIATHAN-ANN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ME3-DIA-ARIA-NYREEN</x:v>
      </x:c>
      <x:c r="B15" s="9" t="str">
        <x:v>Tension Aria / Nyreen</x:v>
      </x:c>
      <x:c r="C15" s="15" t="str">
        <x:v>Défini</x:v>
      </x:c>
      <x:c r="D15" s="16" t="str">
        <x:v>Extrapolation</x:v>
      </x:c>
      <x:c r="E15" s="16" t="str">
        <x:v>P1</x:v>
      </x:c>
      <x:c r="F15" s="9" t="str">
        <x:v>Livrable original proposé : Tension Aria / Nyreen.</x:v>
      </x:c>
      <x:c r="G15" s="9" t="str">
        <x:v>Écrire des désaccords sur protection civile et reprise de pouvoir ; ne pas transformer les deux voix en simple bon/mauvais choix.</x:v>
      </x:c>
      <x:c r="H15" s="9" t="str">
        <x:v>Écrire des désaccords sur protection civile et reprise de pouvoir ; ne pas transformer les deux voix en simple bon/mauvais choix.</x:v>
      </x:c>
      <x:c r="I15" s="9" t="str">
        <x:v>Plans croisés dans bunker.</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me3/dialogues/aria-nyreen ; rattacher les ressources et états cités à cet identifiant. Aucun fichier de jeu créé par ce catalogue.</x:v>
      </x:c>
      <x:c r="M15" s="9" t="str"/>
      <x:c r="N15" s="9" t="str">
        <x:v>Le livrable « Tension Aria / Nyreen » possède une scène ou un scénario de contrôle ; ses règles proposées, ses conditions et ses retours visuels sont vérifiables séparément.</x:v>
      </x:c>
      <x:c r="O15" s="9" t="str">
        <x:v>ME3-CHR-ARIA, ME3-CHR-NYREEN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ME3-DIA-CLONE</x:v>
      </x:c>
      <x:c r="B16" s="7" t="str">
        <x:v>Confrontation d’identité</x:v>
      </x:c>
      <x:c r="C16" s="15" t="str">
        <x:v>Défini</x:v>
      </x:c>
      <x:c r="D16" s="17" t="str">
        <x:v>Extrapolation</x:v>
      </x:c>
      <x:c r="E16" s="17" t="str">
        <x:v>P1</x:v>
      </x:c>
      <x:c r="F16" s="7" t="str">
        <x:v>Livrable original proposé : Confrontation d’identité.</x:v>
      </x:c>
      <x:c r="G16" s="7" t="str">
        <x:v>Dialogue original autour de l’identité et des liens ; portraits homonymes portent rôle visuel pour rester compréhensibles.</x:v>
      </x:c>
      <x:c r="H16" s="7" t="str">
        <x:v>Dialogue original autour de l’identité et des liens ; portraits homonymes portent rôle visuel pour rester compréhensibles.</x:v>
      </x:c>
      <x:c r="I16" s="7" t="str">
        <x:v>Deux Shepard éclairés différemment.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me3/dialogues/clone ; rattacher les ressources et états cités à cet identifiant. Aucun fichier de jeu créé par ce catalogue.</x:v>
      </x:c>
      <x:c r="M16" s="7" t="str"/>
      <x:c r="N16" s="7" t="str">
        <x:v>Le livrable « Confrontation d’identité » possède une scène ou un scénario de contrôle ; ses règles proposées, ses conditions et ses retours visuels sont vérifiables séparément.</x:v>
      </x:c>
      <x:c r="O16" s="7" t="str">
        <x:v>ME3-ENM-CLONE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ME3-DIA-FAREWELL</x:v>
      </x:c>
      <x:c r="B17" s="9" t="str">
        <x:v>Adieux de Londres</x:v>
      </x:c>
      <x:c r="C17" s="15" t="str">
        <x:v>Défini</x:v>
      </x:c>
      <x:c r="D17" s="16" t="str">
        <x:v>Extrapolation</x:v>
      </x:c>
      <x:c r="E17" s="16" t="str">
        <x:v>P1</x:v>
      </x:c>
      <x:c r="F17" s="9" t="str">
        <x:v>Livrable original proposé : Adieux de Londres.</x:v>
      </x:c>
      <x:c r="G17" s="9" t="str">
        <x:v>Une scène par relation disponible avec reprise après interruption ; l’utilisateur choisit de revoir avant de partir.</x:v>
      </x:c>
      <x:c r="H17" s="9" t="str">
        <x:v>Une scène par relation disponible avec reprise après interruption ; l’utilisateur choisit de revoir avant de partir.</x:v>
      </x:c>
      <x:c r="I17" s="9" t="str">
        <x:v>Base avancée et communication distante.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me3/dialogues/farewell ; rattacher les ressources et états cités à cet identifiant. Aucun fichier de jeu créé par ce catalogue.</x:v>
      </x:c>
      <x:c r="M17" s="9" t="str"/>
      <x:c r="N17" s="9" t="str">
        <x:v>Le livrable « Adieux de Londres » possède une scène ou un scénario de contrôle ; ses règles proposées, ses conditions et ses retours visuels sont vérifiables séparément.</x:v>
      </x:c>
      <x:c r="O17" s="9" t="str">
        <x:v>ME3-ZON-LONDON-FOB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ME3-DIA-CATALYST</x:v>
      </x:c>
      <x:c r="B18" s="7" t="str">
        <x:v>Décision finale explicitée</x:v>
      </x:c>
      <x:c r="C18" s="15" t="str">
        <x:v>Défini</x:v>
      </x:c>
      <x:c r="D18" s="17" t="str">
        <x:v>Extrapolation</x:v>
      </x:c>
      <x:c r="E18" s="17" t="str">
        <x:v>P1</x:v>
      </x:c>
      <x:c r="F18" s="7" t="str">
        <x:v>Livrable original proposé : Décision finale explicitée.</x:v>
      </x:c>
      <x:c r="G18" s="7" t="str">
        <x:v>Chaque option dispose d’une explication accessible et d’une confirmation ; ne pas réduire le choix à trois couleurs sans texte.</x:v>
      </x:c>
      <x:c r="H18" s="7" t="str">
        <x:v>Chaque option dispose d’une explication accessible et d’une confirmation ; ne pas réduire le choix à trois couleurs sans texte.</x:v>
      </x:c>
      <x:c r="I18" s="7" t="str">
        <x:v>Espace final et sous-titres contrastés.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me3/dialogues/catalyst ; rattacher les ressources et états cités à cet identifiant. Aucun fichier de jeu créé par ce catalogue.</x:v>
      </x:c>
      <x:c r="M18" s="7" t="str"/>
      <x:c r="N18" s="7" t="str">
        <x:v>Le livrable « Décision finale explicitée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ME3-DIA-PARTY</x:v>
      </x:c>
      <x:c r="B19" s="9" t="str">
        <x:v>Conversations de la fête</x:v>
      </x:c>
      <x:c r="C19" s="15" t="str">
        <x:v>Défini</x:v>
      </x:c>
      <x:c r="D19" s="16" t="str">
        <x:v>Extrapolation</x:v>
      </x:c>
      <x:c r="E19" s="16" t="str">
        <x:v>P1</x:v>
      </x:c>
      <x:c r="F19" s="9" t="str">
        <x:v>Livrable original proposé : Conversations de la fête.</x:v>
      </x:c>
      <x:c r="G19" s="9" t="str">
        <x:v>Groupes de discussion selon invités et ambiance ; priorité aux répliques non vues et pas de chevauchement de sous-titres.</x:v>
      </x:c>
      <x:c r="H19" s="9" t="str">
        <x:v>Groupes de discussion selon invités et ambiance ; priorité aux répliques non vues et pas de chevauchement de sous-titres.</x:v>
      </x:c>
      <x:c r="I19" s="9" t="str">
        <x:v>Petit cercle d’invités et caméra stable.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me3/dialogues/party ; rattacher les ressources et états cités à cet identifiant. Aucun fichier de jeu créé par ce catalogue.</x:v>
      </x:c>
      <x:c r="M19" s="9" t="str"/>
      <x:c r="N19" s="9" t="str">
        <x:v>Le livrable « Conversations de la fête » possède une scène ou un scénario de contrôle ; ses règles proposées, ses conditions et ses retours visuels sont vérifiables séparément.</x:v>
      </x:c>
      <x:c r="O19" s="9" t="str">
        <x:v>ME3-CHO-PARTY-TONE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b9e5a954739d4a68"/>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3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ME3-CIN-EARTH-DEPARTURE</x:v>
      </x:c>
      <x:c r="B7" s="9" t="str">
        <x:v>Évacuation de la Terre</x:v>
      </x:c>
      <x:c r="C7" s="15" t="str">
        <x:v>Défini</x:v>
      </x:c>
      <x:c r="D7" s="16" t="str">
        <x:v>Extrapolation</x:v>
      </x:c>
      <x:c r="E7" s="16" t="str">
        <x:v>P1</x:v>
      </x:c>
      <x:c r="F7" s="9" t="str">
        <x:v>Livrable original proposé : Évacuation de la Terre.</x:v>
      </x:c>
      <x:c r="G7" s="9" t="str">
        <x:v>Découper attaque, parcours et décollage ; garder sentiment d’échelle avec caméra stable et flashes réglables.</x:v>
      </x:c>
      <x:c r="H7" s="9" t="str">
        <x:v>Découper attaque, parcours et décollage ; garder sentiment d’échelle avec caméra stable et flashes réglables.</x:v>
      </x:c>
      <x:c r="I7" s="9" t="str">
        <x:v>Navette, Normandy et ville attaquée.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me3/cinematics/earth-departure ; rattacher les ressources et états cités à cet identifiant. Aucun fichier de jeu créé par ce catalogue.</x:v>
      </x:c>
      <x:c r="M7" s="9" t="str"/>
      <x:c r="N7" s="9" t="str">
        <x:v>Le livrable « Évacuation de la Terre » possède une scène ou un scénario de contrôle ; ses règles proposées, ses conditions et ses retours visuels sont vérifiables séparément.</x:v>
      </x:c>
      <x:c r="O7" s="9" t="str">
        <x:v>ME3-MQ-EARTH-PROLOGUE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ME3-CIN-MARS-REVEAL</x:v>
      </x:c>
      <x:c r="B8" s="7" t="str">
        <x:v>Révélation de Mars</x:v>
      </x:c>
      <x:c r="C8" s="15" t="str">
        <x:v>Défini</x:v>
      </x:c>
      <x:c r="D8" s="17" t="str">
        <x:v>Extrapolation</x:v>
      </x:c>
      <x:c r="E8" s="17" t="str">
        <x:v>P1</x:v>
      </x:c>
      <x:c r="F8" s="7" t="str">
        <x:v>Livrable original proposé : Révélation de Mars.</x:v>
      </x:c>
      <x:c r="G8" s="7" t="str">
        <x:v>Poursuite puis révélation d’Eva avec état final unique ; skip applique les mêmes conséquences que lecture complète.</x:v>
      </x:c>
      <x:c r="H8" s="7" t="str">
        <x:v>Poursuite puis révélation d’Eva avec état final unique ; skip applique les mêmes conséquences que lecture complète.</x:v>
      </x:c>
      <x:c r="I8" s="7" t="str">
        <x:v>Couloir de tempête et visage synthétique.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me3/cinematics/mars-reveal ; rattacher les ressources et états cités à cet identifiant. Aucun fichier de jeu créé par ce catalogue.</x:v>
      </x:c>
      <x:c r="M8" s="7" t="str"/>
      <x:c r="N8" s="7" t="str">
        <x:v>Le livrable « Révélation de Mars » possède une scène ou un scénario de contrôle ; ses règles proposées, ses conditions et ses retours visuels sont vérifiables séparément.</x:v>
      </x:c>
      <x:c r="O8" s="7" t="str">
        <x:v>ME3-MQ-MARS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ME3-CIN-CURE</x:v>
      </x:c>
      <x:c r="B9" s="9" t="str">
        <x:v>Dispersion du remède</x:v>
      </x:c>
      <x:c r="C9" s="15" t="str">
        <x:v>Défini</x:v>
      </x:c>
      <x:c r="D9" s="16" t="str">
        <x:v>Extrapolation</x:v>
      </x:c>
      <x:c r="E9" s="16" t="str">
        <x:v>P1</x:v>
      </x:c>
      <x:c r="F9" s="9" t="str">
        <x:v>Livrable original proposé : Dispersion du remède.</x:v>
      </x:c>
      <x:c r="G9" s="9" t="str">
        <x:v>Version de cure et version de sabotage ont plans et bilan cohérents ; aucune image de guérison complète dans branche mensongère.</x:v>
      </x:c>
      <x:c r="H9" s="9" t="str">
        <x:v>Version de cure et version de sabotage ont plans et bilan cohérents ; aucune image de guérison complète dans branche mensongère.</x:v>
      </x:c>
      <x:c r="I9" s="9" t="str">
        <x:v>Tour, ciel et réactions krogan.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me3/cinematics/cure ; rattacher les ressources et états cités à cet identifiant. Aucun fichier de jeu créé par ce catalogue.</x:v>
      </x:c>
      <x:c r="M9" s="9" t="str"/>
      <x:c r="N9" s="9" t="str">
        <x:v>Le livrable « Dispersion du remède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ME3-CIN-KALROS</x:v>
      </x:c>
      <x:c r="B10" s="7" t="str">
        <x:v>Kalros et le Moissonneur</x:v>
      </x:c>
      <x:c r="C10" s="15" t="str">
        <x:v>Défini</x:v>
      </x:c>
      <x:c r="D10" s="17" t="str">
        <x:v>Extrapolation</x:v>
      </x:c>
      <x:c r="E10" s="17" t="str">
        <x:v>P1</x:v>
      </x:c>
      <x:c r="F10" s="7" t="str">
        <x:v>Livrable original proposé : Kalros et le Moissonneur.</x:v>
      </x:c>
      <x:c r="G10" s="7" t="str">
        <x:v>Combat gigantesque en arrière-plan, puis retour au groupe sur repère stable ; pas d’ennemi ciblable géant par accident.</x:v>
      </x:c>
      <x:c r="H10" s="7" t="str">
        <x:v>Combat gigantesque en arrière-plan, puis retour au groupe sur repère stable ; pas d’ennemi ciblable géant par accident.</x:v>
      </x:c>
      <x:c r="I10" s="7" t="str">
        <x:v>Silhouettes colossales et poussière.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me3/cinematics/kalros ; rattacher les ressources et états cités à cet identifiant. Aucun fichier de jeu créé par ce catalogue.</x:v>
      </x:c>
      <x:c r="M10" s="7" t="str"/>
      <x:c r="N10" s="7" t="str">
        <x:v>Le livrable « Kalros et le Moissonneur » possède une scène ou un scénario de contrôle ; ses règles proposées, ses conditions et ses retours visuels sont vérifiables séparément.</x:v>
      </x:c>
      <x:c r="O10" s="7" t="str">
        <x:v>ME3-MQ-TUCHANKA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ME3-CIN-COUP</x:v>
      </x:c>
      <x:c r="B11" s="9" t="str">
        <x:v>Affrontement du coup d’État</x:v>
      </x:c>
      <x:c r="C11" s="15" t="str">
        <x:v>Défini</x:v>
      </x:c>
      <x:c r="D11" s="16" t="str">
        <x:v>Extrapolation</x:v>
      </x:c>
      <x:c r="E11" s="16" t="str">
        <x:v>P1</x:v>
      </x:c>
      <x:c r="F11" s="9" t="str">
        <x:v>Livrable original proposé : Affrontement du coup d’État.</x:v>
      </x:c>
      <x:c r="G11" s="9" t="str">
        <x:v>Placer survivant de Virmire, Udina et Shepard ; arme et orientation dépendent de l’auteur effectif de l’action.</x:v>
      </x:c>
      <x:c r="H11" s="9" t="str">
        <x:v>Placer survivant de Virmire, Udina et Shepard ; arme et orientation dépendent de l’auteur effectif de l’action.</x:v>
      </x:c>
      <x:c r="I11" s="9" t="str">
        <x:v>Ascenseur et couloir du Conseil.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me3/cinematics/coup ; rattacher les ressources et états cités à cet identifiant. Aucun fichier de jeu créé par ce catalogue.</x:v>
      </x:c>
      <x:c r="M11" s="9" t="str"/>
      <x:c r="N11" s="9" t="str">
        <x:v>Le livrable « Affrontement du coup d’État » possède une scène ou un scénario de contrôle ; ses règles proposées, ses conditions et ses retours visuels sont vérifiables séparément.</x:v>
      </x:c>
      <x:c r="O11" s="9" t="str">
        <x:v>ME3-MQ-CITADEL2</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ME3-CIN-RANNOCH</x:v>
      </x:c>
      <x:c r="B12" s="7" t="str">
        <x:v>Résolution des flottes</x:v>
      </x:c>
      <x:c r="C12" s="15" t="str">
        <x:v>Défini</x:v>
      </x:c>
      <x:c r="D12" s="17" t="str">
        <x:v>Extrapolation</x:v>
      </x:c>
      <x:c r="E12" s="17" t="str">
        <x:v>P1</x:v>
      </x:c>
      <x:c r="F12" s="7" t="str">
        <x:v>Livrable original proposé : Résolution des flottes.</x:v>
      </x:c>
      <x:c r="G12" s="7" t="str">
        <x:v>Trois montages conditionnels sans couper un personnage vivant au mauvais endroit ; résultat explicite au retour du contrôle.</x:v>
      </x:c>
      <x:c r="H12" s="7" t="str">
        <x:v>Trois montages conditionnels sans couper un personnage vivant au mauvais endroit ; résultat explicite au retour du contrôle.</x:v>
      </x:c>
      <x:c r="I12" s="7" t="str">
        <x:v>Flottes et ciel de Rannoch.</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me3/cinematics/rannoch ; rattacher les ressources et états cités à cet identifiant. Aucun fichier de jeu créé par ce catalogue.</x:v>
      </x:c>
      <x:c r="M12" s="7" t="str"/>
      <x:c r="N12" s="7" t="str">
        <x:v>Le livrable « Résolution des flottes » possède une scène ou un scénario de contrôle ; ses règles proposées, ses conditions et ses retours visuels sont vérifiables séparément.</x:v>
      </x:c>
      <x:c r="O12" s="7" t="str">
        <x:v>ME3-CHO-PEACE, ME3-CHO-GETH-UPDATE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ME3-CIN-THESSIA</x:v>
      </x:c>
      <x:c r="B13" s="9" t="str">
        <x:v>Chute de Thessia</x:v>
      </x:c>
      <x:c r="C13" s="15" t="str">
        <x:v>Défini</x:v>
      </x:c>
      <x:c r="D13" s="16" t="str">
        <x:v>Extrapolation</x:v>
      </x:c>
      <x:c r="E13" s="16" t="str">
        <x:v>P1</x:v>
      </x:c>
      <x:c r="F13" s="9" t="str">
        <x:v>Livrable original proposé : Chute de Thessia.</x:v>
      </x:c>
      <x:c r="G13" s="9" t="str">
        <x:v>Échec narratif lisible après confrontation ; le joueur n’est pas puni par un faux écran de mort/retry impossible.</x:v>
      </x:c>
      <x:c r="H13" s="9" t="str">
        <x:v>Échec narratif lisible après confrontation ; le joueur n’est pas puni par un faux écran de mort/retry impossible.</x:v>
      </x:c>
      <x:c r="I13" s="9" t="str">
        <x:v>Temple endommagé et navette ennemie.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me3/cinematics/thessia ; rattacher les ressources et états cités à cet identifiant. Aucun fichier de jeu créé par ce catalogue.</x:v>
      </x:c>
      <x:c r="M13" s="9" t="str"/>
      <x:c r="N13" s="9" t="str">
        <x:v>Le livrable « Chute de Thessia » possède une scène ou un scénario de contrôle ; ses règles proposées, ses conditions et ses retours visuels sont vérifiables séparément.</x:v>
      </x:c>
      <x:c r="O13" s="9" t="str">
        <x:v>ME3-MQ-THESSIA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ME3-CIN-SANCTUARY</x:v>
      </x:c>
      <x:c r="B14" s="7" t="str">
        <x:v>Confrontation des Lawson</x:v>
      </x:c>
      <x:c r="C14" s="15" t="str">
        <x:v>Défini</x:v>
      </x:c>
      <x:c r="D14" s="17" t="str">
        <x:v>Extrapolation</x:v>
      </x:c>
      <x:c r="E14" s="17" t="str">
        <x:v>P1</x:v>
      </x:c>
      <x:c r="F14" s="7" t="str">
        <x:v>Livrable original proposé : Confrontation des Lawson.</x:v>
      </x:c>
      <x:c r="G14" s="7" t="str">
        <x:v>Variantes selon Miranda, aide et décision ; poser Oriana à un emplacement sûr après la scène.</x:v>
      </x:c>
      <x:c r="H14" s="7" t="str">
        <x:v>Variantes selon Miranda, aide et décision ; poser Oriana à un emplacement sûr après la scène.</x:v>
      </x:c>
      <x:c r="I14" s="7" t="str">
        <x:v>Passerelle et baie de Sanctuary.</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me3/cinematics/sanctuary ; rattacher les ressources et états cités à cet identifiant. Aucun fichier de jeu créé par ce catalogue.</x:v>
      </x:c>
      <x:c r="M14" s="7" t="str"/>
      <x:c r="N14" s="7" t="str">
        <x:v>Le livrable « Confrontation des Lawson » possède une scène ou un scénario de contrôle ; ses règles proposées, ses conditions et ses retours visuels sont vérifiables séparément.</x:v>
      </x:c>
      <x:c r="O14" s="7" t="str">
        <x:v>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ME3-CIN-LEVIATHAN</x:v>
      </x:c>
      <x:c r="B15" s="9" t="str">
        <x:v>Rencontre abyssale</x:v>
      </x:c>
      <x:c r="C15" s="15" t="str">
        <x:v>Défini</x:v>
      </x:c>
      <x:c r="D15" s="16" t="str">
        <x:v>Extrapolation</x:v>
      </x:c>
      <x:c r="E15" s="16" t="str">
        <x:v>P1</x:v>
      </x:c>
      <x:c r="F15" s="9" t="str">
        <x:v>Livrable original proposé : Rencontre abyssale.</x:v>
      </x:c>
      <x:c r="G15" s="9" t="str">
        <x:v>Échelle par silhouettes et lumière, dialogue sous-titré ; toutes les réponses restent accessibles en mode réduction de mouvement.</x:v>
      </x:c>
      <x:c r="H15" s="9" t="str">
        <x:v>Échelle par silhouettes et lumière, dialogue sous-titré ; toutes les réponses restent accessibles en mode réduction de mouvement.</x:v>
      </x:c>
      <x:c r="I15" s="9" t="str">
        <x:v>Visages abyssaux et cockpit minuscule.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me3/cinematics/leviathan ; rattacher les ressources et états cités à cet identifiant. Aucun fichier de jeu créé par ce catalogue.</x:v>
      </x:c>
      <x:c r="M15" s="9" t="str"/>
      <x:c r="N15" s="9" t="str">
        <x:v>Le livrable « Rencontre abyssale » possède une scène ou un scénario de contrôle ; ses règles proposées, ses conditions et ses retours visuels sont vérifiables séparément.</x:v>
      </x:c>
      <x:c r="O15" s="9" t="str">
        <x:v>ME3-MQ-DESPOINA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ME3-CIN-OMEGA</x:v>
      </x:c>
      <x:c r="B16" s="7" t="str">
        <x:v>Conclusion d’Omega</x:v>
      </x:c>
      <x:c r="C16" s="15" t="str">
        <x:v>Défini</x:v>
      </x:c>
      <x:c r="D16" s="17" t="str">
        <x:v>Extrapolation</x:v>
      </x:c>
      <x:c r="E16" s="17" t="str">
        <x:v>P1</x:v>
      </x:c>
      <x:c r="F16" s="7" t="str">
        <x:v>Livrable original proposé : Conclusion d’Omega.</x:v>
      </x:c>
      <x:c r="G16" s="7" t="str">
        <x:v>Mort ou reddition de Petrovsky, réponse d’Aria puis départ ; journal final s’écrit avant transition de retour.</x:v>
      </x:c>
      <x:c r="H16" s="7" t="str">
        <x:v>Mort ou reddition de Petrovsky, réponse d’Aria puis départ ; journal final s’écrit avant transition de retour.</x:v>
      </x:c>
      <x:c r="I16" s="7" t="str">
        <x:v>Afterlife et foule libérée.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me3/cinematics/omega ; rattacher les ressources et états cités à cet identifiant. Aucun fichier de jeu créé par ce catalogue.</x:v>
      </x:c>
      <x:c r="M16" s="7" t="str"/>
      <x:c r="N16" s="7" t="str">
        <x:v>Le livrable « Conclusion d’Omega » possède une scène ou un scénario de contrôle ; ses règles proposées, ses conditions et ses retours visuels sont vérifiables séparément.</x:v>
      </x:c>
      <x:c r="O16" s="7" t="str">
        <x:v>ME3-CHO-PETROVSKY</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ME3-CIN-NORMANDY-DUEL</x:v>
      </x:c>
      <x:c r="B17" s="9" t="str">
        <x:v>Duel final du clone</x:v>
      </x:c>
      <x:c r="C17" s="15" t="str">
        <x:v>Défini</x:v>
      </x:c>
      <x:c r="D17" s="16" t="str">
        <x:v>Extrapolation</x:v>
      </x:c>
      <x:c r="E17" s="16" t="str">
        <x:v>P1</x:v>
      </x:c>
      <x:c r="F17" s="9" t="str">
        <x:v>Livrable original proposé : Duel final du clone.</x:v>
      </x:c>
      <x:c r="G17" s="9" t="str">
        <x:v>Animation de rampe avec acteur principal et clone identifiables ; skip conserve état de Brooks et équipement rendu.</x:v>
      </x:c>
      <x:c r="H17" s="9" t="str">
        <x:v>Animation de rampe avec acteur principal et clone identifiables ; skip conserve état de Brooks et équipement rendu.</x:v>
      </x:c>
      <x:c r="I17" s="9" t="str">
        <x:v>Rampe du Normandy et espace ouvert.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me3/cinematics/normandy-duel ; rattacher les ressources et états cités à cet identifiant. Aucun fichier de jeu créé par ce catalogue.</x:v>
      </x:c>
      <x:c r="M17" s="9" t="str"/>
      <x:c r="N17" s="9" t="str">
        <x:v>Le livrable « Duel final du clone » possède une scène ou un scénario de contrôle ; ses règles proposées, ses conditions et ses retours visuels sont vérifiables séparément.</x:v>
      </x:c>
      <x:c r="O17" s="9" t="str">
        <x:v>ME3-CHO-CLONE, ME3-CHO-BROOKS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ME3-CIN-FINALE</x:v>
      </x:c>
      <x:c r="B18" s="7" t="str">
        <x:v>Épilogues Extended Cut</x:v>
      </x:c>
      <x:c r="C18" s="15" t="str">
        <x:v>Défini</x:v>
      </x:c>
      <x:c r="D18" s="17" t="str">
        <x:v>Extrapolation</x:v>
      </x:c>
      <x:c r="E18" s="17" t="str">
        <x:v>P1</x:v>
      </x:c>
      <x:c r="F18" s="7" t="str">
        <x:v>Livrable original proposé : Épilogues Extended Cut.</x:v>
      </x:c>
      <x:c r="G18" s="7" t="str">
        <x:v>Assemblage à partir de choix final, version et grands états politiques ; index de plans vérifié sans déclarer un montage canon unique.</x:v>
      </x:c>
      <x:c r="H18" s="7" t="str">
        <x:v>Assemblage à partir de choix final, version et grands états politiques ; index de plans vérifié sans déclarer un montage canon unique.</x:v>
      </x:c>
      <x:c r="I18" s="7" t="str">
        <x:v>Terre, relais, Normandy et peuples.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me3/cinematics/finale ; rattacher les ressources et états cités à cet identifiant. Aucun fichier de jeu créé par ce catalogue.</x:v>
      </x:c>
      <x:c r="M18" s="7" t="str"/>
      <x:c r="N18" s="7" t="str">
        <x:v>Le livrable « Épilogues Extended Cut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bd9e75956330464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3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ME3-WPN-AVENGER</x:v>
      </x:c>
      <x:c r="B7" s="9" t="str">
        <x:v>M-8 Avenger</x:v>
      </x:c>
      <x:c r="C7" s="15" t="str">
        <x:v>Prototype</x:v>
      </x:c>
      <x:c r="D7" s="16" t="str">
        <x:v>Établi</x:v>
      </x:c>
      <x:c r="E7" s="16" t="str">
        <x:v>P1</x:v>
      </x:c>
      <x:c r="F7" s="9" t="str">
        <x:v>Fusil d’assaut.</x:v>
      </x:c>
      <x:c r="G7" s="9" t="str">
        <x:v>Arme témoin : rafale stable et coût ATB modéré proposé ; calibrer les autres profils par sa lisibilité.</x:v>
      </x:c>
      <x:c r="H7" s="9" t="str">
        <x:v>Arme témoin : rafale stable et coût ATB modéré proposé ; calibrer les autres profils par sa lisibilité.</x:v>
      </x:c>
      <x:c r="I7" s="9" t="str">
        <x:v>Carcasse Alliance compacte.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ME3-WPN-AVENGER ; contexte d’œuvre/segment et sélection de scène obligatoires.</x:v>
      </x:c>
      <x:c r="M7" s="9" t="str"/>
      <x:c r="N7" s="9" t="str">
        <x:v>Le livrable « M-8 Avenger » possède une scène ou un scénario de contrôle ; ses règles proposées, ses conditions et ses retours visuels sont vérifiables séparément.</x:v>
      </x:c>
      <x:c r="O7" s="9" t="str"/>
      <x:c r="P7" s="9" t="str">
        <x:v>M-8 Avenger</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ME3-WPN-VINDICATOR</x:v>
      </x:c>
      <x:c r="B8" s="7" t="str">
        <x:v>M-15 Vindicator</x:v>
      </x:c>
      <x:c r="C8" s="15" t="str">
        <x:v>Prototype</x:v>
      </x:c>
      <x:c r="D8" s="17" t="str">
        <x:v>Établi</x:v>
      </x:c>
      <x:c r="E8" s="17" t="str">
        <x:v>P1</x:v>
      </x:c>
      <x:c r="F8" s="7" t="str">
        <x:v>Fusil d’assaut.</x:v>
      </x:c>
      <x:c r="G8" s="7" t="str">
        <x:v>Rafale courte indivisible ; la file affiche le nombre de projectiles déjà résolus avant interruption.</x:v>
      </x:c>
      <x:c r="H8" s="7" t="str">
        <x:v>Rafale courte indivisible ; la file affiche le nombre de projectiles déjà résolus avant interruption.</x:v>
      </x:c>
      <x:c r="I8" s="7" t="str">
        <x:v>Fusil à cadence en salve.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ME3-WPN-VINDICATOR ; contexte d’œuvre/segment et sélection de scène obligatoires.</x:v>
      </x:c>
      <x:c r="M8" s="7" t="str"/>
      <x:c r="N8" s="7" t="str">
        <x:v>Le livrable « M-15 Vindicator » possède une scène ou un scénario de contrôle ; ses règles proposées, ses conditions et ses retours visuels sont vérifiables séparément.</x:v>
      </x:c>
      <x:c r="O8" s="7" t="str"/>
      <x:c r="P8" s="7" t="str">
        <x:v>M-15 Vindicator</x:v>
      </x:c>
      <x:c r="Q8" s="7" t="str">
        <x:v>ME3-SRC-EQUIP</x:v>
      </x:c>
      <x:c r="R8" s="7" t="str">
        <x:v>https://masseffect.fandom.com/wiki/Equipment_Guide_%28Mass_Effect_3%29</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ME3-WPN-MATTOCK</x:v>
      </x:c>
      <x:c r="B9" s="9" t="str">
        <x:v>M-96 Mattock</x:v>
      </x:c>
      <x:c r="C9" s="15" t="str">
        <x:v>Prototype</x:v>
      </x:c>
      <x:c r="D9" s="16" t="str">
        <x:v>Établi</x:v>
      </x:c>
      <x:c r="E9" s="16" t="str">
        <x:v>P1</x:v>
      </x:c>
      <x:c r="F9" s="9" t="str">
        <x:v>Fusil semi-automatique.</x:v>
      </x:c>
      <x:c r="G9" s="9" t="str">
        <x:v>Visée posée et dépense par coup ; garder choix entre deux cibles plutôt qu’une rafale imposée.</x:v>
      </x:c>
      <x:c r="H9" s="9" t="str">
        <x:v>Visée posée et dépense par coup ; garder choix entre deux cibles plutôt qu’une rafale imposée.</x:v>
      </x:c>
      <x:c r="I9" s="9" t="str">
        <x:v>Crosse longue et boîtier sombre.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ME3-WPN-MATTOCK ; contexte d’œuvre/segment et sélection de scène obligatoires.</x:v>
      </x:c>
      <x:c r="M9" s="9" t="str"/>
      <x:c r="N9" s="9" t="str">
        <x:v>Le livrable « M-96 Mattock » possède une scène ou un scénario de contrôle ; ses règles proposées, ses conditions et ses retours visuels sont vérifiables séparément.</x:v>
      </x:c>
      <x:c r="O9" s="9" t="str"/>
      <x:c r="P9" s="9" t="str">
        <x:v>M-96 Mattock</x:v>
      </x:c>
      <x:c r="Q9" s="9" t="str">
        <x:v>ME3-SRC-EQUIP</x:v>
      </x:c>
      <x:c r="R9" s="9" t="str">
        <x:v>https://masseffect.fandom.com/wiki/Equipment_Guide_%28Mass_Effect_3%29</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ME3-WPN-REVENANT</x:v>
      </x:c>
      <x:c r="B10" s="7" t="str">
        <x:v>M-76 Revenant</x:v>
      </x:c>
      <x:c r="C10" s="15" t="str">
        <x:v>Prototype</x:v>
      </x:c>
      <x:c r="D10" s="17" t="str">
        <x:v>Établi</x:v>
      </x:c>
      <x:c r="E10" s="17" t="str">
        <x:v>P1</x:v>
      </x:c>
      <x:c r="F10" s="7" t="str">
        <x:v>Fusil d’assaut lourd.</x:v>
      </x:c>
      <x:c r="G10" s="7" t="str">
        <x:v>Suppression prolongée avec stabilité croissante en couvert ; déplacement rompt l’engagement.</x:v>
      </x:c>
      <x:c r="H10" s="7" t="str">
        <x:v>Suppression prolongée avec stabilité croissante en couvert ; déplacement rompt l’engagement.</x:v>
      </x:c>
      <x:c r="I10" s="7" t="str">
        <x:v>Large canon et chargeur massif.</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ME3-WPN-REVENANT ; contexte d’œuvre/segment et sélection de scène obligatoires.</x:v>
      </x:c>
      <x:c r="M10" s="7" t="str"/>
      <x:c r="N10" s="7" t="str">
        <x:v>Le livrable « M-76 Revenant » possède une scène ou un scénario de contrôle ; ses règles proposées, ses conditions et ses retours visuels sont vérifiables séparément.</x:v>
      </x:c>
      <x:c r="O10" s="7" t="str"/>
      <x:c r="P10" s="7" t="str">
        <x:v>M-76 Revenant</x:v>
      </x:c>
      <x:c r="Q10" s="7" t="str">
        <x:v>ME3-SRC-EQUIP</x:v>
      </x:c>
      <x:c r="R10" s="7" t="str">
        <x:v>https://masseffect.fandom.com/wiki/Equipment_Guide_%28Mass_Effect_3%29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ME3-WPN-PHAESTON</x:v>
      </x:c>
      <x:c r="B11" s="9" t="str">
        <x:v>Phaeston</x:v>
      </x:c>
      <x:c r="C11" s="15" t="str">
        <x:v>Prototype</x:v>
      </x:c>
      <x:c r="D11" s="16" t="str">
        <x:v>Établi</x:v>
      </x:c>
      <x:c r="E11" s="16" t="str">
        <x:v>P1</x:v>
      </x:c>
      <x:c r="F11" s="9" t="str">
        <x:v>Fusil turien.</x:v>
      </x:c>
      <x:c r="G11" s="9" t="str">
        <x:v>Rafale régulière avec silhouette et son propres ; aucune égalité automatique avec fusil humain.</x:v>
      </x:c>
      <x:c r="H11" s="9" t="str">
        <x:v>Rafale régulière avec silhouette et son propres ; aucune égalité automatique avec fusil humain.</x:v>
      </x:c>
      <x:c r="I11" s="9" t="str">
        <x:v>Carcasse angulaire turienne.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ME3-WPN-PHAESTON ; contexte d’œuvre/segment et sélection de scène obligatoires.</x:v>
      </x:c>
      <x:c r="M11" s="9" t="str"/>
      <x:c r="N11" s="9" t="str">
        <x:v>Le livrable « Phaeston » possède une scène ou un scénario de contrôle ; ses règles proposées, ses conditions et ses retours visuels sont vérifiables séparément.</x:v>
      </x:c>
      <x:c r="O11" s="9" t="str"/>
      <x:c r="P11" s="9" t="str">
        <x:v>Phaeston</x:v>
      </x:c>
      <x:c r="Q11" s="9" t="str">
        <x:v>ME3-SRC-PHAESTON</x:v>
      </x:c>
      <x:c r="R11" s="9" t="str">
        <x:v>https://masseffect.fandom.com/wiki/Phaeston</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ME3-WPN-FALCON</x:v>
      </x:c>
      <x:c r="B12" s="7" t="str">
        <x:v>M-37 Falcon</x:v>
      </x:c>
      <x:c r="C12" s="15" t="str">
        <x:v>Défini</x:v>
      </x:c>
      <x:c r="D12" s="17" t="str">
        <x:v>Établi</x:v>
      </x:c>
      <x:c r="E12" s="17" t="str">
        <x:v>P1</x:v>
      </x:c>
      <x:c r="F12" s="7" t="str">
        <x:v>Lance-grenades classé fusil.</x:v>
      </x:c>
      <x:c r="G12" s="7" t="str">
        <x:v>Arc de tir et zone d’impact visibles ; rebond proposé limité aux surfaces compatibles.</x:v>
      </x:c>
      <x:c r="H12" s="7" t="str">
        <x:v>Arc de tir et zone d’impact visibles ; rebond proposé limité aux surfaces compatibles.</x:v>
      </x:c>
      <x:c r="I12" s="7" t="str">
        <x:v>Canon de projectile large.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me3/weapons/falcon ; rattacher les ressources et états cités à cet identifiant. Aucun fichier de jeu créé par ce catalogue.</x:v>
      </x:c>
      <x:c r="M12" s="7" t="str"/>
      <x:c r="N12" s="7" t="str">
        <x:v>Le livrable « M-37 Falcon » possède une scène ou un scénario de contrôle ; ses règles proposées, ses conditions et ses retours visuels sont vérifiables séparément.</x:v>
      </x:c>
      <x:c r="O12" s="7" t="str"/>
      <x:c r="P12" s="7" t="str">
        <x:v>M-37 Falcon</x:v>
      </x:c>
      <x:c r="Q12" s="7" t="str">
        <x:v>ME3-SRC-EQUIP</x:v>
      </x:c>
      <x:c r="R12" s="7" t="str">
        <x:v>https://masseffect.fandom.com/wiki/Equipment_Guide_%28Mass_Effect_3%29</x:v>
      </x:c>
      <x:c r="S12" s="7" t="str">
        <x:v>Spécification à réaliser. Les champs adaptation, gameplay, visual, animation, audio et implementation décrivent le fan game ; ils ne donnent pas des caractéristiques officielles de l’œuvre.</x:v>
      </x:c>
    </x:row>
    <x:row r="13" ht="68" customHeight="1">
      <x:c r="A13" s="18" t="str">
        <x:v>ME3-WPN-SABER</x:v>
      </x:c>
      <x:c r="B13" s="9" t="str">
        <x:v>M-99 Saber</x:v>
      </x:c>
      <x:c r="C13" s="15" t="str">
        <x:v>Prototype</x:v>
      </x:c>
      <x:c r="D13" s="16" t="str">
        <x:v>Établi</x:v>
      </x:c>
      <x:c r="E13" s="16" t="str">
        <x:v>P1</x:v>
      </x:c>
      <x:c r="F13" s="9" t="str">
        <x:v>Fusil lourd.</x:v>
      </x:c>
      <x:c r="G13" s="9" t="str">
        <x:v>Tir lent de précision ; longue récupération expose le tireur si ordre donné hors couvert.</x:v>
      </x:c>
      <x:c r="H13" s="9" t="str">
        <x:v>Tir lent de précision ; longue récupération expose le tireur si ordre donné hors couvert.</x:v>
      </x:c>
      <x:c r="I13" s="9" t="str">
        <x:v>Fusil massif à long canon.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ME3-WPN-SABER ; contexte d’œuvre/segment et sélection de scène obligatoires.</x:v>
      </x:c>
      <x:c r="M13" s="9" t="str"/>
      <x:c r="N13" s="9" t="str">
        <x:v>Le livrable « M-99 Saber » possède une scène ou un scénario de contrôle ; ses règles proposées, ses conditions et ses retours visuels sont vérifiables séparément.</x:v>
      </x:c>
      <x:c r="O13" s="9" t="str"/>
      <x:c r="P13" s="9" t="str">
        <x:v>M-99 Saber</x:v>
      </x:c>
      <x:c r="Q13" s="9" t="str">
        <x:v>ME3-SRC-SABER</x:v>
      </x:c>
      <x:c r="R13" s="9" t="str">
        <x:v>https://masseffect.fandom.com/wiki/M-99_Saber</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ME3-WPN-PARTICLE</x:v>
      </x:c>
      <x:c r="B14" s="7" t="str">
        <x:v>Particle Rifle</x:v>
      </x:c>
      <x:c r="C14" s="15" t="str">
        <x:v>Défini</x:v>
      </x:c>
      <x:c r="D14" s="17" t="str">
        <x:v>Établi</x:v>
      </x:c>
      <x:c r="E14" s="17" t="str">
        <x:v>P1</x:v>
      </x:c>
      <x:c r="F14" s="7" t="str">
        <x:v>Arme prothéenne de From Ashes.</x:v>
      </x:c>
      <x:c r="G14" s="7" t="str">
        <x:v>Canalisation à jauge thermique ; relâcher avant surchauffe économise la reprise, sans clip inventé.</x:v>
      </x:c>
      <x:c r="H14" s="7" t="str">
        <x:v>Canalisation à jauge thermique ; relâcher avant surchauffe économise la reprise, sans clip inventé.</x:v>
      </x:c>
      <x:c r="I14" s="7" t="str">
        <x:v>Rayon continu et arme prothéenne.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me3/weapons/particle ; rattacher les ressources et états cités à cet identifiant. Aucun fichier de jeu créé par ce catalogue.</x:v>
      </x:c>
      <x:c r="M14" s="7" t="str">
        <x:v>DLC / Legendary.</x:v>
      </x:c>
      <x:c r="N14" s="7" t="str">
        <x:v>Le livrable « Particle Rifle » possède une scène ou un scénario de contrôle ; ses règles proposées, ses conditions et ses retours visuels sont vérifiables séparément.</x:v>
      </x:c>
      <x:c r="O14" s="7" t="str"/>
      <x:c r="P14" s="7" t="str">
        <x:v>Particle Rifle</x:v>
      </x:c>
      <x:c r="Q14" s="7" t="str">
        <x:v>ME3-SRC-PARTICLE</x:v>
      </x:c>
      <x:c r="R14" s="7" t="str">
        <x:v>https://masseffect.fandom.com/wiki/Particle_Rifle</x:v>
      </x:c>
      <x:c r="S14" s="7" t="str">
        <x:v>Spécification à réaliser. Les champs adaptation, gameplay, visual, animation, audio et implementation décrivent le fan game ; ils ne donnent pas des caractéristiques officielles de l’œuvre.</x:v>
      </x:c>
    </x:row>
    <x:row r="15" ht="68" customHeight="1">
      <x:c r="A15" s="18" t="str">
        <x:v>ME3-WPN-CHAKRAM</x:v>
      </x:c>
      <x:c r="B15" s="9" t="str">
        <x:v>Chakram Launcher</x:v>
      </x:c>
      <x:c r="C15" s="15" t="str">
        <x:v>Défini</x:v>
      </x:c>
      <x:c r="D15" s="16" t="str">
        <x:v>Établi</x:v>
      </x:c>
      <x:c r="E15" s="16" t="str">
        <x:v>P1</x:v>
      </x:c>
      <x:c r="F15" s="9" t="str">
        <x:v>Arme additionnelle de ME3.</x:v>
      </x:c>
      <x:c r="G15" s="9" t="str">
        <x:v>Préparation de projectile visible ; variante de charge proposée explicite, collisions de disque testées sur arêtes.</x:v>
      </x:c>
      <x:c r="H15" s="9" t="str">
        <x:v>Préparation de projectile visible ; variante de charge proposée explicite, collisions de disque testées sur arêtes.</x:v>
      </x:c>
      <x:c r="I15" s="9" t="str">
        <x:v>Disque énergétique et lanceur compact.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me3/weapons/chakram ; rattacher les ressources et états cités à cet identifiant. Aucun fichier de jeu créé par ce catalogue.</x:v>
      </x:c>
      <x:c r="M15" s="9" t="str">
        <x:v>Disponibilité selon édition et pack.</x:v>
      </x:c>
      <x:c r="N15" s="9" t="str">
        <x:v>Le livrable « Chakram Launcher » possède une scène ou un scénario de contrôle ; ses règles proposées, ses conditions et ses retours visuels sont vérifiables séparément.</x:v>
      </x:c>
      <x:c r="O15" s="9" t="str"/>
      <x:c r="P15" s="9" t="str">
        <x:v>Chakram Launcher</x:v>
      </x:c>
      <x:c r="Q15" s="9" t="str">
        <x:v>ME3-SRC-CHAKRAM</x:v>
      </x:c>
      <x:c r="R15" s="9" t="str">
        <x:v>https://masseffect.fandom.com/wiki/Chakram_Launcher</x:v>
      </x:c>
      <x:c r="S15" s="9" t="str">
        <x:v>Spécification à réaliser. Les champs adaptation, gameplay, visual, animation, audio et implementation décrivent le fan game ; ils ne donnent pas des caractéristiques officielles de l’œuvre.</x:v>
      </x:c>
    </x:row>
    <x:row r="16" ht="68" customHeight="1">
      <x:c r="A16" s="19" t="str">
        <x:v>ME3-WPN-HARRIER</x:v>
      </x:c>
      <x:c r="B16" s="7" t="str">
        <x:v>Cerberus Harrier</x:v>
      </x:c>
      <x:c r="C16" s="15" t="str">
        <x:v>Défini</x:v>
      </x:c>
      <x:c r="D16" s="17" t="str">
        <x:v>Établi</x:v>
      </x:c>
      <x:c r="E16" s="17" t="str">
        <x:v>P1</x:v>
      </x:c>
      <x:c r="F16" s="7" t="str">
        <x:v>Fusil de l’arsenal étendu.</x:v>
      </x:c>
      <x:c r="G16" s="7" t="str">
        <x:v>Rafale rapide et réserve courte proposée ; rendement affiché sans imposer un classement absolu.</x:v>
      </x:c>
      <x:c r="H16" s="7" t="str">
        <x:v>Rafale rapide et réserve courte proposée ; rendement affiché sans imposer un classement absolu.</x:v>
      </x:c>
      <x:c r="I16" s="7" t="str">
        <x:v>Marquages Cerberus.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me3/weapons/harrier ; rattacher les ressources et états cités à cet identifiant. Aucun fichier de jeu créé par ce catalogue.</x:v>
      </x:c>
      <x:c r="M16" s="7" t="str">
        <x:v>Pack et acquisition selon édition.</x:v>
      </x:c>
      <x:c r="N16" s="7" t="str">
        <x:v>Le livrable « Cerberus Harrier » possède une scène ou un scénario de contrôle ; ses règles proposées, ses conditions et ses retours visuels sont vérifiables séparément.</x:v>
      </x:c>
      <x:c r="O16" s="7" t="str"/>
      <x:c r="P16" s="7" t="str">
        <x:v>Cerberus Harrier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ME3-WPN-TYPHOON</x:v>
      </x:c>
      <x:c r="B17" s="9" t="str">
        <x:v>N7 Typhoon</x:v>
      </x:c>
      <x:c r="C17" s="15" t="str">
        <x:v>Défini</x:v>
      </x:c>
      <x:c r="D17" s="16" t="str">
        <x:v>Établi</x:v>
      </x:c>
      <x:c r="E17" s="16" t="str">
        <x:v>P1</x:v>
      </x:c>
      <x:c r="F17" s="9" t="str">
        <x:v>Fusil de l’arsenal étendu.</x:v>
      </x:c>
      <x:c r="G17" s="9" t="str">
        <x:v>Montée en régime puis suppression ; annulation précoce autorisée avec coût indiqué.</x:v>
      </x:c>
      <x:c r="H17" s="9" t="str">
        <x:v>Montée en régime puis suppression ; annulation précoce autorisée avec coût indiqué.</x:v>
      </x:c>
      <x:c r="I17" s="9" t="str">
        <x:v>Arme lourde N7 et protection frontale.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me3/weapons/typhoon ; rattacher les ressources et états cités à cet identifiant. Aucun fichier de jeu créé par ce catalogue.</x:v>
      </x:c>
      <x:c r="M17" s="9" t="str">
        <x:v>Pack / édition à vérifier.</x:v>
      </x:c>
      <x:c r="N17" s="9" t="str">
        <x:v>Le livrable « N7 Typhoon » possède une scène ou un scénario de contrôle ; ses règles proposées, ses conditions et ses retours visuels sont vérifiables séparément.</x:v>
      </x:c>
      <x:c r="O17" s="9" t="str"/>
      <x:c r="P17" s="9" t="str">
        <x:v>N7 Typhoon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ME3-WPN-VALKYRIE</x:v>
      </x:c>
      <x:c r="B18" s="7" t="str">
        <x:v>N7 Valkyrie</x:v>
      </x:c>
      <x:c r="C18" s="15" t="str">
        <x:v>Défini</x:v>
      </x:c>
      <x:c r="D18" s="17" t="str">
        <x:v>Établi</x:v>
      </x:c>
      <x:c r="E18" s="17" t="str">
        <x:v>P1</x:v>
      </x:c>
      <x:c r="F18" s="7" t="str">
        <x:v>Fusil N7.</x:v>
      </x:c>
      <x:c r="G18" s="7" t="str">
        <x:v>Double impulsion proposée et stabilité de couverture ; les bonus ne doublent pas le coût à chaque projectile.</x:v>
      </x:c>
      <x:c r="H18" s="7" t="str">
        <x:v>Double impulsion proposée et stabilité de couverture ; les bonus ne doublent pas le coût à chaque projectile.</x:v>
      </x:c>
      <x:c r="I18" s="7" t="str">
        <x:v>Fusil N7 distinct du Mattock.</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me3/weapons/valkyrie ; rattacher les ressources et états cités à cet identifiant. Aucun fichier de jeu créé par ce catalogue.</x:v>
      </x:c>
      <x:c r="M18" s="7" t="str">
        <x:v>Pack / édition à vérifier.</x:v>
      </x:c>
      <x:c r="N18" s="7" t="str">
        <x:v>Le livrable « N7 Valkyrie » possède une scène ou un scénario de contrôle ; ses règles proposées, ses conditions et ses retours visuels sont vérifiables séparément.</x:v>
      </x:c>
      <x:c r="O18" s="7" t="str"/>
      <x:c r="P18" s="7" t="str">
        <x:v>N7 Valkyrie</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ME3-WPN-ADAS</x:v>
      </x:c>
      <x:c r="B19" s="9" t="str">
        <x:v>Adas Anti-Synthetic Rifle</x:v>
      </x:c>
      <x:c r="C19" s="15" t="str">
        <x:v>Défini</x:v>
      </x:c>
      <x:c r="D19" s="16" t="str">
        <x:v>Établi</x:v>
      </x:c>
      <x:c r="E19" s="16" t="str">
        <x:v>P1</x:v>
      </x:c>
      <x:c r="F19" s="9" t="str">
        <x:v>Fusil de l’arsenal étendu.</x:v>
      </x:c>
      <x:c r="G19" s="9" t="str">
        <x:v>Projectile énergétique adapté aux protections techniques ; indiquer règles de résistance avant tir.</x:v>
      </x:c>
      <x:c r="H19" s="9" t="str">
        <x:v>Projectile énergétique adapté aux protections techniques ; indiquer règles de résistance avant tir.</x:v>
      </x:c>
      <x:c r="I19" s="9" t="str">
        <x:v>Arme compacte et arcs lumineux.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me3/weapons/adas ; rattacher les ressources et états cités à cet identifiant. Aucun fichier de jeu créé par ce catalogue.</x:v>
      </x:c>
      <x:c r="M19" s="9" t="str">
        <x:v>Pack / édition à vérifier.</x:v>
      </x:c>
      <x:c r="N19" s="9" t="str">
        <x:v>Le livrable « Adas Anti-Synthetic Rifle » possède une scène ou un scénario de contrôle ; ses règles proposées, ses conditions et ses retours visuels sont vérifiables séparément.</x:v>
      </x:c>
      <x:c r="O19" s="9" t="str"/>
      <x:c r="P19" s="9" t="str">
        <x:v>Adas Anti-Synthetic Rifle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ME3-WPN-LANCER</x:v>
      </x:c>
      <x:c r="B20" s="7" t="str">
        <x:v>M-7 Lancer</x:v>
      </x:c>
      <x:c r="C20" s="15" t="str">
        <x:v>Défini</x:v>
      </x:c>
      <x:c r="D20" s="17" t="str">
        <x:v>Établi</x:v>
      </x:c>
      <x:c r="E20" s="17" t="str">
        <x:v>P1</x:v>
      </x:c>
      <x:c r="F20" s="7" t="str">
        <x:v>Arme du DLC Citadel.</x:v>
      </x:c>
      <x:c r="G20" s="7" t="str">
        <x:v>Cycle de chaleur avec récupération ; tutoriel sépare réserve thermique et clips des autres fusils.</x:v>
      </x:c>
      <x:c r="H20" s="7" t="str">
        <x:v>Cycle de chaleur avec récupération ; tutoriel sépare réserve thermique et clips des autres fusils.</x:v>
      </x:c>
      <x:c r="I20" s="7" t="str">
        <x:v>Fusil ancien aux marques N7.</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me3/weapons/lancer ; rattacher les ressources et états cités à cet identifiant. Aucun fichier de jeu créé par ce catalogue.</x:v>
      </x:c>
      <x:c r="M20" s="7" t="str">
        <x:v>DLC Citadel.</x:v>
      </x:c>
      <x:c r="N20" s="7" t="str">
        <x:v>Le livrable « M-7 Lancer » possède une scène ou un scénario de contrôle ; ses règles proposées, ses conditions et ses retours visuels sont vérifiables séparément.</x:v>
      </x:c>
      <x:c r="O20" s="7" t="str"/>
      <x:c r="P20" s="7" t="str">
        <x:v>M-7 Lancer</x:v>
      </x:c>
      <x:c r="Q20" s="7" t="str">
        <x:v>ME3-SRC-SUPPRESSOR</x:v>
      </x:c>
      <x:c r="R20" s="7" t="str">
        <x:v>https://masseffect.fandom.com/wiki/M-11_Suppressor</x:v>
      </x:c>
      <x:c r="S20" s="7" t="str">
        <x:v>Spécification à réaliser. Les champs adaptation, gameplay, visual, animation, audio et implementation décrivent le fan game ; ils ne donnent pas des caractéristiques officielles de l’œuvre.</x:v>
      </x:c>
    </x:row>
    <x:row r="21" ht="68" customHeight="1">
      <x:c r="A21" s="18" t="str">
        <x:v>ME3-WPN-GETH-RIFLE</x:v>
      </x:c>
      <x:c r="B21" s="9" t="str">
        <x:v>Geth Pulse Rifle</x:v>
      </x:c>
      <x:c r="C21" s="15" t="str">
        <x:v>Prototype</x:v>
      </x:c>
      <x:c r="D21" s="16" t="str">
        <x:v>Établi</x:v>
      </x:c>
      <x:c r="E21" s="16" t="str">
        <x:v>P1</x:v>
      </x:c>
      <x:c r="F21" s="9" t="str">
        <x:v>Fusil geth.</x:v>
      </x:c>
      <x:c r="G21" s="9" t="str">
        <x:v>Projectiles rapides et lecture synthétique ; audio distinct du Prime pour ne pas confondre ami et ennemi.</x:v>
      </x:c>
      <x:c r="H21" s="9" t="str">
        <x:v>Projectiles rapides et lecture synthétique ; audio distinct du Prime pour ne pas confondre ami et ennemi.</x:v>
      </x:c>
      <x:c r="I21" s="9" t="str">
        <x:v>Carcasse courbe et lumière bleue.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Chroniques : src/universe-equipment.js, src/chronicles.js, src/combat.js. Identifiant runtime ME3-WPN-GETH-RIFLE ; contexte d’œuvre/segment et sélection de scène obligatoires.</x:v>
      </x:c>
      <x:c r="M21" s="9" t="str"/>
      <x:c r="N21" s="9" t="str">
        <x:v>Le livrable « Geth Pulse Rifle » possède une scène ou un scénario de contrôle ; ses règles proposées, ses conditions et ses retours visuels sont vérifiables séparément.</x:v>
      </x:c>
      <x:c r="O21" s="9" t="str"/>
      <x:c r="P21" s="9" t="str">
        <x:v>Geth Pulse Rifle</x:v>
      </x:c>
      <x:c r="Q21" s="9" t="str">
        <x:v>ME3-SRC-EQUIP</x:v>
      </x:c>
      <x:c r="R21" s="9" t="str">
        <x:v>https://masseffect.fandom.com/wiki/Equipment_Guide_%28Mass_Effect_3%29</x:v>
      </x:c>
      <x:c r="S2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ME3-WPN-PREDATOR</x:v>
      </x:c>
      <x:c r="B22" s="7" t="str">
        <x:v>M-3 Predator</x:v>
      </x:c>
      <x:c r="C22" s="15" t="str">
        <x:v>Prototype</x:v>
      </x:c>
      <x:c r="D22" s="17" t="str">
        <x:v>Établi</x:v>
      </x:c>
      <x:c r="E22" s="17" t="str">
        <x:v>P1</x:v>
      </x:c>
      <x:c r="F22" s="7" t="str">
        <x:v>Pistolet.</x:v>
      </x:c>
      <x:c r="G22" s="7" t="str">
        <x:v>Arme légère de secours : tir court compatible avec récupération rapide des pouvoirs proposée.</x:v>
      </x:c>
      <x:c r="H22" s="7" t="str">
        <x:v>Arme légère de secours : tir court compatible avec récupération rapide des pouvoirs proposée.</x:v>
      </x:c>
      <x:c r="I22" s="7" t="str">
        <x:v>Pistolet compact noir et blanc.</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Chroniques : src/universe-equipment.js, src/chronicles.js, src/combat.js. Identifiant runtime ME3-WPN-PREDATOR ; contexte d’œuvre/segment et sélection de scène obligatoires.</x:v>
      </x:c>
      <x:c r="M22" s="7" t="str"/>
      <x:c r="N22" s="7" t="str">
        <x:v>Le livrable « M-3 Predator » possède une scène ou un scénario de contrôle ; ses règles proposées, ses conditions et ses retours visuels sont vérifiables séparément.</x:v>
      </x:c>
      <x:c r="O22" s="7" t="str"/>
      <x:c r="P22" s="7" t="str">
        <x:v>M-3 Predator</x:v>
      </x:c>
      <x:c r="Q22" s="7" t="str">
        <x:v>ME3-SRC-EQUIP</x:v>
      </x:c>
      <x:c r="R22" s="7" t="str">
        <x:v>https://masseffect.fandom.com/wiki/Equipment_Guide_%28Mass_Effect_3%29</x:v>
      </x:c>
      <x:c r="S2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3" ht="68" customHeight="1">
      <x:c r="A23" s="18" t="str">
        <x:v>ME3-WPN-PHALANX</x:v>
      </x:c>
      <x:c r="B23" s="9" t="str">
        <x:v>M-5 Phalanx</x:v>
      </x:c>
      <x:c r="C23" s="15" t="str">
        <x:v>Prototype</x:v>
      </x:c>
      <x:c r="D23" s="16" t="str">
        <x:v>Établi</x:v>
      </x:c>
      <x:c r="E23" s="16" t="str">
        <x:v>P1</x:v>
      </x:c>
      <x:c r="F23" s="9" t="str">
        <x:v>Pistolet lourd.</x:v>
      </x:c>
      <x:c r="G23" s="9" t="str">
        <x:v>Tir posé à silhouette intermédiaire ; ne pas recopier sans vérification le laser de sa version ME2.</x:v>
      </x:c>
      <x:c r="H23" s="9" t="str">
        <x:v>Tir posé à silhouette intermédiaire ; ne pas recopier sans vérification le laser de sa version ME2.</x:v>
      </x:c>
      <x:c r="I23" s="9" t="str">
        <x:v>Pistolet militaire trapu.</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Prototype Chroniques : src/universe-equipment.js, src/chronicles.js, src/combat.js. Identifiant runtime ME3-WPN-PHALANX ; contexte d’œuvre/segment et sélection de scène obligatoires.</x:v>
      </x:c>
      <x:c r="M23" s="9" t="str"/>
      <x:c r="N23" s="9" t="str">
        <x:v>Le livrable « M-5 Phalanx » possède une scène ou un scénario de contrôle ; ses règles proposées, ses conditions et ses retours visuels sont vérifiables séparément.</x:v>
      </x:c>
      <x:c r="O23" s="9" t="str"/>
      <x:c r="P23" s="9" t="str">
        <x:v>M-5 Phalanx</x:v>
      </x:c>
      <x:c r="Q23" s="9" t="str">
        <x:v>ME3-SRC-EQUIP</x:v>
      </x:c>
      <x:c r="R23" s="9" t="str">
        <x:v>https://masseffect.fandom.com/wiki/Equipment_Guide_%28Mass_Effect_3%29</x:v>
      </x:c>
      <x:c r="S2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ME3-WPN-CARNIFEX</x:v>
      </x:c>
      <x:c r="B24" s="7" t="str">
        <x:v>M-6 Carnifex</x:v>
      </x:c>
      <x:c r="C24" s="15" t="str">
        <x:v>Prototype</x:v>
      </x:c>
      <x:c r="D24" s="17" t="str">
        <x:v>Établi</x:v>
      </x:c>
      <x:c r="E24" s="17" t="str">
        <x:v>P1</x:v>
      </x:c>
      <x:c r="F24" s="7" t="str">
        <x:v>Pistolet lourd.</x:v>
      </x:c>
      <x:c r="G24" s="7" t="str">
        <x:v>Impact ponctuel et recul prononcé ; intérêt de coup d’arrêt contre ennemi déjà préparé.</x:v>
      </x:c>
      <x:c r="H24" s="7" t="str">
        <x:v>Impact ponctuel et recul prononcé ; intérêt de coup d’arrêt contre ennemi déjà préparé.</x:v>
      </x:c>
      <x:c r="I24" s="7" t="str">
        <x:v>Grande carcasse grise.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ME3-WPN-CARNIFEX ; contexte d’œuvre/segment et sélection de scène obligatoires.</x:v>
      </x:c>
      <x:c r="M24" s="7" t="str"/>
      <x:c r="N24" s="7" t="str">
        <x:v>Le livrable « M-6 Carnifex » possède une scène ou un scénario de contrôle ; ses règles proposées, ses conditions et ses retours visuels sont vérifiables séparément.</x:v>
      </x:c>
      <x:c r="O24" s="7" t="str"/>
      <x:c r="P24" s="7" t="str">
        <x:v>M-6 Carnifex</x:v>
      </x:c>
      <x:c r="Q24" s="7" t="str">
        <x:v>ME3-SRC-EQUIP</x:v>
      </x:c>
      <x:c r="R24" s="7" t="str">
        <x:v>https://masseffect.fandom.com/wiki/Equipment_Guide_%28Mass_Effect_3%29</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ME3-WPN-PALADIN</x:v>
      </x:c>
      <x:c r="B25" s="9" t="str">
        <x:v>M-77 Paladin</x:v>
      </x:c>
      <x:c r="C25" s="15" t="str">
        <x:v>Prototype</x:v>
      </x:c>
      <x:c r="D25" s="16" t="str">
        <x:v>Établi</x:v>
      </x:c>
      <x:c r="E25" s="16" t="str">
        <x:v>P1</x:v>
      </x:c>
      <x:c r="F25" s="9" t="str">
        <x:v>Pistolet lourd.</x:v>
      </x:c>
      <x:c r="G25" s="9" t="str">
        <x:v>Puissance ponctuelle avec réserve réduite proposée ; indication du nombre de tirs restants avant ordre.</x:v>
      </x:c>
      <x:c r="H25" s="9" t="str">
        <x:v>Puissance ponctuelle avec réserve réduite proposée ; indication du nombre de tirs restants avant ordre.</x:v>
      </x:c>
      <x:c r="I25" s="9" t="str">
        <x:v>Profil de gros pistolet.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ME3-WPN-PALADIN ; contexte d’œuvre/segment et sélection de scène obligatoires.</x:v>
      </x:c>
      <x:c r="M25" s="9" t="str"/>
      <x:c r="N25" s="9" t="str">
        <x:v>Le livrable « M-77 Paladin » possède une scène ou un scénario de contrôle ; ses règles proposées, ses conditions et ses retours visuels sont vérifiables séparément.</x:v>
      </x:c>
      <x:c r="O25" s="9" t="str"/>
      <x:c r="P25" s="9" t="str">
        <x:v>M-77 Paladin</x:v>
      </x:c>
      <x:c r="Q25" s="9" t="str">
        <x:v>ME3-SRC-EQUIP</x:v>
      </x:c>
      <x:c r="R25" s="9" t="str">
        <x:v>https://masseffect.fandom.com/wiki/Equipment_Guide_%28Mass_Effect_3%29</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ME3-WPN-TALON</x:v>
      </x:c>
      <x:c r="B26" s="7" t="str">
        <x:v>M-358 Talon</x:v>
      </x:c>
      <x:c r="C26" s="15" t="str">
        <x:v>Prototype</x:v>
      </x:c>
      <x:c r="D26" s="17" t="str">
        <x:v>Établi</x:v>
      </x:c>
      <x:c r="E26" s="17" t="str">
        <x:v>P1</x:v>
      </x:c>
      <x:c r="F26" s="7" t="str">
        <x:v>Pistolet à dispersion.</x:v>
      </x:c>
      <x:c r="G26" s="7" t="str">
        <x:v>Cône court avec aperçu des cibles touchées ; éviter une fausse promesse de tir de sniper.</x:v>
      </x:c>
      <x:c r="H26" s="7" t="str">
        <x:v>Cône court avec aperçu des cibles touchées ; éviter une fausse promesse de tir de sniper.</x:v>
      </x:c>
      <x:c r="I26" s="7" t="str">
        <x:v>Canon court et silhouette massive.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Prototype Chroniques : src/universe-equipment.js, src/chronicles.js, src/combat.js. Identifiant runtime ME3-WPN-TALON ; contexte d’œuvre/segment et sélection de scène obligatoires.</x:v>
      </x:c>
      <x:c r="M26" s="7" t="str"/>
      <x:c r="N26" s="7" t="str">
        <x:v>Le livrable « M-358 Talon » possède une scène ou un scénario de contrôle ; ses règles proposées, ses conditions et ses retours visuels sont vérifiables séparément.</x:v>
      </x:c>
      <x:c r="O26" s="7" t="str"/>
      <x:c r="P26" s="7" t="str">
        <x:v>M-358 Talon</x:v>
      </x:c>
      <x:c r="Q26" s="7" t="str">
        <x:v>ME3-SRC-EQUIP</x:v>
      </x:c>
      <x:c r="R26" s="7" t="str">
        <x:v>https://masseffect.fandom.com/wiki/Equipment_Guide_%28Mass_Effect_3%29</x:v>
      </x:c>
      <x:c r="S2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68" customHeight="1">
      <x:c r="A27" s="18" t="str">
        <x:v>ME3-WPN-SCORPION</x:v>
      </x:c>
      <x:c r="B27" s="9" t="str">
        <x:v>Scorpion</x:v>
      </x:c>
      <x:c r="C27" s="15" t="str">
        <x:v>Défini</x:v>
      </x:c>
      <x:c r="D27" s="16" t="str">
        <x:v>Établi</x:v>
      </x:c>
      <x:c r="E27" s="16" t="str">
        <x:v>P1</x:v>
      </x:c>
      <x:c r="F27" s="9" t="str">
        <x:v>Pistolet à projectile explosif.</x:v>
      </x:c>
      <x:c r="G27" s="9" t="str">
        <x:v>Charge adhésive puis détonation différée ; marquer cibles et sols sans doubler la zone après déplacement.</x:v>
      </x:c>
      <x:c r="H27" s="9" t="str">
        <x:v>Charge adhésive puis détonation différée ; marquer cibles et sols sans doubler la zone après déplacement.</x:v>
      </x:c>
      <x:c r="I27" s="9" t="str">
        <x:v>Projectile collant lumineux.</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me3/weapons/scorpion ; rattacher les ressources et états cités à cet identifiant. Aucun fichier de jeu créé par ce catalogue.</x:v>
      </x:c>
      <x:c r="M27" s="9" t="str"/>
      <x:c r="N27" s="9" t="str">
        <x:v>Le livrable « Scorpion » possède une scène ou un scénario de contrôle ; ses règles proposées, ses conditions et ses retours visuels sont vérifiables séparément.</x:v>
      </x:c>
      <x:c r="O27" s="9" t="str"/>
      <x:c r="P27" s="9" t="str">
        <x:v>Scorpion</x:v>
      </x:c>
      <x:c r="Q27" s="9" t="str">
        <x:v>ME3-SRC-EQUIP</x:v>
      </x:c>
      <x:c r="R27" s="9" t="str">
        <x:v>https://masseffect.fandom.com/wiki/Equipment_Guide_%28Mass_Effect_3%29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ME3-WPN-ARC</x:v>
      </x:c>
      <x:c r="B28" s="7" t="str">
        <x:v>Arc Pistol</x:v>
      </x:c>
      <x:c r="C28" s="15" t="str">
        <x:v>Défini</x:v>
      </x:c>
      <x:c r="D28" s="17" t="str">
        <x:v>Établi</x:v>
      </x:c>
      <x:c r="E28" s="17" t="str">
        <x:v>P1</x:v>
      </x:c>
      <x:c r="F28" s="7" t="str">
        <x:v>Pistolet énergétique.</x:v>
      </x:c>
      <x:c r="G28" s="7" t="str">
        <x:v>Choisir impulsion ou charge proposée ; déplacement pendant préparation peut annuler sans tir fantôme.</x:v>
      </x:c>
      <x:c r="H28" s="7" t="str">
        <x:v>Choisir impulsion ou charge proposée ; déplacement pendant préparation peut annuler sans tir fantôme.</x:v>
      </x:c>
      <x:c r="I28" s="7" t="str">
        <x:v>Arme électrique et chambre lumineuse.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me3/weapons/arc ; rattacher les ressources et états cités à cet identifiant. Aucun fichier de jeu créé par ce catalogue.</x:v>
      </x:c>
      <x:c r="M28" s="7" t="str"/>
      <x:c r="N28" s="7" t="str">
        <x:v>Le livrable « Arc Pistol » possède une scène ou un scénario de contrôle ; ses règles proposées, ses conditions et ses retours visuels sont vérifiables séparément.</x:v>
      </x:c>
      <x:c r="O28" s="7" t="str"/>
      <x:c r="P28" s="7" t="str">
        <x:v>Arc Pistol</x:v>
      </x:c>
      <x:c r="Q28" s="7" t="str">
        <x:v>ME3-SRC-EQUIP</x:v>
      </x:c>
      <x:c r="R28" s="7" t="str">
        <x:v>https://masseffect.fandom.com/wiki/Equipment_Guide_%28Mass_Effect_3%29</x:v>
      </x:c>
      <x:c r="S28" s="7" t="str">
        <x:v>Spécification à réaliser. Les champs adaptation, gameplay, visual, animation, audio et implementation décrivent le fan game ; ils ne donnent pas des caractéristiques officielles de l’œuvre.</x:v>
      </x:c>
    </x:row>
    <x:row r="29" ht="68" customHeight="1">
      <x:c r="A29" s="18" t="str">
        <x:v>ME3-WPN-ACOLYTE</x:v>
      </x:c>
      <x:c r="B29" s="9" t="str">
        <x:v>Acolyte</x:v>
      </x:c>
      <x:c r="C29" s="15" t="str">
        <x:v>Défini</x:v>
      </x:c>
      <x:c r="D29" s="16" t="str">
        <x:v>Établi</x:v>
      </x:c>
      <x:c r="E29" s="16" t="str">
        <x:v>P1</x:v>
      </x:c>
      <x:c r="F29" s="9" t="str">
        <x:v>Arme de l’arsenal étendu.</x:v>
      </x:c>
      <x:c r="G29" s="9" t="str">
        <x:v>Tir préparé de zone anti-protection ; rebond affiché avant engagement dans l’adaptation.</x:v>
      </x:c>
      <x:c r="H29" s="9" t="str">
        <x:v>Tir préparé de zone anti-protection ; rebond affiché avant engagement dans l’adaptation.</x:v>
      </x:c>
      <x:c r="I29" s="9" t="str">
        <x:v>Forme asari et projectile énergétique.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me3/weapons/acolyte ; rattacher les ressources et états cités à cet identifiant. Aucun fichier de jeu créé par ce catalogue.</x:v>
      </x:c>
      <x:c r="M29" s="9" t="str">
        <x:v>Pack / édition à vérifier.</x:v>
      </x:c>
      <x:c r="N29" s="9" t="str">
        <x:v>Le livrable « Acolyte » possède une scène ou un scénario de contrôle ; ses règles proposées, ses conditions et ses retours visuels sont vérifiables séparément.</x:v>
      </x:c>
      <x:c r="O29" s="9" t="str"/>
      <x:c r="P29" s="9" t="str">
        <x:v>Acolyte</x:v>
      </x:c>
      <x:c r="Q29" s="9" t="str">
        <x:v>ME3-SRC-EQUIP</x:v>
      </x:c>
      <x:c r="R29" s="9" t="str">
        <x:v>https://masseffect.fandom.com/wiki/Equipment_Guide_%28Mass_Effect_3%29</x:v>
      </x:c>
      <x:c r="S29" s="9" t="str">
        <x:v>Spécification à réaliser. Les champs adaptation, gameplay, visual, animation, audio et implementation décrivent le fan game ; ils ne donnent pas des caractéristiques officielles de l’œuvre.</x:v>
      </x:c>
    </x:row>
    <x:row r="30" ht="68" customHeight="1">
      <x:c r="A30" s="19" t="str">
        <x:v>ME3-WPN-SUPPRESSOR</x:v>
      </x:c>
      <x:c r="B30" s="7" t="str">
        <x:v>M-11 Suppressor</x:v>
      </x:c>
      <x:c r="C30" s="15" t="str">
        <x:v>Défini</x:v>
      </x:c>
      <x:c r="D30" s="17" t="str">
        <x:v>Établi</x:v>
      </x:c>
      <x:c r="E30" s="17" t="str">
        <x:v>P1</x:v>
      </x:c>
      <x:c r="F30" s="7" t="str">
        <x:v>Pistolet de Citadel.</x:v>
      </x:c>
      <x:c r="G30" s="7" t="str">
        <x:v>Profil de précision discret ; bonus ciblé proposé exige une visée lisible sans encourager un clic minuscule.</x:v>
      </x:c>
      <x:c r="H30" s="7" t="str">
        <x:v>Profil de précision discret ; bonus ciblé proposé exige une visée lisible sans encourager un clic minuscule.</x:v>
      </x:c>
      <x:c r="I30" s="7" t="str">
        <x:v>Silencieux et modèle compact.</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me3/weapons/suppressor ; rattacher les ressources et états cités à cet identifiant. Aucun fichier de jeu créé par ce catalogue.</x:v>
      </x:c>
      <x:c r="M30" s="7" t="str">
        <x:v>DLC Citadel.</x:v>
      </x:c>
      <x:c r="N30" s="7" t="str">
        <x:v>Le livrable « M-11 Suppressor » possède une scène ou un scénario de contrôle ; ses règles proposées, ses conditions et ses retours visuels sont vérifiables séparément.</x:v>
      </x:c>
      <x:c r="O30" s="7" t="str"/>
      <x:c r="P30" s="7" t="str">
        <x:v>M-11 Suppressor</x:v>
      </x:c>
      <x:c r="Q30" s="7" t="str">
        <x:v>ME3-SRC-SUPPRESSOR</x:v>
      </x:c>
      <x:c r="R30" s="7" t="str">
        <x:v>https://masseffect.fandom.com/wiki/M-11_Suppressor</x:v>
      </x:c>
      <x:c r="S30" s="7" t="str">
        <x:v>Spécification à réaliser. Les champs adaptation, gameplay, visual, animation, audio et implementation décrivent le fan game ; ils ne donnent pas des caractéristiques officielles de l’œuvre.</x:v>
      </x:c>
    </x:row>
    <x:row r="31" ht="68" customHeight="1">
      <x:c r="A31" s="18" t="str">
        <x:v>ME3-WPN-KATANA</x:v>
      </x:c>
      <x:c r="B31" s="9" t="str">
        <x:v>M-23 Katana</x:v>
      </x:c>
      <x:c r="C31" s="15" t="str">
        <x:v>Prototype</x:v>
      </x:c>
      <x:c r="D31" s="16" t="str">
        <x:v>Établi</x:v>
      </x:c>
      <x:c r="E31" s="16" t="str">
        <x:v>P1</x:v>
      </x:c>
      <x:c r="F31" s="9" t="str">
        <x:v>Fusil à pompe.</x:v>
      </x:c>
      <x:c r="G31" s="9" t="str">
        <x:v>Cône de proximité simple servant de référence pour les autres shotguns.</x:v>
      </x:c>
      <x:c r="H31" s="9" t="str">
        <x:v>Cône de proximité simple servant de référence pour les autres shotguns.</x:v>
      </x:c>
      <x:c r="I31" s="9" t="str">
        <x:v>Fusil court à pompe.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Prototype Chroniques : src/universe-equipment.js, src/chronicles.js, src/combat.js. Identifiant runtime ME3-WPN-KATANA ; contexte d’œuvre/segment et sélection de scène obligatoires.</x:v>
      </x:c>
      <x:c r="M31" s="9" t="str"/>
      <x:c r="N31" s="9" t="str">
        <x:v>Le livrable « M-23 Katana » possède une scène ou un scénario de contrôle ; ses règles proposées, ses conditions et ses retours visuels sont vérifiables séparément.</x:v>
      </x:c>
      <x:c r="O31" s="9" t="str"/>
      <x:c r="P31" s="9" t="str">
        <x:v>M-23 Katana</x:v>
      </x:c>
      <x:c r="Q31" s="9" t="str">
        <x:v>ME3-SRC-EQUIP</x:v>
      </x:c>
      <x:c r="R31" s="9" t="str">
        <x:v>https://masseffect.fandom.com/wiki/Equipment_Guide_%28Mass_Effect_3%29</x:v>
      </x:c>
      <x:c r="S3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2" ht="68" customHeight="1">
      <x:c r="A32" s="19" t="str">
        <x:v>ME3-WPN-SCIMITAR</x:v>
      </x:c>
      <x:c r="B32" s="7" t="str">
        <x:v>M-27 Scimitar</x:v>
      </x:c>
      <x:c r="C32" s="15" t="str">
        <x:v>Prototype</x:v>
      </x:c>
      <x:c r="D32" s="17" t="str">
        <x:v>Établi</x:v>
      </x:c>
      <x:c r="E32" s="17" t="str">
        <x:v>P1</x:v>
      </x:c>
      <x:c r="F32" s="7" t="str">
        <x:v>Fusil à pompe.</x:v>
      </x:c>
      <x:c r="G32" s="7" t="str">
        <x:v>Succession rapide de coups courts ; réserve et déplacement empêchent une boucle sans décision.</x:v>
      </x:c>
      <x:c r="H32" s="7" t="str">
        <x:v>Succession rapide de coups courts ; réserve et déplacement empêchent une boucle sans décision.</x:v>
      </x:c>
      <x:c r="I32" s="7" t="str">
        <x:v>Fusil compact à cadence rapide.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Prototype Chroniques : src/universe-equipment.js, src/chronicles.js, src/combat.js. Identifiant runtime ME3-WPN-SCIMITAR ; contexte d’œuvre/segment et sélection de scène obligatoires.</x:v>
      </x:c>
      <x:c r="M32" s="7" t="str"/>
      <x:c r="N32" s="7" t="str">
        <x:v>Le livrable « M-27 Scimitar » possède une scène ou un scénario de contrôle ; ses règles proposées, ses conditions et ses retours visuels sont vérifiables séparément.</x:v>
      </x:c>
      <x:c r="O32" s="7" t="str"/>
      <x:c r="P32" s="7" t="str">
        <x:v>M-27 Scimitar</x:v>
      </x:c>
      <x:c r="Q32" s="7" t="str">
        <x:v>ME3-SRC-EQUIP</x:v>
      </x:c>
      <x:c r="R32" s="7" t="str">
        <x:v>https://masseffect.fandom.com/wiki/Equipment_Guide_%28Mass_Effect_3%29</x:v>
      </x:c>
      <x:c r="S3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68" customHeight="1">
      <x:c r="A33" s="18" t="str">
        <x:v>ME3-WPN-CLAYMORE</x:v>
      </x:c>
      <x:c r="B33" s="9" t="str">
        <x:v>M-300 Claymore</x:v>
      </x:c>
      <x:c r="C33" s="15" t="str">
        <x:v>Prototype</x:v>
      </x:c>
      <x:c r="D33" s="16" t="str">
        <x:v>Établi</x:v>
      </x:c>
      <x:c r="E33" s="16" t="str">
        <x:v>P1</x:v>
      </x:c>
      <x:c r="F33" s="9" t="str">
        <x:v>Fusil krogan.</x:v>
      </x:c>
      <x:c r="G33" s="9" t="str">
        <x:v>Gros impact puis recharge exposée ; annonce de dispersion et des cibles secondaires.</x:v>
      </x:c>
      <x:c r="H33" s="9" t="str">
        <x:v>Gros impact puis recharge exposée ; annonce de dispersion et des cibles secondaires.</x:v>
      </x:c>
      <x:c r="I33" s="9" t="str">
        <x:v>Carcasse krogan très massive.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Chroniques : src/universe-equipment.js, src/chronicles.js, src/combat.js. Identifiant runtime ME3-WPN-CLAYMORE ; contexte d’œuvre/segment et sélection de scène obligatoires.</x:v>
      </x:c>
      <x:c r="M33" s="9" t="str"/>
      <x:c r="N33" s="9" t="str">
        <x:v>Le livrable « M-300 Claymore » possède une scène ou un scénario de contrôle ; ses règles proposées, ses conditions et ses retours visuels sont vérifiables séparément.</x:v>
      </x:c>
      <x:c r="O33" s="9" t="str"/>
      <x:c r="P33" s="9" t="str">
        <x:v>M-300 Claymore</x:v>
      </x:c>
      <x:c r="Q33" s="9" t="str">
        <x:v>ME3-SRC-EQUIP</x:v>
      </x:c>
      <x:c r="R33" s="9" t="str">
        <x:v>https://masseffect.fandom.com/wiki/Equipment_Guide_%28Mass_Effect_3%29</x:v>
      </x:c>
      <x:c r="S3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4" ht="68" customHeight="1">
      <x:c r="A34" s="19" t="str">
        <x:v>ME3-WPN-EVISCERATOR</x:v>
      </x:c>
      <x:c r="B34" s="7" t="str">
        <x:v>M-22 Eviscerator</x:v>
      </x:c>
      <x:c r="C34" s="15" t="str">
        <x:v>Prototype</x:v>
      </x:c>
      <x:c r="D34" s="17" t="str">
        <x:v>Établi</x:v>
      </x:c>
      <x:c r="E34" s="17" t="str">
        <x:v>P1</x:v>
      </x:c>
      <x:c r="F34" s="7" t="str">
        <x:v>Fusil à pompe.</x:v>
      </x:c>
      <x:c r="G34" s="7" t="str">
        <x:v>Portée intermédiaire proposée avec cône plus étroit ; profil distinct sans modifier le canon de l’objet.</x:v>
      </x:c>
      <x:c r="H34" s="7" t="str">
        <x:v>Portée intermédiaire proposée avec cône plus étroit ; profil distinct sans modifier le canon de l’objet.</x:v>
      </x:c>
      <x:c r="I34" s="7" t="str">
        <x:v>Arme courte sombre.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Prototype Chroniques : src/universe-equipment.js, src/chronicles.js, src/combat.js. Identifiant runtime ME3-WPN-EVISCERATOR ; contexte d’œuvre/segment et sélection de scène obligatoires.</x:v>
      </x:c>
      <x:c r="M34" s="7" t="str"/>
      <x:c r="N34" s="7" t="str">
        <x:v>Le livrable « M-22 Eviscerator » possède une scène ou un scénario de contrôle ; ses règles proposées, ses conditions et ses retours visuels sont vérifiables séparément.</x:v>
      </x:c>
      <x:c r="O34" s="7" t="str"/>
      <x:c r="P34" s="7" t="str">
        <x:v>M-22 Eviscerator</x:v>
      </x:c>
      <x:c r="Q34" s="7" t="str">
        <x:v>ME3-SRC-EQUIP</x:v>
      </x:c>
      <x:c r="R34" s="7" t="str">
        <x:v>https://masseffect.fandom.com/wiki/Equipment_Guide_%28Mass_Effect_3%29</x:v>
      </x:c>
      <x:c r="S3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5" ht="68" customHeight="1">
      <x:c r="A35" s="18" t="str">
        <x:v>ME3-WPN-DISCIPLE</x:v>
      </x:c>
      <x:c r="B35" s="9" t="str">
        <x:v>Disciple</x:v>
      </x:c>
      <x:c r="C35" s="15" t="str">
        <x:v>Prototype</x:v>
      </x:c>
      <x:c r="D35" s="16" t="str">
        <x:v>Établi</x:v>
      </x:c>
      <x:c r="E35" s="16" t="str">
        <x:v>P1</x:v>
      </x:c>
      <x:c r="F35" s="9" t="str">
        <x:v>Fusil à pompe asari.</x:v>
      </x:c>
      <x:c r="G35" s="9" t="str">
        <x:v>Impact de contrôle et faible masse proposée ; pouvoir suivant reste identifiable dans la file ATB.</x:v>
      </x:c>
      <x:c r="H35" s="9" t="str">
        <x:v>Impact de contrôle et faible masse proposée ; pouvoir suivant reste identifiable dans la file ATB.</x:v>
      </x:c>
      <x:c r="I35" s="9" t="str">
        <x:v>Courbes asari et teinte claire.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Prototype Chroniques : src/universe-equipment.js, src/chronicles.js, src/combat.js. Identifiant runtime ME3-WPN-DISCIPLE ; contexte d’œuvre/segment et sélection de scène obligatoires.</x:v>
      </x:c>
      <x:c r="M35" s="9" t="str"/>
      <x:c r="N35" s="9" t="str">
        <x:v>Le livrable « Disciple » possède une scène ou un scénario de contrôle ; ses règles proposées, ses conditions et ses retours visuels sont vérifiables séparément.</x:v>
      </x:c>
      <x:c r="O35" s="9" t="str"/>
      <x:c r="P35" s="9" t="str">
        <x:v>Disciple</x:v>
      </x:c>
      <x:c r="Q35" s="9" t="str">
        <x:v>ME3-SRC-EQUIP</x:v>
      </x:c>
      <x:c r="R35" s="9" t="str">
        <x:v>https://masseffect.fandom.com/wiki/Equipment_Guide_%28Mass_Effect_3%29</x:v>
      </x:c>
      <x:c r="S3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68" customHeight="1">
      <x:c r="A36" s="19" t="str">
        <x:v>ME3-WPN-GRAAL</x:v>
      </x:c>
      <x:c r="B36" s="7" t="str">
        <x:v>Graal Spike Thrower</x:v>
      </x:c>
      <x:c r="C36" s="15" t="str">
        <x:v>Défini</x:v>
      </x:c>
      <x:c r="D36" s="17" t="str">
        <x:v>Établi</x:v>
      </x:c>
      <x:c r="E36" s="17" t="str">
        <x:v>P1</x:v>
      </x:c>
      <x:c r="F36" s="7" t="str">
        <x:v>Arme à pointes.</x:v>
      </x:c>
      <x:c r="G36" s="7" t="str">
        <x:v>Salve ou charge de pointes proposée ; visuel de projectiles solides distinct d’un rayon.</x:v>
      </x:c>
      <x:c r="H36" s="7" t="str">
        <x:v>Salve ou charge de pointes proposée ; visuel de projectiles solides distinct d’un rayon.</x:v>
      </x:c>
      <x:c r="I36" s="7" t="str">
        <x:v>Grand fusil organique et pointes.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me3/weapons/graal ; rattacher les ressources et états cités à cet identifiant. Aucun fichier de jeu créé par ce catalogue.</x:v>
      </x:c>
      <x:c r="M36" s="7" t="str"/>
      <x:c r="N36" s="7" t="str">
        <x:v>Le livrable « Graal Spike Thrower » possède une scène ou un scénario de contrôle ; ses règles proposées, ses conditions et ses retours visuels sont vérifiables séparément.</x:v>
      </x:c>
      <x:c r="O36" s="7" t="str"/>
      <x:c r="P36" s="7" t="str">
        <x:v>Graal Spike Thrower</x:v>
      </x:c>
      <x:c r="Q36" s="7" t="str">
        <x:v>ME3-SRC-EQUIP</x:v>
      </x:c>
      <x:c r="R36" s="7" t="str">
        <x:v>https://masseffect.fandom.com/wiki/Equipment_Guide_%28Mass_Effect_3%29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ME3-WPN-REEGAR</x:v>
      </x:c>
      <x:c r="B37" s="9" t="str">
        <x:v>Reegar Carbine</x:v>
      </x:c>
      <x:c r="C37" s="15" t="str">
        <x:v>Défini</x:v>
      </x:c>
      <x:c r="D37" s="16" t="str">
        <x:v>Établi</x:v>
      </x:c>
      <x:c r="E37" s="16" t="str">
        <x:v>P1</x:v>
      </x:c>
      <x:c r="F37" s="9" t="str">
        <x:v>Arme électrique de courte portée.</x:v>
      </x:c>
      <x:c r="G37" s="9" t="str">
        <x:v>Canalisation en cône bref ; le joueur voit la zone exacte et la consommation continue.</x:v>
      </x:c>
      <x:c r="H37" s="9" t="str">
        <x:v>Canalisation en cône bref ; le joueur voit la zone exacte et la consommation continue.</x:v>
      </x:c>
      <x:c r="I37" s="9" t="str">
        <x:v>Arc électrique entre arme et cible.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me3/weapons/reegar ; rattacher les ressources et états cités à cet identifiant. Aucun fichier de jeu créé par ce catalogue.</x:v>
      </x:c>
      <x:c r="M37" s="9" t="str">
        <x:v>Pack / édition à vérifier.</x:v>
      </x:c>
      <x:c r="N37" s="9" t="str">
        <x:v>Le livrable « Reegar Carbine » possède une scène ou un scénario de contrôle ; ses règles proposées, ses conditions et ses retours visuels sont vérifiables séparément.</x:v>
      </x:c>
      <x:c r="O37" s="9" t="str"/>
      <x:c r="P37" s="9" t="str">
        <x:v>Reegar Carbine</x:v>
      </x:c>
      <x:c r="Q37" s="9" t="str">
        <x:v>ME3-SRC-EQUIP</x:v>
      </x:c>
      <x:c r="R37" s="9" t="str">
        <x:v>https://masseffect.fandom.com/wiki/Equipment_Guide_%28Mass_Effect_3%29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ME3-WPN-PIRANHA</x:v>
      </x:c>
      <x:c r="B38" s="7" t="str">
        <x:v>N7 Piranha</x:v>
      </x:c>
      <x:c r="C38" s="15" t="str">
        <x:v>Défini</x:v>
      </x:c>
      <x:c r="D38" s="17" t="str">
        <x:v>Établi</x:v>
      </x:c>
      <x:c r="E38" s="17" t="str">
        <x:v>P1</x:v>
      </x:c>
      <x:c r="F38" s="7" t="str">
        <x:v>Fusil à pompe N7.</x:v>
      </x:c>
      <x:c r="G38" s="7" t="str">
        <x:v>Rafale de proximité qui engage la position ; récupération plus longue si l’ordre est poursuivi.</x:v>
      </x:c>
      <x:c r="H38" s="7" t="str">
        <x:v>Rafale de proximité qui engage la position ; récupération plus longue si l’ordre est poursuivi.</x:v>
      </x:c>
      <x:c r="I38" s="7" t="str">
        <x:v>Arme N7 compacte.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me3/weapons/piranha ; rattacher les ressources et états cités à cet identifiant. Aucun fichier de jeu créé par ce catalogue.</x:v>
      </x:c>
      <x:c r="M38" s="7" t="str">
        <x:v>Pack / édition à vérifier.</x:v>
      </x:c>
      <x:c r="N38" s="7" t="str">
        <x:v>Le livrable « N7 Piranha » possède une scène ou un scénario de contrôle ; ses règles proposées, ses conditions et ses retours visuels sont vérifiables séparément.</x:v>
      </x:c>
      <x:c r="O38" s="7" t="str"/>
      <x:c r="P38" s="7" t="str">
        <x:v>N7 Piranha</x:v>
      </x:c>
      <x:c r="Q38" s="7" t="str">
        <x:v>ME3-SRC-EQUIP</x:v>
      </x:c>
      <x:c r="R38" s="7" t="str">
        <x:v>https://masseffect.fandom.com/wiki/Equipment_Guide_%28Mass_Effect_3%29</x:v>
      </x:c>
      <x:c r="S38" s="7" t="str">
        <x:v>Spécification à réaliser. Les champs adaptation, gameplay, visual, animation, audio et implementation décrivent le fan game ; ils ne donnent pas des caractéristiques officielles de l’œuvre.</x:v>
      </x:c>
    </x:row>
    <x:row r="39" ht="68" customHeight="1">
      <x:c r="A39" s="18" t="str">
        <x:v>ME3-WPN-RAIDER</x:v>
      </x:c>
      <x:c r="B39" s="9" t="str">
        <x:v>AT-12 Raider</x:v>
      </x:c>
      <x:c r="C39" s="15" t="str">
        <x:v>Défini</x:v>
      </x:c>
      <x:c r="D39" s="16" t="str">
        <x:v>Établi</x:v>
      </x:c>
      <x:c r="E39" s="16" t="str">
        <x:v>P1</x:v>
      </x:c>
      <x:c r="F39" s="9" t="str">
        <x:v>Arme ajoutée avec Leviathan.</x:v>
      </x:c>
      <x:c r="G39" s="9" t="str">
        <x:v>Deux temps de tir puis reprise proposée ; ne pas remplacer la vérification des valeurs par celles de ME2.</x:v>
      </x:c>
      <x:c r="H39" s="9" t="str">
        <x:v>Deux temps de tir puis reprise proposée ; ne pas remplacer la vérification des valeurs par celles de ME2.</x:v>
      </x:c>
      <x:c r="I39" s="9" t="str">
        <x:v>Fusil court massif.</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me3/weapons/raider ; rattacher les ressources et états cités à cet identifiant. Aucun fichier de jeu créé par ce catalogue.</x:v>
      </x:c>
      <x:c r="M39" s="9" t="str">
        <x:v>Leviathan / édition.</x:v>
      </x:c>
      <x:c r="N39" s="9" t="str">
        <x:v>Le livrable « AT-12 Raider » possède une scène ou un scénario de contrôle ; ses règles proposées, ses conditions et ses retours visuels sont vérifiables séparément.</x:v>
      </x:c>
      <x:c r="O39" s="9" t="str"/>
      <x:c r="P39" s="9" t="str">
        <x:v>AT-12 Raider</x:v>
      </x:c>
      <x:c r="Q39" s="9" t="str">
        <x:v>ME3-SRC-BW-LEV</x:v>
      </x:c>
      <x:c r="R39" s="9" t="str">
        <x:v>https://blog.bioware.com/2012/08/02/mass-effect-3-leviathan-firefight-dlc-and-wii-u-information/</x:v>
      </x:c>
      <x:c r="S39" s="9" t="str">
        <x:v>Spécification à réaliser. Les champs adaptation, gameplay, visual, animation, audio et implementation décrivent le fan game ; ils ne donnent pas des caractéristiques officielles de l’œuvre.</x:v>
      </x:c>
    </x:row>
    <x:row r="40" ht="68" customHeight="1">
      <x:c r="A40" s="19" t="str">
        <x:v>ME3-WPN-VENOM</x:v>
      </x:c>
      <x:c r="B40" s="7" t="str">
        <x:v>Venom</x:v>
      </x:c>
      <x:c r="C40" s="15" t="str">
        <x:v>Défini</x:v>
      </x:c>
      <x:c r="D40" s="17" t="str">
        <x:v>Établi</x:v>
      </x:c>
      <x:c r="E40" s="17" t="str">
        <x:v>P1</x:v>
      </x:c>
      <x:c r="F40" s="7" t="str">
        <x:v>Arme de l’arsenal étendu.</x:v>
      </x:c>
      <x:c r="G40" s="7" t="str">
        <x:v>Zone explosive à trajectoire prévisualisée ; charge complète et tir court ont icônes distinctes.</x:v>
      </x:c>
      <x:c r="H40" s="7" t="str">
        <x:v>Zone explosive à trajectoire prévisualisée ; charge complète et tir court ont icônes distinctes.</x:v>
      </x:c>
      <x:c r="I40" s="7" t="str">
        <x:v>Lanceur lourd et projectile lumineux.</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me3/weapons/venom ; rattacher les ressources et états cités à cet identifiant. Aucun fichier de jeu créé par ce catalogue.</x:v>
      </x:c>
      <x:c r="M40" s="7" t="str">
        <x:v>Solo selon pack ; aussi Reckoning multi.</x:v>
      </x:c>
      <x:c r="N40" s="7" t="str">
        <x:v>Le livrable « Venom » possède une scène ou un scénario de contrôle ; ses règles proposées, ses conditions et ses retours visuels sont vérifiables séparément.</x:v>
      </x:c>
      <x:c r="O40" s="7" t="str"/>
      <x:c r="P40" s="7" t="str">
        <x:v>Venom</x:v>
      </x:c>
      <x:c r="Q40" s="7" t="str">
        <x:v>ME3-SRC-EQUIP, ME3-SRC-BW-CITADEL</x:v>
      </x:c>
      <x:c r="R40" s="7" t="str">
        <x:v>https://masseffect.fandom.com/wiki/Equipment_Guide_%28Mass_Effect_3%29
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ME3-WPN-MANTIS</x:v>
      </x:c>
      <x:c r="B41" s="9" t="str">
        <x:v>M-92 Mantis</x:v>
      </x:c>
      <x:c r="C41" s="15" t="str">
        <x:v>Prototype</x:v>
      </x:c>
      <x:c r="D41" s="16" t="str">
        <x:v>Établi</x:v>
      </x:c>
      <x:c r="E41" s="16" t="str">
        <x:v>P1</x:v>
      </x:c>
      <x:c r="F41" s="9" t="str">
        <x:v>Fusil de précision.</x:v>
      </x:c>
      <x:c r="G41" s="9" t="str">
        <x:v>Tir préparé, ligne dégagée puis récupération ; évite tout tir à travers un obstacle opaque non autorisé.</x:v>
      </x:c>
      <x:c r="H41" s="9" t="str">
        <x:v>Tir préparé, ligne dégagée puis récupération ; évite tout tir à travers un obstacle opaque non autorisé.</x:v>
      </x:c>
      <x:c r="I41" s="9" t="str">
        <x:v>Long fusil de sniper.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Prototype Chroniques : src/universe-equipment.js, src/chronicles.js, src/combat.js. Identifiant runtime ME3-WPN-MANTIS ; contexte d’œuvre/segment et sélection de scène obligatoires.</x:v>
      </x:c>
      <x:c r="M41" s="9" t="str"/>
      <x:c r="N41" s="9" t="str">
        <x:v>Le livrable « M-92 Mantis » possède une scène ou un scénario de contrôle ; ses règles proposées, ses conditions et ses retours visuels sont vérifiables séparément.</x:v>
      </x:c>
      <x:c r="O41" s="9" t="str"/>
      <x:c r="P41" s="9" t="str">
        <x:v>M-92 Mantis</x:v>
      </x:c>
      <x:c r="Q41" s="9" t="str">
        <x:v>ME3-SRC-EQUIP</x:v>
      </x:c>
      <x:c r="R41" s="9" t="str">
        <x:v>https://masseffect.fandom.com/wiki/Equipment_Guide_%28Mass_Effect_3%29</x:v>
      </x:c>
      <x:c r="S4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ME3-WPN-VIPER</x:v>
      </x:c>
      <x:c r="B42" s="7" t="str">
        <x:v>M-97 Viper</x:v>
      </x:c>
      <x:c r="C42" s="15" t="str">
        <x:v>Prototype</x:v>
      </x:c>
      <x:c r="D42" s="17" t="str">
        <x:v>Établi</x:v>
      </x:c>
      <x:c r="E42" s="17" t="str">
        <x:v>P1</x:v>
      </x:c>
      <x:c r="F42" s="7" t="str">
        <x:v>Fusil de précision.</x:v>
      </x:c>
      <x:c r="G42" s="7" t="str">
        <x:v>Tirs successifs avec fenêtre de retargeting ; qualité de visée proposée visible.</x:v>
      </x:c>
      <x:c r="H42" s="7" t="str">
        <x:v>Tirs successifs avec fenêtre de retargeting ; qualité de visée proposée visible.</x:v>
      </x:c>
      <x:c r="I42" s="7" t="str">
        <x:v>Fusil semi-automatique fin.</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Chroniques : src/universe-equipment.js, src/chronicles.js, src/combat.js. Identifiant runtime ME3-WPN-VIPER ; contexte d’œuvre/segment et sélection de scène obligatoires.</x:v>
      </x:c>
      <x:c r="M42" s="7" t="str"/>
      <x:c r="N42" s="7" t="str">
        <x:v>Le livrable « M-97 Viper » possède une scène ou un scénario de contrôle ; ses règles proposées, ses conditions et ses retours visuels sont vérifiables séparément.</x:v>
      </x:c>
      <x:c r="O42" s="7" t="str"/>
      <x:c r="P42" s="7" t="str">
        <x:v>M-97 Viper</x:v>
      </x:c>
      <x:c r="Q42" s="7" t="str">
        <x:v>ME3-SRC-EQUIP</x:v>
      </x:c>
      <x:c r="R42" s="7" t="str">
        <x:v>https://masseffect.fandom.com/wiki/Equipment_Guide_%28Mass_Effect_3%29</x:v>
      </x:c>
      <x:c r="S4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3" ht="68" customHeight="1">
      <x:c r="A43" s="18" t="str">
        <x:v>ME3-WPN-WIDOW</x:v>
      </x:c>
      <x:c r="B43" s="9" t="str">
        <x:v>M-98 Widow</x:v>
      </x:c>
      <x:c r="C43" s="15" t="str">
        <x:v>Prototype</x:v>
      </x:c>
      <x:c r="D43" s="16" t="str">
        <x:v>Établi</x:v>
      </x:c>
      <x:c r="E43" s="16" t="str">
        <x:v>P1</x:v>
      </x:c>
      <x:c r="F43" s="9" t="str">
        <x:v>Fusil lourd de précision.</x:v>
      </x:c>
      <x:c r="G43" s="9" t="str">
        <x:v>Pénétration définie par matériau du fan game ; un aperçu signale couvert traversable ou bloquant.</x:v>
      </x:c>
      <x:c r="H43" s="9" t="str">
        <x:v>Pénétration définie par matériau du fan game ; un aperçu signale couvert traversable ou bloquant.</x:v>
      </x:c>
      <x:c r="I43" s="9" t="str">
        <x:v>Canon massif et bipied.</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Prototype Chroniques : src/universe-equipment.js, src/chronicles.js, src/combat.js. Identifiant runtime ME3-WPN-WIDOW ; contexte d’œuvre/segment et sélection de scène obligatoires.</x:v>
      </x:c>
      <x:c r="M43" s="9" t="str"/>
      <x:c r="N43" s="9" t="str">
        <x:v>Le livrable « M-98 Widow » possède une scène ou un scénario de contrôle ; ses règles proposées, ses conditions et ses retours visuels sont vérifiables séparément.</x:v>
      </x:c>
      <x:c r="O43" s="9" t="str"/>
      <x:c r="P43" s="9" t="str">
        <x:v>M-98 Widow</x:v>
      </x:c>
      <x:c r="Q43" s="9" t="str">
        <x:v>ME3-SRC-EQUIP</x:v>
      </x:c>
      <x:c r="R43" s="9" t="str">
        <x:v>https://masseffect.fandom.com/wiki/Equipment_Guide_%28Mass_Effect_3%29</x:v>
      </x:c>
      <x:c r="S4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4" ht="68" customHeight="1">
      <x:c r="A44" s="19" t="str">
        <x:v>ME3-WPN-BLACK-WIDOW</x:v>
      </x:c>
      <x:c r="B44" s="7" t="str">
        <x:v>Black Widow</x:v>
      </x:c>
      <x:c r="C44" s="15" t="str">
        <x:v>Prototype</x:v>
      </x:c>
      <x:c r="D44" s="17" t="str">
        <x:v>Établi</x:v>
      </x:c>
      <x:c r="E44" s="17" t="str">
        <x:v>P1</x:v>
      </x:c>
      <x:c r="F44" s="7" t="str">
        <x:v>Fusil de précision.</x:v>
      </x:c>
      <x:c r="G44" s="7" t="str">
        <x:v>Petite série de tirs puissants ; afficher réserve du chargeur dans menu d’ordre.</x:v>
      </x:c>
      <x:c r="H44" s="7" t="str">
        <x:v>Petite série de tirs puissants ; afficher réserve du chargeur dans menu d’ordre.</x:v>
      </x:c>
      <x:c r="I44" s="7" t="str">
        <x:v>Grande carcasse sombre.</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Prototype Chroniques : src/universe-equipment.js, src/chronicles.js, src/combat.js. Identifiant runtime ME3-WPN-BLACK-WIDOW ; contexte d’œuvre/segment et sélection de scène obligatoires.</x:v>
      </x:c>
      <x:c r="M44" s="7" t="str"/>
      <x:c r="N44" s="7" t="str">
        <x:v>Le livrable « Black Widow » possède une scène ou un scénario de contrôle ; ses règles proposées, ses conditions et ses retours visuels sont vérifiables séparément.</x:v>
      </x:c>
      <x:c r="O44" s="7" t="str"/>
      <x:c r="P44" s="7" t="str">
        <x:v>Black Widow</x:v>
      </x:c>
      <x:c r="Q44" s="7" t="str">
        <x:v>ME3-SRC-EQUIP</x:v>
      </x:c>
      <x:c r="R44" s="7" t="str">
        <x:v>https://masseffect.fandom.com/wiki/Equipment_Guide_%28Mass_Effect_3%29</x:v>
      </x:c>
      <x:c r="S4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5" ht="68" customHeight="1">
      <x:c r="A45" s="18" t="str">
        <x:v>ME3-WPN-JAVELIN</x:v>
      </x:c>
      <x:c r="B45" s="9" t="str">
        <x:v>Javelin</x:v>
      </x:c>
      <x:c r="C45" s="15" t="str">
        <x:v>Défini</x:v>
      </x:c>
      <x:c r="D45" s="16" t="str">
        <x:v>Établi</x:v>
      </x:c>
      <x:c r="E45" s="16" t="str">
        <x:v>P1</x:v>
      </x:c>
      <x:c r="F45" s="9" t="str">
        <x:v>Fusil geth de précision.</x:v>
      </x:c>
      <x:c r="G45" s="9" t="str">
        <x:v>Préparation avant projectile ; la cible réserve une fenêtre de fuite, évitant un impact instantané injuste.</x:v>
      </x:c>
      <x:c r="H45" s="9" t="str">
        <x:v>Préparation avant projectile ; la cible réserve une fenêtre de fuite, évitant un impact instantané injuste.</x:v>
      </x:c>
      <x:c r="I45" s="9" t="str">
        <x:v>Arme geth à ligne énergétique.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me3/weapons/javelin ; rattacher les ressources et états cités à cet identifiant. Aucun fichier de jeu créé par ce catalogue.</x:v>
      </x:c>
      <x:c r="M45" s="9" t="str"/>
      <x:c r="N45" s="9" t="str">
        <x:v>Le livrable « Javelin » possède une scène ou un scénario de contrôle ; ses règles proposées, ses conditions et ses retours visuels sont vérifiables séparément.</x:v>
      </x:c>
      <x:c r="O45" s="9" t="str"/>
      <x:c r="P45" s="9" t="str">
        <x:v>Javelin</x:v>
      </x:c>
      <x:c r="Q45" s="9" t="str">
        <x:v>ME3-SRC-EQUIP</x:v>
      </x:c>
      <x:c r="R45" s="9" t="str">
        <x:v>https://masseffect.fandom.com/wiki/Equipment_Guide_%28Mass_Effect_3%29</x:v>
      </x:c>
      <x:c r="S45" s="9" t="str">
        <x:v>Spécification à réaliser. Les champs adaptation, gameplay, visual, animation, audio et implementation décrivent le fan game ; ils ne donnent pas des caractéristiques officielles de l’œuvre.</x:v>
      </x:c>
    </x:row>
    <x:row r="46" ht="68" customHeight="1">
      <x:c r="A46" s="19" t="str">
        <x:v>ME3-WPN-RAPTOR</x:v>
      </x:c>
      <x:c r="B46" s="7" t="str">
        <x:v>M-13 Raptor</x:v>
      </x:c>
      <x:c r="C46" s="15" t="str">
        <x:v>Prototype</x:v>
      </x:c>
      <x:c r="D46" s="17" t="str">
        <x:v>Établi</x:v>
      </x:c>
      <x:c r="E46" s="17" t="str">
        <x:v>P1</x:v>
      </x:c>
      <x:c r="F46" s="7" t="str">
        <x:v>Fusil semi-automatique.</x:v>
      </x:c>
      <x:c r="G46" s="7" t="str">
        <x:v>Précision légère, récupération rapide proposée ; peut accompagner un build de pouvoirs.</x:v>
      </x:c>
      <x:c r="H46" s="7" t="str">
        <x:v>Précision légère, récupération rapide proposée ; peut accompagner un build de pouvoirs.</x:v>
      </x:c>
      <x:c r="I46" s="7" t="str">
        <x:v>Fusil fin à lunette.</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Prototype Chroniques : src/universe-equipment.js, src/chronicles.js, src/combat.js. Identifiant runtime ME3-WPN-RAPTOR ; contexte d’œuvre/segment et sélection de scène obligatoires.</x:v>
      </x:c>
      <x:c r="M46" s="7" t="str"/>
      <x:c r="N46" s="7" t="str">
        <x:v>Le livrable « M-13 Raptor » possède une scène ou un scénario de contrôle ; ses règles proposées, ses conditions et ses retours visuels sont vérifiables séparément.</x:v>
      </x:c>
      <x:c r="O46" s="7" t="str"/>
      <x:c r="P46" s="7" t="str">
        <x:v>M-13 Raptor</x:v>
      </x:c>
      <x:c r="Q46" s="7" t="str">
        <x:v>ME3-SRC-EQUIP</x:v>
      </x:c>
      <x:c r="R46" s="7" t="str">
        <x:v>https://masseffect.fandom.com/wiki/Equipment_Guide_%28Mass_Effect_3%29</x:v>
      </x:c>
      <x:c r="S4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7" ht="68" customHeight="1">
      <x:c r="A47" s="18" t="str">
        <x:v>ME3-WPN-INDRA</x:v>
      </x:c>
      <x:c r="B47" s="9" t="str">
        <x:v>M-90 Indra</x:v>
      </x:c>
      <x:c r="C47" s="15" t="str">
        <x:v>Défini</x:v>
      </x:c>
      <x:c r="D47" s="16" t="str">
        <x:v>Établi</x:v>
      </x:c>
      <x:c r="E47" s="16" t="str">
        <x:v>P1</x:v>
      </x:c>
      <x:c r="F47" s="9" t="str">
        <x:v>Fusil automatique de précision.</x:v>
      </x:c>
      <x:c r="G47" s="9" t="str">
        <x:v>Maintien du tir avec dispersion graduelle ; interruption au changement de ligne de vue.</x:v>
      </x:c>
      <x:c r="H47" s="9" t="str">
        <x:v>Maintien du tir avec dispersion graduelle ; interruption au changement de ligne de vue.</x:v>
      </x:c>
      <x:c r="I47" s="9" t="str">
        <x:v>Long canon et chargeur.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me3/weapons/indra ; rattacher les ressources et états cités à cet identifiant. Aucun fichier de jeu créé par ce catalogue.</x:v>
      </x:c>
      <x:c r="M47" s="9" t="str">
        <x:v>Arsenal étendu selon édition.</x:v>
      </x:c>
      <x:c r="N47" s="9" t="str">
        <x:v>Le livrable « M-90 Indra » possède une scène ou un scénario de contrôle ; ses règles proposées, ses conditions et ses retours visuels sont vérifiables séparément.</x:v>
      </x:c>
      <x:c r="O47" s="9" t="str"/>
      <x:c r="P47" s="9" t="str">
        <x:v>M-90 Indra</x:v>
      </x:c>
      <x:c r="Q47" s="9" t="str">
        <x:v>ME3-SRC-EQUIP</x:v>
      </x:c>
      <x:c r="R47" s="9" t="str">
        <x:v>https://masseffect.fandom.com/wiki/Equipment_Guide_%28Mass_Effect_3%29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ME3-WPN-VALIANT</x:v>
      </x:c>
      <x:c r="B48" s="7" t="str">
        <x:v>N7 Valiant</x:v>
      </x:c>
      <x:c r="C48" s="15" t="str">
        <x:v>Défini</x:v>
      </x:c>
      <x:c r="D48" s="17" t="str">
        <x:v>Établi</x:v>
      </x:c>
      <x:c r="E48" s="17" t="str">
        <x:v>P1</x:v>
      </x:c>
      <x:c r="F48" s="7" t="str">
        <x:v>Fusil de précision N7.</x:v>
      </x:c>
      <x:c r="G48" s="7" t="str">
        <x:v>Cadence contrôlée et réserve visible ; rôle mobile proposé distinct du Widow.</x:v>
      </x:c>
      <x:c r="H48" s="7" t="str">
        <x:v>Cadence contrôlée et réserve visible ; rôle mobile proposé distinct du Widow.</x:v>
      </x:c>
      <x:c r="I48" s="7" t="str">
        <x:v>Fusil N7 blanc et noir.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me3/weapons/valiant ; rattacher les ressources et états cités à cet identifiant. Aucun fichier de jeu créé par ce catalogue.</x:v>
      </x:c>
      <x:c r="M48" s="7" t="str">
        <x:v>Arsenal étendu selon édition.</x:v>
      </x:c>
      <x:c r="N48" s="7" t="str">
        <x:v>Le livrable « N7 Valiant » possède une scène ou un scénario de contrôle ; ses règles proposées, ses conditions et ses retours visuels sont vérifiables séparément.</x:v>
      </x:c>
      <x:c r="O48" s="7" t="str"/>
      <x:c r="P48" s="7" t="str">
        <x:v>N7 Valiant</x:v>
      </x:c>
      <x:c r="Q48" s="7" t="str">
        <x:v>ME3-SRC-EQUIP</x:v>
      </x:c>
      <x:c r="R48" s="7" t="str">
        <x:v>https://masseffect.fandom.com/wiki/Equipment_Guide_%28Mass_Effect_3%29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ME3-WPN-SHURIKEN</x:v>
      </x:c>
      <x:c r="B49" s="9" t="str">
        <x:v>M-4 Shuriken</x:v>
      </x:c>
      <x:c r="C49" s="15" t="str">
        <x:v>Prototype</x:v>
      </x:c>
      <x:c r="D49" s="16" t="str">
        <x:v>Établi</x:v>
      </x:c>
      <x:c r="E49" s="16" t="str">
        <x:v>P1</x:v>
      </x:c>
      <x:c r="F49" s="9" t="str">
        <x:v>Pistolet mitrailleur.</x:v>
      </x:c>
      <x:c r="G49" s="9" t="str">
        <x:v>Rafale légère et courte ; choisir sa cible avant chaque salve.</x:v>
      </x:c>
      <x:c r="H49" s="9" t="str">
        <x:v>Rafale légère et courte ; choisir sa cible avant chaque salve.</x:v>
      </x:c>
      <x:c r="I49" s="9" t="str">
        <x:v>SMG compact.</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Prototype Chroniques : src/universe-equipment.js, src/chronicles.js, src/combat.js. Identifiant runtime ME3-WPN-SHURIKEN ; contexte d’œuvre/segment et sélection de scène obligatoires.</x:v>
      </x:c>
      <x:c r="M49" s="9" t="str"/>
      <x:c r="N49" s="9" t="str">
        <x:v>Le livrable « M-4 Shuriken » possède une scène ou un scénario de contrôle ; ses règles proposées, ses conditions et ses retours visuels sont vérifiables séparément.</x:v>
      </x:c>
      <x:c r="O49" s="9" t="str"/>
      <x:c r="P49" s="9" t="str">
        <x:v>M-4 Shuriken</x:v>
      </x:c>
      <x:c r="Q49" s="9" t="str">
        <x:v>ME3-SRC-EQUIP</x:v>
      </x:c>
      <x:c r="R49" s="9" t="str">
        <x:v>https://masseffect.fandom.com/wiki/Equipment_Guide_%28Mass_Effect_3%29</x:v>
      </x:c>
      <x:c r="S4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0" ht="68" customHeight="1">
      <x:c r="A50" s="19" t="str">
        <x:v>ME3-WPN-TEMPEST</x:v>
      </x:c>
      <x:c r="B50" s="7" t="str">
        <x:v>M-9 Tempest</x:v>
      </x:c>
      <x:c r="C50" s="15" t="str">
        <x:v>Prototype</x:v>
      </x:c>
      <x:c r="D50" s="17" t="str">
        <x:v>Établi</x:v>
      </x:c>
      <x:c r="E50" s="17" t="str">
        <x:v>P1</x:v>
      </x:c>
      <x:c r="F50" s="7" t="str">
        <x:v>Pistolet mitrailleur.</x:v>
      </x:c>
      <x:c r="G50" s="7" t="str">
        <x:v>Suppression légère à proximité ; échange de précision contre flexibilité proposé.</x:v>
      </x:c>
      <x:c r="H50" s="7" t="str">
        <x:v>Suppression légère à proximité ; échange de précision contre flexibilité proposé.</x:v>
      </x:c>
      <x:c r="I50" s="7" t="str">
        <x:v>Chargeur et canon courts.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Prototype Chroniques : src/universe-equipment.js, src/chronicles.js, src/combat.js. Identifiant runtime ME3-WPN-TEMPEST ; contexte d’œuvre/segment et sélection de scène obligatoires.</x:v>
      </x:c>
      <x:c r="M50" s="7" t="str"/>
      <x:c r="N50" s="7" t="str">
        <x:v>Le livrable « M-9 Tempest » possède une scène ou un scénario de contrôle ; ses règles proposées, ses conditions et ses retours visuels sont vérifiables séparément.</x:v>
      </x:c>
      <x:c r="O50" s="7" t="str"/>
      <x:c r="P50" s="7" t="str">
        <x:v>M-9 Tempest</x:v>
      </x:c>
      <x:c r="Q50" s="7" t="str">
        <x:v>ME3-SRC-EQUIP</x:v>
      </x:c>
      <x:c r="R50" s="7" t="str">
        <x:v>https://masseffect.fandom.com/wiki/Equipment_Guide_%28Mass_Effect_3%29</x:v>
      </x:c>
      <x:c r="S5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1" ht="68" customHeight="1">
      <x:c r="A51" s="18" t="str">
        <x:v>ME3-WPN-LOCUST</x:v>
      </x:c>
      <x:c r="B51" s="9" t="str">
        <x:v>M-12 Locust</x:v>
      </x:c>
      <x:c r="C51" s="15" t="str">
        <x:v>Prototype</x:v>
      </x:c>
      <x:c r="D51" s="16" t="str">
        <x:v>Établi</x:v>
      </x:c>
      <x:c r="E51" s="16" t="str">
        <x:v>P1</x:v>
      </x:c>
      <x:c r="F51" s="9" t="str">
        <x:v>Pistolet mitrailleur.</x:v>
      </x:c>
      <x:c r="G51" s="9" t="str">
        <x:v>Tir précis de soutien ; coût de préparation réduit à couvert dans l’adaptation.</x:v>
      </x:c>
      <x:c r="H51" s="9" t="str">
        <x:v>Tir précis de soutien ; coût de préparation réduit à couvert dans l’adaptation.</x:v>
      </x:c>
      <x:c r="I51" s="9" t="str">
        <x:v>Silhouette fine de SMG.</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Chroniques : src/universe-equipment.js, src/chronicles.js, src/combat.js. Identifiant runtime ME3-WPN-LOCUST ; contexte d’œuvre/segment et sélection de scène obligatoires.</x:v>
      </x:c>
      <x:c r="M51" s="9" t="str"/>
      <x:c r="N51" s="9" t="str">
        <x:v>Le livrable « M-12 Locust » possède une scène ou un scénario de contrôle ; ses règles proposées, ses conditions et ses retours visuels sont vérifiables séparément.</x:v>
      </x:c>
      <x:c r="O51" s="9" t="str"/>
      <x:c r="P51" s="9" t="str">
        <x:v>M-12 Locust</x:v>
      </x:c>
      <x:c r="Q51" s="9" t="str">
        <x:v>ME3-SRC-EQUIP</x:v>
      </x:c>
      <x:c r="R51" s="9" t="str">
        <x:v>https://masseffect.fandom.com/wiki/Equipment_Guide_%28Mass_Effect_3%29</x:v>
      </x:c>
      <x:c r="S5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2" ht="68" customHeight="1">
      <x:c r="A52" s="19" t="str">
        <x:v>ME3-WPN-HORNET</x:v>
      </x:c>
      <x:c r="B52" s="7" t="str">
        <x:v>M-25 Hornet</x:v>
      </x:c>
      <x:c r="C52" s="15" t="str">
        <x:v>Prototype</x:v>
      </x:c>
      <x:c r="D52" s="17" t="str">
        <x:v>Établi</x:v>
      </x:c>
      <x:c r="E52" s="17" t="str">
        <x:v>P1</x:v>
      </x:c>
      <x:c r="F52" s="7" t="str">
        <x:v>Pistolet mitrailleur.</x:v>
      </x:c>
      <x:c r="G52" s="7" t="str">
        <x:v>Salves courtes avec recul lisible ; aucun tir continu caché derrière animation de rafale.</x:v>
      </x:c>
      <x:c r="H52" s="7" t="str">
        <x:v>Salves courtes avec recul lisible ; aucun tir continu caché derrière animation de rafale.</x:v>
      </x:c>
      <x:c r="I52" s="7" t="str">
        <x:v>Boîtier Cerberus compact.</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Prototype Chroniques : src/universe-equipment.js, src/chronicles.js, src/combat.js. Identifiant runtime ME3-WPN-HORNET ; contexte d’œuvre/segment et sélection de scène obligatoires.</x:v>
      </x:c>
      <x:c r="M52" s="7" t="str"/>
      <x:c r="N52" s="7" t="str">
        <x:v>Le livrable « M-25 Hornet » possède une scène ou un scénario de contrôle ; ses règles proposées, ses conditions et ses retours visuels sont vérifiables séparément.</x:v>
      </x:c>
      <x:c r="O52" s="7" t="str"/>
      <x:c r="P52" s="7" t="str">
        <x:v>M-25 Hornet</x:v>
      </x:c>
      <x:c r="Q52" s="7" t="str">
        <x:v>ME3-SRC-EQUIP</x:v>
      </x:c>
      <x:c r="R52" s="7" t="str">
        <x:v>https://masseffect.fandom.com/wiki/Equipment_Guide_%28Mass_Effect_3%29</x:v>
      </x:c>
      <x:c r="S5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3" ht="68" customHeight="1">
      <x:c r="A53" s="18" t="str">
        <x:v>ME3-WPN-HURRICANE</x:v>
      </x:c>
      <x:c r="B53" s="9" t="str">
        <x:v>N7 Hurricane</x:v>
      </x:c>
      <x:c r="C53" s="15" t="str">
        <x:v>Défini</x:v>
      </x:c>
      <x:c r="D53" s="16" t="str">
        <x:v>Établi</x:v>
      </x:c>
      <x:c r="E53" s="16" t="str">
        <x:v>P1</x:v>
      </x:c>
      <x:c r="F53" s="9" t="str">
        <x:v>Pistolet mitrailleur N7.</x:v>
      </x:c>
      <x:c r="G53" s="9" t="str">
        <x:v>Débit très court et intense ; saturation proposée compensée par consommation affichée.</x:v>
      </x:c>
      <x:c r="H53" s="9" t="str">
        <x:v>Débit très court et intense ; saturation proposée compensée par consommation affichée.</x:v>
      </x:c>
      <x:c r="I53" s="9" t="str">
        <x:v>Arme N7 légère.</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me3/weapons/hurricane ; rattacher les ressources et états cités à cet identifiant. Aucun fichier de jeu créé par ce catalogue.</x:v>
      </x:c>
      <x:c r="M53" s="9" t="str">
        <x:v>Arsenal étendu selon édition.</x:v>
      </x:c>
      <x:c r="N53" s="9" t="str">
        <x:v>Le livrable « N7 Hurricane » possède une scène ou un scénario de contrôle ; ses règles proposées, ses conditions et ses retours visuels sont vérifiables séparément.</x:v>
      </x:c>
      <x:c r="O53" s="9" t="str"/>
      <x:c r="P53" s="9" t="str">
        <x:v>N7 Hurricane</x:v>
      </x:c>
      <x:c r="Q53" s="9" t="str">
        <x:v>ME3-SRC-EQUIP</x:v>
      </x:c>
      <x:c r="R53" s="9" t="str">
        <x:v>https://masseffect.fandom.com/wiki/Equipment_Guide_%28Mass_Effect_3%29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ME3-WPN-CAIN</x:v>
      </x:c>
      <x:c r="B54" s="7" t="str">
        <x:v>M-920 Cain — local</x:v>
      </x:c>
      <x:c r="C54" s="15" t="str">
        <x:v>Défini</x:v>
      </x:c>
      <x:c r="D54" s="17" t="str">
        <x:v>Établi</x:v>
      </x:c>
      <x:c r="E54" s="17" t="str">
        <x:v>P1</x:v>
      </x:c>
      <x:c r="F54" s="7" t="str">
        <x:v>Arme lourde de mission.</x:v>
      </x:c>
      <x:c r="G54" s="7" t="str">
        <x:v>Objet local à préparation forte et zone d’explosion immense ; empêcher auto-tir après annulation.</x:v>
      </x:c>
      <x:c r="H54" s="7" t="str">
        <x:v>Objet local à préparation forte et zone d’explosion immense ; empêcher auto-tir après annulation.</x:v>
      </x:c>
      <x:c r="I54" s="7" t="str">
        <x:v>Gros lanceur et charge visible.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me3/weapons/cain ; rattacher les ressources et états cités à cet identifiant. Aucun fichier de jeu créé par ce catalogue.</x:v>
      </x:c>
      <x:c r="M54" s="7" t="str">
        <x:v>Ne devient pas inventaire lourd permanent de ME2.</x:v>
      </x:c>
      <x:c r="N54" s="7" t="str">
        <x:v>Le livrable « M-920 Cain — local » possède une scène ou un scénario de contrôle ; ses règles proposées, ses conditions et ses retours visuels sont vérifiables séparément.</x:v>
      </x:c>
      <x:c r="O54" s="7" t="str"/>
      <x:c r="P54" s="7" t="str">
        <x:v>M-920 Cain — local</x:v>
      </x:c>
      <x:c r="Q54" s="7" t="str">
        <x:v>ME3-SRC-EQUIP</x:v>
      </x:c>
      <x:c r="R54" s="7" t="str">
        <x:v>https://masseffect.fandom.com/wiki/Equipment_Guide_%28Mass_Effect_3%29</x:v>
      </x:c>
      <x:c r="S54" s="7" t="str">
        <x:v>Spécification à réaliser. Les champs adaptation, gameplay, visual, animation, audio et implementation décrivent le fan game ; ils ne donnent pas des caractéristiques officielles de l’œuvre.</x:v>
      </x:c>
    </x:row>
    <x:row r="55" ht="68" customHeight="1">
      <x:c r="A55" s="18" t="str">
        <x:v>ME3-WPN-HYDRA</x:v>
      </x:c>
      <x:c r="B55" s="9" t="str">
        <x:v>M-560 Hydra — local</x:v>
      </x:c>
      <x:c r="C55" s="15" t="str">
        <x:v>Défini</x:v>
      </x:c>
      <x:c r="D55" s="16" t="str">
        <x:v>Établi</x:v>
      </x:c>
      <x:c r="E55" s="16" t="str">
        <x:v>P1</x:v>
      </x:c>
      <x:c r="F55" s="9" t="str">
        <x:v>Lanceur lourd local.</x:v>
      </x:c>
      <x:c r="G55" s="9" t="str">
        <x:v>Salve à verrouillage visible ; cible valide exigée avant consommation de la charge locale.</x:v>
      </x:c>
      <x:c r="H55" s="9" t="str">
        <x:v>Salve à verrouillage visible ; cible valide exigée avant consommation de la charge locale.</x:v>
      </x:c>
      <x:c r="I55" s="9" t="str">
        <x:v>Lanceur de missiles lourd.</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me3/weapons/hydra ; rattacher les ressources et états cités à cet identifiant. Aucun fichier de jeu créé par ce catalogue.</x:v>
      </x:c>
      <x:c r="M55" s="9" t="str">
        <x:v>Rencontre du site de bombe.</x:v>
      </x:c>
      <x:c r="N55" s="9" t="str">
        <x:v>Le livrable « M-560 Hydra — local » possède une scène ou un scénario de contrôle ; ses règles proposées, ses conditions et ses retours visuels sont vérifiables séparément.</x:v>
      </x:c>
      <x:c r="O55" s="9" t="str"/>
      <x:c r="P55" s="9" t="str">
        <x:v>M-560 Hydra — local</x:v>
      </x:c>
      <x:c r="Q55" s="9" t="str">
        <x:v>ME3-SRC-HYDRA</x:v>
      </x:c>
      <x:c r="R55" s="9" t="str">
        <x:v>https://masseffect.fandom.com/wiki/M-560_Hydra</x:v>
      </x:c>
      <x:c r="S55" s="9" t="str">
        <x:v>Spécification à réaliser. Les champs adaptation, gameplay, visual, animation, audio et implementation décrivent le fan game ; ils ne donnent pas des caractéristiques officielles de l’œuvre.</x:v>
      </x:c>
    </x:row>
    <x:row r="56" ht="68" customHeight="1">
      <x:c r="A56" s="19" t="str">
        <x:v>ME3-WPN-BLACKSTAR</x:v>
      </x:c>
      <x:c r="B56" s="7" t="str">
        <x:v>Reaper Blackstar — local</x:v>
      </x:c>
      <x:c r="C56" s="15" t="str">
        <x:v>Défini</x:v>
      </x:c>
      <x:c r="D56" s="17" t="str">
        <x:v>Établi</x:v>
      </x:c>
      <x:c r="E56" s="17" t="str">
        <x:v>P1</x:v>
      </x:c>
      <x:c r="F56" s="7" t="str">
        <x:v>Arme lourde trouvée en mission.</x:v>
      </x:c>
      <x:c r="G56" s="7" t="str">
        <x:v>Charge unique locale avec confirmation de zone ; état laissé sur place si non utilisé.</x:v>
      </x:c>
      <x:c r="H56" s="7" t="str">
        <x:v>Charge unique locale avec confirmation de zone ; état laissé sur place si non utilisé.</x:v>
      </x:c>
      <x:c r="I56" s="7" t="str">
        <x:v>Arme organique sombre.</x:v>
      </x:c>
      <x:c r="J56" s="7" t="str">
        <x:v>Préparer état de repos, anticipation, activation et retour au repos ; aligner les événements visuels sur la résolution de l’action ATB.</x:v>
      </x:c>
      <x:c r="K56" s="7" t="str">
        <x:v>Créer des bruitages et ambiances originaux adaptés au livrable ; sous-titrer les indices utiles et proposer un réglage indépendant des effets. Aucune extraction audio demandée.</x:v>
      </x:c>
      <x:c r="L56" s="7" t="str">
        <x:v>Prévu : fiche de données me3/weapons/blackstar ; rattacher les ressources et états cités à cet identifiant. Aucun fichier de jeu créé par ce catalogue.</x:v>
      </x:c>
      <x:c r="M56" s="7" t="str">
        <x:v>Ramassage en mission compatible.</x:v>
      </x:c>
      <x:c r="N56" s="7" t="str">
        <x:v>Le livrable « Reaper Blackstar — local » possède une scène ou un scénario de contrôle ; ses règles proposées, ses conditions et ses retours visuels sont vérifiables séparément.</x:v>
      </x:c>
      <x:c r="O56" s="7" t="str"/>
      <x:c r="P56" s="7" t="str">
        <x:v>Reaper Blackstar — local</x:v>
      </x:c>
      <x:c r="Q56" s="7" t="str">
        <x:v>ME3-SRC-BLACKSTAR</x:v>
      </x:c>
      <x:c r="R56" s="7" t="str">
        <x:v>https://masseffect.fandom.com/wiki/Reaper_Blackstar</x:v>
      </x:c>
      <x:c r="S56" s="7" t="str">
        <x:v>Spécification à réaliser. Les champs adaptation, gameplay, visual, animation, audio et implementation décrivent le fan game ; ils ne donnent pas des caractéristiques officielles de l’œuvre.</x:v>
      </x:c>
    </x:row>
    <x:row r="57" ht="68" customHeight="1">
      <x:c r="A57" s="18" t="str">
        <x:v>ME3-WPN-GETH-SOFT</x:v>
      </x:c>
      <x:c r="B57" s="9" t="str">
        <x:v>Geth Combat Software</x:v>
      </x:c>
      <x:c r="C57" s="15" t="str">
        <x:v>Défini</x:v>
      </x:c>
      <x:c r="D57" s="16" t="str">
        <x:v>Établi</x:v>
      </x:c>
      <x:c r="E57" s="16" t="str">
        <x:v>P1</x:v>
      </x:c>
      <x:c r="F57" s="9" t="str">
        <x:v>Outil du consensus geth.</x:v>
      </x:c>
      <x:c r="G57" s="9" t="str">
        <x:v>Action de nettoyage numérique seulement ; pas de dégâts sur organiques ni export dans loadout.</x:v>
      </x:c>
      <x:c r="H57" s="9" t="str">
        <x:v>Action de nettoyage numérique seulement ; pas de dégâts sur organiques ni export dans loadout.</x:v>
      </x:c>
      <x:c r="I57" s="9" t="str">
        <x:v>Faisceau et particules de données.</x:v>
      </x:c>
      <x:c r="J57" s="9" t="str">
        <x:v>Préparer état de repos, anticipation, activation et retour au repos ; aligner les événements visuels sur la résolution de l’action ATB.</x:v>
      </x:c>
      <x:c r="K57" s="9" t="str">
        <x:v>Créer des bruitages et ambiances originaux adaptés au livrable ; sous-titrer les indices utiles et proposer un réglage indépendant des effets. Aucune extraction audio demandée.</x:v>
      </x:c>
      <x:c r="L57" s="9" t="str">
        <x:v>Prévu : fiche de données me3/weapons/geth-soft ; rattacher les ressources et états cités à cet identifiant. Aucun fichier de jeu créé par ce catalogue.</x:v>
      </x:c>
      <x:c r="M57" s="9" t="str">
        <x:v>Consensus uniquement.</x:v>
      </x:c>
      <x:c r="N57" s="9" t="str">
        <x:v>Le livrable « Geth Combat Software » possède une scène ou un scénario de contrôle ; ses règles proposées, ses conditions et ses retours visuels sont vérifiables séparément.</x:v>
      </x:c>
      <x:c r="O57" s="9" t="str"/>
      <x:c r="P57" s="9" t="str">
        <x:v>Geth Combat Software</x:v>
      </x:c>
      <x:c r="Q57" s="9" t="str">
        <x:v>ME3-SRC-GETH-SOFT</x:v>
      </x:c>
      <x:c r="R57" s="9" t="str">
        <x:v>https://masseffect.fandom.com/wiki/Geth_Combat_Software</x:v>
      </x:c>
      <x:c r="S57" s="9" t="str">
        <x:v>Spécification à réaliser. Les champs adaptation, gameplay, visual, animation, audio et implementation décrivent le fan game ; ils ne donnent pas des caractéristiques officielles de l’œuvre.</x:v>
      </x:c>
    </x:row>
  </x:sheetData>
  <x:conditionalFormatting sqref="D7:D57">
    <x:cfRule type="cellIs" dxfId="56" priority="1" operator="equal">
      <x:formula>"À vérifier"</x:formula>
    </x:cfRule>
    <x:cfRule type="cellIs" dxfId="57" priority="2" operator="equal">
      <x:formula>"Extrapolation"</x:formula>
    </x:cfRule>
  </x:conditionalFormatting>
  <x:conditionalFormatting sqref="C7:C57">
    <x:cfRule type="cellIs" dxfId="58" priority="3" operator="equal">
      <x:formula>"Validé"</x:formula>
    </x:cfRule>
  </x:conditionalFormatting>
  <x:conditionalFormatting sqref="E7:E57">
    <x:cfRule type="cellIs" dxfId="59" priority="4" operator="equal">
      <x:formula>"P0"</x:formula>
    </x:cfRule>
  </x:conditionalFormatting>
  <x:dataValidations count="3">
    <x:dataValidation type="list" sqref="C7:C57">
      <x:formula1>"Défini,Prototype,Intégré,Validé"</x:formula1>
    </x:dataValidation>
    <x:dataValidation type="list" sqref="D7:D57">
      <x:formula1>"Établi,À vérifier,Extrapolation,Coupé attesté,Concept abandonné,Allégation écartée"</x:formula1>
    </x:dataValidation>
    <x:dataValidation type="list" sqref="E7:E57">
      <x:formula1>"P0,P1,P2"</x:formula1>
    </x:dataValidation>
  </x:dataValidations>
  <x:pageMargins left="0.7" right="0.7" top="0.75" bottom="0.75" header="0.3" footer="0.3"/>
  <x:tableParts count="1">
    <x:tablePart xmlns:r="http://schemas.openxmlformats.org/officeDocument/2006/relationships" r:id="R8d4ca71b414c4979"/>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3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ME3-EQP-N7</x:v>
      </x:c>
      <x:c r="B7" s="9" t="str">
        <x:v>Armure N7 personnalisable</x:v>
      </x:c>
      <x:c r="C7" s="15" t="str">
        <x:v>Prototype</x:v>
      </x:c>
      <x:c r="D7" s="16" t="str">
        <x:v>Établi</x:v>
      </x:c>
      <x:c r="E7" s="16" t="str">
        <x:v>P1</x:v>
      </x:c>
      <x:c r="F7" s="9" t="str">
        <x:v>Shepard dispose d’une armure modulaire.</x:v>
      </x:c>
      <x:c r="G7" s="9" t="str">
        <x:v>Séparer apparence, pièces et effet de statistiques proposé ; aperçu avant achat et restauration de la tenue précédente.</x:v>
      </x:c>
      <x:c r="H7" s="9" t="str">
        <x:v>Séparer apparence, pièces et effet de statistiques proposé ; aperçu avant achat et restauration de la tenue précédente.</x:v>
      </x:c>
      <x:c r="I7" s="9" t="str">
        <x:v>Plaques N7, couleur et matériau réglables.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ME3-EQP-AJAX</x:v>
      </x:c>
      <x:c r="B8" s="7" t="str">
        <x:v>Cerberus Ajax Armor</x:v>
      </x:c>
      <x:c r="C8" s="15" t="str">
        <x:v>Défini</x:v>
      </x:c>
      <x:c r="D8" s="17" t="str">
        <x:v>Établi</x:v>
      </x:c>
      <x:c r="E8" s="17" t="str">
        <x:v>P1</x:v>
      </x:c>
      <x:c r="F8" s="7" t="str">
        <x:v>Armure additionnelle.</x:v>
      </x:c>
      <x:c r="G8" s="7" t="str">
        <x:v>Preset d’armure complet avec silhouette Cerberus ; afficher les avantages proposés sans les attribuer au jeu source.</x:v>
      </x:c>
      <x:c r="H8" s="7" t="str">
        <x:v>Preset d’armure complet avec silhouette Cerberus ; afficher les avantages proposés sans les attribuer au jeu source.</x:v>
      </x:c>
      <x:c r="I8" s="7" t="str">
        <x:v>Armure Cerberus lourde.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me3/equipment/ajax ; rattacher les ressources et états cités à cet identifiant. Aucun fichier de jeu créé par ce catalogue.</x:v>
      </x:c>
      <x:c r="M8" s="7" t="str">
        <x:v>Acquisition différente en Legendary.</x:v>
      </x:c>
      <x:c r="N8" s="7" t="str">
        <x:v>Le livrable « Cerberus Ajax Armor » possède une scène ou un scénario de contrôle ; ses règles proposées, ses conditions et ses retours visuels sont vérifiables séparément.</x:v>
      </x:c>
      <x:c r="O8" s="7" t="str"/>
      <x:c r="P8" s="7" t="str">
        <x:v>Cerberus Ajax Armor</x:v>
      </x:c>
      <x:c r="Q8" s="7" t="str">
        <x:v>ME3-SRC-EA-CAL, ME3-SRC-EQUIP</x:v>
      </x:c>
      <x:c r="R8" s="7" t="str">
        <x:v>https://www.ea.com/ea-play/news/gameplay-calibrations
https://masseffect.fandom.com/wiki/Equipment_Guide_%28Mass_Effect_3%29</x:v>
      </x:c>
      <x:c r="S8" s="7" t="str">
        <x:v>Spécification à réaliser. Les champs adaptation, gameplay, visual, animation, audio et implementation décrivent le fan game ; ils ne donnent pas des caractéristiques officielles de l’œuvre.</x:v>
      </x:c>
    </x:row>
    <x:row r="9" ht="68" customHeight="1">
      <x:c r="A9" s="18" t="str">
        <x:v>ME3-EQP-INFERNO</x:v>
      </x:c>
      <x:c r="B9" s="9" t="str">
        <x:v>Inferno Armor</x:v>
      </x:c>
      <x:c r="C9" s="15" t="str">
        <x:v>Défini</x:v>
      </x:c>
      <x:c r="D9" s="16" t="str">
        <x:v>Établi</x:v>
      </x:c>
      <x:c r="E9" s="16" t="str">
        <x:v>P1</x:v>
      </x:c>
      <x:c r="F9" s="9" t="str">
        <x:v>Armure additionnelle.</x:v>
      </x:c>
      <x:c r="G9" s="9" t="str">
        <x:v>Preset orienté pouvoirs proposé ; pas de cumul caché avec pièces de tenue modulaire.</x:v>
      </x:c>
      <x:c r="H9" s="9" t="str">
        <x:v>Preset orienté pouvoirs proposé ; pas de cumul caché avec pièces de tenue modulaire.</x:v>
      </x:c>
      <x:c r="I9" s="9" t="str">
        <x:v>Armure orange profilée.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me3/equipment/inferno ; rattacher les ressources et états cités à cet identifiant. Aucun fichier de jeu créé par ce catalogue.</x:v>
      </x:c>
      <x:c r="M9" s="9" t="str">
        <x:v>Pack / édition.</x:v>
      </x:c>
      <x:c r="N9" s="9" t="str">
        <x:v>Le livrable « Inferno Armor » possède une scène ou un scénario de contrôle ; ses règles proposées, ses conditions et ses retours visuels sont vérifiables séparément.</x:v>
      </x:c>
      <x:c r="O9" s="9" t="str"/>
      <x:c r="P9" s="9" t="str">
        <x:v>Inferno Armor</x:v>
      </x:c>
      <x:c r="Q9" s="9" t="str">
        <x:v>ME3-SRC-EQUIP</x:v>
      </x:c>
      <x:c r="R9" s="9" t="str">
        <x:v>https://masseffect.fandom.com/wiki/Equipment_Guide_%28Mass_Effect_3%29</x:v>
      </x:c>
      <x:c r="S9" s="9" t="str">
        <x:v>Spécification à réaliser. Les champs adaptation, gameplay, visual, animation, audio et implementation décrivent le fan game ; ils ne donnent pas des caractéristiques officielles de l’œuvre.</x:v>
      </x:c>
    </x:row>
    <x:row r="10" ht="68" customHeight="1">
      <x:c r="A10" s="19" t="str">
        <x:v>ME3-EQP-BLOOD-DRAGON</x:v>
      </x:c>
      <x:c r="B10" s="7" t="str">
        <x:v>Blood Dragon Armor</x:v>
      </x:c>
      <x:c r="C10" s="15" t="str">
        <x:v>Défini</x:v>
      </x:c>
      <x:c r="D10" s="17" t="str">
        <x:v>Établi</x:v>
      </x:c>
      <x:c r="E10" s="17" t="str">
        <x:v>P1</x:v>
      </x:c>
      <x:c r="F10" s="7" t="str">
        <x:v>Armure additionnelle.</x:v>
      </x:c>
      <x:c r="G10" s="7" t="str">
        <x:v>Tenue de récompense avec identité visuelle particulière ; garder sa provenance promotionnelle hors diégèse.</x:v>
      </x:c>
      <x:c r="H10" s="7" t="str">
        <x:v>Tenue de récompense avec identité visuelle particulière ; garder sa provenance promotionnelle hors diégèse.</x:v>
      </x:c>
      <x:c r="I10" s="7" t="str">
        <x:v>Plaques médiévales stylisées et motif rouge.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me3/equipment/blood-dragon ; rattacher les ressources et états cités à cet identifiant. Aucun fichier de jeu créé par ce catalogue.</x:v>
      </x:c>
      <x:c r="M10" s="7" t="str">
        <x:v>Pack / édition.</x:v>
      </x:c>
      <x:c r="N10" s="7" t="str">
        <x:v>Le livrable « Blood Dragon Armor » possède une scène ou un scénario de contrôle ; ses règles proposées, ses conditions et ses retours visuels sont vérifiables séparément.</x:v>
      </x:c>
      <x:c r="O10" s="7" t="str"/>
      <x:c r="P10" s="7" t="str">
        <x:v>Blood Dragon Armor</x:v>
      </x:c>
      <x:c r="Q10" s="7" t="str">
        <x:v>ME3-SRC-EQUIP</x:v>
      </x:c>
      <x:c r="R10" s="7" t="str">
        <x:v>https://masseffect.fandom.com/wiki/Equipment_Guide_%28Mass_Effect_3%29</x:v>
      </x:c>
      <x:c r="S10" s="7" t="str">
        <x:v>Spécification à réaliser. Les champs adaptation, gameplay, visual, animation, audio et implementation décrivent le fan game ; ils ne donnent pas des caractéristiques officielles de l’œuvre.</x:v>
      </x:c>
    </x:row>
    <x:row r="11" ht="68" customHeight="1">
      <x:c r="A11" s="18" t="str">
        <x:v>ME3-EQP-COLLECTOR</x:v>
      </x:c>
      <x:c r="B11" s="9" t="str">
        <x:v>Collector Armor</x:v>
      </x:c>
      <x:c r="C11" s="15" t="str">
        <x:v>Défini</x:v>
      </x:c>
      <x:c r="D11" s="16" t="str">
        <x:v>Établi</x:v>
      </x:c>
      <x:c r="E11" s="16" t="str">
        <x:v>P1</x:v>
      </x:c>
      <x:c r="F11" s="9" t="str">
        <x:v>Armure additionnelle.</x:v>
      </x:c>
      <x:c r="G11" s="9" t="str">
        <x:v>Preset organique avec masque ; sous-titres et portrait assurent la lecture des dialogues.</x:v>
      </x:c>
      <x:c r="H11" s="9" t="str">
        <x:v>Preset organique avec masque ; sous-titres et portrait assurent la lecture des dialogues.</x:v>
      </x:c>
      <x:c r="I11" s="9" t="str">
        <x:v>Carapace de type Récolteur.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me3/equipment/collector ; rattacher les ressources et états cités à cet identifiant. Aucun fichier de jeu créé par ce catalogue.</x:v>
      </x:c>
      <x:c r="M11" s="9" t="str">
        <x:v>Pack / édition.</x:v>
      </x:c>
      <x:c r="N11" s="9" t="str">
        <x:v>Le livrable « Collector Armor » possède une scène ou un scénario de contrôle ; ses règles proposées, ses conditions et ses retours visuels sont vérifiables séparément.</x:v>
      </x:c>
      <x:c r="O11" s="9" t="str"/>
      <x:c r="P11" s="9" t="str">
        <x:v>Collector Armor</x:v>
      </x:c>
      <x:c r="Q11" s="9" t="str">
        <x:v>ME3-SRC-EQUIP</x:v>
      </x:c>
      <x:c r="R11" s="9" t="str">
        <x:v>https://masseffect.fandom.com/wiki/Equipment_Guide_%28Mass_Effect_3%29</x:v>
      </x:c>
      <x:c r="S11" s="9" t="str">
        <x:v>Spécification à réaliser. Les champs adaptation, gameplay, visual, animation, audio et implementation décrivent le fan game ; ils ne donnent pas des caractéristiques officielles de l’œuvre.</x:v>
      </x:c>
    </x:row>
    <x:row r="12" ht="68" customHeight="1">
      <x:c r="A12" s="19" t="str">
        <x:v>ME3-EQP-TERMINUS</x:v>
      </x:c>
      <x:c r="B12" s="7" t="str">
        <x:v>Terminus Assault Armor</x:v>
      </x:c>
      <x:c r="C12" s="15" t="str">
        <x:v>Défini</x:v>
      </x:c>
      <x:c r="D12" s="17" t="str">
        <x:v>Établi</x:v>
      </x:c>
      <x:c r="E12" s="17" t="str">
        <x:v>P1</x:v>
      </x:c>
      <x:c r="F12" s="7" t="str">
        <x:v>Armure additionnelle.</x:v>
      </x:c>
      <x:c r="G12" s="7" t="str">
        <x:v>Preset sombre de combat ; contraste de bord adapté aux couloirs noirs.</x:v>
      </x:c>
      <x:c r="H12" s="7" t="str">
        <x:v>Preset sombre de combat ; contraste de bord adapté aux couloirs noirs.</x:v>
      </x:c>
      <x:c r="I12" s="7" t="str">
        <x:v>Armure noire et casque fermé.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me3/equipment/terminus ; rattacher les ressources et états cités à cet identifiant. Aucun fichier de jeu créé par ce catalogue.</x:v>
      </x:c>
      <x:c r="M12" s="7" t="str">
        <x:v>Pack / édition.</x:v>
      </x:c>
      <x:c r="N12" s="7" t="str">
        <x:v>Le livrable « Terminus Assault Armor » possède une scène ou un scénario de contrôle ; ses règles proposées, ses conditions et ses retours visuels sont vérifiables séparément.</x:v>
      </x:c>
      <x:c r="O12" s="7" t="str"/>
      <x:c r="P12" s="7" t="str">
        <x:v>Terminus Assault Armor</x:v>
      </x:c>
      <x:c r="Q12" s="7" t="str">
        <x:v>ME3-SRC-EQUIP</x:v>
      </x:c>
      <x:c r="R12" s="7" t="str">
        <x:v>https://masseffect.fandom.com/wiki/Equipment_Guide_%28Mass_Effect_3%29</x:v>
      </x:c>
      <x:c r="S12" s="7" t="str">
        <x:v>Spécification à réaliser. Les champs adaptation, gameplay, visual, animation, audio et implementation décrivent le fan game ; ils ne donnent pas des caractéristiques officielles de l’œuvre.</x:v>
      </x:c>
    </x:row>
    <x:row r="13" ht="68" customHeight="1">
      <x:c r="A13" s="18" t="str">
        <x:v>ME3-EQP-CERBERUS</x:v>
      </x:c>
      <x:c r="B13" s="9" t="str">
        <x:v>Cerberus Assault Armor</x:v>
      </x:c>
      <x:c r="C13" s="15" t="str">
        <x:v>Défini</x:v>
      </x:c>
      <x:c r="D13" s="16" t="str">
        <x:v>Établi</x:v>
      </x:c>
      <x:c r="E13" s="16" t="str">
        <x:v>P1</x:v>
      </x:c>
      <x:c r="F13" s="9" t="str">
        <x:v>Armure additionnelle.</x:v>
      </x:c>
      <x:c r="G13" s="9" t="str">
        <x:v>Tenue complète distincte de l’Ajax ; inspecteur de pièces interdit les combinaisons non prévues.</x:v>
      </x:c>
      <x:c r="H13" s="9" t="str">
        <x:v>Tenue complète distincte de l’Ajax ; inspecteur de pièces interdit les combinaisons non prévues.</x:v>
      </x:c>
      <x:c r="I13" s="9" t="str">
        <x:v>Blanc, noir et orange.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me3/equipment/cerberus ; rattacher les ressources et états cités à cet identifiant. Aucun fichier de jeu créé par ce catalogue.</x:v>
      </x:c>
      <x:c r="M13" s="9" t="str">
        <x:v>Pack / édition.</x:v>
      </x:c>
      <x:c r="N13" s="9" t="str">
        <x:v>Le livrable « Cerberus Assault Armor » possède une scène ou un scénario de contrôle ; ses règles proposées, ses conditions et ses retours visuels sont vérifiables séparément.</x:v>
      </x:c>
      <x:c r="O13" s="9" t="str"/>
      <x:c r="P13" s="9" t="str">
        <x:v>Cerberus Assault Armor</x:v>
      </x:c>
      <x:c r="Q13" s="9" t="str">
        <x:v>ME3-SRC-EQUIP</x:v>
      </x:c>
      <x:c r="R13" s="9" t="str">
        <x:v>https://masseffect.fandom.com/wiki/Equipment_Guide_%28Mass_Effect_3%29</x:v>
      </x:c>
      <x:c r="S13" s="9" t="str">
        <x:v>Spécification à réaliser. Les champs adaptation, gameplay, visual, animation, audio et implementation décrivent le fan game ; ils ne donnent pas des caractéristiques officielles de l’œuvre.</x:v>
      </x:c>
    </x:row>
    <x:row r="14" ht="68" customHeight="1">
      <x:c r="A14" s="19" t="str">
        <x:v>ME3-EQP-ROSENKOV</x:v>
      </x:c>
      <x:c r="B14" s="7" t="str">
        <x:v>Pièces Rosenkov Materials</x:v>
      </x:c>
      <x:c r="C14" s="15" t="str">
        <x:v>Défini</x:v>
      </x:c>
      <x:c r="D14" s="17" t="str">
        <x:v>Établi</x:v>
      </x:c>
      <x:c r="E14" s="17" t="str">
        <x:v>P1</x:v>
      </x:c>
      <x:c r="F14" s="7" t="str">
        <x:v>Fabricant d’armure présent dans ME3.</x:v>
      </x:c>
      <x:c r="G14" s="7" t="str">
        <x:v>Composants à tags et emplacement ; tableau de comparaison par rôle de pouvoir proposé.</x:v>
      </x:c>
      <x:c r="H14" s="7" t="str">
        <x:v>Composants à tags et emplacement ; tableau de comparaison par rôle de pouvoir proposé.</x:v>
      </x:c>
      <x:c r="I14" s="7" t="str">
        <x:v>Pièces tactiques uniformes.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me3/equipment/rosenkov ; rattacher les ressources et états cités à cet identifiant. Aucun fichier de jeu créé par ce catalogue.</x:v>
      </x:c>
      <x:c r="M14" s="7" t="str"/>
      <x:c r="N14" s="7" t="str">
        <x:v>Le livrable « Pièces Rosenkov Materials » possède une scène ou un scénario de contrôle ; ses règles proposées, ses conditions et ses retours visuels sont vérifiables séparément.</x:v>
      </x:c>
      <x:c r="O14" s="7" t="str"/>
      <x:c r="P14" s="7" t="str">
        <x:v>Pièces Rosenkov Materials</x:v>
      </x:c>
      <x:c r="Q14" s="7" t="str">
        <x:v>ME3-SRC-EQUIP</x:v>
      </x:c>
      <x:c r="R14" s="7" t="str">
        <x:v>https://masseffect.fandom.com/wiki/Equipment_Guide_%28Mass_Effect_3%29</x:v>
      </x:c>
      <x:c r="S14" s="7" t="str">
        <x:v>Spécification à réaliser. Les champs adaptation, gameplay, visual, animation, audio et implementation décrivent le fan game ; ils ne donnent pas des caractéristiques officielles de l’œuvre.</x:v>
      </x:c>
    </x:row>
    <x:row r="15" ht="68" customHeight="1">
      <x:c r="A15" s="18" t="str">
        <x:v>ME3-EQP-SERRICE</x:v>
      </x:c>
      <x:c r="B15" s="9" t="str">
        <x:v>Pièces Serrice Council</x:v>
      </x:c>
      <x:c r="C15" s="15" t="str">
        <x:v>Défini</x:v>
      </x:c>
      <x:c r="D15" s="16" t="str">
        <x:v>Établi</x:v>
      </x:c>
      <x:c r="E15" s="16" t="str">
        <x:v>P1</x:v>
      </x:c>
      <x:c r="F15" s="9" t="str">
        <x:v>Famille d’armure.</x:v>
      </x:c>
      <x:c r="G15" s="9" t="str">
        <x:v>Pièces orientées biotique dans l’adaptation ; effets lisibles sans bonus de set inventé comme canon.</x:v>
      </x:c>
      <x:c r="H15" s="9" t="str">
        <x:v>Pièces orientées biotique dans l’adaptation ; effets lisibles sans bonus de set inventé comme canon.</x:v>
      </x:c>
      <x:c r="I15" s="9" t="str">
        <x:v>Formes lisses et détails techniques.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me3/equipment/serrice ; rattacher les ressources et états cités à cet identifiant. Aucun fichier de jeu créé par ce catalogue.</x:v>
      </x:c>
      <x:c r="M15" s="9" t="str"/>
      <x:c r="N15" s="9" t="str">
        <x:v>Le livrable « Pièces Serrice Council » possède une scène ou un scénario de contrôle ; ses règles proposées, ses conditions et ses retours visuels sont vérifiables séparément.</x:v>
      </x:c>
      <x:c r="O15" s="9" t="str"/>
      <x:c r="P15" s="9" t="str">
        <x:v>Pièces Serrice Council</x:v>
      </x:c>
      <x:c r="Q15" s="9" t="str">
        <x:v>ME3-SRC-EQUIP</x:v>
      </x:c>
      <x:c r="R15" s="9" t="str">
        <x:v>https://masseffect.fandom.com/wiki/Equipment_Guide_%28Mass_Effect_3%29</x:v>
      </x:c>
      <x:c r="S15" s="9" t="str">
        <x:v>Spécification à réaliser. Les champs adaptation, gameplay, visual, animation, audio et implementation décrivent le fan game ; ils ne donnent pas des caractéristiques officielles de l’œuvre.</x:v>
      </x:c>
    </x:row>
    <x:row r="16" ht="68" customHeight="1">
      <x:c r="A16" s="19" t="str">
        <x:v>ME3-EQP-HANNES</x:v>
      </x:c>
      <x:c r="B16" s="7" t="str">
        <x:v>Pièces Hahne-Kedar</x:v>
      </x:c>
      <x:c r="C16" s="15" t="str">
        <x:v>Défini</x:v>
      </x:c>
      <x:c r="D16" s="17" t="str">
        <x:v>Établi</x:v>
      </x:c>
      <x:c r="E16" s="17" t="str">
        <x:v>P1</x:v>
      </x:c>
      <x:c r="F16" s="7" t="str">
        <x:v>Famille d’armure.</x:v>
      </x:c>
      <x:c r="G16" s="7" t="str">
        <x:v>Proposition de bonus d’arme par emplacement ; rendre visibles les contreparties choisies.</x:v>
      </x:c>
      <x:c r="H16" s="7" t="str">
        <x:v>Proposition de bonus d’arme par emplacement ; rendre visibles les contreparties choisies.</x:v>
      </x:c>
      <x:c r="I16" s="7" t="str">
        <x:v>Plaques militaires fonctionnelles.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me3/equipment/hannes ; rattacher les ressources et états cités à cet identifiant. Aucun fichier de jeu créé par ce catalogue.</x:v>
      </x:c>
      <x:c r="M16" s="7" t="str"/>
      <x:c r="N16" s="7" t="str">
        <x:v>Le livrable « Pièces Hahne-Kedar » possède une scène ou un scénario de contrôle ; ses règles proposées, ses conditions et ses retours visuels sont vérifiables séparément.</x:v>
      </x:c>
      <x:c r="O16" s="7" t="str"/>
      <x:c r="P16" s="7" t="str">
        <x:v>Pièces Hahne-Kedar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ME3-EQP-KASSA</x:v>
      </x:c>
      <x:c r="B17" s="9" t="str">
        <x:v>Pièces Kassa Fabrication</x:v>
      </x:c>
      <x:c r="C17" s="15" t="str">
        <x:v>Défini</x:v>
      </x:c>
      <x:c r="D17" s="16" t="str">
        <x:v>Établi</x:v>
      </x:c>
      <x:c r="E17" s="16" t="str">
        <x:v>P1</x:v>
      </x:c>
      <x:c r="F17" s="9" t="str">
        <x:v>Famille d’armure.</x:v>
      </x:c>
      <x:c r="G17" s="9" t="str">
        <x:v>Proposition de résistance et maintien des protections ; effets séparés par pièce.</x:v>
      </x:c>
      <x:c r="H17" s="9" t="str">
        <x:v>Proposition de résistance et maintien des protections ; effets séparés par pièce.</x:v>
      </x:c>
      <x:c r="I17" s="9" t="str">
        <x:v>Plaques renforcées.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me3/equipment/kassa ; rattacher les ressources et états cités à cet identifiant. Aucun fichier de jeu créé par ce catalogue.</x:v>
      </x:c>
      <x:c r="M17" s="9" t="str"/>
      <x:c r="N17" s="9" t="str">
        <x:v>Le livrable « Pièces Kassa Fabrication » possède une scène ou un scénario de contrôle ; ses règles proposées, ses conditions et ses retours visuels sont vérifiables séparément.</x:v>
      </x:c>
      <x:c r="O17" s="9" t="str"/>
      <x:c r="P17" s="9" t="str">
        <x:v>Pièces Kassa Fabrication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ME3-EQP-ARIAKE</x:v>
      </x:c>
      <x:c r="B18" s="7" t="str">
        <x:v>Pièces Ariake Technologies</x:v>
      </x:c>
      <x:c r="C18" s="15" t="str">
        <x:v>Défini</x:v>
      </x:c>
      <x:c r="D18" s="17" t="str">
        <x:v>Établi</x:v>
      </x:c>
      <x:c r="E18" s="17" t="str">
        <x:v>P1</x:v>
      </x:c>
      <x:c r="F18" s="7" t="str">
        <x:v>Famille d’armure.</x:v>
      </x:c>
      <x:c r="G18" s="7" t="str">
        <x:v>Effets de mobilité et mêlée proposés ; ne pas partager l’ID d’un objet nommé d’un autre fabricant.</x:v>
      </x:c>
      <x:c r="H18" s="7" t="str">
        <x:v>Effets de mobilité et mêlée proposés ; ne pas partager l’ID d’un objet nommé d’un autre fabricant.</x:v>
      </x:c>
      <x:c r="I18" s="7" t="str">
        <x:v>Plaques articulées.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me3/equipment/ariake ; rattacher les ressources et états cités à cet identifiant. Aucun fichier de jeu créé par ce catalogue.</x:v>
      </x:c>
      <x:c r="M18" s="7" t="str"/>
      <x:c r="N18" s="7" t="str">
        <x:v>Le livrable « Pièces Ariake Technologies » possède une scène ou un scénario de contrôle ; ses règles proposées, ses conditions et ses retours visuels sont vérifiables séparément.</x:v>
      </x:c>
      <x:c r="O18" s="7" t="str"/>
      <x:c r="P18" s="7" t="str">
        <x:v>Pièces Ariake Technologies</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ME3-EQP-SENTRY</x:v>
      </x:c>
      <x:c r="B19" s="9" t="str">
        <x:v>Sentry Interface</x:v>
      </x:c>
      <x:c r="C19" s="15" t="str">
        <x:v>Défini</x:v>
      </x:c>
      <x:c r="D19" s="16" t="str">
        <x:v>Établi</x:v>
      </x:c>
      <x:c r="E19" s="16" t="str">
        <x:v>P1</x:v>
      </x:c>
      <x:c r="F19" s="9" t="str">
        <x:v>Casque de l’arsenal.</x:v>
      </x:c>
      <x:c r="G19" s="9" t="str">
        <x:v>Affichage de protection proposé ; option casque masqué en dialogue sans retirer ses effets.</x:v>
      </x:c>
      <x:c r="H19" s="9" t="str">
        <x:v>Affichage de protection proposé ; option casque masqué en dialogue sans retirer ses effets.</x:v>
      </x:c>
      <x:c r="I19" s="9" t="str">
        <x:v>Visière électronique.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me3/equipment/sentry ; rattacher les ressources et états cités à cet identifiant. Aucun fichier de jeu créé par ce catalogue.</x:v>
      </x:c>
      <x:c r="M19" s="9" t="str"/>
      <x:c r="N19" s="9" t="str">
        <x:v>Le livrable « Sentry Interface » possède une scène ou un scénario de contrôle ; ses règles proposées, ses conditions et ses retours visuels sont vérifiables séparément.</x:v>
      </x:c>
      <x:c r="O19" s="9" t="str"/>
      <x:c r="P19" s="9" t="str">
        <x:v>Sentry Interface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ME3-EQP-DEATH-MASK</x:v>
      </x:c>
      <x:c r="B20" s="7" t="str">
        <x:v>Death Mask</x:v>
      </x:c>
      <x:c r="C20" s="15" t="str">
        <x:v>Défini</x:v>
      </x:c>
      <x:c r="D20" s="17" t="str">
        <x:v>Établi</x:v>
      </x:c>
      <x:c r="E20" s="17" t="str">
        <x:v>P1</x:v>
      </x:c>
      <x:c r="F20" s="7" t="str">
        <x:v>Casque de l’arsenal.</x:v>
      </x:c>
      <x:c r="G20" s="7" t="str">
        <x:v>Silhouette alternative ; préserver lisibilité des expressions par portrait en dialogue.</x:v>
      </x:c>
      <x:c r="H20" s="7" t="str">
        <x:v>Silhouette alternative ; préserver lisibilité des expressions par portrait en dialogue.</x:v>
      </x:c>
      <x:c r="I20" s="7" t="str">
        <x:v>Masque fermé sombre.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me3/equipment/death-mask ; rattacher les ressources et états cités à cet identifiant. Aucun fichier de jeu créé par ce catalogue.</x:v>
      </x:c>
      <x:c r="M20" s="7" t="str"/>
      <x:c r="N20" s="7" t="str">
        <x:v>Le livrable « Death Mask » possède une scène ou un scénario de contrôle ; ses règles proposées, ses conditions et ses retours visuels sont vérifiables séparément.</x:v>
      </x:c>
      <x:c r="O20" s="7" t="str"/>
      <x:c r="P20" s="7" t="str">
        <x:v>Death Mask</x:v>
      </x:c>
      <x:c r="Q20" s="7" t="str">
        <x:v>ME3-SRC-EQUIP</x:v>
      </x:c>
      <x:c r="R20" s="7" t="str">
        <x:v>https://masseffect.fandom.com/wiki/Equipment_Guide_%28Mass_Effect_3%29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ME3-EQP-WEAPON-MODS</x:v>
      </x:c>
      <x:c r="B21" s="9" t="str">
        <x:v>Mods d’armes</x:v>
      </x:c>
      <x:c r="C21" s="15" t="str">
        <x:v>Défini</x:v>
      </x:c>
      <x:c r="D21" s="16" t="str">
        <x:v>Établi</x:v>
      </x:c>
      <x:c r="E21" s="16" t="str">
        <x:v>P1</x:v>
      </x:c>
      <x:c r="F21" s="9" t="str">
        <x:v>Les armes reçoivent des modifications.</x:v>
      </x:c>
      <x:c r="G21" s="9" t="str">
        <x:v>Deux emplacements proposés si retenus par design ; compatibilités par catégorie, aucun double mod incompatible silencieux.</x:v>
      </x:c>
      <x:c r="H21" s="9" t="str">
        <x:v>Deux emplacements proposés si retenus par design ; compatibilités par catégorie, aucun double mod incompatible silencieux.</x:v>
      </x:c>
      <x:c r="I21" s="9" t="str">
        <x:v>Slots et aperçu sur arme.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me3/equipment/weapon-mods ; rattacher les ressources et états cités à cet identifiant. Aucun fichier de jeu créé par ce catalogue.</x:v>
      </x:c>
      <x:c r="M21" s="9" t="str"/>
      <x:c r="N21" s="9" t="str">
        <x:v>Le livrable « Mods d’armes » possède une scène ou un scénario de contrôle ; ses règles proposées, ses conditions et ses retours visuels sont vérifiables séparément.</x:v>
      </x:c>
      <x:c r="O21" s="9" t="str"/>
      <x:c r="P21" s="9" t="str">
        <x:v>Mods d’armes</x:v>
      </x:c>
      <x:c r="Q21" s="9" t="str">
        <x:v>ME3-SRC-EQUIP</x:v>
      </x:c>
      <x:c r="R21" s="9" t="str">
        <x:v>https://masseffect.fandom.com/wiki/Equipment_Guide_%28Mass_Effect_3%29</x:v>
      </x:c>
      <x:c r="S21" s="9" t="str">
        <x:v>Spécification à réaliser. Les champs adaptation, gameplay, visual, animation, audio et implementation décrivent le fan game ; ils ne donnent pas des caractéristiques officielles de l’œuvre.</x:v>
      </x:c>
    </x:row>
    <x:row r="22" ht="82" customHeight="1">
      <x:c r="A22" s="19" t="str">
        <x:v>ME3-EQP-BARREL</x:v>
      </x:c>
      <x:c r="B22" s="7" t="str">
        <x:v>Canon et dégâts — mod</x:v>
      </x:c>
      <x:c r="C22" s="15" t="str">
        <x:v>Prototype</x:v>
      </x:c>
      <x:c r="D22" s="17" t="str">
        <x:v>Établi</x:v>
      </x:c>
      <x:c r="E22" s="17" t="str">
        <x:v>P1</x:v>
      </x:c>
      <x:c r="F22" s="7" t="str">
        <x:v>Famille de modification.</x:v>
      </x:c>
      <x:c r="G22" s="7" t="str">
        <x:v>Compromis de puissance proposé visible avant validation ; recalcul unique, pas de double application au projectile.</x:v>
      </x:c>
      <x:c r="H22" s="7" t="str">
        <x:v>Compromis de puissance proposé visible avant validation ; recalcul unique, pas de double application au projectile.</x:v>
      </x:c>
      <x:c r="I22" s="7" t="str">
        <x:v>Icône canon et comparaison chiffrée de fan game.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de famille : ME3-EQP-BARREL dans src/universe-equipment.js ; deux ports de modules sur fusil d’assaut ME3 conventionnel à clips, préparation d’atelier seulement. Aucun modèle ou rang original certifié.</x:v>
      </x:c>
      <x:c r="M22" s="7" t="str"/>
      <x:c r="N22" s="7" t="str">
        <x:v>Le livrable « Canon et dégâts — mod » possède une scène ou un scénario de contrôle ; ses règles proposées, ses conditions et ses retours visuels sont vérifiables séparément.</x:v>
      </x:c>
      <x:c r="O22" s="7" t="str"/>
      <x:c r="P22" s="7" t="str">
        <x:v>Canon et dégâts — mod</x:v>
      </x:c>
      <x:c r="Q22" s="7" t="str">
        <x:v>ME3-SRC-EQUIP</x:v>
      </x:c>
      <x:c r="R22" s="7" t="str">
        <x:v>https://masseffect.fandom.com/wiki/Equipment_Guide_%28Mass_Effect_3%29</x:v>
      </x:c>
      <x:c r="S22"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3" ht="68" customHeight="1">
      <x:c r="A23" s="18" t="str">
        <x:v>ME3-EQP-SCOPE</x:v>
      </x:c>
      <x:c r="B23" s="9" t="str">
        <x:v>Lunette — mod</x:v>
      </x:c>
      <x:c r="C23" s="15" t="str">
        <x:v>Défini</x:v>
      </x:c>
      <x:c r="D23" s="16" t="str">
        <x:v>Établi</x:v>
      </x:c>
      <x:c r="E23" s="16" t="str">
        <x:v>P1</x:v>
      </x:c>
      <x:c r="F23" s="9" t="str">
        <x:v>Famille de modification.</x:v>
      </x:c>
      <x:c r="G23" s="9" t="str">
        <x:v>Aide de cible et précision proposées ; caméra ne change pas brutalement en ATB isométrique.</x:v>
      </x:c>
      <x:c r="H23" s="9" t="str">
        <x:v>Aide de cible et précision proposées ; caméra ne change pas brutalement en ATB isométrique.</x:v>
      </x:c>
      <x:c r="I23" s="9" t="str">
        <x:v>Petit viseur et cône de précision.</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me3/equipment/scope ; rattacher les ressources et états cités à cet identifiant. Aucun fichier de jeu créé par ce catalogue.</x:v>
      </x:c>
      <x:c r="M23" s="9" t="str"/>
      <x:c r="N23" s="9" t="str">
        <x:v>Le livrable « Lunette — mod » possède une scène ou un scénario de contrôle ; ses règles proposées, ses conditions et ses retours visuels sont vérifiables séparément.</x:v>
      </x:c>
      <x:c r="O23" s="9" t="str"/>
      <x:c r="P23" s="9" t="str">
        <x:v>Lunette — mod</x:v>
      </x:c>
      <x:c r="Q23" s="9" t="str">
        <x:v>ME3-SRC-EQUIP</x:v>
      </x:c>
      <x:c r="R23" s="9" t="str">
        <x:v>https://masseffect.fandom.com/wiki/Equipment_Guide_%28Mass_Effect_3%29</x:v>
      </x:c>
      <x:c r="S23" s="9" t="str">
        <x:v>Spécification à réaliser. Les champs adaptation, gameplay, visual, animation, audio et implementation décrivent le fan game ; ils ne donnent pas des caractéristiques officielles de l’œuvre.</x:v>
      </x:c>
    </x:row>
    <x:row r="24" ht="82" customHeight="1">
      <x:c r="A24" s="19" t="str">
        <x:v>ME3-EQP-MAGAZINE</x:v>
      </x:c>
      <x:c r="B24" s="7" t="str">
        <x:v>Chargeur — mod</x:v>
      </x:c>
      <x:c r="C24" s="15" t="str">
        <x:v>Prototype</x:v>
      </x:c>
      <x:c r="D24" s="17" t="str">
        <x:v>Établi</x:v>
      </x:c>
      <x:c r="E24" s="17" t="str">
        <x:v>P1</x:v>
      </x:c>
      <x:c r="F24" s="7" t="str">
        <x:v>Famille de modification.</x:v>
      </x:c>
      <x:c r="G24" s="7" t="str">
        <x:v>Augmenter réserve de chargeur proposée ; rechargement plein lors d’un changement interdit hors zone sûre.</x:v>
      </x:c>
      <x:c r="H24" s="7" t="str">
        <x:v>Augmenter réserve de chargeur proposée ; rechargement plein lors d’un changement interdit hors zone sûre.</x:v>
      </x:c>
      <x:c r="I24" s="7" t="str">
        <x:v>Chargeur et compteur.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de famille : ME3-EQP-MAGAZINE dans src/universe-equipment.js ; deux ports de modules sur fusil d’assaut ME3 conventionnel à clips, préparation d’atelier seulement. Aucun modèle ou rang original certifié.</x:v>
      </x:c>
      <x:c r="M24" s="7" t="str"/>
      <x:c r="N24" s="7" t="str">
        <x:v>Le livrable « Chargeur — mod » possède une scène ou un scénario de contrôle ; ses règles proposées, ses conditions et ses retours visuels sont vérifiables séparément.</x:v>
      </x:c>
      <x:c r="O24" s="7" t="str"/>
      <x:c r="P24" s="7" t="str">
        <x:v>Chargeur — mod</x:v>
      </x:c>
      <x:c r="Q24" s="7" t="str">
        <x:v>ME3-SRC-EQUIP</x:v>
      </x:c>
      <x:c r="R24" s="7" t="str">
        <x:v>https://masseffect.fandom.com/wiki/Equipment_Guide_%28Mass_Effect_3%29</x:v>
      </x:c>
      <x:c r="S24"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5" ht="68" customHeight="1">
      <x:c r="A25" s="18" t="str">
        <x:v>ME3-EQP-ULTRALIGHT</x:v>
      </x:c>
      <x:c r="B25" s="9" t="str">
        <x:v>Matériaux ultralégers — mod</x:v>
      </x:c>
      <x:c r="C25" s="15" t="str">
        <x:v>Défini</x:v>
      </x:c>
      <x:c r="D25" s="16" t="str">
        <x:v>Établi</x:v>
      </x:c>
      <x:c r="E25" s="16" t="str">
        <x:v>P1</x:v>
      </x:c>
      <x:c r="F25" s="9" t="str">
        <x:v>Famille de modification.</x:v>
      </x:c>
      <x:c r="G25" s="9" t="str">
        <x:v>Réduire la masse proposée et recalculer récupération de pouvoirs ; afficher le changement total du loadout.</x:v>
      </x:c>
      <x:c r="H25" s="9" t="str">
        <x:v>Réduire la masse proposée et recalculer récupération de pouvoirs ; afficher le changement total du loadout.</x:v>
      </x:c>
      <x:c r="I25" s="9" t="str">
        <x:v>Plume technique et jauge de masse.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me3/equipment/ultralight ; rattacher les ressources et états cités à cet identifiant. Aucun fichier de jeu créé par ce catalogue.</x:v>
      </x:c>
      <x:c r="M25" s="9" t="str"/>
      <x:c r="N25" s="9" t="str">
        <x:v>Le livrable « Matériaux ultralégers — mod » possède une scène ou un scénario de contrôle ; ses règles proposées, ses conditions et ses retours visuels sont vérifiables séparément.</x:v>
      </x:c>
      <x:c r="O25" s="9" t="str"/>
      <x:c r="P25" s="9" t="str">
        <x:v>Matériaux ultralégers — mod</x:v>
      </x:c>
      <x:c r="Q25" s="9" t="str">
        <x:v>ME3-SRC-EQUIP</x:v>
      </x:c>
      <x:c r="R25" s="9" t="str">
        <x:v>https://masseffect.fandom.com/wiki/Equipment_Guide_%28Mass_Effect_3%29</x:v>
      </x:c>
      <x:c r="S25" s="9" t="str">
        <x:v>Spécification à réaliser. Les champs adaptation, gameplay, visual, animation, audio et implementation décrivent le fan game ; ils ne donnent pas des caractéristiques officielles de l’œuvre.</x:v>
      </x:c>
    </x:row>
    <x:row r="26" ht="68" customHeight="1">
      <x:c r="A26" s="19" t="str">
        <x:v>ME3-EQP-MEDIGEL</x:v>
      </x:c>
      <x:c r="B26" s="7" t="str">
        <x:v>Medi-gel</x:v>
      </x:c>
      <x:c r="C26" s="15" t="str">
        <x:v>Défini</x:v>
      </x:c>
      <x:c r="D26" s="17" t="str">
        <x:v>Établi</x:v>
      </x:c>
      <x:c r="E26" s="17" t="str">
        <x:v>P1</x:v>
      </x:c>
      <x:c r="F26" s="7" t="str">
        <x:v>Ressource de secours.</x:v>
      </x:c>
      <x:c r="G26" s="7" t="str">
        <x:v>Inventaire partagé lisible, cibles relevables choisies avant dépense ; action annulée sur changement de scène restaure la réserve.</x:v>
      </x:c>
      <x:c r="H26" s="7" t="str">
        <x:v>Inventaire partagé lisible, cibles relevables choisies avant dépense ; action annulée sur changement de scène restaure la réserve.</x:v>
      </x:c>
      <x:c r="I26" s="7" t="str">
        <x:v>Bande médicale et compteur.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me3/equipment/medigel ; rattacher les ressources et états cités à cet identifiant. Aucun fichier de jeu créé par ce catalogue.</x:v>
      </x:c>
      <x:c r="M26" s="7" t="str"/>
      <x:c r="N26" s="7" t="str">
        <x:v>Le livrable « Medi-gel » possède une scène ou un scénario de contrôle ; ses règles proposées, ses conditions et ses retours visuels sont vérifiables séparément.</x:v>
      </x:c>
      <x:c r="O26" s="7" t="str"/>
      <x:c r="P26" s="7" t="str">
        <x:v>Medi-gel</x:v>
      </x:c>
      <x:c r="Q26" s="7" t="str">
        <x:v>ME3-SRC-COMBAT</x:v>
      </x:c>
      <x:c r="R26" s="7" t="str">
        <x:v>https://masseffect.fandom.com/wiki/Combat_%28Mass_Effect_3%29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ME3-EQP-GRENADE-STOCK</x:v>
      </x:c>
      <x:c r="B27" s="9" t="str">
        <x:v>Réserve de grenades</x:v>
      </x:c>
      <x:c r="C27" s="15" t="str">
        <x:v>Défini</x:v>
      </x:c>
      <x:c r="D27" s="16" t="str">
        <x:v>Établi</x:v>
      </x:c>
      <x:c r="E27" s="16" t="str">
        <x:v>P1</x:v>
      </x:c>
      <x:c r="F27" s="9" t="str">
        <x:v>Plusieurs pouvoirs utilisent des grenades.</x:v>
      </x:c>
      <x:c r="G27" s="9" t="str">
        <x:v>Capacité affichée par porteur et classe d’action ; ramassage inutilisable explique pourquoi.</x:v>
      </x:c>
      <x:c r="H27" s="9" t="str">
        <x:v>Capacité affichée par porteur et classe d’action ; ramassage inutilisable explique pourquoi.</x:v>
      </x:c>
      <x:c r="I27" s="9" t="str">
        <x:v>Grenade physique et jauge discrète.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me3/equipment/grenade-stock ; rattacher les ressources et états cités à cet identifiant. Aucun fichier de jeu créé par ce catalogue.</x:v>
      </x:c>
      <x:c r="M27" s="9" t="str"/>
      <x:c r="N27" s="9" t="str">
        <x:v>Le livrable « Réserve de grenades » possède une scène ou un scénario de contrôle ; ses règles proposées, ses conditions et ses retours visuels sont vérifiables séparément.</x:v>
      </x:c>
      <x:c r="O27" s="9" t="str"/>
      <x:c r="P27" s="9" t="str">
        <x:v>Réserve de grenades</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ME3-EQP-THERMAL</x:v>
      </x:c>
      <x:c r="B28" s="7" t="str">
        <x:v>Clips thermiques</x:v>
      </x:c>
      <x:c r="C28" s="15" t="str">
        <x:v>Défini</x:v>
      </x:c>
      <x:c r="D28" s="17" t="str">
        <x:v>Établi</x:v>
      </x:c>
      <x:c r="E28" s="17" t="str">
        <x:v>P1</x:v>
      </x:c>
      <x:c r="F28" s="7" t="str">
        <x:v>Munition commune aux armes compatibles.</x:v>
      </x:c>
      <x:c r="G28" s="7" t="str">
        <x:v>Ramassage réparti selon arme équipée et règles proposées ; armes thermiques spéciales exclues explicitement.</x:v>
      </x:c>
      <x:c r="H28" s="7" t="str">
        <x:v>Ramassage réparti selon arme équipée et règles proposées ; armes thermiques spéciales exclues explicitement.</x:v>
      </x:c>
      <x:c r="I28" s="7" t="str">
        <x:v>Clips lumineux à échelle lisible.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me3/equipment/thermal ; rattacher les ressources et états cités à cet identifiant. Aucun fichier de jeu créé par ce catalogue.</x:v>
      </x:c>
      <x:c r="M28" s="7" t="str"/>
      <x:c r="N28" s="7" t="str">
        <x:v>Le livrable « Clips thermiques » possède une scène ou un scénario de contrôle ; ses règles proposées, ses conditions et ses retours visuels sont vérifiables séparément.</x:v>
      </x:c>
      <x:c r="O28" s="7" t="str"/>
      <x:c r="P28" s="7" t="str">
        <x:v>Clips thermiques</x:v>
      </x:c>
      <x:c r="Q28" s="7" t="str">
        <x:v>ME3-SRC-COMBAT</x:v>
      </x:c>
      <x:c r="R28" s="7" t="str">
        <x:v>https://masseffect.fandom.com/wiki/Combat_%28Mass_Effect_3%29</x:v>
      </x:c>
      <x:c r="S28" s="7"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fbb6bea172834463"/>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3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ME3-POW-PULL</x:v>
      </x:c>
      <x:c r="B7" s="9" t="str">
        <x:v>Pull</x:v>
      </x:c>
      <x:c r="C7" s="15" t="str">
        <x:v>Prototype</x:v>
      </x:c>
      <x:c r="D7" s="16" t="str">
        <x:v>Établi</x:v>
      </x:c>
      <x:c r="E7" s="16" t="str">
        <x:v>P1</x:v>
      </x:c>
      <x:c r="F7" s="9" t="str">
        <x:v>Pouvoir présent dans l’arsenal ME3.</x:v>
      </x:c>
      <x:c r="G7" s="9" t="str">
        <x:v>Conversion ATB originale : Soulever une cible dépouillée de protection ; une icône de résistance explique l’échec sur armure.</x:v>
      </x:c>
      <x:c r="H7" s="9" t="str">
        <x:v>Conversion ATB originale : 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ME3-POW-PULL dans src/universe-powers.js, exposition par src/universe-actors.js, action native dans src/combat.js. Les acteurs, scènes et préparations autorisés sont explicitement listés par getUniversePowerUsage().</x:v>
      </x:c>
      <x:c r="M7" s="9" t="str"/>
      <x:c r="N7" s="9" t="str">
        <x:v>Vérifier cible organique/synthétique, chaque protection, durée et fin d’état ; une cible non admissible garde ressources et action disponibles.</x:v>
      </x:c>
      <x:c r="O7" s="9" t="str"/>
      <x:c r="P7" s="9" t="str">
        <x:v>Pull</x:v>
      </x:c>
      <x:c r="Q7" s="9" t="str">
        <x:v>ME3-SRC-POWERS</x:v>
      </x:c>
      <x:c r="R7" s="9" t="str">
        <x:v>https://masseffect.fandom.com/wiki/Powers_%28Mass_Effect_3%29</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ME3-POW-THROW</x:v>
      </x:c>
      <x:c r="B8" s="7" t="str">
        <x:v>Throw</x:v>
      </x:c>
      <x:c r="C8" s="15" t="str">
        <x:v>Prototype</x:v>
      </x:c>
      <x:c r="D8" s="17" t="str">
        <x:v>Établi</x:v>
      </x:c>
      <x:c r="E8" s="17" t="str">
        <x:v>P1</x:v>
      </x:c>
      <x:c r="F8" s="7" t="str">
        <x:v>Pouvoir présent dans l’arsenal ME3.</x:v>
      </x:c>
      <x:c r="G8" s="7" t="str">
        <x:v>Conversion ATB originale : Pousser une cible selon l’axe prévisualisé ; un mur arrête le recul sans téléportation.</x:v>
      </x:c>
      <x:c r="H8" s="7" t="str">
        <x:v>Conversion ATB originale : 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ME3-POW-THROW dans src/universe-powers.js, exposition par src/universe-actors.js, action native dans src/combat.js. Les acteurs, scènes et préparations autorisés sont explicitement listés par getUniversePowerUsage().</x:v>
      </x:c>
      <x:c r="M8" s="7" t="str"/>
      <x:c r="N8" s="7" t="str">
        <x:v>Vérifier cible organique/synthétique, chaque protection, durée et fin d’état ; une cible non admissible garde ressources et action disponibles.</x:v>
      </x:c>
      <x:c r="O8" s="7" t="str"/>
      <x:c r="P8" s="7" t="str">
        <x:v>Throw</x:v>
      </x:c>
      <x:c r="Q8" s="7" t="str">
        <x:v>ME3-SRC-POWERS</x:v>
      </x:c>
      <x:c r="R8" s="7" t="str">
        <x:v>https://masseffect.fandom.com/wiki/Powers_%28Mass_Effect_3%29</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ME3-POW-WARP</x:v>
      </x:c>
      <x:c r="B9" s="9" t="str">
        <x:v>Warp</x:v>
      </x:c>
      <x:c r="C9" s="15" t="str">
        <x:v>Prototype</x:v>
      </x:c>
      <x:c r="D9" s="16" t="str">
        <x:v>Établi</x:v>
      </x:c>
      <x:c r="E9" s="16" t="str">
        <x:v>P1</x:v>
      </x:c>
      <x:c r="F9" s="9" t="str">
        <x:v>Pouvoir présent dans l’arsenal ME3.</x:v>
      </x:c>
      <x:c r="G9" s="9" t="str">
        <x:v>Conversion ATB originale : Dégrader une défense puis exploiter une suspension ; séparer dégâts et détonation proposée.</x:v>
      </x:c>
      <x:c r="H9" s="9" t="str">
        <x:v>Conversion ATB originale : 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ME3-POW-WARP dans src/universe-powers.js, exposition par src/universe-actors.js, action native dans src/combat.js. Les acteurs, scènes et préparations autorisés sont explicitement listés par getUniversePowerUsage().</x:v>
      </x:c>
      <x:c r="M9" s="9" t="str"/>
      <x:c r="N9" s="9" t="str">
        <x:v>Vérifier cible organique/synthétique, chaque protection, durée et fin d’état ; une cible non admissible garde ressources et action disponibles.</x:v>
      </x:c>
      <x:c r="O9" s="9" t="str"/>
      <x:c r="P9" s="9" t="str">
        <x:v>Warp</x:v>
      </x:c>
      <x:c r="Q9" s="9" t="str">
        <x:v>ME3-SRC-POWERS</x:v>
      </x:c>
      <x:c r="R9" s="9" t="str">
        <x:v>https://masseffect.fandom.com/wiki/Powers_%28Mass_Effect_3%29</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ME3-POW-SINGULARITY</x:v>
      </x:c>
      <x:c r="B10" s="7" t="str">
        <x:v>Singularity</x:v>
      </x:c>
      <x:c r="C10" s="15" t="str">
        <x:v>Prototype</x:v>
      </x:c>
      <x:c r="D10" s="17" t="str">
        <x:v>Établi</x:v>
      </x:c>
      <x:c r="E10" s="17" t="str">
        <x:v>P1</x:v>
      </x:c>
      <x:c r="F10" s="7" t="str">
        <x:v>Pouvoir présent dans l’arsenal ME3.</x:v>
      </x:c>
      <x:c r="G10" s="7" t="str">
        <x:v>Conversion ATB originale : Créer une zone persistante de contrôle ; petite silhouette de centre évitant de masquer les cibles.</x:v>
      </x:c>
      <x:c r="H10" s="7" t="str">
        <x:v>Conversion ATB originale : 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ME3-POW-SINGULARITY dans src/universe-powers.js, exposition par src/universe-actors.js, action native dans src/combat.js. Les acteurs, scènes et préparations autorisés sont explicitement listés par getUniversePowerUsage().</x:v>
      </x:c>
      <x:c r="M10" s="7" t="str"/>
      <x:c r="N10" s="7" t="str">
        <x:v>Vérifier cible organique/synthétique, chaque protection, durée et fin d’état ; une cible non admissible garde ressources et action disponibles.</x:v>
      </x:c>
      <x:c r="O10" s="7" t="str"/>
      <x:c r="P10" s="7" t="str">
        <x:v>Singularity</x:v>
      </x:c>
      <x:c r="Q10" s="7" t="str">
        <x:v>ME3-SRC-POWERS</x:v>
      </x:c>
      <x:c r="R10" s="7" t="str">
        <x:v>https://masseffect.fandom.com/wiki/Powers_%28Mass_Effect_3%29</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ME3-POW-SHOCKWAVE</x:v>
      </x:c>
      <x:c r="B11" s="9" t="str">
        <x:v>Shockwave</x:v>
      </x:c>
      <x:c r="C11" s="15" t="str">
        <x:v>Prototype</x:v>
      </x:c>
      <x:c r="D11" s="16" t="str">
        <x:v>Établi</x:v>
      </x:c>
      <x:c r="E11" s="16" t="str">
        <x:v>P1</x:v>
      </x:c>
      <x:c r="F11" s="9" t="str">
        <x:v>Pouvoir présent dans l’arsenal ME3.</x:v>
      </x:c>
      <x:c r="G11" s="9" t="str">
        <x:v>Conversion ATB originale : Dessiner une ligne d’impulsions par bandes ; couvert bas franchi, mur plein bloquant.</x:v>
      </x:c>
      <x:c r="H11" s="9" t="str">
        <x:v>Conversion ATB originale : 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ME3-POW-SHOCKWAVE dans src/universe-powers.js, exposition par src/universe-actors.js, action native dans src/combat.js. Les acteurs, scènes et préparations autorisés sont explicitement listés par getUniversePowerUsage().</x:v>
      </x:c>
      <x:c r="M11" s="9" t="str"/>
      <x:c r="N11" s="9" t="str">
        <x:v>Vérifier cible organique/synthétique, chaque protection, durée et fin d’état ; une cible non admissible garde ressources et action disponibles.</x:v>
      </x:c>
      <x:c r="O11" s="9" t="str"/>
      <x:c r="P11" s="9" t="str">
        <x:v>Shockwave</x:v>
      </x:c>
      <x:c r="Q11" s="9" t="str">
        <x:v>ME3-SRC-POWERS</x:v>
      </x:c>
      <x:c r="R11" s="9" t="str">
        <x:v>https://masseffect.fandom.com/wiki/Powers_%28Mass_Effect_3%29</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68" customHeight="1">
      <x:c r="A12" s="19" t="str">
        <x:v>ME3-POW-SLAM</x:v>
      </x:c>
      <x:c r="B12" s="7" t="str">
        <x:v>Slam</x:v>
      </x:c>
      <x:c r="C12" s="15" t="str">
        <x:v>Défini</x:v>
      </x:c>
      <x:c r="D12" s="17" t="str">
        <x:v>Établi</x:v>
      </x:c>
      <x:c r="E12" s="17" t="str">
        <x:v>P1</x:v>
      </x:c>
      <x:c r="F12" s="7" t="str">
        <x:v>Pouvoir présent dans l’arsenal ME3.</x:v>
      </x:c>
      <x:c r="G12" s="7" t="str">
        <x:v>Conversion ATB originale : Levée brève puis chute ; indiquer le point d’impact, immunité de boss partielle proposée.</x:v>
      </x:c>
      <x:c r="H12" s="7" t="str">
        <x:v>Conversion ATB originale : 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me3/powers/slam ; rattacher les ressources et états cités à cet identifiant. Aucun fichier de jeu créé par ce catalogue.</x:v>
      </x:c>
      <x:c r="M12" s="7" t="str"/>
      <x:c r="N12" s="7" t="str">
        <x:v>Vérifier cible organique/synthétique, chaque protection, durée et fin d’état ; une cible non admissible garde ressources et action disponibles.</x:v>
      </x:c>
      <x:c r="O12" s="7" t="str"/>
      <x:c r="P12" s="7" t="str">
        <x:v>Slam</x:v>
      </x:c>
      <x:c r="Q12" s="7" t="str">
        <x:v>ME3-SRC-POWERS</x:v>
      </x:c>
      <x:c r="R12" s="7" t="str">
        <x:v>https://masseffect.fandom.com/wiki/Powers_%28Mass_Effect_3%29</x:v>
      </x:c>
      <x:c r="S12" s="7" t="str">
        <x:v>Spécification à réaliser. Les champs adaptation, gameplay, visual, animation, audio et implementation décrivent le fan game ; ils ne donnent pas des caractéristiques officielles de l’œuvre.</x:v>
      </x:c>
    </x:row>
    <x:row r="13" ht="96" customHeight="1">
      <x:c r="A13" s="18" t="str">
        <x:v>ME3-POW-REAVE</x:v>
      </x:c>
      <x:c r="B13" s="9" t="str">
        <x:v>Reave</x:v>
      </x:c>
      <x:c r="C13" s="15" t="str">
        <x:v>Prototype</x:v>
      </x:c>
      <x:c r="D13" s="16" t="str">
        <x:v>Établi</x:v>
      </x:c>
      <x:c r="E13" s="16" t="str">
        <x:v>P1</x:v>
      </x:c>
      <x:c r="F13" s="9" t="str">
        <x:v>Pouvoir présent dans l’arsenal ME3.</x:v>
      </x:c>
      <x:c r="G13" s="9" t="str">
        <x:v>Conversion ATB originale : Affaiblir une cible organique et accorder une protection temporaire proposée à l’utilisateur ; statut visible.</x:v>
      </x:c>
      <x:c r="H13" s="9" t="str">
        <x:v>Conversion ATB originale : 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ME3-POW-REAVE dans src/universe-powers.js, exposition par src/universe-actors.js, action native dans src/combat.js. Les acteurs, scènes et préparations autorisés sont explicitement listés par getUniversePowerUsage().</x:v>
      </x:c>
      <x:c r="M13" s="9" t="str"/>
      <x:c r="N13" s="9" t="str">
        <x:v>Vérifier cible organique/synthétique, chaque protection, durée et fin d’état ; une cible non admissible garde ressources et action disponibles.</x:v>
      </x:c>
      <x:c r="O13" s="9" t="str"/>
      <x:c r="P13" s="9" t="str">
        <x:v>Reave</x:v>
      </x:c>
      <x:c r="Q13" s="9" t="str">
        <x:v>ME3-SRC-POWERS</x:v>
      </x:c>
      <x:c r="R13" s="9" t="str">
        <x:v>https://masseffect.fandom.com/wiki/Powers_%28Mass_Effect_3%29</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68" customHeight="1">
      <x:c r="A14" s="19" t="str">
        <x:v>ME3-POW-DOMINATE</x:v>
      </x:c>
      <x:c r="B14" s="7" t="str">
        <x:v>Dominate</x:v>
      </x:c>
      <x:c r="C14" s="15" t="str">
        <x:v>Défini</x:v>
      </x:c>
      <x:c r="D14" s="17" t="str">
        <x:v>Établi</x:v>
      </x:c>
      <x:c r="E14" s="17" t="str">
        <x:v>P1</x:v>
      </x:c>
      <x:c r="F14" s="7" t="str">
        <x:v>Pouvoir présent dans l’arsenal ME3.</x:v>
      </x:c>
      <x:c r="G14" s="7" t="str">
        <x:v>Conversion ATB originale : Contrôle temporaire d’organique vulnérable ; empêcher le ciblage amical pendant sa conversion.</x:v>
      </x:c>
      <x:c r="H14" s="7" t="str">
        <x:v>Conversion ATB originale : 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me3/powers/dominate ; rattacher les ressources et états cités à cet identifiant. Aucun fichier de jeu créé par ce catalogue.</x:v>
      </x:c>
      <x:c r="M14" s="7" t="str"/>
      <x:c r="N14" s="7" t="str">
        <x:v>Vérifier cible organique/synthétique, chaque protection, durée et fin d’état ; une cible non admissible garde ressources et action disponibles.</x:v>
      </x:c>
      <x:c r="O14" s="7" t="str"/>
      <x:c r="P14" s="7" t="str">
        <x:v>Dominate</x:v>
      </x:c>
      <x:c r="Q14" s="7" t="str">
        <x:v>ME3-SRC-POWERS</x:v>
      </x:c>
      <x:c r="R14" s="7" t="str">
        <x:v>https://masseffect.fandom.com/wiki/Powers_%28Mass_Effect_3%29</x:v>
      </x:c>
      <x:c r="S14" s="7" t="str">
        <x:v>Spécification à réaliser. Les champs adaptation, gameplay, visual, animation, audio et implementation décrivent le fan game ; ils ne donnent pas des caractéristiques officielles de l’œuvre.</x:v>
      </x:c>
    </x:row>
    <x:row r="15" ht="96" customHeight="1">
      <x:c r="A15" s="18" t="str">
        <x:v>ME3-POW-BARRIER</x:v>
      </x:c>
      <x:c r="B15" s="9" t="str">
        <x:v>Barrier</x:v>
      </x:c>
      <x:c r="C15" s="15" t="str">
        <x:v>Prototype</x:v>
      </x:c>
      <x:c r="D15" s="16" t="str">
        <x:v>Établi</x:v>
      </x:c>
      <x:c r="E15" s="16" t="str">
        <x:v>P1</x:v>
      </x:c>
      <x:c r="F15" s="9" t="str">
        <x:v>Pouvoir présent dans l’arsenal ME3.</x:v>
      </x:c>
      <x:c r="G15" s="9" t="str">
        <x:v>Conversion ATB originale : Ajouter une réserve biotique séparée ; son activation ne réinitialise pas tous les temps de récupération.</x:v>
      </x:c>
      <x:c r="H15" s="9" t="str">
        <x:v>Conversion ATB originale : 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ME3-POW-BARRIER dans src/universe-powers.js, exposition par src/universe-actors.js, action native dans src/combat.js. Les acteurs, scènes et préparations autorisés sont explicitement listés par getUniversePowerUsage().</x:v>
      </x:c>
      <x:c r="M15" s="9" t="str"/>
      <x:c r="N15" s="9" t="str">
        <x:v>Vérifier cible organique/synthétique, chaque protection, durée et fin d’état ; une cible non admissible garde ressources et action disponibles.</x:v>
      </x:c>
      <x:c r="O15" s="9" t="str"/>
      <x:c r="P15" s="9" t="str">
        <x:v>Barrier</x:v>
      </x:c>
      <x:c r="Q15" s="9" t="str">
        <x:v>ME3-SRC-POWERS</x:v>
      </x:c>
      <x:c r="R15" s="9" t="str">
        <x:v>https://masseffect.fandom.com/wiki/Powers_%28Mass_Effect_3%29</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ME3-POW-CHARGE</x:v>
      </x:c>
      <x:c r="B16" s="7" t="str">
        <x:v>Biotic Charge</x:v>
      </x:c>
      <x:c r="C16" s="15" t="str">
        <x:v>Défini</x:v>
      </x:c>
      <x:c r="D16" s="17" t="str">
        <x:v>Établi</x:v>
      </x:c>
      <x:c r="E16" s="17" t="str">
        <x:v>P1</x:v>
      </x:c>
      <x:c r="F16" s="7" t="str">
        <x:v>Pouvoir présent dans l’arsenal ME3.</x:v>
      </x:c>
      <x:c r="G16" s="7" t="str">
        <x:v>Conversion ATB originale : Déplacement offensif vers une cible valide ; vérifier chemin d’atterrissage et espace du sprite avant paiement.</x:v>
      </x:c>
      <x:c r="H16" s="7" t="str">
        <x:v>Conversion ATB originale : 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me3/powers/charge ; rattacher les ressources et états cités à cet identifiant. Aucun fichier de jeu créé par ce catalogue.</x:v>
      </x:c>
      <x:c r="M16" s="7" t="str"/>
      <x:c r="N16" s="7" t="str">
        <x:v>Vérifier cible organique/synthétique, chaque protection, durée et fin d’état ; une cible non admissible garde ressources et action disponibles.</x:v>
      </x:c>
      <x:c r="O16" s="7" t="str"/>
      <x:c r="P16" s="7" t="str">
        <x:v>Biotic Charge</x:v>
      </x:c>
      <x:c r="Q16" s="7" t="str">
        <x:v>ME3-SRC-POWERS</x:v>
      </x:c>
      <x:c r="R16" s="7" t="str">
        <x:v>https://masseffect.fandom.com/wiki/Powers_%28Mass_Effect_3%29</x:v>
      </x:c>
      <x:c r="S16" s="7" t="str">
        <x:v>Spécification à réaliser. Les champs adaptation, gameplay, visual, animation, audio et implementation décrivent le fan game ; ils ne donnent pas des caractéristiques officielles de l’œuvre.</x:v>
      </x:c>
    </x:row>
    <x:row r="17" ht="96" customHeight="1">
      <x:c r="A17" s="18" t="str">
        <x:v>ME3-POW-OVERLOAD</x:v>
      </x:c>
      <x:c r="B17" s="9" t="str">
        <x:v>Overload</x:v>
      </x:c>
      <x:c r="C17" s="15" t="str">
        <x:v>Prototype</x:v>
      </x:c>
      <x:c r="D17" s="16" t="str">
        <x:v>Établi</x:v>
      </x:c>
      <x:c r="E17" s="16" t="str">
        <x:v>P1</x:v>
      </x:c>
      <x:c r="F17" s="9" t="str">
        <x:v>Pouvoir présent dans l’arsenal ME3.</x:v>
      </x:c>
      <x:c r="G17" s="9" t="str">
        <x:v>Conversion ATB originale : Retirer une protection électrique et interrompre une machine ; ne pas assimiler barrière biotique et bouclier.</x:v>
      </x:c>
      <x:c r="H17" s="9" t="str">
        <x:v>Conversion ATB originale : 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ME3-POW-OVERLOAD dans src/universe-powers.js, exposition par src/universe-actors.js, action native dans src/combat.js. Les acteurs, scènes et préparations autorisés sont explicitement listés par getUniversePowerUsage().</x:v>
      </x:c>
      <x:c r="M17" s="9" t="str"/>
      <x:c r="N17" s="9" t="str">
        <x:v>Vérifier cible organique/synthétique, chaque protection, durée et fin d’état ; une cible non admissible garde ressources et action disponibles.</x:v>
      </x:c>
      <x:c r="O17" s="9" t="str"/>
      <x:c r="P17" s="9" t="str">
        <x:v>Overload</x:v>
      </x:c>
      <x:c r="Q17" s="9" t="str">
        <x:v>ME3-SRC-POWERS</x:v>
      </x:c>
      <x:c r="R17" s="9" t="str">
        <x:v>https://masseffect.fandom.com/wiki/Powers_%28Mass_Effect_3%29</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ME3-POW-INCINERATE</x:v>
      </x:c>
      <x:c r="B18" s="7" t="str">
        <x:v>Incinerate</x:v>
      </x:c>
      <x:c r="C18" s="15" t="str">
        <x:v>Prototype</x:v>
      </x:c>
      <x:c r="D18" s="17" t="str">
        <x:v>Établi</x:v>
      </x:c>
      <x:c r="E18" s="17" t="str">
        <x:v>P1</x:v>
      </x:c>
      <x:c r="F18" s="7" t="str">
        <x:v>Pouvoir présent dans l’arsenal ME3.</x:v>
      </x:c>
      <x:c r="G18" s="7" t="str">
        <x:v>Conversion ATB originale : Appliquer combustion contre armure ; effet de panique limité aux cibles compatibles.</x:v>
      </x:c>
      <x:c r="H18" s="7" t="str">
        <x:v>Conversion ATB originale : 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ME3-POW-INCINERATE dans src/universe-powers.js, exposition par src/universe-actors.js, action native dans src/combat.js. Les acteurs, scènes et préparations autorisés sont explicitement listés par getUniversePowerUsage().</x:v>
      </x:c>
      <x:c r="M18" s="7" t="str"/>
      <x:c r="N18" s="7" t="str">
        <x:v>Vérifier cible organique/synthétique, chaque protection, durée et fin d’état ; une cible non admissible garde ressources et action disponibles.</x:v>
      </x:c>
      <x:c r="O18" s="7" t="str"/>
      <x:c r="P18" s="7" t="str">
        <x:v>Incinerate</x:v>
      </x:c>
      <x:c r="Q18" s="7" t="str">
        <x:v>ME3-SRC-POWERS</x:v>
      </x:c>
      <x:c r="R18" s="7" t="str">
        <x:v>https://masseffect.fandom.com/wiki/Powers_%28Mass_Effect_3%29</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ME3-POW-CRYO</x:v>
      </x:c>
      <x:c r="B19" s="9" t="str">
        <x:v>Cryo Blast</x:v>
      </x:c>
      <x:c r="C19" s="15" t="str">
        <x:v>Prototype</x:v>
      </x:c>
      <x:c r="D19" s="16" t="str">
        <x:v>Établi</x:v>
      </x:c>
      <x:c r="E19" s="16" t="str">
        <x:v>P1</x:v>
      </x:c>
      <x:c r="F19" s="9" t="str">
        <x:v>Pouvoir présent dans l’arsenal ME3.</x:v>
      </x:c>
      <x:c r="G19" s="9" t="str">
        <x:v>Conversion ATB originale : Refroidir puis geler une cible vulnérable ; boss ralenti sans pose brisée.</x:v>
      </x:c>
      <x:c r="H19" s="9" t="str">
        <x:v>Conversion ATB originale : 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ME3-POW-CRYO dans src/universe-powers.js, exposition par src/universe-actors.js, action native dans src/combat.js. Les acteurs, scènes et préparations autorisés sont explicitement listés par getUniversePowerUsage().</x:v>
      </x:c>
      <x:c r="M19" s="9" t="str"/>
      <x:c r="N19" s="9" t="str">
        <x:v>Vérifier cible organique/synthétique, chaque protection, durée et fin d’état ; une cible non admissible garde ressources et action disponibles.</x:v>
      </x:c>
      <x:c r="O19" s="9" t="str"/>
      <x:c r="P19" s="9" t="str">
        <x:v>Cryo Blast</x:v>
      </x:c>
      <x:c r="Q19" s="9" t="str">
        <x:v>ME3-SRC-POWERS</x:v>
      </x:c>
      <x:c r="R19" s="9" t="str">
        <x:v>https://masseffect.fandom.com/wiki/Powers_%28Mass_Effect_3%29</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68" customHeight="1">
      <x:c r="A20" s="19" t="str">
        <x:v>ME3-POW-DRONE</x:v>
      </x:c>
      <x:c r="B20" s="7" t="str">
        <x:v>Combat Drone</x:v>
      </x:c>
      <x:c r="C20" s="15" t="str">
        <x:v>Défini</x:v>
      </x:c>
      <x:c r="D20" s="17" t="str">
        <x:v>Établi</x:v>
      </x:c>
      <x:c r="E20" s="17" t="str">
        <x:v>P1</x:v>
      </x:c>
      <x:c r="F20" s="7" t="str">
        <x:v>Pouvoir présent dans l’arsenal ME3.</x:v>
      </x:c>
      <x:c r="G20" s="7" t="str">
        <x:v>Conversion ATB originale : Placer une diversion sur un emplacement libre ; le drone agit après un signal d’apparition.</x:v>
      </x:c>
      <x:c r="H20" s="7" t="str">
        <x:v>Conversion ATB originale : Placer une diversion sur un emplacement libre ; le drone agit après un signal d’apparition.</x:v>
      </x:c>
      <x:c r="I20" s="7" t="str">
        <x:v>Petite sphère holographique et 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me3/powers/drone ; rattacher les ressources et états cités à cet identifiant. Aucun fichier de jeu créé par ce catalogue.</x:v>
      </x:c>
      <x:c r="M20" s="7" t="str"/>
      <x:c r="N20" s="7" t="str">
        <x:v>Vérifier cible organique/synthétique, chaque protection, durée et fin d’état ; une cible non admissible garde ressources et action disponibles.</x:v>
      </x:c>
      <x:c r="O20" s="7" t="str"/>
      <x:c r="P20" s="7" t="str">
        <x:v>Combat Drone</x:v>
      </x:c>
      <x:c r="Q20" s="7" t="str">
        <x:v>ME3-SRC-POWERS</x:v>
      </x:c>
      <x:c r="R20" s="7" t="str">
        <x:v>https://masseffect.fandom.com/wiki/Powers_%28Mass_Effect_3%29</x:v>
      </x:c>
      <x:c r="S20" s="7" t="str">
        <x:v>Spécification à réaliser. Les champs adaptation, gameplay, visual, animation, audio et implementation décrivent le fan game ; ils ne donnent pas des caractéristiques officielles de l’œuvre.</x:v>
      </x:c>
    </x:row>
    <x:row r="21" ht="96" customHeight="1">
      <x:c r="A21" s="18" t="str">
        <x:v>ME3-POW-ENERGY-DRAIN</x:v>
      </x:c>
      <x:c r="B21" s="9" t="str">
        <x:v>Energy Drain</x:v>
      </x:c>
      <x:c r="C21" s="15" t="str">
        <x:v>Prototype</x:v>
      </x:c>
      <x:c r="D21" s="16" t="str">
        <x:v>Établi</x:v>
      </x:c>
      <x:c r="E21" s="16" t="str">
        <x:v>P1</x:v>
      </x:c>
      <x:c r="F21" s="9" t="str">
        <x:v>Pouvoir présent dans l’arsenal ME3.</x:v>
      </x:c>
      <x:c r="G21" s="9" t="str">
        <x:v>Conversion ATB originale : Voler une part de bouclier disponible ; aucun gain sur cible incompatible selon la règle proposée.</x:v>
      </x:c>
      <x:c r="H21" s="9" t="str">
        <x:v>Conversion ATB originale : Voler une part de bouclier disponible ; aucun gain sur cible incompatible selon la règle proposée.</x:v>
      </x:c>
      <x:c r="I21" s="9" t="str">
        <x:v>Arc dirigé de la cible vers l’allié.</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partiel : liaison ME3-POW-ENERGY-DRAIN dans src/universe-powers.js, exposition par src/universe-actors.js, action native dans src/combat.js. Les acteurs, scènes et préparations autorisés sont explicitement listés par getUniversePowerUsage().</x:v>
      </x:c>
      <x:c r="M21" s="9" t="str"/>
      <x:c r="N21" s="9" t="str">
        <x:v>Vérifier cible organique/synthétique, chaque protection, durée et fin d’état ; une cible non admissible garde ressources et action disponibles.</x:v>
      </x:c>
      <x:c r="O21" s="9" t="str"/>
      <x:c r="P21" s="9" t="str">
        <x:v>Energy Drain</x:v>
      </x:c>
      <x:c r="Q21" s="9" t="str">
        <x:v>ME3-SRC-POWERS</x:v>
      </x:c>
      <x:c r="R21" s="9" t="str">
        <x:v>https://masseffect.fandom.com/wiki/Powers_%28Mass_Effect_3%29</x:v>
      </x:c>
      <x:c r="S2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2" ht="68" customHeight="1">
      <x:c r="A22" s="19" t="str">
        <x:v>ME3-POW-TACTICAL</x:v>
      </x:c>
      <x:c r="B22" s="7" t="str">
        <x:v>Tactical Cloak</x:v>
      </x:c>
      <x:c r="C22" s="15" t="str">
        <x:v>Défini</x:v>
      </x:c>
      <x:c r="D22" s="17" t="str">
        <x:v>Établi</x:v>
      </x:c>
      <x:c r="E22" s="17" t="str">
        <x:v>P1</x:v>
      </x:c>
      <x:c r="F22" s="7" t="str">
        <x:v>Pouvoir présent dans l’arsenal ME3.</x:v>
      </x:c>
      <x:c r="G22" s="7" t="str">
        <x:v>Conversion ATB originale : Réduire la sélection ennemie, puis sortir au tir ; une attaque déjà résolue ne disparaît pas rétroactivement.</x:v>
      </x:c>
      <x:c r="H22" s="7" t="str">
        <x:v>Conversion ATB originale : Réduire la sélection ennemie, puis sortir au tir ; une attaque déjà résolue ne disparaît pas rétroactivement.</x:v>
      </x:c>
      <x:c r="I22" s="7" t="str">
        <x:v>Réfraction et bord lumineux accessible.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me3/powers/tactical ; rattacher les ressources et états cités à cet identifiant. Aucun fichier de jeu créé par ce catalogue.</x:v>
      </x:c>
      <x:c r="M22" s="7" t="str"/>
      <x:c r="N22" s="7" t="str">
        <x:v>Vérifier cible organique/synthétique, chaque protection, durée et fin d’état ; une cible non admissible garde ressources et action disponibles.</x:v>
      </x:c>
      <x:c r="O22" s="7" t="str"/>
      <x:c r="P22" s="7" t="str">
        <x:v>Tactical Cloak</x:v>
      </x:c>
      <x:c r="Q22" s="7" t="str">
        <x:v>ME3-SRC-POWERS</x:v>
      </x:c>
      <x:c r="R22" s="7" t="str">
        <x:v>https://masseffect.fandom.com/wiki/Powers_%28Mass_Effect_3%29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ME3-POW-TECH-ARMOR</x:v>
      </x:c>
      <x:c r="B23" s="9" t="str">
        <x:v>Tech Armor</x:v>
      </x:c>
      <x:c r="C23" s="15" t="str">
        <x:v>Défini</x:v>
      </x:c>
      <x:c r="D23" s="16" t="str">
        <x:v>Établi</x:v>
      </x:c>
      <x:c r="E23" s="16" t="str">
        <x:v>P1</x:v>
      </x:c>
      <x:c r="F23" s="9" t="str">
        <x:v>Pouvoir présent dans l’arsenal ME3.</x:v>
      </x:c>
      <x:c r="G23" s="9" t="str">
        <x:v>Conversion ATB originale : Protection technique avec rupture de proximité ; rendre visible le compromis de récupération.</x:v>
      </x:c>
      <x:c r="H23" s="9" t="str">
        <x:v>Conversion ATB originale : Protection technique avec rupture de proximité ; rendre visible le compromis de récupération.</x:v>
      </x:c>
      <x:c r="I23" s="9" t="str">
        <x:v>Plaques holographiques segmentées.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me3/powers/tech-armor ; rattacher les ressources et états cités à cet identifiant. Aucun fichier de jeu créé par ce catalogue.</x:v>
      </x:c>
      <x:c r="M23" s="9" t="str"/>
      <x:c r="N23" s="9" t="str">
        <x:v>Vérifier cible organique/synthétique, chaque protection, durée et fin d’état ; une cible non admissible garde ressources et action disponibles.</x:v>
      </x:c>
      <x:c r="O23" s="9" t="str"/>
      <x:c r="P23" s="9" t="str">
        <x:v>Tech Armor</x:v>
      </x:c>
      <x:c r="Q23" s="9" t="str">
        <x:v>ME3-SRC-POWERS</x:v>
      </x:c>
      <x:c r="R23" s="9" t="str">
        <x:v>https://masseffect.fandom.com/wiki/Powers_%28Mass_Effect_3%29</x:v>
      </x:c>
      <x:c r="S23" s="9" t="str">
        <x:v>Spécification à réaliser. Les champs adaptation, gameplay, visual, animation, audio et implementation décrivent le fan game ; ils ne donnent pas des caractéristiques officielles de l’œuvre.</x:v>
      </x:c>
    </x:row>
    <x:row r="24" ht="96" customHeight="1">
      <x:c r="A24" s="19" t="str">
        <x:v>ME3-POW-FORTIFICATION</x:v>
      </x:c>
      <x:c r="B24" s="7" t="str">
        <x:v>Fortification</x:v>
      </x:c>
      <x:c r="C24" s="15" t="str">
        <x:v>Prototype</x:v>
      </x:c>
      <x:c r="D24" s="17" t="str">
        <x:v>Établi</x:v>
      </x:c>
      <x:c r="E24" s="17" t="str">
        <x:v>P1</x:v>
      </x:c>
      <x:c r="F24" s="7" t="str">
        <x:v>Pouvoir présent dans l’arsenal ME3.</x:v>
      </x:c>
      <x:c r="G24" s="7" t="str">
        <x:v>Conversion ATB originale : Défense de front qui engage le personnage ; retirer le buff après dépense de contre-charge proposée.</x:v>
      </x:c>
      <x:c r="H24" s="7" t="str">
        <x:v>Conversion ATB originale : Défense de front qui engage le personnage ; retirer le buff après dépense de contre-charge proposée.</x:v>
      </x:c>
      <x:c r="I24" s="7" t="str">
        <x:v>Halo dense et posture plantée.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partiel : liaison ME3-POW-FORTIFICATION dans src/universe-powers.js, exposition par src/universe-actors.js, action native dans src/combat.js. Les acteurs, scènes et préparations autorisés sont explicitement listés par getUniversePowerUsage().</x:v>
      </x:c>
      <x:c r="M24" s="7" t="str"/>
      <x:c r="N24" s="7" t="str">
        <x:v>Vérifier cible organique/synthétique, chaque protection, durée et fin d’état ; une cible non admissible garde ressources et action disponibles.</x:v>
      </x:c>
      <x:c r="O24" s="7" t="str"/>
      <x:c r="P24" s="7" t="str">
        <x:v>Fortification</x:v>
      </x:c>
      <x:c r="Q24" s="7" t="str">
        <x:v>ME3-SRC-POWERS</x:v>
      </x:c>
      <x:c r="R24" s="7" t="str">
        <x:v>https://masseffect.fandom.com/wiki/Powers_%28Mass_Effect_3%29</x:v>
      </x:c>
      <x:c r="S2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5" ht="96" customHeight="1">
      <x:c r="A25" s="18" t="str">
        <x:v>ME3-POW-CONCUSSIVE</x:v>
      </x:c>
      <x:c r="B25" s="9" t="str">
        <x:v>Concussive Shot</x:v>
      </x:c>
      <x:c r="C25" s="15" t="str">
        <x:v>Prototype</x:v>
      </x:c>
      <x:c r="D25" s="16" t="str">
        <x:v>Établi</x:v>
      </x:c>
      <x:c r="E25" s="16" t="str">
        <x:v>P1</x:v>
      </x:c>
      <x:c r="F25" s="9" t="str">
        <x:v>Pouvoir présent dans l’arsenal ME3.</x:v>
      </x:c>
      <x:c r="G25" s="9" t="str">
        <x:v>Conversion ATB originale : Tir de déséquilibre ; la résistance réduit le recul sans supprimer la lecture de l’impact.</x:v>
      </x:c>
      <x:c r="H25" s="9" t="str">
        <x:v>Conversion ATB originale : Tir de déséquilibre ; la résistance réduit le recul sans supprimer la lecture de l’impact.</x:v>
      </x:c>
      <x:c r="I25" s="9" t="str">
        <x:v>Projectile blanc et recul bref.</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partiel : liaison ME3-POW-CONCUSSIVE dans src/universe-powers.js, exposition par src/universe-actors.js, action native dans src/combat.js. Les acteurs, scènes et préparations autorisés sont explicitement listés par getUniversePowerUsage().</x:v>
      </x:c>
      <x:c r="M25" s="9" t="str"/>
      <x:c r="N25" s="9" t="str">
        <x:v>Vérifier cible organique/synthétique, chaque protection, durée et fin d’état ; une cible non admissible garde ressources et action disponibles.</x:v>
      </x:c>
      <x:c r="O25" s="9" t="str"/>
      <x:c r="P25" s="9" t="str">
        <x:v>Concussive Shot</x:v>
      </x:c>
      <x:c r="Q25" s="9" t="str">
        <x:v>ME3-SRC-POWERS</x:v>
      </x:c>
      <x:c r="R25" s="9" t="str">
        <x:v>https://masseffect.fandom.com/wiki/Powers_%28Mass_Effect_3%29</x:v>
      </x:c>
      <x:c r="S2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6" ht="68" customHeight="1">
      <x:c r="A26" s="19" t="str">
        <x:v>ME3-POW-ADRENALINE</x:v>
      </x:c>
      <x:c r="B26" s="7" t="str">
        <x:v>Adrenaline Rush</x:v>
      </x:c>
      <x:c r="C26" s="15" t="str">
        <x:v>Défini</x:v>
      </x:c>
      <x:c r="D26" s="17" t="str">
        <x:v>Établi</x:v>
      </x:c>
      <x:c r="E26" s="17" t="str">
        <x:v>P1</x:v>
      </x:c>
      <x:c r="F26" s="7" t="str">
        <x:v>Pouvoir présent dans l’arsenal ME3.</x:v>
      </x:c>
      <x:c r="G26" s="7" t="str">
        <x:v>Conversion ATB originale : Accélérer la prochaine action armée de Shepard ; l’ATB global des autres ne change pas sans règle explicite.</x:v>
      </x:c>
      <x:c r="H26" s="7" t="str">
        <x:v>Conversion ATB originale : Accélérer la prochaine action armée de Shepard ; l’ATB global des autres ne change pas sans règle explicite.</x:v>
      </x:c>
      <x:c r="I26" s="7" t="str">
        <x:v>Traînée de visée et assourdissement modulable.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me3/powers/adrenaline ; rattacher les ressources et états cités à cet identifiant. Aucun fichier de jeu créé par ce catalogue.</x:v>
      </x:c>
      <x:c r="M26" s="7" t="str"/>
      <x:c r="N26" s="7" t="str">
        <x:v>Vérifier cible organique/synthétique, chaque protection, durée et fin d’état ; une cible non admissible garde ressources et action disponibles.</x:v>
      </x:c>
      <x:c r="O26" s="7" t="str"/>
      <x:c r="P26" s="7" t="str">
        <x:v>Adrenaline Rush</x:v>
      </x:c>
      <x:c r="Q26" s="7" t="str">
        <x:v>ME3-SRC-POWERS</x:v>
      </x:c>
      <x:c r="R26" s="7" t="str">
        <x:v>https://masseffect.fandom.com/wiki/Powers_%28Mass_Effect_3%29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ME3-POW-INFERNO</x:v>
      </x:c>
      <x:c r="B27" s="9" t="str">
        <x:v>Inferno Grenade</x:v>
      </x:c>
      <x:c r="C27" s="15" t="str">
        <x:v>Défini</x:v>
      </x:c>
      <x:c r="D27" s="16" t="str">
        <x:v>Établi</x:v>
      </x:c>
      <x:c r="E27" s="16" t="str">
        <x:v>P1</x:v>
      </x:c>
      <x:c r="F27" s="9" t="str">
        <x:v>Pouvoir présent dans l’arsenal ME3.</x:v>
      </x:c>
      <x:c r="G27" s="9" t="str">
        <x:v>Conversion ATB originale : Éclats incendiaires de Zaeed ; zone de danger annoncée et dégagement allié.</x:v>
      </x:c>
      <x:c r="H27" s="9" t="str">
        <x:v>Conversion ATB originale : Éclats incendiaires de Zaeed ; zone de danger annoncée et dégagement allié.</x:v>
      </x:c>
      <x:c r="I27" s="9" t="str">
        <x:v>Éclats orange en éventail.</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me3/powers/inferno ; rattacher les ressources et états cités à cet identifiant. Aucun fichier de jeu créé par ce catalogue.</x:v>
      </x:c>
      <x:c r="M27" s="9" t="str"/>
      <x:c r="N27" s="9" t="str">
        <x:v>Vérifier cible organique/synthétique, chaque protection, durée et fin d’état ; une cible non admissible garde ressources et action disponibles.</x:v>
      </x:c>
      <x:c r="O27" s="9" t="str"/>
      <x:c r="P27" s="9" t="str">
        <x:v>Inferno Grenade</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ME3-POW-AMMO-INCENDIARY</x:v>
      </x:c>
      <x:c r="B28" s="7" t="str">
        <x:v>Incendiary Ammo</x:v>
      </x:c>
      <x:c r="C28" s="15" t="str">
        <x:v>Défini</x:v>
      </x:c>
      <x:c r="D28" s="17" t="str">
        <x:v>Établi</x:v>
      </x:c>
      <x:c r="E28" s="17" t="str">
        <x:v>P1</x:v>
      </x:c>
      <x:c r="F28" s="7" t="str">
        <x:v>Pouvoir présent dans l’arsenal ME3.</x:v>
      </x:c>
      <x:c r="G28" s="7" t="str">
        <x:v>Conversion ATB originale : Mode de munitions de feu ; un seul mode actif par arme et aperçu du remplacement.</x:v>
      </x:c>
      <x:c r="H28" s="7" t="str">
        <x:v>Conversion ATB originale : Mode de munitions de feu ; un seul mode actif par arme et aperçu du remplacement.</x:v>
      </x:c>
      <x:c r="I28" s="7" t="str">
        <x:v>Marque orange au chargeur.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me3/powers/ammo-incendiary ; rattacher les ressources et états cités à cet identifiant. Aucun fichier de jeu créé par ce catalogue.</x:v>
      </x:c>
      <x:c r="M28" s="7" t="str"/>
      <x:c r="N28" s="7" t="str">
        <x:v>Vérifier cible organique/synthétique, chaque protection, durée et fin d’état ; une cible non admissible garde ressources et action disponibles.</x:v>
      </x:c>
      <x:c r="O28" s="7" t="str"/>
      <x:c r="P28" s="7" t="str">
        <x:v>Incendiary Ammo</x:v>
      </x:c>
      <x:c r="Q28" s="7" t="str">
        <x:v>ME3-SRC-POWERS</x:v>
      </x:c>
      <x:c r="R28" s="7" t="str">
        <x:v>https://masseffect.fandom.com/wiki/Powers_%28Mass_Effect_3%29</x:v>
      </x:c>
      <x:c r="S28" s="7" t="str">
        <x:v>Spécification à réaliser. Les champs adaptation, gameplay, visual, animation, audio et implementation décrivent le fan game ; ils ne donnent pas des caractéristiques officielles de l’œuvre.</x:v>
      </x:c>
    </x:row>
    <x:row r="29" ht="68" customHeight="1">
      <x:c r="A29" s="18" t="str">
        <x:v>ME3-POW-AMMO-DISRUPTOR</x:v>
      </x:c>
      <x:c r="B29" s="9" t="str">
        <x:v>Disruptor Ammo</x:v>
      </x:c>
      <x:c r="C29" s="15" t="str">
        <x:v>Défini</x:v>
      </x:c>
      <x:c r="D29" s="16" t="str">
        <x:v>Établi</x:v>
      </x:c>
      <x:c r="E29" s="16" t="str">
        <x:v>P1</x:v>
      </x:c>
      <x:c r="F29" s="9" t="str">
        <x:v>Pouvoir présent dans l’arsenal ME3.</x:v>
      </x:c>
      <x:c r="G29" s="9" t="str">
        <x:v>Conversion ATB originale : Mode anti-bouclier ; effets et munitions comptés séparément.</x:v>
      </x:c>
      <x:c r="H29" s="9" t="str">
        <x:v>Conversion ATB originale : Mode anti-bouclier ; effets et munitions comptés séparément.</x:v>
      </x:c>
      <x:c r="I29" s="9" t="str">
        <x:v>Éclats électriques bleus.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me3/powers/ammo-disruptor ; rattacher les ressources et états cités à cet identifiant. Aucun fichier de jeu créé par ce catalogue.</x:v>
      </x:c>
      <x:c r="M29" s="9" t="str"/>
      <x:c r="N29" s="9" t="str">
        <x:v>Vérifier cible organique/synthétique, chaque protection, durée et fin d’état ; une cible non admissible garde ressources et action disponibles.</x:v>
      </x:c>
      <x:c r="O29" s="9" t="str"/>
      <x:c r="P29" s="9" t="str">
        <x:v>Disruptor Ammo</x:v>
      </x:c>
      <x:c r="Q29" s="9" t="str">
        <x:v>ME3-SRC-POWERS</x:v>
      </x:c>
      <x:c r="R29" s="9" t="str">
        <x:v>https://masseffect.fandom.com/wiki/Powers_%28Mass_Effect_3%29</x:v>
      </x:c>
      <x:c r="S29" s="9" t="str">
        <x:v>Spécification à réaliser. Les champs adaptation, gameplay, visual, animation, audio et implementation décrivent le fan game ; ils ne donnent pas des caractéristiques officielles de l’œuvre.</x:v>
      </x:c>
    </x:row>
    <x:row r="30" ht="68" customHeight="1">
      <x:c r="A30" s="19" t="str">
        <x:v>ME3-POW-AMMO-CRYO</x:v>
      </x:c>
      <x:c r="B30" s="7" t="str">
        <x:v>Cryo Ammo</x:v>
      </x:c>
      <x:c r="C30" s="15" t="str">
        <x:v>Défini</x:v>
      </x:c>
      <x:c r="D30" s="17" t="str">
        <x:v>Établi</x:v>
      </x:c>
      <x:c r="E30" s="17" t="str">
        <x:v>P1</x:v>
      </x:c>
      <x:c r="F30" s="7" t="str">
        <x:v>Pouvoir présent dans l’arsenal ME3.</x:v>
      </x:c>
      <x:c r="G30" s="7" t="str">
        <x:v>Conversion ATB originale : Mode de refroidissement progressif ; gel déclenché par seuil proposé affiché.</x:v>
      </x:c>
      <x:c r="H30" s="7" t="str">
        <x:v>Conversion ATB originale : Mode de refroidissement progressif ; gel déclenché par seuil proposé affiché.</x:v>
      </x:c>
      <x:c r="I30" s="7" t="str">
        <x:v>Liseré blanc au projectile.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me3/powers/ammo-cryo ; rattacher les ressources et états cités à cet identifiant. Aucun fichier de jeu créé par ce catalogue.</x:v>
      </x:c>
      <x:c r="M30" s="7" t="str"/>
      <x:c r="N30" s="7" t="str">
        <x:v>Vérifier cible organique/synthétique, chaque protection, durée et fin d’état ; une cible non admissible garde ressources et action disponibles.</x:v>
      </x:c>
      <x:c r="O30" s="7" t="str"/>
      <x:c r="P30" s="7" t="str">
        <x:v>Cryo Ammo</x:v>
      </x:c>
      <x:c r="Q30" s="7" t="str">
        <x:v>ME3-SRC-POWERS</x:v>
      </x:c>
      <x:c r="R30" s="7" t="str">
        <x:v>https://masseffect.fandom.com/wiki/Powers_%28Mass_Effect_3%29</x:v>
      </x:c>
      <x:c r="S30" s="7" t="str">
        <x:v>Spécification à réaliser. Les champs adaptation, gameplay, visual, animation, audio et implementation décrivent le fan game ; ils ne donnent pas des caractéristiques officielles de l’œuvre.</x:v>
      </x:c>
    </x:row>
    <x:row r="31" ht="68" customHeight="1">
      <x:c r="A31" s="18" t="str">
        <x:v>ME3-POW-AMMO-AP</x:v>
      </x:c>
      <x:c r="B31" s="9" t="str">
        <x:v>Armor-Piercing Ammo</x:v>
      </x:c>
      <x:c r="C31" s="15" t="str">
        <x:v>Défini</x:v>
      </x:c>
      <x:c r="D31" s="16" t="str">
        <x:v>Établi</x:v>
      </x:c>
      <x:c r="E31" s="16" t="str">
        <x:v>P1</x:v>
      </x:c>
      <x:c r="F31" s="9" t="str">
        <x:v>Pouvoir présent dans l’arsenal ME3.</x:v>
      </x:c>
      <x:c r="G31" s="9" t="str">
        <x:v>Conversion ATB originale : Mode contre armure ; ne pas promettre pénétration de chaque décor sans règle du fan game.</x:v>
      </x:c>
      <x:c r="H31" s="9" t="str">
        <x:v>Conversion ATB originale : Mode contre armure ; ne pas promettre pénétration de chaque décor sans règle du fan game.</x:v>
      </x:c>
      <x:c r="I31" s="9" t="str">
        <x:v>Icône de plaque perforée.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me3/powers/ammo-ap ; rattacher les ressources et états cités à cet identifiant. Aucun fichier de jeu créé par ce catalogue.</x:v>
      </x:c>
      <x:c r="M31" s="9" t="str"/>
      <x:c r="N31" s="9" t="str">
        <x:v>Vérifier cible organique/synthétique, chaque protection, durée et fin d’état ; une cible non admissible garde ressources et action disponibles.</x:v>
      </x:c>
      <x:c r="O31" s="9" t="str"/>
      <x:c r="P31" s="9" t="str">
        <x:v>Armor-Piercing Ammo</x:v>
      </x:c>
      <x:c r="Q31" s="9" t="str">
        <x:v>ME3-SRC-POWERS</x:v>
      </x:c>
      <x:c r="R31" s="9" t="str">
        <x:v>https://masseffect.fandom.com/wiki/Powers_%28Mass_Effect_3%29</x:v>
      </x:c>
      <x:c r="S31" s="9" t="str">
        <x:v>Spécification à réaliser. Les champs adaptation, gameplay, visual, animation, audio et implementation décrivent le fan game ; ils ne donnent pas des caractéristiques officielles de l’œuvre.</x:v>
      </x:c>
    </x:row>
    <x:row r="32" ht="68" customHeight="1">
      <x:c r="A32" s="19" t="str">
        <x:v>ME3-POW-AMMO-WARP</x:v>
      </x:c>
      <x:c r="B32" s="7" t="str">
        <x:v>Warp Ammo</x:v>
      </x:c>
      <x:c r="C32" s="15" t="str">
        <x:v>Défini</x:v>
      </x:c>
      <x:c r="D32" s="17" t="str">
        <x:v>Établi</x:v>
      </x:c>
      <x:c r="E32" s="17" t="str">
        <x:v>P1</x:v>
      </x:c>
      <x:c r="F32" s="7" t="str">
        <x:v>Pouvoir présent dans l’arsenal ME3.</x:v>
      </x:c>
      <x:c r="G32" s="7" t="str">
        <x:v>Conversion ATB originale : Mode associé aux défenses biotiques ; bonus sur cible suspendue si retenu au réglage.</x:v>
      </x:c>
      <x:c r="H32" s="7" t="str">
        <x:v>Conversion ATB originale : Mode associé aux défenses biotiques ; bonus sur cible suspendue si retenu au réglage.</x:v>
      </x:c>
      <x:c r="I32" s="7" t="str">
        <x:v>Impact violet.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me3/powers/ammo-warp ; rattacher les ressources et états cités à cet identifiant. Aucun fichier de jeu créé par ce catalogue.</x:v>
      </x:c>
      <x:c r="M32" s="7" t="str"/>
      <x:c r="N32" s="7" t="str">
        <x:v>Vérifier cible organique/synthétique, chaque protection, durée et fin d’état ; une cible non admissible garde ressources et action disponibles.</x:v>
      </x:c>
      <x:c r="O32" s="7" t="str"/>
      <x:c r="P32" s="7" t="str">
        <x:v>Warp Ammo</x:v>
      </x:c>
      <x:c r="Q32" s="7" t="str">
        <x:v>ME3-SRC-POWERS</x:v>
      </x:c>
      <x:c r="R32" s="7" t="str">
        <x:v>https://masseffect.fandom.com/wiki/Powers_%28Mass_Effect_3%29</x:v>
      </x:c>
      <x:c r="S32" s="7" t="str">
        <x:v>Spécification à réaliser. Les champs adaptation, gameplay, visual, animation, audio et implementation décrivent le fan game ; ils ne donnent pas des caractéristiques officielles de l’œuvre.</x:v>
      </x:c>
    </x:row>
    <x:row r="33" ht="96" customHeight="1">
      <x:c r="A33" s="18" t="str">
        <x:v>ME3-POW-STASIS</x:v>
      </x:c>
      <x:c r="B33" s="9" t="str">
        <x:v>Stasis</x:v>
      </x:c>
      <x:c r="C33" s="15" t="str">
        <x:v>Prototype</x:v>
      </x:c>
      <x:c r="D33" s="16" t="str">
        <x:v>Établi</x:v>
      </x:c>
      <x:c r="E33" s="16" t="str">
        <x:v>P1</x:v>
      </x:c>
      <x:c r="F33" s="9" t="str">
        <x:v>Pouvoir présent dans l’arsenal ME3.</x:v>
      </x:c>
      <x:c r="G33" s="9" t="str">
        <x:v>Conversion ATB originale : Immobiliser une cible pendant une durée bornée ; mesurer précisément entrée et sortie de la fenêtre.</x:v>
      </x:c>
      <x:c r="H33" s="9" t="str">
        <x:v>Conversion ATB originale : Immobiliser une cible pendant une durée bornée ; mesurer précisément entrée et sortie de la fenêtre.</x:v>
      </x:c>
      <x:c r="I33" s="9" t="str">
        <x:v>Silhouette figée dans un cadre bleu.</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partiel : liaison ME3-POW-STASIS dans src/universe-powers.js, exposition par src/universe-actors.js, action native dans src/combat.js. Les acteurs, scènes et préparations autorisés sont explicitement listés par getUniversePowerUsage().</x:v>
      </x:c>
      <x:c r="M33" s="9" t="str"/>
      <x:c r="N33" s="9" t="str">
        <x:v>Vérifier cible organique/synthétique, chaque protection, durée et fin d’état ; une cible non admissible garde ressources et action disponibles.</x:v>
      </x:c>
      <x:c r="O33" s="9" t="str"/>
      <x:c r="P33" s="9" t="str">
        <x:v>Stasis</x:v>
      </x:c>
      <x:c r="Q33" s="9" t="str">
        <x:v>ME3-SRC-POWERS</x:v>
      </x:c>
      <x:c r="R33" s="9" t="str">
        <x:v>https://masseffect.fandom.com/wiki/Powers_%28Mass_Effect_3%29</x:v>
      </x:c>
      <x:c r="S3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4" ht="68" customHeight="1">
      <x:c r="A34" s="19" t="str">
        <x:v>ME3-POW-NOVA</x:v>
      </x:c>
      <x:c r="B34" s="7" t="str">
        <x:v>Nova</x:v>
      </x:c>
      <x:c r="C34" s="15" t="str">
        <x:v>Défini</x:v>
      </x:c>
      <x:c r="D34" s="17" t="str">
        <x:v>Établi</x:v>
      </x:c>
      <x:c r="E34" s="17" t="str">
        <x:v>P1</x:v>
      </x:c>
      <x:c r="F34" s="7" t="str">
        <x:v>Pouvoir biotique de ME3.</x:v>
      </x:c>
      <x:c r="G34" s="7" t="str">
        <x:v>Dépenser une protection pour choc de proximité ; prévisualiser défense restante et risque de contre-attaque.</x:v>
      </x:c>
      <x:c r="H34" s="7" t="str">
        <x:v>Dépenser une protection pour choc de proximité ; prévisualiser défense restante et risque de contre-attaque.</x:v>
      </x:c>
      <x:c r="I34" s="7" t="str">
        <x:v>Onde circulaire au sol.</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me3/powers/nova ; rattacher les ressources et états cités à cet identifiant. Aucun fichier de jeu créé par ce catalogue.</x:v>
      </x:c>
      <x:c r="M34" s="7" t="str"/>
      <x:c r="N34" s="7" t="str">
        <x:v>Le livrable « Nova » possède une scène ou un scénario de contrôle ; ses règles proposées, ses conditions et ses retours visuels sont vérifiables séparément.</x:v>
      </x:c>
      <x:c r="O34" s="7" t="str"/>
      <x:c r="P34" s="7" t="str">
        <x:v>Nova</x:v>
      </x:c>
      <x:c r="Q34" s="7" t="str">
        <x:v>ME3-SRC-POWERS</x:v>
      </x:c>
      <x:c r="R34" s="7" t="str">
        <x:v>https://masseffect.fandom.com/wiki/Powers_%28Mass_Effect_3%29</x:v>
      </x:c>
      <x:c r="S34" s="7" t="str">
        <x:v>Spécification à réaliser. Les champs adaptation, gameplay, visual, animation, audio et implementation décrivent le fan game ; ils ne donnent pas des caractéristiques officielles de l’œuvre.</x:v>
      </x:c>
    </x:row>
    <x:row r="35" ht="68" customHeight="1">
      <x:c r="A35" s="18" t="str">
        <x:v>ME3-POW-DARK-CHANNEL</x:v>
      </x:c>
      <x:c r="B35" s="9" t="str">
        <x:v>Dark Channel</x:v>
      </x:c>
      <x:c r="C35" s="15" t="str">
        <x:v>Défini</x:v>
      </x:c>
      <x:c r="D35" s="16" t="str">
        <x:v>Établi</x:v>
      </x:c>
      <x:c r="E35" s="16" t="str">
        <x:v>P1</x:v>
      </x:c>
      <x:c r="F35" s="9" t="str">
        <x:v>Pouvoir de Javik.</x:v>
      </x:c>
      <x:c r="G35" s="9" t="str">
        <x:v>Marque persistante puis transfert proposé sur cible valide à sa mort ; une seule instance à suivre dans l’UI.</x:v>
      </x:c>
      <x:c r="H35" s="9" t="str">
        <x:v>Marque persistante puis transfert proposé sur cible valide à sa mort ; une seule instance à suivre dans l’UI.</x:v>
      </x:c>
      <x:c r="I35" s="9" t="str">
        <x:v>Lueur sombre et lien de transfert.</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me3/powers/dark-channel ; rattacher les ressources et états cités à cet identifiant. Aucun fichier de jeu créé par ce catalogue.</x:v>
      </x:c>
      <x:c r="M35" s="9" t="str"/>
      <x:c r="N35" s="9" t="str">
        <x:v>Le livrable « Dark Channel » possède une scène ou un scénario de contrôle ; ses règles proposées, ses conditions et ses retours visuels sont vérifiables séparément.</x:v>
      </x:c>
      <x:c r="O35" s="9" t="str"/>
      <x:c r="P35" s="9" t="str">
        <x:v>Dark Channel</x:v>
      </x:c>
      <x:c r="Q35" s="9" t="str">
        <x:v>ME3-SRC-SQUAD, ME3-SRC-POWERS</x:v>
      </x:c>
      <x:c r="R35" s="9" t="str">
        <x:v>https://masseffect.fandom.com/wiki/Squad_Members_Guide_%28Mass_Effect_3%29
https://masseffect.fandom.com/wiki/Powers_%28Mass_Effect_3%29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ME3-POW-FLARE</x:v>
      </x:c>
      <x:c r="B36" s="7" t="str">
        <x:v>Flare</x:v>
      </x:c>
      <x:c r="C36" s="15" t="str">
        <x:v>Défini</x:v>
      </x:c>
      <x:c r="D36" s="17" t="str">
        <x:v>Établi</x:v>
      </x:c>
      <x:c r="E36" s="17" t="str">
        <x:v>P1</x:v>
      </x:c>
      <x:c r="F36" s="7" t="str">
        <x:v>Pouvoir associé à Aria.</x:v>
      </x:c>
      <x:c r="G36" s="7" t="str">
        <x:v>Grande zone explosive à longue préparation ; équipe libre de se déplacer pendant la charge.</x:v>
      </x:c>
      <x:c r="H36" s="7" t="str">
        <x:v>Grande zone explosive à longue préparation ; équipe libre de se déplacer pendant la charge.</x:v>
      </x:c>
      <x:c r="I36" s="7" t="str">
        <x:v>Sphère biotique puis onde large.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me3/powers/flare ; rattacher les ressources et états cités à cet identifiant. Aucun fichier de jeu créé par ce catalogue.</x:v>
      </x:c>
      <x:c r="M36" s="7" t="str">
        <x:v>DLC Omega / déblocage selon campagne.</x:v>
      </x:c>
      <x:c r="N36" s="7" t="str">
        <x:v>Le livrable « Flare » possède une scène ou un scénario de contrôle ; ses règles proposées, ses conditions et ses retours visuels sont vérifiables séparément.</x:v>
      </x:c>
      <x:c r="O36" s="7" t="str"/>
      <x:c r="P36" s="7" t="str">
        <x:v>Flare</x:v>
      </x:c>
      <x:c r="Q36" s="7" t="str">
        <x:v>ME3-SRC-SQUAD</x:v>
      </x:c>
      <x:c r="R36" s="7" t="str">
        <x:v>https://masseffect.fandom.com/wiki/Squad_Members_Guide_%28Mass_Effect_3%29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ME3-POW-LASH</x:v>
      </x:c>
      <x:c r="B37" s="9" t="str">
        <x:v>Lash</x:v>
      </x:c>
      <x:c r="C37" s="15" t="str">
        <x:v>Défini</x:v>
      </x:c>
      <x:c r="D37" s="16" t="str">
        <x:v>Établi</x:v>
      </x:c>
      <x:c r="E37" s="16" t="str">
        <x:v>P1</x:v>
      </x:c>
      <x:c r="F37" s="9" t="str">
        <x:v>Pouvoir d’Aria.</x:v>
      </x:c>
      <x:c r="G37" s="9" t="str">
        <x:v>Traction suivant un axe prévisualisé ; collision et cibles protégées contrôlées avant dépense.</x:v>
      </x:c>
      <x:c r="H37" s="9" t="str">
        <x:v>Traction suivant un axe prévisualisé ; collision et cibles protégées contrôlées avant dépense.</x:v>
      </x:c>
      <x:c r="I37" s="9" t="str">
        <x:v>Fouet biotique et trajectoire.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me3/powers/lash ; rattacher les ressources et états cités à cet identifiant. Aucun fichier de jeu créé par ce catalogue.</x:v>
      </x:c>
      <x:c r="M37" s="9" t="str">
        <x:v>DLC Omega / déblocage selon campagne.</x:v>
      </x:c>
      <x:c r="N37" s="9" t="str">
        <x:v>Le livrable « Lash » possède une scène ou un scénario de contrôle ; ses règles proposées, ses conditions et ses retours visuels sont vérifiables séparément.</x:v>
      </x:c>
      <x:c r="O37" s="9" t="str"/>
      <x:c r="P37" s="9" t="str">
        <x:v>Lash</x:v>
      </x:c>
      <x:c r="Q37" s="9" t="str">
        <x:v>ME3-SRC-SQUAD</x:v>
      </x:c>
      <x:c r="R37" s="9" t="str">
        <x:v>https://masseffect.fandom.com/wiki/Squad_Members_Guide_%28Mass_Effect_3%29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ME3-POW-LIFT-GRENADE</x:v>
      </x:c>
      <x:c r="B38" s="7" t="str">
        <x:v>Lift Grenade</x:v>
      </x:c>
      <x:c r="C38" s="15" t="str">
        <x:v>Défini</x:v>
      </x:c>
      <x:c r="D38" s="17" t="str">
        <x:v>Établi</x:v>
      </x:c>
      <x:c r="E38" s="17" t="str">
        <x:v>P1</x:v>
      </x:c>
      <x:c r="F38" s="7" t="str">
        <x:v>Grenade biotique.</x:v>
      </x:c>
      <x:c r="G38" s="7" t="str">
        <x:v>Zone de lévitation consommable ; séparer réserve de grenade et récupération des pouvoirs.</x:v>
      </x:c>
      <x:c r="H38" s="7" t="str">
        <x:v>Zone de lévitation consommable ; séparer réserve de grenade et récupération des pouvoirs.</x:v>
      </x:c>
      <x:c r="I38" s="7" t="str">
        <x:v>Arc puis suspension de groupe.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me3/powers/lift-grenade ; rattacher les ressources et états cités à cet identifiant. Aucun fichier de jeu créé par ce catalogue.</x:v>
      </x:c>
      <x:c r="M38" s="7" t="str"/>
      <x:c r="N38" s="7" t="str">
        <x:v>Le livrable « Lift Grenade » possède une scène ou un scénario de contrôle ; ses règles proposées, ses conditions et ses retours visuels sont vérifiables séparément.</x:v>
      </x:c>
      <x:c r="O38" s="7" t="str"/>
      <x:c r="P38" s="7" t="str">
        <x:v>Lift Grenade</x:v>
      </x:c>
      <x:c r="Q38" s="7" t="str">
        <x:v>ME3-SRC-POWERS</x:v>
      </x:c>
      <x:c r="R38" s="7" t="str">
        <x:v>https://masseffect.fandom.com/wiki/Powers_%28Mass_Effect_3%29</x:v>
      </x:c>
      <x:c r="S38" s="7" t="str">
        <x:v>Spécification à réaliser. Les champs adaptation, gameplay, visual, animation, audio et implementation décrivent le fan game ; ils ne donnent pas des caractéristiques officielles de l’œuvre.</x:v>
      </x:c>
    </x:row>
    <x:row r="39" ht="68" customHeight="1">
      <x:c r="A39" s="18" t="str">
        <x:v>ME3-POW-FRAG</x:v>
      </x:c>
      <x:c r="B39" s="9" t="str">
        <x:v>Frag Grenade</x:v>
      </x:c>
      <x:c r="C39" s="15" t="str">
        <x:v>Défini</x:v>
      </x:c>
      <x:c r="D39" s="16" t="str">
        <x:v>Établi</x:v>
      </x:c>
      <x:c r="E39" s="16" t="str">
        <x:v>P1</x:v>
      </x:c>
      <x:c r="F39" s="9" t="str">
        <x:v>Grenade offensive.</x:v>
      </x:c>
      <x:c r="G39" s="9" t="str">
        <x:v>Trajectoire lobée et rayon visible ; grenade déjà lancée continue après incapacité du lanceur.</x:v>
      </x:c>
      <x:c r="H39" s="9" t="str">
        <x:v>Trajectoire lobée et rayon visible ; grenade déjà lancée continue après incapacité du lanceur.</x:v>
      </x:c>
      <x:c r="I39" s="9" t="str">
        <x:v>Grenade physique puis éclats atténués.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me3/powers/frag ; rattacher les ressources et états cités à cet identifiant. Aucun fichier de jeu créé par ce catalogue.</x:v>
      </x:c>
      <x:c r="M39" s="9" t="str"/>
      <x:c r="N39" s="9" t="str">
        <x:v>Le livrable « Frag Grenade » possède une scène ou un scénario de contrôle ; ses règles proposées, ses conditions et ses retours visuels sont vérifiables séparément.</x:v>
      </x:c>
      <x:c r="O39" s="9" t="str"/>
      <x:c r="P39" s="9" t="str">
        <x:v>Frag Grenade</x:v>
      </x:c>
      <x:c r="Q39" s="9" t="str">
        <x:v>ME3-SRC-POWERS</x:v>
      </x:c>
      <x:c r="R39" s="9" t="str">
        <x:v>https://masseffect.fandom.com/wiki/Powers_%28Mass_Effect_3%29</x:v>
      </x:c>
      <x:c r="S39" s="9" t="str">
        <x:v>Spécification à réaliser. Les champs adaptation, gameplay, visual, animation, audio et implementation décrivent le fan game ; ils ne donnent pas des caractéristiques officielles de l’œuvre.</x:v>
      </x:c>
    </x:row>
    <x:row r="40" ht="68" customHeight="1">
      <x:c r="A40" s="19" t="str">
        <x:v>ME3-POW-CARNAGE</x:v>
      </x:c>
      <x:c r="B40" s="7" t="str">
        <x:v>Carnage</x:v>
      </x:c>
      <x:c r="C40" s="15" t="str">
        <x:v>Défini</x:v>
      </x:c>
      <x:c r="D40" s="17" t="str">
        <x:v>Établi</x:v>
      </x:c>
      <x:c r="E40" s="17" t="str">
        <x:v>P1</x:v>
      </x:c>
      <x:c r="F40" s="7" t="str">
        <x:v>Pouvoir offensif de plusieurs équipiers.</x:v>
      </x:c>
      <x:c r="G40" s="7" t="str">
        <x:v>Projectile lourd de zone ; position de cible figée à résolution, pas au premier clic de menu.</x:v>
      </x:c>
      <x:c r="H40" s="7" t="str">
        <x:v>Projectile lourd de zone ; position de cible figée à résolution, pas au premier clic de menu.</x:v>
      </x:c>
      <x:c r="I40" s="7" t="str">
        <x:v>Projectile rouge-orange.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me3/powers/carnage ; rattacher les ressources et états cités à cet identifiant. Aucun fichier de jeu créé par ce catalogue.</x:v>
      </x:c>
      <x:c r="M40" s="7" t="str"/>
      <x:c r="N40" s="7" t="str">
        <x:v>Le livrable « Carnage » possède une scène ou un scénario de contrôle ; ses règles proposées, ses conditions et ses retours visuels sont vérifiables séparément.</x:v>
      </x:c>
      <x:c r="O40" s="7" t="str"/>
      <x:c r="P40" s="7" t="str">
        <x:v>Carnage</x:v>
      </x:c>
      <x:c r="Q40" s="7" t="str">
        <x:v>ME3-SRC-SQUAD</x:v>
      </x:c>
      <x:c r="R40" s="7" t="str">
        <x:v>https://masseffect.fandom.com/wiki/Squad_Members_Guide_%28Mass_Effect_3%29</x:v>
      </x:c>
      <x:c r="S40" s="7" t="str">
        <x:v>Spécification à réaliser. Les champs adaptation, gameplay, visual, animation, audio et implementation décrivent le fan game ; ils ne donnent pas des caractéristiques officielles de l’œuvre.</x:v>
      </x:c>
    </x:row>
    <x:row r="41" ht="68" customHeight="1">
      <x:c r="A41" s="18" t="str">
        <x:v>ME3-POW-PROXIMITY</x:v>
      </x:c>
      <x:c r="B41" s="9" t="str">
        <x:v>Proximity Mine</x:v>
      </x:c>
      <x:c r="C41" s="15" t="str">
        <x:v>Défini</x:v>
      </x:c>
      <x:c r="D41" s="16" t="str">
        <x:v>Établi</x:v>
      </x:c>
      <x:c r="E41" s="16" t="str">
        <x:v>P1</x:v>
      </x:c>
      <x:c r="F41" s="9" t="str">
        <x:v>Pouvoir de Garrus.</x:v>
      </x:c>
      <x:c r="G41" s="9" t="str">
        <x:v>Poser mine sur surface admise ; aire de déclenchement distincte de l’explosion.</x:v>
      </x:c>
      <x:c r="H41" s="9" t="str">
        <x:v>Poser mine sur surface admise ; aire de déclenchement distincte de l’explosion.</x:v>
      </x:c>
      <x:c r="I41" s="9" t="str">
        <x:v>Mine au sol et halo de détection.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me3/powers/proximity ; rattacher les ressources et états cités à cet identifiant. Aucun fichier de jeu créé par ce catalogue.</x:v>
      </x:c>
      <x:c r="M41" s="9" t="str"/>
      <x:c r="N41" s="9" t="str">
        <x:v>Le livrable « Proximity Mine » possède une scène ou un scénario de contrôle ; ses règles proposées, ses conditions et ses retours visuels sont vérifiables séparément.</x:v>
      </x:c>
      <x:c r="O41" s="9" t="str"/>
      <x:c r="P41" s="9" t="str">
        <x:v>Proximity Mine</x:v>
      </x:c>
      <x:c r="Q41" s="9" t="str">
        <x:v>ME3-SRC-SQUAD</x:v>
      </x:c>
      <x:c r="R41" s="9" t="str">
        <x:v>https://masseffect.fandom.com/wiki/Squad_Members_Guide_%28Mass_Effect_3%29</x:v>
      </x:c>
      <x:c r="S41" s="9" t="str">
        <x:v>Spécification à réaliser. Les champs adaptation, gameplay, visual, animation, audio et implementation décrivent le fan game ; ils ne donnent pas des caractéristiques officielles de l’œuvre.</x:v>
      </x:c>
    </x:row>
    <x:row r="42" ht="96" customHeight="1">
      <x:c r="A42" s="19" t="str">
        <x:v>ME3-POW-SABOTAGE</x:v>
      </x:c>
      <x:c r="B42" s="7" t="str">
        <x:v>Sabotage</x:v>
      </x:c>
      <x:c r="C42" s="15" t="str">
        <x:v>Prototype</x:v>
      </x:c>
      <x:c r="D42" s="17" t="str">
        <x:v>Établi</x:v>
      </x:c>
      <x:c r="E42" s="17" t="str">
        <x:v>P1</x:v>
      </x:c>
      <x:c r="F42" s="7" t="str">
        <x:v>Pouvoir de Tali.</x:v>
      </x:c>
      <x:c r="G42" s="7" t="str">
        <x:v>Perturber machine ou arme selon type ; fiche d’effet affiche le résultat réellement applicable.</x:v>
      </x:c>
      <x:c r="H42" s="7" t="str">
        <x:v>Perturber machine ou arme selon type ; fiche d’effet affiche le résultat réellement applicable.</x:v>
      </x:c>
      <x:c r="I42" s="7" t="str">
        <x:v>Omni-outil et parasites orange.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partiel : liaison ME3-POW-SABOTAGE dans src/universe-powers.js, exposition par src/universe-actors.js, action native dans src/combat.js. Les acteurs, scènes et préparations autorisés sont explicitement listés par getUniversePowerUsage().</x:v>
      </x:c>
      <x:c r="M42" s="7" t="str"/>
      <x:c r="N42" s="7" t="str">
        <x:v>Le livrable « Sabotage » possède une scène ou un scénario de contrôle ; ses règles proposées, ses conditions et ses retours visuels sont vérifiables séparément.</x:v>
      </x:c>
      <x:c r="O42" s="7" t="str"/>
      <x:c r="P42" s="7" t="str">
        <x:v>Sabotage</x:v>
      </x:c>
      <x:c r="Q42" s="7" t="str">
        <x:v>ME3-SRC-SQUAD</x:v>
      </x:c>
      <x:c r="R42" s="7" t="str">
        <x:v>https://masseffect.fandom.com/wiki/Squad_Members_Guide_%28Mass_Effect_3%29</x:v>
      </x:c>
      <x:c r="S4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43" ht="68" customHeight="1">
      <x:c r="A43" s="18" t="str">
        <x:v>ME3-POW-DEFENSE-DRONE</x:v>
      </x:c>
      <x:c r="B43" s="9" t="str">
        <x:v>Defense Drone</x:v>
      </x:c>
      <x:c r="C43" s="15" t="str">
        <x:v>Défini</x:v>
      </x:c>
      <x:c r="D43" s="16" t="str">
        <x:v>Établi</x:v>
      </x:c>
      <x:c r="E43" s="16" t="str">
        <x:v>P1</x:v>
      </x:c>
      <x:c r="F43" s="9" t="str">
        <x:v>Pouvoir de Tali.</x:v>
      </x:c>
      <x:c r="G43" s="9" t="str">
        <x:v>Drone proche du protecteur, attaque de réaction limitée ; aucun blocage de chemin au pied d’un allié.</x:v>
      </x:c>
      <x:c r="H43" s="9" t="str">
        <x:v>Drone proche du protecteur, attaque de réaction limitée ; aucun blocage de chemin au pied d’un allié.</x:v>
      </x:c>
      <x:c r="I43" s="9" t="str">
        <x:v>Sphère de défense et petit arc.</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me3/powers/defense-drone ; rattacher les ressources et états cités à cet identifiant. Aucun fichier de jeu créé par ce catalogue.</x:v>
      </x:c>
      <x:c r="M43" s="9" t="str"/>
      <x:c r="N43" s="9" t="str">
        <x:v>Le livrable « Defense Drone » possède une scène ou un scénario de contrôle ; ses règles proposées, ses conditions et ses retours visuels sont vérifiables séparément.</x:v>
      </x:c>
      <x:c r="O43" s="9" t="str"/>
      <x:c r="P43" s="9" t="str">
        <x:v>Defense Drone</x:v>
      </x:c>
      <x:c r="Q43" s="9" t="str">
        <x:v>ME3-SRC-SQUAD</x:v>
      </x:c>
      <x:c r="R43" s="9" t="str">
        <x:v>https://masseffect.fandom.com/wiki/Squad_Members_Guide_%28Mass_Effect_3%29</x:v>
      </x:c>
      <x:c r="S43" s="9" t="str">
        <x:v>Spécification à réaliser. Les champs adaptation, gameplay, visual, animation, audio et implementation décrivent le fan game ; ils ne donnent pas des caractéristiques officielles de l’œuvre.</x:v>
      </x:c>
    </x:row>
    <x:row r="44" ht="68" customHeight="1">
      <x:c r="A44" s="19" t="str">
        <x:v>ME3-POW-DEFENSE-MATRIX</x:v>
      </x:c>
      <x:c r="B44" s="7" t="str">
        <x:v>Defense Matrix</x:v>
      </x:c>
      <x:c r="C44" s="15" t="str">
        <x:v>Défini</x:v>
      </x:c>
      <x:c r="D44" s="17" t="str">
        <x:v>Établi</x:v>
      </x:c>
      <x:c r="E44" s="17" t="str">
        <x:v>P1</x:v>
      </x:c>
      <x:c r="F44" s="7" t="str">
        <x:v>Pouvoir d’EDI.</x:v>
      </x:c>
      <x:c r="G44" s="7" t="str">
        <x:v>Protection entretenue avec purge de secours proposée ; coût de récupération visible.</x:v>
      </x:c>
      <x:c r="H44" s="7" t="str">
        <x:v>Protection entretenue avec purge de secours proposée ; coût de récupération visible.</x:v>
      </x:c>
      <x:c r="I44" s="7" t="str">
        <x:v>Trame technique et segments de bouclier.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me3/powers/defense-matrix ; rattacher les ressources et états cités à cet identifiant. Aucun fichier de jeu créé par ce catalogue.</x:v>
      </x:c>
      <x:c r="M44" s="7" t="str"/>
      <x:c r="N44" s="7" t="str">
        <x:v>Le livrable « Defense Matrix » possède une scène ou un scénario de contrôle ; ses règles proposées, ses conditions et ses retours visuels sont vérifiables séparément.</x:v>
      </x:c>
      <x:c r="O44" s="7" t="str"/>
      <x:c r="P44" s="7" t="str">
        <x:v>Defense Matrix</x:v>
      </x:c>
      <x:c r="Q44" s="7" t="str">
        <x:v>ME3-SRC-SQUAD</x:v>
      </x:c>
      <x:c r="R44" s="7" t="str">
        <x:v>https://masseffect.fandom.com/wiki/Squad_Members_Guide_%28Mass_Effect_3%29</x:v>
      </x:c>
      <x:c r="S44" s="7" t="str">
        <x:v>Spécification à réaliser. Les champs adaptation, gameplay, visual, animation, audio et implementation décrivent le fan game ; ils ne donnent pas des caractéristiques officielles de l’œuvre.</x:v>
      </x:c>
    </x:row>
    <x:row r="45" ht="68" customHeight="1">
      <x:c r="A45" s="18" t="str">
        <x:v>ME3-POW-DECOY</x:v>
      </x:c>
      <x:c r="B45" s="9" t="str">
        <x:v>Decoy</x:v>
      </x:c>
      <x:c r="C45" s="15" t="str">
        <x:v>Défini</x:v>
      </x:c>
      <x:c r="D45" s="16" t="str">
        <x:v>Établi</x:v>
      </x:c>
      <x:c r="E45" s="16" t="str">
        <x:v>P1</x:v>
      </x:c>
      <x:c r="F45" s="9" t="str">
        <x:v>Pouvoir d’EDI et d’Armax.</x:v>
      </x:c>
      <x:c r="G45" s="9" t="str">
        <x:v>Leurre à emplacement réservé ; les ennemis déjà engagés ne changent pas tous instantanément de cible.</x:v>
      </x:c>
      <x:c r="H45" s="9" t="str">
        <x:v>Leurre à emplacement réservé ; les ennemis déjà engagés ne changent pas tous instantanément de cible.</x:v>
      </x:c>
      <x:c r="I45" s="9" t="str">
        <x:v>Copie holographique distincte.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me3/powers/decoy ; rattacher les ressources et états cités à cet identifiant. Aucun fichier de jeu créé par ce catalogue.</x:v>
      </x:c>
      <x:c r="M45" s="9" t="str"/>
      <x:c r="N45" s="9" t="str">
        <x:v>Le livrable « Decoy » possède une scène ou un scénario de contrôle ; ses règles proposées, ses conditions et ses retours visuels sont vérifiables séparément.</x:v>
      </x:c>
      <x:c r="O45" s="9" t="str"/>
      <x:c r="P45" s="9" t="str">
        <x:v>Decoy</x:v>
      </x:c>
      <x:c r="Q45" s="9" t="str">
        <x:v>ME3-SRC-SQUAD</x:v>
      </x:c>
      <x:c r="R45" s="9" t="str">
        <x:v>https://masseffect.fandom.com/wiki/Squad_Members_Guide_%28Mass_Effect_3%29</x:v>
      </x:c>
      <x:c r="S45" s="9" t="str">
        <x:v>Spécification à réaliser. Les champs adaptation, gameplay, visual, animation, audio et implementation décrivent le fan game ; ils ne donnent pas des caractéristiques officielles de l’œuvre.</x:v>
      </x:c>
    </x:row>
    <x:row r="46" ht="68" customHeight="1">
      <x:c r="A46" s="19" t="str">
        <x:v>ME3-POW-MARKSMAN</x:v>
      </x:c>
      <x:c r="B46" s="7" t="str">
        <x:v>Marksman</x:v>
      </x:c>
      <x:c r="C46" s="15" t="str">
        <x:v>Défini</x:v>
      </x:c>
      <x:c r="D46" s="17" t="str">
        <x:v>Établi</x:v>
      </x:c>
      <x:c r="E46" s="17" t="str">
        <x:v>P1</x:v>
      </x:c>
      <x:c r="F46" s="7" t="str">
        <x:v>Pouvoir d’Ashley.</x:v>
      </x:c>
      <x:c r="G46" s="7" t="str">
        <x:v>Bonus temporaire de visée/rythme proposé ; durée commence à activation et non au premier tir.</x:v>
      </x:c>
      <x:c r="H46" s="7" t="str">
        <x:v>Bonus temporaire de visée/rythme proposé ; durée commence à activation et non au premier tir.</x:v>
      </x:c>
      <x:c r="I46" s="7" t="str">
        <x:v>Viseur stabilisé et portrait marqué.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me3/powers/marksman ; rattacher les ressources et états cités à cet identifiant. Aucun fichier de jeu créé par ce catalogue.</x:v>
      </x:c>
      <x:c r="M46" s="7" t="str"/>
      <x:c r="N46" s="7" t="str">
        <x:v>Le livrable « Marksman » possède une scène ou un scénario de contrôle ; ses règles proposées, ses conditions et ses retours visuels sont vérifiables séparément.</x:v>
      </x:c>
      <x:c r="O46" s="7" t="str"/>
      <x:c r="P46" s="7" t="str">
        <x:v>Marksman</x:v>
      </x:c>
      <x:c r="Q46" s="7" t="str">
        <x:v>ME3-SRC-SQUAD</x:v>
      </x:c>
      <x:c r="R46" s="7" t="str">
        <x:v>https://masseffect.fandom.com/wiki/Squad_Members_Guide_%28Mass_Effect_3%29</x:v>
      </x:c>
      <x:c r="S46" s="7" t="str">
        <x:v>Spécification à réaliser. Les champs adaptation, gameplay, visual, animation, audio et implementation décrivent le fan game ; ils ne donnent pas des caractéristiques officielles de l’œuvre.</x:v>
      </x:c>
    </x:row>
    <x:row r="47" ht="68" customHeight="1">
      <x:c r="A47" s="18" t="str">
        <x:v>ME3-POW-BIOTIC-PROTECTOR</x:v>
      </x:c>
      <x:c r="B47" s="9" t="str">
        <x:v>Biotic Protector</x:v>
      </x:c>
      <x:c r="C47" s="15" t="str">
        <x:v>Défini</x:v>
      </x:c>
      <x:c r="D47" s="16" t="str">
        <x:v>Établi</x:v>
      </x:c>
      <x:c r="E47" s="16" t="str">
        <x:v>P1</x:v>
      </x:c>
      <x:c r="F47" s="9" t="str">
        <x:v>Pouvoir de Nyreen.</x:v>
      </x:c>
      <x:c r="G47" s="9" t="str">
        <x:v>Bulle locale de protection avec durée et portée visibles ; distinguer la pose narrative de ses règles de combat.</x:v>
      </x:c>
      <x:c r="H47" s="9" t="str">
        <x:v>Bulle locale de protection avec durée et portée visibles ; distinguer la pose narrative de ses règles de combat.</x:v>
      </x:c>
      <x:c r="I47" s="9" t="str">
        <x:v>Dôme biotique et mains ouvertes.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me3/powers/biotic-protector ; rattacher les ressources et états cités à cet identifiant. Aucun fichier de jeu créé par ce catalogue.</x:v>
      </x:c>
      <x:c r="M47" s="9" t="str">
        <x:v>Omega, Nyreen uniquement.</x:v>
      </x:c>
      <x:c r="N47" s="9" t="str">
        <x:v>Le livrable « Biotic Protector » possède une scène ou un scénario de contrôle ; ses règles proposées, ses conditions et ses retours visuels sont vérifiables séparément.</x:v>
      </x:c>
      <x:c r="O47" s="9" t="str"/>
      <x:c r="P47" s="9" t="str">
        <x:v>Biotic Protector</x:v>
      </x:c>
      <x:c r="Q47" s="9" t="str">
        <x:v>ME3-SRC-SQUAD</x:v>
      </x:c>
      <x:c r="R47" s="9" t="str">
        <x:v>https://masseffect.fandom.com/wiki/Squad_Members_Guide_%28Mass_Effect_3%29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ME3-POW-STIMULANT</x:v>
      </x:c>
      <x:c r="B48" s="7" t="str">
        <x:v>Stimulant Pack</x:v>
      </x:c>
      <x:c r="C48" s="15" t="str">
        <x:v>Défini</x:v>
      </x:c>
      <x:c r="D48" s="17" t="str">
        <x:v>Établi</x:v>
      </x:c>
      <x:c r="E48" s="17" t="str">
        <x:v>P1</x:v>
      </x:c>
      <x:c r="F48" s="7" t="str">
        <x:v>Pouvoir de Wrex dans Citadel.</x:v>
      </x:c>
      <x:c r="G48" s="7" t="str">
        <x:v>Activation de réserve personnelle ; icône et stock propres, séparés du medi-gel partagé.</x:v>
      </x:c>
      <x:c r="H48" s="7" t="str">
        <x:v>Activation de réserve personnelle ; icône et stock propres, séparés du medi-gel partagé.</x:v>
      </x:c>
      <x:c r="I48" s="7" t="str">
        <x:v>Injection stylisée et regain de posture.</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me3/powers/stimulant ; rattacher les ressources et états cités à cet identifiant. Aucun fichier de jeu créé par ce catalogue.</x:v>
      </x:c>
      <x:c r="M48" s="7" t="str">
        <x:v>Citadel / Armax selon roster.</x:v>
      </x:c>
      <x:c r="N48" s="7" t="str">
        <x:v>Le livrable « Stimulant Pack » possède une scène ou un scénario de contrôle ; ses règles proposées, ses conditions et ses retours visuels sont vérifiables séparément.</x:v>
      </x:c>
      <x:c r="O48" s="7" t="str"/>
      <x:c r="P48" s="7" t="str">
        <x:v>Stimulant Pack</x:v>
      </x:c>
      <x:c r="Q48" s="7" t="str">
        <x:v>ME3-SRC-SQUAD</x:v>
      </x:c>
      <x:c r="R48" s="7" t="str">
        <x:v>https://masseffect.fandom.com/wiki/Squad_Members_Guide_%28Mass_Effect_3%29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ME3-POW-FIRST-AID</x:v>
      </x:c>
      <x:c r="B49" s="9" t="str">
        <x:v>First Aid</x:v>
      </x:c>
      <x:c r="C49" s="15" t="str">
        <x:v>Défini</x:v>
      </x:c>
      <x:c r="D49" s="16" t="str">
        <x:v>Établi</x:v>
      </x:c>
      <x:c r="E49" s="16" t="str">
        <x:v>P1</x:v>
      </x:c>
      <x:c r="F49" s="9" t="str">
        <x:v>Remplace Unity dans ME3.</x:v>
      </x:c>
      <x:c r="G49" s="9" t="str">
        <x:v>Secours via medi-gel séparé de la récupération universelle ; adaptation conserve un ordre médical propre, cibles et coût visibles.</x:v>
      </x:c>
      <x:c r="H49" s="9" t="str">
        <x:v>Secours via medi-gel séparé de la récupération universelle ; adaptation conserve un ordre médical propre, cibles et coût visibles.</x:v>
      </x:c>
      <x:c r="I49" s="9" t="str">
        <x:v>Omni-outil médical et portraits relevés.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me3/powers/first-aid ; rattacher les ressources et états cités à cet identifiant. Aucun fichier de jeu créé par ce catalogue.</x:v>
      </x:c>
      <x:c r="M49" s="9" t="str"/>
      <x:c r="N49" s="9" t="str">
        <x:v>Le livrable « First Aid » possède une scène ou un scénario de contrôle ; ses règles proposées, ses conditions et ses retours visuels sont vérifiables séparément.</x:v>
      </x:c>
      <x:c r="O49" s="9" t="str"/>
      <x:c r="P49" s="9" t="str">
        <x:v>First Aid</x:v>
      </x:c>
      <x:c r="Q49" s="9" t="str">
        <x:v>ME3-SRC-FIRST-AID</x:v>
      </x:c>
      <x:c r="R49" s="9" t="str">
        <x:v>https://masseffect.fandom.com/wiki/First_Aid</x:v>
      </x:c>
      <x:c r="S49" s="9" t="str">
        <x:v>Spécification à réaliser. Les champs adaptation, gameplay, visual, animation, audio et implementation décrivent le fan game ; ils ne donnent pas des caractéristiques officielles de l’œuvre.</x:v>
      </x:c>
    </x:row>
    <x:row r="50" ht="68" customHeight="1">
      <x:c r="A50" s="19" t="str">
        <x:v>ME3-POW-CLUSTER</x:v>
      </x:c>
      <x:c r="B50" s="7" t="str">
        <x:v>Cluster Grenade</x:v>
      </x:c>
      <x:c r="C50" s="15" t="str">
        <x:v>Défini</x:v>
      </x:c>
      <x:c r="D50" s="17" t="str">
        <x:v>Établi</x:v>
      </x:c>
      <x:c r="E50" s="17" t="str">
        <x:v>P1</x:v>
      </x:c>
      <x:c r="F50" s="7" t="str">
        <x:v>Grenade biotique de l’adepte.</x:v>
      </x:c>
      <x:c r="G50" s="7" t="str">
        <x:v>Dispersion en sous-projectiles annoncée ; cap du nombre de zones pour garder lisibles les cibles multiples.</x:v>
      </x:c>
      <x:c r="H50" s="7" t="str">
        <x:v>Dispersion en sous-projectiles annoncée ; cap du nombre de zones pour garder lisibles les cibles multiples.</x:v>
      </x:c>
      <x:c r="I50" s="7" t="str">
        <x:v>Petites charges et halos biotiques.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me3/powers/cluster ; rattacher les ressources et états cités à cet identifiant. Aucun fichier de jeu créé par ce catalogue.</x:v>
      </x:c>
      <x:c r="M50" s="7" t="str"/>
      <x:c r="N50" s="7" t="str">
        <x:v>Le livrable « Cluster Grenade » possède une scène ou un scénario de contrôle ; ses règles proposées, ses conditions et ses retours visuels sont vérifiables séparément.</x:v>
      </x:c>
      <x:c r="O50" s="7" t="str"/>
      <x:c r="P50" s="7" t="str">
        <x:v>Cluster Grenade</x:v>
      </x:c>
      <x:c r="Q50" s="7" t="str">
        <x:v>ME3-SRC-POWERS</x:v>
      </x:c>
      <x:c r="R50" s="7" t="str">
        <x:v>https://masseffect.fandom.com/wiki/Powers_%28Mass_Effect_3%29</x:v>
      </x:c>
      <x:c r="S50" s="7" t="str">
        <x:v>Spécification à réaliser. Les champs adaptation, gameplay, visual, animation, audio et implementation décrivent le fan game ; ils ne donnent pas des caractéristiques officielles de l’œuvre.</x:v>
      </x:c>
    </x:row>
    <x:row r="51" ht="68" customHeight="1">
      <x:c r="A51" s="18" t="str">
        <x:v>ME3-POW-STICKY</x:v>
      </x:c>
      <x:c r="B51" s="9" t="str">
        <x:v>Sticky Grenade</x:v>
      </x:c>
      <x:c r="C51" s="15" t="str">
        <x:v>Défini</x:v>
      </x:c>
      <x:c r="D51" s="16" t="str">
        <x:v>Établi</x:v>
      </x:c>
      <x:c r="E51" s="16" t="str">
        <x:v>P1</x:v>
      </x:c>
      <x:c r="F51" s="9" t="str">
        <x:v>Grenade de l’infiltré.</x:v>
      </x:c>
      <x:c r="G51" s="9" t="str">
        <x:v>Adhérence sur cible ou surface puis délai de détonation ; retrait du porteur de scène nettoie la charge sans explosion fantôme.</x:v>
      </x:c>
      <x:c r="H51" s="9" t="str">
        <x:v>Adhérence sur cible ou surface puis délai de détonation ; retrait du porteur de scène nettoie la charge sans explosion fantôme.</x:v>
      </x:c>
      <x:c r="I51" s="9" t="str">
        <x:v>Charge collée et décompte visuel.</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me3/powers/sticky ; rattacher les ressources et états cités à cet identifiant. Aucun fichier de jeu créé par ce catalogue.</x:v>
      </x:c>
      <x:c r="M51" s="9" t="str"/>
      <x:c r="N51" s="9" t="str">
        <x:v>Le livrable « Sticky Grenade » possède une scène ou un scénario de contrôle ; ses règles proposées, ses conditions et ses retours visuels sont vérifiables séparément.</x:v>
      </x:c>
      <x:c r="O51" s="9" t="str"/>
      <x:c r="P51" s="9" t="str">
        <x:v>Sticky Grenade</x:v>
      </x:c>
      <x:c r="Q51" s="9" t="str">
        <x:v>ME3-SRC-POWERS</x:v>
      </x:c>
      <x:c r="R51" s="9" t="str">
        <x:v>https://masseffect.fandom.com/wiki/Powers_%28Mass_Effect_3%29</x:v>
      </x:c>
      <x:c r="S51" s="9" t="str">
        <x:v>Spécification à réaliser. Les champs adaptation, gameplay, visual, animation, audio et implementation décrivent le fan game ; ils ne donnent pas des caractéristiques officielles de l’œuvre.</x:v>
      </x:c>
    </x:row>
    <x:row r="52" ht="68" customHeight="1">
      <x:c r="A52" s="19" t="str">
        <x:v>ME3-POW-SENTRY</x:v>
      </x:c>
      <x:c r="B52" s="7" t="str">
        <x:v>Sentry Turret</x:v>
      </x:c>
      <x:c r="C52" s="15" t="str">
        <x:v>Défini</x:v>
      </x:c>
      <x:c r="D52" s="17" t="str">
        <x:v>Établi</x:v>
      </x:c>
      <x:c r="E52" s="17" t="str">
        <x:v>P1</x:v>
      </x:c>
      <x:c r="F52" s="7" t="str">
        <x:v>Pouvoir d’ingénieur.</x:v>
      </x:c>
      <x:c r="G52" s="7" t="str">
        <x:v>Tourelle placée dans une cellule libre et orientée ; déplacement interdit pendant résolution d’un tir propre.</x:v>
      </x:c>
      <x:c r="H52" s="7" t="str">
        <x:v>Tourelle placée dans une cellule libre et orientée ; déplacement interdit pendant résolution d’un tir propre.</x:v>
      </x:c>
      <x:c r="I52" s="7" t="str">
        <x:v>Tourelle holographique et cône.</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me3/powers/sentry ; rattacher les ressources et états cités à cet identifiant. Aucun fichier de jeu créé par ce catalogue.</x:v>
      </x:c>
      <x:c r="M52" s="7" t="str"/>
      <x:c r="N52" s="7" t="str">
        <x:v>Le livrable « Sentry Turret » possède une scène ou un scénario de contrôle ; ses règles proposées, ses conditions et ses retours visuels sont vérifiables séparément.</x:v>
      </x:c>
      <x:c r="O52" s="7" t="str"/>
      <x:c r="P52" s="7" t="str">
        <x:v>Sentry Turret</x:v>
      </x:c>
      <x:c r="Q52" s="7" t="str">
        <x:v>ME3-SRC-POWERS</x:v>
      </x:c>
      <x:c r="R52" s="7" t="str">
        <x:v>https://masseffect.fandom.com/wiki/Powers_%28Mass_Effect_3%29</x:v>
      </x:c>
      <x:c r="S52" s="7" t="str">
        <x:v>Spécification à réaliser. Les champs adaptation, gameplay, visual, animation, audio et implementation décrivent le fan game ; ils ne donnent pas des caractéristiques officielles de l’œuvre.</x:v>
      </x:c>
    </x:row>
    <x:row r="53" ht="68" customHeight="1">
      <x:c r="A53" s="18" t="str">
        <x:v>ME3-POW-FITNESS</x:v>
      </x:c>
      <x:c r="B53" s="9" t="str">
        <x:v>Fitness</x:v>
      </x:c>
      <x:c r="C53" s="15" t="str">
        <x:v>Défini</x:v>
      </x:c>
      <x:c r="D53" s="16" t="str">
        <x:v>Établi</x:v>
      </x:c>
      <x:c r="E53" s="16" t="str">
        <x:v>P1</x:v>
      </x:c>
      <x:c r="F53" s="9" t="str">
        <x:v>Passif commun des classes.</x:v>
      </x:c>
      <x:c r="G53" s="9" t="str">
        <x:v>Santé, protection et mêlée proposées dans un arbre sans ambiguïté ; aucune animation active factice pour un passif.</x:v>
      </x:c>
      <x:c r="H53" s="9" t="str">
        <x:v>Santé, protection et mêlée proposées dans un arbre sans ambiguïté ; aucune animation active factice pour un passif.</x:v>
      </x:c>
      <x:c r="I53" s="9" t="str">
        <x:v>Icône corporelle et résumé des effets.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me3/powers/fitness ; rattacher les ressources et états cités à cet identifiant. Aucun fichier de jeu créé par ce catalogue.</x:v>
      </x:c>
      <x:c r="M53" s="9" t="str"/>
      <x:c r="N53" s="9" t="str">
        <x:v>Le livrable « Fitness » possède une scène ou un scénario de contrôle ; ses règles proposées, ses conditions et ses retours visuels sont vérifiables séparément.</x:v>
      </x:c>
      <x:c r="O53" s="9" t="str"/>
      <x:c r="P53" s="9" t="str">
        <x:v>Fitness</x:v>
      </x:c>
      <x:c r="Q53" s="9" t="str">
        <x:v>ME3-SRC-POWERS</x:v>
      </x:c>
      <x:c r="R53" s="9" t="str">
        <x:v>https://masseffect.fandom.com/wiki/Powers_%28Mass_Effect_3%29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ME3-POW-CLASS-PASSIVES</x:v>
      </x:c>
      <x:c r="B54" s="7" t="str">
        <x:v>Maîtrises de classe</x:v>
      </x:c>
      <x:c r="C54" s="15" t="str">
        <x:v>Défini</x:v>
      </x:c>
      <x:c r="D54" s="17" t="str">
        <x:v>Établi</x:v>
      </x:c>
      <x:c r="E54" s="17" t="str">
        <x:v>P1</x:v>
      </x:c>
      <x:c r="F54" s="7" t="str">
        <x:v>Chaque classe possède un passif.</x:v>
      </x:c>
      <x:c r="G54" s="7" t="str">
        <x:v>Six profils de données : Biotic, Tech, Operational, Offensive, Combat et Assault Mastery ; afficher gains par rang plutôt que traduire en six attaques actives.</x:v>
      </x:c>
      <x:c r="H54" s="7" t="str">
        <x:v>Six profils de données : Biotic, Tech, Operational, Offensive, Combat et Assault Mastery ; afficher gains par rang plutôt que traduire en six attaques actives.</x:v>
      </x:c>
      <x:c r="I54" s="7" t="str">
        <x:v>Six emblèmes de classe.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me3/powers/class-passives ; rattacher les ressources et états cités à cet identifiant. Aucun fichier de jeu créé par ce catalogue.</x:v>
      </x:c>
      <x:c r="M54" s="7" t="str"/>
      <x:c r="N54" s="7" t="str">
        <x:v>Le livrable « Maîtrises de classe » possède une scène ou un scénario de contrôle ; ses règles proposées, ses conditions et ses retours visuels sont vérifiables séparément.</x:v>
      </x:c>
      <x:c r="O54" s="7" t="str"/>
      <x:c r="P54" s="7" t="str">
        <x:v>Maîtrises de classe</x:v>
      </x:c>
      <x:c r="Q54" s="7" t="str">
        <x:v>ME3-SRC-POWERS</x:v>
      </x:c>
      <x:c r="R54" s="7" t="str">
        <x:v>https://masseffect.fandom.com/wiki/Powers_%28Mass_Effect_3%29</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64" priority="1" operator="equal">
      <x:formula>"À vérifier"</x:formula>
    </x:cfRule>
    <x:cfRule type="cellIs" dxfId="65" priority="2" operator="equal">
      <x:formula>"Extrapolation"</x:formula>
    </x:cfRule>
  </x:conditionalFormatting>
  <x:conditionalFormatting sqref="C7:C54">
    <x:cfRule type="cellIs" dxfId="66" priority="3" operator="equal">
      <x:formula>"Validé"</x:formula>
    </x:cfRule>
  </x:conditionalFormatting>
  <x:conditionalFormatting sqref="E7:E54">
    <x:cfRule type="cellIs" dxfId="6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0e94c656af3a4556"/>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3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ME3-AMV-LIARA-GARRUS</x:v>
      </x:c>
      <x:c r="B7" s="9" t="str">
        <x:v>Liara + Garrus — préparer puis percer</x:v>
      </x:c>
      <x:c r="C7" s="15" t="str">
        <x:v>Défini</x:v>
      </x:c>
      <x:c r="D7" s="16" t="str">
        <x:v>Extrapolation</x:v>
      </x:c>
      <x:c r="E7" s="16" t="str">
        <x:v>P1</x:v>
      </x:c>
      <x:c r="F7" s="9" t="str">
        <x:v>Livrable original proposé : Liara + Garrus — préparer puis percer.</x:v>
      </x:c>
      <x:c r="G7" s="9" t="str">
        <x:v>Singularity prépare la zone, Overload traite la protection compatible, tir ciblé au bon moment ; file d’ordres montre les étapes sans promettre un combo biotique invalide.</x:v>
      </x:c>
      <x:c r="H7" s="9" t="str">
        <x:v>Singularity prépare la zone, Overload traite la protection compatible, tir ciblé au bon moment ; file d’ordres montre les étapes sans promettre un combo biotique invalide.</x:v>
      </x:c>
      <x:c r="I7" s="9" t="str">
        <x:v>Violet de contrôle puis éclair bleu.</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me3/ally_moves/liara-garrus ; rattacher les ressources et états cités à cet identifiant. Aucun fichier de jeu créé par ce catalogue.</x:v>
      </x:c>
      <x:c r="M7" s="9" t="str">
        <x:v>Deux équipiers disponibles.</x:v>
      </x:c>
      <x:c r="N7" s="9" t="str">
        <x:v>Le livrable « Liara + Garrus — préparer puis percer » possède une scène ou un scénario de contrôle ; ses règles proposées, ses conditions et ses retours visuels sont vérifiables séparément.</x:v>
      </x:c>
      <x:c r="O7" s="9" t="str">
        <x:v>ME3-CHR-LIARA, ME3-CHR-GARRUS, ME3-POW-SINGULARITY, ME3-POW-OVERLOAD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ME3-AMV-EDI-JAMES</x:v>
      </x:c>
      <x:c r="B8" s="7" t="str">
        <x:v>EDI + James — tenir un passage</x:v>
      </x:c>
      <x:c r="C8" s="15" t="str">
        <x:v>Défini</x:v>
      </x:c>
      <x:c r="D8" s="17" t="str">
        <x:v>Extrapolation</x:v>
      </x:c>
      <x:c r="E8" s="17" t="str">
        <x:v>P1</x:v>
      </x:c>
      <x:c r="F8" s="7" t="str">
        <x:v>Livrable original proposé : EDI + James — tenir un passage.</x:v>
      </x:c>
      <x:c r="G8" s="7" t="str">
        <x:v>Decoy détourne un flanc pendant que Fortification protège James ; les ennemis engagés peuvent terminer leur action pour éviter un aggro artificiel.</x:v>
      </x:c>
      <x:c r="H8" s="7" t="str">
        <x:v>Decoy détourne un flanc pendant que Fortification protège James ; les ennemis engagés peuvent terminer leur action pour éviter un aggro artificiel.</x:v>
      </x:c>
      <x:c r="I8" s="7" t="str">
        <x:v>Leurre translucide et silhouette de garde.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me3/ally_moves/edi-james ; rattacher les ressources et états cités à cet identifiant. Aucun fichier de jeu créé par ce catalogue.</x:v>
      </x:c>
      <x:c r="M8" s="7" t="str"/>
      <x:c r="N8" s="7" t="str">
        <x:v>Le livrable « EDI + James — tenir un passage » possède une scène ou un scénario de contrôle ; ses règles proposées, ses conditions et ses retours visuels sont vérifiables séparément.</x:v>
      </x:c>
      <x:c r="O8" s="7" t="str">
        <x:v>ME3-CHR-EDI, ME3-CHR-JAMES, ME3-POW-DECOY, ME3-POW-FORTIFICATION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ME3-AMV-TALI-GARRUS</x:v>
      </x:c>
      <x:c r="B9" s="9" t="str">
        <x:v>Tali + Garrus — couper le réseau</x:v>
      </x:c>
      <x:c r="C9" s="15" t="str">
        <x:v>Défini</x:v>
      </x:c>
      <x:c r="D9" s="16" t="str">
        <x:v>Extrapolation</x:v>
      </x:c>
      <x:c r="E9" s="16" t="str">
        <x:v>P1</x:v>
      </x:c>
      <x:c r="F9" s="9" t="str">
        <x:v>Livrable original proposé : Tali + Garrus — couper le réseau.</x:v>
      </x:c>
      <x:c r="G9" s="9" t="str">
        <x:v>Sabotage perturbe la plateforme admissible, Overload retire la protection ; priorité d’état interdit double conversion ou piratage de boss immune.</x:v>
      </x:c>
      <x:c r="H9" s="9" t="str">
        <x:v>Sabotage perturbe la plateforme admissible, Overload retire la protection ; priorité d’état interdit double conversion ou piratage de boss immune.</x:v>
      </x:c>
      <x:c r="I9" s="9" t="str">
        <x:v>Lien orange puis arc électrique.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me3/ally_moves/tali-garrus ; rattacher les ressources et états cités à cet identifiant. Aucun fichier de jeu créé par ce catalogue.</x:v>
      </x:c>
      <x:c r="M9" s="9" t="str">
        <x:v>Survivants présents.</x:v>
      </x:c>
      <x:c r="N9" s="9" t="str">
        <x:v>Le livrable « Tali + Garrus — couper le réseau » possède une scène ou un scénario de contrôle ; ses règles proposées, ses conditions et ses retours visuels sont vérifiables séparément.</x:v>
      </x:c>
      <x:c r="O9" s="9" t="str">
        <x:v>ME3-CHR-TALI, ME3-CHR-GARRUS, ME3-POW-SABOTAGE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ME3-AMV-JAVIK-LIARA</x:v>
      </x:c>
      <x:c r="B10" s="7" t="str">
        <x:v>Javik + Liara — marquer et regrouper</x:v>
      </x:c>
      <x:c r="C10" s="15" t="str">
        <x:v>Défini</x:v>
      </x:c>
      <x:c r="D10" s="17" t="str">
        <x:v>Extrapolation</x:v>
      </x:c>
      <x:c r="E10" s="17" t="str">
        <x:v>P1</x:v>
      </x:c>
      <x:c r="F10" s="7" t="str">
        <x:v>Livrable original proposé : Javik + Liara — marquer et regrouper.</x:v>
      </x:c>
      <x:c r="G10" s="7" t="str">
        <x:v>Dark Channel désigne une cible ; Singularity attire ses voisins compatibles ; transfert choisi à mort de la marque, affiché dans l’aperçu.</x:v>
      </x:c>
      <x:c r="H10" s="7" t="str">
        <x:v>Dark Channel désigne une cible ; Singularity attire ses voisins compatibles ; transfert choisi à mort de la marque, affiché dans l’aperçu.</x:v>
      </x:c>
      <x:c r="I10" s="7" t="str">
        <x:v>Aura sombre au sein du noyau bleu.</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me3/ally_moves/javik-liara ; rattacher les ressources et états cités à cet identifiant. Aucun fichier de jeu créé par ce catalogue.</x:v>
      </x:c>
      <x:c r="M10" s="7" t="str">
        <x:v>Javik recruté.</x:v>
      </x:c>
      <x:c r="N10" s="7" t="str">
        <x:v>Le livrable « Javik + Liara — marquer et regrouper » possède une scène ou un scénario de contrôle ; ses règles proposées, ses conditions et ses retours visuels sont vérifiables séparément.</x:v>
      </x:c>
      <x:c r="O10" s="7" t="str">
        <x:v>ME3-CHR-JAVIK, ME3-CHR-LIARA, ME3-POW-DARK-CHANNEL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ME3-AMV-KAIDAN-EDI</x:v>
      </x:c>
      <x:c r="B11" s="9" t="str">
        <x:v>Kaidan + EDI — relais de protection</x:v>
      </x:c>
      <x:c r="C11" s="15" t="str">
        <x:v>Défini</x:v>
      </x:c>
      <x:c r="D11" s="16" t="str">
        <x:v>Extrapolation</x:v>
      </x:c>
      <x:c r="E11" s="16" t="str">
        <x:v>P1</x:v>
      </x:c>
      <x:c r="F11" s="9" t="str">
        <x:v>Livrable original proposé : Kaidan + EDI — relais de protection.</x:v>
      </x:c>
      <x:c r="G11" s="9" t="str">
        <x:v>Kaidan couvre la récupération d’EDI puis son Incinerate ouvre un état de feu ; éviter d’associer tout pouvoir à une détonation automatique.</x:v>
      </x:c>
      <x:c r="H11" s="9" t="str">
        <x:v>Kaidan couvre la récupération d’EDI puis son Incinerate ouvre un état de feu ; éviter d’associer tout pouvoir à une détonation automatique.</x:v>
      </x:c>
      <x:c r="I11" s="9" t="str">
        <x:v>Barrière violette et projectile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me3/ally_moves/kaidan-edi ; rattacher les ressources et états cités à cet identifiant. Aucun fichier de jeu créé par ce catalogue.</x:v>
      </x:c>
      <x:c r="M11" s="9" t="str">
        <x:v>Kaidan disponible.</x:v>
      </x:c>
      <x:c r="N11" s="9" t="str">
        <x:v>Le livrable « Kaidan + EDI — relais de protection » possède une scène ou un scénario de contrôle ; ses règles proposées, ses conditions et ses retours visuels sont vérifiables séparément.</x:v>
      </x:c>
      <x:c r="O11" s="9" t="str">
        <x:v>ME3-CHR-KAIDAN, ME3-CHR-EDI, ME3-POW-INCINERATE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ME3-AMV-ASHLEY-JAMES</x:v>
      </x:c>
      <x:c r="B12" s="7" t="str">
        <x:v>Ashley + James — assaut coordonné</x:v>
      </x:c>
      <x:c r="C12" s="15" t="str">
        <x:v>Défini</x:v>
      </x:c>
      <x:c r="D12" s="17" t="str">
        <x:v>Extrapolation</x:v>
      </x:c>
      <x:c r="E12" s="17" t="str">
        <x:v>P1</x:v>
      </x:c>
      <x:c r="F12" s="7" t="str">
        <x:v>Livrable original proposé : Ashley + James — assaut coordonné.</x:v>
      </x:c>
      <x:c r="G12" s="7" t="str">
        <x:v>Marksman fournit une fenêtre de tir, Carnage déloge un couvert ; verrouiller le tir allié tant que l’explosion proposée coupe la ligne.</x:v>
      </x:c>
      <x:c r="H12" s="7" t="str">
        <x:v>Marksman fournit une fenêtre de tir, Carnage déloge un couvert ; verrouiller le tir allié tant que l’explosion proposée coupe la ligne.</x:v>
      </x:c>
      <x:c r="I12" s="7" t="str">
        <x:v>Visée stabilisée et impact rouge.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me3/ally_moves/ashley-james ; rattacher les ressources et états cités à cet identifiant. Aucun fichier de jeu créé par ce catalogue.</x:v>
      </x:c>
      <x:c r="M12" s="7" t="str">
        <x:v>Ashley disponible.</x:v>
      </x:c>
      <x:c r="N12" s="7" t="str">
        <x:v>Le livrable « Ashley + James — assaut coordonné » possède une scène ou un scénario de contrôle ; ses règles proposées, ses conditions et ses retours visuels sont vérifiables séparément.</x:v>
      </x:c>
      <x:c r="O12" s="7" t="str">
        <x:v>ME3-CHR-ASHLEY, ME3-CHR-JAMES, ME3-POW-MARKSMAN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ME3-AMV-ARIA-NYREEN</x:v>
      </x:c>
      <x:c r="B13" s="9" t="str">
        <x:v>Aria + Nyreen — traversée protégée</x:v>
      </x:c>
      <x:c r="C13" s="15" t="str">
        <x:v>Défini</x:v>
      </x:c>
      <x:c r="D13" s="16" t="str">
        <x:v>Extrapolation</x:v>
      </x:c>
      <x:c r="E13" s="16" t="str">
        <x:v>P1</x:v>
      </x:c>
      <x:c r="F13" s="9" t="str">
        <x:v>Livrable original proposé : Aria + Nyreen — traversée protégée.</x:v>
      </x:c>
      <x:c r="G13" s="9" t="str">
        <x:v>Nyreen déploie une protection pendant préparation de Flare ; la durée de protection est visible pour choisir repli ou engagement.</x:v>
      </x:c>
      <x:c r="H13" s="9" t="str">
        <x:v>Nyreen déploie une protection pendant préparation de Flare ; la durée de protection est visible pour choisir repli ou engagement.</x:v>
      </x:c>
      <x:c r="I13" s="9" t="str">
        <x:v>Dôme bleu et charge 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me3/ally_moves/aria-nyreen ; rattacher les ressources et états cités à cet identifiant. Aucun fichier de jeu créé par ce catalogue.</x:v>
      </x:c>
      <x:c r="M13" s="9" t="str">
        <x:v>Omega et disponibilité de Nyreen.</x:v>
      </x:c>
      <x:c r="N13" s="9" t="str">
        <x:v>Le livrable « Aria + Nyreen — traversée protégée » possède une scène ou un scénario de contrôle ; ses règles proposées, ses conditions et ses retours visuels sont vérifiables séparément.</x:v>
      </x:c>
      <x:c r="O13" s="9" t="str">
        <x:v>ME3-CHR-ARIA, ME3-CHR-NYREEN, ME3-POW-FLARE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ME3-AMV-WREX-SHEPARD</x:v>
      </x:c>
      <x:c r="B14" s="7" t="str">
        <x:v>Wrex + Shepard — rupture de front</x:v>
      </x:c>
      <x:c r="C14" s="15" t="str">
        <x:v>Défini</x:v>
      </x:c>
      <x:c r="D14" s="17" t="str">
        <x:v>Extrapolation</x:v>
      </x:c>
      <x:c r="E14" s="17" t="str">
        <x:v>P1</x:v>
      </x:c>
      <x:c r="F14" s="7" t="str">
        <x:v>Livrable original proposé : Wrex + Shepard — rupture de front.</x:v>
      </x:c>
      <x:c r="G14" s="7" t="str">
        <x:v>Wrex engage une unité lourde pendant que Shepard traverse une ligne de tir réservée ; aucune traversée forcée d’une collision de bouclier.</x:v>
      </x:c>
      <x:c r="H14" s="7" t="str">
        <x:v>Wrex engage une unité lourde pendant que Shepard traverse une ligne de tir réservée ; aucune traversée forcée d’une collision de bouclier.</x:v>
      </x:c>
      <x:c r="I14" s="7" t="str">
        <x:v>Krogan de face et marque latérale.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me3/ally_moves/wrex-shepard ; rattacher les ressources et états cités à cet identifiant. Aucun fichier de jeu créé par ce catalogue.</x:v>
      </x:c>
      <x:c r="M14" s="7" t="str">
        <x:v>Citadel seulement hors Armax.</x:v>
      </x:c>
      <x:c r="N14" s="7" t="str">
        <x:v>Le livrable « Wrex + Shepard — rupture de front » possède une scène ou un scénario de contrôle ; ses règles proposées, ses conditions et ses retours visuels sont vérifiables séparément.</x:v>
      </x:c>
      <x:c r="O14" s="7" t="str">
        <x:v>ME3-CHR-WREX, ME3-CHR-SHEPARD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ME3-AMV-TALI-DRONES</x:v>
      </x:c>
      <x:c r="B15" s="9" t="str">
        <x:v>Tali — couverture de drones</x:v>
      </x:c>
      <x:c r="C15" s="15" t="str">
        <x:v>Défini</x:v>
      </x:c>
      <x:c r="D15" s="16" t="str">
        <x:v>Extrapolation</x:v>
      </x:c>
      <x:c r="E15" s="16" t="str">
        <x:v>P1</x:v>
      </x:c>
      <x:c r="F15" s="9" t="str">
        <x:v>Livrable original proposé : Tali — couverture de drones.</x:v>
      </x:c>
      <x:c r="G15" s="9" t="str">
        <x:v>Un Combat Drone attire une cible pendant que Defense Drone sécurise le retour ; deux rôles et deux icônes empêchent la confusion.</x:v>
      </x:c>
      <x:c r="H15" s="9" t="str">
        <x:v>Un Combat Drone attire une cible pendant que Defense Drone sécurise le retour ; deux rôles et deux icônes empêchent la confusion.</x:v>
      </x:c>
      <x:c r="I15" s="9" t="str">
        <x:v>Sphères de couleur et forme différentes.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me3/ally_moves/tali-drones ; rattacher les ressources et états cités à cet identifiant. Aucun fichier de jeu créé par ce catalogue.</x:v>
      </x:c>
      <x:c r="M15" s="9" t="str"/>
      <x:c r="N15" s="9" t="str">
        <x:v>Le livrable « Tali — couverture de drones » possède une scène ou un scénario de contrôle ; ses règles proposées, ses conditions et ses retours visuels sont vérifiables séparément.</x:v>
      </x:c>
      <x:c r="O15" s="9" t="str">
        <x:v>ME3-CHR-TALI, ME3-POW-DRONE, ME3-POW-DEFENSE-DRONE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ME3-AMV-EDI-PURGE</x:v>
      </x:c>
      <x:c r="B16" s="7" t="str">
        <x:v>EDI — purge et redirection</x:v>
      </x:c>
      <x:c r="C16" s="15" t="str">
        <x:v>Défini</x:v>
      </x:c>
      <x:c r="D16" s="17" t="str">
        <x:v>Extrapolation</x:v>
      </x:c>
      <x:c r="E16" s="17" t="str">
        <x:v>P1</x:v>
      </x:c>
      <x:c r="F16" s="7" t="str">
        <x:v>Livrable original proposé : EDI — purge et redirection.</x:v>
      </x:c>
      <x:c r="G16" s="7" t="str">
        <x:v>Defense Matrix stocke une protection proposée ; la purge offre un secours au prix de sa réserve, puis Decoy ouvre le repli.</x:v>
      </x:c>
      <x:c r="H16" s="7" t="str">
        <x:v>Defense Matrix stocke une protection proposée ; la purge offre un secours au prix de sa réserve, puis Decoy ouvre le repli.</x:v>
      </x:c>
      <x:c r="I16" s="7" t="str">
        <x:v>Segments qui se détachent puis leurre.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me3/ally_moves/edi-purge ; rattacher les ressources et états cités à cet identifiant. Aucun fichier de jeu créé par ce catalogue.</x:v>
      </x:c>
      <x:c r="M16" s="7" t="str"/>
      <x:c r="N16" s="7" t="str">
        <x:v>Le livrable « EDI — purge et redirection » possède une scène ou un scénario de contrôle ; ses règles proposées, ses conditions et ses retours visuels sont vérifiables séparément.</x:v>
      </x:c>
      <x:c r="O16" s="7" t="str">
        <x:v>ME3-CHR-EDI, ME3-POW-DEFENSE-MATRIX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ME3-AMV-JAMES-GRENADE</x:v>
      </x:c>
      <x:c r="B17" s="9" t="str">
        <x:v>James — couverture d’évacuation</x:v>
      </x:c>
      <x:c r="C17" s="15" t="str">
        <x:v>Défini</x:v>
      </x:c>
      <x:c r="D17" s="16" t="str">
        <x:v>Extrapolation</x:v>
      </x:c>
      <x:c r="E17" s="16" t="str">
        <x:v>P1</x:v>
      </x:c>
      <x:c r="F17" s="9" t="str">
        <x:v>Livrable original proposé : James — couverture d’évacuation.</x:v>
      </x:c>
      <x:c r="G17" s="9" t="str">
        <x:v>Tir de suppression suivi d’une grenade sur un chemin vide de civils ; cible de zone interdite si civil dans rayon affiché.</x:v>
      </x:c>
      <x:c r="H17" s="9" t="str">
        <x:v>Tir de suppression suivi d’une grenade sur un chemin vide de civils ; cible de zone interdite si civil dans rayon affiché.</x:v>
      </x:c>
      <x:c r="I17" s="9" t="str">
        <x:v>Bras en lancer et flèche d’évacuation.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me3/ally_moves/james-grenade ; rattacher les ressources et états cités à cet identifiant. Aucun fichier de jeu créé par ce catalogue.</x:v>
      </x:c>
      <x:c r="M17" s="9" t="str"/>
      <x:c r="N17" s="9" t="str">
        <x:v>Le livrable « James — couverture d’évacuation » possède une scène ou un scénario de contrôle ; ses règles proposées, ses conditions et ses retours visuels sont vérifiables séparément.</x:v>
      </x:c>
      <x:c r="O17" s="9" t="str">
        <x:v>ME3-CHR-JAMES, ME3-POW-FRAG</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ME3-AMV-LIARA-STASIS</x:v>
      </x:c>
      <x:c r="B18" s="7" t="str">
        <x:v>Liara — verrou de cible prioritaire</x:v>
      </x:c>
      <x:c r="C18" s="15" t="str">
        <x:v>Défini</x:v>
      </x:c>
      <x:c r="D18" s="17" t="str">
        <x:v>Extrapolation</x:v>
      </x:c>
      <x:c r="E18" s="17" t="str">
        <x:v>P1</x:v>
      </x:c>
      <x:c r="F18" s="7" t="str">
        <x:v>Livrable original proposé : Liara — verrou de cible prioritaire.</x:v>
      </x:c>
      <x:c r="G18" s="7" t="str">
        <x:v>Stasis suspend la menace compatible, puis repositionnement du groupe ; la cible non contrôlable affiche résistance et aucun piège de commande.</x:v>
      </x:c>
      <x:c r="H18" s="7" t="str">
        <x:v>Stasis suspend la menace compatible, puis repositionnement du groupe ; la cible non contrôlable affiche résistance et aucun piège de commande.</x:v>
      </x:c>
      <x:c r="I18" s="7" t="str">
        <x:v>Cadre biotique autour d’une silhouette.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me3/ally_moves/liara-stasis ; rattacher les ressources et états cités à cet identifiant. Aucun fichier de jeu créé par ce catalogue.</x:v>
      </x:c>
      <x:c r="M18" s="7" t="str"/>
      <x:c r="N18" s="7" t="str">
        <x:v>Le livrable « Liara — verrou de cible prioritaire » possède une scène ou un scénario de contrôle ; ses règles proposées, ses conditions et ses retours visuels sont vérifiables séparément.</x:v>
      </x:c>
      <x:c r="O18" s="7" t="str">
        <x:v>ME3-CHR-LIARA, ME3-POW-STASIS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ME3-AMV-GARRUS-MINE</x:v>
      </x:c>
      <x:c r="B19" s="9" t="str">
        <x:v>Garrus — embuscade de flanc</x:v>
      </x:c>
      <x:c r="C19" s="15" t="str">
        <x:v>Défini</x:v>
      </x:c>
      <x:c r="D19" s="16" t="str">
        <x:v>Extrapolation</x:v>
      </x:c>
      <x:c r="E19" s="16" t="str">
        <x:v>P1</x:v>
      </x:c>
      <x:c r="F19" s="9" t="str">
        <x:v>Livrable original proposé : Garrus — embuscade de flanc.</x:v>
      </x:c>
      <x:c r="G19" s="9" t="str">
        <x:v>Mine sur accès annoncé et tir de précision sur une autre cible ; mine persiste jusqu’à déclenchement ou fin de rencontre définie.</x:v>
      </x:c>
      <x:c r="H19" s="9" t="str">
        <x:v>Mine sur accès annoncé et tir de précision sur une autre cible ; mine persiste jusqu’à déclenchement ou fin de rencontre définie.</x:v>
      </x:c>
      <x:c r="I19" s="9" t="str">
        <x:v>Mine basse et marque de visée.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me3/ally_moves/garrus-mine ; rattacher les ressources et états cités à cet identifiant. Aucun fichier de jeu créé par ce catalogue.</x:v>
      </x:c>
      <x:c r="M19" s="9" t="str"/>
      <x:c r="N19" s="9" t="str">
        <x:v>Le livrable « Garrus — embuscade de flanc » possède une scène ou un scénario de contrôle ; ses règles proposées, ses conditions et ses retours visuels sont vérifiables séparément.</x:v>
      </x:c>
      <x:c r="O19" s="9" t="str">
        <x:v>ME3-CHR-GARRUS, ME3-POW-PROXIMITY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ME3-AMV-JAVIK-SLAM</x:v>
      </x:c>
      <x:c r="B20" s="7" t="str">
        <x:v>Javik — chute contrôlée</x:v>
      </x:c>
      <x:c r="C20" s="15" t="str">
        <x:v>Défini</x:v>
      </x:c>
      <x:c r="D20" s="17" t="str">
        <x:v>Extrapolation</x:v>
      </x:c>
      <x:c r="E20" s="17" t="str">
        <x:v>P1</x:v>
      </x:c>
      <x:c r="F20" s="7" t="str">
        <x:v>Livrable original proposé : Javik — chute contrôlée.</x:v>
      </x:c>
      <x:c r="G20" s="7" t="str">
        <x:v>Pull puis Slam sur cible admissible ; verrou au sol évite que la chute déplace le sprite dans un couvert interdit.</x:v>
      </x:c>
      <x:c r="H20" s="7" t="str">
        <x:v>Pull puis Slam sur cible admissible ; verrou au sol évite que la chute déplace le sprite dans un couvert interdit.</x:v>
      </x:c>
      <x:c r="I20" s="7" t="str">
        <x:v>Trajet vertical et impact.</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me3/ally_moves/javik-slam ; rattacher les ressources et états cités à cet identifiant. Aucun fichier de jeu créé par ce catalogue.</x:v>
      </x:c>
      <x:c r="M20" s="7" t="str"/>
      <x:c r="N20" s="7" t="str">
        <x:v>Le livrable « Javik — chute contrôlée » possède une scène ou un scénario de contrôle ; ses règles proposées, ses conditions et ses retours visuels sont vérifiables séparément.</x:v>
      </x:c>
      <x:c r="O20" s="7" t="str">
        <x:v>ME3-CHR-JAVIK, ME3-POW-PULL, ME3-POW-SLAM</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ME3-AMV-NYREEN-RESCUE</x:v>
      </x:c>
      <x:c r="B21" s="9" t="str">
        <x:v>Nyreen — relais de secours</x:v>
      </x:c>
      <x:c r="C21" s="15" t="str">
        <x:v>Défini</x:v>
      </x:c>
      <x:c r="D21" s="16" t="str">
        <x:v>Extrapolation</x:v>
      </x:c>
      <x:c r="E21" s="16" t="str">
        <x:v>P1</x:v>
      </x:c>
      <x:c r="F21" s="9" t="str">
        <x:v>Livrable original proposé : Nyreen — relais de secours.</x:v>
      </x:c>
      <x:c r="G21" s="9" t="str">
        <x:v>Préparer la protection avant d’ouvrir un chemin aux civils ; action de soutien validée par passage du groupe, sans compte de morts caché.</x:v>
      </x:c>
      <x:c r="H21" s="9" t="str">
        <x:v>Préparer la protection avant d’ouvrir un chemin aux civils ; action de soutien validée par passage du groupe, sans compte de morts caché.</x:v>
      </x:c>
      <x:c r="I21" s="9" t="str">
        <x:v>Dôme et trajectoire civile.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me3/ally_moves/nyreen-rescue ; rattacher les ressources et états cités à cet identifiant. Aucun fichier de jeu créé par ce catalogue.</x:v>
      </x:c>
      <x:c r="M21" s="9" t="str">
        <x:v>Omega seulement.</x:v>
      </x:c>
      <x:c r="N21" s="9" t="str">
        <x:v>Le livrable « Nyreen — relais de secours » possède une scène ou un scénario de contrôle ; ses règles proposées, ses conditions et ses retours visuels sont vérifiables séparément.</x:v>
      </x:c>
      <x:c r="O21" s="9" t="str">
        <x:v>ME3-CHR-NYREEN, ME3-POW-BIOTIC-PROTECTOR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ME3-AMV-ARENA-KASUMI</x:v>
      </x:c>
      <x:c r="B22" s="7" t="str">
        <x:v>Kasumi — diversion de simulation</x:v>
      </x:c>
      <x:c r="C22" s="15" t="str">
        <x:v>Défini</x:v>
      </x:c>
      <x:c r="D22" s="17" t="str">
        <x:v>Extrapolation</x:v>
      </x:c>
      <x:c r="E22" s="17" t="str">
        <x:v>P1</x:v>
      </x:c>
      <x:c r="F22" s="7" t="str">
        <x:v>Livrable original proposé : Kasumi — diversion de simulation.</x:v>
      </x:c>
      <x:c r="G22" s="7" t="str">
        <x:v>Cloak et Decoy alternent pour ouvrir un angle ; l’arsenal de ME2 ne s’importe pas automatiquement dans son moveset Armax.</x:v>
      </x:c>
      <x:c r="H22" s="7" t="str">
        <x:v>Cloak et Decoy alternent pour ouvrir un angle ; l’arsenal de ME2 ne s’importe pas automatiquement dans son moveset Armax.</x:v>
      </x:c>
      <x:c r="I22" s="7" t="str">
        <x:v>Deux silhouettes dont une holographique.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me3/ally_moves/arena-kasumi ; rattacher les ressources et états cités à cet identifiant. Aucun fichier de jeu créé par ce catalogue.</x:v>
      </x:c>
      <x:c r="M22" s="7" t="str">
        <x:v>Armax seulement.</x:v>
      </x:c>
      <x:c r="N22" s="7" t="str">
        <x:v>Le livrable « Kasumi — diversion de simulation » possède une scène ou un scénario de contrôle ; ses règles proposées, ses conditions et ses retours visuels sont vérifiables séparément.</x:v>
      </x:c>
      <x:c r="O22" s="7" t="str">
        <x:v>ME3-CHR-ARENA-KASUMI</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ME3-AMV-ARENA-MIRANDA</x:v>
      </x:c>
      <x:c r="B23" s="9" t="str">
        <x:v>Miranda — rupture mixte d’arène</x:v>
      </x:c>
      <x:c r="C23" s="15" t="str">
        <x:v>Défini</x:v>
      </x:c>
      <x:c r="D23" s="16" t="str">
        <x:v>Extrapolation</x:v>
      </x:c>
      <x:c r="E23" s="16" t="str">
        <x:v>P1</x:v>
      </x:c>
      <x:c r="F23" s="9" t="str">
        <x:v>Livrable original proposé : Miranda — rupture mixte d’arène.</x:v>
      </x:c>
      <x:c r="G23" s="9" t="str">
        <x:v>Overload puis Warp selon la protection affichée ; menu évite de proposer une efficacité de bouclier identique contre barrière.</x:v>
      </x:c>
      <x:c r="H23" s="9" t="str">
        <x:v>Overload puis Warp selon la protection affichée ; menu évite de proposer une efficacité de bouclier identique contre barrière.</x:v>
      </x:c>
      <x:c r="I23" s="9" t="str">
        <x:v>Orange tech et violet biotique.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me3/ally_moves/arena-miranda ; rattacher les ressources et états cités à cet identifiant. Aucun fichier de jeu créé par ce catalogue.</x:v>
      </x:c>
      <x:c r="M23" s="9" t="str">
        <x:v>Armax seulement.</x:v>
      </x:c>
      <x:c r="N23" s="9" t="str">
        <x:v>Le livrable « Miranda — rupture mixte d’arène » possède une scène ou un scénario de contrôle ; ses règles proposées, ses conditions et ses retours visuels sont vérifiables séparément.</x:v>
      </x:c>
      <x:c r="O23" s="9" t="str">
        <x:v>ME3-CHR-ARENA-MIRANDA</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ME3-AMV-RESCUE</x:v>
      </x:c>
      <x:c r="B24" s="7" t="str">
        <x:v>Ordre commun — secourir un allié</x:v>
      </x:c>
      <x:c r="C24" s="15" t="str">
        <x:v>Défini</x:v>
      </x:c>
      <x:c r="D24" s="17" t="str">
        <x:v>Extrapolation</x:v>
      </x:c>
      <x:c r="E24" s="17" t="str">
        <x:v>P1</x:v>
      </x:c>
      <x:c r="F24" s="7" t="str">
        <x:v>Livrable original proposé : Ordre commun — secourir un allié.</x:v>
      </x:c>
      <x:c r="G24" s="7" t="str">
        <x:v>Réserver un chemin et un emplacement de soin ; si la cible est relevée avant arrivée, annuler proprement sans double consommation.</x:v>
      </x:c>
      <x:c r="H24" s="7" t="str">
        <x:v>Réserver un chemin et un emplacement de soin ; si la cible est relevée avant arrivée, annuler proprement sans double consommation.</x:v>
      </x:c>
      <x:c r="I24" s="7" t="str">
        <x:v>Contour médical et zone de contact.</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me3/ally_moves/rescue ; rattacher les ressources et états cités à cet identifiant. Aucun fichier de jeu créé par ce catalogue.</x:v>
      </x:c>
      <x:c r="M24" s="7" t="str"/>
      <x:c r="N24" s="7" t="str">
        <x:v>Le livrable « Ordre commun — secourir un allié » possède une scène ou un scénario de contrôle ; ses règles proposées, ses conditions et ses retours visuels sont vérifiables séparément.</x:v>
      </x:c>
      <x:c r="O24" s="7" t="str">
        <x:v>ME3-EQP-MEDIGEL</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68" priority="1" operator="equal">
      <x:formula>"À vérifier"</x:formula>
    </x:cfRule>
    <x:cfRule type="cellIs" dxfId="69" priority="2" operator="equal">
      <x:formula>"Extrapolation"</x:formula>
    </x:cfRule>
  </x:conditionalFormatting>
  <x:conditionalFormatting sqref="C7:C24">
    <x:cfRule type="cellIs" dxfId="70" priority="3" operator="equal">
      <x:formula>"Validé"</x:formula>
    </x:cfRule>
  </x:conditionalFormatting>
  <x:conditionalFormatting sqref="E7:E24">
    <x:cfRule type="cellIs" dxfId="7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fc8d6f0e7801436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3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ME3-EMV-ASSAULT</x:v>
      </x:c>
      <x:c r="B7" s="9" t="str">
        <x:v>Séquence adverse — Cerberus Assault Trooper</x:v>
      </x:c>
      <x:c r="C7" s="15" t="str">
        <x:v>Défini</x:v>
      </x:c>
      <x:c r="D7" s="16" t="str">
        <x:v>Extrapolation</x:v>
      </x:c>
      <x:c r="E7" s="16" t="str">
        <x:v>P1</x:v>
      </x:c>
      <x:c r="F7" s="9" t="str">
        <x:v>Livrable original proposé : Séquence adverse — Cerberus Assault Trooper.</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Préparation orientée, événement de résolution unique, retour au contrôle ; pour bond ou charge, réserver départ et arrivée avant mouvement.</x:v>
      </x:c>
      <x:c r="K7" s="9" t="str">
        <x:v>Un seul événement de danger et un seul impact par résolution ; pas de répétition lors d’un retour de pause tactique.</x:v>
      </x:c>
      <x:c r="L7" s="9" t="str">
        <x:v>Prévu : fiche de données me3/enemy_moves/assault ; rattacher les ressources et états cités à cet identifiant. Aucun fichier de jeu créé par ce catalogue.</x:v>
      </x:c>
      <x:c r="M7" s="9" t="str">
        <x:v>Campagne et simulation.</x:v>
      </x:c>
      <x:c r="N7" s="9" t="str">
        <x:v>La séquence de Cerberus Assault Trooper respecte son aire de menace, conserve sa cible réservée pendant la préparation et annule proprement coût/effets si la scène change.</x:v>
      </x:c>
      <x:c r="O7" s="9" t="str">
        <x:v>ME3-ENM-ASSAULT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ME3-EMV-CENTURION</x:v>
      </x:c>
      <x:c r="B8" s="7" t="str">
        <x:v>Séquence adverse — Cerberus Centurion</x:v>
      </x:c>
      <x:c r="C8" s="15" t="str">
        <x:v>Défini</x:v>
      </x:c>
      <x:c r="D8" s="17" t="str">
        <x:v>Extrapolation</x:v>
      </x:c>
      <x:c r="E8" s="17" t="str">
        <x:v>P1</x:v>
      </x:c>
      <x:c r="F8" s="7" t="str">
        <x:v>Livrable original proposé : Séquence adverse — Cerberus Centurion.</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Préparation orientée, événement de résolution unique, retour au contrôle ; pour bond ou charge, réserver départ et arrivée avant mouvement.</x:v>
      </x:c>
      <x:c r="K8" s="7" t="str">
        <x:v>Un seul événement de danger et un seul impact par résolution ; pas de répétition lors d’un retour de pause tactique.</x:v>
      </x:c>
      <x:c r="L8" s="7" t="str">
        <x:v>Prévu : fiche de données me3/enemy_moves/centurion ; rattacher les ressources et états cités à cet identifiant. Aucun fichier de jeu créé par ce catalogue.</x:v>
      </x:c>
      <x:c r="M8" s="7" t="str">
        <x:v>Campagne et simulation.</x:v>
      </x:c>
      <x:c r="N8" s="7" t="str">
        <x:v>La séquence de Cerberus Centurion respecte son aire de menace, conserve sa cible réservée pendant la préparation et annule proprement coût/effets si la scène change.</x:v>
      </x:c>
      <x:c r="O8" s="7" t="str">
        <x:v>ME3-ENM-CENTURION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ME3-EMV-ENGINEER</x:v>
      </x:c>
      <x:c r="B9" s="9" t="str">
        <x:v>Séquence adverse — Cerberus Combat Engineer</x:v>
      </x:c>
      <x:c r="C9" s="15" t="str">
        <x:v>Défini</x:v>
      </x:c>
      <x:c r="D9" s="16" t="str">
        <x:v>Extrapolation</x:v>
      </x:c>
      <x:c r="E9" s="16" t="str">
        <x:v>P1</x:v>
      </x:c>
      <x:c r="F9" s="9" t="str">
        <x:v>Livrable original proposé : Séquence adverse — Cerberus Combat Engineer.</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Préparation orientée, événement de résolution unique, retour au contrôle ; pour bond ou charge, réserver départ et arrivée avant mouvement.</x:v>
      </x:c>
      <x:c r="K9" s="9" t="str">
        <x:v>Un seul événement de danger et un seul impact par résolution ; pas de répétition lors d’un retour de pause tactique.</x:v>
      </x:c>
      <x:c r="L9" s="9" t="str">
        <x:v>Prévu : fiche de données me3/enemy_moves/engineer ; rattacher les ressources et états cités à cet identifiant. Aucun fichier de jeu créé par ce catalogue.</x:v>
      </x:c>
      <x:c r="M9" s="9" t="str">
        <x:v>Campagne et simulation.</x:v>
      </x:c>
      <x:c r="N9" s="9" t="str">
        <x:v>La séquence de Cerberus Combat Engineer respecte son aire de menace, conserve sa cible réservée pendant la préparation et annule proprement coût/effets si la scène change.</x:v>
      </x:c>
      <x:c r="O9" s="9" t="str">
        <x:v>ME3-ENM-ENGINEER</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ME3-EMV-GUARDIAN</x:v>
      </x:c>
      <x:c r="B10" s="7" t="str">
        <x:v>Séquence adverse — Cerberus Guardian</x:v>
      </x:c>
      <x:c r="C10" s="15" t="str">
        <x:v>Défini</x:v>
      </x:c>
      <x:c r="D10" s="17" t="str">
        <x:v>Extrapolation</x:v>
      </x:c>
      <x:c r="E10" s="17" t="str">
        <x:v>P1</x:v>
      </x:c>
      <x:c r="F10" s="7" t="str">
        <x:v>Livrable original proposé : Séquence adverse — Cerberus Guardian.</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Préparation orientée, événement de résolution unique, retour au contrôle ; pour bond ou charge, réserver départ et arrivée avant mouvement.</x:v>
      </x:c>
      <x:c r="K10" s="7" t="str">
        <x:v>Un seul événement de danger et un seul impact par résolution ; pas de répétition lors d’un retour de pause tactique.</x:v>
      </x:c>
      <x:c r="L10" s="7" t="str">
        <x:v>Prévu : fiche de données me3/enemy_moves/guardian ; rattacher les ressources et états cités à cet identifiant. Aucun fichier de jeu créé par ce catalogue.</x:v>
      </x:c>
      <x:c r="M10" s="7" t="str">
        <x:v>Campagne et simulation.</x:v>
      </x:c>
      <x:c r="N10" s="7" t="str">
        <x:v>La séquence de Cerberus Guardian respecte son aire de menace, conserve sa cible réservée pendant la préparation et annule proprement coût/effets si la scène change.</x:v>
      </x:c>
      <x:c r="O10" s="7" t="str">
        <x:v>ME3-ENM-GUARDIAN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ME3-EMV-NEMESIS</x:v>
      </x:c>
      <x:c r="B11" s="9" t="str">
        <x:v>Séquence adverse — Cerberus Nemesis</x:v>
      </x:c>
      <x:c r="C11" s="15" t="str">
        <x:v>Défini</x:v>
      </x:c>
      <x:c r="D11" s="16" t="str">
        <x:v>Extrapolation</x:v>
      </x:c>
      <x:c r="E11" s="16" t="str">
        <x:v>P1</x:v>
      </x:c>
      <x:c r="F11" s="9" t="str">
        <x:v>Livrable original proposé : Séquence adverse — Cerberus Nemesis.</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Préparation orientée, événement de résolution unique, retour au contrôle ; pour bond ou charge, réserver départ et arrivée avant mouvement.</x:v>
      </x:c>
      <x:c r="K11" s="9" t="str">
        <x:v>Un seul événement de danger et un seul impact par résolution ; pas de répétition lors d’un retour de pause tactique.</x:v>
      </x:c>
      <x:c r="L11" s="9" t="str">
        <x:v>Prévu : fiche de données me3/enemy_moves/nemesis ; rattacher les ressources et états cités à cet identifiant. Aucun fichier de jeu créé par ce catalogue.</x:v>
      </x:c>
      <x:c r="M11" s="9" t="str">
        <x:v>Campagne et simulation.</x:v>
      </x:c>
      <x:c r="N11" s="9" t="str">
        <x:v>La séquence de Cerberus Nemesis respecte son aire de menace, conserve sa cible réservée pendant la préparation et annule proprement coût/effets si la scène change.</x:v>
      </x:c>
      <x:c r="O11" s="9" t="str">
        <x:v>ME3-ENM-NEMESIS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ME3-EMV-PHANTOM</x:v>
      </x:c>
      <x:c r="B12" s="7" t="str">
        <x:v>Séquence adverse — Cerberus Phantom</x:v>
      </x:c>
      <x:c r="C12" s="15" t="str">
        <x:v>Défini</x:v>
      </x:c>
      <x:c r="D12" s="17" t="str">
        <x:v>Extrapolation</x:v>
      </x:c>
      <x:c r="E12" s="17" t="str">
        <x:v>P1</x:v>
      </x:c>
      <x:c r="F12" s="7" t="str">
        <x:v>Livrable original proposé : Séquence adverse — Cerberus Phantom.</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Préparation orientée, événement de résolution unique, retour au contrôle ; pour bond ou charge, réserver départ et arrivée avant mouvement.</x:v>
      </x:c>
      <x:c r="K12" s="7" t="str">
        <x:v>Un seul événement de danger et un seul impact par résolution ; pas de répétition lors d’un retour de pause tactique.</x:v>
      </x:c>
      <x:c r="L12" s="7" t="str">
        <x:v>Prévu : fiche de données me3/enemy_moves/phantom ; rattacher les ressources et états cités à cet identifiant. Aucun fichier de jeu créé par ce catalogue.</x:v>
      </x:c>
      <x:c r="M12" s="7" t="str">
        <x:v>Campagne et simulation.</x:v>
      </x:c>
      <x:c r="N12" s="7" t="str">
        <x:v>La séquence de Cerberus Phantom respecte son aire de menace, conserve sa cible réservée pendant la préparation et annule proprement coût/effets si la scène change.</x:v>
      </x:c>
      <x:c r="O12" s="7" t="str">
        <x:v>ME3-ENM-PHANTOM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ME3-EMV-ATLAS</x:v>
      </x:c>
      <x:c r="B13" s="9" t="str">
        <x:v>Séquence adverse — Atlas</x:v>
      </x:c>
      <x:c r="C13" s="15" t="str">
        <x:v>Défini</x:v>
      </x:c>
      <x:c r="D13" s="16" t="str">
        <x:v>Extrapolation</x:v>
      </x:c>
      <x:c r="E13" s="16" t="str">
        <x:v>P1</x:v>
      </x:c>
      <x:c r="F13" s="9" t="str">
        <x:v>Livrable original proposé : Séquence adverse — Atlas.</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Préparation orientée, événement de résolution unique, retour au contrôle ; pour bond ou charge, réserver départ et arrivée avant mouvement.</x:v>
      </x:c>
      <x:c r="K13" s="9" t="str">
        <x:v>Un seul événement de danger et un seul impact par résolution ; pas de répétition lors d’un retour de pause tactique.</x:v>
      </x:c>
      <x:c r="L13" s="9" t="str">
        <x:v>Prévu : fiche de données me3/enemy_moves/atlas ; rattacher les ressources et états cités à cet identifiant. Aucun fichier de jeu créé par ce catalogue.</x:v>
      </x:c>
      <x:c r="M13" s="9" t="str">
        <x:v>Campagne ; variantes de pilotage à vérifier.</x:v>
      </x:c>
      <x:c r="N13" s="9" t="str">
        <x:v>La séquence de Atlas respecte son aire de menace, conserve sa cible réservée pendant la préparation et annule proprement coût/effets si la scène change.</x:v>
      </x:c>
      <x:c r="O13" s="9" t="str">
        <x:v>ME3-ENM-ATLAS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ME3-EMV-TURRET</x:v>
      </x:c>
      <x:c r="B14" s="7" t="str">
        <x:v>Séquence adverse — Tourelle Cerberus</x:v>
      </x:c>
      <x:c r="C14" s="15" t="str">
        <x:v>Défini</x:v>
      </x:c>
      <x:c r="D14" s="17" t="str">
        <x:v>Extrapolation</x:v>
      </x:c>
      <x:c r="E14" s="17" t="str">
        <x:v>P1</x:v>
      </x:c>
      <x:c r="F14" s="7" t="str">
        <x:v>Livrable original proposé : Séquence adverse — Tourelle Cerberus.</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Préparation orientée, événement de résolution unique, retour au contrôle ; pour bond ou charge, réserver départ et arrivée avant mouvement.</x:v>
      </x:c>
      <x:c r="K14" s="7" t="str">
        <x:v>Un seul événement de danger et un seul impact par résolution ; pas de répétition lors d’un retour de pause tactique.</x:v>
      </x:c>
      <x:c r="L14" s="7" t="str">
        <x:v>Prévu : fiche de données me3/enemy_moves/turret ; rattacher les ressources et états cités à cet identifiant. Aucun fichier de jeu créé par ce catalogue.</x:v>
      </x:c>
      <x:c r="M14" s="7" t="str">
        <x:v>Campagne et simulation.</x:v>
      </x:c>
      <x:c r="N14" s="7" t="str">
        <x:v>La séquence de Tourelle Cerberus respecte son aire de menace, conserve sa cible réservée pendant la préparation et annule proprement coût/effets si la scène change.</x:v>
      </x:c>
      <x:c r="O14" s="7" t="str">
        <x:v>ME3-ENM-TURRET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ME3-EMV-EVA</x:v>
      </x:c>
      <x:c r="B15" s="9" t="str">
        <x:v>Séquence adverse — Dr Eva Coré — confrontation</x:v>
      </x:c>
      <x:c r="C15" s="15" t="str">
        <x:v>Défini</x:v>
      </x:c>
      <x:c r="D15" s="16" t="str">
        <x:v>Extrapolation</x:v>
      </x:c>
      <x:c r="E15" s="16" t="str">
        <x:v>P1</x:v>
      </x:c>
      <x:c r="F15" s="9" t="str">
        <x:v>Livrable original proposé : Séquence adverse — Dr Eva Coré — confrontation.</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Préparation orientée, événement de résolution unique, retour au contrôle ; pour bond ou charge, réserver départ et arrivée avant mouvement.</x:v>
      </x:c>
      <x:c r="K15" s="9" t="str">
        <x:v>Un seul événement de danger et un seul impact par résolution ; pas de répétition lors d’un retour de pause tactique.</x:v>
      </x:c>
      <x:c r="L15" s="9" t="str">
        <x:v>Prévu : fiche de données me3/enemy_moves/eva ; rattacher les ressources et états cités à cet identifiant. Aucun fichier de jeu créé par ce catalogue.</x:v>
      </x:c>
      <x:c r="M15" s="9" t="str">
        <x:v>Mars uniquement.</x:v>
      </x:c>
      <x:c r="N15" s="9" t="str">
        <x:v>La séquence de Dr Eva Coré — confrontation respecte son aire de menace, conserve sa cible réservée pendant la préparation et annule proprement coût/effets si la scène change.</x:v>
      </x:c>
      <x:c r="O15" s="9" t="str">
        <x:v>ME3-ENM-EVA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ME3-EMV-KAI</x:v>
      </x:c>
      <x:c r="B16" s="7" t="str">
        <x:v>Séquence adverse — Kai Leng</x:v>
      </x:c>
      <x:c r="C16" s="15" t="str">
        <x:v>Défini</x:v>
      </x:c>
      <x:c r="D16" s="17" t="str">
        <x:v>Extrapolation</x:v>
      </x:c>
      <x:c r="E16" s="17" t="str">
        <x:v>P1</x:v>
      </x:c>
      <x:c r="F16" s="7" t="str">
        <x:v>Livrable original proposé : Séquence adverse — Kai Leng.</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Préparation orientée, événement de résolution unique, retour au contrôle ; pour bond ou charge, réserver départ et arrivée avant mouvement.</x:v>
      </x:c>
      <x:c r="K16" s="7" t="str">
        <x:v>Un seul événement de danger et un seul impact par résolution ; pas de répétition lors d’un retour de pause tactique.</x:v>
      </x:c>
      <x:c r="L16" s="7" t="str">
        <x:v>Prévu : fiche de données me3/enemy_moves/kai ; rattacher les ressources et états cités à cet identifiant. Aucun fichier de jeu créé par ce catalogue.</x:v>
      </x:c>
      <x:c r="M16" s="7" t="str">
        <x:v>Thessia et QG ; tables de phases distinctes.</x:v>
      </x:c>
      <x:c r="N16" s="7" t="str">
        <x:v>La séquence de Kai Leng respecte son aire de menace, conserve sa cible réservée pendant la préparation et annule proprement coût/effets si la scène change.</x:v>
      </x:c>
      <x:c r="O16" s="7" t="str">
        <x:v>ME3-ENM-KAI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ME3-EMV-RAMPART</x:v>
      </x:c>
      <x:c r="B17" s="9" t="str">
        <x:v>Séquence adverse — Rampart Mech</x:v>
      </x:c>
      <x:c r="C17" s="15" t="str">
        <x:v>Défini</x:v>
      </x:c>
      <x:c r="D17" s="16" t="str">
        <x:v>Extrapolation</x:v>
      </x:c>
      <x:c r="E17" s="16" t="str">
        <x:v>P1</x:v>
      </x:c>
      <x:c r="F17" s="9" t="str">
        <x:v>Livrable original proposé : Séquence adverse — Rampart Mech.</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Préparation orientée, événement de résolution unique, retour au contrôle ; pour bond ou charge, réserver départ et arrivée avant mouvement.</x:v>
      </x:c>
      <x:c r="K17" s="9" t="str">
        <x:v>Un seul événement de danger et un seul impact par résolution ; pas de répétition lors d’un retour de pause tactique.</x:v>
      </x:c>
      <x:c r="L17" s="9" t="str">
        <x:v>Prévu : fiche de données me3/enemy_moves/rampart ; rattacher les ressources et états cités à cet identifiant. Aucun fichier de jeu créé par ce catalogue.</x:v>
      </x:c>
      <x:c r="M17" s="9" t="str">
        <x:v>DLC Omega.</x:v>
      </x:c>
      <x:c r="N17" s="9" t="str">
        <x:v>La séquence de Rampart Mech respecte son aire de menace, conserve sa cible réservée pendant la préparation et annule proprement coût/effets si la scène change.</x:v>
      </x:c>
      <x:c r="O17" s="9" t="str">
        <x:v>ME3-ENM-RAMPART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ME3-EMV-ADJUTANT</x:v>
      </x:c>
      <x:c r="B18" s="7" t="str">
        <x:v>Séquence adverse — Adjutant</x:v>
      </x:c>
      <x:c r="C18" s="15" t="str">
        <x:v>Défini</x:v>
      </x:c>
      <x:c r="D18" s="17" t="str">
        <x:v>Extrapolation</x:v>
      </x:c>
      <x:c r="E18" s="17" t="str">
        <x:v>P1</x:v>
      </x:c>
      <x:c r="F18" s="7" t="str">
        <x:v>Livrable original proposé : Séquence adverse — Adjutant.</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Préparation orientée, événement de résolution unique, retour au contrôle ; pour bond ou charge, réserver départ et arrivée avant mouvement.</x:v>
      </x:c>
      <x:c r="K18" s="7" t="str">
        <x:v>Un seul événement de danger et un seul impact par résolution ; pas de répétition lors d’un retour de pause tactique.</x:v>
      </x:c>
      <x:c r="L18" s="7" t="str">
        <x:v>Prévu : fiche de données me3/enemy_moves/adjutant ; rattacher les ressources et états cités à cet identifiant. Aucun fichier de jeu créé par ce catalogue.</x:v>
      </x:c>
      <x:c r="M18" s="7" t="str">
        <x:v>DLC Omega.</x:v>
      </x:c>
      <x:c r="N18" s="7" t="str">
        <x:v>La séquence de Adjutant respecte son aire de menace, conserve sa cible réservée pendant la préparation et annule proprement coût/effets si la scène change.</x:v>
      </x:c>
      <x:c r="O18" s="7" t="str">
        <x:v>ME3-ENM-ADJUTANT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ME3-EMV-HUSK</x:v>
      </x:c>
      <x:c r="B19" s="9" t="str">
        <x:v>Séquence adverse — Husk</x:v>
      </x:c>
      <x:c r="C19" s="15" t="str">
        <x:v>Défini</x:v>
      </x:c>
      <x:c r="D19" s="16" t="str">
        <x:v>Extrapolation</x:v>
      </x:c>
      <x:c r="E19" s="16" t="str">
        <x:v>P1</x:v>
      </x:c>
      <x:c r="F19" s="9" t="str">
        <x:v>Livrable original proposé : Séquence adverse — Husk.</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Préparation orientée, événement de résolution unique, retour au contrôle ; pour bond ou charge, réserver départ et arrivée avant mouvement.</x:v>
      </x:c>
      <x:c r="K19" s="9" t="str">
        <x:v>Un seul événement de danger et un seul impact par résolution ; pas de répétition lors d’un retour de pause tactique.</x:v>
      </x:c>
      <x:c r="L19" s="9" t="str">
        <x:v>Prévu : fiche de données me3/enemy_moves/husk ; rattacher les ressources et états cités à cet identifiant. Aucun fichier de jeu créé par ce catalogue.</x:v>
      </x:c>
      <x:c r="M19" s="9" t="str">
        <x:v>Campagne et simulation.</x:v>
      </x:c>
      <x:c r="N19" s="9" t="str">
        <x:v>La séquence de Husk respecte son aire de menace, conserve sa cible réservée pendant la préparation et annule proprement coût/effets si la scène change.</x:v>
      </x:c>
      <x:c r="O19" s="9" t="str">
        <x:v>ME3-ENM-HUSK</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ME3-EMV-CANNIBAL</x:v>
      </x:c>
      <x:c r="B20" s="7" t="str">
        <x:v>Séquence adverse — Cannibal</x:v>
      </x:c>
      <x:c r="C20" s="15" t="str">
        <x:v>Défini</x:v>
      </x:c>
      <x:c r="D20" s="17" t="str">
        <x:v>Extrapolation</x:v>
      </x:c>
      <x:c r="E20" s="17" t="str">
        <x:v>P1</x:v>
      </x:c>
      <x:c r="F20" s="7" t="str">
        <x:v>Livrable original proposé : Séquence adverse — Cannibal.</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Préparation orientée, événement de résolution unique, retour au contrôle ; pour bond ou charge, réserver départ et arrivée avant mouvement.</x:v>
      </x:c>
      <x:c r="K20" s="7" t="str">
        <x:v>Un seul événement de danger et un seul impact par résolution ; pas de répétition lors d’un retour de pause tactique.</x:v>
      </x:c>
      <x:c r="L20" s="7" t="str">
        <x:v>Prévu : fiche de données me3/enemy_moves/cannibal ; rattacher les ressources et états cités à cet identifiant. Aucun fichier de jeu créé par ce catalogue.</x:v>
      </x:c>
      <x:c r="M20" s="7" t="str">
        <x:v>Campagne et simulation.</x:v>
      </x:c>
      <x:c r="N20" s="7" t="str">
        <x:v>La séquence de Cannibal respecte son aire de menace, conserve sa cible réservée pendant la préparation et annule proprement coût/effets si la scène change.</x:v>
      </x:c>
      <x:c r="O20" s="7" t="str">
        <x:v>ME3-ENM-CANNIBAL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ME3-EMV-MARAUDER</x:v>
      </x:c>
      <x:c r="B21" s="9" t="str">
        <x:v>Séquence adverse — Marauder</x:v>
      </x:c>
      <x:c r="C21" s="15" t="str">
        <x:v>Défini</x:v>
      </x:c>
      <x:c r="D21" s="16" t="str">
        <x:v>Extrapolation</x:v>
      </x:c>
      <x:c r="E21" s="16" t="str">
        <x:v>P1</x:v>
      </x:c>
      <x:c r="F21" s="9" t="str">
        <x:v>Livrable original proposé : Séquence adverse — Marauder.</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Préparation orientée, événement de résolution unique, retour au contrôle ; pour bond ou charge, réserver départ et arrivée avant mouvement.</x:v>
      </x:c>
      <x:c r="K21" s="9" t="str">
        <x:v>Un seul événement de danger et un seul impact par résolution ; pas de répétition lors d’un retour de pause tactique.</x:v>
      </x:c>
      <x:c r="L21" s="9" t="str">
        <x:v>Prévu : fiche de données me3/enemy_moves/marauder ; rattacher les ressources et états cités à cet identifiant. Aucun fichier de jeu créé par ce catalogue.</x:v>
      </x:c>
      <x:c r="M21" s="9" t="str">
        <x:v>Campagne et simulation.</x:v>
      </x:c>
      <x:c r="N21" s="9" t="str">
        <x:v>La séquence de Marauder respecte son aire de menace, conserve sa cible réservée pendant la préparation et annule proprement coût/effets si la scène change.</x:v>
      </x:c>
      <x:c r="O21" s="9" t="str">
        <x:v>ME3-ENM-MARAUDER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ME3-EMV-BRUTE</x:v>
      </x:c>
      <x:c r="B22" s="7" t="str">
        <x:v>Séquence adverse — Brute</x:v>
      </x:c>
      <x:c r="C22" s="15" t="str">
        <x:v>Défini</x:v>
      </x:c>
      <x:c r="D22" s="17" t="str">
        <x:v>Extrapolation</x:v>
      </x:c>
      <x:c r="E22" s="17" t="str">
        <x:v>P1</x:v>
      </x:c>
      <x:c r="F22" s="7" t="str">
        <x:v>Livrable original proposé : Séquence adverse — Brute.</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Préparation orientée, événement de résolution unique, retour au contrôle ; pour bond ou charge, réserver départ et arrivée avant mouvement.</x:v>
      </x:c>
      <x:c r="K22" s="7" t="str">
        <x:v>Un seul événement de danger et un seul impact par résolution ; pas de répétition lors d’un retour de pause tactique.</x:v>
      </x:c>
      <x:c r="L22" s="7" t="str">
        <x:v>Prévu : fiche de données me3/enemy_moves/brute ; rattacher les ressources et états cités à cet identifiant. Aucun fichier de jeu créé par ce catalogue.</x:v>
      </x:c>
      <x:c r="M22" s="7" t="str">
        <x:v>Campagne et simulation.</x:v>
      </x:c>
      <x:c r="N22" s="7" t="str">
        <x:v>La séquence de Brute respecte son aire de menace, conserve sa cible réservée pendant la préparation et annule proprement coût/effets si la scène change.</x:v>
      </x:c>
      <x:c r="O22" s="7" t="str">
        <x:v>ME3-ENM-BRUTE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ME3-EMV-RAVAGER</x:v>
      </x:c>
      <x:c r="B23" s="9" t="str">
        <x:v>Séquence adverse — Ravager</x:v>
      </x:c>
      <x:c r="C23" s="15" t="str">
        <x:v>Défini</x:v>
      </x:c>
      <x:c r="D23" s="16" t="str">
        <x:v>Extrapolation</x:v>
      </x:c>
      <x:c r="E23" s="16" t="str">
        <x:v>P1</x:v>
      </x:c>
      <x:c r="F23" s="9" t="str">
        <x:v>Livrable original proposé : Séquence adverse — Ravager.</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Préparation orientée, événement de résolution unique, retour au contrôle ; pour bond ou charge, réserver départ et arrivée avant mouvement.</x:v>
      </x:c>
      <x:c r="K23" s="9" t="str">
        <x:v>Un seul événement de danger et un seul impact par résolution ; pas de répétition lors d’un retour de pause tactique.</x:v>
      </x:c>
      <x:c r="L23" s="9" t="str">
        <x:v>Prévu : fiche de données me3/enemy_moves/ravager ; rattacher les ressources et états cités à cet identifiant. Aucun fichier de jeu créé par ce catalogue.</x:v>
      </x:c>
      <x:c r="M23" s="9" t="str">
        <x:v>Campagne et simulation.</x:v>
      </x:c>
      <x:c r="N23" s="9" t="str">
        <x:v>La séquence de Ravager respecte son aire de menace, conserve sa cible réservée pendant la préparation et annule proprement coût/effets si la scène change.</x:v>
      </x:c>
      <x:c r="O23" s="9" t="str">
        <x:v>ME3-ENM-RAVAGER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ME3-EMV-SWARMER</x:v>
      </x:c>
      <x:c r="B24" s="7" t="str">
        <x:v>Séquence adverse — Swarmer</x:v>
      </x:c>
      <x:c r="C24" s="15" t="str">
        <x:v>Défini</x:v>
      </x:c>
      <x:c r="D24" s="17" t="str">
        <x:v>Extrapolation</x:v>
      </x:c>
      <x:c r="E24" s="17" t="str">
        <x:v>P1</x:v>
      </x:c>
      <x:c r="F24" s="7" t="str">
        <x:v>Livrable original proposé : Séquence adverse — Swarmer.</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Préparation orientée, événement de résolution unique, retour au contrôle ; pour bond ou charge, réserver départ et arrivée avant mouvement.</x:v>
      </x:c>
      <x:c r="K24" s="7" t="str">
        <x:v>Un seul événement de danger et un seul impact par résolution ; pas de répétition lors d’un retour de pause tactique.</x:v>
      </x:c>
      <x:c r="L24" s="7" t="str">
        <x:v>Prévu : fiche de données me3/enemy_moves/swarmer ; rattacher les ressources et états cités à cet identifiant. Aucun fichier de jeu créé par ce catalogue.</x:v>
      </x:c>
      <x:c r="M24" s="7" t="str">
        <x:v>Campagne et simulation.</x:v>
      </x:c>
      <x:c r="N24" s="7" t="str">
        <x:v>La séquence de Swarmer respecte son aire de menace, conserve sa cible réservée pendant la préparation et annule proprement coût/effets si la scène change.</x:v>
      </x:c>
      <x:c r="O24" s="7" t="str">
        <x:v>ME3-ENM-SWARMER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ME3-EMV-BANSHEE</x:v>
      </x:c>
      <x:c r="B25" s="9" t="str">
        <x:v>Séquence adverse — Banshee</x:v>
      </x:c>
      <x:c r="C25" s="15" t="str">
        <x:v>Défini</x:v>
      </x:c>
      <x:c r="D25" s="16" t="str">
        <x:v>Extrapolation</x:v>
      </x:c>
      <x:c r="E25" s="16" t="str">
        <x:v>P1</x:v>
      </x:c>
      <x:c r="F25" s="9" t="str">
        <x:v>Livrable original proposé : Séquence adverse — Banshee.</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Préparation orientée, événement de résolution unique, retour au contrôle ; pour bond ou charge, réserver départ et arrivée avant mouvement.</x:v>
      </x:c>
      <x:c r="K25" s="9" t="str">
        <x:v>Un seul événement de danger et un seul impact par résolution ; pas de répétition lors d’un retour de pause tactique.</x:v>
      </x:c>
      <x:c r="L25" s="9" t="str">
        <x:v>Prévu : fiche de données me3/enemy_moves/banshee ; rattacher les ressources et états cités à cet identifiant. Aucun fichier de jeu créé par ce catalogue.</x:v>
      </x:c>
      <x:c r="M25" s="9" t="str">
        <x:v>Campagne et simulation.</x:v>
      </x:c>
      <x:c r="N25" s="9" t="str">
        <x:v>La séquence de Banshee respecte son aire de menace, conserve sa cible réservée pendant la préparation et annule proprement coût/effets si la scène change.</x:v>
      </x:c>
      <x:c r="O25" s="9" t="str">
        <x:v>ME3-ENM-BANSHEE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ME3-EMV-HARVESTER</x:v>
      </x:c>
      <x:c r="B26" s="7" t="str">
        <x:v>Séquence adverse — Harvester</x:v>
      </x:c>
      <x:c r="C26" s="15" t="str">
        <x:v>Défini</x:v>
      </x:c>
      <x:c r="D26" s="17" t="str">
        <x:v>Extrapolation</x:v>
      </x:c>
      <x:c r="E26" s="17" t="str">
        <x:v>P1</x:v>
      </x:c>
      <x:c r="F26" s="7" t="str">
        <x:v>Livrable original proposé : Séquence adverse — Harvester.</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Préparation orientée, événement de résolution unique, retour au contrôle ; pour bond ou charge, réserver départ et arrivée avant mouvement.</x:v>
      </x:c>
      <x:c r="K26" s="7" t="str">
        <x:v>Un seul événement de danger et un seul impact par résolution ; pas de répétition lors d’un retour de pause tactique.</x:v>
      </x:c>
      <x:c r="L26" s="7" t="str">
        <x:v>Prévu : fiche de données me3/enemy_moves/harvester ; rattacher les ressources et états cités à cet identifiant. Aucun fichier de jeu créé par ce catalogue.</x:v>
      </x:c>
      <x:c r="M26" s="7" t="str">
        <x:v>Rencontres terrestres prévues.</x:v>
      </x:c>
      <x:c r="N26" s="7" t="str">
        <x:v>La séquence de Harvester respecte son aire de menace, conserve sa cible réservée pendant la préparation et annule proprement coût/effets si la scène change.</x:v>
      </x:c>
      <x:c r="O26" s="7" t="str">
        <x:v>ME3-ENM-HARVESTER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ME3-EMV-REAPER-RANNOCH</x:v>
      </x:c>
      <x:c r="B27" s="9" t="str">
        <x:v>Séquence adverse — Moissonneur de Rannoch</x:v>
      </x:c>
      <x:c r="C27" s="15" t="str">
        <x:v>Défini</x:v>
      </x:c>
      <x:c r="D27" s="16" t="str">
        <x:v>Extrapolation</x:v>
      </x:c>
      <x:c r="E27" s="16" t="str">
        <x:v>P1</x:v>
      </x:c>
      <x:c r="F27" s="9" t="str">
        <x:v>Livrable original proposé : Séquence adverse — Moissonneur de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Préparation orientée, événement de résolution unique, retour au contrôle ; pour bond ou charge, réserver départ et arrivée avant mouvement.</x:v>
      </x:c>
      <x:c r="K27" s="9" t="str">
        <x:v>Un seul événement de danger et un seul impact par résolution ; pas de répétition lors d’un retour de pause tactique.</x:v>
      </x:c>
      <x:c r="L27" s="9" t="str">
        <x:v>Prévu : fiche de données me3/enemy_moves/reaper-rannoch ; rattacher les ressources et états cités à cet identifiant. Aucun fichier de jeu créé par ce catalogue.</x:v>
      </x:c>
      <x:c r="M27" s="9" t="str">
        <x:v>Rannoch uniquement.</x:v>
      </x:c>
      <x:c r="N27" s="9" t="str">
        <x:v>La séquence de Moissonneur de Rannoch respecte son aire de menace, conserve sa cible réservée pendant la préparation et annule proprement coût/effets si la scène change.</x:v>
      </x:c>
      <x:c r="O27" s="9" t="str">
        <x:v>ME3-ENM-REAPER-RANNOCH</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ME3-EMV-GETH-TROOPER</x:v>
      </x:c>
      <x:c r="B28" s="7" t="str">
        <x:v>Séquence adverse — Geth Trooper</x:v>
      </x:c>
      <x:c r="C28" s="15" t="str">
        <x:v>Défini</x:v>
      </x:c>
      <x:c r="D28" s="17" t="str">
        <x:v>Extrapolation</x:v>
      </x:c>
      <x:c r="E28" s="17" t="str">
        <x:v>P1</x:v>
      </x:c>
      <x:c r="F28" s="7" t="str">
        <x:v>Livrable original proposé : Séquence adverse — Geth Trooper.</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Préparation orientée, événement de résolution unique, retour au contrôle ; pour bond ou charge, réserver départ et arrivée avant mouvement.</x:v>
      </x:c>
      <x:c r="K28" s="7" t="str">
        <x:v>Un seul événement de danger et un seul impact par résolution ; pas de répétition lors d’un retour de pause tactique.</x:v>
      </x:c>
      <x:c r="L28" s="7" t="str">
        <x:v>Prévu : fiche de données me3/enemy_moves/geth-trooper ; rattacher les ressources et états cités à cet identifiant. Aucun fichier de jeu créé par ce catalogue.</x:v>
      </x:c>
      <x:c r="M28" s="7" t="str">
        <x:v>Arc geth, Armax ou multijoueur selon rencontre.</x:v>
      </x:c>
      <x:c r="N28" s="7" t="str">
        <x:v>La séquence de Geth Trooper respecte son aire de menace, conserve sa cible réservée pendant la préparation et annule proprement coût/effets si la scène change.</x:v>
      </x:c>
      <x:c r="O28" s="7" t="str">
        <x:v>ME3-ENM-GETH-TROOPER</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ME3-EMV-GETH-ROCKET</x:v>
      </x:c>
      <x:c r="B29" s="9" t="str">
        <x:v>Séquence adverse — Geth Rocket Trooper</x:v>
      </x:c>
      <x:c r="C29" s="15" t="str">
        <x:v>Défini</x:v>
      </x:c>
      <x:c r="D29" s="16" t="str">
        <x:v>Extrapolation</x:v>
      </x:c>
      <x:c r="E29" s="16" t="str">
        <x:v>P1</x:v>
      </x:c>
      <x:c r="F29" s="9" t="str">
        <x:v>Livrable original proposé : Séquence adverse — Geth Rocket Trooper.</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Préparation orientée, événement de résolution unique, retour au contrôle ; pour bond ou charge, réserver départ et arrivée avant mouvement.</x:v>
      </x:c>
      <x:c r="K29" s="9" t="str">
        <x:v>Un seul événement de danger et un seul impact par résolution ; pas de répétition lors d’un retour de pause tactique.</x:v>
      </x:c>
      <x:c r="L29" s="9" t="str">
        <x:v>Prévu : fiche de données me3/enemy_moves/geth-rocket ; rattacher les ressources et états cités à cet identifiant. Aucun fichier de jeu créé par ce catalogue.</x:v>
      </x:c>
      <x:c r="M29" s="9" t="str">
        <x:v>Arc geth, Armax ou multijoueur selon rencontre.</x:v>
      </x:c>
      <x:c r="N29" s="9" t="str">
        <x:v>La séquence de Geth Rocket Trooper respecte son aire de menace, conserve sa cible réservée pendant la préparation et annule proprement coût/effets si la scène change.</x:v>
      </x:c>
      <x:c r="O29" s="9" t="str">
        <x:v>ME3-ENM-GETH-ROCKET</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ME3-EMV-GETH-HUNTER</x:v>
      </x:c>
      <x:c r="B30" s="7" t="str">
        <x:v>Séquence adverse — Geth Hunter</x:v>
      </x:c>
      <x:c r="C30" s="15" t="str">
        <x:v>Défini</x:v>
      </x:c>
      <x:c r="D30" s="17" t="str">
        <x:v>Extrapolation</x:v>
      </x:c>
      <x:c r="E30" s="17" t="str">
        <x:v>P1</x:v>
      </x:c>
      <x:c r="F30" s="7" t="str">
        <x:v>Livrable original proposé : Séquence adverse — Geth Hunter.</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Préparation orientée, événement de résolution unique, retour au contrôle ; pour bond ou charge, réserver départ et arrivée avant mouvement.</x:v>
      </x:c>
      <x:c r="K30" s="7" t="str">
        <x:v>Un seul événement de danger et un seul impact par résolution ; pas de répétition lors d’un retour de pause tactique.</x:v>
      </x:c>
      <x:c r="L30" s="7" t="str">
        <x:v>Prévu : fiche de données me3/enemy_moves/geth-hunter ; rattacher les ressources et états cités à cet identifiant. Aucun fichier de jeu créé par ce catalogue.</x:v>
      </x:c>
      <x:c r="M30" s="7" t="str">
        <x:v>Arc geth, Armax ou multijoueur selon rencontre.</x:v>
      </x:c>
      <x:c r="N30" s="7" t="str">
        <x:v>La séquence de Geth Hunter respecte son aire de menace, conserve sa cible réservée pendant la préparation et annule proprement coût/effets si la scène change.</x:v>
      </x:c>
      <x:c r="O30" s="7" t="str">
        <x:v>ME3-ENM-GETH-HUNTER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ME3-EMV-GETH-PYRO</x:v>
      </x:c>
      <x:c r="B31" s="9" t="str">
        <x:v>Séquence adverse — Geth Pyro</x:v>
      </x:c>
      <x:c r="C31" s="15" t="str">
        <x:v>Défini</x:v>
      </x:c>
      <x:c r="D31" s="16" t="str">
        <x:v>Extrapolation</x:v>
      </x:c>
      <x:c r="E31" s="16" t="str">
        <x:v>P1</x:v>
      </x:c>
      <x:c r="F31" s="9" t="str">
        <x:v>Livrable original proposé : Séquence adverse — Geth Pyro.</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Préparation orientée, événement de résolution unique, retour au contrôle ; pour bond ou charge, réserver départ et arrivée avant mouvement.</x:v>
      </x:c>
      <x:c r="K31" s="9" t="str">
        <x:v>Un seul événement de danger et un seul impact par résolution ; pas de répétition lors d’un retour de pause tactique.</x:v>
      </x:c>
      <x:c r="L31" s="9" t="str">
        <x:v>Prévu : fiche de données me3/enemy_moves/geth-pyro ; rattacher les ressources et états cités à cet identifiant. Aucun fichier de jeu créé par ce catalogue.</x:v>
      </x:c>
      <x:c r="M31" s="9" t="str">
        <x:v>Arc geth, Armax ou multijoueur selon rencontre.</x:v>
      </x:c>
      <x:c r="N31" s="9" t="str">
        <x:v>La séquence de Geth Pyro respecte son aire de menace, conserve sa cible réservée pendant la préparation et annule proprement coût/effets si la scène change.</x:v>
      </x:c>
      <x:c r="O31" s="9" t="str">
        <x:v>ME3-ENM-GETH-PYRO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ME3-EMV-GETH-PRIME</x:v>
      </x:c>
      <x:c r="B32" s="7" t="str">
        <x:v>Séquence adverse — Geth Prime</x:v>
      </x:c>
      <x:c r="C32" s="15" t="str">
        <x:v>Défini</x:v>
      </x:c>
      <x:c r="D32" s="17" t="str">
        <x:v>Extrapolation</x:v>
      </x:c>
      <x:c r="E32" s="17" t="str">
        <x:v>P1</x:v>
      </x:c>
      <x:c r="F32" s="7" t="str">
        <x:v>Livrable original proposé : Séquence adverse — Geth Prime.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Préparation orientée, événement de résolution unique, retour au contrôle ; pour bond ou charge, réserver départ et arrivée avant mouvement.</x:v>
      </x:c>
      <x:c r="K32" s="7" t="str">
        <x:v>Un seul événement de danger et un seul impact par résolution ; pas de répétition lors d’un retour de pause tactique.</x:v>
      </x:c>
      <x:c r="L32" s="7" t="str">
        <x:v>Prévu : fiche de données me3/enemy_moves/geth-prime ; rattacher les ressources et états cités à cet identifiant. Aucun fichier de jeu créé par ce catalogue.</x:v>
      </x:c>
      <x:c r="M32" s="7" t="str">
        <x:v>Arc geth, Armax ou multijoueur selon rencontre.</x:v>
      </x:c>
      <x:c r="N32" s="7" t="str">
        <x:v>La séquence de Geth Prime respecte son aire de menace, conserve sa cible réservée pendant la préparation et annule proprement coût/effets si la scène change.</x:v>
      </x:c>
      <x:c r="O32" s="7" t="str">
        <x:v>ME3-ENM-GETH-PRIME</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ME3-EMV-GETH-TURRET</x:v>
      </x:c>
      <x:c r="B33" s="9" t="str">
        <x:v>Séquence adverse — Tourelle geth</x:v>
      </x:c>
      <x:c r="C33" s="15" t="str">
        <x:v>Défini</x:v>
      </x:c>
      <x:c r="D33" s="16" t="str">
        <x:v>Extrapolation</x:v>
      </x:c>
      <x:c r="E33" s="16" t="str">
        <x:v>P1</x:v>
      </x:c>
      <x:c r="F33" s="9" t="str">
        <x:v>Livrable original proposé : Séquence adverse — Tourelle geth.</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Préparation orientée, événement de résolution unique, retour au contrôle ; pour bond ou charge, réserver départ et arrivée avant mouvement.</x:v>
      </x:c>
      <x:c r="K33" s="9" t="str">
        <x:v>Un seul événement de danger et un seul impact par résolution ; pas de répétition lors d’un retour de pause tactique.</x:v>
      </x:c>
      <x:c r="L33" s="9" t="str">
        <x:v>Prévu : fiche de données me3/enemy_moves/geth-turret ; rattacher les ressources et états cités à cet identifiant. Aucun fichier de jeu créé par ce catalogue.</x:v>
      </x:c>
      <x:c r="M33" s="9" t="str">
        <x:v>Rencontres et simulations compatibles.</x:v>
      </x:c>
      <x:c r="N33" s="9" t="str">
        <x:v>La séquence de Tourelle geth respecte son aire de menace, conserve sa cible réservée pendant la préparation et annule proprement coût/effets si la scène change.</x:v>
      </x:c>
      <x:c r="O33" s="9" t="str">
        <x:v>ME3-ENM-GETH-TURRET</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ME3-EMV-CAT6-MERC</x:v>
      </x:c>
      <x:c r="B34" s="7" t="str">
        <x:v>Séquence adverse — CAT6 Mercenary</x:v>
      </x:c>
      <x:c r="C34" s="15" t="str">
        <x:v>Défini</x:v>
      </x:c>
      <x:c r="D34" s="17" t="str">
        <x:v>Extrapolation</x:v>
      </x:c>
      <x:c r="E34" s="17" t="str">
        <x:v>P1</x:v>
      </x:c>
      <x:c r="F34" s="7" t="str">
        <x:v>Livrable original proposé : Séquence adverse — CAT6 Mercenary.</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Préparation orientée, événement de résolution unique, retour au contrôle ; pour bond ou charge, réserver départ et arrivée avant mouvement.</x:v>
      </x:c>
      <x:c r="K34" s="7" t="str">
        <x:v>Un seul événement de danger et un seul impact par résolution ; pas de répétition lors d’un retour de pause tactique.</x:v>
      </x:c>
      <x:c r="L34" s="7" t="str">
        <x:v>Prévu : fiche de données me3/enemy_moves/cat6-merc ; rattacher les ressources et états cités à cet identifiant. Aucun fichier de jeu créé par ce catalogue.</x:v>
      </x:c>
      <x:c r="M34" s="7" t="str">
        <x:v>DLC Citadel / Armax.</x:v>
      </x:c>
      <x:c r="N34" s="7" t="str">
        <x:v>La séquence de CAT6 Mercenary respecte son aire de menace, conserve sa cible réservée pendant la préparation et annule proprement coût/effets si la scène change.</x:v>
      </x:c>
      <x:c r="O34" s="7" t="str">
        <x:v>ME3-ENM-CAT6-MERC</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ME3-EMV-CAT6-SPECIALIST</x:v>
      </x:c>
      <x:c r="B35" s="9" t="str">
        <x:v>Séquence adverse — CAT6 Specialist</x:v>
      </x:c>
      <x:c r="C35" s="15" t="str">
        <x:v>Défini</x:v>
      </x:c>
      <x:c r="D35" s="16" t="str">
        <x:v>Extrapolation</x:v>
      </x:c>
      <x:c r="E35" s="16" t="str">
        <x:v>P1</x:v>
      </x:c>
      <x:c r="F35" s="9" t="str">
        <x:v>Livrable original proposé : Séquence adverse — CAT6 Specialist.</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Préparation orientée, événement de résolution unique, retour au contrôle ; pour bond ou charge, réserver départ et arrivée avant mouvement.</x:v>
      </x:c>
      <x:c r="K35" s="9" t="str">
        <x:v>Un seul événement de danger et un seul impact par résolution ; pas de répétition lors d’un retour de pause tactique.</x:v>
      </x:c>
      <x:c r="L35" s="9" t="str">
        <x:v>Prévu : fiche de données me3/enemy_moves/cat6-specialist ; rattacher les ressources et états cités à cet identifiant. Aucun fichier de jeu créé par ce catalogue.</x:v>
      </x:c>
      <x:c r="M35" s="9" t="str">
        <x:v>DLC Citadel.</x:v>
      </x:c>
      <x:c r="N35" s="9" t="str">
        <x:v>La séquence de CAT6 Specialist respecte son aire de menace, conserve sa cible réservée pendant la préparation et annule proprement coût/effets si la scène change.</x:v>
      </x:c>
      <x:c r="O35" s="9" t="str">
        <x:v>ME3-ENM-CAT6-SPECIALIST</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ME3-EMV-CAT6-HEAVY</x:v>
      </x:c>
      <x:c r="B36" s="7" t="str">
        <x:v>Séquence adverse — CAT6 Heavy</x:v>
      </x:c>
      <x:c r="C36" s="15" t="str">
        <x:v>Défini</x:v>
      </x:c>
      <x:c r="D36" s="17" t="str">
        <x:v>Extrapolation</x:v>
      </x:c>
      <x:c r="E36" s="17" t="str">
        <x:v>P1</x:v>
      </x:c>
      <x:c r="F36" s="7" t="str">
        <x:v>Livrable original proposé : Séquence adverse — CAT6 Heavy.</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Préparation orientée, événement de résolution unique, retour au contrôle ; pour bond ou charge, réserver départ et arrivée avant mouvement.</x:v>
      </x:c>
      <x:c r="K36" s="7" t="str">
        <x:v>Un seul événement de danger et un seul impact par résolution ; pas de répétition lors d’un retour de pause tactique.</x:v>
      </x:c>
      <x:c r="L36" s="7" t="str">
        <x:v>Prévu : fiche de données me3/enemy_moves/cat6-heavy ; rattacher les ressources et états cités à cet identifiant. Aucun fichier de jeu créé par ce catalogue.</x:v>
      </x:c>
      <x:c r="M36" s="7" t="str">
        <x:v>DLC Citadel.</x:v>
      </x:c>
      <x:c r="N36" s="7" t="str">
        <x:v>La séquence de CAT6 Heavy respecte son aire de menace, conserve sa cible réservée pendant la préparation et annule proprement coût/effets si la scène change.</x:v>
      </x:c>
      <x:c r="O36" s="7" t="str">
        <x:v>ME3-ENM-CAT6-HEAVY</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ME3-EMV-DISRUPTION</x:v>
      </x:c>
      <x:c r="B37" s="9" t="str">
        <x:v>Séquence adverse — Disruption Drone</x:v>
      </x:c>
      <x:c r="C37" s="15" t="str">
        <x:v>Défini</x:v>
      </x:c>
      <x:c r="D37" s="16" t="str">
        <x:v>Extrapolation</x:v>
      </x:c>
      <x:c r="E37" s="16" t="str">
        <x:v>P1</x:v>
      </x:c>
      <x:c r="F37" s="9" t="str">
        <x:v>Livrable original proposé : Séquence adverse — Disruption Drone.</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Préparation orientée, événement de résolution unique, retour au contrôle ; pour bond ou charge, réserver départ et arrivée avant mouvement.</x:v>
      </x:c>
      <x:c r="K37" s="9" t="str">
        <x:v>Un seul événement de danger et un seul impact par résolution ; pas de répétition lors d’un retour de pause tactique.</x:v>
      </x:c>
      <x:c r="L37" s="9" t="str">
        <x:v>Prévu : fiche de données me3/enemy_moves/disruption ; rattacher les ressources et états cités à cet identifiant. Aucun fichier de jeu créé par ce catalogue.</x:v>
      </x:c>
      <x:c r="M37" s="9" t="str">
        <x:v>DLC Citadel.</x:v>
      </x:c>
      <x:c r="N37" s="9" t="str">
        <x:v>La séquence de Disruption Drone respecte son aire de menace, conserve sa cible réservée pendant la préparation et annule proprement coût/effets si la scène change.</x:v>
      </x:c>
      <x:c r="O37" s="9" t="str">
        <x:v>ME3-ENM-DISRUPTION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ME3-EMV-CLONE</x:v>
      </x:c>
      <x:c r="B38" s="7" t="str">
        <x:v>Séquence adverse — Clone de Shepard</x:v>
      </x:c>
      <x:c r="C38" s="15" t="str">
        <x:v>Défini</x:v>
      </x:c>
      <x:c r="D38" s="17" t="str">
        <x:v>Extrapolation</x:v>
      </x:c>
      <x:c r="E38" s="17" t="str">
        <x:v>P1</x:v>
      </x:c>
      <x:c r="F38" s="7" t="str">
        <x:v>Livrable original proposé : Séquence adverse — Clone de Shepard.</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Préparation orientée, événement de résolution unique, retour au contrôle ; pour bond ou charge, réserver départ et arrivée avant mouvement.</x:v>
      </x:c>
      <x:c r="K38" s="7" t="str">
        <x:v>Un seul événement de danger et un seul impact par résolution ; pas de répétition lors d’un retour de pause tactique.</x:v>
      </x:c>
      <x:c r="L38" s="7" t="str">
        <x:v>Prévu : fiche de données me3/enemy_moves/clone ; rattacher les ressources et états cités à cet identifiant. Aucun fichier de jeu créé par ce catalogue.</x:v>
      </x:c>
      <x:c r="M38" s="7" t="str">
        <x:v>DLC Citadel ; classe du joueur prise en compte.</x:v>
      </x:c>
      <x:c r="N38" s="7" t="str">
        <x:v>La séquence de Clone de Shepard respecte son aire de menace, conserve sa cible réservée pendant la préparation et annule proprement coût/effets si la scène change.</x:v>
      </x:c>
      <x:c r="O38" s="7" t="str">
        <x:v>ME3-ENM-CLONE</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ME3-EMV-BROOKS</x:v>
      </x:c>
      <x:c r="B39" s="9" t="str">
        <x:v>Séquence adverse — Maya Brooks — combat</x:v>
      </x:c>
      <x:c r="C39" s="15" t="str">
        <x:v>Défini</x:v>
      </x:c>
      <x:c r="D39" s="16" t="str">
        <x:v>Extrapolation</x:v>
      </x:c>
      <x:c r="E39" s="16" t="str">
        <x:v>P1</x:v>
      </x:c>
      <x:c r="F39" s="9" t="str">
        <x:v>Livrable original proposé : Séquence adverse — Maya Brooks — combat.</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Préparation orientée, événement de résolution unique, retour au contrôle ; pour bond ou charge, réserver départ et arrivée avant mouvement.</x:v>
      </x:c>
      <x:c r="K39" s="9" t="str">
        <x:v>Un seul événement de danger et un seul impact par résolution ; pas de répétition lors d’un retour de pause tactique.</x:v>
      </x:c>
      <x:c r="L39" s="9" t="str">
        <x:v>Prévu : fiche de données me3/enemy_moves/brooks ; rattacher les ressources et états cités à cet identifiant. Aucun fichier de jeu créé par ce catalogue.</x:v>
      </x:c>
      <x:c r="M39" s="9" t="str">
        <x:v>DLC Citadel.</x:v>
      </x:c>
      <x:c r="N39" s="9" t="str">
        <x:v>La séquence de Maya Brooks — combat respecte son aire de menace, conserve sa cible réservée pendant la préparation et annule proprement coût/effets si la scène change.</x:v>
      </x:c>
      <x:c r="O39" s="9" t="str">
        <x:v>ME3-ENM-BROOKS</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ME3-EMV-COLLECTOR-TROOPER</x:v>
      </x:c>
      <x:c r="B40" s="7" t="str">
        <x:v>Séquence adverse — Collector Trooper — simulation / multi</x:v>
      </x:c>
      <x:c r="C40" s="15" t="str">
        <x:v>Défini</x:v>
      </x:c>
      <x:c r="D40" s="17" t="str">
        <x:v>Extrapolation</x:v>
      </x:c>
      <x:c r="E40" s="17" t="str">
        <x:v>P1</x:v>
      </x:c>
      <x:c r="F40" s="7" t="str">
        <x:v>Livrable original proposé : Séquence adverse — Collector Trooper — simulation / multi.</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Préparation orientée, événement de résolution unique, retour au contrôle ; pour bond ou charge, réserver départ et arrivée avant mouvement.</x:v>
      </x:c>
      <x:c r="K40" s="7" t="str">
        <x:v>Un seul événement de danger et un seul impact par résolution ; pas de répétition lors d’un retour de pause tactique.</x:v>
      </x:c>
      <x:c r="L40" s="7" t="str">
        <x:v>Prévu : fiche de données me3/enemy_moves/collector-trooper ; rattacher les ressources et états cités à cet identifiant. Aucun fichier de jeu créé par ce catalogue.</x:v>
      </x:c>
      <x:c r="M40" s="7" t="str">
        <x:v>Multijoueur Retaliation ou simulation Armax uniquement.</x:v>
      </x:c>
      <x:c r="N40" s="7" t="str">
        <x:v>La séquence de Collector Trooper — simulation / multi respecte son aire de menace, conserve sa cible réservée pendant la préparation et annule proprement coût/effets si la scène change.</x:v>
      </x:c>
      <x:c r="O40" s="7" t="str">
        <x:v>ME3-ENM-COLLECTOR-TROOPER</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ME3-EMV-COLLECTOR-CAPTAIN</x:v>
      </x:c>
      <x:c r="B41" s="9" t="str">
        <x:v>Séquence adverse — Collector Captain — simulation / multi</x:v>
      </x:c>
      <x:c r="C41" s="15" t="str">
        <x:v>Défini</x:v>
      </x:c>
      <x:c r="D41" s="16" t="str">
        <x:v>Extrapolation</x:v>
      </x:c>
      <x:c r="E41" s="16" t="str">
        <x:v>P1</x:v>
      </x:c>
      <x:c r="F41" s="9" t="str">
        <x:v>Livrable original proposé : Séquence adverse — Collector Captain — simulation / multi.</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Préparation orientée, événement de résolution unique, retour au contrôle ; pour bond ou charge, réserver départ et arrivée avant mouvement.</x:v>
      </x:c>
      <x:c r="K41" s="9" t="str">
        <x:v>Un seul événement de danger et un seul impact par résolution ; pas de répétition lors d’un retour de pause tactique.</x:v>
      </x:c>
      <x:c r="L41" s="9" t="str">
        <x:v>Prévu : fiche de données me3/enemy_moves/collector-captain ; rattacher les ressources et états cités à cet identifiant. Aucun fichier de jeu créé par ce catalogue.</x:v>
      </x:c>
      <x:c r="M41" s="9" t="str">
        <x:v>Multijoueur Retaliation / simulations prévues.</x:v>
      </x:c>
      <x:c r="N41" s="9" t="str">
        <x:v>La séquence de Collector Captain — simulation / multi respecte son aire de menace, conserve sa cible réservée pendant la préparation et annule proprement coût/effets si la scène change.</x:v>
      </x:c>
      <x:c r="O41" s="9" t="str">
        <x:v>ME3-ENM-COLLECTOR-CAPTAIN</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ME3-EMV-ABOMINATION</x:v>
      </x:c>
      <x:c r="B42" s="7" t="str">
        <x:v>Séquence adverse — Abomination — simulation / multi</x:v>
      </x:c>
      <x:c r="C42" s="15" t="str">
        <x:v>Défini</x:v>
      </x:c>
      <x:c r="D42" s="17" t="str">
        <x:v>Extrapolation</x:v>
      </x:c>
      <x:c r="E42" s="17" t="str">
        <x:v>P1</x:v>
      </x:c>
      <x:c r="F42" s="7" t="str">
        <x:v>Livrable original proposé : Séquence adverse — Abomination — simulation / multi.</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Préparation orientée, événement de résolution unique, retour au contrôle ; pour bond ou charge, réserver départ et arrivée avant mouvement.</x:v>
      </x:c>
      <x:c r="K42" s="7" t="str">
        <x:v>Un seul événement de danger et un seul impact par résolution ; pas de répétition lors d’un retour de pause tactique.</x:v>
      </x:c>
      <x:c r="L42" s="7" t="str">
        <x:v>Prévu : fiche de données me3/enemy_moves/abomination ; rattacher les ressources et états cités à cet identifiant. Aucun fichier de jeu créé par ce catalogue.</x:v>
      </x:c>
      <x:c r="M42" s="7" t="str">
        <x:v>Multijoueur Retaliation / simulations prévues.</x:v>
      </x:c>
      <x:c r="N42" s="7" t="str">
        <x:v>La séquence de Abomination — simulation / multi respecte son aire de menace, conserve sa cible réservée pendant la préparation et annule proprement coût/effets si la scène change.</x:v>
      </x:c>
      <x:c r="O42" s="7" t="str">
        <x:v>ME3-ENM-ABOMINATION</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ME3-EMV-SCION</x:v>
      </x:c>
      <x:c r="B43" s="9" t="str">
        <x:v>Séquence adverse — Scion — simulation / multi</x:v>
      </x:c>
      <x:c r="C43" s="15" t="str">
        <x:v>Défini</x:v>
      </x:c>
      <x:c r="D43" s="16" t="str">
        <x:v>Extrapolation</x:v>
      </x:c>
      <x:c r="E43" s="16" t="str">
        <x:v>P1</x:v>
      </x:c>
      <x:c r="F43" s="9" t="str">
        <x:v>Livrable original proposé : Séquence adverse — Scion — simulation / multi.</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Préparation orientée, événement de résolution unique, retour au contrôle ; pour bond ou charge, réserver départ et arrivée avant mouvement.</x:v>
      </x:c>
      <x:c r="K43" s="9" t="str">
        <x:v>Un seul événement de danger et un seul impact par résolution ; pas de répétition lors d’un retour de pause tactique.</x:v>
      </x:c>
      <x:c r="L43" s="9" t="str">
        <x:v>Prévu : fiche de données me3/enemy_moves/scion ; rattacher les ressources et états cités à cet identifiant. Aucun fichier de jeu créé par ce catalogue.</x:v>
      </x:c>
      <x:c r="M43" s="9" t="str">
        <x:v>Multijoueur Retaliation / simulations prévues.</x:v>
      </x:c>
      <x:c r="N43" s="9" t="str">
        <x:v>La séquence de Scion — simulation / multi respecte son aire de menace, conserve sa cible réservée pendant la préparation et annule proprement coût/effets si la scène change.</x:v>
      </x:c>
      <x:c r="O43" s="9" t="str">
        <x:v>ME3-ENM-SCION</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ME3-EMV-PRAETORIAN</x:v>
      </x:c>
      <x:c r="B44" s="7" t="str">
        <x:v>Séquence adverse — Praetorian — simulation / multi</x:v>
      </x:c>
      <x:c r="C44" s="15" t="str">
        <x:v>Défini</x:v>
      </x:c>
      <x:c r="D44" s="17" t="str">
        <x:v>Extrapolation</x:v>
      </x:c>
      <x:c r="E44" s="17" t="str">
        <x:v>P1</x:v>
      </x:c>
      <x:c r="F44" s="7" t="str">
        <x:v>Livrable original proposé : Séquence adverse — Praetorian — simulation / multi.</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Préparation orientée, événement de résolution unique, retour au contrôle ; pour bond ou charge, réserver départ et arrivée avant mouvement.</x:v>
      </x:c>
      <x:c r="K44" s="7" t="str">
        <x:v>Un seul événement de danger et un seul impact par résolution ; pas de répétition lors d’un retour de pause tactique.</x:v>
      </x:c>
      <x:c r="L44" s="7" t="str">
        <x:v>Prévu : fiche de données me3/enemy_moves/praetorian ; rattacher les ressources et états cités à cet identifiant. Aucun fichier de jeu créé par ce catalogue.</x:v>
      </x:c>
      <x:c r="M44" s="7" t="str">
        <x:v>Multijoueur Retaliation / simulations prévues.</x:v>
      </x:c>
      <x:c r="N44" s="7" t="str">
        <x:v>La séquence de Praetorian — simulation / multi respecte son aire de menace, conserve sa cible réservée pendant la préparation et annule proprement coût/effets si la scène change.</x:v>
      </x:c>
      <x:c r="O44" s="7" t="str">
        <x:v>ME3-ENM-PRAETORIAN</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ME3-EMV-DRAGOON</x:v>
      </x:c>
      <x:c r="B45" s="9" t="str">
        <x:v>Séquence adverse — Cerberus Dragoon — multi</x:v>
      </x:c>
      <x:c r="C45" s="15" t="str">
        <x:v>Défini</x:v>
      </x:c>
      <x:c r="D45" s="16" t="str">
        <x:v>Extrapolation</x:v>
      </x:c>
      <x:c r="E45" s="16" t="str">
        <x:v>P1</x:v>
      </x:c>
      <x:c r="F45" s="9" t="str">
        <x:v>Livrable original proposé : Séquence adverse — Cerberus Dragoon — multi.</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Préparation orientée, événement de résolution unique, retour au contrôle ; pour bond ou charge, réserver départ et arrivée avant mouvement.</x:v>
      </x:c>
      <x:c r="K45" s="9" t="str">
        <x:v>Un seul événement de danger et un seul impact par résolution ; pas de répétition lors d’un retour de pause tactique.</x:v>
      </x:c>
      <x:c r="L45" s="9" t="str">
        <x:v>Prévu : fiche de données me3/enemy_moves/dragoon ; rattacher les ressources et états cités à cet identifiant. Aucun fichier de jeu créé par ce catalogue.</x:v>
      </x:c>
      <x:c r="M45" s="9" t="str">
        <x:v>Multijoueur Retaliation ; absence de campagne imposée.</x:v>
      </x:c>
      <x:c r="N45" s="9" t="str">
        <x:v>La séquence de Cerberus Dragoon — multi respecte son aire de menace, conserve sa cible réservée pendant la préparation et annule proprement coût/effets si la scène change.</x:v>
      </x:c>
      <x:c r="O45" s="9" t="str">
        <x:v>ME3-ENM-DRAGOON</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72" priority="1" operator="equal">
      <x:formula>"À vérifier"</x:formula>
    </x:cfRule>
    <x:cfRule type="cellIs" dxfId="73" priority="2" operator="equal">
      <x:formula>"Extrapolation"</x:formula>
    </x:cfRule>
  </x:conditionalFormatting>
  <x:conditionalFormatting sqref="C7:C45">
    <x:cfRule type="cellIs" dxfId="74" priority="3" operator="equal">
      <x:formula>"Validé"</x:formula>
    </x:cfRule>
  </x:conditionalFormatting>
  <x:conditionalFormatting sqref="E7:E45">
    <x:cfRule type="cellIs" dxfId="7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99968b99f81e48ab"/>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3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ME3-ANI-COVER</x:v>
      </x:c>
      <x:c r="B7" s="9" t="str">
        <x:v>Couvert et changement d’épaule</x:v>
      </x:c>
      <x:c r="C7" s="15" t="str">
        <x:v>Défini</x:v>
      </x:c>
      <x:c r="D7" s="16" t="str">
        <x:v>Extrapolation</x:v>
      </x:c>
      <x:c r="E7" s="16" t="str">
        <x:v>P1</x:v>
      </x:c>
      <x:c r="F7" s="9" t="str">
        <x:v>Livrable original proposé : Couvert et changement d’épaule.</x:v>
      </x:c>
      <x:c r="G7" s="9" t="str">
        <x:v>Conserver pieds ancrés et profondeur ; sortie de couvert avant tir visible, retour sans glissement sur les angles.</x:v>
      </x:c>
      <x:c r="H7" s="9" t="str">
        <x:v>Conserver pieds ancrés et profondeur ; sortie de couvert avant tir visible, retour sans glissement sur les angles.</x:v>
      </x:c>
      <x:c r="I7" s="9" t="str">
        <x:v>Sprites bas/haut et repères au sol.</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me3/animations/cover ; rattacher les ressources et états cités à cet identifiant. Aucun fichier de jeu créé par ce catalogue.</x:v>
      </x:c>
      <x:c r="M7" s="9" t="str"/>
      <x:c r="N7" s="9" t="str">
        <x:v>Le livrable « Couvert et changement d’épaule » possède une scène ou un scénario de contrôle ; ses règles proposées, ses conditions et ses retours visuels sont vérifiables séparément.</x:v>
      </x:c>
      <x:c r="O7" s="9" t="str">
        <x:v>ME3-SYS-COVER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ME3-ANI-VAULT</x:v>
      </x:c>
      <x:c r="B8" s="7" t="str">
        <x:v>Franchissement de couvert bas</x:v>
      </x:c>
      <x:c r="C8" s="15" t="str">
        <x:v>Défini</x:v>
      </x:c>
      <x:c r="D8" s="17" t="str">
        <x:v>Extrapolation</x:v>
      </x:c>
      <x:c r="E8" s="17" t="str">
        <x:v>P1</x:v>
      </x:c>
      <x:c r="F8" s="7" t="str">
        <x:v>Livrable original proposé : Franchissement de couvert bas.</x:v>
      </x:c>
      <x:c r="G8" s="7" t="str">
        <x:v>Réserver la cellule d’arrivée avant saut ; annuler si allié la bloque et ne pas traverser un couvert haut.</x:v>
      </x:c>
      <x:c r="H8" s="7" t="str">
        <x:v>Réserver la cellule d’arrivée avant saut ; annuler si allié la bloque et ne pas traverser un couvert haut.</x:v>
      </x:c>
      <x:c r="I8" s="7" t="str">
        <x:v>Arc court et ombre continue.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me3/animations/vault ; rattacher les ressources et états cités à cet identifiant. Aucun fichier de jeu créé par ce catalogue.</x:v>
      </x:c>
      <x:c r="M8" s="7" t="str"/>
      <x:c r="N8" s="7" t="str">
        <x:v>Le livrable « Franchissement de couvert bas » possède une scène ou un scénario de contrôle ; ses règles proposées, ses conditions et ses retours visuels sont vérifiables séparément.</x:v>
      </x:c>
      <x:c r="O8" s="7" t="str">
        <x:v>ME3-SYS-TRAVERSAL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ME3-ANI-OMNIBLADE</x:v>
      </x:c>
      <x:c r="B9" s="9" t="str">
        <x:v>Mêlée lourde de Shepard</x:v>
      </x:c>
      <x:c r="C9" s="15" t="str">
        <x:v>Défini</x:v>
      </x:c>
      <x:c r="D9" s="16" t="str">
        <x:v>Extrapolation</x:v>
      </x:c>
      <x:c r="E9" s="16" t="str">
        <x:v>P1</x:v>
      </x:c>
      <x:c r="F9" s="9" t="str">
        <x:v>Livrable original proposé : Mêlée lourde de Shepard.</x:v>
      </x:c>
      <x:c r="G9" s="9" t="str">
        <x:v>Anticipation du bras, extension de lame puis récupération ; contrôle de hitbox indépendant de l’illustration lumineuse.</x:v>
      </x:c>
      <x:c r="H9" s="9" t="str">
        <x:v>Anticipation du bras, extension de lame puis récupération ; contrôle de hitbox indépendant de l’illustration lumineuse.</x:v>
      </x:c>
      <x:c r="I9" s="9" t="str">
        <x:v>Omni-lame orange et pose de fente.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me3/animations/omniblade ; rattacher les ressources et états cités à cet identifiant. Aucun fichier de jeu créé par ce catalogue.</x:v>
      </x:c>
      <x:c r="M9" s="9" t="str"/>
      <x:c r="N9" s="9" t="str">
        <x:v>Le livrable « Mêlée lourde de Shepard » possède une scène ou un scénario de contrôle ; ses règles proposées, ses conditions et ses retours visuels sont vérifiables séparément.</x:v>
      </x:c>
      <x:c r="O9" s="9" t="str">
        <x:v>ME3-CHR-SHEPARD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ME3-ANI-BIOTIC-CAST</x:v>
      </x:c>
      <x:c r="B10" s="7" t="str">
        <x:v>Gestuelle biotique d’équipe</x:v>
      </x:c>
      <x:c r="C10" s="15" t="str">
        <x:v>Défini</x:v>
      </x:c>
      <x:c r="D10" s="17" t="str">
        <x:v>Extrapolation</x:v>
      </x:c>
      <x:c r="E10" s="17" t="str">
        <x:v>P1</x:v>
      </x:c>
      <x:c r="F10" s="7" t="str">
        <x:v>Livrable original proposé : Gestuelle biotique d’équipe.</x:v>
      </x:c>
      <x:c r="G10" s="7" t="str">
        <x:v>Variantes humain/asari/krogan/turien ; la main de cast conserve arme et silhouette sans duplication.</x:v>
      </x:c>
      <x:c r="H10" s="7" t="str">
        <x:v>Variantes humain/asari/krogan/turien ; la main de cast conserve arme et silhouette sans duplication.</x:v>
      </x:c>
      <x:c r="I10" s="7" t="str">
        <x:v>Main ouverte et déformation légère.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me3/animations/biotic-cast ; rattacher les ressources et états cités à cet identifiant. Aucun fichier de jeu créé par ce catalogue.</x:v>
      </x:c>
      <x:c r="M10" s="7" t="str"/>
      <x:c r="N10" s="7" t="str">
        <x:v>Le livrable « Gestuelle biotique d’équipe » possède une scène ou un scénario de contrôle ; ses règles proposées, ses conditions et ses retours visuels sont vérifiables séparément.</x:v>
      </x:c>
      <x:c r="O10" s="7" t="str">
        <x:v>ME3-POW-WARP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ME3-ANI-TECH-CAST</x:v>
      </x:c>
      <x:c r="B11" s="9" t="str">
        <x:v>Omni-outil et activation tech</x:v>
      </x:c>
      <x:c r="C11" s="15" t="str">
        <x:v>Défini</x:v>
      </x:c>
      <x:c r="D11" s="16" t="str">
        <x:v>Extrapolation</x:v>
      </x:c>
      <x:c r="E11" s="16" t="str">
        <x:v>P1</x:v>
      </x:c>
      <x:c r="F11" s="9" t="str">
        <x:v>Livrable original proposé : Omni-outil et activation tech.</x:v>
      </x:c>
      <x:c r="G11" s="9" t="str">
        <x:v>Projeter outil du bon bras selon sprite original ; événement de pouvoir une seule fois même si pause tactique.</x:v>
      </x:c>
      <x:c r="H11" s="9" t="str">
        <x:v>Projeter outil du bon bras selon sprite original ; événement de pouvoir une seule fois même si pause tactique.</x:v>
      </x:c>
      <x:c r="I11" s="9" t="str">
        <x:v>Anneau d’interface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me3/animations/tech-cast ; rattacher les ressources et états cités à cet identifiant. Aucun fichier de jeu créé par ce catalogue.</x:v>
      </x:c>
      <x:c r="M11" s="9" t="str"/>
      <x:c r="N11" s="9" t="str">
        <x:v>Le livrable « Omni-outil et activation tech » possède une scène ou un scénario de contrôle ; ses règles proposées, ses conditions et ses retours visuels sont vérifiables séparément.</x:v>
      </x:c>
      <x:c r="O11" s="9" t="str">
        <x:v>ME3-POW-OVERLOAD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ME3-ANI-GRENADE</x:v>
      </x:c>
      <x:c r="B12" s="7" t="str">
        <x:v>Lancer de grenade</x:v>
      </x:c>
      <x:c r="C12" s="15" t="str">
        <x:v>Défini</x:v>
      </x:c>
      <x:c r="D12" s="17" t="str">
        <x:v>Extrapolation</x:v>
      </x:c>
      <x:c r="E12" s="17" t="str">
        <x:v>P1</x:v>
      </x:c>
      <x:c r="F12" s="7" t="str">
        <x:v>Livrable original proposé : Lancer de grenade.</x:v>
      </x:c>
      <x:c r="G12" s="7" t="str">
        <x:v>Préparation, lâcher et retour au fusil ; projectile créé au lâcher, réserve débitée à ce moment précis.</x:v>
      </x:c>
      <x:c r="H12" s="7" t="str">
        <x:v>Préparation, lâcher et retour au fusil ; projectile créé au lâcher, réserve débitée à ce moment précis.</x:v>
      </x:c>
      <x:c r="I12" s="7" t="str">
        <x:v>Main, grenade et parabole.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me3/animations/grenade ; rattacher les ressources et états cités à cet identifiant. Aucun fichier de jeu créé par ce catalogue.</x:v>
      </x:c>
      <x:c r="M12" s="7" t="str"/>
      <x:c r="N12" s="7" t="str">
        <x:v>Le livrable « Lancer de grenade » possède une scène ou un scénario de contrôle ; ses règles proposées, ses conditions et ses retours visuels sont vérifiables séparément.</x:v>
      </x:c>
      <x:c r="O12" s="7" t="str">
        <x:v>ME3-POW-FRAG</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ME3-ANI-REVIVE</x:v>
      </x:c>
      <x:c r="B13" s="9" t="str">
        <x:v>Secours manuel et First Aid</x:v>
      </x:c>
      <x:c r="C13" s="15" t="str">
        <x:v>Défini</x:v>
      </x:c>
      <x:c r="D13" s="16" t="str">
        <x:v>Extrapolation</x:v>
      </x:c>
      <x:c r="E13" s="16" t="str">
        <x:v>P1</x:v>
      </x:c>
      <x:c r="F13" s="9" t="str">
        <x:v>Livrable original proposé : Secours manuel et First Aid.</x:v>
      </x:c>
      <x:c r="G13" s="9" t="str">
        <x:v>Deux poses distinctes, contact au corps ou omni-outil ; vérifier orientation et absence de traversée de mur.</x:v>
      </x:c>
      <x:c r="H13" s="9" t="str">
        <x:v>Deux poses distinctes, contact au corps ou omni-outil ; vérifier orientation et absence de traversée de mur.</x:v>
      </x:c>
      <x:c r="I13" s="9" t="str">
        <x:v>Geste de soin et reprise de station.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me3/animations/revive ; rattacher les ressources et états cités à cet identifiant. Aucun fichier de jeu créé par ce catalogue.</x:v>
      </x:c>
      <x:c r="M13" s="9" t="str"/>
      <x:c r="N13" s="9" t="str">
        <x:v>Le livrable « Secours manuel et First Aid » possède une scène ou un scénario de contrôle ; ses règles proposées, ses conditions et ses retours visuels sont vérifiables séparément.</x:v>
      </x:c>
      <x:c r="O13" s="9" t="str">
        <x:v>ME3-POW-FIRST-AID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ME3-ANI-PHANTOM</x:v>
      </x:c>
      <x:c r="B14" s="7" t="str">
        <x:v>Phantom — menace de lame</x:v>
      </x:c>
      <x:c r="C14" s="15" t="str">
        <x:v>Défini</x:v>
      </x:c>
      <x:c r="D14" s="17" t="str">
        <x:v>Extrapolation</x:v>
      </x:c>
      <x:c r="E14" s="17" t="str">
        <x:v>P1</x:v>
      </x:c>
      <x:c r="F14" s="7" t="str">
        <x:v>Livrable original proposé : Phantom — menace de lame.</x:v>
      </x:c>
      <x:c r="G14" s="7" t="str">
        <x:v>Camouflage lisible, sortie, pose de menace puis frappe ; réduire possibilité de saisie instantanée hors champ.</x:v>
      </x:c>
      <x:c r="H14" s="7" t="str">
        <x:v>Camouflage lisible, sortie, pose de menace puis frappe ; réduire possibilité de saisie instantanée hors champ.</x:v>
      </x:c>
      <x:c r="I14" s="7" t="str">
        <x:v>Lame et contour de menace.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me3/animations/phantom ; rattacher les ressources et états cités à cet identifiant. Aucun fichier de jeu créé par ce catalogue.</x:v>
      </x:c>
      <x:c r="M14" s="7" t="str"/>
      <x:c r="N14" s="7" t="str">
        <x:v>Le livrable « Phantom — menace de lame » possède une scène ou un scénario de contrôle ; ses règles proposées, ses conditions et ses retours visuels sont vérifiables séparément.</x:v>
      </x:c>
      <x:c r="O14" s="7" t="str">
        <x:v>ME3-ENM-PHANTOM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ME3-ANI-BANSHEE</x:v>
      </x:c>
      <x:c r="B15" s="9" t="str">
        <x:v>Banshee — téléportation et prise</x:v>
      </x:c>
      <x:c r="C15" s="15" t="str">
        <x:v>Défini</x:v>
      </x:c>
      <x:c r="D15" s="16" t="str">
        <x:v>Extrapolation</x:v>
      </x:c>
      <x:c r="E15" s="16" t="str">
        <x:v>P1</x:v>
      </x:c>
      <x:c r="F15" s="9" t="str">
        <x:v>Livrable original proposé : Banshee — téléportation et prise.</x:v>
      </x:c>
      <x:c r="G15" s="9" t="str">
        <x:v>Départ et arrivée reliés par signal ; phase de saisie distincte de l’attaque normale, durée lisible.</x:v>
      </x:c>
      <x:c r="H15" s="9" t="str">
        <x:v>Départ et arrivée reliés par signal ; phase de saisie distincte de l’attaque normale, durée lisible.</x:v>
      </x:c>
      <x:c r="I15" s="9" t="str">
        <x:v>Aura, silhouette étirée et main tendue.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me3/animations/banshee ; rattacher les ressources et états cités à cet identifiant. Aucun fichier de jeu créé par ce catalogue.</x:v>
      </x:c>
      <x:c r="M15" s="9" t="str"/>
      <x:c r="N15" s="9" t="str">
        <x:v>Le livrable « Banshee — téléportation et prise » possède une scène ou un scénario de contrôle ; ses règles proposées, ses conditions et ses retours visuels sont vérifiables séparément.</x:v>
      </x:c>
      <x:c r="O15" s="9" t="str">
        <x:v>ME3-ENM-BANSHEE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ME3-ANI-BRUTE</x:v>
      </x:c>
      <x:c r="B16" s="7" t="str">
        <x:v>Brute — charge arrêtée</x:v>
      </x:c>
      <x:c r="C16" s="15" t="str">
        <x:v>Défini</x:v>
      </x:c>
      <x:c r="D16" s="17" t="str">
        <x:v>Extrapolation</x:v>
      </x:c>
      <x:c r="E16" s="17" t="str">
        <x:v>P1</x:v>
      </x:c>
      <x:c r="F16" s="7" t="str">
        <x:v>Livrable original proposé : Brute — charge arrêtée.</x:v>
      </x:c>
      <x:c r="G16" s="7" t="str">
        <x:v>Épaules baissées, poussée, collision puis déstabilisation ; pas de correction de trajectoire invisible après charge.</x:v>
      </x:c>
      <x:c r="H16" s="7" t="str">
        <x:v>Épaules baissées, poussée, collision puis déstabilisation ; pas de correction de trajectoire invisible après charge.</x:v>
      </x:c>
      <x:c r="I16" s="7" t="str">
        <x:v>Masse projetée et poussière.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me3/animations/brute ; rattacher les ressources et états cités à cet identifiant. Aucun fichier de jeu créé par ce catalogue.</x:v>
      </x:c>
      <x:c r="M16" s="7" t="str"/>
      <x:c r="N16" s="7" t="str">
        <x:v>Le livrable « Brute — charge arrêtée » possède une scène ou un scénario de contrôle ; ses règles proposées, ses conditions et ses retours visuels sont vérifiables séparément.</x:v>
      </x:c>
      <x:c r="O16" s="7" t="str">
        <x:v>ME3-ENM-BRUTE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ME3-ANI-ATLAS</x:v>
      </x:c>
      <x:c r="B17" s="9" t="str">
        <x:v>Atlas — marche et cockpit</x:v>
      </x:c>
      <x:c r="C17" s="15" t="str">
        <x:v>Défini</x:v>
      </x:c>
      <x:c r="D17" s="16" t="str">
        <x:v>Extrapolation</x:v>
      </x:c>
      <x:c r="E17" s="16" t="str">
        <x:v>P1</x:v>
      </x:c>
      <x:c r="F17" s="9" t="str">
        <x:v>Livrable original proposé : Atlas — marche et cockpit.</x:v>
      </x:c>
      <x:c r="G17" s="9" t="str">
        <x:v>Cycle lourd sans déplacer artificiellement la hitbox ; ouverture et destruction de vitre sont états séparés si utilisés.</x:v>
      </x:c>
      <x:c r="H17" s="9" t="str">
        <x:v>Cycle lourd sans déplacer artificiellement la hitbox ; ouverture et destruction de vitre sont états séparés si utilisés.</x:v>
      </x:c>
      <x:c r="I17" s="9" t="str">
        <x:v>Pistons, genoux et cockpit.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me3/animations/atlas ; rattacher les ressources et états cités à cet identifiant. Aucun fichier de jeu créé par ce catalogue.</x:v>
      </x:c>
      <x:c r="M17" s="9" t="str"/>
      <x:c r="N17" s="9" t="str">
        <x:v>Le livrable « Atlas — marche et cockpit » possède une scène ou un scénario de contrôle ; ses règles proposées, ses conditions et ses retours visuels sont vérifiables séparément.</x:v>
      </x:c>
      <x:c r="O17" s="9" t="str">
        <x:v>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ME3-ANI-RAVAGER</x:v>
      </x:c>
      <x:c r="B18" s="7" t="str">
        <x:v>Ravager — sacs et émergence</x:v>
      </x:c>
      <x:c r="C18" s="15" t="str">
        <x:v>Défini</x:v>
      </x:c>
      <x:c r="D18" s="17" t="str">
        <x:v>Extrapolation</x:v>
      </x:c>
      <x:c r="E18" s="17" t="str">
        <x:v>P1</x:v>
      </x:c>
      <x:c r="F18" s="7" t="str">
        <x:v>Livrable original proposé : Ravager — sacs et émergence.</x:v>
      </x:c>
      <x:c r="G18" s="7" t="str">
        <x:v>Réaction locale à la rupture d’un sac ; Swarmers apparaissent à emplacements libres et non sur pieds alliés.</x:v>
      </x:c>
      <x:c r="H18" s="7" t="str">
        <x:v>Réaction locale à la rupture d’un sac ; Swarmers apparaissent à emplacements libres et non sur pieds alliés.</x:v>
      </x:c>
      <x:c r="I18" s="7" t="str">
        <x:v>Sacs pulsants et petites sorties.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me3/animations/ravager ; rattacher les ressources et états cités à cet identifiant. Aucun fichier de jeu créé par ce catalogue.</x:v>
      </x:c>
      <x:c r="M18" s="7" t="str"/>
      <x:c r="N18" s="7" t="str">
        <x:v>Le livrable « Ravager — sacs et émergence » possède une scène ou un scénario de contrôle ; ses règles proposées, ses conditions et ses retours visuels sont vérifiables séparément.</x:v>
      </x:c>
      <x:c r="O18" s="7" t="str">
        <x:v>ME3-ENM-RAVAGER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ME3-ANI-ADJUTANT</x:v>
      </x:c>
      <x:c r="B19" s="9" t="str">
        <x:v>Adjutant — bond annoncé</x:v>
      </x:c>
      <x:c r="C19" s="15" t="str">
        <x:v>Défini</x:v>
      </x:c>
      <x:c r="D19" s="16" t="str">
        <x:v>Extrapolation</x:v>
      </x:c>
      <x:c r="E19" s="16" t="str">
        <x:v>P1</x:v>
      </x:c>
      <x:c r="F19" s="9" t="str">
        <x:v>Livrable original proposé : Adjutant — bond annoncé.</x:v>
      </x:c>
      <x:c r="G19" s="9" t="str">
        <x:v>Compression du corps, ombre d’arrivée et bond ; contact seulement après réception valide.</x:v>
      </x:c>
      <x:c r="H19" s="9" t="str">
        <x:v>Compression du corps, ombre d’arrivée et bond ; contact seulement après réception valide.</x:v>
      </x:c>
      <x:c r="I19" s="9" t="str">
        <x:v>Grande silhouette en arc.</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me3/animations/adjutant ; rattacher les ressources et états cités à cet identifiant. Aucun fichier de jeu créé par ce catalogue.</x:v>
      </x:c>
      <x:c r="M19" s="9" t="str"/>
      <x:c r="N19" s="9" t="str">
        <x:v>Le livrable « Adjutant — bond annoncé » possède une scène ou un scénario de contrôle ; ses règles proposées, ses conditions et ses retours visuels sont vérifiables séparément.</x:v>
      </x:c>
      <x:c r="O19" s="9" t="str">
        <x:v>ME3-ENM-ADJUTANT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ME3-ANI-CLONE</x:v>
      </x:c>
      <x:c r="B20" s="7" t="str">
        <x:v>Clone — miroir de classe</x:v>
      </x:c>
      <x:c r="C20" s="15" t="str">
        <x:v>Défini</x:v>
      </x:c>
      <x:c r="D20" s="17" t="str">
        <x:v>Extrapolation</x:v>
      </x:c>
      <x:c r="E20" s="17" t="str">
        <x:v>P1</x:v>
      </x:c>
      <x:c r="F20" s="7" t="str">
        <x:v>Livrable original proposé : Clone — miroir de classe.</x:v>
      </x:c>
      <x:c r="G20" s="7" t="str">
        <x:v>Conserver le modèle personnalisé et varier les gestes selon classe ; ne pas reproduire une arme absente du loadout de boss.</x:v>
      </x:c>
      <x:c r="H20" s="7" t="str">
        <x:v>Conserver le modèle personnalisé et varier les gestes selon classe ; ne pas reproduire une arme absente du loadout de boss.</x:v>
      </x:c>
      <x:c r="I20" s="7" t="str">
        <x:v>Silhouette Shepard avec posture hostile.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me3/animations/clone ; rattacher les ressources et états cités à cet identifiant. Aucun fichier de jeu créé par ce catalogue.</x:v>
      </x:c>
      <x:c r="M20" s="7" t="str"/>
      <x:c r="N20" s="7" t="str">
        <x:v>Le livrable « Clone — miroir de classe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ME3-ANI-DIALOGUE</x:v>
      </x:c>
      <x:c r="B21" s="9" t="str">
        <x:v>Visages et regard en conversation</x:v>
      </x:c>
      <x:c r="C21" s="15" t="str">
        <x:v>Défini</x:v>
      </x:c>
      <x:c r="D21" s="16" t="str">
        <x:v>Extrapolation</x:v>
      </x:c>
      <x:c r="E21" s="16" t="str">
        <x:v>P1</x:v>
      </x:c>
      <x:c r="F21" s="9" t="str">
        <x:v>Livrable original proposé : Visages et regard en conversation.</x:v>
      </x:c>
      <x:c r="G21" s="9" t="str">
        <x:v>Jeu de bouches original sobre, regard sur interlocuteur actif ; distances de caméra compatibles avec aliens à yeux multiples.</x:v>
      </x:c>
      <x:c r="H21" s="9" t="str">
        <x:v>Jeu de bouches original sobre, regard sur interlocuteur actif ; distances de caméra compatibles avec aliens à yeux multiples.</x:v>
      </x:c>
      <x:c r="I21" s="9" t="str">
        <x:v>Portraits et buste en surimpression.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me3/animations/dialogue ; rattacher les ressources et états cités à cet identifiant. Aucun fichier de jeu créé par ce catalogue.</x:v>
      </x:c>
      <x:c r="M21" s="9" t="str"/>
      <x:c r="N21" s="9" t="str">
        <x:v>Le livrable « Visages et regard en conversation » possède une scène ou un scénario de contrôle ; ses règles proposées, ses conditions et ses retours visuels sont vérifiables séparément.</x:v>
      </x:c>
      <x:c r="O21" s="9" t="str">
        <x:v>ME3-CHR-JAVIK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ME3-ANI-CIVILIANS</x:v>
      </x:c>
      <x:c r="B22" s="7" t="str">
        <x:v>Évacuation des civils</x:v>
      </x:c>
      <x:c r="C22" s="15" t="str">
        <x:v>Défini</x:v>
      </x:c>
      <x:c r="D22" s="17" t="str">
        <x:v>Extrapolation</x:v>
      </x:c>
      <x:c r="E22" s="17" t="str">
        <x:v>P1</x:v>
      </x:c>
      <x:c r="F22" s="7" t="str">
        <x:v>Livrable original proposé : Évacuation des civils.</x:v>
      </x:c>
      <x:c r="G22" s="7" t="str">
        <x:v>Groupes courts avec espace autour des sprites ; panique, arrêt et reprise sans collision en boucle devant porte.</x:v>
      </x:c>
      <x:c r="H22" s="7" t="str">
        <x:v>Groupes courts avec espace autour des sprites ; panique, arrêt et reprise sans collision en boucle devant porte.</x:v>
      </x:c>
      <x:c r="I22" s="7" t="str">
        <x:v>Marche pressée et mains de protection.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me3/animations/civilians ; rattacher les ressources et états cités à cet identifiant. Aucun fichier de jeu créé par ce catalogue.</x:v>
      </x:c>
      <x:c r="M22" s="7" t="str"/>
      <x:c r="N22" s="7" t="str">
        <x:v>Le livrable « Évacuation des civils » possède une scène ou un scénario de contrôle ; ses règles proposées, ses conditions et ses retours visuels sont vérifiables séparément.</x:v>
      </x:c>
      <x:c r="O22" s="7" t="str">
        <x:v>ME3-SQ-GRISSOM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ME3-ANI-PARTY</x:v>
      </x:c>
      <x:c r="B23" s="9" t="str">
        <x:v>Gestes sociaux de la fête</x:v>
      </x:c>
      <x:c r="C23" s="15" t="str">
        <x:v>Défini</x:v>
      </x:c>
      <x:c r="D23" s="16" t="str">
        <x:v>Extrapolation</x:v>
      </x:c>
      <x:c r="E23" s="16" t="str">
        <x:v>P1</x:v>
      </x:c>
      <x:c r="F23" s="9" t="str">
        <x:v>Livrable original proposé : Gestes sociaux de la fête.</x:v>
      </x:c>
      <x:c r="G23" s="9" t="str">
        <x:v>S’asseoir, boire, rire et danser avec ancres de meubles ; vérifier variantes grandes/petites silhouettes.</x:v>
      </x:c>
      <x:c r="H23" s="9" t="str">
        <x:v>S’asseoir, boire, rire et danser avec ancres de meubles ; vérifier variantes grandes/petites silhouettes.</x:v>
      </x:c>
      <x:c r="I23" s="9" t="str">
        <x:v>Groupes de salon et piste improvisée.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me3/animations/party ; rattacher les ressources et états cités à cet identifiant. Aucun fichier de jeu créé par ce catalogue.</x:v>
      </x:c>
      <x:c r="M23" s="9" t="str"/>
      <x:c r="N23" s="9" t="str">
        <x:v>Le livrable « Gestes sociaux de la fête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76" priority="1" operator="equal">
      <x:formula>"À vérifier"</x:formula>
    </x:cfRule>
    <x:cfRule type="cellIs" dxfId="77" priority="2" operator="equal">
      <x:formula>"Extrapolation"</x:formula>
    </x:cfRule>
  </x:conditionalFormatting>
  <x:conditionalFormatting sqref="C7:C23">
    <x:cfRule type="cellIs" dxfId="78" priority="3" operator="equal">
      <x:formula>"Validé"</x:formula>
    </x:cfRule>
  </x:conditionalFormatting>
  <x:conditionalFormatting sqref="E7:E23">
    <x:cfRule type="cellIs" dxfId="79"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efde72dfce3d469b"/>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3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ME3-SPR-CHR-SHEPARD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personnalisation et cicatrices importées.</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me3/sprites/chr-shepard ; rattacher les ressources et états cités à cet identifiant. Aucun fichier de jeu créé par ce catalogue.</x:v>
      </x:c>
      <x:c r="M7" s="9" t="str"/>
      <x:c r="N7" s="9" t="str">
        <x:v>À l’échelle de jeu, Commandant Shepard est identifiable en silhouette ; pivot aux pieds, masque de profondeur et huit orientations proposés restent stables devant les couverts.</x:v>
      </x:c>
      <x:c r="O7" s="9" t="str">
        <x:v>ME3-CHR-SHEPARD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ME3-SPR-CHR-JAMES</x:v>
      </x:c>
      <x:c r="B8" s="7" t="str">
        <x:v>Planche sprites — James Vega</x:v>
      </x:c>
      <x:c r="C8" s="15" t="str">
        <x:v>Défini</x:v>
      </x:c>
      <x:c r="D8" s="17" t="str">
        <x:v>Extrapolation</x:v>
      </x:c>
      <x:c r="E8" s="17" t="str">
        <x:v>P1</x:v>
      </x:c>
      <x:c r="F8" s="7" t="str">
        <x:v>Livrable original proposé : Planche sprites — James Vega.</x:v>
      </x:c>
      <x:c r="G8" s="7" t="str">
        <x:v>Produire une planche originale de James Vega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Carrure massive, coupe courte et armure Alliance.</x:v>
      </x:c>
      <x:c r="J8" s="7" t="str">
        <x:v>Prévoir un état neutre, déplacement, préparation de l’action signature, impact reçu, mise à terre et retour en contrôle pour James Vega. Éviter la duplication miroir des signes asymétriques.</x:v>
      </x:c>
      <x:c r="K8" s="7" t="str">
        <x:v>Sans bande sonore embarquée dans la planche ; émettre uniquement des événements nommés vers le système audio pour éviter les doublons.</x:v>
      </x:c>
      <x:c r="L8" s="7" t="str">
        <x:v>Prévu : fiche de données me3/sprites/chr-james ; rattacher les ressources et états cités à cet identifiant. Aucun fichier de jeu créé par ce catalogue.</x:v>
      </x:c>
      <x:c r="M8" s="7" t="str"/>
      <x:c r="N8" s="7" t="str">
        <x:v>À l’échelle de jeu, James Vega est identifiable en silhouette ; pivot aux pieds, masque de profondeur et huit orientations proposés restent stables devant les couverts.</x:v>
      </x:c>
      <x:c r="O8" s="7" t="str">
        <x:v>ME3-CHR-JAMES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ME3-SPR-CHR-LIARA</x:v>
      </x:c>
      <x:c r="B9" s="9" t="str">
        <x:v>Planche sprites — Liara T’Soni</x:v>
      </x:c>
      <x:c r="C9" s="15" t="str">
        <x:v>Défini</x:v>
      </x:c>
      <x:c r="D9" s="16" t="str">
        <x:v>Extrapolation</x:v>
      </x:c>
      <x:c r="E9" s="16" t="str">
        <x:v>P1</x:v>
      </x:c>
      <x:c r="F9" s="9" t="str">
        <x:v>Livrable original proposé : Planche sprites — Liara T’Soni.</x:v>
      </x:c>
      <x:c r="G9" s="9" t="str">
        <x:v>Produire une planche originale de Liara T’Soni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claire, bleu asari, tenue de Courtier hors combat.</x:v>
      </x:c>
      <x:c r="J9" s="9" t="str">
        <x:v>Prévoir un état neutre, déplacement, préparation de l’action signature, impact reçu, mise à terre et retour en contrôle pour Liara T’Soni. Éviter la duplication miroir des signes asymétriques.</x:v>
      </x:c>
      <x:c r="K9" s="9" t="str">
        <x:v>Sans bande sonore embarquée dans la planche ; émettre uniquement des événements nommés vers le système audio pour éviter les doublons.</x:v>
      </x:c>
      <x:c r="L9" s="9" t="str">
        <x:v>Prévu : fiche de données me3/sprites/chr-liara ; rattacher les ressources et états cités à cet identifiant. Aucun fichier de jeu créé par ce catalogue.</x:v>
      </x:c>
      <x:c r="M9" s="9" t="str"/>
      <x:c r="N9" s="9" t="str">
        <x:v>À l’échelle de jeu, Liara T’Soni est identifiable en silhouette ; pivot aux pieds, masque de profondeur et huit orientations proposés restent stables devant les couverts.</x:v>
      </x:c>
      <x:c r="O9" s="9" t="str">
        <x:v>ME3-CHR-LIARA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ME3-SPR-CHR-GARRUS</x:v>
      </x:c>
      <x:c r="B10" s="7" t="str">
        <x:v>Planche sprites — Garrus Vakarian</x:v>
      </x:c>
      <x:c r="C10" s="15" t="str">
        <x:v>Défini</x:v>
      </x:c>
      <x:c r="D10" s="17" t="str">
        <x:v>Extrapolation</x:v>
      </x:c>
      <x:c r="E10" s="17" t="str">
        <x:v>P1</x:v>
      </x:c>
      <x:c r="F10" s="7" t="str">
        <x:v>Livrable original proposé : Planche sprites — Garrus Vakarian.</x:v>
      </x:c>
      <x:c r="G10" s="7" t="str">
        <x:v>Produire une planche originale de Garrus Vakarian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Armure bleue marquée et viseur asymétrique.</x:v>
      </x:c>
      <x:c r="J10" s="7" t="str">
        <x:v>Prévoir un état neutre, déplacement, préparation de l’action signature, impact reçu, mise à terre et retour en contrôle pour Garrus Vakarian. Éviter la duplication miroir des signes asymétriques.</x:v>
      </x:c>
      <x:c r="K10" s="7" t="str">
        <x:v>Sans bande sonore embarquée dans la planche ; émettre uniquement des événements nommés vers le système audio pour éviter les doublons.</x:v>
      </x:c>
      <x:c r="L10" s="7" t="str">
        <x:v>Prévu : fiche de données me3/sprites/chr-garrus ; rattacher les ressources et états cités à cet identifiant. Aucun fichier de jeu créé par ce catalogue.</x:v>
      </x:c>
      <x:c r="M10" s="7" t="str">
        <x:v>Survie ME2 requise.</x:v>
      </x:c>
      <x:c r="N10" s="7" t="str">
        <x:v>À l’échelle de jeu, Garrus Vakarian est identifiable en silhouette ; pivot aux pieds, masque de profondeur et huit orientations proposés restent stables devant les couverts.</x:v>
      </x:c>
      <x:c r="O10" s="7" t="str">
        <x:v>ME3-CHR-GARRUS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82" customHeight="1">
      <x:c r="A11" s="18" t="str">
        <x:v>ME3-SPR-CHR-EDI</x:v>
      </x:c>
      <x:c r="B11" s="9" t="str">
        <x:v>Planche sprites — EDI — corps synthétique</x:v>
      </x:c>
      <x:c r="C11" s="15" t="str">
        <x:v>Défini</x:v>
      </x:c>
      <x:c r="D11" s="16" t="str">
        <x:v>Extrapolation</x:v>
      </x:c>
      <x:c r="E11" s="16" t="str">
        <x:v>P1</x:v>
      </x:c>
      <x:c r="F11" s="9" t="str">
        <x:v>Livrable original proposé : Planche sprites — EDI — corps synthétique.</x:v>
      </x:c>
      <x:c r="G11" s="9" t="str">
        <x:v>Produire une planche originale de EDI — corps synthétique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Corps synthétique argenté et segments noirs.</x:v>
      </x:c>
      <x:c r="J11" s="9" t="str">
        <x:v>Prévoir un état neutre, déplacement, préparation de l’action signature, impact reçu, mise à terre et retour en contrôle pour EDI — corps synthétique. Éviter la duplication miroir des signes asymétriques.</x:v>
      </x:c>
      <x:c r="K11" s="9" t="str">
        <x:v>Sans bande sonore embarquée dans la planche ; émettre uniquement des événements nommés vers le système audio pour éviter les doublons.</x:v>
      </x:c>
      <x:c r="L11" s="9" t="str">
        <x:v>Prévu : fiche de données me3/sprites/chr-edi ; rattacher les ressources et états cités à cet identifiant. Aucun fichier de jeu créé par ce catalogue.</x:v>
      </x:c>
      <x:c r="M11" s="9" t="str"/>
      <x:c r="N11" s="9" t="str">
        <x:v>À l’échelle de jeu, EDI — corps synthétique est identifiable en silhouette ; pivot aux pieds, masque de profondeur et huit orientations proposés restent stables devant les couverts.</x:v>
      </x:c>
      <x:c r="O11" s="9" t="str">
        <x:v>ME3-CHR-EDI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ME3-SPR-CHR-JAVIK</x:v>
      </x:c>
      <x:c r="B12" s="7" t="str">
        <x:v>Planche sprites — Javik</x:v>
      </x:c>
      <x:c r="C12" s="15" t="str">
        <x:v>Défini</x:v>
      </x:c>
      <x:c r="D12" s="17" t="str">
        <x:v>Extrapolation</x:v>
      </x:c>
      <x:c r="E12" s="17" t="str">
        <x:v>P1</x:v>
      </x:c>
      <x:c r="F12" s="7" t="str">
        <x:v>Livrable original proposé : Planche sprites — Javik.</x:v>
      </x:c>
      <x:c r="G12" s="7" t="str">
        <x:v>Produire une planche originale de Javik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Carapace prothéenne, yeux multiples et armure rouge sombre.</x:v>
      </x:c>
      <x:c r="J12" s="7" t="str">
        <x:v>Prévoir un état neutre, déplacement, préparation de l’action signature, impact reçu, mise à terre et retour en contrôle pour Javik. Éviter la duplication miroir des signes asymétriques.</x:v>
      </x:c>
      <x:c r="K12" s="7" t="str">
        <x:v>Sans bande sonore embarquée dans la planche ; émettre uniquement des événements nommés vers le système audio pour éviter les doublons.</x:v>
      </x:c>
      <x:c r="L12" s="7" t="str">
        <x:v>Prévu : fiche de données me3/sprites/chr-javik ; rattacher les ressources et états cités à cet identifiant. Aucun fichier de jeu créé par ce catalogue.</x:v>
      </x:c>
      <x:c r="M12" s="7" t="str">
        <x:v>DLC / Legendary.</x:v>
      </x:c>
      <x:c r="N12" s="7" t="str">
        <x:v>À l’échelle de jeu, Javik est identifiable en silhouette ; pivot aux pieds, masque de profondeur et huit orientations proposés restent stables devant les couverts.</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ME3-SPR-CHR-ASHLEY</x:v>
      </x:c>
      <x:c r="B13" s="9" t="str">
        <x:v>Planche sprites — Ashley Williams</x:v>
      </x:c>
      <x:c r="C13" s="15" t="str">
        <x:v>Défini</x:v>
      </x:c>
      <x:c r="D13" s="16" t="str">
        <x:v>Extrapolation</x:v>
      </x:c>
      <x:c r="E13" s="16" t="str">
        <x:v>P1</x:v>
      </x:c>
      <x:c r="F13" s="9" t="str">
        <x:v>Livrable original proposé : Planche sprites — Ashley Williams.</x:v>
      </x:c>
      <x:c r="G13" s="9" t="str">
        <x:v>Produire une planche originale de Ashley Williams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Armure Alliance bleue, silhouette humaine et cheveux propres au modèle.</x:v>
      </x:c>
      <x:c r="J13" s="9" t="str">
        <x:v>Prévoir un état neutre, déplacement, préparation de l’action signature, impact reçu, mise à terre et retour en contrôle pour Ashley Williams. Éviter la duplication miroir des signes asymétriques.</x:v>
      </x:c>
      <x:c r="K13" s="9" t="str">
        <x:v>Sans bande sonore embarquée dans la planche ; émettre uniquement des événements nommés vers le système audio pour éviter les doublons.</x:v>
      </x:c>
      <x:c r="L13" s="9" t="str">
        <x:v>Prévu : fiche de données me3/sprites/chr-ashley ; rattacher les ressources et états cités à cet identifiant. Aucun fichier de jeu créé par ce catalogue.</x:v>
      </x:c>
      <x:c r="M13" s="9" t="str">
        <x:v>Exclusive de Kaidan ; autres conditions narratives.</x:v>
      </x:c>
      <x:c r="N13" s="9" t="str">
        <x:v>À l’échelle de jeu, Ashley Williams est identifiable en silhouette ; pivot aux pieds, masque de profondeur et huit orientations proposés restent stables devant les couverts.</x:v>
      </x:c>
      <x:c r="O13" s="9" t="str">
        <x:v>ME3-CHR-ASHLEY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ME3-SPR-CHR-KAIDAN</x:v>
      </x:c>
      <x:c r="B14" s="7" t="str">
        <x:v>Planche sprites — Kaidan Alenko</x:v>
      </x:c>
      <x:c r="C14" s="15" t="str">
        <x:v>Défini</x:v>
      </x:c>
      <x:c r="D14" s="17" t="str">
        <x:v>Extrapolation</x:v>
      </x:c>
      <x:c r="E14" s="17" t="str">
        <x:v>P1</x:v>
      </x:c>
      <x:c r="F14" s="7" t="str">
        <x:v>Livrable original proposé : Planche sprites — Kaidan Alenko.</x:v>
      </x:c>
      <x:c r="G14" s="7" t="str">
        <x:v>Produire une planche originale de Kaidan Alenko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Alliance et posture contenue.</x:v>
      </x:c>
      <x:c r="J14" s="7" t="str">
        <x:v>Prévoir un état neutre, déplacement, préparation de l’action signature, impact reçu, mise à terre et retour en contrôle pour Kaidan Alenko. Éviter la duplication miroir des signes asymétriques.</x:v>
      </x:c>
      <x:c r="K14" s="7" t="str">
        <x:v>Sans bande sonore embarquée dans la planche ; émettre uniquement des événements nommés vers le système audio pour éviter les doublons.</x:v>
      </x:c>
      <x:c r="L14" s="7" t="str">
        <x:v>Prévu : fiche de données me3/sprites/chr-kaidan ; rattacher les ressources et états cités à cet identifiant. Aucun fichier de jeu créé par ce catalogue.</x:v>
      </x:c>
      <x:c r="M14" s="7" t="str">
        <x:v>Exclusif d’Ashley ; autres conditions narratives.</x:v>
      </x:c>
      <x:c r="N14" s="7" t="str">
        <x:v>À l’échelle de jeu, Kaidan Alenko est identifiable en silhouette ; pivot aux pieds, masque de profondeur et huit orientations proposés restent stables devant les couverts.</x:v>
      </x:c>
      <x:c r="O14" s="7" t="str">
        <x:v>ME3-CHR-KAIDAN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82" customHeight="1">
      <x:c r="A15" s="18" t="str">
        <x:v>ME3-SPR-CHR-TALI</x:v>
      </x:c>
      <x:c r="B15" s="9" t="str">
        <x:v>Planche sprites — Tali’Zorah vas Normandy</x:v>
      </x:c>
      <x:c r="C15" s="15" t="str">
        <x:v>Défini</x:v>
      </x:c>
      <x:c r="D15" s="16" t="str">
        <x:v>Extrapolation</x:v>
      </x:c>
      <x:c r="E15" s="16" t="str">
        <x:v>P1</x:v>
      </x:c>
      <x:c r="F15" s="9" t="str">
        <x:v>Livrable original proposé : Planche sprites — Tali’Zorah vas Normandy.</x:v>
      </x:c>
      <x:c r="G15" s="9" t="str">
        <x:v>Produire une planche originale de Tali’Zorah vas Normandy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Capuche violette, visière et tenue quariène.</x:v>
      </x:c>
      <x:c r="J15" s="9" t="str">
        <x:v>Prévoir un état neutre, déplacement, préparation de l’action signature, impact reçu, mise à terre et retour en contrôle pour Tali’Zorah vas Normandy. Éviter la duplication miroir des signes asymétriques.</x:v>
      </x:c>
      <x:c r="K15" s="9" t="str">
        <x:v>Sans bande sonore embarquée dans la planche ; émettre uniquement des événements nommés vers le système audio pour éviter les doublons.</x:v>
      </x:c>
      <x:c r="L15" s="9" t="str">
        <x:v>Prévu : fiche de données me3/sprites/chr-tali ; rattacher les ressources et états cités à cet identifiant. Aucun fichier de jeu créé par ce catalogue.</x:v>
      </x:c>
      <x:c r="M15" s="9" t="str">
        <x:v>Survie et dénouement Rannoch conditionnels.</x:v>
      </x:c>
      <x:c r="N15" s="9" t="str">
        <x:v>À l’échelle de jeu, Tali’Zorah vas Normandy est identifiable en silhouette ; pivot aux pieds, masque de profondeur et huit orientations proposés restent stables devant les couverts.</x:v>
      </x:c>
      <x:c r="O15" s="9" t="str">
        <x:v>ME3-CHR-TALI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82" customHeight="1">
      <x:c r="A16" s="19" t="str">
        <x:v>ME3-SPR-CHR-ANDERSON</x:v>
      </x:c>
      <x:c r="B16" s="7" t="str">
        <x:v>Planche sprites — David Anderson — temporaire</x:v>
      </x:c>
      <x:c r="C16" s="15" t="str">
        <x:v>Défini</x:v>
      </x:c>
      <x:c r="D16" s="17" t="str">
        <x:v>Extrapolation</x:v>
      </x:c>
      <x:c r="E16" s="17" t="str">
        <x:v>P1</x:v>
      </x:c>
      <x:c r="F16" s="7" t="str">
        <x:v>Livrable original proposé : Planche sprites — David Anderson — temporaire.</x:v>
      </x:c>
      <x:c r="G16" s="7" t="str">
        <x:v>Produire une planche originale de David Anderson — temporaire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Uniforme Alliance et arme de poing.</x:v>
      </x:c>
      <x:c r="J16" s="7" t="str">
        <x:v>Prévoir un état neutre, déplacement, préparation de l’action signature, impact reçu, mise à terre et retour en contrôle pour David Anderson — temporaire. Éviter la duplication miroir des signes asymétriques.</x:v>
      </x:c>
      <x:c r="K16" s="7" t="str">
        <x:v>Sans bande sonore embarquée dans la planche ; émettre uniquement des événements nommés vers le système audio pour éviter les doublons.</x:v>
      </x:c>
      <x:c r="L16" s="7" t="str">
        <x:v>Prévu : fiche de données me3/sprites/chr-anderson ; rattacher les ressources et états cités à cet identifiant. Aucun fichier de jeu créé par ce catalogue.</x:v>
      </x:c>
      <x:c r="M16" s="7" t="str">
        <x:v>Prologue seulement.</x:v>
      </x:c>
      <x:c r="N16" s="7" t="str">
        <x:v>À l’échelle de jeu, David Anderson — temporaire est identifiable en silhouette ; pivot aux pieds, masque de profondeur et huit orientations proposés restent stables devant les couverts.</x:v>
      </x:c>
      <x:c r="O16" s="7" t="str">
        <x:v>ME3-CHR-ANDERSON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82" customHeight="1">
      <x:c r="A17" s="18" t="str">
        <x:v>ME3-SPR-CHR-ARIA</x:v>
      </x:c>
      <x:c r="B17" s="9" t="str">
        <x:v>Planche sprites — Aria T’Loak — Omega</x:v>
      </x:c>
      <x:c r="C17" s="15" t="str">
        <x:v>Défini</x:v>
      </x:c>
      <x:c r="D17" s="16" t="str">
        <x:v>Extrapolation</x:v>
      </x:c>
      <x:c r="E17" s="16" t="str">
        <x:v>P1</x:v>
      </x:c>
      <x:c r="F17" s="9" t="str">
        <x:v>Livrable original proposé : Planche sprites — Aria T’Loak — Omega.</x:v>
      </x:c>
      <x:c r="G17" s="9" t="str">
        <x:v>Produire une planche originale de Aria T’Loak — Omega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Asari violette et tenue de commandement noire.</x:v>
      </x:c>
      <x:c r="J17" s="9" t="str">
        <x:v>Prévoir un état neutre, déplacement, préparation de l’action signature, impact reçu, mise à terre et retour en contrôle pour Aria T’Loak — Omega. Éviter la duplication miroir des signes asymétriques.</x:v>
      </x:c>
      <x:c r="K17" s="9" t="str">
        <x:v>Sans bande sonore embarquée dans la planche ; émettre uniquement des événements nommés vers le système audio pour éviter les doublons.</x:v>
      </x:c>
      <x:c r="L17" s="9" t="str">
        <x:v>Prévu : fiche de données me3/sprites/chr-aria ; rattacher les ressources et états cités à cet identifiant. Aucun fichier de jeu créé par ce catalogue.</x:v>
      </x:c>
      <x:c r="M17" s="9" t="str">
        <x:v>Omega seulement.</x:v>
      </x:c>
      <x:c r="N17" s="9" t="str">
        <x:v>À l’échelle de jeu, Aria T’Loak — Omega est identifiable en silhouette ; pivot aux pieds, masque de profondeur et huit orientations proposés restent stables devant les couverts.</x:v>
      </x:c>
      <x:c r="O17" s="9" t="str">
        <x:v>ME3-CHR-ARIA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82" customHeight="1">
      <x:c r="A18" s="19" t="str">
        <x:v>ME3-SPR-CHR-NYREEN</x:v>
      </x:c>
      <x:c r="B18" s="7" t="str">
        <x:v>Planche sprites — Nyreen Kandros — Omega</x:v>
      </x:c>
      <x:c r="C18" s="15" t="str">
        <x:v>Défini</x:v>
      </x:c>
      <x:c r="D18" s="17" t="str">
        <x:v>Extrapolation</x:v>
      </x:c>
      <x:c r="E18" s="17" t="str">
        <x:v>P1</x:v>
      </x:c>
      <x:c r="F18" s="7" t="str">
        <x:v>Livrable original proposé : Planche sprites — Nyreen Kandros — Omega.</x:v>
      </x:c>
      <x:c r="G18" s="7" t="str">
        <x:v>Produire une planche originale de Nyreen Kandros — Omega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Turienne, armure tactique et marque faciale.</x:v>
      </x:c>
      <x:c r="J18" s="7" t="str">
        <x:v>Prévoir un état neutre, déplacement, préparation de l’action signature, impact reçu, mise à terre et retour en contrôle pour Nyreen Kandros — Omega. Éviter la duplication miroir des signes asymétriques.</x:v>
      </x:c>
      <x:c r="K18" s="7" t="str">
        <x:v>Sans bande sonore embarquée dans la planche ; émettre uniquement des événements nommés vers le système audio pour éviter les doublons.</x:v>
      </x:c>
      <x:c r="L18" s="7" t="str">
        <x:v>Prévu : fiche de données me3/sprites/chr-nyreen ; rattacher les ressources et états cités à cet identifiant. Aucun fichier de jeu créé par ce catalogue.</x:v>
      </x:c>
      <x:c r="M18" s="7" t="str">
        <x:v>Omega seulement.</x:v>
      </x:c>
      <x:c r="N18" s="7" t="str">
        <x:v>À l’échelle de jeu, Nyreen Kandros — Omega est identifiable en silhouette ; pivot aux pieds, masque de profondeur et huit orientations proposés restent stables devant les couverts.</x:v>
      </x:c>
      <x:c r="O18" s="7" t="str">
        <x:v>ME3-CHR-NYREEN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82" customHeight="1">
      <x:c r="A19" s="18" t="str">
        <x:v>ME3-SPR-CHR-WREX</x:v>
      </x:c>
      <x:c r="B19" s="9" t="str">
        <x:v>Planche sprites — Urdnot Wrex — Citadel</x:v>
      </x:c>
      <x:c r="C19" s="15" t="str">
        <x:v>Défini</x:v>
      </x:c>
      <x:c r="D19" s="16" t="str">
        <x:v>Extrapolation</x:v>
      </x:c>
      <x:c r="E19" s="16" t="str">
        <x:v>P1</x:v>
      </x:c>
      <x:c r="F19" s="9" t="str">
        <x:v>Livrable original proposé : Planche sprites — Urdnot Wrex — Citadel.</x:v>
      </x:c>
      <x:c r="G19" s="9" t="str">
        <x:v>Produire une planche originale de Urdnot Wrex — Citadel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Grande carapace rouge et armure lourde.</x:v>
      </x:c>
      <x:c r="J19" s="9" t="str">
        <x:v>Prévoir un état neutre, déplacement, préparation de l’action signature, impact reçu, mise à terre et retour en contrôle pour Urdnot Wrex — Citadel. Éviter la duplication miroir des signes asymétriques.</x:v>
      </x:c>
      <x:c r="K19" s="9" t="str">
        <x:v>Sans bande sonore embarquée dans la planche ; émettre uniquement des événements nommés vers le système audio pour éviter les doublons.</x:v>
      </x:c>
      <x:c r="L19" s="9" t="str">
        <x:v>Prévu : fiche de données me3/sprites/chr-wrex ; rattacher les ressources et états cités à cet identifiant. Aucun fichier de jeu créé par ce catalogue.</x:v>
      </x:c>
      <x:c r="M19" s="9" t="str">
        <x:v>Vivant ; extension Citadel uniquement hors arène.</x:v>
      </x:c>
      <x:c r="N19" s="9" t="str">
        <x:v>À l’échelle de jeu, Urdnot Wrex — Citadel est identifiable en silhouette ; pivot aux pieds, masque de profondeur et huit orientations proposés restent stables devant les couverts.</x:v>
      </x:c>
      <x:c r="O19" s="9" t="str">
        <x:v>ME3-CHR-WREX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82" customHeight="1">
      <x:c r="A20" s="19" t="str">
        <x:v>ME3-SPR-CHR-ARENA-GRUNT</x:v>
      </x:c>
      <x:c r="B20" s="7" t="str">
        <x:v>Planche sprites — Grunt — Armax uniquement</x:v>
      </x:c>
      <x:c r="C20" s="15" t="str">
        <x:v>Défini</x:v>
      </x:c>
      <x:c r="D20" s="17" t="str">
        <x:v>Extrapolation</x:v>
      </x:c>
      <x:c r="E20" s="17" t="str">
        <x:v>P1</x:v>
      </x:c>
      <x:c r="F20" s="7" t="str">
        <x:v>Livrable original proposé : Planche sprites — Grunt — Armax uniquement.</x:v>
      </x:c>
      <x:c r="G20" s="7" t="str">
        <x:v>Produire une planche originale de Grunt — Armax uniquement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Carapace claire et armure krogan.</x:v>
      </x:c>
      <x:c r="J20" s="7" t="str">
        <x:v>Prévoir un état neutre, déplacement, préparation de l’action signature, impact reçu, mise à terre et retour en contrôle pour Grunt — Armax uniquement. Éviter la duplication miroir des signes asymétriques.</x:v>
      </x:c>
      <x:c r="K20" s="7" t="str">
        <x:v>Sans bande sonore embarquée dans la planche ; émettre uniquement des événements nommés vers le système audio pour éviter les doublons.</x:v>
      </x:c>
      <x:c r="L20" s="7" t="str">
        <x:v>Prévu : fiche de données me3/sprites/chr-arena-grunt ; rattacher les ressources et états cités à cet identifiant. Aucun fichier de jeu créé par ce catalogue.</x:v>
      </x:c>
      <x:c r="M20" s="7" t="str">
        <x:v>Simulateur Armax ; survie requise.</x:v>
      </x:c>
      <x:c r="N20" s="7" t="str">
        <x:v>À l’échelle de jeu, Grunt — Armax uniquement est identifiable en silhouette ; pivot aux pieds, masque de profondeur et huit orientations proposés restent stables devant les couverts.</x:v>
      </x:c>
      <x:c r="O20" s="7" t="str">
        <x:v>ME3-CHR-ARENA-GRUNT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ME3-SPR-CHR-ARENA-JACK</x:v>
      </x:c>
      <x:c r="B21" s="9" t="str">
        <x:v>Planche sprites — Jack — Armax uniquement</x:v>
      </x:c>
      <x:c r="C21" s="15" t="str">
        <x:v>Défini</x:v>
      </x:c>
      <x:c r="D21" s="16" t="str">
        <x:v>Extrapolation</x:v>
      </x:c>
      <x:c r="E21" s="16" t="str">
        <x:v>P1</x:v>
      </x:c>
      <x:c r="F21" s="9" t="str">
        <x:v>Livrable original proposé : Planche sprites — Jack — Armax uniquement.</x:v>
      </x:c>
      <x:c r="G21" s="9" t="str">
        <x:v>Produire une planche originale de Jack — Armax uniquement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Tatouages, tenue ME3 et coupe propre à ME3.</x:v>
      </x:c>
      <x:c r="J21" s="9" t="str">
        <x:v>Prévoir un état neutre, déplacement, préparation de l’action signature, impact reçu, mise à terre et retour en contrôle pour Jack — Armax uniquement. Éviter la duplication miroir des signes asymétriques.</x:v>
      </x:c>
      <x:c r="K21" s="9" t="str">
        <x:v>Sans bande sonore embarquée dans la planche ; émettre uniquement des événements nommés vers le système audio pour éviter les doublons.</x:v>
      </x:c>
      <x:c r="L21" s="9" t="str">
        <x:v>Prévu : fiche de données me3/sprites/chr-arena-jack ; rattacher les ressources et états cités à cet identifiant. Aucun fichier de jeu créé par ce catalogue.</x:v>
      </x:c>
      <x:c r="M21" s="9" t="str">
        <x:v>Simulateur Armax ; survie requise.</x:v>
      </x:c>
      <x:c r="N21" s="9" t="str">
        <x:v>À l’échelle de jeu, Jack — Armax uniquement est identifiable en silhouette ; pivot aux pieds, masque de profondeur et huit orientations proposés restent stables devant les couverts.</x:v>
      </x:c>
      <x:c r="O21" s="9" t="str">
        <x:v>ME3-CHR-ARENA-JACK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ME3-SPR-CHR-ARENA-JACOB</x:v>
      </x:c>
      <x:c r="B22" s="7" t="str">
        <x:v>Planche sprites — Jacob Taylor — Armax uniquement</x:v>
      </x:c>
      <x:c r="C22" s="15" t="str">
        <x:v>Défini</x:v>
      </x:c>
      <x:c r="D22" s="17" t="str">
        <x:v>Extrapolation</x:v>
      </x:c>
      <x:c r="E22" s="17" t="str">
        <x:v>P1</x:v>
      </x:c>
      <x:c r="F22" s="7" t="str">
        <x:v>Livrable original proposé : Planche sprites — Jacob Taylor — Armax uniquement.</x:v>
      </x:c>
      <x:c r="G22" s="7" t="str">
        <x:v>Produire une planche originale de Jacob Taylor — Armax uniquement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Tenue de combat d’ex-Cerberus.</x:v>
      </x:c>
      <x:c r="J22" s="7" t="str">
        <x:v>Prévoir un état neutre, déplacement, préparation de l’action signature, impact reçu, mise à terre et retour en contrôle pour Jacob Taylor — Armax uniquement. Éviter la duplication miroir des signes asymétriques.</x:v>
      </x:c>
      <x:c r="K22" s="7" t="str">
        <x:v>Sans bande sonore embarquée dans la planche ; émettre uniquement des événements nommés vers le système audio pour éviter les doublons.</x:v>
      </x:c>
      <x:c r="L22" s="7" t="str">
        <x:v>Prévu : fiche de données me3/sprites/chr-arena-jacob ; rattacher les ressources et états cités à cet identifiant. Aucun fichier de jeu créé par ce catalogue.</x:v>
      </x:c>
      <x:c r="M22" s="7" t="str">
        <x:v>Simulateur Armax ; survie requise.</x:v>
      </x:c>
      <x:c r="N22" s="7" t="str">
        <x:v>À l’échelle de jeu, Jacob Taylor — Armax uniquement est identifiable en silhouette ; pivot aux pieds, masque de profondeur et huit orientations proposés restent stables devant les couverts.</x:v>
      </x:c>
      <x:c r="O22" s="7" t="str">
        <x:v>ME3-CHR-ARENA-JACOB</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ME3-SPR-CHR-ARENA-KASUMI</x:v>
      </x:c>
      <x:c r="B23" s="9" t="str">
        <x:v>Planche sprites — Kasumi Goto — Armax uniquement</x:v>
      </x:c>
      <x:c r="C23" s="15" t="str">
        <x:v>Défini</x:v>
      </x:c>
      <x:c r="D23" s="16" t="str">
        <x:v>Extrapolation</x:v>
      </x:c>
      <x:c r="E23" s="16" t="str">
        <x:v>P1</x:v>
      </x:c>
      <x:c r="F23" s="9" t="str">
        <x:v>Livrable original proposé : Planche sprites — Kasumi Goto — Armax uniquement.</x:v>
      </x:c>
      <x:c r="G23" s="9" t="str">
        <x:v>Produire une planche originale de Kasumi Goto — Armax uniquement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Capuche et couleurs de tenue connues.</x:v>
      </x:c>
      <x:c r="J23" s="9" t="str">
        <x:v>Prévoir un état neutre, déplacement, préparation de l’action signature, impact reçu, mise à terre et retour en contrôle pour Kasumi Goto — Armax uniquement. Éviter la duplication miroir des signes asymétriques.</x:v>
      </x:c>
      <x:c r="K23" s="9" t="str">
        <x:v>Sans bande sonore embarquée dans la planche ; émettre uniquement des événements nommés vers le système audio pour éviter les doublons.</x:v>
      </x:c>
      <x:c r="L23" s="9" t="str">
        <x:v>Prévu : fiche de données me3/sprites/chr-arena-kasumi ; rattacher les ressources et états cités à cet identifiant. Aucun fichier de jeu créé par ce catalogue.</x:v>
      </x:c>
      <x:c r="M23" s="9" t="str">
        <x:v>Simulateur Armax ; survie requise.</x:v>
      </x:c>
      <x:c r="N23" s="9" t="str">
        <x:v>À l’échelle de jeu, Kasumi Goto — Armax uniquement est identifiable en silhouette ; pivot aux pieds, masque de profondeur et huit orientations proposés restent stables devant les couverts.</x:v>
      </x:c>
      <x:c r="O23" s="9" t="str">
        <x:v>ME3-CHR-ARENA-KASUMI</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82" customHeight="1">
      <x:c r="A24" s="19" t="str">
        <x:v>ME3-SPR-CHR-ARENA-MIRANDA</x:v>
      </x:c>
      <x:c r="B24" s="7" t="str">
        <x:v>Planche sprites — Miranda Lawson — Armax uniquement</x:v>
      </x:c>
      <x:c r="C24" s="15" t="str">
        <x:v>Défini</x:v>
      </x:c>
      <x:c r="D24" s="17" t="str">
        <x:v>Extrapolation</x:v>
      </x:c>
      <x:c r="E24" s="17" t="str">
        <x:v>P1</x:v>
      </x:c>
      <x:c r="F24" s="7" t="str">
        <x:v>Livrable original proposé : Planche sprites — Miranda Lawson — Armax uniquement.</x:v>
      </x:c>
      <x:c r="G24" s="7" t="str">
        <x:v>Produire une planche originale de Miranda Lawson — Armax uniquement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Combinaison claire et noire.</x:v>
      </x:c>
      <x:c r="J24" s="7" t="str">
        <x:v>Prévoir un état neutre, déplacement, préparation de l’action signature, impact reçu, mise à terre et retour en contrôle pour Miranda Lawson — Armax uniquement. Éviter la duplication miroir des signes asymétriques.</x:v>
      </x:c>
      <x:c r="K24" s="7" t="str">
        <x:v>Sans bande sonore embarquée dans la planche ; émettre uniquement des événements nommés vers le système audio pour éviter les doublons.</x:v>
      </x:c>
      <x:c r="L24" s="7" t="str">
        <x:v>Prévu : fiche de données me3/sprites/chr-arena-miranda ; rattacher les ressources et états cités à cet identifiant. Aucun fichier de jeu créé par ce catalogue.</x:v>
      </x:c>
      <x:c r="M24" s="7" t="str">
        <x:v>Simulateur Armax ; survie requise.</x:v>
      </x:c>
      <x:c r="N24" s="7" t="str">
        <x:v>À l’échelle de jeu, Miranda Lawson — Armax uniquement est identifiable en silhouette ; pivot aux pieds, masque de profondeur et huit orientations proposés restent stables devant les couverts.</x:v>
      </x:c>
      <x:c r="O24" s="7" t="str">
        <x:v>ME3-CHR-ARENA-MIRANDA</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ME3-SPR-CHR-ARENA-SAMARA</x:v>
      </x:c>
      <x:c r="B25" s="9" t="str">
        <x:v>Planche sprites — Samara — Armax uniquement</x:v>
      </x:c>
      <x:c r="C25" s="15" t="str">
        <x:v>Défini</x:v>
      </x:c>
      <x:c r="D25" s="16" t="str">
        <x:v>Extrapolation</x:v>
      </x:c>
      <x:c r="E25" s="16" t="str">
        <x:v>P1</x:v>
      </x:c>
      <x:c r="F25" s="9" t="str">
        <x:v>Livrable original proposé : Planche sprites — Samara — Armax uniquement.</x:v>
      </x:c>
      <x:c r="G25" s="9" t="str">
        <x:v>Produire une planche originale de Samara — Armax uniquement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rouge et posture droite.</x:v>
      </x:c>
      <x:c r="J25" s="9" t="str">
        <x:v>Prévoir un état neutre, déplacement, préparation de l’action signature, impact reçu, mise à terre et retour en contrôle pour Samara — Armax uniquement. Éviter la duplication miroir des signes asymétriques.</x:v>
      </x:c>
      <x:c r="K25" s="9" t="str">
        <x:v>Sans bande sonore embarquée dans la planche ; émettre uniquement des événements nommés vers le système audio pour éviter les doublons.</x:v>
      </x:c>
      <x:c r="L25" s="9" t="str">
        <x:v>Prévu : fiche de données me3/sprites/chr-arena-samara ; rattacher les ressources et états cités à cet identifiant. Aucun fichier de jeu créé par ce catalogue.</x:v>
      </x:c>
      <x:c r="M25" s="9" t="str">
        <x:v>Simulateur Armax ; survie requise.</x:v>
      </x:c>
      <x:c r="N25" s="9" t="str">
        <x:v>À l’échelle de jeu, Samara — Armax uniquement est identifiable en silhouette ; pivot aux pieds, masque de profondeur et huit orientations proposés restent stables devant les couverts.</x:v>
      </x:c>
      <x:c r="O25" s="9" t="str">
        <x:v>ME3-CHR-ARENA-SAMARA</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ME3-SPR-CHR-ARENA-ZAEED</x:v>
      </x:c>
      <x:c r="B26" s="7" t="str">
        <x:v>Planche sprites — Zaeed Massani — Armax uniquement</x:v>
      </x:c>
      <x:c r="C26" s="15" t="str">
        <x:v>Défini</x:v>
      </x:c>
      <x:c r="D26" s="17" t="str">
        <x:v>Extrapolation</x:v>
      </x:c>
      <x:c r="E26" s="17" t="str">
        <x:v>P1</x:v>
      </x:c>
      <x:c r="F26" s="7" t="str">
        <x:v>Livrable original proposé : Planche sprites — Zaeed Massani — Armax uniquement.</x:v>
      </x:c>
      <x:c r="G26" s="7" t="str">
        <x:v>Produire une planche originale de Zaeed Massani — Armax uniquement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Armure usée et visage marqué.</x:v>
      </x:c>
      <x:c r="J26" s="7" t="str">
        <x:v>Prévoir un état neutre, déplacement, préparation de l’action signature, impact reçu, mise à terre et retour en contrôle pour Zaeed Massani — Armax uniquement. Éviter la duplication miroir des signes asymétriques.</x:v>
      </x:c>
      <x:c r="K26" s="7" t="str">
        <x:v>Sans bande sonore embarquée dans la planche ; émettre uniquement des événements nommés vers le système audio pour éviter les doublons.</x:v>
      </x:c>
      <x:c r="L26" s="7" t="str">
        <x:v>Prévu : fiche de données me3/sprites/chr-arena-zaeed ; rattacher les ressources et états cités à cet identifiant. Aucun fichier de jeu créé par ce catalogue.</x:v>
      </x:c>
      <x:c r="M26" s="7" t="str">
        <x:v>Simulateur Armax ; survie requise.</x:v>
      </x:c>
      <x:c r="N26" s="7" t="str">
        <x:v>À l’échelle de jeu, Zaeed Massani — Armax uniquement est identifiable en silhouette ; pivot aux pieds, masque de profondeur et huit orientations proposés restent stables devant les couverts.</x:v>
      </x:c>
      <x:c r="O26" s="7" t="str">
        <x:v>ME3-CHR-ARENA-ZAEED</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82" customHeight="1">
      <x:c r="A27" s="18" t="str">
        <x:v>ME3-SPR-ENM-ASSAULT</x:v>
      </x:c>
      <x:c r="B27" s="9" t="str">
        <x:v>Planche sprites — Cerberus Assault Trooper</x:v>
      </x:c>
      <x:c r="C27" s="15" t="str">
        <x:v>Défini</x:v>
      </x:c>
      <x:c r="D27" s="16" t="str">
        <x:v>Extrapolation</x:v>
      </x:c>
      <x:c r="E27" s="16" t="str">
        <x:v>P1</x:v>
      </x:c>
      <x:c r="F27" s="9" t="str">
        <x:v>Livrable original proposé : Planche sprites — Cerberus Assault Trooper.</x:v>
      </x:c>
      <x:c r="G27" s="9" t="str">
        <x:v>Produire une planche originale de Cerberus Assault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blanche, noir et visière rouge.</x:v>
      </x:c>
      <x:c r="J27" s="9" t="str">
        <x:v>Prévoir un état neutre, déplacement, préparation de l’action signature, impact reçu, mise à terre et retour en contrôle pour Cerberus Assault Trooper. Éviter la duplication miroir des signes asymétriques.</x:v>
      </x:c>
      <x:c r="K27" s="9" t="str">
        <x:v>Sans bande sonore embarquée dans la planche ; émettre uniquement des événements nommés vers le système audio pour éviter les doublons.</x:v>
      </x:c>
      <x:c r="L27" s="9" t="str">
        <x:v>Prévu : fiche de données me3/sprites/enm-assault ; rattacher les ressources et états cités à cet identifiant. Aucun fichier de jeu créé par ce catalogue.</x:v>
      </x:c>
      <x:c r="M27" s="9" t="str">
        <x:v>Campagne et simulation.</x:v>
      </x:c>
      <x:c r="N27" s="9" t="str">
        <x:v>À l’échelle de jeu, Cerberus Assault Trooper est identifiable en silhouette ; pivot aux pieds, masque de profondeur et huit orientations proposés restent stables devant les couverts.</x:v>
      </x:c>
      <x:c r="O27" s="9" t="str">
        <x:v>ME3-ENM-ASSAULT</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82" customHeight="1">
      <x:c r="A28" s="19" t="str">
        <x:v>ME3-SPR-ENM-CENTURION</x:v>
      </x:c>
      <x:c r="B28" s="7" t="str">
        <x:v>Planche sprites — Cerberus Centurion</x:v>
      </x:c>
      <x:c r="C28" s="15" t="str">
        <x:v>Défini</x:v>
      </x:c>
      <x:c r="D28" s="17" t="str">
        <x:v>Extrapolation</x:v>
      </x:c>
      <x:c r="E28" s="17" t="str">
        <x:v>P1</x:v>
      </x:c>
      <x:c r="F28" s="7" t="str">
        <x:v>Livrable original proposé : Planche sprites — Cerberus Centurion.</x:v>
      </x:c>
      <x:c r="G28" s="7" t="str">
        <x:v>Produire une planche originale de Cerberus Centurion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renforcée et fumigène.</x:v>
      </x:c>
      <x:c r="J28" s="7" t="str">
        <x:v>Prévoir un état neutre, déplacement, préparation de l’action signature, impact reçu, mise à terre et retour en contrôle pour Cerberus Centurion. Éviter la duplication miroir des signes asymétriques.</x:v>
      </x:c>
      <x:c r="K28" s="7" t="str">
        <x:v>Sans bande sonore embarquée dans la planche ; émettre uniquement des événements nommés vers le système audio pour éviter les doublons.</x:v>
      </x:c>
      <x:c r="L28" s="7" t="str">
        <x:v>Prévu : fiche de données me3/sprites/enm-centurion ; rattacher les ressources et états cités à cet identifiant. Aucun fichier de jeu créé par ce catalogue.</x:v>
      </x:c>
      <x:c r="M28" s="7" t="str">
        <x:v>Campagne et simulation.</x:v>
      </x:c>
      <x:c r="N28" s="7" t="str">
        <x:v>À l’échelle de jeu, Cerberus Centurion est identifiable en silhouette ; pivot aux pieds, masque de profondeur et huit orientations proposés restent stables devant les couverts.</x:v>
      </x:c>
      <x:c r="O28" s="7" t="str">
        <x:v>ME3-ENM-CENTURION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ME3-SPR-ENM-ENGINEER</x:v>
      </x:c>
      <x:c r="B29" s="9" t="str">
        <x:v>Planche sprites — Cerberus Combat Engineer</x:v>
      </x:c>
      <x:c r="C29" s="15" t="str">
        <x:v>Défini</x:v>
      </x:c>
      <x:c r="D29" s="16" t="str">
        <x:v>Extrapolation</x:v>
      </x:c>
      <x:c r="E29" s="16" t="str">
        <x:v>P1</x:v>
      </x:c>
      <x:c r="F29" s="9" t="str">
        <x:v>Livrable original proposé : Planche sprites — Cerberus Combat Engineer.</x:v>
      </x:c>
      <x:c r="G29" s="9" t="str">
        <x:v>Produire une planche originale de Cerberus Combat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sac technique.</x:v>
      </x:c>
      <x:c r="J29" s="9" t="str">
        <x:v>Prévoir un état neutre, déplacement, préparation de l’action signature, impact reçu, mise à terre et retour en contrôle pour Cerberus Combat Engineer. Éviter la duplication miroir des signes asymétriques.</x:v>
      </x:c>
      <x:c r="K29" s="9" t="str">
        <x:v>Sans bande sonore embarquée dans la planche ; émettre uniquement des événements nommés vers le système audio pour éviter les doublons.</x:v>
      </x:c>
      <x:c r="L29" s="9" t="str">
        <x:v>Prévu : fiche de données me3/sprites/enm-engineer ; rattacher les ressources et états cités à cet identifiant. Aucun fichier de jeu créé par ce catalogue.</x:v>
      </x:c>
      <x:c r="M29" s="9" t="str">
        <x:v>Campagne et simulation.</x:v>
      </x:c>
      <x:c r="N29" s="9" t="str">
        <x:v>À l’échelle de jeu, Cerberus Combat Engineer est identifiable en silhouette ; pivot aux pieds, masque de profondeur et huit orientations proposés restent stables devant les couverts.</x:v>
      </x:c>
      <x:c r="O29" s="9" t="str">
        <x:v>ME3-ENM-ENGINEER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ME3-SPR-ENM-GUARDIAN</x:v>
      </x:c>
      <x:c r="B30" s="7" t="str">
        <x:v>Planche sprites — Cerberus Guardian</x:v>
      </x:c>
      <x:c r="C30" s="15" t="str">
        <x:v>Défini</x:v>
      </x:c>
      <x:c r="D30" s="17" t="str">
        <x:v>Extrapolation</x:v>
      </x:c>
      <x:c r="E30" s="17" t="str">
        <x:v>P1</x:v>
      </x:c>
      <x:c r="F30" s="7" t="str">
        <x:v>Livrable original proposé : Planche sprites — Cerberus Guardian.</x:v>
      </x:c>
      <x:c r="G30" s="7" t="str">
        <x:v>Produire une planche originale de Cerberus Guardian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Bouclier rectangulaire à meurtrière.</x:v>
      </x:c>
      <x:c r="J30" s="7" t="str">
        <x:v>Prévoir un état neutre, déplacement, préparation de l’action signature, impact reçu, mise à terre et retour en contrôle pour Cerberus Guardian. Éviter la duplication miroir des signes asymétriques.</x:v>
      </x:c>
      <x:c r="K30" s="7" t="str">
        <x:v>Sans bande sonore embarquée dans la planche ; émettre uniquement des événements nommés vers le système audio pour éviter les doublons.</x:v>
      </x:c>
      <x:c r="L30" s="7" t="str">
        <x:v>Prévu : fiche de données me3/sprites/enm-guardian ; rattacher les ressources et états cités à cet identifiant. Aucun fichier de jeu créé par ce catalogue.</x:v>
      </x:c>
      <x:c r="M30" s="7" t="str">
        <x:v>Campagne et simulation.</x:v>
      </x:c>
      <x:c r="N30" s="7" t="str">
        <x:v>À l’échelle de jeu, Cerberus Guardian est identifiable en silhouette ; pivot aux pieds, masque de profondeur et huit orientations proposés restent stables devant les couverts.</x:v>
      </x:c>
      <x:c r="O30" s="7" t="str">
        <x:v>ME3-ENM-GUARDIAN</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ME3-SPR-ENM-NEMESIS</x:v>
      </x:c>
      <x:c r="B31" s="9" t="str">
        <x:v>Planche sprites — Cerberus Nemesis</x:v>
      </x:c>
      <x:c r="C31" s="15" t="str">
        <x:v>Défini</x:v>
      </x:c>
      <x:c r="D31" s="16" t="str">
        <x:v>Extrapolation</x:v>
      </x:c>
      <x:c r="E31" s="16" t="str">
        <x:v>P1</x:v>
      </x:c>
      <x:c r="F31" s="9" t="str">
        <x:v>Livrable original proposé : Planche sprites — Cerberus Nemesis.</x:v>
      </x:c>
      <x:c r="G31" s="9" t="str">
        <x:v>Produire une planche originale de Cerberus Nemesis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Silhouette fine et viseur rouge.</x:v>
      </x:c>
      <x:c r="J31" s="9" t="str">
        <x:v>Prévoir un état neutre, déplacement, préparation de l’action signature, impact reçu, mise à terre et retour en contrôle pour Cerberus Nemesis. Éviter la duplication miroir des signes asymétriques.</x:v>
      </x:c>
      <x:c r="K31" s="9" t="str">
        <x:v>Sans bande sonore embarquée dans la planche ; émettre uniquement des événements nommés vers le système audio pour éviter les doublons.</x:v>
      </x:c>
      <x:c r="L31" s="9" t="str">
        <x:v>Prévu : fiche de données me3/sprites/enm-nemesis ; rattacher les ressources et états cités à cet identifiant. Aucun fichier de jeu créé par ce catalogue.</x:v>
      </x:c>
      <x:c r="M31" s="9" t="str">
        <x:v>Campagne et simulation.</x:v>
      </x:c>
      <x:c r="N31" s="9" t="str">
        <x:v>À l’échelle de jeu, Cerberus Nemesis est identifiable en silhouette ; pivot aux pieds, masque de profondeur et huit orientations proposés restent stables devant les couverts.</x:v>
      </x:c>
      <x:c r="O31" s="9" t="str">
        <x:v>ME3-ENM-NEMESIS</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ME3-SPR-ENM-PHANTOM</x:v>
      </x:c>
      <x:c r="B32" s="7" t="str">
        <x:v>Planche sprites — Cerberus Phantom</x:v>
      </x:c>
      <x:c r="C32" s="15" t="str">
        <x:v>Défini</x:v>
      </x:c>
      <x:c r="D32" s="17" t="str">
        <x:v>Extrapolation</x:v>
      </x:c>
      <x:c r="E32" s="17" t="str">
        <x:v>P1</x:v>
      </x:c>
      <x:c r="F32" s="7" t="str">
        <x:v>Livrable original proposé : Planche sprites — Cerberus Phantom.</x:v>
      </x:c>
      <x:c r="G32" s="7" t="str">
        <x:v>Produire une planche originale de Cerberus Phantom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Lame, corps agile et voile de camouflage.</x:v>
      </x:c>
      <x:c r="J32" s="7" t="str">
        <x:v>Prévoir un état neutre, déplacement, préparation de l’action signature, impact reçu, mise à terre et retour en contrôle pour Cerberus Phantom. Éviter la duplication miroir des signes asymétriques.</x:v>
      </x:c>
      <x:c r="K32" s="7" t="str">
        <x:v>Sans bande sonore embarquée dans la planche ; émettre uniquement des événements nommés vers le système audio pour éviter les doublons.</x:v>
      </x:c>
      <x:c r="L32" s="7" t="str">
        <x:v>Prévu : fiche de données me3/sprites/enm-phantom ; rattacher les ressources et états cités à cet identifiant. Aucun fichier de jeu créé par ce catalogue.</x:v>
      </x:c>
      <x:c r="M32" s="7" t="str">
        <x:v>Campagne et simulation.</x:v>
      </x:c>
      <x:c r="N32" s="7" t="str">
        <x:v>À l’échelle de jeu, Cerberus Phantom est identifiable en silhouette ; pivot aux pieds, masque de profondeur et huit orientations proposés restent stables devant les couverts.</x:v>
      </x:c>
      <x:c r="O32" s="7" t="str">
        <x:v>ME3-ENM-PHANTOM</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ME3-SPR-ENM-ATLAS</x:v>
      </x:c>
      <x:c r="B33" s="9" t="str">
        <x:v>Planche sprites — Atlas</x:v>
      </x:c>
      <x:c r="C33" s="15" t="str">
        <x:v>Défini</x:v>
      </x:c>
      <x:c r="D33" s="16" t="str">
        <x:v>Extrapolation</x:v>
      </x:c>
      <x:c r="E33" s="16" t="str">
        <x:v>P1</x:v>
      </x:c>
      <x:c r="F33" s="9" t="str">
        <x:v>Livrable original proposé : Planche sprites — Atlas.</x:v>
      </x:c>
      <x:c r="G33" s="9" t="str">
        <x:v>Produire une planche originale de Atlas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Cockpit vitré et châssis massif.</x:v>
      </x:c>
      <x:c r="J33" s="9" t="str">
        <x:v>Prévoir un état neutre, déplacement, préparation de l’action signature, impact reçu, mise à terre et retour en contrôle pour Atlas. Éviter la duplication miroir des signes asymétriques.</x:v>
      </x:c>
      <x:c r="K33" s="9" t="str">
        <x:v>Sans bande sonore embarquée dans la planche ; émettre uniquement des événements nommés vers le système audio pour éviter les doublons.</x:v>
      </x:c>
      <x:c r="L33" s="9" t="str">
        <x:v>Prévu : fiche de données me3/sprites/enm-atlas ; rattacher les ressources et états cités à cet identifiant. Aucun fichier de jeu créé par ce catalogue.</x:v>
      </x:c>
      <x:c r="M33" s="9" t="str">
        <x:v>Campagne ; variantes de pilotage à vérifier.</x:v>
      </x:c>
      <x:c r="N33" s="9" t="str">
        <x:v>À l’échelle de jeu, Atlas est identifiable en silhouette ; pivot aux pieds, masque de profondeur et huit orientations proposés restent stables devant les couverts.</x:v>
      </x:c>
      <x:c r="O33" s="9" t="str">
        <x:v>ME3-ENM-ATLAS</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82" customHeight="1">
      <x:c r="A34" s="19" t="str">
        <x:v>ME3-SPR-ENM-TURRET</x:v>
      </x:c>
      <x:c r="B34" s="7" t="str">
        <x:v>Planche sprites — Tourelle Cerberus</x:v>
      </x:c>
      <x:c r="C34" s="15" t="str">
        <x:v>Défini</x:v>
      </x:c>
      <x:c r="D34" s="17" t="str">
        <x:v>Extrapolation</x:v>
      </x:c>
      <x:c r="E34" s="17" t="str">
        <x:v>P1</x:v>
      </x:c>
      <x:c r="F34" s="7" t="str">
        <x:v>Livrable original proposé : Planche sprites — Tourelle Cerberus.</x:v>
      </x:c>
      <x:c r="G34" s="7" t="str">
        <x:v>Produire une planche originale de Tourelle Cerberus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Trépied et canon automatique.</x:v>
      </x:c>
      <x:c r="J34" s="7" t="str">
        <x:v>Prévoir un état neutre, déplacement, préparation de l’action signature, impact reçu, mise à terre et retour en contrôle pour Tourelle Cerberus. Éviter la duplication miroir des signes asymétriques.</x:v>
      </x:c>
      <x:c r="K34" s="7" t="str">
        <x:v>Sans bande sonore embarquée dans la planche ; émettre uniquement des événements nommés vers le système audio pour éviter les doublons.</x:v>
      </x:c>
      <x:c r="L34" s="7" t="str">
        <x:v>Prévu : fiche de données me3/sprites/enm-turret ; rattacher les ressources et états cités à cet identifiant. Aucun fichier de jeu créé par ce catalogue.</x:v>
      </x:c>
      <x:c r="M34" s="7" t="str">
        <x:v>Campagne et simulation.</x:v>
      </x:c>
      <x:c r="N34" s="7" t="str">
        <x:v>À l’échelle de jeu, Tourelle Cerberus est identifiable en silhouette ; pivot aux pieds, masque de profondeur et huit orientations proposés restent stables devant les couverts.</x:v>
      </x:c>
      <x:c r="O34" s="7" t="str">
        <x:v>ME3-ENM-TURRET</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ME3-SPR-ENM-EVA</x:v>
      </x:c>
      <x:c r="B35" s="9" t="str">
        <x:v>Planche sprites — Dr Eva Coré — confrontation</x:v>
      </x:c>
      <x:c r="C35" s="15" t="str">
        <x:v>Défini</x:v>
      </x:c>
      <x:c r="D35" s="16" t="str">
        <x:v>Extrapolation</x:v>
      </x:c>
      <x:c r="E35" s="16" t="str">
        <x:v>P1</x:v>
      </x:c>
      <x:c r="F35" s="9" t="str">
        <x:v>Livrable original proposé : Planche sprites — Dr Eva Coré — confrontation.</x:v>
      </x:c>
      <x:c r="G35" s="9" t="str">
        <x:v>Produire une planche originale de Dr Eva Coré — confrontation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Corps androïde sous identité médicale.</x:v>
      </x:c>
      <x:c r="J35" s="9" t="str">
        <x:v>Prévoir un état neutre, déplacement, préparation de l’action signature, impact reçu, mise à terre et retour en contrôle pour Dr Eva Coré — confrontation. Éviter la duplication miroir des signes asymétriques.</x:v>
      </x:c>
      <x:c r="K35" s="9" t="str">
        <x:v>Sans bande sonore embarquée dans la planche ; émettre uniquement des événements nommés vers le système audio pour éviter les doublons.</x:v>
      </x:c>
      <x:c r="L35" s="9" t="str">
        <x:v>Prévu : fiche de données me3/sprites/enm-eva ; rattacher les ressources et états cités à cet identifiant. Aucun fichier de jeu créé par ce catalogue.</x:v>
      </x:c>
      <x:c r="M35" s="9" t="str">
        <x:v>Mars uniquement.</x:v>
      </x:c>
      <x:c r="N35" s="9" t="str">
        <x:v>À l’échelle de jeu, Dr Eva Coré — confrontation est identifiable en silhouette ; pivot aux pieds, masque de profondeur et huit orientations proposés restent stables devant les couverts.</x:v>
      </x:c>
      <x:c r="O35" s="9" t="str">
        <x:v>ME3-ENM-EVA</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ME3-SPR-ENM-KAI</x:v>
      </x:c>
      <x:c r="B36" s="7" t="str">
        <x:v>Planche sprites — Kai Leng</x:v>
      </x:c>
      <x:c r="C36" s="15" t="str">
        <x:v>Défini</x:v>
      </x:c>
      <x:c r="D36" s="17" t="str">
        <x:v>Extrapolation</x:v>
      </x:c>
      <x:c r="E36" s="17" t="str">
        <x:v>P1</x:v>
      </x:c>
      <x:c r="F36" s="7" t="str">
        <x:v>Livrable original proposé : Planche sprites — Kai Leng.</x:v>
      </x:c>
      <x:c r="G36" s="7" t="str">
        <x:v>Produire une planche originale de Kai Leng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Lame, armure sombre et visière.</x:v>
      </x:c>
      <x:c r="J36" s="7" t="str">
        <x:v>Prévoir un état neutre, déplacement, préparation de l’action signature, impact reçu, mise à terre et retour en contrôle pour Kai Leng. Éviter la duplication miroir des signes asymétriques.</x:v>
      </x:c>
      <x:c r="K36" s="7" t="str">
        <x:v>Sans bande sonore embarquée dans la planche ; émettre uniquement des événements nommés vers le système audio pour éviter les doublons.</x:v>
      </x:c>
      <x:c r="L36" s="7" t="str">
        <x:v>Prévu : fiche de données me3/sprites/enm-kai ; rattacher les ressources et états cités à cet identifiant. Aucun fichier de jeu créé par ce catalogue.</x:v>
      </x:c>
      <x:c r="M36" s="7" t="str">
        <x:v>Thessia et QG ; tables de phases distinctes.</x:v>
      </x:c>
      <x:c r="N36" s="7" t="str">
        <x:v>À l’échelle de jeu, Kai Leng est identifiable en silhouette ; pivot aux pieds, masque de profondeur et huit orientations proposés restent stables devant les couverts.</x:v>
      </x:c>
      <x:c r="O36" s="7" t="str">
        <x:v>ME3-ENM-KAI</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ME3-SPR-ENM-RAMPART</x:v>
      </x:c>
      <x:c r="B37" s="9" t="str">
        <x:v>Planche sprites — Rampart Mech</x:v>
      </x:c>
      <x:c r="C37" s="15" t="str">
        <x:v>Défini</x:v>
      </x:c>
      <x:c r="D37" s="16" t="str">
        <x:v>Extrapolation</x:v>
      </x:c>
      <x:c r="E37" s="16" t="str">
        <x:v>P1</x:v>
      </x:c>
      <x:c r="F37" s="9" t="str">
        <x:v>Livrable original proposé : Planche sprites — Rampart Mech.</x:v>
      </x:c>
      <x:c r="G37" s="9" t="str">
        <x:v>Produire une planche originale de Rampart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Robot bipède blanc et rouge.</x:v>
      </x:c>
      <x:c r="J37" s="9" t="str">
        <x:v>Prévoir un état neutre, déplacement, préparation de l’action signature, impact reçu, mise à terre et retour en contrôle pour Rampart Mech. Éviter la duplication miroir des signes asymétriques.</x:v>
      </x:c>
      <x:c r="K37" s="9" t="str">
        <x:v>Sans bande sonore embarquée dans la planche ; émettre uniquement des événements nommés vers le système audio pour éviter les doublons.</x:v>
      </x:c>
      <x:c r="L37" s="9" t="str">
        <x:v>Prévu : fiche de données me3/sprites/enm-rampart ; rattacher les ressources et états cités à cet identifiant. Aucun fichier de jeu créé par ce catalogue.</x:v>
      </x:c>
      <x:c r="M37" s="9" t="str">
        <x:v>DLC Omega.</x:v>
      </x:c>
      <x:c r="N37" s="9" t="str">
        <x:v>À l’échelle de jeu, Rampart Mech est identifiable en silhouette ; pivot aux pieds, masque de profondeur et huit orientations proposés restent stables devant les couverts.</x:v>
      </x:c>
      <x:c r="O37" s="9" t="str">
        <x:v>ME3-ENM-RAMPART</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ME3-SPR-ENM-ADJUTANT</x:v>
      </x:c>
      <x:c r="B38" s="7" t="str">
        <x:v>Planche sprites — Adjutant</x:v>
      </x:c>
      <x:c r="C38" s="15" t="str">
        <x:v>Défini</x:v>
      </x:c>
      <x:c r="D38" s="17" t="str">
        <x:v>Extrapolation</x:v>
      </x:c>
      <x:c r="E38" s="17" t="str">
        <x:v>P1</x:v>
      </x:c>
      <x:c r="F38" s="7" t="str">
        <x:v>Livrable original proposé : Planche sprites — Adjutant.</x:v>
      </x:c>
      <x:c r="G38" s="7" t="str">
        <x:v>Produire une planche originale de Adjutant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Masse déformée, membres allongés et lueur interne.</x:v>
      </x:c>
      <x:c r="J38" s="7" t="str">
        <x:v>Prévoir un état neutre, déplacement, préparation de l’action signature, impact reçu, mise à terre et retour en contrôle pour Adjutant. Éviter la duplication miroir des signes asymétriques.</x:v>
      </x:c>
      <x:c r="K38" s="7" t="str">
        <x:v>Sans bande sonore embarquée dans la planche ; émettre uniquement des événements nommés vers le système audio pour éviter les doublons.</x:v>
      </x:c>
      <x:c r="L38" s="7" t="str">
        <x:v>Prévu : fiche de données me3/sprites/enm-adjutant ; rattacher les ressources et états cités à cet identifiant. Aucun fichier de jeu créé par ce catalogue.</x:v>
      </x:c>
      <x:c r="M38" s="7" t="str">
        <x:v>DLC Omega.</x:v>
      </x:c>
      <x:c r="N38" s="7" t="str">
        <x:v>À l’échelle de jeu, Adjutant est identifiable en silhouette ; pivot aux pieds, masque de profondeur et huit orientations proposés restent stables devant les couverts.</x:v>
      </x:c>
      <x:c r="O38" s="7" t="str">
        <x:v>ME3-ENM-ADJUTANT</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ME3-SPR-ENM-HUSK</x:v>
      </x:c>
      <x:c r="B39" s="9" t="str">
        <x:v>Planche sprites — Husk</x:v>
      </x:c>
      <x:c r="C39" s="15" t="str">
        <x:v>Défini</x:v>
      </x:c>
      <x:c r="D39" s="16" t="str">
        <x:v>Extrapolation</x:v>
      </x:c>
      <x:c r="E39" s="16" t="str">
        <x:v>P1</x:v>
      </x:c>
      <x:c r="F39" s="9" t="str">
        <x:v>Livrable original proposé : Planche sprites — Husk.</x:v>
      </x:c>
      <x:c r="G39" s="9" t="str">
        <x:v>Produire une planche originale de Husk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Silhouette humanoïde et implants bleus.</x:v>
      </x:c>
      <x:c r="J39" s="9" t="str">
        <x:v>Prévoir un état neutre, déplacement, préparation de l’action signature, impact reçu, mise à terre et retour en contrôle pour Husk. Éviter la duplication miroir des signes asymétriques.</x:v>
      </x:c>
      <x:c r="K39" s="9" t="str">
        <x:v>Sans bande sonore embarquée dans la planche ; émettre uniquement des événements nommés vers le système audio pour éviter les doublons.</x:v>
      </x:c>
      <x:c r="L39" s="9" t="str">
        <x:v>Prévu : fiche de données me3/sprites/enm-husk ; rattacher les ressources et états cités à cet identifiant. Aucun fichier de jeu créé par ce catalogue.</x:v>
      </x:c>
      <x:c r="M39" s="9" t="str">
        <x:v>Campagne et simulation.</x:v>
      </x:c>
      <x:c r="N39" s="9" t="str">
        <x:v>À l’échelle de jeu, Husk est identifiable en silhouette ; pivot aux pieds, masque de profondeur et huit orientations proposés restent stables devant les couverts.</x:v>
      </x:c>
      <x:c r="O39" s="9" t="str">
        <x:v>ME3-ENM-HUSK</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ME3-SPR-ENM-CANNIBAL</x:v>
      </x:c>
      <x:c r="B40" s="7" t="str">
        <x:v>Planche sprites — Cannibal</x:v>
      </x:c>
      <x:c r="C40" s="15" t="str">
        <x:v>Défini</x:v>
      </x:c>
      <x:c r="D40" s="17" t="str">
        <x:v>Extrapolation</x:v>
      </x:c>
      <x:c r="E40" s="17" t="str">
        <x:v>P1</x:v>
      </x:c>
      <x:c r="F40" s="7" t="str">
        <x:v>Livrable original proposé : Planche sprites — Cannibal.</x:v>
      </x:c>
      <x:c r="G40" s="7" t="str">
        <x:v>Produire une planche originale de Cannibal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Corps massif et arme greffée.</x:v>
      </x:c>
      <x:c r="J40" s="7" t="str">
        <x:v>Prévoir un état neutre, déplacement, préparation de l’action signature, impact reçu, mise à terre et retour en contrôle pour Cannibal. Éviter la duplication miroir des signes asymétriques.</x:v>
      </x:c>
      <x:c r="K40" s="7" t="str">
        <x:v>Sans bande sonore embarquée dans la planche ; émettre uniquement des événements nommés vers le système audio pour éviter les doublons.</x:v>
      </x:c>
      <x:c r="L40" s="7" t="str">
        <x:v>Prévu : fiche de données me3/sprites/enm-cannibal ; rattacher les ressources et états cités à cet identifiant. Aucun fichier de jeu créé par ce catalogue.</x:v>
      </x:c>
      <x:c r="M40" s="7" t="str">
        <x:v>Campagne et simulation.</x:v>
      </x:c>
      <x:c r="N40" s="7" t="str">
        <x:v>À l’échelle de jeu, Cannibal est identifiable en silhouette ; pivot aux pieds, masque de profondeur et huit orientations proposés restent stables devant les couverts.</x:v>
      </x:c>
      <x:c r="O40" s="7" t="str">
        <x:v>ME3-ENM-CANNIBAL</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ME3-SPR-ENM-MARAUDER</x:v>
      </x:c>
      <x:c r="B41" s="9" t="str">
        <x:v>Planche sprites — Marauder</x:v>
      </x:c>
      <x:c r="C41" s="15" t="str">
        <x:v>Défini</x:v>
      </x:c>
      <x:c r="D41" s="16" t="str">
        <x:v>Extrapolation</x:v>
      </x:c>
      <x:c r="E41" s="16" t="str">
        <x:v>P1</x:v>
      </x:c>
      <x:c r="F41" s="9" t="str">
        <x:v>Livrable original proposé : Planche sprites — Marauder.</x:v>
      </x:c>
      <x:c r="G41" s="9" t="str">
        <x:v>Produire une planche originale de Marauder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Traits turiens et carapace synthétique.</x:v>
      </x:c>
      <x:c r="J41" s="9" t="str">
        <x:v>Prévoir un état neutre, déplacement, préparation de l’action signature, impact reçu, mise à terre et retour en contrôle pour Marauder. Éviter la duplication miroir des signes asymétriques.</x:v>
      </x:c>
      <x:c r="K41" s="9" t="str">
        <x:v>Sans bande sonore embarquée dans la planche ; émettre uniquement des événements nommés vers le système audio pour éviter les doublons.</x:v>
      </x:c>
      <x:c r="L41" s="9" t="str">
        <x:v>Prévu : fiche de données me3/sprites/enm-marauder ; rattacher les ressources et états cités à cet identifiant. Aucun fichier de jeu créé par ce catalogue.</x:v>
      </x:c>
      <x:c r="M41" s="9" t="str">
        <x:v>Campagne et simulation.</x:v>
      </x:c>
      <x:c r="N41" s="9" t="str">
        <x:v>À l’échelle de jeu, Marauder est identifiable en silhouette ; pivot aux pieds, masque de profondeur et huit orientations proposés restent stables devant les couverts.</x:v>
      </x:c>
      <x:c r="O41" s="9" t="str">
        <x:v>ME3-ENM-MARAUDER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ME3-SPR-ENM-BRUTE</x:v>
      </x:c>
      <x:c r="B42" s="7" t="str">
        <x:v>Planche sprites — Brute</x:v>
      </x:c>
      <x:c r="C42" s="15" t="str">
        <x:v>Défini</x:v>
      </x:c>
      <x:c r="D42" s="17" t="str">
        <x:v>Extrapolation</x:v>
      </x:c>
      <x:c r="E42" s="17" t="str">
        <x:v>P1</x:v>
      </x:c>
      <x:c r="F42" s="7" t="str">
        <x:v>Livrable original proposé : Planche sprites — Brute.</x:v>
      </x:c>
      <x:c r="G42" s="7" t="str">
        <x:v>Produire une planche originale de Brute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Grand corps cuirassé et bras massif.</x:v>
      </x:c>
      <x:c r="J42" s="7" t="str">
        <x:v>Prévoir un état neutre, déplacement, préparation de l’action signature, impact reçu, mise à terre et retour en contrôle pour Brute. Éviter la duplication miroir des signes asymétriques.</x:v>
      </x:c>
      <x:c r="K42" s="7" t="str">
        <x:v>Sans bande sonore embarquée dans la planche ; émettre uniquement des événements nommés vers le système audio pour éviter les doublons.</x:v>
      </x:c>
      <x:c r="L42" s="7" t="str">
        <x:v>Prévu : fiche de données me3/sprites/enm-brute ; rattacher les ressources et états cités à cet identifiant. Aucun fichier de jeu créé par ce catalogue.</x:v>
      </x:c>
      <x:c r="M42" s="7" t="str">
        <x:v>Campagne et simulation.</x:v>
      </x:c>
      <x:c r="N42" s="7" t="str">
        <x:v>À l’échelle de jeu, Brute est identifiable en silhouette ; pivot aux pieds, masque de profondeur et huit orientations proposés restent stables devant les couverts.</x:v>
      </x:c>
      <x:c r="O42" s="7" t="str">
        <x:v>ME3-ENM-BRUTE</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ME3-SPR-ENM-RAVAGER</x:v>
      </x:c>
      <x:c r="B43" s="9" t="str">
        <x:v>Planche sprites — Ravager</x:v>
      </x:c>
      <x:c r="C43" s="15" t="str">
        <x:v>Défini</x:v>
      </x:c>
      <x:c r="D43" s="16" t="str">
        <x:v>Extrapolation</x:v>
      </x:c>
      <x:c r="E43" s="16" t="str">
        <x:v>P1</x:v>
      </x:c>
      <x:c r="F43" s="9" t="str">
        <x:v>Livrable original proposé : Planche sprites — Ravager.</x:v>
      </x:c>
      <x:c r="G43" s="9" t="str">
        <x:v>Produire une planche originale de Ravager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Pattes, canons dorsaux et poches lumineuses.</x:v>
      </x:c>
      <x:c r="J43" s="9" t="str">
        <x:v>Prévoir un état neutre, déplacement, préparation de l’action signature, impact reçu, mise à terre et retour en contrôle pour Ravager. Éviter la duplication miroir des signes asymétriques.</x:v>
      </x:c>
      <x:c r="K43" s="9" t="str">
        <x:v>Sans bande sonore embarquée dans la planche ; émettre uniquement des événements nommés vers le système audio pour éviter les doublons.</x:v>
      </x:c>
      <x:c r="L43" s="9" t="str">
        <x:v>Prévu : fiche de données me3/sprites/enm-ravager ; rattacher les ressources et états cités à cet identifiant. Aucun fichier de jeu créé par ce catalogue.</x:v>
      </x:c>
      <x:c r="M43" s="9" t="str">
        <x:v>Campagne et simulation.</x:v>
      </x:c>
      <x:c r="N43" s="9" t="str">
        <x:v>À l’échelle de jeu, Ravager est identifiable en silhouette ; pivot aux pieds, masque de profondeur et huit orientations proposés restent stables devant les couverts.</x:v>
      </x:c>
      <x:c r="O43" s="9" t="str">
        <x:v>ME3-ENM-RAVAGER</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ME3-SPR-ENM-SWARMER</x:v>
      </x:c>
      <x:c r="B44" s="7" t="str">
        <x:v>Planche sprites — Swarmer</x:v>
      </x:c>
      <x:c r="C44" s="15" t="str">
        <x:v>Défini</x:v>
      </x:c>
      <x:c r="D44" s="17" t="str">
        <x:v>Extrapolation</x:v>
      </x:c>
      <x:c r="E44" s="17" t="str">
        <x:v>P1</x:v>
      </x:c>
      <x:c r="F44" s="7" t="str">
        <x:v>Livrable original proposé : Planche sprites — Swarmer.</x:v>
      </x:c>
      <x:c r="G44" s="7" t="str">
        <x:v>Produire une planche originale de Swarmer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Petites formes organiques au sol.</x:v>
      </x:c>
      <x:c r="J44" s="7" t="str">
        <x:v>Prévoir un état neutre, déplacement, préparation de l’action signature, impact reçu, mise à terre et retour en contrôle pour Swarmer. Éviter la duplication miroir des signes asymétriques.</x:v>
      </x:c>
      <x:c r="K44" s="7" t="str">
        <x:v>Sans bande sonore embarquée dans la planche ; émettre uniquement des événements nommés vers le système audio pour éviter les doublons.</x:v>
      </x:c>
      <x:c r="L44" s="7" t="str">
        <x:v>Prévu : fiche de données me3/sprites/enm-swarmer ; rattacher les ressources et états cités à cet identifiant. Aucun fichier de jeu créé par ce catalogue.</x:v>
      </x:c>
      <x:c r="M44" s="7" t="str">
        <x:v>Campagne et simulation.</x:v>
      </x:c>
      <x:c r="N44" s="7" t="str">
        <x:v>À l’échelle de jeu, Swarmer est identifiable en silhouette ; pivot aux pieds, masque de profondeur et huit orientations proposés restent stables devant les couverts.</x:v>
      </x:c>
      <x:c r="O44" s="7" t="str">
        <x:v>ME3-ENM-SWARMER</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ME3-SPR-ENM-BANSHEE</x:v>
      </x:c>
      <x:c r="B45" s="9" t="str">
        <x:v>Planche sprites — Banshee</x:v>
      </x:c>
      <x:c r="C45" s="15" t="str">
        <x:v>Défini</x:v>
      </x:c>
      <x:c r="D45" s="16" t="str">
        <x:v>Extrapolation</x:v>
      </x:c>
      <x:c r="E45" s="16" t="str">
        <x:v>P1</x:v>
      </x:c>
      <x:c r="F45" s="9" t="str">
        <x:v>Livrable original proposé : Planche sprites — Banshee.</x:v>
      </x:c>
      <x:c r="G45" s="9" t="str">
        <x:v>Produire une planche originale de Banshee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Silhouette asari allongée et aura biotique.</x:v>
      </x:c>
      <x:c r="J45" s="9" t="str">
        <x:v>Prévoir un état neutre, déplacement, préparation de l’action signature, impact reçu, mise à terre et retour en contrôle pour Banshee. Éviter la duplication miroir des signes asymétriques.</x:v>
      </x:c>
      <x:c r="K45" s="9" t="str">
        <x:v>Sans bande sonore embarquée dans la planche ; émettre uniquement des événements nommés vers le système audio pour éviter les doublons.</x:v>
      </x:c>
      <x:c r="L45" s="9" t="str">
        <x:v>Prévu : fiche de données me3/sprites/enm-banshee ; rattacher les ressources et états cités à cet identifiant. Aucun fichier de jeu créé par ce catalogue.</x:v>
      </x:c>
      <x:c r="M45" s="9" t="str">
        <x:v>Campagne et simulation.</x:v>
      </x:c>
      <x:c r="N45" s="9" t="str">
        <x:v>À l’échelle de jeu, Banshee est identifiable en silhouette ; pivot aux pieds, masque de profondeur et huit orientations proposés restent stables devant les couverts.</x:v>
      </x:c>
      <x:c r="O45" s="9" t="str">
        <x:v>ME3-ENM-BANSHEE</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ME3-SPR-ENM-HARVESTER</x:v>
      </x:c>
      <x:c r="B46" s="7" t="str">
        <x:v>Planche sprites — Harvester</x:v>
      </x:c>
      <x:c r="C46" s="15" t="str">
        <x:v>Défini</x:v>
      </x:c>
      <x:c r="D46" s="17" t="str">
        <x:v>Extrapolation</x:v>
      </x:c>
      <x:c r="E46" s="17" t="str">
        <x:v>P1</x:v>
      </x:c>
      <x:c r="F46" s="7" t="str">
        <x:v>Livrable original proposé : Planche sprites — Harvester.</x:v>
      </x:c>
      <x:c r="G46" s="7" t="str">
        <x:v>Produire une planche originale de Harvester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Ailes massives et carapace sombre.</x:v>
      </x:c>
      <x:c r="J46" s="7" t="str">
        <x:v>Prévoir un état neutre, déplacement, préparation de l’action signature, impact reçu, mise à terre et retour en contrôle pour Harvester. Éviter la duplication miroir des signes asymétriques.</x:v>
      </x:c>
      <x:c r="K46" s="7" t="str">
        <x:v>Sans bande sonore embarquée dans la planche ; émettre uniquement des événements nommés vers le système audio pour éviter les doublons.</x:v>
      </x:c>
      <x:c r="L46" s="7" t="str">
        <x:v>Prévu : fiche de données me3/sprites/enm-harvester ; rattacher les ressources et états cités à cet identifiant. Aucun fichier de jeu créé par ce catalogue.</x:v>
      </x:c>
      <x:c r="M46" s="7" t="str">
        <x:v>Rencontres terrestres prévues.</x:v>
      </x:c>
      <x:c r="N46" s="7" t="str">
        <x:v>À l’échelle de jeu, Harvester est identifiable en silhouette ; pivot aux pieds, masque de profondeur et huit orientations proposés restent stables devant les couverts.</x:v>
      </x:c>
      <x:c r="O46" s="7" t="str">
        <x:v>ME3-ENM-HARVESTER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82" customHeight="1">
      <x:c r="A47" s="18" t="str">
        <x:v>ME3-SPR-ENM-REAPER-RANNOCH</x:v>
      </x:c>
      <x:c r="B47" s="9" t="str">
        <x:v>Planche sprites — Moissonneur de Rannoch</x:v>
      </x:c>
      <x:c r="C47" s="15" t="str">
        <x:v>Défini</x:v>
      </x:c>
      <x:c r="D47" s="16" t="str">
        <x:v>Extrapolation</x:v>
      </x:c>
      <x:c r="E47" s="16" t="str">
        <x:v>P1</x:v>
      </x:c>
      <x:c r="F47" s="9" t="str">
        <x:v>Livrable original proposé : Planche sprites — Moissonneur de Rannoch.</x:v>
      </x:c>
      <x:c r="G47" s="9" t="str">
        <x:v>Produire une planche originale de Moissonneur de Rannoch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Œil lumineux et rayon lourd.</x:v>
      </x:c>
      <x:c r="J47" s="9" t="str">
        <x:v>Prévoir un état neutre, déplacement, préparation de l’action signature, impact reçu, mise à terre et retour en contrôle pour Moissonneur de Rannoch. Éviter la duplication miroir des signes asymétriques.</x:v>
      </x:c>
      <x:c r="K47" s="9" t="str">
        <x:v>Sans bande sonore embarquée dans la planche ; émettre uniquement des événements nommés vers le système audio pour éviter les doublons.</x:v>
      </x:c>
      <x:c r="L47" s="9" t="str">
        <x:v>Prévu : fiche de données me3/sprites/enm-reaper-rannoch ; rattacher les ressources et états cités à cet identifiant. Aucun fichier de jeu créé par ce catalogue.</x:v>
      </x:c>
      <x:c r="M47" s="9" t="str">
        <x:v>Rannoch uniquement.</x:v>
      </x:c>
      <x:c r="N47" s="9" t="str">
        <x:v>À l’échelle de jeu, Moissonneur de Rannoch est identifiable en silhouette ; pivot aux pieds, masque de profondeur et huit orientations proposés restent stables devant les couverts.</x:v>
      </x:c>
      <x:c r="O47" s="9" t="str">
        <x:v>ME3-ENM-REAPER-RANNOCH</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ME3-SPR-ENM-GETH-TROOPER</x:v>
      </x:c>
      <x:c r="B48" s="7" t="str">
        <x:v>Planche sprites — Geth Trooper</x:v>
      </x:c>
      <x:c r="C48" s="15" t="str">
        <x:v>Défini</x:v>
      </x:c>
      <x:c r="D48" s="17" t="str">
        <x:v>Extrapolation</x:v>
      </x:c>
      <x:c r="E48" s="17" t="str">
        <x:v>P1</x:v>
      </x:c>
      <x:c r="F48" s="7" t="str">
        <x:v>Livrable original proposé : Planche sprites — Geth Trooper.</x:v>
      </x:c>
      <x:c r="G48" s="7" t="str">
        <x:v>Produire une planche originale de Geth Trooper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Plateforme synthétique et lampe centrale.</x:v>
      </x:c>
      <x:c r="J48" s="7" t="str">
        <x:v>Prévoir un état neutre, déplacement, préparation de l’action signature, impact reçu, mise à terre et retour en contrôle pour Geth Trooper. Éviter la duplication miroir des signes asymétriques.</x:v>
      </x:c>
      <x:c r="K48" s="7" t="str">
        <x:v>Sans bande sonore embarquée dans la planche ; émettre uniquement des événements nommés vers le système audio pour éviter les doublons.</x:v>
      </x:c>
      <x:c r="L48" s="7" t="str">
        <x:v>Prévu : fiche de données me3/sprites/enm-geth-trooper ; rattacher les ressources et états cités à cet identifiant. Aucun fichier de jeu créé par ce catalogue.</x:v>
      </x:c>
      <x:c r="M48" s="7" t="str">
        <x:v>Arc geth, Armax ou multijoueur selon rencontre.</x:v>
      </x:c>
      <x:c r="N48" s="7" t="str">
        <x:v>À l’échelle de jeu, Geth Trooper est identifiable en silhouette ; pivot aux pieds, masque de profondeur et huit orientations proposés restent stables devant les couverts.</x:v>
      </x:c>
      <x:c r="O48" s="7" t="str">
        <x:v>ME3-ENM-GETH-TROOPER</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82" customHeight="1">
      <x:c r="A49" s="18" t="str">
        <x:v>ME3-SPR-ENM-GETH-ROCKET</x:v>
      </x:c>
      <x:c r="B49" s="9" t="str">
        <x:v>Planche sprites — Geth Rocket Trooper</x:v>
      </x:c>
      <x:c r="C49" s="15" t="str">
        <x:v>Défini</x:v>
      </x:c>
      <x:c r="D49" s="16" t="str">
        <x:v>Extrapolation</x:v>
      </x:c>
      <x:c r="E49" s="16" t="str">
        <x:v>P1</x:v>
      </x:c>
      <x:c r="F49" s="9" t="str">
        <x:v>Livrable original proposé : Planche sprites — Geth Rocket Trooper.</x:v>
      </x:c>
      <x:c r="G49" s="9" t="str">
        <x:v>Produire une planche originale de Geth Rocket Trooper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Lanceur d’épaule et optique.</x:v>
      </x:c>
      <x:c r="J49" s="9" t="str">
        <x:v>Prévoir un état neutre, déplacement, préparation de l’action signature, impact reçu, mise à terre et retour en contrôle pour Geth Rocket Trooper. Éviter la duplication miroir des signes asymétriques.</x:v>
      </x:c>
      <x:c r="K49" s="9" t="str">
        <x:v>Sans bande sonore embarquée dans la planche ; émettre uniquement des événements nommés vers le système audio pour éviter les doublons.</x:v>
      </x:c>
      <x:c r="L49" s="9" t="str">
        <x:v>Prévu : fiche de données me3/sprites/enm-geth-rocket ; rattacher les ressources et états cités à cet identifiant. Aucun fichier de jeu créé par ce catalogue.</x:v>
      </x:c>
      <x:c r="M49" s="9" t="str">
        <x:v>Arc geth, Armax ou multijoueur selon rencontre.</x:v>
      </x:c>
      <x:c r="N49" s="9" t="str">
        <x:v>À l’échelle de jeu, Geth Rocket Trooper est identifiable en silhouette ; pivot aux pieds, masque de profondeur et huit orientations proposés restent stables devant les couverts.</x:v>
      </x:c>
      <x:c r="O49" s="9" t="str">
        <x:v>ME3-ENM-GETH-ROCKET</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ME3-SPR-ENM-GETH-HUNTER</x:v>
      </x:c>
      <x:c r="B50" s="7" t="str">
        <x:v>Planche sprites — Geth Hunter</x:v>
      </x:c>
      <x:c r="C50" s="15" t="str">
        <x:v>Défini</x:v>
      </x:c>
      <x:c r="D50" s="17" t="str">
        <x:v>Extrapolation</x:v>
      </x:c>
      <x:c r="E50" s="17" t="str">
        <x:v>P1</x:v>
      </x:c>
      <x:c r="F50" s="7" t="str">
        <x:v>Livrable original proposé : Planche sprites — Geth Hunter.</x:v>
      </x:c>
      <x:c r="G50" s="7" t="str">
        <x:v>Produire une planche originale de Geth Hunter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Réfraction, lampe et fusil court.</x:v>
      </x:c>
      <x:c r="J50" s="7" t="str">
        <x:v>Prévoir un état neutre, déplacement, préparation de l’action signature, impact reçu, mise à terre et retour en contrôle pour Geth Hunter. Éviter la duplication miroir des signes asymétriques.</x:v>
      </x:c>
      <x:c r="K50" s="7" t="str">
        <x:v>Sans bande sonore embarquée dans la planche ; émettre uniquement des événements nommés vers le système audio pour éviter les doublons.</x:v>
      </x:c>
      <x:c r="L50" s="7" t="str">
        <x:v>Prévu : fiche de données me3/sprites/enm-geth-hunter ; rattacher les ressources et états cités à cet identifiant. Aucun fichier de jeu créé par ce catalogue.</x:v>
      </x:c>
      <x:c r="M50" s="7" t="str">
        <x:v>Arc geth, Armax ou multijoueur selon rencontre.</x:v>
      </x:c>
      <x:c r="N50" s="7" t="str">
        <x:v>À l’échelle de jeu, Geth Hunter est identifiable en silhouette ; pivot aux pieds, masque de profondeur et huit orientations proposés restent stables devant les couverts.</x:v>
      </x:c>
      <x:c r="O50" s="7" t="str">
        <x:v>ME3-ENM-GETH-HUNTER</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68" customHeight="1">
      <x:c r="A51" s="18" t="str">
        <x:v>ME3-SPR-ENM-GETH-PYRO</x:v>
      </x:c>
      <x:c r="B51" s="9" t="str">
        <x:v>Planche sprites — Geth Pyro</x:v>
      </x:c>
      <x:c r="C51" s="15" t="str">
        <x:v>Défini</x:v>
      </x:c>
      <x:c r="D51" s="16" t="str">
        <x:v>Extrapolation</x:v>
      </x:c>
      <x:c r="E51" s="16" t="str">
        <x:v>P1</x:v>
      </x:c>
      <x:c r="F51" s="9" t="str">
        <x:v>Livrable original proposé : Planche sprites — Geth Pyro.</x:v>
      </x:c>
      <x:c r="G51" s="9" t="str">
        <x:v>Produire une planche originale de Geth Pyro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Réservoirs et tuyau de flamme.</x:v>
      </x:c>
      <x:c r="J51" s="9" t="str">
        <x:v>Prévoir un état neutre, déplacement, préparation de l’action signature, impact reçu, mise à terre et retour en contrôle pour Geth Pyro. Éviter la duplication miroir des signes asymétriques.</x:v>
      </x:c>
      <x:c r="K51" s="9" t="str">
        <x:v>Sans bande sonore embarquée dans la planche ; émettre uniquement des événements nommés vers le système audio pour éviter les doublons.</x:v>
      </x:c>
      <x:c r="L51" s="9" t="str">
        <x:v>Prévu : fiche de données me3/sprites/enm-geth-pyro ; rattacher les ressources et états cités à cet identifiant. Aucun fichier de jeu créé par ce catalogue.</x:v>
      </x:c>
      <x:c r="M51" s="9" t="str">
        <x:v>Arc geth, Armax ou multijoueur selon rencontre.</x:v>
      </x:c>
      <x:c r="N51" s="9" t="str">
        <x:v>À l’échelle de jeu, Geth Pyro est identifiable en silhouette ; pivot aux pieds, masque de profondeur et huit orientations proposés restent stables devant les couverts.</x:v>
      </x:c>
      <x:c r="O51" s="9" t="str">
        <x:v>ME3-ENM-GETH-PYRO</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68" customHeight="1">
      <x:c r="A52" s="19" t="str">
        <x:v>ME3-SPR-ENM-GETH-PRIME</x:v>
      </x:c>
      <x:c r="B52" s="7" t="str">
        <x:v>Planche sprites — Geth Prime</x:v>
      </x:c>
      <x:c r="C52" s="15" t="str">
        <x:v>Défini</x:v>
      </x:c>
      <x:c r="D52" s="17" t="str">
        <x:v>Extrapolation</x:v>
      </x:c>
      <x:c r="E52" s="17" t="str">
        <x:v>P1</x:v>
      </x:c>
      <x:c r="F52" s="7" t="str">
        <x:v>Livrable original proposé : Planche sprites — Geth Prime.</x:v>
      </x:c>
      <x:c r="G52" s="7" t="str">
        <x:v>Produire une planche originale de Geth Prime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Châssis imposant et optique rouge.</x:v>
      </x:c>
      <x:c r="J52" s="7" t="str">
        <x:v>Prévoir un état neutre, déplacement, préparation de l’action signature, impact reçu, mise à terre et retour en contrôle pour Geth Prime. Éviter la duplication miroir des signes asymétriques.</x:v>
      </x:c>
      <x:c r="K52" s="7" t="str">
        <x:v>Sans bande sonore embarquée dans la planche ; émettre uniquement des événements nommés vers le système audio pour éviter les doublons.</x:v>
      </x:c>
      <x:c r="L52" s="7" t="str">
        <x:v>Prévu : fiche de données me3/sprites/enm-geth-prime ; rattacher les ressources et états cités à cet identifiant. Aucun fichier de jeu créé par ce catalogue.</x:v>
      </x:c>
      <x:c r="M52" s="7" t="str">
        <x:v>Arc geth, Armax ou multijoueur selon rencontre.</x:v>
      </x:c>
      <x:c r="N52" s="7" t="str">
        <x:v>À l’échelle de jeu, Geth Prime est identifiable en silhouette ; pivot aux pieds, masque de profondeur et huit orientations proposés restent stables devant les couverts.</x:v>
      </x:c>
      <x:c r="O52" s="7" t="str">
        <x:v>ME3-ENM-GETH-PRIME</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ME3-SPR-ENM-GETH-TURRET</x:v>
      </x:c>
      <x:c r="B53" s="9" t="str">
        <x:v>Planche sprites — Tourelle geth</x:v>
      </x:c>
      <x:c r="C53" s="15" t="str">
        <x:v>Défini</x:v>
      </x:c>
      <x:c r="D53" s="16" t="str">
        <x:v>Extrapolation</x:v>
      </x:c>
      <x:c r="E53" s="16" t="str">
        <x:v>P1</x:v>
      </x:c>
      <x:c r="F53" s="9" t="str">
        <x:v>Livrable original proposé : Planche sprites — Tourelle geth.</x:v>
      </x:c>
      <x:c r="G53" s="9" t="str">
        <x:v>Produire une planche originale de Tourelle geth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Dispositif compact et lumière geth.</x:v>
      </x:c>
      <x:c r="J53" s="9" t="str">
        <x:v>Prévoir un état neutre, déplacement, préparation de l’action signature, impact reçu, mise à terre et retour en contrôle pour Tourelle geth. Éviter la duplication miroir des signes asymétriques.</x:v>
      </x:c>
      <x:c r="K53" s="9" t="str">
        <x:v>Sans bande sonore embarquée dans la planche ; émettre uniquement des événements nommés vers le système audio pour éviter les doublons.</x:v>
      </x:c>
      <x:c r="L53" s="9" t="str">
        <x:v>Prévu : fiche de données me3/sprites/enm-geth-turret ; rattacher les ressources et états cités à cet identifiant. Aucun fichier de jeu créé par ce catalogue.</x:v>
      </x:c>
      <x:c r="M53" s="9" t="str">
        <x:v>Rencontres et simulations compatibles.</x:v>
      </x:c>
      <x:c r="N53" s="9" t="str">
        <x:v>À l’échelle de jeu, Tourelle geth est identifiable en silhouette ; pivot aux pieds, masque de profondeur et huit orientations proposés restent stables devant les couverts.</x:v>
      </x:c>
      <x:c r="O53" s="9" t="str">
        <x:v>ME3-ENM-GETH-TURRET</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ME3-SPR-ENM-CAT6-MERC</x:v>
      </x:c>
      <x:c r="B54" s="7" t="str">
        <x:v>Planche sprites — CAT6 Mercenary</x:v>
      </x:c>
      <x:c r="C54" s="15" t="str">
        <x:v>Défini</x:v>
      </x:c>
      <x:c r="D54" s="17" t="str">
        <x:v>Extrapolation</x:v>
      </x:c>
      <x:c r="E54" s="17" t="str">
        <x:v>P1</x:v>
      </x:c>
      <x:c r="F54" s="7" t="str">
        <x:v>Livrable original proposé : Planche sprites — CAT6 Mercenary.</x:v>
      </x:c>
      <x:c r="G54" s="7" t="str">
        <x:v>Produire une planche originale de CAT6 Mercenary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Armure sombre et casque.</x:v>
      </x:c>
      <x:c r="J54" s="7" t="str">
        <x:v>Prévoir un état neutre, déplacement, préparation de l’action signature, impact reçu, mise à terre et retour en contrôle pour CAT6 Mercenary. Éviter la duplication miroir des signes asymétriques.</x:v>
      </x:c>
      <x:c r="K54" s="7" t="str">
        <x:v>Sans bande sonore embarquée dans la planche ; émettre uniquement des événements nommés vers le système audio pour éviter les doublons.</x:v>
      </x:c>
      <x:c r="L54" s="7" t="str">
        <x:v>Prévu : fiche de données me3/sprites/enm-cat6-merc ; rattacher les ressources et états cités à cet identifiant. Aucun fichier de jeu créé par ce catalogue.</x:v>
      </x:c>
      <x:c r="M54" s="7" t="str">
        <x:v>DLC Citadel / Armax.</x:v>
      </x:c>
      <x:c r="N54" s="7" t="str">
        <x:v>À l’échelle de jeu, CAT6 Mercenary est identifiable en silhouette ; pivot aux pieds, masque de profondeur et huit orientations proposés restent stables devant les couverts.</x:v>
      </x:c>
      <x:c r="O54" s="7" t="str">
        <x:v>ME3-ENM-CAT6-MERC</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68" customHeight="1">
      <x:c r="A55" s="18" t="str">
        <x:v>ME3-SPR-ENM-CAT6-SPECIALIST</x:v>
      </x:c>
      <x:c r="B55" s="9" t="str">
        <x:v>Planche sprites — CAT6 Specialist</x:v>
      </x:c>
      <x:c r="C55" s="15" t="str">
        <x:v>Défini</x:v>
      </x:c>
      <x:c r="D55" s="16" t="str">
        <x:v>Extrapolation</x:v>
      </x:c>
      <x:c r="E55" s="16" t="str">
        <x:v>P1</x:v>
      </x:c>
      <x:c r="F55" s="9" t="str">
        <x:v>Livrable original proposé : Planche sprites — CAT6 Specialist.</x:v>
      </x:c>
      <x:c r="G55" s="9" t="str">
        <x:v>Produire une planche originale de CAT6 Specialist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Armure technique et omni-outil.</x:v>
      </x:c>
      <x:c r="J55" s="9" t="str">
        <x:v>Prévoir un état neutre, déplacement, préparation de l’action signature, impact reçu, mise à terre et retour en contrôle pour CAT6 Specialist. Éviter la duplication miroir des signes asymétriques.</x:v>
      </x:c>
      <x:c r="K55" s="9" t="str">
        <x:v>Sans bande sonore embarquée dans la planche ; émettre uniquement des événements nommés vers le système audio pour éviter les doublons.</x:v>
      </x:c>
      <x:c r="L55" s="9" t="str">
        <x:v>Prévu : fiche de données me3/sprites/enm-cat6-specialist ; rattacher les ressources et états cités à cet identifiant. Aucun fichier de jeu créé par ce catalogue.</x:v>
      </x:c>
      <x:c r="M55" s="9" t="str">
        <x:v>DLC Citadel.</x:v>
      </x:c>
      <x:c r="N55" s="9" t="str">
        <x:v>À l’échelle de jeu, CAT6 Specialist est identifiable en silhouette ; pivot aux pieds, masque de profondeur et huit orientations proposés restent stables devant les couverts.</x:v>
      </x:c>
      <x:c r="O55" s="9" t="str">
        <x:v>ME3-ENM-CAT6-SPECIALIST</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ME3-SPR-ENM-CAT6-HEAVY</x:v>
      </x:c>
      <x:c r="B56" s="7" t="str">
        <x:v>Planche sprites — CAT6 Heavy</x:v>
      </x:c>
      <x:c r="C56" s="15" t="str">
        <x:v>Défini</x:v>
      </x:c>
      <x:c r="D56" s="17" t="str">
        <x:v>Extrapolation</x:v>
      </x:c>
      <x:c r="E56" s="17" t="str">
        <x:v>P1</x:v>
      </x:c>
      <x:c r="F56" s="7" t="str">
        <x:v>Livrable original proposé : Planche sprites — CAT6 Heavy.</x:v>
      </x:c>
      <x:c r="G56" s="7" t="str">
        <x:v>Produire une planche originale de CAT6 Heavy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Grand bouclier énergétique et silhouette lourde.</x:v>
      </x:c>
      <x:c r="J56" s="7" t="str">
        <x:v>Prévoir un état neutre, déplacement, préparation de l’action signature, impact reçu, mise à terre et retour en contrôle pour CAT6 Heavy. Éviter la duplication miroir des signes asymétriques.</x:v>
      </x:c>
      <x:c r="K56" s="7" t="str">
        <x:v>Sans bande sonore embarquée dans la planche ; émettre uniquement des événements nommés vers le système audio pour éviter les doublons.</x:v>
      </x:c>
      <x:c r="L56" s="7" t="str">
        <x:v>Prévu : fiche de données me3/sprites/enm-cat6-heavy ; rattacher les ressources et états cités à cet identifiant. Aucun fichier de jeu créé par ce catalogue.</x:v>
      </x:c>
      <x:c r="M56" s="7" t="str">
        <x:v>DLC Citadel.</x:v>
      </x:c>
      <x:c r="N56" s="7" t="str">
        <x:v>À l’échelle de jeu, CAT6 Heavy est identifiable en silhouette ; pivot aux pieds, masque de profondeur et huit orientations proposés restent stables devant les couverts.</x:v>
      </x:c>
      <x:c r="O56" s="7" t="str">
        <x:v>ME3-ENM-CAT6-HEAVY</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ME3-SPR-ENM-DISRUPTION</x:v>
      </x:c>
      <x:c r="B57" s="9" t="str">
        <x:v>Planche sprites — Disruption Drone</x:v>
      </x:c>
      <x:c r="C57" s="15" t="str">
        <x:v>Défini</x:v>
      </x:c>
      <x:c r="D57" s="16" t="str">
        <x:v>Extrapolation</x:v>
      </x:c>
      <x:c r="E57" s="16" t="str">
        <x:v>P1</x:v>
      </x:c>
      <x:c r="F57" s="9" t="str">
        <x:v>Livrable original proposé : Planche sprites — Disruption Drone.</x:v>
      </x:c>
      <x:c r="G57" s="9" t="str">
        <x:v>Produire une planche originale de Disruption Drone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Sphère volante et arc d’énergie.</x:v>
      </x:c>
      <x:c r="J57" s="9" t="str">
        <x:v>Prévoir un état neutre, déplacement, préparation de l’action signature, impact reçu, mise à terre et retour en contrôle pour Disruption Drone. Éviter la duplication miroir des signes asymétriques.</x:v>
      </x:c>
      <x:c r="K57" s="9" t="str">
        <x:v>Sans bande sonore embarquée dans la planche ; émettre uniquement des événements nommés vers le système audio pour éviter les doublons.</x:v>
      </x:c>
      <x:c r="L57" s="9" t="str">
        <x:v>Prévu : fiche de données me3/sprites/enm-disruption ; rattacher les ressources et états cités à cet identifiant. Aucun fichier de jeu créé par ce catalogue.</x:v>
      </x:c>
      <x:c r="M57" s="9" t="str">
        <x:v>DLC Citadel.</x:v>
      </x:c>
      <x:c r="N57" s="9" t="str">
        <x:v>À l’échelle de jeu, Disruption Drone est identifiable en silhouette ; pivot aux pieds, masque de profondeur et huit orientations proposés restent stables devant les couverts.</x:v>
      </x:c>
      <x:c r="O57" s="9" t="str">
        <x:v>ME3-ENM-DISRUPTION</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ME3-SPR-ENM-CLONE</x:v>
      </x:c>
      <x:c r="B58" s="7" t="str">
        <x:v>Planche sprites — Clone de Shepard</x:v>
      </x:c>
      <x:c r="C58" s="15" t="str">
        <x:v>Défini</x:v>
      </x:c>
      <x:c r="D58" s="17" t="str">
        <x:v>Extrapolation</x:v>
      </x:c>
      <x:c r="E58" s="17" t="str">
        <x:v>P1</x:v>
      </x:c>
      <x:c r="F58" s="7" t="str">
        <x:v>Livrable original proposé : Planche sprites — Clone de Shepard.</x:v>
      </x:c>
      <x:c r="G58" s="7" t="str">
        <x:v>Produire une planche originale de Clone de Shepard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Ressemblance Shepard, tenue et éclairage adverses.</x:v>
      </x:c>
      <x:c r="J58" s="7" t="str">
        <x:v>Prévoir un état neutre, déplacement, préparation de l’action signature, impact reçu, mise à terre et retour en contrôle pour Clone de Shepard. Éviter la duplication miroir des signes asymétriques.</x:v>
      </x:c>
      <x:c r="K58" s="7" t="str">
        <x:v>Sans bande sonore embarquée dans la planche ; émettre uniquement des événements nommés vers le système audio pour éviter les doublons.</x:v>
      </x:c>
      <x:c r="L58" s="7" t="str">
        <x:v>Prévu : fiche de données me3/sprites/enm-clone ; rattacher les ressources et états cités à cet identifiant. Aucun fichier de jeu créé par ce catalogue.</x:v>
      </x:c>
      <x:c r="M58" s="7" t="str">
        <x:v>DLC Citadel ; classe du joueur prise en compte.</x:v>
      </x:c>
      <x:c r="N58" s="7" t="str">
        <x:v>À l’échelle de jeu, Clone de Shepard est identifiable en silhouette ; pivot aux pieds, masque de profondeur et huit orientations proposés restent stables devant les couverts.</x:v>
      </x:c>
      <x:c r="O58" s="7" t="str">
        <x:v>ME3-ENM-CLONE</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ME3-SPR-ENM-BROOKS</x:v>
      </x:c>
      <x:c r="B59" s="9" t="str">
        <x:v>Planche sprites — Maya Brooks — combat</x:v>
      </x:c>
      <x:c r="C59" s="15" t="str">
        <x:v>Défini</x:v>
      </x:c>
      <x:c r="D59" s="16" t="str">
        <x:v>Extrapolation</x:v>
      </x:c>
      <x:c r="E59" s="16" t="str">
        <x:v>P1</x:v>
      </x:c>
      <x:c r="F59" s="9" t="str">
        <x:v>Livrable original proposé : Planche sprites — Maya Brooks — combat.</x:v>
      </x:c>
      <x:c r="G59" s="9" t="str">
        <x:v>Produire une planche originale de Maya Brooks — combat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Tenue tactique et arme de précision.</x:v>
      </x:c>
      <x:c r="J59" s="9" t="str">
        <x:v>Prévoir un état neutre, déplacement, préparation de l’action signature, impact reçu, mise à terre et retour en contrôle pour Maya Brooks — combat. Éviter la duplication miroir des signes asymétriques.</x:v>
      </x:c>
      <x:c r="K59" s="9" t="str">
        <x:v>Sans bande sonore embarquée dans la planche ; émettre uniquement des événements nommés vers le système audio pour éviter les doublons.</x:v>
      </x:c>
      <x:c r="L59" s="9" t="str">
        <x:v>Prévu : fiche de données me3/sprites/enm-brooks ; rattacher les ressources et états cités à cet identifiant. Aucun fichier de jeu créé par ce catalogue.</x:v>
      </x:c>
      <x:c r="M59" s="9" t="str">
        <x:v>DLC Citadel.</x:v>
      </x:c>
      <x:c r="N59" s="9" t="str">
        <x:v>À l’échelle de jeu, Maya Brooks — combat est identifiable en silhouette ; pivot aux pieds, masque de profondeur et huit orientations proposés restent stables devant les couverts.</x:v>
      </x:c>
      <x:c r="O59" s="9" t="str">
        <x:v>ME3-ENM-BROOKS</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ME3-SPR-ENM-COLLECTOR-TROOPER</x:v>
      </x:c>
      <x:c r="B60" s="7" t="str">
        <x:v>Planche sprites — Collector Trooper — simulation / multi</x:v>
      </x:c>
      <x:c r="C60" s="15" t="str">
        <x:v>Défini</x:v>
      </x:c>
      <x:c r="D60" s="17" t="str">
        <x:v>Extrapolation</x:v>
      </x:c>
      <x:c r="E60" s="17" t="str">
        <x:v>P1</x:v>
      </x:c>
      <x:c r="F60" s="7" t="str">
        <x:v>Livrable original proposé : Planche sprites — Collector Trooper — simulation / multi.</x:v>
      </x:c>
      <x:c r="G60" s="7" t="str">
        <x:v>Produire une planche originale de Collector Trooper — simulation / multi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Carapace insectoïde et arme organique.</x:v>
      </x:c>
      <x:c r="J60" s="7" t="str">
        <x:v>Prévoir un état neutre, déplacement, préparation de l’action signature, impact reçu, mise à terre et retour en contrôle pour Collector Trooper — simulation / multi. Éviter la duplication miroir des signes asymétriques.</x:v>
      </x:c>
      <x:c r="K60" s="7" t="str">
        <x:v>Sans bande sonore embarquée dans la planche ; émettre uniquement des événements nommés vers le système audio pour éviter les doublons.</x:v>
      </x:c>
      <x:c r="L60" s="7" t="str">
        <x:v>Prévu : fiche de données me3/sprites/enm-collector-trooper ; rattacher les ressources et états cités à cet identifiant. Aucun fichier de jeu créé par ce catalogue.</x:v>
      </x:c>
      <x:c r="M60" s="7" t="str">
        <x:v>Multijoueur Retaliation ou simulation Armax uniquement.</x:v>
      </x:c>
      <x:c r="N60" s="7" t="str">
        <x:v>À l’échelle de jeu, Collector Trooper — simulation / multi est identifiable en silhouette ; pivot aux pieds, masque de profondeur et huit orientations proposés restent stables devant les couverts.</x:v>
      </x:c>
      <x:c r="O60" s="7" t="str">
        <x:v>ME3-ENM-COLLECTOR-TROOPER</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ME3-SPR-ENM-COLLECTOR-CAPTAIN</x:v>
      </x:c>
      <x:c r="B61" s="9" t="str">
        <x:v>Planche sprites — Collector Captain — simulation / multi</x:v>
      </x:c>
      <x:c r="C61" s="15" t="str">
        <x:v>Défini</x:v>
      </x:c>
      <x:c r="D61" s="16" t="str">
        <x:v>Extrapolation</x:v>
      </x:c>
      <x:c r="E61" s="16" t="str">
        <x:v>P1</x:v>
      </x:c>
      <x:c r="F61" s="9" t="str">
        <x:v>Livrable original proposé : Planche sprites — Collector Captain — simulation / multi.</x:v>
      </x:c>
      <x:c r="G61" s="9" t="str">
        <x:v>Produire une planche originale de Collector Captain — simulation / multi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Carapace plus visible et lueur de contrôle.</x:v>
      </x:c>
      <x:c r="J61" s="9" t="str">
        <x:v>Prévoir un état neutre, déplacement, préparation de l’action signature, impact reçu, mise à terre et retour en contrôle pour Collector Captain — simulation / multi. Éviter la duplication miroir des signes asymétriques.</x:v>
      </x:c>
      <x:c r="K61" s="9" t="str">
        <x:v>Sans bande sonore embarquée dans la planche ; émettre uniquement des événements nommés vers le système audio pour éviter les doublons.</x:v>
      </x:c>
      <x:c r="L61" s="9" t="str">
        <x:v>Prévu : fiche de données me3/sprites/enm-collector-captain ; rattacher les ressources et états cités à cet identifiant. Aucun fichier de jeu créé par ce catalogue.</x:v>
      </x:c>
      <x:c r="M61" s="9" t="str">
        <x:v>Multijoueur Retaliation / simulations prévues.</x:v>
      </x:c>
      <x:c r="N61" s="9" t="str">
        <x:v>À l’échelle de jeu, Collector Captain — simulation / multi est identifiable en silhouette ; pivot aux pieds, masque de profondeur et huit orientations proposés restent stables devant les couverts.</x:v>
      </x:c>
      <x:c r="O61" s="9" t="str">
        <x:v>ME3-ENM-COLLECTOR-CAPTAIN</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ME3-SPR-ENM-ABOMINATION</x:v>
      </x:c>
      <x:c r="B62" s="7" t="str">
        <x:v>Planche sprites — Abomination — simulation / multi</x:v>
      </x:c>
      <x:c r="C62" s="15" t="str">
        <x:v>Défini</x:v>
      </x:c>
      <x:c r="D62" s="17" t="str">
        <x:v>Extrapolation</x:v>
      </x:c>
      <x:c r="E62" s="17" t="str">
        <x:v>P1</x:v>
      </x:c>
      <x:c r="F62" s="7" t="str">
        <x:v>Livrable original proposé : Planche sprites — Abomination — simulation / multi.</x:v>
      </x:c>
      <x:c r="G62" s="7" t="str">
        <x:v>Produire une planche originale de Abomination — simulation / multi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Forme humanoïde instable et pulsation.</x:v>
      </x:c>
      <x:c r="J62" s="7" t="str">
        <x:v>Prévoir un état neutre, déplacement, préparation de l’action signature, impact reçu, mise à terre et retour en contrôle pour Abomination — simulation / multi. Éviter la duplication miroir des signes asymétriques.</x:v>
      </x:c>
      <x:c r="K62" s="7" t="str">
        <x:v>Sans bande sonore embarquée dans la planche ; émettre uniquement des événements nommés vers le système audio pour éviter les doublons.</x:v>
      </x:c>
      <x:c r="L62" s="7" t="str">
        <x:v>Prévu : fiche de données me3/sprites/enm-abomination ; rattacher les ressources et états cités à cet identifiant. Aucun fichier de jeu créé par ce catalogue.</x:v>
      </x:c>
      <x:c r="M62" s="7" t="str">
        <x:v>Multijoueur Retaliation / simulations prévues.</x:v>
      </x:c>
      <x:c r="N62" s="7" t="str">
        <x:v>À l’échelle de jeu, Abomination — simulation / multi est identifiable en silhouette ; pivot aux pieds, masque de profondeur et huit orientations proposés restent stables devant les couverts.</x:v>
      </x:c>
      <x:c r="O62" s="7" t="str">
        <x:v>ME3-ENM-ABOMINATION</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ME3-SPR-ENM-SCION</x:v>
      </x:c>
      <x:c r="B63" s="9" t="str">
        <x:v>Planche sprites — Scion — simulation / multi</x:v>
      </x:c>
      <x:c r="C63" s="15" t="str">
        <x:v>Défini</x:v>
      </x:c>
      <x:c r="D63" s="16" t="str">
        <x:v>Extrapolation</x:v>
      </x:c>
      <x:c r="E63" s="16" t="str">
        <x:v>P1</x:v>
      </x:c>
      <x:c r="F63" s="9" t="str">
        <x:v>Livrable original proposé : Planche sprites — Scion — simulation / multi.</x:v>
      </x:c>
      <x:c r="G63" s="9" t="str">
        <x:v>Produire une planche originale de Scion — simulation / multi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Corps massif et bras canon.</x:v>
      </x:c>
      <x:c r="J63" s="9" t="str">
        <x:v>Prévoir un état neutre, déplacement, préparation de l’action signature, impact reçu, mise à terre et retour en contrôle pour Scion — simulation / multi. Éviter la duplication miroir des signes asymétriques.</x:v>
      </x:c>
      <x:c r="K63" s="9" t="str">
        <x:v>Sans bande sonore embarquée dans la planche ; émettre uniquement des événements nommés vers le système audio pour éviter les doublons.</x:v>
      </x:c>
      <x:c r="L63" s="9" t="str">
        <x:v>Prévu : fiche de données me3/sprites/enm-scion ; rattacher les ressources et états cités à cet identifiant. Aucun fichier de jeu créé par ce catalogue.</x:v>
      </x:c>
      <x:c r="M63" s="9" t="str">
        <x:v>Multijoueur Retaliation / simulations prévues.</x:v>
      </x:c>
      <x:c r="N63" s="9" t="str">
        <x:v>À l’échelle de jeu, Scion — simulation / multi est identifiable en silhouette ; pivot aux pieds, masque de profondeur et huit orientations proposés restent stables devant les couverts.</x:v>
      </x:c>
      <x:c r="O63" s="9" t="str">
        <x:v>ME3-ENM-SCION</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82" customHeight="1">
      <x:c r="A64" s="19" t="str">
        <x:v>ME3-SPR-ENM-PRAETORIAN</x:v>
      </x:c>
      <x:c r="B64" s="7" t="str">
        <x:v>Planche sprites — Praetorian — simulation / multi</x:v>
      </x:c>
      <x:c r="C64" s="15" t="str">
        <x:v>Défini</x:v>
      </x:c>
      <x:c r="D64" s="17" t="str">
        <x:v>Extrapolation</x:v>
      </x:c>
      <x:c r="E64" s="17" t="str">
        <x:v>P1</x:v>
      </x:c>
      <x:c r="F64" s="7" t="str">
        <x:v>Livrable original proposé : Planche sprites — Praetorian — simulation / multi.</x:v>
      </x:c>
      <x:c r="G64" s="7" t="str">
        <x:v>Produire une planche originale de Praetorian — simulation / multi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Carapace volante et optiques lumineuses.</x:v>
      </x:c>
      <x:c r="J64" s="7" t="str">
        <x:v>Prévoir un état neutre, déplacement, préparation de l’action signature, impact reçu, mise à terre et retour en contrôle pour Praetorian — simulation / multi. Éviter la duplication miroir des signes asymétriques.</x:v>
      </x:c>
      <x:c r="K64" s="7" t="str">
        <x:v>Sans bande sonore embarquée dans la planche ; émettre uniquement des événements nommés vers le système audio pour éviter les doublons.</x:v>
      </x:c>
      <x:c r="L64" s="7" t="str">
        <x:v>Prévu : fiche de données me3/sprites/enm-praetorian ; rattacher les ressources et états cités à cet identifiant. Aucun fichier de jeu créé par ce catalogue.</x:v>
      </x:c>
      <x:c r="M64" s="7" t="str">
        <x:v>Multijoueur Retaliation / simulations prévues.</x:v>
      </x:c>
      <x:c r="N64" s="7" t="str">
        <x:v>À l’échelle de jeu, Praetorian — simulation / multi est identifiable en silhouette ; pivot aux pieds, masque de profondeur et huit orientations proposés restent stables devant les couverts.</x:v>
      </x:c>
      <x:c r="O64" s="7" t="str">
        <x:v>ME3-ENM-PRAETORIAN</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82" customHeight="1">
      <x:c r="A65" s="18" t="str">
        <x:v>ME3-SPR-ENM-DRAGOON</x:v>
      </x:c>
      <x:c r="B65" s="9" t="str">
        <x:v>Planche sprites — Cerberus Dragoon — multi</x:v>
      </x:c>
      <x:c r="C65" s="15" t="str">
        <x:v>Défini</x:v>
      </x:c>
      <x:c r="D65" s="16" t="str">
        <x:v>Extrapolation</x:v>
      </x:c>
      <x:c r="E65" s="16" t="str">
        <x:v>P1</x:v>
      </x:c>
      <x:c r="F65" s="9" t="str">
        <x:v>Livrable original proposé : Planche sprites — Cerberus Dragoon — multi.</x:v>
      </x:c>
      <x:c r="G65" s="9" t="str">
        <x:v>Produire une planche originale de Cerberus Dragoon — multi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Fouets énergétiques et armure sombre.</x:v>
      </x:c>
      <x:c r="J65" s="9" t="str">
        <x:v>Prévoir un état neutre, déplacement, préparation de l’action signature, impact reçu, mise à terre et retour en contrôle pour Cerberus Dragoon — multi. Éviter la duplication miroir des signes asymétriques.</x:v>
      </x:c>
      <x:c r="K65" s="9" t="str">
        <x:v>Sans bande sonore embarquée dans la planche ; émettre uniquement des événements nommés vers le système audio pour éviter les doublons.</x:v>
      </x:c>
      <x:c r="L65" s="9" t="str">
        <x:v>Prévu : fiche de données me3/sprites/enm-dragoon ; rattacher les ressources et états cités à cet identifiant. Aucun fichier de jeu créé par ce catalogue.</x:v>
      </x:c>
      <x:c r="M65" s="9" t="str">
        <x:v>Multijoueur Retaliation ; absence de campagne imposée.</x:v>
      </x:c>
      <x:c r="N65" s="9" t="str">
        <x:v>À l’échelle de jeu, Cerberus Dragoon — multi est identifiable en silhouette ; pivot aux pieds, masque de profondeur et huit orientations proposés restent stables devant les couverts.</x:v>
      </x:c>
      <x:c r="O65" s="9" t="str">
        <x:v>ME3-ENM-DRAGOON</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sheetData>
  <x:conditionalFormatting sqref="D7:D65">
    <x:cfRule type="cellIs" dxfId="80" priority="1" operator="equal">
      <x:formula>"À vérifier"</x:formula>
    </x:cfRule>
    <x:cfRule type="cellIs" dxfId="81" priority="2" operator="equal">
      <x:formula>"Extrapolation"</x:formula>
    </x:cfRule>
  </x:conditionalFormatting>
  <x:conditionalFormatting sqref="C7:C65">
    <x:cfRule type="cellIs" dxfId="82" priority="3" operator="equal">
      <x:formula>"Validé"</x:formula>
    </x:cfRule>
  </x:conditionalFormatting>
  <x:conditionalFormatting sqref="E7:E65">
    <x:cfRule type="cellIs" dxfId="83" priority="4" operator="equal">
      <x:formula>"P0"</x:formula>
    </x:cfRule>
  </x:conditionalFormatting>
  <x:dataValidations count="3">
    <x:dataValidation type="list" sqref="C7:C65">
      <x:formula1>"Défini,Prototype,Intégré,Validé"</x:formula1>
    </x:dataValidation>
    <x:dataValidation type="list" sqref="D7:D65">
      <x:formula1>"Établi,À vérifier,Extrapolation,Coupé attesté,Concept abandonné,Allégation écartée"</x:formula1>
    </x:dataValidation>
    <x:dataValidation type="list" sqref="E7:E65">
      <x:formula1>"P0,P1,P2"</x:formula1>
    </x:dataValidation>
  </x:dataValidations>
  <x:pageMargins left="0.7" right="0.7" top="0.75" bottom="0.75" header="0.3" footer="0.3"/>
  <x:tableParts count="1">
    <x:tablePart xmlns:r="http://schemas.openxmlformats.org/officeDocument/2006/relationships" r:id="R890da8abfe184182"/>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3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ME3-VFX-PROTECTION</x:v>
      </x:c>
      <x:c r="B7" s="9" t="str">
        <x:v>Santé, bouclier, barrière et armure</x:v>
      </x:c>
      <x:c r="C7" s="15" t="str">
        <x:v>Défini</x:v>
      </x:c>
      <x:c r="D7" s="16" t="str">
        <x:v>Extrapolation</x:v>
      </x:c>
      <x:c r="E7" s="16" t="str">
        <x:v>P1</x:v>
      </x:c>
      <x:c r="F7" s="9" t="str">
        <x:v>Livrable original proposé : Santé, bouclier, barrière et armure.</x:v>
      </x:c>
      <x:c r="G7" s="9" t="str">
        <x:v>Quatre motifs et noms au-dessus de cible ; la couleur seule ne détermine jamais protection active.</x:v>
      </x:c>
      <x:c r="H7" s="9" t="str">
        <x:v>Quatre motifs et noms au-dessus de cible ; la couleur seule ne détermine jamais protection active.</x:v>
      </x:c>
      <x:c r="I7" s="9" t="str">
        <x:v>Liserés géométriques distincts.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me3/vfx/protection ; rattacher les ressources et états cités à cet identifiant. Aucun fichier de jeu créé par ce catalogue.</x:v>
      </x:c>
      <x:c r="M7" s="9" t="str"/>
      <x:c r="N7" s="9" t="str">
        <x:v>Le livrable « Santé, bouclier, barrière et armure » possède une scène ou un scénario de contrôle ; ses règles proposées, ses conditions et ses retours visuels sont vérifiables séparément.</x:v>
      </x:c>
      <x:c r="O7" s="9" t="str">
        <x:v>ME3-SYS-DEFENSES</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ME3-VFX-PRIMER</x:v>
      </x:c>
      <x:c r="B8" s="7" t="str">
        <x:v>Marqueur d’amorce</x:v>
      </x:c>
      <x:c r="C8" s="15" t="str">
        <x:v>Défini</x:v>
      </x:c>
      <x:c r="D8" s="17" t="str">
        <x:v>Extrapolation</x:v>
      </x:c>
      <x:c r="E8" s="17" t="str">
        <x:v>P1</x:v>
      </x:c>
      <x:c r="F8" s="7" t="str">
        <x:v>Livrable original proposé : Marqueur d’amorce.</x:v>
      </x:c>
      <x:c r="G8" s="7" t="str">
        <x:v>Icône de type et durée sur cible ; afficher compatibilité du prochain détonateur avant paiement.</x:v>
      </x:c>
      <x:c r="H8" s="7" t="str">
        <x:v>Icône de type et durée sur cible ; afficher compatibilité du prochain détonateur avant paiement.</x:v>
      </x:c>
      <x:c r="I8" s="7" t="str">
        <x:v>Petit signe feu/glace/tech/biotique.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me3/vfx/primer ; rattacher les ressources et états cités à cet identifiant. Aucun fichier de jeu créé par ce catalogue.</x:v>
      </x:c>
      <x:c r="M8" s="7" t="str"/>
      <x:c r="N8" s="7" t="str">
        <x:v>Le livrable « Marqueur d’amorce » possède une scène ou un scénario de contrôle ; ses règles proposées, ses conditions et ses retours visuels sont vérifiables séparément.</x:v>
      </x:c>
      <x:c r="O8" s="7" t="str">
        <x:v>ME3-SYS-COMBOS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ME3-VFX-DETONATION</x:v>
      </x:c>
      <x:c r="B9" s="9" t="str">
        <x:v>Détonation de combo</x:v>
      </x:c>
      <x:c r="C9" s="15" t="str">
        <x:v>Défini</x:v>
      </x:c>
      <x:c r="D9" s="16" t="str">
        <x:v>Extrapolation</x:v>
      </x:c>
      <x:c r="E9" s="16" t="str">
        <x:v>P1</x:v>
      </x:c>
      <x:c r="F9" s="9" t="str">
        <x:v>Livrable original proposé : Détonation de combo.</x:v>
      </x:c>
      <x:c r="G9" s="9" t="str">
        <x:v>Flash court, onde au sol et nombre d’impacts réel ; cap de luminosité lors de plusieurs combos synchrones.</x:v>
      </x:c>
      <x:c r="H9" s="9" t="str">
        <x:v>Flash court, onde au sol et nombre d’impacts réel ; cap de luminosité lors de plusieurs combos synchrones.</x:v>
      </x:c>
      <x:c r="I9" s="9" t="str">
        <x:v>Onde et particules de famille.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me3/vfx/detonation ; rattacher les ressources et états cités à cet identifiant. Aucun fichier de jeu créé par ce catalogue.</x:v>
      </x:c>
      <x:c r="M9" s="9" t="str"/>
      <x:c r="N9" s="9" t="str">
        <x:v>Le livrable « Détonation de combo » possède une scène ou un scénario de contrôle ; ses règles proposées, ses conditions et ses retours visuels sont vérifiables séparément.</x:v>
      </x:c>
      <x:c r="O9" s="9" t="str">
        <x:v>ME3-SYS-COMBOS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ME3-VFX-CLOAK</x:v>
      </x:c>
      <x:c r="B10" s="7" t="str">
        <x:v>Camouflage accessible</x:v>
      </x:c>
      <x:c r="C10" s="15" t="str">
        <x:v>Défini</x:v>
      </x:c>
      <x:c r="D10" s="17" t="str">
        <x:v>Extrapolation</x:v>
      </x:c>
      <x:c r="E10" s="17" t="str">
        <x:v>P1</x:v>
      </x:c>
      <x:c r="F10" s="7" t="str">
        <x:v>Livrable original proposé : Camouflage accessible.</x:v>
      </x:c>
      <x:c r="G10" s="7" t="str">
        <x:v>Contour joueur constant, contour ennemi perceptible par indice de menace ; réglage indépendant de l’opacité canonique.</x:v>
      </x:c>
      <x:c r="H10" s="7" t="str">
        <x:v>Contour joueur constant, contour ennemi perceptible par indice de menace ; réglage indépendant de l’opacité canonique.</x:v>
      </x:c>
      <x:c r="I10" s="7" t="str">
        <x:v>Réfraction et ondulation au sol.</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me3/vfx/cloak ; rattacher les ressources et états cités à cet identifiant. Aucun fichier de jeu créé par ce catalogue.</x:v>
      </x:c>
      <x:c r="M10" s="7" t="str"/>
      <x:c r="N10" s="7" t="str">
        <x:v>Le livrable « Camouflage accessible » possède une scène ou un scénario de contrôle ; ses règles proposées, ses conditions et ses retours visuels sont vérifiables séparément.</x:v>
      </x:c>
      <x:c r="O10" s="7" t="str">
        <x:v>ME3-POW-TACTICAL, ME3-ENM-GETH-HUNTER</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ME3-VFX-SMOKE</x:v>
      </x:c>
      <x:c r="B11" s="9" t="str">
        <x:v>Fumée Cerberus</x:v>
      </x:c>
      <x:c r="C11" s="15" t="str">
        <x:v>Défini</x:v>
      </x:c>
      <x:c r="D11" s="16" t="str">
        <x:v>Extrapolation</x:v>
      </x:c>
      <x:c r="E11" s="16" t="str">
        <x:v>P1</x:v>
      </x:c>
      <x:c r="F11" s="9" t="str">
        <x:v>Livrable original proposé : Fumée Cerberus.</x:v>
      </x:c>
      <x:c r="G11" s="9" t="str">
        <x:v>Occlusion du décor et visée sans cacher marqueurs essentiels ; bord de volume et durée lisibles.</x:v>
      </x:c>
      <x:c r="H11" s="9" t="str">
        <x:v>Occlusion du décor et visée sans cacher marqueurs essentiels ; bord de volume et durée lisibles.</x:v>
      </x:c>
      <x:c r="I11" s="9" t="str">
        <x:v>Nuage gris et contour discret.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me3/vfx/smoke ; rattacher les ressources et états cités à cet identifiant. Aucun fichier de jeu créé par ce catalogue.</x:v>
      </x:c>
      <x:c r="M11" s="9" t="str"/>
      <x:c r="N11" s="9" t="str">
        <x:v>Le livrable « Fumée Cerberus » possède une scène ou un scénario de contrôle ; ses règles proposées, ses conditions et ses retours visuels sont vérifiables séparément.</x:v>
      </x:c>
      <x:c r="O11" s="9" t="str">
        <x:v>ME3-ENM-CENTURION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ME3-VFX-BANSHEE</x:v>
      </x:c>
      <x:c r="B12" s="7" t="str">
        <x:v>Signal de prise Banshee</x:v>
      </x:c>
      <x:c r="C12" s="15" t="str">
        <x:v>Défini</x:v>
      </x:c>
      <x:c r="D12" s="17" t="str">
        <x:v>Extrapolation</x:v>
      </x:c>
      <x:c r="E12" s="17" t="str">
        <x:v>P1</x:v>
      </x:c>
      <x:c r="F12" s="7" t="str">
        <x:v>Livrable original proposé : Signal de prise Banshee.</x:v>
      </x:c>
      <x:c r="G12" s="7" t="str">
        <x:v>Halo de rayon, main mise en avant et texte de menace ; réduire flashes sans retirer le signal.</x:v>
      </x:c>
      <x:c r="H12" s="7" t="str">
        <x:v>Halo de rayon, main mise en avant et texte de menace ; réduire flashes sans retirer le signal.</x:v>
      </x:c>
      <x:c r="I12" s="7" t="str">
        <x:v>Anneau violet segmenté.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me3/vfx/banshee ; rattacher les ressources et états cités à cet identifiant. Aucun fichier de jeu créé par ce catalogue.</x:v>
      </x:c>
      <x:c r="M12" s="7" t="str"/>
      <x:c r="N12" s="7" t="str">
        <x:v>Le livrable « Signal de prise Banshee » possède une scène ou un scénario de contrôle ; ses règles proposées, ses conditions et ses retours visuels sont vérifiables séparément.</x:v>
      </x:c>
      <x:c r="O12" s="7" t="str">
        <x:v>ME3-ENM-BANSHEE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ME3-VFX-PHANTOM</x:v>
      </x:c>
      <x:c r="B13" s="9" t="str">
        <x:v>Signal de frappe Phantom</x:v>
      </x:c>
      <x:c r="C13" s="15" t="str">
        <x:v>Défini</x:v>
      </x:c>
      <x:c r="D13" s="16" t="str">
        <x:v>Extrapolation</x:v>
      </x:c>
      <x:c r="E13" s="16" t="str">
        <x:v>P1</x:v>
      </x:c>
      <x:c r="F13" s="9" t="str">
        <x:v>Livrable original proposé : Signal de frappe Phantom.</x:v>
      </x:c>
      <x:c r="G13" s="9" t="str">
        <x:v>Trace de lame et cône court ; le cône reste visible si le corps est derrière un couvert.</x:v>
      </x:c>
      <x:c r="H13" s="9" t="str">
        <x:v>Trace de lame et cône court ; le cône reste visible si le corps est derrière un couvert.</x:v>
      </x:c>
      <x:c r="I13" s="9" t="str">
        <x:v>Ligne rouge et silhouette translucide.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me3/vfx/phantom ; rattacher les ressources et états cités à cet identifiant. Aucun fichier de jeu créé par ce catalogue.</x:v>
      </x:c>
      <x:c r="M13" s="9" t="str"/>
      <x:c r="N13" s="9" t="str">
        <x:v>Le livrable « Signal de frappe Phantom » possède une scène ou un scénario de contrôle ; ses règles proposées, ses conditions et ses retours visuels sont vérifiables séparément.</x:v>
      </x:c>
      <x:c r="O13" s="9" t="str">
        <x:v>ME3-ENM-PHANTOM</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ME3-VFX-REAPER-BEAM</x:v>
      </x:c>
      <x:c r="B14" s="7" t="str">
        <x:v>Rayon de Rannoch</x:v>
      </x:c>
      <x:c r="C14" s="15" t="str">
        <x:v>Défini</x:v>
      </x:c>
      <x:c r="D14" s="17" t="str">
        <x:v>Extrapolation</x:v>
      </x:c>
      <x:c r="E14" s="17" t="str">
        <x:v>P1</x:v>
      </x:c>
      <x:c r="F14" s="7" t="str">
        <x:v>Livrable original proposé : Rayon de Rannoch.</x:v>
      </x:c>
      <x:c r="G14" s="7" t="str">
        <x:v>Balayage annoncé par bande au sol ; luminosité limitée, point de verrou visible dans toutes les aides visuelles.</x:v>
      </x:c>
      <x:c r="H14" s="7" t="str">
        <x:v>Balayage annoncé par bande au sol ; luminosité limitée, point de verrou visible dans toutes les aides visuelles.</x:v>
      </x:c>
      <x:c r="I14" s="7" t="str">
        <x:v>Large rayon et trace de chaleur.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me3/vfx/reaper-beam ; rattacher les ressources et états cités à cet identifiant. Aucun fichier de jeu créé par ce catalogue.</x:v>
      </x:c>
      <x:c r="M14" s="7" t="str"/>
      <x:c r="N14" s="7" t="str">
        <x:v>Le livrable « Rayon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ME3-VFX-CANNON</x:v>
      </x:c>
      <x:c r="B15" s="9" t="str">
        <x:v>Impulsion du cuirassé</x:v>
      </x:c>
      <x:c r="C15" s="15" t="str">
        <x:v>Défini</x:v>
      </x:c>
      <x:c r="D15" s="16" t="str">
        <x:v>Extrapolation</x:v>
      </x:c>
      <x:c r="E15" s="16" t="str">
        <x:v>P1</x:v>
      </x:c>
      <x:c r="F15" s="9" t="str">
        <x:v>Livrable original proposé : Impulsion du cuirassé.</x:v>
      </x:c>
      <x:c r="G15" s="9" t="str">
        <x:v>Cycle de charge gradué et bandes sûres ; fréquence adaptée au rythme ATB choisi sans valeur source inventée.</x:v>
      </x:c>
      <x:c r="H15" s="9" t="str">
        <x:v>Cycle de charge gradué et bandes sûres ; fréquence adaptée au rythme ATB choisi sans valeur source inventée.</x:v>
      </x:c>
      <x:c r="I15" s="9" t="str">
        <x:v>Anneaux bleus du canon.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me3/vfx/cannon ; rattacher les ressources et états cités à cet identifiant. Aucun fichier de jeu créé par ce catalogue.</x:v>
      </x:c>
      <x:c r="M15" s="9" t="str"/>
      <x:c r="N15" s="9" t="str">
        <x:v>Le livrable « Impulsion du cuirassé » possède une scène ou un scénario de contrôle ; ses règles proposées, ses conditions et ses retours visuels sont vérifiables séparément.</x:v>
      </x:c>
      <x:c r="O15" s="9" t="str">
        <x:v>ME3-PRP-GETH-GUN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ME3-VFX-LEV-INFLUENCE</x:v>
      </x:c>
      <x:c r="B16" s="7" t="str">
        <x:v>Influence des artefacts</x:v>
      </x:c>
      <x:c r="C16" s="15" t="str">
        <x:v>Défini</x:v>
      </x:c>
      <x:c r="D16" s="17" t="str">
        <x:v>Extrapolation</x:v>
      </x:c>
      <x:c r="E16" s="17" t="str">
        <x:v>P1</x:v>
      </x:c>
      <x:c r="F16" s="7" t="str">
        <x:v>Livrable original proposé : Influence des artefacts.</x:v>
      </x:c>
      <x:c r="G16" s="7" t="str">
        <x:v>Déformation légère périphérique ; alternative sans distorsion et mêmes indices narratifs textuels.</x:v>
      </x:c>
      <x:c r="H16" s="7" t="str">
        <x:v>Déformation légère périphérique ; alternative sans distorsion et mêmes indices narratifs textuels.</x:v>
      </x:c>
      <x:c r="I16" s="7" t="str">
        <x:v>Motifs concentriques et halo sombre.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me3/vfx/lev-influence ; rattacher les ressources et états cités à cet identifiant. Aucun fichier de jeu créé par ce catalogue.</x:v>
      </x:c>
      <x:c r="M16" s="7" t="str"/>
      <x:c r="N16" s="7" t="str">
        <x:v>Le livrable « Influence des artefacts » possède une scène ou un scénario de contrôle ; ses règles proposées, ses conditions et ses retours visuels sont vérifiables séparément.</x:v>
      </x:c>
      <x:c r="O16" s="7" t="str">
        <x:v>ME3-PRP-BYRSON-ORB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ME3-VFX-LEV-DEPTH</x:v>
      </x:c>
      <x:c r="B17" s="9" t="str">
        <x:v>Profondeur et particules d’eau</x:v>
      </x:c>
      <x:c r="C17" s="15" t="str">
        <x:v>Défini</x:v>
      </x:c>
      <x:c r="D17" s="16" t="str">
        <x:v>Extrapolation</x:v>
      </x:c>
      <x:c r="E17" s="16" t="str">
        <x:v>P1</x:v>
      </x:c>
      <x:c r="F17" s="9" t="str">
        <x:v>Livrable original proposé : Profondeur et particules d’eau.</x:v>
      </x:c>
      <x:c r="G17" s="9" t="str">
        <x:v>Atténuation par distance sans rendre texte flou ; bulles et sédiments ne ressemblent pas à des projectiles.</x:v>
      </x:c>
      <x:c r="H17" s="9" t="str">
        <x:v>Atténuation par distance sans rendre texte flou ; bulles et sédiments ne ressemblent pas à des projectiles.</x:v>
      </x:c>
      <x:c r="I17" s="9" t="str">
        <x:v>Bleu-noir et faisceaux volumétriques.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me3/vfx/lev-depth ; rattacher les ressources et états cités à cet identifiant. Aucun fichier de jeu créé par ce catalogue.</x:v>
      </x:c>
      <x:c r="M17" s="9" t="str"/>
      <x:c r="N17" s="9" t="str">
        <x:v>Le livrable « Profondeur et particules d’eau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ME3-VFX-OMEGA-BARRIER</x:v>
      </x:c>
      <x:c r="B18" s="7" t="str">
        <x:v>Barrières d’Afterlife</x:v>
      </x:c>
      <x:c r="C18" s="15" t="str">
        <x:v>Défini</x:v>
      </x:c>
      <x:c r="D18" s="17" t="str">
        <x:v>Extrapolation</x:v>
      </x:c>
      <x:c r="E18" s="17" t="str">
        <x:v>P1</x:v>
      </x:c>
      <x:c r="F18" s="7" t="str">
        <x:v>Livrable original proposé : Barrières d’Afterlife.</x:v>
      </x:c>
      <x:c r="G18" s="7" t="str">
        <x:v>Liens vers générateurs, affaiblissement par étapes et rupture finale ; masques empêchent de cacher cible active.</x:v>
      </x:c>
      <x:c r="H18" s="7" t="str">
        <x:v>Liens vers générateurs, affaiblissement par étapes et rupture finale ; masques empêchent de cacher cible active.</x:v>
      </x:c>
      <x:c r="I18" s="7" t="str">
        <x:v>Plans orange et fissures énergétiques.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me3/vfx/omega-barrier ; rattacher les ressources et états cités à cet identifiant. Aucun fichier de jeu créé par ce catalogue.</x:v>
      </x:c>
      <x:c r="M18" s="7" t="str"/>
      <x:c r="N18" s="7" t="str">
        <x:v>Le livrable « Barrières d’Afterlife » possède une scène ou un scénario de contrôle ; ses règles proposées, ses conditions et ses retours visuels sont vérifiables séparément.</x:v>
      </x:c>
      <x:c r="O18" s="7" t="str">
        <x:v>ME3-PRP-OMEGA-GEN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ME3-VFX-ARMAX</x:v>
      </x:c>
      <x:c r="B19" s="9" t="str">
        <x:v>Matérialisation de simulation</x:v>
      </x:c>
      <x:c r="C19" s="15" t="str">
        <x:v>Défini</x:v>
      </x:c>
      <x:c r="D19" s="16" t="str">
        <x:v>Extrapolation</x:v>
      </x:c>
      <x:c r="E19" s="16" t="str">
        <x:v>P1</x:v>
      </x:c>
      <x:c r="F19" s="9" t="str">
        <x:v>Livrable original proposé : Matérialisation de simulation.</x:v>
      </x:c>
      <x:c r="G19" s="9" t="str">
        <x:v>Apparition en grille avec invulnérabilité de spawn signalée ; aucun dégât avant fin de préparation annoncée.</x:v>
      </x:c>
      <x:c r="H19" s="9" t="str">
        <x:v>Apparition en grille avec invulnérabilité de spawn signalée ; aucun dégât avant fin de préparation annoncée.</x:v>
      </x:c>
      <x:c r="I19" s="9" t="str">
        <x:v>Maille lumineuse puis modèle solide.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me3/vfx/armax ; rattacher les ressources et états cités à cet identifiant. Aucun fichier de jeu créé par ce catalogue.</x:v>
      </x:c>
      <x:c r="M19" s="9" t="str">
        <x:v>Armax seulement.</x:v>
      </x:c>
      <x:c r="N19" s="9" t="str">
        <x:v>Le livrable « Matérialisation de simulation » possède une scène ou un scénario de contrôle ; ses règles proposées, ses conditions et ses retours visuels sont vérifiables séparément.</x:v>
      </x:c>
      <x:c r="O19" s="9" t="str">
        <x:v>ME3-ZON-ARMAX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ME3-VFX-FINAL</x:v>
      </x:c>
      <x:c r="B20" s="7" t="str">
        <x:v>Flux des fins</x:v>
      </x:c>
      <x:c r="C20" s="15" t="str">
        <x:v>Défini</x:v>
      </x:c>
      <x:c r="D20" s="17" t="str">
        <x:v>Extrapolation</x:v>
      </x:c>
      <x:c r="E20" s="17" t="str">
        <x:v>P1</x:v>
      </x:c>
      <x:c r="F20" s="7" t="str">
        <x:v>Livrable original proposé : Flux des fins.</x:v>
      </x:c>
      <x:c r="G20" s="7" t="str">
        <x:v>Couleurs accompagnées de noms, symboles et narration ; luminosité plafonnée et option scène simplifiée.</x:v>
      </x:c>
      <x:c r="H20" s="7" t="str">
        <x:v>Couleurs accompagnées de noms, symboles et narration ; luminosité plafonnée et option scène simplifiée.</x:v>
      </x:c>
      <x:c r="I20" s="7" t="str">
        <x:v>Rouge, bleu, vert et extinction selon branche.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me3/vfx/final ; rattacher les ressources et états cités à cet identifiant. Aucun fichier de jeu créé par ce catalogue.</x:v>
      </x:c>
      <x:c r="M20" s="7" t="str">
        <x:v>Épilogue uniquement.</x:v>
      </x:c>
      <x:c r="N20" s="7" t="str">
        <x:v>Le livrable « Flux des fins » possède une scène ou un scénario de contrôle ; ses règles proposées, ses conditions et ses retours visuels sont vérifiables séparément.</x:v>
      </x:c>
      <x:c r="O20" s="7" t="str">
        <x:v>ME3-CHO-DESTROY, ME3-CHO-CONTROL, ME3-CHO-SYNTHESIS</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ME3-VFX-MAP-SCAN</x:v>
      </x:c>
      <x:c r="B21" s="9" t="str">
        <x:v>Scan galactique et alerte</x:v>
      </x:c>
      <x:c r="C21" s="15" t="str">
        <x:v>Défini</x:v>
      </x:c>
      <x:c r="D21" s="16" t="str">
        <x:v>Extrapolation</x:v>
      </x:c>
      <x:c r="E21" s="16" t="str">
        <x:v>P1</x:v>
      </x:c>
      <x:c r="F21" s="9" t="str">
        <x:v>Livrable original proposé : Scan galactique et alerte.</x:v>
      </x:c>
      <x:c r="G21" s="9" t="str">
        <x:v>Propagation d’onde et jauge de menace ; la zone déjà visitée garde repère lisible après retour de mission.</x:v>
      </x:c>
      <x:c r="H21" s="9" t="str">
        <x:v>Propagation d’onde et jauge de menace ; la zone déjà visitée garde repère lisible après retour de mission.</x:v>
      </x:c>
      <x:c r="I21" s="9" t="str">
        <x:v>Onde circulaire et signal ennemi.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me3/vfx/map-scan ; rattacher les ressources et états cités à cet identifiant. Aucun fichier de jeu créé par ce catalogue.</x:v>
      </x:c>
      <x:c r="M21" s="9" t="str"/>
      <x:c r="N21" s="9" t="str">
        <x:v>Le livrable « Scan galactique et alerte » possède une scène ou un scénario de contrôle ; ses règles proposées, ses conditions et ses retours visuels sont vérifiables séparément.</x:v>
      </x:c>
      <x:c r="O21" s="9" t="str">
        <x:v>ME3-SYS-SCAN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73eb95c77d9a49c0"/>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3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ME3-AUD-NORMANDY</x:v>
      </x:c>
      <x:c r="B7" s="9" t="str">
        <x:v>Ambiance du Normandy Alliance</x:v>
      </x:c>
      <x:c r="C7" s="15" t="str">
        <x:v>Défini</x:v>
      </x:c>
      <x:c r="D7" s="16" t="str">
        <x:v>Extrapolation</x:v>
      </x:c>
      <x:c r="E7" s="16" t="str">
        <x:v>P1</x:v>
      </x:c>
      <x:c r="F7" s="9" t="str">
        <x:v>Livrable original proposé : Ambiance du Normandy Alliance.</x:v>
      </x:c>
      <x:c r="G7" s="9" t="str">
        <x:v>Créer moteur feutré et consoles ; réduire ambiance pendant dialogues sans supprimer les alertes de mission.</x:v>
      </x:c>
      <x:c r="H7" s="9" t="str">
        <x:v>Créer moteur feutré et consoles ; réduire ambiance pendant dialogues sans supprimer les alertes de mission.</x:v>
      </x:c>
      <x:c r="I7" s="9" t="str">
        <x:v>Étiquettes de sous-titres pour communications.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me3/audio/normandy ; rattacher les ressources et états cités à cet identifiant. Aucun fichier de jeu créé par ce catalogue.</x:v>
      </x:c>
      <x:c r="M7" s="9" t="str"/>
      <x:c r="N7" s="9" t="str">
        <x:v>Le livrable « Ambiance du Normandy Alliance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ME3-AUD-EARTH</x:v>
      </x:c>
      <x:c r="B8" s="7" t="str">
        <x:v>Terre en invasion</x:v>
      </x:c>
      <x:c r="C8" s="15" t="str">
        <x:v>Défini</x:v>
      </x:c>
      <x:c r="D8" s="17" t="str">
        <x:v>Extrapolation</x:v>
      </x:c>
      <x:c r="E8" s="17" t="str">
        <x:v>P1</x:v>
      </x:c>
      <x:c r="F8" s="7" t="str">
        <x:v>Livrable original proposé : Terre en invasion.</x:v>
      </x:c>
      <x:c r="G8" s="7" t="str">
        <x:v>Couches lointaines de bataille, impacts proches et alarmes ; priorité aux signaux de parcours et à la voix d’Anderson.</x:v>
      </x:c>
      <x:c r="H8" s="7" t="str">
        <x:v>Couches lointaines de bataille, impacts proches et alarmes ; priorité aux signaux de parcours et à la voix d’Anderson.</x:v>
      </x:c>
      <x:c r="I8" s="7" t="str">
        <x:v>Sous-titres directionnels des alertes.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me3/audio/earth ; rattacher les ressources et états cités à cet identifiant. Aucun fichier de jeu créé par ce catalogue.</x:v>
      </x:c>
      <x:c r="M8" s="7" t="str"/>
      <x:c r="N8" s="7" t="str">
        <x:v>Le livrable « Terre en invasion » possède une scène ou un scénario de contrôle ; ses règles proposées, ses conditions et ses retours visuels sont vérifiables séparément.</x:v>
      </x:c>
      <x:c r="O8" s="7" t="str">
        <x:v>ME3-WRL-EARTH</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ME3-AUD-MENAE</x:v>
      </x:c>
      <x:c r="B9" s="9" t="str">
        <x:v>Front turien</x:v>
      </x:c>
      <x:c r="C9" s="15" t="str">
        <x:v>Défini</x:v>
      </x:c>
      <x:c r="D9" s="16" t="str">
        <x:v>Extrapolation</x:v>
      </x:c>
      <x:c r="E9" s="16" t="str">
        <x:v>P1</x:v>
      </x:c>
      <x:c r="F9" s="9" t="str">
        <x:v>Livrable original proposé : Front turien.</x:v>
      </x:c>
      <x:c r="G9" s="9" t="str">
        <x:v>Artillerie lointaine distincte des tirs visant le groupe ; limiter basses répétitives fatigantes.</x:v>
      </x:c>
      <x:c r="H9" s="9" t="str">
        <x:v>Artillerie lointaine distincte des tirs visant le groupe ; limiter basses répétitives fatigantes.</x:v>
      </x:c>
      <x:c r="I9" s="9" t="str">
        <x:v>Icône de barrage et événements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me3/audio/menae ; rattacher les ressources et états cités à cet identifiant. Aucun fichier de jeu créé par ce catalogue.</x:v>
      </x:c>
      <x:c r="M9" s="9" t="str"/>
      <x:c r="N9" s="9" t="str">
        <x:v>Le livrable « Front turien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ME3-AUD-CITADEL</x:v>
      </x:c>
      <x:c r="B10" s="7" t="str">
        <x:v>Foule de Citadelle</x:v>
      </x:c>
      <x:c r="C10" s="15" t="str">
        <x:v>Défini</x:v>
      </x:c>
      <x:c r="D10" s="17" t="str">
        <x:v>Extrapolation</x:v>
      </x:c>
      <x:c r="E10" s="17" t="str">
        <x:v>P1</x:v>
      </x:c>
      <x:c r="F10" s="7" t="str">
        <x:v>Livrable original proposé : Foule de Citadelle.</x:v>
      </x:c>
      <x:c r="G10" s="7" t="str">
        <x:v>Boucles de conversations originales non informatives et canaux de quêtes prioritaires ; aucun faux sous-titre d’objectif dans ambiance.</x:v>
      </x:c>
      <x:c r="H10" s="7" t="str">
        <x:v>Boucles de conversations originales non informatives et canaux de quêtes prioritaires ; aucun faux sous-titre d’objectif dans ambiance.</x:v>
      </x:c>
      <x:c r="I10" s="7" t="str">
        <x:v>Sources de voix discrètement localisées.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me3/audio/citadel ; rattacher les ressources et états cités à cet identifiant. Aucun fichier de jeu créé par ce catalogue.</x:v>
      </x:c>
      <x:c r="M10" s="7" t="str"/>
      <x:c r="N10" s="7" t="str">
        <x:v>Le livrable « Foule de Citadelle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ME3-AUD-MONASTERY</x:v>
      </x:c>
      <x:c r="B11" s="9" t="str">
        <x:v>Silence du monastère</x:v>
      </x:c>
      <x:c r="C11" s="15" t="str">
        <x:v>Défini</x:v>
      </x:c>
      <x:c r="D11" s="16" t="str">
        <x:v>Extrapolation</x:v>
      </x:c>
      <x:c r="E11" s="16" t="str">
        <x:v>P1</x:v>
      </x:c>
      <x:c r="F11" s="9" t="str">
        <x:v>Livrable original proposé : Silence du monastère.</x:v>
      </x:c>
      <x:c r="G11" s="9" t="str">
        <x:v>Réverbération et faible fond ; cri de Banshee a signal visuel équivalent et avertit avant la menace.</x:v>
      </x:c>
      <x:c r="H11" s="9" t="str">
        <x:v>Réverbération et faible fond ; cri de Banshee a signal visuel équivalent et avertit avant la menace.</x:v>
      </x:c>
      <x:c r="I11" s="9" t="str">
        <x:v>Halo de danger hors champ.</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me3/audio/monastery ; rattacher les ressources et états cités à cet identifiant. Aucun fichier de jeu créé par ce catalogue.</x:v>
      </x:c>
      <x:c r="M11" s="9" t="str"/>
      <x:c r="N11" s="9" t="str">
        <x:v>Le livrable « Silence du monastère » possède une scène ou un scénario de contrôle ; ses règles proposées, ses conditions et ses retours visuels sont vérifiables séparément.</x:v>
      </x:c>
      <x:c r="O11" s="9" t="str">
        <x:v>ME3-ZON-KALLINI-HALL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ME3-AUD-GETH</x:v>
      </x:c>
      <x:c r="B12" s="7" t="str">
        <x:v>Réseau et machines geth</x:v>
      </x:c>
      <x:c r="C12" s="15" t="str">
        <x:v>Défini</x:v>
      </x:c>
      <x:c r="D12" s="17" t="str">
        <x:v>Extrapolation</x:v>
      </x:c>
      <x:c r="E12" s="17" t="str">
        <x:v>P1</x:v>
      </x:c>
      <x:c r="F12" s="7" t="str">
        <x:v>Livrable original proposé : Réseau et machines geth.</x:v>
      </x:c>
      <x:c r="G12" s="7" t="str">
        <x:v>Motifs synthétiques originaux séparant drone, prime et alerte réseau ; éviter confusions avec pouvoir de Tali.</x:v>
      </x:c>
      <x:c r="H12" s="7" t="str">
        <x:v>Motifs synthétiques originaux séparant drone, prime et alerte réseau ; éviter confusions avec pouvoir de Tali.</x:v>
      </x:c>
      <x:c r="I12" s="7" t="str">
        <x:v>Symboles de source sonore.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me3/audio/geth ; rattacher les ressources et états cités à cet identifiant. Aucun fichier de jeu créé par ce catalogue.</x:v>
      </x:c>
      <x:c r="M12" s="7" t="str"/>
      <x:c r="N12" s="7" t="str">
        <x:v>Le livrable « Réseau et machines geth » possède une scène ou un scénario de contrôle ; ses règles proposées, ses conditions et ses retours visuels sont vérifiables séparément.</x:v>
      </x:c>
      <x:c r="O12" s="7" t="str">
        <x:v>ME3-ENM-GETH-PRIME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ME3-AUD-TUCHANKA</x:v>
      </x:c>
      <x:c r="B13" s="9" t="str">
        <x:v>Ruines et mécanique du Shroud</x:v>
      </x:c>
      <x:c r="C13" s="15" t="str">
        <x:v>Défini</x:v>
      </x:c>
      <x:c r="D13" s="16" t="str">
        <x:v>Extrapolation</x:v>
      </x:c>
      <x:c r="E13" s="16" t="str">
        <x:v>P1</x:v>
      </x:c>
      <x:c r="F13" s="9" t="str">
        <x:v>Livrable original proposé : Ruines et mécanique du Shroud.</x:v>
      </x:c>
      <x:c r="G13" s="9" t="str">
        <x:v>Vent, pierre et machine montante ; grande créature reste un événement ponctuel, pas une boucle de combat constante.</x:v>
      </x:c>
      <x:c r="H13" s="9" t="str">
        <x:v>Vent, pierre et machine montante ; grande créature reste un événement ponctuel, pas une boucle de combat constante.</x:v>
      </x:c>
      <x:c r="I13" s="9" t="str">
        <x:v>Indicateur de vibration à faible mouvement.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me3/audio/tuchanka ; rattacher les ressources et états cités à cet identifiant. Aucun fichier de jeu créé par ce catalogue.</x:v>
      </x:c>
      <x:c r="M13" s="9" t="str"/>
      <x:c r="N13" s="9" t="str">
        <x:v>Le livrable « Ruines et mécanique du Shroud » possède une scène ou un scénario de contrôle ; ses règles proposées, ses conditions et ses retours visuels sont vérifiables séparément.</x:v>
      </x:c>
      <x:c r="O13" s="9" t="str">
        <x:v>ME3-ZON-SHROUD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ME3-AUD-LEVIATHAN</x:v>
      </x:c>
      <x:c r="B14" s="7" t="str">
        <x:v>Voix et abîme</x:v>
      </x:c>
      <x:c r="C14" s="15" t="str">
        <x:v>Défini</x:v>
      </x:c>
      <x:c r="D14" s="17" t="str">
        <x:v>Extrapolation</x:v>
      </x:c>
      <x:c r="E14" s="17" t="str">
        <x:v>P1</x:v>
      </x:c>
      <x:c r="F14" s="7" t="str">
        <x:v>Livrable original proposé : Voix et abîme.</x:v>
      </x:c>
      <x:c r="G14" s="7" t="str">
        <x:v>Traitement vocal original intelligible avec sous-titres ; canal de voix indépendant des graves abyssaux.</x:v>
      </x:c>
      <x:c r="H14" s="7" t="str">
        <x:v>Traitement vocal original intelligible avec sous-titres ; canal de voix indépendant des graves abyssaux.</x:v>
      </x:c>
      <x:c r="I14" s="7" t="str">
        <x:v>Portraits et noms d’interlocuteur.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me3/audio/leviathan ; rattacher les ressources et états cités à cet identifiant. Aucun fichier de jeu créé par ce catalogue.</x:v>
      </x:c>
      <x:c r="M14" s="7" t="str"/>
      <x:c r="N14" s="7" t="str">
        <x:v>Le livrable « Voix et abîme » possède une scène ou un scénario de contrôle ; ses règles proposées, ses conditions et ses retours visuels sont vérifiables séparément.</x:v>
      </x:c>
      <x:c r="O14" s="7" t="str">
        <x:v>ME3-CIN-LEVIATHAN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ME3-AUD-OMEGA</x:v>
      </x:c>
      <x:c r="B15" s="9" t="str">
        <x:v>Résistance et réacteur</x:v>
      </x:c>
      <x:c r="C15" s="15" t="str">
        <x:v>Défini</x:v>
      </x:c>
      <x:c r="D15" s="16" t="str">
        <x:v>Extrapolation</x:v>
      </x:c>
      <x:c r="E15" s="16" t="str">
        <x:v>P1</x:v>
      </x:c>
      <x:c r="F15" s="9" t="str">
        <x:v>Livrable original proposé : Résistance et réacteur.</x:v>
      </x:c>
      <x:c r="G15" s="9" t="str">
        <x:v>Métal, conduites et alarmes selon alimentation ; passage en zone sûre diminue urgence sans effacer les annonces de civils.</x:v>
      </x:c>
      <x:c r="H15" s="9" t="str">
        <x:v>Métal, conduites et alarmes selon alimentation ; passage en zone sûre diminue urgence sans effacer les annonces de civils.</x:v>
      </x:c>
      <x:c r="I15" s="9" t="str">
        <x:v>Pictogrammes d’alimentation.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me3/audio/omega ; rattacher les ressources et états cités à cet identifiant. Aucun fichier de jeu créé par ce catalogue.</x:v>
      </x:c>
      <x:c r="M15" s="9" t="str"/>
      <x:c r="N15" s="9" t="str">
        <x:v>Le livrable « Résistance et réacteur » possède une scène ou un scénario de contrôle ; ses règles proposées, ses conditions et ses retours visuels sont vérifiables séparément.</x:v>
      </x:c>
      <x:c r="O15" s="9" t="str">
        <x:v>ME3-WRL-OMEGA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ME3-AUD-CITADEL-PARTY</x:v>
      </x:c>
      <x:c r="B16" s="7" t="str">
        <x:v>Musique originale de la fête</x:v>
      </x:c>
      <x:c r="C16" s="15" t="str">
        <x:v>Défini</x:v>
      </x:c>
      <x:c r="D16" s="17" t="str">
        <x:v>Extrapolation</x:v>
      </x:c>
      <x:c r="E16" s="17" t="str">
        <x:v>P1</x:v>
      </x:c>
      <x:c r="F16" s="7" t="str">
        <x:v>Livrable original proposé : Musique originale de la fête.</x:v>
      </x:c>
      <x:c r="G16" s="7" t="str">
        <x:v>Transitions calmes/animées selon phase ; paroles éventuelles originales, piste séparée du dialogue.</x:v>
      </x:c>
      <x:c r="H16" s="7" t="str">
        <x:v>Transitions calmes/animées selon phase ; paroles éventuelles originales, piste séparée du dialogue.</x:v>
      </x:c>
      <x:c r="I16" s="7" t="str">
        <x:v>Nom d’ambiance et niveau de fête.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me3/audio/citadel-party ; rattacher les ressources et états cités à cet identifiant. Aucun fichier de jeu créé par ce catalogue.</x:v>
      </x:c>
      <x:c r="M16" s="7" t="str"/>
      <x:c r="N16" s="7" t="str">
        <x:v>Le livrable « Musique originale de la fête » possède une scène ou un scénario de contrôle ; ses règles proposées, ses conditions et ses retours visuels sont vérifiables séparément.</x:v>
      </x:c>
      <x:c r="O16" s="7" t="str">
        <x:v>ME3-CHO-PARTY-TONE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ME3-AUD-BOSS</x:v>
      </x:c>
      <x:c r="B17" s="9" t="str">
        <x:v>Lexique de télégraphes de boss</x:v>
      </x:c>
      <x:c r="C17" s="15" t="str">
        <x:v>Défini</x:v>
      </x:c>
      <x:c r="D17" s="16" t="str">
        <x:v>Extrapolation</x:v>
      </x:c>
      <x:c r="E17" s="16" t="str">
        <x:v>P1</x:v>
      </x:c>
      <x:c r="F17" s="9" t="str">
        <x:v>Livrable original proposé : Lexique de télégraphes de boss.</x:v>
      </x:c>
      <x:c r="G17" s="9" t="str">
        <x:v>Un motif par menace : saisie, charge, rayon, renfort ; motifs accompagnés de texte et non seulement de position stéréo.</x:v>
      </x:c>
      <x:c r="H17" s="9" t="str">
        <x:v>Un motif par menace : saisie, charge, rayon, renfort ; motifs accompagnés de texte et non seulement de position stéréo.</x:v>
      </x:c>
      <x:c r="I17" s="9" t="str">
        <x:v>Quatre signes de menace.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me3/audio/boss ; rattacher les ressources et états cités à cet identifiant. Aucun fichier de jeu créé par ce catalogue.</x:v>
      </x:c>
      <x:c r="M17" s="9" t="str"/>
      <x:c r="N17" s="9" t="str">
        <x:v>Le livrable « Lexique de télégraphes de boss » possède une scène ou un scénario de contrôle ; ses règles proposées, ses conditions et ses retours visuels sont vérifiables séparément.</x:v>
      </x:c>
      <x:c r="O17" s="9" t="str">
        <x:v>ME3-ENM-BANSHEE, ME3-ENM-BRUTE, 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ME3-AUD-EPILOGUE</x:v>
      </x:c>
      <x:c r="B18" s="7" t="str">
        <x:v>Montage musical des épilogues</x:v>
      </x:c>
      <x:c r="C18" s="15" t="str">
        <x:v>Défini</x:v>
      </x:c>
      <x:c r="D18" s="17" t="str">
        <x:v>Extrapolation</x:v>
      </x:c>
      <x:c r="E18" s="17" t="str">
        <x:v>P1</x:v>
      </x:c>
      <x:c r="F18" s="7" t="str">
        <x:v>Livrable original proposé : Montage musical des épilogues.</x:v>
      </x:c>
      <x:c r="G18" s="7" t="str">
        <x:v>Composition originale en segments compatibles avec toutes les branches ; aucun collage de bande originale extrait.</x:v>
      </x:c>
      <x:c r="H18" s="7" t="str">
        <x:v>Composition originale en segments compatibles avec toutes les branches ; aucun collage de bande originale extrait.</x:v>
      </x:c>
      <x:c r="I18" s="7" t="str">
        <x:v>Sous-titres de narration et option sans musique.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me3/audio/epilogue ; rattacher les ressources et états cités à cet identifiant. Aucun fichier de jeu créé par ce catalogue.</x:v>
      </x:c>
      <x:c r="M18" s="7" t="str"/>
      <x:c r="N18" s="7" t="str">
        <x:v>Le livrable « Montage musical des épilogues » possède une scène ou un scénario de contrôle ; ses règles proposées, ses conditions et ses retours visuels sont vérifiables séparément.</x:v>
      </x:c>
      <x:c r="O18" s="7" t="str">
        <x:v>ME3-CIN-FINALE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97e0ce64651a436d"/>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3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ME3-SYS-MP-RESURGENCE</x:v>
      </x:c>
      <x:c r="B7" s="9" t="str">
        <x:v>Multijoueur — Resurgence</x:v>
      </x:c>
      <x:c r="C7" s="15" t="str">
        <x:v>Défini</x:v>
      </x:c>
      <x:c r="D7" s="16" t="str">
        <x:v>Établi</x:v>
      </x:c>
      <x:c r="E7" s="16" t="str">
        <x:v>P1</x:v>
      </x:c>
      <x:c r="F7" s="9" t="str">
        <x:v>Pack multijoueur avec nouvelles cartes et options.</x:v>
      </x:c>
      <x:c r="G7" s="9" t="str">
        <x:v>Introduire Hydra et Condor avec roster et armes propres à la version installée ; contenu verrouillé par manifeste multi.</x:v>
      </x:c>
      <x:c r="H7" s="9" t="str">
        <x:v>Introduire Hydra et Condor avec roster et armes propres à la version installée ; contenu verrouillé par manifeste multi.</x:v>
      </x:c>
      <x:c r="I7" s="9" t="str">
        <x:v>Carte de pack avec emblème multijoueur et version.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me3/systems/mp-resurgence ; rattacher les ressources et états cités à cet identifiant. Aucun fichier de jeu créé par ce catalogue.</x:v>
      </x:c>
      <x:c r="M7" s="9" t="str">
        <x:v>ME3 original multijoueur uniquement ; aucun lien de sélection solo.</x:v>
      </x:c>
      <x:c r="N7" s="9" t="str">
        <x:v>Installer ou masquer ce pack ne change aucun drapeau de compagnon, quête ou scène solo ; sa liste exacte reste vérifiable dans le manifeste dédié.</x:v>
      </x:c>
      <x:c r="O7" s="9" t="str"/>
      <x:c r="P7" s="9" t="str">
        <x:v>Multijoueur — Resurgence</x:v>
      </x:c>
      <x:c r="Q7" s="9" t="str">
        <x:v>ME3-SRC-MP</x:v>
      </x:c>
      <x:c r="R7" s="9" t="str">
        <x:v>https://masseffect.fandom.com/wiki/Mass_Effect_3_Multiplayer</x:v>
      </x:c>
      <x:c r="S7" s="9" t="str">
        <x:v>Spécification à réaliser. Les champs adaptation, gameplay, visual, animation, audio et implementation décrivent le fan game ; ils ne donnent pas des caractéristiques officielles de l’œuvre.</x:v>
      </x:c>
    </x:row>
    <x:row r="8" ht="68" customHeight="1">
      <x:c r="A8" s="19" t="str">
        <x:v>ME3-SYS-MP-REBELLION</x:v>
      </x:c>
      <x:c r="B8" s="7" t="str">
        <x:v>Multijoueur — Rebellion</x:v>
      </x:c>
      <x:c r="C8" s="15" t="str">
        <x:v>Défini</x:v>
      </x:c>
      <x:c r="D8" s="17" t="str">
        <x:v>Établi</x:v>
      </x:c>
      <x:c r="E8" s="17" t="str">
        <x:v>P1</x:v>
      </x:c>
      <x:c r="F8" s="7" t="str">
        <x:v>Pack multijoueur ajoutant du contenu.</x:v>
      </x:c>
      <x:c r="G8" s="7" t="str">
        <x:v>Introduire Goddess et Jade et une table de personnages/armes séparée ; vérifier variantes avant duplication en fiche.</x:v>
      </x:c>
      <x:c r="H8" s="7" t="str">
        <x:v>Introduire Goddess et Jade et une table de personnages/armes séparée ; vérifier variantes avant duplication en fiche.</x:v>
      </x:c>
      <x:c r="I8" s="7" t="str">
        <x:v>Carte de pack avec emblème multijoueur et version.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me3/systems/mp-rebellion ; rattacher les ressources et états cités à cet identifiant. Aucun fichier de jeu créé par ce catalogue.</x:v>
      </x:c>
      <x:c r="M8" s="7" t="str">
        <x:v>ME3 original multijoueur uniquement ; aucun lien de sélection solo.</x:v>
      </x:c>
      <x:c r="N8" s="7" t="str">
        <x:v>Installer ou masquer ce pack ne change aucun drapeau de compagnon, quête ou scène solo ; sa liste exacte reste vérifiable dans le manifeste dédié.</x:v>
      </x:c>
      <x:c r="O8" s="7" t="str"/>
      <x:c r="P8" s="7" t="str">
        <x:v>Multijoueur — Rebellion</x:v>
      </x:c>
      <x:c r="Q8" s="7" t="str">
        <x:v>ME3-SRC-MP</x:v>
      </x:c>
      <x:c r="R8" s="7" t="str">
        <x:v>https://masseffect.fandom.com/wiki/Mass_Effect_3_Multiplayer</x:v>
      </x:c>
      <x:c r="S8" s="7" t="str">
        <x:v>Spécification à réaliser. Les champs adaptation, gameplay, visual, animation, audio et implementation décrivent le fan game ; ils ne donnent pas des caractéristiques officielles de l’œuvre.</x:v>
      </x:c>
    </x:row>
    <x:row r="9" ht="68" customHeight="1">
      <x:c r="A9" s="18" t="str">
        <x:v>ME3-SYS-MP-EARTH</x:v>
      </x:c>
      <x:c r="B9" s="9" t="str">
        <x:v>Multijoueur — Earth</x:v>
      </x:c>
      <x:c r="C9" s="15" t="str">
        <x:v>Défini</x:v>
      </x:c>
      <x:c r="D9" s="16" t="str">
        <x:v>Établi</x:v>
      </x:c>
      <x:c r="E9" s="16" t="str">
        <x:v>P1</x:v>
      </x:c>
      <x:c r="F9" s="9" t="str">
        <x:v>Pack multijoueur lié à trois cartes terrestres.</x:v>
      </x:c>
      <x:c r="G9" s="9" t="str">
        <x:v>Regrouper Londres, Rio et Vancouver dans sélection de cartes, conserver objectifs et règles de difficulté indépendants.</x:v>
      </x:c>
      <x:c r="H9" s="9" t="str">
        <x:v>Regrouper Londres, Rio et Vancouver dans sélection de cartes, conserver objectifs et règles de difficulté indépendants.</x:v>
      </x:c>
      <x:c r="I9" s="9" t="str">
        <x:v>Carte de pack avec emblème multijoueur et version.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me3/systems/mp-earth ; rattacher les ressources et états cités à cet identifiant. Aucun fichier de jeu créé par ce catalogue.</x:v>
      </x:c>
      <x:c r="M9" s="9" t="str">
        <x:v>ME3 original multijoueur uniquement ; aucun lien de sélection solo.</x:v>
      </x:c>
      <x:c r="N9" s="9" t="str">
        <x:v>Installer ou masquer ce pack ne change aucun drapeau de compagnon, quête ou scène solo ; sa liste exacte reste vérifiable dans le manifeste dédié.</x:v>
      </x:c>
      <x:c r="O9" s="9" t="str"/>
      <x:c r="P9" s="9" t="str">
        <x:v>Multijoueur — Earth</x:v>
      </x:c>
      <x:c r="Q9" s="9" t="str">
        <x:v>ME3-SRC-MP</x:v>
      </x:c>
      <x:c r="R9" s="9" t="str">
        <x:v>https://masseffect.fandom.com/wiki/Mass_Effect_3_Multiplayer</x:v>
      </x:c>
      <x:c r="S9" s="9" t="str">
        <x:v>Spécification à réaliser. Les champs adaptation, gameplay, visual, animation, audio et implementation décrivent le fan game ; ils ne donnent pas des caractéristiques officielles de l’œuvre.</x:v>
      </x:c>
    </x:row>
    <x:row r="10" ht="68" customHeight="1">
      <x:c r="A10" s="19" t="str">
        <x:v>ME3-SYS-MP-RETALIATION</x:v>
      </x:c>
      <x:c r="B10" s="7" t="str">
        <x:v>Multijoueur — Retaliation</x:v>
      </x:c>
      <x:c r="C10" s="15" t="str">
        <x:v>Défini</x:v>
      </x:c>
      <x:c r="D10" s="17" t="str">
        <x:v>Établi</x:v>
      </x:c>
      <x:c r="E10" s="17" t="str">
        <x:v>P1</x:v>
      </x:c>
      <x:c r="F10" s="7" t="str">
        <x:v>Pack multijoueur incluant les Récolteurs et des dangers.</x:v>
      </x:c>
      <x:c r="G10" s="7" t="str">
        <x:v>Activer faction Récolteurs, défis et versions dangereuses ; danger de carte et attaque ennemie ont signaux différents.</x:v>
      </x:c>
      <x:c r="H10" s="7" t="str">
        <x:v>Activer faction Récolteurs, défis et versions dangereuses ; danger de carte et attaque ennemie ont signaux différents.</x:v>
      </x:c>
      <x:c r="I10" s="7" t="str">
        <x:v>Carte de pack avec emblème multijoueur et version.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me3/systems/mp-retaliation ; rattacher les ressources et états cités à cet identifiant. Aucun fichier de jeu créé par ce catalogue.</x:v>
      </x:c>
      <x:c r="M10" s="7" t="str">
        <x:v>ME3 original multijoueur uniquement ; aucun lien de sélection solo.</x:v>
      </x:c>
      <x:c r="N10" s="7" t="str">
        <x:v>Installer ou masquer ce pack ne change aucun drapeau de compagnon, quête ou scène solo ; sa liste exacte reste vérifiable dans le manifeste dédié.</x:v>
      </x:c>
      <x:c r="O10" s="7" t="str"/>
      <x:c r="P10" s="7" t="str">
        <x:v>Multijoueur — Retaliation</x:v>
      </x:c>
      <x:c r="Q10" s="7" t="str">
        <x:v>ME3-SRC-MP</x:v>
      </x:c>
      <x:c r="R10" s="7" t="str">
        <x:v>https://masseffect.fandom.com/wiki/Mass_Effect_3_Multiplayer</x:v>
      </x:c>
      <x:c r="S10" s="7" t="str">
        <x:v>Spécification à réaliser. Les champs adaptation, gameplay, visual, animation, audio et implementation décrivent le fan game ; ils ne donnent pas des caractéristiques officielles de l’œuvre.</x:v>
      </x:c>
    </x:row>
    <x:row r="11" ht="68" customHeight="1">
      <x:c r="A11" s="18" t="str">
        <x:v>ME3-SYS-MP-RECKONING</x:v>
      </x:c>
      <x:c r="B11" s="9" t="str">
        <x:v>Multijoueur — Reckoning</x:v>
      </x:c>
      <x:c r="C11" s="15" t="str">
        <x:v>Défini</x:v>
      </x:c>
      <x:c r="D11" s="16" t="str">
        <x:v>Établi</x:v>
      </x:c>
      <x:c r="E11" s="16" t="str">
        <x:v>P1</x:v>
      </x:c>
      <x:c r="F11" s="9" t="str">
        <x:v>Pack multijoueur annoncé par BioWare.</x:v>
      </x:c>
      <x:c r="G11" s="9" t="str">
        <x:v>Registre de personnages et armes du pack ; Geth Juggernaut, Cabal Vanguard, Talon Mercenary, Alliance Infiltration Unit et Krogan Warlord sont des classes multi, jamais équipiers de campagne.</x:v>
      </x:c>
      <x:c r="H11" s="9" t="str">
        <x:v>Registre de personnages et armes du pack ; Geth Juggernaut, Cabal Vanguard, Talon Mercenary, Alliance Infiltration Unit et Krogan Warlord sont des classes multi, jamais équipiers de campagne.</x:v>
      </x:c>
      <x:c r="I11" s="9" t="str">
        <x:v>Carte de pack avec emblème multijoueur et version.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me3/systems/mp-reckoning ; rattacher les ressources et états cités à cet identifiant. Aucun fichier de jeu créé par ce catalogue.</x:v>
      </x:c>
      <x:c r="M11" s="9" t="str">
        <x:v>ME3 original multijoueur uniquement ; aucun lien de sélection solo.</x:v>
      </x:c>
      <x:c r="N11" s="9" t="str">
        <x:v>Installer ou masquer ce pack ne change aucun drapeau de compagnon, quête ou scène solo ; sa liste exacte reste vérifiable dans le manifeste dédié.</x:v>
      </x:c>
      <x:c r="O11" s="9" t="str"/>
      <x:c r="P11" s="9" t="str">
        <x:v>Multijoueur — Reckoning</x:v>
      </x:c>
      <x:c r="Q11" s="9" t="str">
        <x:v>ME3-SRC-BW-CITADEL</x:v>
      </x:c>
      <x:c r="R11" s="9" t="str">
        <x:v>https://blog.bioware.com/2013/02/21/mass-effect-3-citadel-reckoning-dlc-announced/</x:v>
      </x:c>
      <x:c r="S11" s="9" t="str">
        <x:v>Spécification à réaliser. Les champs adaptation, gameplay, visual, animation, audio et implementation décrivent le fan game ; ils ne donnent pas des caractéristiques officielles de l’œuvre.</x:v>
      </x:c>
    </x:row>
    <x:row r="12" ht="68" customHeight="1">
      <x:c r="A12" s="19" t="str">
        <x:v>ME3-SYS-ATB</x:v>
      </x:c>
      <x:c r="B12" s="7" t="str">
        <x:v>ATB hybride de ME3</x:v>
      </x:c>
      <x:c r="C12" s="15" t="str">
        <x:v>Défini</x:v>
      </x:c>
      <x:c r="D12" s="17" t="str">
        <x:v>Extrapolation</x:v>
      </x:c>
      <x:c r="E12" s="17" t="str">
        <x:v>P1</x:v>
      </x:c>
      <x:c r="F12" s="7" t="str">
        <x:v>Livrable original proposé : ATB hybride de ME3.</x:v>
      </x:c>
      <x:c r="G12" s="7" t="str">
        <x:v>File visible d’actions de trois membres, pause tactique facultative ; préparation, résolution et récupération séparées, annulation selon étape annoncée.</x:v>
      </x:c>
      <x:c r="H12" s="7" t="str">
        <x:v>File visible d’actions de trois membres, pause tactique facultative ; préparation, résolution et récupération séparées, annulation selon étape annoncée.</x:v>
      </x:c>
      <x:c r="I12" s="7" t="str">
        <x:v>Jauges proches des portraits et chronologie courte.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me3/systems/atb ; rattacher les ressources et états cités à cet identifiant. Aucun fichier de jeu créé par ce catalogue.</x:v>
      </x:c>
      <x:c r="M12" s="7" t="str"/>
      <x:c r="N12" s="7" t="str">
        <x:v>Le livrable « ATB hybride de ME3 » possède une scène ou un scénario de contrôle ; ses règles proposées, ses conditions et ses retours visuels sont vérifiables séparément.</x:v>
      </x:c>
      <x:c r="O12" s="7" t="str">
        <x:v>ME3-CHR-SHEPARD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ME3-SYS-COVER</x:v>
      </x:c>
      <x:c r="B13" s="9" t="str">
        <x:v>Couvert sur décor 3D</x:v>
      </x:c>
      <x:c r="C13" s="15" t="str">
        <x:v>Défini</x:v>
      </x:c>
      <x:c r="D13" s="16" t="str">
        <x:v>Extrapolation</x:v>
      </x:c>
      <x:c r="E13" s="16" t="str">
        <x:v>P1</x:v>
      </x:c>
      <x:c r="F13" s="9" t="str">
        <x:v>Livrable original proposé : Couvert sur décor 3D.</x:v>
      </x:c>
      <x:c r="G13" s="9" t="str">
        <x:v>Tags haut/bas et côtés exposés ; tester visée depuis pivot au sol indépendamment de taille du sprite.</x:v>
      </x:c>
      <x:c r="H13" s="9" t="str">
        <x:v>Tags haut/bas et côtés exposés ; tester visée depuis pivot au sol indépendamment de taille du sprite.</x:v>
      </x:c>
      <x:c r="I13" s="9" t="str">
        <x:v>Contours de couvert à survol.</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me3/systems/cover ; rattacher les ressources et états cités à cet identifiant. Aucun fichier de jeu créé par ce catalogue.</x:v>
      </x:c>
      <x:c r="M13" s="9" t="str"/>
      <x:c r="N13" s="9" t="str">
        <x:v>Le livrable « Couvert sur décor 3D » possède une scène ou un scénario de contrôle ; ses règles proposées, ses conditions et ses retours visuels sont vérifiables séparément.</x:v>
      </x:c>
      <x:c r="O13" s="9" t="str">
        <x:v>ME3-SCN-CITADEL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ME3-SYS-TRAVERSAL</x:v>
      </x:c>
      <x:c r="B14" s="7" t="str">
        <x:v>Déplacement, roulade et franchissement</x:v>
      </x:c>
      <x:c r="C14" s="15" t="str">
        <x:v>Défini</x:v>
      </x:c>
      <x:c r="D14" s="17" t="str">
        <x:v>Extrapolation</x:v>
      </x:c>
      <x:c r="E14" s="17" t="str">
        <x:v>P1</x:v>
      </x:c>
      <x:c r="F14" s="7" t="str">
        <x:v>Livrable original proposé : Déplacement, roulade et franchissement.</x:v>
      </x:c>
      <x:c r="G14" s="7" t="str">
        <x:v>Actions de mouvement utilisent réservation de destination ; coût ATB proposé distingue déplacement sûr et esquive de menace active.</x:v>
      </x:c>
      <x:c r="H14" s="7" t="str">
        <x:v>Actions de mouvement utilisent réservation de destination ; coût ATB proposé distingue déplacement sûr et esquive de menace active.</x:v>
      </x:c>
      <x:c r="I14" s="7" t="str">
        <x:v>Chemin et position fantôme.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me3/systems/traversal ; rattacher les ressources et états cités à cet identifiant. Aucun fichier de jeu créé par ce catalogue.</x:v>
      </x:c>
      <x:c r="M14" s="7" t="str"/>
      <x:c r="N14" s="7" t="str">
        <x:v>Le livrable « Déplacement, roulade et franchissement » possède une scène ou un scénario de contrôle ; ses règles proposées, ses conditions et ses retours visuels sont vérifiables séparément.</x:v>
      </x:c>
      <x:c r="O14" s="7" t="str">
        <x:v>ME3-ANI-VAULT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ME3-SYS-DEFENSES</x:v>
      </x:c>
      <x:c r="B15" s="9" t="str">
        <x:v>Protections et immunités</x:v>
      </x:c>
      <x:c r="C15" s="15" t="str">
        <x:v>Défini</x:v>
      </x:c>
      <x:c r="D15" s="16" t="str">
        <x:v>Extrapolation</x:v>
      </x:c>
      <x:c r="E15" s="16" t="str">
        <x:v>P1</x:v>
      </x:c>
      <x:c r="F15" s="9" t="str">
        <x:v>Livrable original proposé : Protections et immunités.</x:v>
      </x:c>
      <x:c r="G15" s="9" t="str">
        <x:v>Santé, armure, bouclier et barrière ont règles séparées ; prévisualiser contrôle résistant et dégâts admis.</x:v>
      </x:c>
      <x:c r="H15" s="9" t="str">
        <x:v>Santé, armure, bouclier et barrière ont règles séparées ; prévisualiser contrôle résistant et dégâts admis.</x:v>
      </x:c>
      <x:c r="I15" s="9" t="str">
        <x:v>Quatre barres avec motifs et noms.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me3/systems/defenses ; rattacher les ressources et états cités à cet identifiant. Aucun fichier de jeu créé par ce catalogue.</x:v>
      </x:c>
      <x:c r="M15" s="9" t="str"/>
      <x:c r="N15" s="9" t="str">
        <x:v>Le livrable « Protections et immunités » possède une scène ou un scénario de contrôle ; ses règles proposées, ses conditions et ses retours visuels sont vérifiables séparément.</x:v>
      </x:c>
      <x:c r="O15" s="9" t="str">
        <x:v>ME3-VFX-PROTECTION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ME3-SYS-COMBOS</x:v>
      </x:c>
      <x:c r="B16" s="7" t="str">
        <x:v>Amorces et détonateurs</x:v>
      </x:c>
      <x:c r="C16" s="15" t="str">
        <x:v>Défini</x:v>
      </x:c>
      <x:c r="D16" s="17" t="str">
        <x:v>Extrapolation</x:v>
      </x:c>
      <x:c r="E16" s="17" t="str">
        <x:v>P1</x:v>
      </x:c>
      <x:c r="F16" s="7" t="str">
        <x:v>Livrable original proposé : Amorces et détonateurs.</x:v>
      </x:c>
      <x:c r="G16" s="7" t="str">
        <x:v>Table explicite feu/glace/tech/biotique ; détonation résout une fois, consomme l’amorce voulue et laisse les autres selon règle annoncée.</x:v>
      </x:c>
      <x:c r="H16" s="7" t="str">
        <x:v>Table explicite feu/glace/tech/biotique ; détonation résout une fois, consomme l’amorce voulue et laisse les autres selon règle annoncée.</x:v>
      </x:c>
      <x:c r="I16" s="7" t="str">
        <x:v>Icônes de compatibilité dans sélection.</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me3/systems/combos ; rattacher les ressources et états cités à cet identifiant. Aucun fichier de jeu créé par ce catalogue.</x:v>
      </x:c>
      <x:c r="M16" s="7" t="str"/>
      <x:c r="N16" s="7" t="str">
        <x:v>Le livrable « Amorces et détonateurs » possède une scène ou un scénario de contrôle ; ses règles proposées, ses conditions et ses retours visuels sont vérifiables séparément.</x:v>
      </x:c>
      <x:c r="O16" s="7" t="str">
        <x:v>ME3-VFX-PRIMER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ME3-SYS-WEIGHT</x:v>
      </x:c>
      <x:c r="B17" s="9" t="str">
        <x:v>Masse d’armes et récupération</x:v>
      </x:c>
      <x:c r="C17" s="15" t="str">
        <x:v>Défini</x:v>
      </x:c>
      <x:c r="D17" s="16" t="str">
        <x:v>Extrapolation</x:v>
      </x:c>
      <x:c r="E17" s="16" t="str">
        <x:v>P1</x:v>
      </x:c>
      <x:c r="F17" s="9" t="str">
        <x:v>Livrable original proposé : Masse d’armes et récupération.</x:v>
      </x:c>
      <x:c r="G17" s="9" t="str">
        <x:v>Charge du loadout modifie récupération proposée ; aperçu avant validation et calcul unique lors du changement.</x:v>
      </x:c>
      <x:c r="H17" s="9" t="str">
        <x:v>Charge du loadout modifie récupération proposée ; aperçu avant validation et calcul unique lors du changement.</x:v>
      </x:c>
      <x:c r="I17" s="9" t="str">
        <x:v>Jauge de masse et délai estimé.</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me3/systems/weight ; rattacher les ressources et états cités à cet identifiant. Aucun fichier de jeu créé par ce catalogue.</x:v>
      </x:c>
      <x:c r="M17" s="9" t="str"/>
      <x:c r="N17" s="9" t="str">
        <x:v>Le livrable « Masse d’armes et récupération » possède une scène ou un scénario de contrôle ; ses règles proposées, ses conditions et ses retours visuels sont vérifiables séparément.</x:v>
      </x:c>
      <x:c r="O17" s="9" t="str">
        <x:v>ME3-EQP-ULTRALIGHT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ME3-SYS-EVOLUTION</x:v>
      </x:c>
      <x:c r="B18" s="7" t="str">
        <x:v>Arbres de pouvoirs</x:v>
      </x:c>
      <x:c r="C18" s="15" t="str">
        <x:v>Défini</x:v>
      </x:c>
      <x:c r="D18" s="17" t="str">
        <x:v>Extrapolation</x:v>
      </x:c>
      <x:c r="E18" s="17" t="str">
        <x:v>P1</x:v>
      </x:c>
      <x:c r="F18" s="7" t="str">
        <x:v>Livrable original proposé : Arbres de pouvoirs.</x:v>
      </x:c>
      <x:c r="G18" s="7" t="str">
        <x:v>Rangs et bifurcations lisibles ; séparer effet actif, passif et changement de combo, avec restauration de points contrôlée.</x:v>
      </x:c>
      <x:c r="H18" s="7" t="str">
        <x:v>Rangs et bifurcations lisibles ; séparer effet actif, passif et changement de combo, avec restauration de points contrôlée.</x:v>
      </x:c>
      <x:c r="I18" s="7" t="str">
        <x:v>Arbre compact et résumé de build.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me3/systems/evolution ; rattacher les ressources et états cités à cet identifiant. Aucun fichier de jeu créé par ce catalogue.</x:v>
      </x:c>
      <x:c r="M18" s="7" t="str"/>
      <x:c r="N18" s="7" t="str">
        <x:v>Le livrable « Arbres de pouvoirs » possède une scène ou un scénario de contrôle ; ses règles proposées, ses conditions et ses retours visuels sont vérifiables séparément.</x:v>
      </x:c>
      <x:c r="O18" s="7" t="str">
        <x:v>ME3-POW-CLASS-PASSIVES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ME3-SYS-WAR-ASSETS</x:v>
      </x:c>
      <x:c r="B19" s="9" t="str">
        <x:v>Ressources de guerre avec provenance</x:v>
      </x:c>
      <x:c r="C19" s="15" t="str">
        <x:v>Défini</x:v>
      </x:c>
      <x:c r="D19" s="16" t="str">
        <x:v>Extrapolation</x:v>
      </x:c>
      <x:c r="E19" s="16" t="str">
        <x:v>P1</x:v>
      </x:c>
      <x:c r="F19" s="9" t="str">
        <x:v>Livrable original proposé : Ressources de guerre avec provenance.</x:v>
      </x:c>
      <x:c r="G19" s="9" t="str">
        <x:v>Chaque contribution garde mission, décision et éventuel retrait ; montant proposé du fan game distinct des chiffres du jeu original.</x:v>
      </x:c>
      <x:c r="H19" s="9" t="str">
        <x:v>Chaque contribution garde mission, décision et éventuel retrait ; montant proposé du fan game distinct des chiffres du jeu original.</x:v>
      </x:c>
      <x:c r="I19" s="9" t="str">
        <x:v>Registre filtrable par faction.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me3/systems/war-assets ; rattacher les ressources et états cités à cet identifiant. Aucun fichier de jeu créé par ce catalogue.</x:v>
      </x:c>
      <x:c r="M19" s="9" t="str"/>
      <x:c r="N19" s="9" t="str">
        <x:v>Le livrable « Ressources de guerre avec provenance » possède une scène ou un scénario de contrôle ; ses règles proposées, ses conditions et ses retours visuels sont vérifiables séparément.</x:v>
      </x:c>
      <x:c r="O19" s="9" t="str">
        <x:v>ME3-PRP-WAR-TABLE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ME3-SYS-READINESS</x:v>
      </x:c>
      <x:c r="B20" s="7" t="str">
        <x:v>Original / Legendary : préparation de guerre</x:v>
      </x:c>
      <x:c r="C20" s="15" t="str">
        <x:v>Défini</x:v>
      </x:c>
      <x:c r="D20" s="17" t="str">
        <x:v>Extrapolation</x:v>
      </x:c>
      <x:c r="E20" s="17" t="str">
        <x:v>P1</x:v>
      </x:c>
      <x:c r="F20" s="7" t="str">
        <x:v>Livrable original proposé : Original / Legendary : préparation de guerre.</x:v>
      </x:c>
      <x:c r="G20" s="7" t="str">
        <x:v>Deux profils de règles ; original peut relier readiness au multi, Legendary solo ne dépend d’aucun service multi ni application.</x:v>
      </x:c>
      <x:c r="H20" s="7" t="str">
        <x:v>Deux profils de règles ; original peut relier readiness au multi, Legendary solo ne dépend d’aucun service multi ni application.</x:v>
      </x:c>
      <x:c r="I20" s="7" t="str">
        <x:v>Étiquette de version persistante.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me3/systems/readiness ; rattacher les ressources et états cités à cet identifiant. Aucun fichier de jeu créé par ce catalogue.</x:v>
      </x:c>
      <x:c r="M20" s="7" t="str">
        <x:v>Profil de version choisi avant campagne.</x:v>
      </x:c>
      <x:c r="N20" s="7" t="str">
        <x:v>Le livrable « Original / Legendary : préparation de guerre » possède une scène ou un scénario de contrôle ; ses règles proposées, ses conditions et ses retours visuels sont vérifiables séparément.</x:v>
      </x:c>
      <x:c r="O20" s="7" t="str">
        <x:v>ME3-CHO-IMPORT</x:v>
      </x:c>
      <x:c r="P20" s="7" t="str">
        <x:v>Gameplay Calibrations — Legendary Edition</x:v>
      </x:c>
      <x:c r="Q20" s="7" t="str">
        <x:v>ME3-SRC-EA-CAL</x:v>
      </x:c>
      <x:c r="R20" s="7" t="str">
        <x:v>https://www.ea.com/ea-play/news/gameplay-calibrations</x:v>
      </x:c>
      <x:c r="S20" s="7" t="str">
        <x:v>Spécification à réaliser. Les champs adaptation, gameplay, visual, animation, audio et implementation décrivent le fan game ; ils ne donnent pas des caractéristiques officielles de l’œuvre.</x:v>
      </x:c>
    </x:row>
    <x:row r="21" ht="68" customHeight="1">
      <x:c r="A21" s="18" t="str">
        <x:v>ME3-SYS-SCAN</x:v>
      </x:c>
      <x:c r="B21" s="9" t="str">
        <x:v>Scan galactique et poursuite</x:v>
      </x:c>
      <x:c r="C21" s="15" t="str">
        <x:v>Défini</x:v>
      </x:c>
      <x:c r="D21" s="16" t="str">
        <x:v>Extrapolation</x:v>
      </x:c>
      <x:c r="E21" s="16" t="str">
        <x:v>P1</x:v>
      </x:c>
      <x:c r="F21" s="9" t="str">
        <x:v>Livrable original proposé : Scan galactique et poursuite.</x:v>
      </x:c>
      <x:c r="G21" s="9" t="str">
        <x:v>Scan détecte ressources et peut accroître alerte ; fuite revient à une carte cohérente, données acquises restent sauvegardées.</x:v>
      </x:c>
      <x:c r="H21" s="9" t="str">
        <x:v>Scan détecte ressources et peut accroître alerte ; fuite revient à une carte cohérente, données acquises restent sauvegardées.</x:v>
      </x:c>
      <x:c r="I21" s="9" t="str">
        <x:v>Carte avec alerte et marqueurs de collecte.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me3/systems/scan ; rattacher les ressources et états cités à cet identifiant. Aucun fichier de jeu créé par ce catalogue.</x:v>
      </x:c>
      <x:c r="M21" s="9" t="str"/>
      <x:c r="N21" s="9" t="str">
        <x:v>Le livrable « Scan galactique et poursuite » possède une scène ou un scénario de contrôle ; ses règles proposées, ses conditions et ses retours visuels sont vérifiables séparément.</x:v>
      </x:c>
      <x:c r="O21" s="9" t="str">
        <x:v>ME3-VFX-MAP-SCAN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ME3-SYS-JOURNAL</x:v>
      </x:c>
      <x:c r="B22" s="7" t="str">
        <x:v>Journal : enquête, collecte, remise</x:v>
      </x:c>
      <x:c r="C22" s="15" t="str">
        <x:v>Défini</x:v>
      </x:c>
      <x:c r="D22" s="17" t="str">
        <x:v>Extrapolation</x:v>
      </x:c>
      <x:c r="E22" s="17" t="str">
        <x:v>P1</x:v>
      </x:c>
      <x:c r="F22" s="7" t="str">
        <x:v>Livrable original proposé : Journal : enquête, collecte, remise.</x:v>
      </x:c>
      <x:c r="G22" s="7" t="str">
        <x:v>États distincts évitent de marquer une mission finie dès réception d’objet ; les demandes civiles ont destinataire visible.</x:v>
      </x:c>
      <x:c r="H22" s="7" t="str">
        <x:v>États distincts évitent de marquer une mission finie dès réception d’objet ; les demandes civiles ont destinataire visible.</x:v>
      </x:c>
      <x:c r="I22" s="7" t="str">
        <x:v>Liste triable par lieu et prochaine action.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me3/systems/journal ; rattacher les ressources et états cités à cet identifiant. Aucun fichier de jeu créé par ce catalogue.</x:v>
      </x:c>
      <x:c r="M22" s="7" t="str"/>
      <x:c r="N22" s="7" t="str">
        <x:v>Le livrable « Journal : enquête, collecte, remise » possède une scène ou un scénario de contrôle ; ses règles proposées, ses conditions et ses retours visuels sont vérifiables séparément.</x:v>
      </x:c>
      <x:c r="O22" s="7" t="str">
        <x:v>ME3-SQ-MEDFORM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ME3-SYS-DEADLINES</x:v>
      </x:c>
      <x:c r="B23" s="9" t="str">
        <x:v>Échéances de campagne</x:v>
      </x:c>
      <x:c r="C23" s="15" t="str">
        <x:v>Défini</x:v>
      </x:c>
      <x:c r="D23" s="16" t="str">
        <x:v>Extrapolation</x:v>
      </x:c>
      <x:c r="E23" s="16" t="str">
        <x:v>P1</x:v>
      </x:c>
      <x:c r="F23" s="9" t="str">
        <x:v>Livrable original proposé : Échéances de campagne.</x:v>
      </x:c>
      <x:c r="G23" s="9" t="str">
        <x:v>Horloge en événements de missions, pas en temps réel de lecture ; avertissements de point de non-retour proposés avant départ.</x:v>
      </x:c>
      <x:c r="H23" s="9" t="str">
        <x:v>Horloge en événements de missions, pas en temps réel de lecture ; avertissements de point de non-retour proposés avant départ.</x:v>
      </x:c>
      <x:c r="I23" s="9" t="str">
        <x:v>Marqueur d’urgence et condition d’expiration.</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me3/systems/deadlines ; rattacher les ressources et états cités à cet identifiant. Aucun fichier de jeu créé par ce catalogue.</x:v>
      </x:c>
      <x:c r="M23" s="9" t="str"/>
      <x:c r="N23" s="9" t="str">
        <x:v>Le livrable « Échéances de campagne » possède une scène ou un scénario de contrôle ; ses règles proposées, ses conditions et ses retours visuels sont vérifiables séparément.</x:v>
      </x:c>
      <x:c r="O23" s="9" t="str">
        <x:v>ME3-SQ-BOMB, ME3-SQ-GRISSOM</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ME3-SYS-ROSTER</x:v>
      </x:c>
      <x:c r="B24" s="7" t="str">
        <x:v>Composition et substitutions</x:v>
      </x:c>
      <x:c r="C24" s="15" t="str">
        <x:v>Défini</x:v>
      </x:c>
      <x:c r="D24" s="17" t="str">
        <x:v>Extrapolation</x:v>
      </x:c>
      <x:c r="E24" s="17" t="str">
        <x:v>P1</x:v>
      </x:c>
      <x:c r="F24" s="7" t="str">
        <x:v>Livrable original proposé : Composition et substitutions.</x:v>
      </x:c>
      <x:c r="G24" s="7" t="str">
        <x:v>Règles par chapitre, DLC et mode ; Mordin/Wiks, Ashley/Kaidan, Aria/Nyreen et Armax ne partagent pas un seul roster permanent.</x:v>
      </x:c>
      <x:c r="H24" s="7" t="str">
        <x:v>Règles par chapitre, DLC et mode ; Mordin/Wiks, Ashley/Kaidan, Aria/Nyreen et Armax ne partagent pas un seul roster permanent.</x:v>
      </x:c>
      <x:c r="I24" s="7" t="str">
        <x:v>Portrait avec raison d’indisponibilité.</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me3/systems/roster ; rattacher les ressources et états cités à cet identifiant. Aucun fichier de jeu créé par ce catalogue.</x:v>
      </x:c>
      <x:c r="M24" s="7" t="str"/>
      <x:c r="N24" s="7" t="str">
        <x:v>Le livrable « Composition et substitutions » possède une scène ou un scénario de contrôle ; ses règles proposées, ses conditions et ses retours visuels sont vérifiables séparément.</x:v>
      </x:c>
      <x:c r="O24" s="7" t="str">
        <x:v>ME3-CHR-ARIA, ME3-CHR-WREX</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ME3-SYS-ROMANCE</x:v>
      </x:c>
      <x:c r="B25" s="9" t="str">
        <x:v>État des relations</x:v>
      </x:c>
      <x:c r="C25" s="15" t="str">
        <x:v>Défini</x:v>
      </x:c>
      <x:c r="D25" s="16" t="str">
        <x:v>Extrapolation</x:v>
      </x:c>
      <x:c r="E25" s="16" t="str">
        <x:v>P1</x:v>
      </x:c>
      <x:c r="F25" s="9" t="str">
        <x:v>Livrable original proposé : État des relations.</x:v>
      </x:c>
      <x:c r="G25" s="9" t="str">
        <x:v>Relation, flirt, rupture, passé et scène finale sont variables distinctes ; scripts ne déduisent pas romance du seul sexe de Shepard.</x:v>
      </x:c>
      <x:c r="H25" s="9" t="str">
        <x:v>Relation, flirt, rupture, passé et scène finale sont variables distinctes ; scripts ne déduisent pas romance du seul sexe de Shepard.</x:v>
      </x:c>
      <x:c r="I25" s="9" t="str">
        <x:v>Historique de scène consultable sans score affection affiché.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me3/systems/romance ; rattacher les ressources et états cités à cet identifiant. Aucun fichier de jeu créé par ce catalogue.</x:v>
      </x:c>
      <x:c r="M25" s="9" t="str"/>
      <x:c r="N25" s="9" t="str">
        <x:v>Le livrable « État des relations » possède une scène ou un scénario de contrôle ; ses règles proposées, ses conditions et ses retours visuels sont vérifiables séparément.</x:v>
      </x:c>
      <x:c r="O25" s="9" t="str">
        <x:v>ME3-CHO-ROMANCE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ME3-SYS-DLC</x:v>
      </x:c>
      <x:c r="B26" s="7" t="str">
        <x:v>Ordre et admission des DLC</x:v>
      </x:c>
      <x:c r="C26" s="15" t="str">
        <x:v>Défini</x:v>
      </x:c>
      <x:c r="D26" s="17" t="str">
        <x:v>Extrapolation</x:v>
      </x:c>
      <x:c r="E26" s="17" t="str">
        <x:v>P1</x:v>
      </x:c>
      <x:c r="F26" s="7" t="str">
        <x:v>Livrable original proposé : Ordre et admission des DLC.</x:v>
      </x:c>
      <x:c r="G26" s="7" t="str">
        <x:v>Manifestes From Ashes, Leviathan, Omega et Citadel ; obligations de chapitre et roster contrôlées à l’entrée et au retour.</x:v>
      </x:c>
      <x:c r="H26" s="7" t="str">
        <x:v>Manifestes From Ashes, Leviathan, Omega et Citadel ; obligations de chapitre et roster contrôlées à l’entrée et au retour.</x:v>
      </x:c>
      <x:c r="I26" s="7" t="str">
        <x:v>Carte d’extension et avertissement contextuel.</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me3/systems/dlc ; rattacher les ressources et états cités à cet identifiant. Aucun fichier de jeu créé par ce catalogue.</x:v>
      </x:c>
      <x:c r="M26" s="7" t="str"/>
      <x:c r="N26" s="7" t="str">
        <x:v>Le livrable « Ordre et admission des DLC » possède une scène ou un scénario de contrôle ; ses règles proposées, ses conditions et ses retours visuels sont vérifiables séparément.</x:v>
      </x:c>
      <x:c r="O26" s="7" t="str">
        <x:v>ME3-MQ-EDEN, ME3-MQ-OMEGA</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ME3-SYS-ARENA</x:v>
      </x:c>
      <x:c r="B27" s="9" t="str">
        <x:v>Simulateur Armax isolé</x:v>
      </x:c>
      <x:c r="C27" s="15" t="str">
        <x:v>Défini</x:v>
      </x:c>
      <x:c r="D27" s="16" t="str">
        <x:v>Extrapolation</x:v>
      </x:c>
      <x:c r="E27" s="16" t="str">
        <x:v>P1</x:v>
      </x:c>
      <x:c r="F27" s="9" t="str">
        <x:v>Livrable original proposé : Simulateur Armax isolé.</x:v>
      </x:c>
      <x:c r="G27" s="9" t="str">
        <x:v>Équipement, score et modificateurs en état temporaire ; absence de mort permanente des invités ; récompense persistée à sortie réussie.</x:v>
      </x:c>
      <x:c r="H27" s="9" t="str">
        <x:v>Équipement, score et modificateurs en état temporaire ; absence de mort permanente des invités ; récompense persistée à sortie réussie.</x:v>
      </x:c>
      <x:c r="I27" s="9" t="str">
        <x:v>Étiquette Simulation sur HUD.</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me3/systems/arena ; rattacher les ressources et états cités à cet identifiant. Aucun fichier de jeu créé par ce catalogue.</x:v>
      </x:c>
      <x:c r="M27" s="9" t="str">
        <x:v>Citadel.</x:v>
      </x:c>
      <x:c r="N27" s="9" t="str">
        <x:v>Le livrable « Simulateur Armax isolé » possède une scène ou un scénario de contrôle ; ses règles proposées, ses conditions et ses retours visuels sont vérifiables séparément.</x:v>
      </x:c>
      <x:c r="O27" s="9" t="str">
        <x:v>ME3-SQ-ARMAX</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ME3-SYS-MP-WAVES</x:v>
      </x:c>
      <x:c r="B28" s="7" t="str">
        <x:v>Module coopératif à vagues</x:v>
      </x:c>
      <x:c r="C28" s="15" t="str">
        <x:v>Défini</x:v>
      </x:c>
      <x:c r="D28" s="17" t="str">
        <x:v>Extrapolation</x:v>
      </x:c>
      <x:c r="E28" s="17" t="str">
        <x:v>P1</x:v>
      </x:c>
      <x:c r="F28" s="7" t="str">
        <x:v>Livrable original proposé : Module coopératif à vagues.</x:v>
      </x:c>
      <x:c r="G28" s="7" t="str">
        <x:v>Objectifs, réanimation, extraction et budgets de menace séparés du solo ; synchroniser décisions ATB par mode coopératif explicitement expérimental.</x:v>
      </x:c>
      <x:c r="H28" s="7" t="str">
        <x:v>Objectifs, réanimation, extraction et budgets de menace séparés du solo ; synchroniser décisions ATB par mode coopératif explicitement expérimental.</x:v>
      </x:c>
      <x:c r="I28" s="7" t="str">
        <x:v>Quatre portraits et statut de vague.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me3/systems/mp-waves ; rattacher les ressources et états cités à cet identifiant. Aucun fichier de jeu créé par ce catalogue.</x:v>
      </x:c>
      <x:c r="M28" s="7" t="str">
        <x:v>Multijoueur original adapté, absent Legendary.</x:v>
      </x:c>
      <x:c r="N28" s="7" t="str">
        <x:v>Le livrable « Module coopératif à vagues » possède une scène ou un scénario de contrôle ; ses règles proposées, ses conditions et ses retours visuels sont vérifiables séparément.</x:v>
      </x:c>
      <x:c r="O28" s="7" t="str">
        <x:v>ME3-SYS-MP-RETALIATION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ME3-SYS-MP-HAZARDS</x:v>
      </x:c>
      <x:c r="B29" s="9" t="str">
        <x:v>Dangers des cartes multijoueurs</x:v>
      </x:c>
      <x:c r="C29" s="15" t="str">
        <x:v>Défini</x:v>
      </x:c>
      <x:c r="D29" s="16" t="str">
        <x:v>Extrapolation</x:v>
      </x:c>
      <x:c r="E29" s="16" t="str">
        <x:v>P1</x:v>
      </x:c>
      <x:c r="F29" s="9" t="str">
        <x:v>Livrable original proposé : Dangers des cartes multijoueurs.</x:v>
      </x:c>
      <x:c r="G29" s="9" t="str">
        <x:v>Variantes tempête, pluie acide, nuit, essaims, réacteur et blizzard ; danger paramétré par carte, télégraphe et chemin sûr toujours visibles.</x:v>
      </x:c>
      <x:c r="H29" s="9" t="str">
        <x:v>Variantes tempête, pluie acide, nuit, essaims, réacteur et blizzard ; danger paramétré par carte, télégraphe et chemin sûr toujours visibles.</x:v>
      </x:c>
      <x:c r="I29" s="9" t="str">
        <x:v>Pictogramme danger, intensité et abris.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me3/systems/mp-hazards ; rattacher les ressources et états cités à cet identifiant. Aucun fichier de jeu créé par ce catalogue.</x:v>
      </x:c>
      <x:c r="M29" s="9" t="str">
        <x:v>Module multi uniquement.</x:v>
      </x:c>
      <x:c r="N29" s="9" t="str">
        <x:v>Le livrable « Dangers des cartes multijoueurs » possède une scène ou un scénario de contrôle ; ses règles proposées, ses conditions et ses retours visuels sont vérifiables séparément.</x:v>
      </x:c>
      <x:c r="O29" s="9" t="str">
        <x:v>ME3-ZON-MP-DAGGER, ME3-ZON-MP-GHOST, ME3-ZON-MP-REACTOR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ME3-SYS-ENDING</x:v>
      </x:c>
      <x:c r="B30" s="7" t="str">
        <x:v>Résolveur d’épilogues</x:v>
      </x:c>
      <x:c r="C30" s="15" t="str">
        <x:v>Défini</x:v>
      </x:c>
      <x:c r="D30" s="17" t="str">
        <x:v>Extrapolation</x:v>
      </x:c>
      <x:c r="E30" s="17" t="str">
        <x:v>P1</x:v>
      </x:c>
      <x:c r="F30" s="7" t="str">
        <x:v>Livrable original proposé : Résolveur d’épilogues.</x:v>
      </x:c>
      <x:c r="G30" s="7" t="str">
        <x:v>Sélectionner version, choix final, force de guerre et grands états ; utiliser table documentée sans seuil canon inventé.</x:v>
      </x:c>
      <x:c r="H30" s="7" t="str">
        <x:v>Sélectionner version, choix final, force de guerre et grands états ; utiliser table documentée sans seuil canon inventé.</x:v>
      </x:c>
      <x:c r="I30" s="7" t="str">
        <x:v>Planche d’épilogues et raisons de sélection.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me3/systems/ending ; rattacher les ressources et états cités à cet identifiant. Aucun fichier de jeu créé par ce catalogue.</x:v>
      </x:c>
      <x:c r="M30" s="7" t="str">
        <x:v>Extended Cut / original séparés.</x:v>
      </x:c>
      <x:c r="N30" s="7" t="str">
        <x:v>Le livrable « Résolveur d’épilogues » possède une scène ou un scénario de contrôle ; ses règles proposées, ses conditions et ses retours visuels sont vérifiables séparément.</x:v>
      </x:c>
      <x:c r="O30" s="7" t="str">
        <x:v>ME3-CIN-FINALE</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ME3-SYS-SAVE</x:v>
      </x:c>
      <x:c r="B31" s="9" t="str">
        <x:v>Sauvegarde des variantes</x:v>
      </x:c>
      <x:c r="C31" s="15" t="str">
        <x:v>Défini</x:v>
      </x:c>
      <x:c r="D31" s="16" t="str">
        <x:v>Extrapolation</x:v>
      </x:c>
      <x:c r="E31" s="16" t="str">
        <x:v>P1</x:v>
      </x:c>
      <x:c r="F31" s="9" t="str">
        <x:v>Livrable original proposé : Sauvegarde des variantes.</x:v>
      </x:c>
      <x:c r="G31" s="9" t="str">
        <x:v>Sauvegarder avant grands verrous et décisions ; états inconnus d’import traités explicitement, migrations idempotentes.</x:v>
      </x:c>
      <x:c r="H31" s="9" t="str">
        <x:v>Sauvegarder avant grands verrous et décisions ; états inconnus d’import traités explicitement, migrations idempotentes.</x:v>
      </x:c>
      <x:c r="I31" s="9" t="str">
        <x:v>Emplacements nommés par étape.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me3/systems/save ; rattacher les ressources et états cités à cet identifiant. Aucun fichier de jeu créé par ce catalogue.</x:v>
      </x:c>
      <x:c r="M31" s="9" t="str"/>
      <x:c r="N31" s="9" t="str">
        <x:v>Le livrable « Sauvegarde des variantes » possède une scène ou un scénario de contrôle ; ses règles proposées, ses conditions et ses retours visuels sont vérifiables séparément.</x:v>
      </x:c>
      <x:c r="O31" s="9" t="str">
        <x:v>ME3-CHO-IMPORT</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ME3-SYS-ACCESS</x:v>
      </x:c>
      <x:c r="B32" s="7" t="str">
        <x:v>Accessibilité des décisions et menaces</x:v>
      </x:c>
      <x:c r="C32" s="15" t="str">
        <x:v>Défini</x:v>
      </x:c>
      <x:c r="D32" s="17" t="str">
        <x:v>Extrapolation</x:v>
      </x:c>
      <x:c r="E32" s="17" t="str">
        <x:v>P1</x:v>
      </x:c>
      <x:c r="F32" s="7" t="str">
        <x:v>Livrable original proposé : Accessibilité des décisions et menaces.</x:v>
      </x:c>
      <x:c r="G32" s="7" t="str">
        <x:v>Sous-titres paramétrables, couleurs doublées de formes, fenêtres non chronométrées proposées et réduction d’effets ; ne pas supprimer conséquences du choix.</x:v>
      </x:c>
      <x:c r="H32" s="7" t="str">
        <x:v>Sous-titres paramétrables, couleurs doublées de formes, fenêtres non chronométrées proposées et réduction d’effets ; ne pas supprimer conséquences du choix.</x:v>
      </x:c>
      <x:c r="I32" s="7" t="str">
        <x:v>Panneau de réglages avec exemples.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me3/systems/access ; rattacher les ressources et états cités à cet identifiant. Aucun fichier de jeu créé par ce catalogue.</x:v>
      </x:c>
      <x:c r="M32" s="7" t="str"/>
      <x:c r="N32" s="7" t="str">
        <x:v>Le livrable « Accessibilité des décisions et menaces » possède une scène ou un scénario de contrôle ; ses règles proposées, ses conditions et ses retours visuels sont vérifiables séparément.</x:v>
      </x:c>
      <x:c r="O32" s="7" t="str">
        <x:v>ME3-DIA-CATALYST</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92" priority="1" operator="equal">
      <x:formula>"À vérifier"</x:formula>
    </x:cfRule>
    <x:cfRule type="cellIs" dxfId="93" priority="2" operator="equal">
      <x:formula>"Extrapolation"</x:formula>
    </x:cfRule>
  </x:conditionalFormatting>
  <x:conditionalFormatting sqref="C7:C32">
    <x:cfRule type="cellIs" dxfId="94" priority="3" operator="equal">
      <x:formula>"Validé"</x:formula>
    </x:cfRule>
  </x:conditionalFormatting>
  <x:conditionalFormatting sqref="E7:E32">
    <x:cfRule type="cellIs" dxfId="95"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8b90df451ad642c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3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ME3-QA-IMPORT</x:v>
      </x:c>
      <x:c r="B7" s="9" t="str">
        <x:v>Matrice QA — import ME1/ME2</x:v>
      </x:c>
      <x:c r="C7" s="15" t="str">
        <x:v>Défini</x:v>
      </x:c>
      <x:c r="D7" s="16" t="str">
        <x:v>Extrapolation</x:v>
      </x:c>
      <x:c r="E7" s="16" t="str">
        <x:v>P1</x:v>
      </x:c>
      <x:c r="F7" s="9" t="str">
        <x:v>Livrable original proposé : Matrice QA — import ME1/ME2.</x:v>
      </x:c>
      <x:c r="G7" s="9" t="str">
        <x:v>Tester morts/vivants, Wrex/Wreav, Mordin/Wiks, Samara/Morinth et romance ; aucun personnage supprimé ne revient hors simulation explicitement autorisée.</x:v>
      </x:c>
      <x:c r="H7" s="9" t="str">
        <x:v>Tester morts/vivants, Wrex/Wreav, Mordin/Wiks, Samara/Morinth et romance ; aucun personnage supprimé ne revient hors simulation explicitement autorisée.</x:v>
      </x:c>
      <x:c r="I7" s="9" t="str">
        <x:v>Table d’états et captures des portraits.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me3/qa/import ; rattacher les ressources et états cités à cet identifiant. Aucun fichier de jeu créé par ce catalogue.</x:v>
      </x:c>
      <x:c r="M7" s="9" t="str"/>
      <x:c r="N7" s="9" t="str">
        <x:v>Le livrable « Matrice QA — import ME1/ME2 » possède une scène ou un scénario de contrôle ; ses règles proposées, ses conditions et ses retours visuels sont vérifiables séparément.</x:v>
      </x:c>
      <x:c r="O7" s="9" t="str">
        <x:v>ME3-SYS-ROSTER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ME3-QA-TUCH-CURE</x:v>
      </x:c>
      <x:c r="B8" s="7" t="str">
        <x:v>Matrice QA — Tuchanka</x:v>
      </x:c>
      <x:c r="C8" s="15" t="str">
        <x:v>Défini</x:v>
      </x:c>
      <x:c r="D8" s="17" t="str">
        <x:v>Extrapolation</x:v>
      </x:c>
      <x:c r="E8" s="17" t="str">
        <x:v>P1</x:v>
      </x:c>
      <x:c r="F8" s="7" t="str">
        <x:v>Livrable original proposé : Matrice QA — Tuchanka.</x:v>
      </x:c>
      <x:c r="G8" s="7" t="str">
        <x:v>Croiser dirigeant krogan, Eve, savant, secret révélé et choix final ; vérifier dialogues, montage et ressources de guerre à chaque feuille valide.</x:v>
      </x:c>
      <x:c r="H8" s="7" t="str">
        <x:v>Croiser dirigeant krogan, Eve, savant, secret révélé et choix final ; vérifier dialogues, montage et ressources de guerre à chaque feuille valide.</x:v>
      </x:c>
      <x:c r="I8" s="7" t="str">
        <x:v>Arbre de décisions auditable.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me3/qa/tuch-cure ; rattacher les ressources et états cités à cet identifiant. Aucun fichier de jeu créé par ce catalogue.</x:v>
      </x:c>
      <x:c r="M8" s="7" t="str"/>
      <x:c r="N8" s="7" t="str">
        <x:v>Le livrable « Matrice QA — Tuchanka » possède une scène ou un scénario de contrôle ; ses règles proposées, ses conditions et ses retours visuels sont vérifiables séparément.</x:v>
      </x:c>
      <x:c r="O8" s="7" t="str">
        <x:v>ME3-CHO-CURE, ME3-CHO-MORDIN-SURVIVE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ME3-QA-TUCH-BOMB</x:v>
      </x:c>
      <x:c r="B9" s="9" t="str">
        <x:v>Matrice QA — échéance bombe</x:v>
      </x:c>
      <x:c r="C9" s="15" t="str">
        <x:v>Défini</x:v>
      </x:c>
      <x:c r="D9" s="16" t="str">
        <x:v>Extrapolation</x:v>
      </x:c>
      <x:c r="E9" s="16" t="str">
        <x:v>P1</x:v>
      </x:c>
      <x:c r="F9" s="9" t="str">
        <x:v>Livrable original proposé : Matrice QA — échéance bombe.</x:v>
      </x:c>
      <x:c r="G9" s="9" t="str">
        <x:v>Compter les missions pertinentes après activation, vérifier expiration et Tarquin ; sauvegarder/charger à chaque frontière ne remet pas le compteur à zéro.</x:v>
      </x:c>
      <x:c r="H9" s="9" t="str">
        <x:v>Compter les missions pertinentes après activation, vérifier expiration et Tarquin ; sauvegarder/charger à chaque frontière ne remet pas le compteur à zéro.</x:v>
      </x:c>
      <x:c r="I9" s="9" t="str">
        <x:v>Journal et compte d’événements de test.</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me3/qa/tuch-bomb ; rattacher les ressources et états cités à cet identifiant. Aucun fichier de jeu créé par ce catalogue.</x:v>
      </x:c>
      <x:c r="M9" s="9" t="str"/>
      <x:c r="N9" s="9" t="str">
        <x:v>Le livrable « Matrice QA — échéance bombe » possède une scène ou un scénario de contrôle ; ses règles proposées, ses conditions et ses retours visuels sont vérifiables séparément.</x:v>
      </x:c>
      <x:c r="O9" s="9" t="str">
        <x:v>ME3-SQ-BOMB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ME3-QA-GRISSOM</x:v>
      </x:c>
      <x:c r="B10" s="7" t="str">
        <x:v>Matrice QA — Grissom</x:v>
      </x:c>
      <x:c r="C10" s="15" t="str">
        <x:v>Défini</x:v>
      </x:c>
      <x:c r="D10" s="17" t="str">
        <x:v>Extrapolation</x:v>
      </x:c>
      <x:c r="E10" s="17" t="str">
        <x:v>P1</x:v>
      </x:c>
      <x:c r="F10" s="7" t="str">
        <x:v>Livrable original proposé : Matrice QA — Grissom.</x:v>
      </x:c>
      <x:c r="G10" s="7" t="str">
        <x:v>Tester arrivée avant/après fenêtre, Jack vivante/absente et David sauvé/non sauvé ; civils ne restent pas bloqués sur route d’évacuation.</x:v>
      </x:c>
      <x:c r="H10" s="7" t="str">
        <x:v>Tester arrivée avant/après fenêtre, Jack vivante/absente et David sauvé/non sauvé ; civils ne restent pas bloqués sur route d’évacuation.</x:v>
      </x:c>
      <x:c r="I10" s="7" t="str">
        <x:v>Scènes d’arrivée et liste des élèves.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me3/qa/grissom ; rattacher les ressources et états cités à cet identifiant. Aucun fichier de jeu créé par ce catalogue.</x:v>
      </x:c>
      <x:c r="M10" s="7" t="str"/>
      <x:c r="N10" s="7" t="str">
        <x:v>Le livrable « Matrice QA — Grissom » possède une scène ou un scénario de contrôle ; ses règles proposées, ses conditions et ses retours visuels sont vérifiables séparément.</x:v>
      </x:c>
      <x:c r="O10" s="7" t="str">
        <x:v>ME3-SQ-GRISSOM</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ME3-QA-RACHNI</x:v>
      </x:c>
      <x:c r="B11" s="9" t="str">
        <x:v>Matrice QA — reine et Grunt</x:v>
      </x:c>
      <x:c r="C11" s="15" t="str">
        <x:v>Défini</x:v>
      </x:c>
      <x:c r="D11" s="16" t="str">
        <x:v>Extrapolation</x:v>
      </x:c>
      <x:c r="E11" s="16" t="str">
        <x:v>P1</x:v>
      </x:c>
      <x:c r="F11" s="9" t="str">
        <x:v>Livrable original proposé : Matrice QA — reine et Grunt.</x:v>
      </x:c>
      <x:c r="G11" s="9" t="str">
        <x:v>Distinguer reine authentique et substitut, loyauté de Grunt et décision ; actifs de guerre et personnage à la sortie suivent la bonne identité.</x:v>
      </x:c>
      <x:c r="H11" s="9" t="str">
        <x:v>Distinguer reine authentique et substitut, loyauté de Grunt et décision ; actifs de guerre et personnage à la sortie suivent la bonne identité.</x:v>
      </x:c>
      <x:c r="I11" s="9" t="str">
        <x:v>Quatre portraits et bilan de mission.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me3/qa/rachni ; rattacher les ressources et états cités à cet identifiant. Aucun fichier de jeu créé par ce catalogue.</x:v>
      </x:c>
      <x:c r="M11" s="9" t="str"/>
      <x:c r="N11" s="9" t="str">
        <x:v>Le livrable « Matrice QA — reine et Grunt » possède une scène ou un scénario de contrôle ; ses règles proposées, ses conditions et ses retours visuels sont vérifiables séparément.</x:v>
      </x:c>
      <x:c r="O11" s="9" t="str">
        <x:v>ME3-CHO-RACHNI, ME3-CHO-GRUNT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ME3-QA-COUP</x:v>
      </x:c>
      <x:c r="B12" s="7" t="str">
        <x:v>Matrice QA — Citadelle II</x:v>
      </x:c>
      <x:c r="C12" s="15" t="str">
        <x:v>Défini</x:v>
      </x:c>
      <x:c r="D12" s="17" t="str">
        <x:v>Extrapolation</x:v>
      </x:c>
      <x:c r="E12" s="17" t="str">
        <x:v>P1</x:v>
      </x:c>
      <x:c r="F12" s="7" t="str">
        <x:v>Livrable original proposé : Matrice QA — Citadelle II.</x:v>
      </x:c>
      <x:c r="G12" s="7" t="str">
        <x:v>Croiser survivant Virmire, visites et intervenants ; vérifier coup de feu attribué au bon acteur et absence de faux recrutement.</x:v>
      </x:c>
      <x:c r="H12" s="7" t="str">
        <x:v>Croiser survivant Virmire, visites et intervenants ; vérifier coup de feu attribué au bon acteur et absence de faux recrutement.</x:v>
      </x:c>
      <x:c r="I12" s="7" t="str">
        <x:v>Vidéo de scène et état du roster.</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me3/qa/coup ; rattacher les ressources et états cités à cet identifiant. Aucun fichier de jeu créé par ce catalogue.</x:v>
      </x:c>
      <x:c r="M12" s="7" t="str"/>
      <x:c r="N12" s="7" t="str">
        <x:v>Le livrable « Matrice QA — Citadelle II » possède une scène ou un scénario de contrôle ; ses règles proposées, ses conditions et ses retours visuels sont vérifiables séparément.</x:v>
      </x:c>
      <x:c r="O12" s="7" t="str">
        <x:v>ME3-MQ-CITADEL2</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ME3-QA-RANNOCH</x:v>
      </x:c>
      <x:c r="B13" s="9" t="str">
        <x:v>Matrice QA — coexistence</x:v>
      </x:c>
      <x:c r="C13" s="15" t="str">
        <x:v>Défini</x:v>
      </x:c>
      <x:c r="D13" s="16" t="str">
        <x:v>Extrapolation</x:v>
      </x:c>
      <x:c r="E13" s="16" t="str">
        <x:v>P1</x:v>
      </x:c>
      <x:c r="F13" s="9" t="str">
        <x:v>Livrable original proposé : Matrice QA — coexistence.</x:v>
      </x:c>
      <x:c r="G13" s="9" t="str">
        <x:v>Tester conditions de paix une à une, faux positif avec Legion ou Tali absent, et décisions de soutien ; résultat flotte/personnages/épilogue cohérent.</x:v>
      </x:c>
      <x:c r="H13" s="9" t="str">
        <x:v>Tester conditions de paix une à une, faux positif avec Legion ou Tali absent, et décisions de soutien ; résultat flotte/personnages/épilogue cohérent.</x:v>
      </x:c>
      <x:c r="I13" s="9" t="str">
        <x:v>Table de prérequis nommés.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me3/qa/rannoch ; rattacher les ressources et états cités à cet identifiant. Aucun fichier de jeu créé par ce catalogue.</x:v>
      </x:c>
      <x:c r="M13" s="9" t="str"/>
      <x:c r="N13" s="9" t="str">
        <x:v>Le livrable « Matrice QA — coexistence » possède une scène ou un scénario de contrôle ; ses règles proposées, ses conditions et ses retours visuels sont vérifiables séparément.</x:v>
      </x:c>
      <x:c r="O13" s="9" t="str">
        <x:v>ME3-CHO-PEACE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ME3-QA-MIRANDA</x:v>
      </x:c>
      <x:c r="B14" s="7" t="str">
        <x:v>Matrice QA — Sanctuary</x:v>
      </x:c>
      <x:c r="C14" s="15" t="str">
        <x:v>Défini</x:v>
      </x:c>
      <x:c r="D14" s="17" t="str">
        <x:v>Extrapolation</x:v>
      </x:c>
      <x:c r="E14" s="17" t="str">
        <x:v>P1</x:v>
      </x:c>
      <x:c r="F14" s="7" t="str">
        <x:v>Livrable original proposé : Matrice QA — Sanctuary.</x:v>
      </x:c>
      <x:c r="G14" s="7" t="str">
        <x:v>Varier avertissement, aide, relation et rencontres ; vérifier Miranda/Oriana/Henry et message postmission sans supposer une visite reçue.</x:v>
      </x:c>
      <x:c r="H14" s="7" t="str">
        <x:v>Varier avertissement, aide, relation et rencontres ; vérifier Miranda/Oriana/Henry et message postmission sans supposer une visite reçue.</x:v>
      </x:c>
      <x:c r="I14" s="7" t="str">
        <x:v>Timeline de messages et scène finale.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me3/qa/miranda ; rattacher les ressources et états cités à cet identifiant. Aucun fichier de jeu créé par ce catalogue.</x:v>
      </x:c>
      <x:c r="M14" s="7" t="str"/>
      <x:c r="N14" s="7" t="str">
        <x:v>Le livrable « Matrice QA — Sanctuary » possède une scène ou un scénario de contrôle ; ses règles proposées, ses conditions et ses retours visuels sont vérifiables séparément.</x:v>
      </x:c>
      <x:c r="O14" s="7" t="str">
        <x:v>ME3-CHO-MIRANDA, 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ME3-QA-SAMARA</x:v>
      </x:c>
      <x:c r="B15" s="9" t="str">
        <x:v>Matrice QA — intervention monastère</x:v>
      </x:c>
      <x:c r="C15" s="15" t="str">
        <x:v>Défini</x:v>
      </x:c>
      <x:c r="D15" s="16" t="str">
        <x:v>Extrapolation</x:v>
      </x:c>
      <x:c r="E15" s="16" t="str">
        <x:v>P1</x:v>
      </x:c>
      <x:c r="F15" s="9" t="str">
        <x:v>Livrable original proposé : Matrice QA — intervention monastère.</x:v>
      </x:c>
      <x:c r="G15" s="9" t="str">
        <x:v>Tester interruption, option non chronométrée et absence de Samara ; aucune réplique du personnage absent après explosion.</x:v>
      </x:c>
      <x:c r="H15" s="9" t="str">
        <x:v>Tester interruption, option non chronométrée et absence de Samara ; aucune réplique du personnage absent après explosion.</x:v>
      </x:c>
      <x:c r="I15" s="9" t="str">
        <x:v>Capture de fenêtre et état Falere.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me3/qa/samara ; rattacher les ressources et états cités à cet identifiant. Aucun fichier de jeu créé par ce catalogue.</x:v>
      </x:c>
      <x:c r="M15" s="9" t="str"/>
      <x:c r="N15" s="9" t="str">
        <x:v>Le livrable « Matrice QA — intervention monastère » possède une scène ou un scénario de contrôle ; ses règles proposées, ses conditions et ses retours visuels sont vérifiables séparément.</x:v>
      </x:c>
      <x:c r="O15" s="9" t="str">
        <x:v>ME3-CHO-SAMARA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ME3-QA-OMEGA</x:v>
      </x:c>
      <x:c r="B16" s="7" t="str">
        <x:v>Matrice QA — roster Omega</x:v>
      </x:c>
      <x:c r="C16" s="15" t="str">
        <x:v>Défini</x:v>
      </x:c>
      <x:c r="D16" s="17" t="str">
        <x:v>Extrapolation</x:v>
      </x:c>
      <x:c r="E16" s="17" t="str">
        <x:v>P1</x:v>
      </x:c>
      <x:c r="F16" s="7" t="str">
        <x:v>Livrable original proposé : Matrice QA — roster Omega.</x:v>
      </x:c>
      <x:c r="G16" s="7" t="str">
        <x:v>Aria/Nyreen seulement aux étapes valides ; pas de compagnons Normandy lors des scènes locales, retour correct à fin du DLC.</x:v>
      </x:c>
      <x:c r="H16" s="7" t="str">
        <x:v>Aria/Nyreen seulement aux étapes valides ; pas de compagnons Normandy lors des scènes locales, retour correct à fin du DLC.</x:v>
      </x:c>
      <x:c r="I16" s="7" t="str">
        <x:v>Sélecteur de groupe et portraits.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me3/qa/omega ; rattacher les ressources et états cités à cet identifiant. Aucun fichier de jeu créé par ce catalogue.</x:v>
      </x:c>
      <x:c r="M16" s="7" t="str"/>
      <x:c r="N16" s="7" t="str">
        <x:v>Le livrable « Matrice QA — roster Omega » possède une scène ou un scénario de contrôle ; ses règles proposées, ses conditions et ses retours visuels sont vérifiables séparément.</x:v>
      </x:c>
      <x:c r="O16" s="7" t="str">
        <x:v>ME3-SYS-DLC</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ME3-QA-OMEGA-END</x:v>
      </x:c>
      <x:c r="B17" s="9" t="str">
        <x:v>Matrice QA — Afterlife</x:v>
      </x:c>
      <x:c r="C17" s="15" t="str">
        <x:v>Défini</x:v>
      </x:c>
      <x:c r="D17" s="16" t="str">
        <x:v>Extrapolation</x:v>
      </x:c>
      <x:c r="E17" s="16" t="str">
        <x:v>P1</x:v>
      </x:c>
      <x:c r="F17" s="9" t="str">
        <x:v>Livrable original proposé : Matrice QA — Afterlife.</x:v>
      </x:c>
      <x:c r="G17" s="9" t="str">
        <x:v>Détruire générateurs dans ordres différents, sauver/laisser civils, varier relation Aria ; aucune boucle infinie d’Adjutants après victoire.</x:v>
      </x:c>
      <x:c r="H17" s="9" t="str">
        <x:v>Détruire générateurs dans ordres différents, sauver/laisser civils, varier relation Aria ; aucune boucle infinie d’Adjutants après victoire.</x:v>
      </x:c>
      <x:c r="I17" s="9" t="str">
        <x:v>Journal de générateurs et scène Petrovsky.</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me3/qa/omega-end ; rattacher les ressources et états cités à cet identifiant. Aucun fichier de jeu créé par ce catalogue.</x:v>
      </x:c>
      <x:c r="M17" s="9" t="str"/>
      <x:c r="N17" s="9" t="str">
        <x:v>Le livrable « Matrice QA — Afterlife » possède une scène ou un scénario de contrôle ; ses règles proposées, ses conditions et ses retours visuels sont vérifiables séparément.</x:v>
      </x:c>
      <x:c r="O17" s="9" t="str">
        <x:v>ME3-PRP-OMEGA-GEN, ME3-CHO-PETROVSKY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ME3-QA-LEV-FILTER</x:v>
      </x:c>
      <x:c r="B18" s="7" t="str">
        <x:v>Matrice QA — enquête Leviathan</x:v>
      </x:c>
      <x:c r="C18" s="15" t="str">
        <x:v>Défini</x:v>
      </x:c>
      <x:c r="D18" s="17" t="str">
        <x:v>Extrapolation</x:v>
      </x:c>
      <x:c r="E18" s="17" t="str">
        <x:v>P1</x:v>
      </x:c>
      <x:c r="F18" s="7" t="str">
        <x:v>Livrable original proposé : Matrice QA — enquête Leviathan.</x:v>
      </x:c>
      <x:c r="G18" s="7" t="str">
        <x:v>Activer filtres dans différents ordres, retirer une piste, sauver/recharger au laboratoire ; bonnes destinations et aucun verrou irréversible accidentel.</x:v>
      </x:c>
      <x:c r="H18" s="7" t="str">
        <x:v>Activer filtres dans différents ordres, retirer une piste, sauver/recharger au laboratoire ; bonnes destinations et aucun verrou irréversible accidentel.</x:v>
      </x:c>
      <x:c r="I18" s="7" t="str">
        <x:v>État de table et carte galactique.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me3/qa/lev-filter ; rattacher les ressources et états cités à cet identifiant. Aucun fichier de jeu créé par ce catalogue.</x:v>
      </x:c>
      <x:c r="M18" s="7" t="str"/>
      <x:c r="N18" s="7" t="str">
        <x:v>Le livrable « Matrice QA — enquête Leviathan » possède une scène ou un scénario de contrôle ; ses règles proposées, ses conditions et ses retours visuels sont vérifiables séparément.</x:v>
      </x:c>
      <x:c r="O18" s="7" t="str">
        <x:v>ME3-PRP-FILTERS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ME3-QA-LEV-DIVE</x:v>
      </x:c>
      <x:c r="B19" s="9" t="str">
        <x:v>Matrice QA — plongée</x:v>
      </x:c>
      <x:c r="C19" s="15" t="str">
        <x:v>Défini</x:v>
      </x:c>
      <x:c r="D19" s="16" t="str">
        <x:v>Extrapolation</x:v>
      </x:c>
      <x:c r="E19" s="16" t="str">
        <x:v>P1</x:v>
      </x:c>
      <x:c r="F19" s="9" t="str">
        <x:v>Livrable original proposé : Matrice QA — plongée.</x:v>
      </x:c>
      <x:c r="G19" s="9" t="str">
        <x:v>Vérifier sous-titres, caméra, entrée/sortie cockpit et transition d’eau ; aucune chute sous décor 3D ni arme de terrain active dans la scène finale.</x:v>
      </x:c>
      <x:c r="H19" s="9" t="str">
        <x:v>Vérifier sous-titres, caméra, entrée/sortie cockpit et transition d’eau ; aucune chute sous décor 3D ni arme de terrain active dans la scène finale.</x:v>
      </x:c>
      <x:c r="I19" s="9" t="str">
        <x:v>Plan de contrôle de Despoina.</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me3/qa/lev-dive ; rattacher les ressources et états cités à cet identifiant. Aucun fichier de jeu créé par ce catalogue.</x:v>
      </x:c>
      <x:c r="M19" s="9" t="str"/>
      <x:c r="N19" s="9" t="str">
        <x:v>Le livrable « Matrice QA — plongée » possède une scène ou un scénario de contrôle ; ses règles proposées, ses conditions et ses retours visuels sont vérifiables séparément.</x:v>
      </x:c>
      <x:c r="O19" s="9" t="str">
        <x:v>ME3-LNK-LEV-DIVE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ME3-QA-CLONE</x:v>
      </x:c>
      <x:c r="B20" s="7" t="str">
        <x:v>Matrice QA — clone et classes</x:v>
      </x:c>
      <x:c r="C20" s="15" t="str">
        <x:v>Défini</x:v>
      </x:c>
      <x:c r="D20" s="17" t="str">
        <x:v>Extrapolation</x:v>
      </x:c>
      <x:c r="E20" s="17" t="str">
        <x:v>P1</x:v>
      </x:c>
      <x:c r="F20" s="7" t="str">
        <x:v>Livrable original proposé : Matrice QA — clone et classes.</x:v>
      </x:c>
      <x:c r="G20" s="7" t="str">
        <x:v>Tester chaque classe jouable, modèle personnalisé et équipements temporairement retirés ; boss a moveset admis et joueur retrouve ses biens à sortie.</x:v>
      </x:c>
      <x:c r="H20" s="7" t="str">
        <x:v>Tester chaque classe jouable, modèle personnalisé et équipements temporairement retirés ; boss a moveset admis et joueur retrouve ses biens à sortie.</x:v>
      </x:c>
      <x:c r="I20" s="7" t="str">
        <x:v>Six scénarios de classe et inventaire avant/après.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me3/qa/clone ; rattacher les ressources et états cités à cet identifiant. Aucun fichier de jeu créé par ce catalogue.</x:v>
      </x:c>
      <x:c r="M20" s="7" t="str"/>
      <x:c r="N20" s="7" t="str">
        <x:v>Le livrable « Matrice QA — clone et classes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ME3-QA-PARTY</x:v>
      </x:c>
      <x:c r="B21" s="9" t="str">
        <x:v>Matrice QA — invités de Citadel</x:v>
      </x:c>
      <x:c r="C21" s="15" t="str">
        <x:v>Défini</x:v>
      </x:c>
      <x:c r="D21" s="16" t="str">
        <x:v>Extrapolation</x:v>
      </x:c>
      <x:c r="E21" s="16" t="str">
        <x:v>P1</x:v>
      </x:c>
      <x:c r="F21" s="9" t="str">
        <x:v>Livrable original proposé : Matrice QA — invités de Citadel.</x:v>
      </x:c>
      <x:c r="G21" s="9" t="str">
        <x:v>Groupe minimal, maximal et morts importés ; aucune chaise chevauchée, conversation orpheline ou photo montrant un absent.</x:v>
      </x:c>
      <x:c r="H21" s="9" t="str">
        <x:v>Groupe minimal, maximal et morts importés ; aucune chaise chevauchée, conversation orpheline ou photo montrant un absent.</x:v>
      </x:c>
      <x:c r="I21" s="9" t="str">
        <x:v>Plan d’appartement et photo obtenue.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me3/qa/party ; rattacher les ressources et états cités à cet identifiant. Aucun fichier de jeu créé par ce catalogue.</x:v>
      </x:c>
      <x:c r="M21" s="9" t="str"/>
      <x:c r="N21" s="9" t="str">
        <x:v>Le livrable « Matrice QA — invités de Citadel » possède une scène ou un scénario de contrôle ; ses règles proposées, ses conditions et ses retours visuels sont vérifiables séparément.</x:v>
      </x:c>
      <x:c r="O21" s="9" t="str">
        <x:v>ME3-CHO-INVITATIONS, ME3-PRP-PHOTO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ME3-QA-ARMAX</x:v>
      </x:c>
      <x:c r="B22" s="7" t="str">
        <x:v>Matrice QA — simulateur</x:v>
      </x:c>
      <x:c r="C22" s="15" t="str">
        <x:v>Défini</x:v>
      </x:c>
      <x:c r="D22" s="17" t="str">
        <x:v>Extrapolation</x:v>
      </x:c>
      <x:c r="E22" s="17" t="str">
        <x:v>P1</x:v>
      </x:c>
      <x:c r="F22" s="7" t="str">
        <x:v>Livrable original proposé : Matrice QA — simulateur.</x:v>
      </x:c>
      <x:c r="G22" s="7" t="str">
        <x:v>Abandon, victoire, mort et retour menu ; stock de campagne restauré, points attribués une fois et invités indisponibles hors arène.</x:v>
      </x:c>
      <x:c r="H22" s="7" t="str">
        <x:v>Abandon, victoire, mort et retour menu ; stock de campagne restauré, points attribués une fois et invités indisponibles hors arène.</x:v>
      </x:c>
      <x:c r="I22" s="7" t="str">
        <x:v>Comparaison sauvegarde avant/après.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me3/qa/armax ; rattacher les ressources et états cités à cet identifiant. Aucun fichier de jeu créé par ce catalogue.</x:v>
      </x:c>
      <x:c r="M22" s="7" t="str"/>
      <x:c r="N22" s="7" t="str">
        <x:v>Le livrable « Matrice QA — simulateur » possède une scène ou un scénario de contrôle ; ses règles proposées, ses conditions et ses retours visuels sont vérifiables séparément.</x:v>
      </x:c>
      <x:c r="O22" s="7" t="str">
        <x:v>ME3-SYS-ARENA</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ME3-QA-ENDINGS</x:v>
      </x:c>
      <x:c r="B23" s="9" t="str">
        <x:v>Matrice QA — fins par version</x:v>
      </x:c>
      <x:c r="C23" s="15" t="str">
        <x:v>Défini</x:v>
      </x:c>
      <x:c r="D23" s="16" t="str">
        <x:v>Extrapolation</x:v>
      </x:c>
      <x:c r="E23" s="16" t="str">
        <x:v>P1</x:v>
      </x:c>
      <x:c r="F23" s="9" t="str">
        <x:v>Livrable original proposé : Matrice QA — fins par version.</x:v>
      </x:c>
      <x:c r="G23" s="9" t="str">
        <x:v>Tester options disponibles, choix et épilogue avec profils original/Extended Cut/Legendary ; aucun montage de destruction d’EDI dans branche incompatible.</x:v>
      </x:c>
      <x:c r="H23" s="9" t="str">
        <x:v>Tester options disponibles, choix et épilogue avec profils original/Extended Cut/Legendary ; aucun montage de destruction d’EDI dans branche incompatible.</x:v>
      </x:c>
      <x:c r="I23" s="9" t="str">
        <x:v>Table de plans et drapeaux finaux.</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me3/qa/endings ; rattacher les ressources et états cités à cet identifiant. Aucun fichier de jeu créé par ce catalogue.</x:v>
      </x:c>
      <x:c r="M23" s="9" t="str"/>
      <x:c r="N23" s="9" t="str">
        <x:v>Le livrable « Matrice QA — fins par version » possède une scène ou un scénario de contrôle ; ses règles proposées, ses conditions et ses retours visuels sont vérifiables séparément.</x:v>
      </x:c>
      <x:c r="O23" s="9" t="str">
        <x:v>ME3-SYS-ENDING</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ME3-QA-PROTECTION</x:v>
      </x:c>
      <x:c r="B24" s="7" t="str">
        <x:v>Matrice QA — pouvoirs et défenses</x:v>
      </x:c>
      <x:c r="C24" s="15" t="str">
        <x:v>Défini</x:v>
      </x:c>
      <x:c r="D24" s="17" t="str">
        <x:v>Extrapolation</x:v>
      </x:c>
      <x:c r="E24" s="17" t="str">
        <x:v>P1</x:v>
      </x:c>
      <x:c r="F24" s="7" t="str">
        <x:v>Livrable original proposé : Matrice QA — pouvoirs et défenses.</x:v>
      </x:c>
      <x:c r="G24" s="7" t="str">
        <x:v>Chaque pouvoir reçoit cible santé, armure, bouclier, barrière et immunité ; comparer aperçu et effet, vérifier absence de coût sur cible invalide.</x:v>
      </x:c>
      <x:c r="H24" s="7" t="str">
        <x:v>Chaque pouvoir reçoit cible santé, armure, bouclier, barrière et immunité ; comparer aperçu et effet, vérifier absence de coût sur cible invalide.</x:v>
      </x:c>
      <x:c r="I24" s="7" t="str">
        <x:v>Arène de mannequins à protections.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me3/qa/protection ; rattacher les ressources et états cités à cet identifiant. Aucun fichier de jeu créé par ce catalogue.</x:v>
      </x:c>
      <x:c r="M24" s="7" t="str"/>
      <x:c r="N24" s="7" t="str">
        <x:v>Le livrable « Matrice QA — pouvoirs et défenses » possède une scène ou un scénario de contrôle ; ses règles proposées, ses conditions et ses retours visuels sont vérifiables séparément.</x:v>
      </x:c>
      <x:c r="O24" s="7" t="str">
        <x:v>ME3-SYS-DEFENSES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ME3-QA-BOSS-TELEGRAPH</x:v>
      </x:c>
      <x:c r="B25" s="9" t="str">
        <x:v>Matrice QA — saisies et attaques lourdes</x:v>
      </x:c>
      <x:c r="C25" s="15" t="str">
        <x:v>Défini</x:v>
      </x:c>
      <x:c r="D25" s="16" t="str">
        <x:v>Extrapolation</x:v>
      </x:c>
      <x:c r="E25" s="16" t="str">
        <x:v>P1</x:v>
      </x:c>
      <x:c r="F25" s="9" t="str">
        <x:v>Livrable original proposé : Matrice QA — saisies et attaques lourdes.</x:v>
      </x:c>
      <x:c r="G25" s="9" t="str">
        <x:v>Phantom, Banshee, Brute, Atlas et Adjutant à toutes orientations et hors champ ; toujours un signal visible et une réponse autorisée avant impact.</x:v>
      </x:c>
      <x:c r="H25" s="9" t="str">
        <x:v>Phantom, Banshee, Brute, Atlas et Adjutant à toutes orientations et hors champ ; toujours un signal visible et une réponse autorisée avant impact.</x:v>
      </x:c>
      <x:c r="I25" s="9" t="str">
        <x:v>Captures huit orientations et journal d’actions.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me3/qa/boss-telegraph ; rattacher les ressources et états cités à cet identifiant. Aucun fichier de jeu créé par ce catalogue.</x:v>
      </x:c>
      <x:c r="M25" s="9" t="str"/>
      <x:c r="N25" s="9" t="str">
        <x:v>Le livrable « Matrice QA — saisies et attaques lourdes » possède une scène ou un scénario de contrôle ; ses règles proposées, ses conditions et ses retours visuels sont vérifiables séparément.</x:v>
      </x:c>
      <x:c r="O25" s="9" t="str">
        <x:v>ME3-AUD-BOSS</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ME3-QA-DEPTH</x:v>
      </x:c>
      <x:c r="B26" s="7" t="str">
        <x:v>Matrice QA — sprites sur 3D</x:v>
      </x:c>
      <x:c r="C26" s="15" t="str">
        <x:v>Défini</x:v>
      </x:c>
      <x:c r="D26" s="17" t="str">
        <x:v>Extrapolation</x:v>
      </x:c>
      <x:c r="E26" s="17" t="str">
        <x:v>P1</x:v>
      </x:c>
      <x:c r="F26" s="7" t="str">
        <x:v>Livrable original proposé : Matrice QA — sprites sur 3D.</x:v>
      </x:c>
      <x:c r="G26" s="7" t="str">
        <x:v>Traverser escaliers, portes, grands ennemis et couverts ; pivot au sol, profondeur et sélection restent stables sans sprite derrière le mauvais mur.</x:v>
      </x:c>
      <x:c r="H26" s="7" t="str">
        <x:v>Traverser escaliers, portes, grands ennemis et couverts ; pivot au sol, profondeur et sélection restent stables sans sprite derrière le mauvais mur.</x:v>
      </x:c>
      <x:c r="I26" s="7" t="str">
        <x:v>Scène de contrôle de hauteurs.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me3/qa/depth ; rattacher les ressources et états cités à cet identifiant. Aucun fichier de jeu créé par ce catalogue.</x:v>
      </x:c>
      <x:c r="M26" s="7" t="str"/>
      <x:c r="N26" s="7" t="str">
        <x:v>Le livrable « Matrice QA — sprites sur 3D » possède une scène ou un scénario de contrôle ; ses règles proposées, ses conditions et ses retours visuels sont vérifiables séparément.</x:v>
      </x:c>
      <x:c r="O26" s="7" t="str">
        <x:v>ME3-SYS-COVER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ME3-QA-MP-SEPARATION</x:v>
      </x:c>
      <x:c r="B27" s="9" t="str">
        <x:v>Matrice QA — modes solo et multi</x:v>
      </x:c>
      <x:c r="C27" s="15" t="str">
        <x:v>Défini</x:v>
      </x:c>
      <x:c r="D27" s="16" t="str">
        <x:v>Extrapolation</x:v>
      </x:c>
      <x:c r="E27" s="16" t="str">
        <x:v>P1</x:v>
      </x:c>
      <x:c r="F27" s="9" t="str">
        <x:v>Livrable original proposé : Matrice QA — modes solo et multi.</x:v>
      </x:c>
      <x:c r="G27" s="9" t="str">
        <x:v>Aucun personnage multijoueur, carte Firebase ni besoin de connexion dans profil Legendary ; Armax garde son propre marqueur de simulation.</x:v>
      </x:c>
      <x:c r="H27" s="9" t="str">
        <x:v>Aucun personnage multijoueur, carte Firebase ni besoin de connexion dans profil Legendary ; Armax garde son propre marqueur de simulation.</x:v>
      </x:c>
      <x:c r="I27" s="9" t="str">
        <x:v>Écrans de sélection par profil.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me3/qa/mp-separation ; rattacher les ressources et états cités à cet identifiant. Aucun fichier de jeu créé par ce catalogue.</x:v>
      </x:c>
      <x:c r="M27" s="9" t="str"/>
      <x:c r="N27" s="9" t="str">
        <x:v>Le livrable « Matrice QA — modes solo et multi » possède une scène ou un scénario de contrôle ; ses règles proposées, ses conditions et ses retours visuels sont vérifiables séparément.</x:v>
      </x:c>
      <x:c r="O27" s="9" t="str">
        <x:v>ME3-SYS-READINESS, ME3-SYS-MP-WAVES</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ME3-QA-SAVE-LOCK</x:v>
      </x:c>
      <x:c r="B28" s="7" t="str">
        <x:v>Matrice QA — reprise aux grands verrous</x:v>
      </x:c>
      <x:c r="C28" s="15" t="str">
        <x:v>Défini</x:v>
      </x:c>
      <x:c r="D28" s="17" t="str">
        <x:v>Extrapolation</x:v>
      </x:c>
      <x:c r="E28" s="17" t="str">
        <x:v>P1</x:v>
      </x:c>
      <x:c r="F28" s="7" t="str">
        <x:v>Livrable original proposé : Matrice QA — reprise aux grands verrous.</x:v>
      </x:c>
      <x:c r="G28" s="7" t="str">
        <x:v>Recharger avant QG, avant choix final, pendant journal de DLC et après récompense ; pas de double déblocage ni quête réouverte.</x:v>
      </x:c>
      <x:c r="H28" s="7" t="str">
        <x:v>Recharger avant QG, avant choix final, pendant journal de DLC et après récompense ; pas de double déblocage ni quête réouverte.</x:v>
      </x:c>
      <x:c r="I28" s="7" t="str">
        <x:v>Emplacements de sauvegarde nommés.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me3/qa/save-lock ; rattacher les ressources et états cités à cet identifiant. Aucun fichier de jeu créé par ce catalogue.</x:v>
      </x:c>
      <x:c r="M28" s="7" t="str"/>
      <x:c r="N28" s="7" t="str">
        <x:v>Le livrable « Matrice QA — reprise aux grands verrous » possède une scène ou un scénario de contrôle ; ses règles proposées, ses conditions et ses retours visuels sont vérifiables séparément.</x:v>
      </x:c>
      <x:c r="O28" s="7" t="str">
        <x:v>ME3-SYS-SAVE</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ME3-QA-ACCESS</x:v>
      </x:c>
      <x:c r="B29" s="9" t="str">
        <x:v>Matrice QA — accès sans couleur ni son</x:v>
      </x:c>
      <x:c r="C29" s="15" t="str">
        <x:v>Défini</x:v>
      </x:c>
      <x:c r="D29" s="16" t="str">
        <x:v>Extrapolation</x:v>
      </x:c>
      <x:c r="E29" s="16" t="str">
        <x:v>P1</x:v>
      </x:c>
      <x:c r="F29" s="9" t="str">
        <x:v>Livrable original proposé : Matrice QA — accès sans couleur ni son.</x:v>
      </x:c>
      <x:c r="G29" s="9" t="str">
        <x:v>Tester muet, daltonisme simulé, faible contraste et réduction de mouvement ; tous choix et télégraphes restent compréhensibles.</x:v>
      </x:c>
      <x:c r="H29" s="9" t="str">
        <x:v>Tester muet, daltonisme simulé, faible contraste et réduction de mouvement ; tous choix et télégraphes restent compréhensibles.</x:v>
      </x:c>
      <x:c r="I29" s="9" t="str">
        <x:v>Captures et parcours documentés.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me3/qa/access ; rattacher les ressources et états cités à cet identifiant. Aucun fichier de jeu créé par ce catalogue.</x:v>
      </x:c>
      <x:c r="M29" s="9" t="str"/>
      <x:c r="N29" s="9" t="str">
        <x:v>Le livrable « Matrice QA — accès sans couleur ni son » possède une scène ou un scénario de contrôle ; ses règles proposées, ses conditions et ses retours visuels sont vérifiables séparément.</x:v>
      </x:c>
      <x:c r="O29" s="9" t="str">
        <x:v>ME3-SYS-ACCESS</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sheetData>
  <x:conditionalFormatting sqref="D7:D29">
    <x:cfRule type="cellIs" dxfId="96" priority="1" operator="equal">
      <x:formula>"À vérifier"</x:formula>
    </x:cfRule>
    <x:cfRule type="cellIs" dxfId="97" priority="2" operator="equal">
      <x:formula>"Extrapolation"</x:formula>
    </x:cfRule>
  </x:conditionalFormatting>
  <x:conditionalFormatting sqref="C7:C29">
    <x:cfRule type="cellIs" dxfId="98" priority="3" operator="equal">
      <x:formula>"Validé"</x:formula>
    </x:cfRule>
  </x:conditionalFormatting>
  <x:conditionalFormatting sqref="E7:E29">
    <x:cfRule type="cellIs" dxfId="99" priority="4" operator="equal">
      <x:formula>"P0"</x:formula>
    </x:cfRule>
  </x:conditionalFormatting>
  <x:dataValidations count="3">
    <x:dataValidation type="list" sqref="C7:C29">
      <x:formula1>"Défini,Prototype,Intégré,Validé"</x:formula1>
    </x:dataValidation>
    <x:dataValidation type="list" sqref="D7:D29">
      <x:formula1>"Établi,À vérifier,Extrapolation,Coupé attesté,Concept abandonné,Allégation écartée"</x:formula1>
    </x:dataValidation>
    <x:dataValidation type="list" sqref="E7:E29">
      <x:formula1>"P0,P1,P2"</x:formula1>
    </x:dataValidation>
  </x:dataValidations>
  <x:pageMargins left="0.7" right="0.7" top="0.75" bottom="0.75" header="0.3" footer="0.3"/>
  <x:tableParts count="1">
    <x:tablePart xmlns:r="http://schemas.openxmlformats.org/officeDocument/2006/relationships" r:id="R0f895a4b7a1c4094"/>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3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ME3-CON-ME1</x:v>
      </x:c>
      <x:c r="B7" s="9" t="str">
        <x:v>Continuité — héritage ME1</x:v>
      </x:c>
      <x:c r="C7" s="15" t="str">
        <x:v>Défini</x:v>
      </x:c>
      <x:c r="D7" s="16" t="str">
        <x:v>Extrapolation</x:v>
      </x:c>
      <x:c r="E7" s="16" t="str">
        <x:v>P1</x:v>
      </x:c>
      <x:c r="F7" s="9" t="str">
        <x:v>Livrable original proposé : Continuité — héritage ME1.</x:v>
      </x:c>
      <x:c r="G7" s="9" t="str">
        <x:v>Virmire, Wrex, reine rachni, Conseil et choix coloniaux sont des variables de contexte, pas un récit unique déclaré canon.</x:v>
      </x:c>
      <x:c r="H7" s="9" t="str">
        <x:v>Virmire, Wrex, reine rachni, Conseil et choix coloniaux sont des variables de contexte, pas un récit unique déclaré canon.</x:v>
      </x:c>
      <x:c r="I7" s="9" t="str">
        <x:v>Frise d’import avec inconnus explicités.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me3/continuity/me1 ; rattacher les ressources et états cités à cet identifiant. Aucun fichier de jeu créé par ce catalogue.</x:v>
      </x:c>
      <x:c r="M7" s="9" t="str"/>
      <x:c r="N7" s="9" t="str">
        <x:v>Le livrable « Continuité — héritage ME1 » possède une scène ou un scénario de contrôle ; ses règles proposées, ses conditions et ses retours visuels sont vérifiables séparément.</x:v>
      </x:c>
      <x:c r="O7" s="9" t="str">
        <x:v>ME3-CHO-IMPORT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ME3-CON-ME2</x:v>
      </x:c>
      <x:c r="B8" s="7" t="str">
        <x:v>Continuité — héritage ME2</x:v>
      </x:c>
      <x:c r="C8" s="15" t="str">
        <x:v>Défini</x:v>
      </x:c>
      <x:c r="D8" s="17" t="str">
        <x:v>Extrapolation</x:v>
      </x:c>
      <x:c r="E8" s="17" t="str">
        <x:v>P1</x:v>
      </x:c>
      <x:c r="F8" s="7" t="str">
        <x:v>Livrable original proposé : Continuité — héritage ME2.</x:v>
      </x:c>
      <x:c r="G8" s="7" t="str">
        <x:v>Survie, loyauté, Maelon, Overlord, Cerberus et romances importés séparément ; valeur absente n’est pas assimilée à échec.</x:v>
      </x:c>
      <x:c r="H8" s="7" t="str">
        <x:v>Survie, loyauté, Maelon, Overlord, Cerberus et romances importés séparément ; valeur absente n’est pas assimilée à échec.</x:v>
      </x:c>
      <x:c r="I8" s="7" t="str">
        <x:v>Dossier de sauvegarde logique.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me3/continuity/me2 ; rattacher les ressources et états cités à cet identifiant. Aucun fichier de jeu créé par ce catalogue.</x:v>
      </x:c>
      <x:c r="M8" s="7" t="str"/>
      <x:c r="N8" s="7" t="str">
        <x:v>Le livrable « Continuité — héritage ME2 » possède une scène ou un scénario de contrôle ; ses règles proposées, ses conditions et ses retours visuels sont vérifiables séparément.</x:v>
      </x:c>
      <x:c r="O8" s="7" t="str">
        <x:v>ME3-CHO-IMPORT</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ME3-CON-GENOPHAGE</x:v>
      </x:c>
      <x:c r="B9" s="9" t="str">
        <x:v>Continuité — génophage</x:v>
      </x:c>
      <x:c r="C9" s="15" t="str">
        <x:v>Défini</x:v>
      </x:c>
      <x:c r="D9" s="16" t="str">
        <x:v>Extrapolation</x:v>
      </x:c>
      <x:c r="E9" s="16" t="str">
        <x:v>P1</x:v>
      </x:c>
      <x:c r="F9" s="9" t="str">
        <x:v>Livrable original proposé : Continuité — génophage.</x:v>
      </x:c>
      <x:c r="G9" s="9" t="str">
        <x:v>Répercuter Eve, Wrex/Wreav, cure/sabotage et destin du savant dans dialogues et forces ; pas de réparation implicite après mission.</x:v>
      </x:c>
      <x:c r="H9" s="9" t="str">
        <x:v>Répercuter Eve, Wrex/Wreav, cure/sabotage et destin du savant dans dialogues et forces ; pas de réparation implicite après mission.</x:v>
      </x:c>
      <x:c r="I9" s="9" t="str">
        <x:v>Résumé de Tuchanka et portrait politique.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me3/continuity/genophage ; rattacher les ressources et états cités à cet identifiant. Aucun fichier de jeu créé par ce catalogue.</x:v>
      </x:c>
      <x:c r="M9" s="9" t="str"/>
      <x:c r="N9" s="9" t="str">
        <x:v>Le livrable « Continuité — génophage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ME3-CON-RANNOCH</x:v>
      </x:c>
      <x:c r="B10" s="7" t="str">
        <x:v>Continuité — peuples de Rannoch</x:v>
      </x:c>
      <x:c r="C10" s="15" t="str">
        <x:v>Défini</x:v>
      </x:c>
      <x:c r="D10" s="17" t="str">
        <x:v>Extrapolation</x:v>
      </x:c>
      <x:c r="E10" s="17" t="str">
        <x:v>P1</x:v>
      </x:c>
      <x:c r="F10" s="7" t="str">
        <x:v>Livrable original proposé : Continuité — peuples de Rannoch.</x:v>
      </x:c>
      <x:c r="G10" s="7" t="str">
        <x:v>État des flottes et survie Tali/Legion suivent la résolution choisie jusque fête et final ; exclure invités morts.</x:v>
      </x:c>
      <x:c r="H10" s="7" t="str">
        <x:v>État des flottes et survie Tali/Legion suivent la résolution choisie jusque fête et final ; exclure invités morts.</x:v>
      </x:c>
      <x:c r="I10" s="7" t="str">
        <x:v>Table de peuples et personnages.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me3/continuity/rannoch ; rattacher les ressources et états cités à cet identifiant. Aucun fichier de jeu créé par ce catalogue.</x:v>
      </x:c>
      <x:c r="M10" s="7" t="str"/>
      <x:c r="N10" s="7" t="str">
        <x:v>Le livrable « Continuité — peuples de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ME3-CON-MIRANDA</x:v>
      </x:c>
      <x:c r="B11" s="9" t="str">
        <x:v>Continuité — Lawson et Cerberus</x:v>
      </x:c>
      <x:c r="C11" s="15" t="str">
        <x:v>Défini</x:v>
      </x:c>
      <x:c r="D11" s="16" t="str">
        <x:v>Extrapolation</x:v>
      </x:c>
      <x:c r="E11" s="16" t="str">
        <x:v>P1</x:v>
      </x:c>
      <x:c r="F11" s="9" t="str">
        <x:v>Livrable original proposé : Continuité — Lawson et Cerberus.</x:v>
      </x:c>
      <x:c r="G11" s="9" t="str">
        <x:v>L’arc de Miranda dans ME2 informe ses messages ME3 ; Sanctuary reste son propre événement, sans faire du roman une condition obligatoire.</x:v>
      </x:c>
      <x:c r="H11" s="9" t="str">
        <x:v>L’arc de Miranda dans ME2 informe ses messages ME3 ; Sanctuary reste son propre événement, sans faire du roman une condition obligatoire.</x:v>
      </x:c>
      <x:c r="I11" s="9" t="str">
        <x:v>Chronologie des rencontres.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me3/continuity/miranda ; rattacher les ressources et états cités à cet identifiant. Aucun fichier de jeu créé par ce catalogue.</x:v>
      </x:c>
      <x:c r="M11" s="9" t="str"/>
      <x:c r="N11" s="9" t="str">
        <x:v>Le livrable « Continuité — Lawson et Cerberus » possède une scène ou un scénario de contrôle ; ses règles proposées, ses conditions et ses retours visuels sont vérifiables séparément.</x:v>
      </x:c>
      <x:c r="O11" s="9" t="str">
        <x:v>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ME3-CON-JAVIK</x:v>
      </x:c>
      <x:c r="B12" s="7" t="str">
        <x:v>Continuité — From Ashes</x:v>
      </x:c>
      <x:c r="C12" s="15" t="str">
        <x:v>Défini</x:v>
      </x:c>
      <x:c r="D12" s="17" t="str">
        <x:v>Extrapolation</x:v>
      </x:c>
      <x:c r="E12" s="17" t="str">
        <x:v>P1</x:v>
      </x:c>
      <x:c r="F12" s="7" t="str">
        <x:v>Livrable original proposé : Continuité — From Ashes.</x:v>
      </x:c>
      <x:c r="G12" s="7" t="str">
        <x:v>Présence de Javik conditionne ses réactions, pas la possibilité de comprendre le récit principal ; absence DLC ne supprime pas la conclusion.</x:v>
      </x:c>
      <x:c r="H12" s="7" t="str">
        <x:v>Présence de Javik conditionne ses réactions, pas la possibilité de comprendre le récit principal ; absence DLC ne supprime pas la conclusion.</x:v>
      </x:c>
      <x:c r="I12" s="7" t="str">
        <x:v>Entrée de roster et scènes alternatives.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me3/continuity/javik ; rattacher les ressources et états cités à cet identifiant. Aucun fichier de jeu créé par ce catalogue.</x:v>
      </x:c>
      <x:c r="M12" s="7" t="str"/>
      <x:c r="N12" s="7" t="str">
        <x:v>Le livrable « Continuité — From Ashes » possède une scène ou un scénario de contrôle ; ses règles proposées, ses conditions et ses retours visuels sont vérifiables séparément.</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ME3-CON-LEVIATHAN</x:v>
      </x:c>
      <x:c r="B13" s="9" t="str">
        <x:v>Continuité — révélation des origines</x:v>
      </x:c>
      <x:c r="C13" s="15" t="str">
        <x:v>Défini</x:v>
      </x:c>
      <x:c r="D13" s="16" t="str">
        <x:v>Extrapolation</x:v>
      </x:c>
      <x:c r="E13" s="16" t="str">
        <x:v>P1</x:v>
      </x:c>
      <x:c r="F13" s="9" t="str">
        <x:v>Livrable original proposé : Continuité — révélation des origines.</x:v>
      </x:c>
      <x:c r="G13" s="9" t="str">
        <x:v>Informations acquises seulement après l’enquête ; les répliques du Catalyseur utilisent un état de connaissance dédié.</x:v>
      </x:c>
      <x:c r="H13" s="9" t="str">
        <x:v>Informations acquises seulement après l’enquête ; les répliques du Catalyseur utilisent un état de connaissance dédié.</x:v>
      </x:c>
      <x:c r="I13" s="9" t="str">
        <x:v>Codex avant/après DLC.</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me3/continuity/leviathan ; rattacher les ressources et états cités à cet identifiant. Aucun fichier de jeu créé par ce catalogue.</x:v>
      </x:c>
      <x:c r="M13" s="9" t="str"/>
      <x:c r="N13" s="9" t="str">
        <x:v>Le livrable « Continuité — révélation des origines » possède une scène ou un scénario de contrôle ; ses règles proposées, ses conditions et ses retours visuels sont vérifiables séparément.</x:v>
      </x:c>
      <x:c r="O13" s="9" t="str">
        <x:v>ME3-LOR-LEVIATHANS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ME3-CON-OMEGA</x:v>
      </x:c>
      <x:c r="B14" s="7" t="str">
        <x:v>Continuité — station et Aria</x:v>
      </x:c>
      <x:c r="C14" s="15" t="str">
        <x:v>Défini</x:v>
      </x:c>
      <x:c r="D14" s="17" t="str">
        <x:v>Extrapolation</x:v>
      </x:c>
      <x:c r="E14" s="17" t="str">
        <x:v>P1</x:v>
      </x:c>
      <x:c r="F14" s="7" t="str">
        <x:v>Livrable original proposé : Continuité — station et Aria.</x:v>
      </x:c>
      <x:c r="G14" s="7" t="str">
        <x:v>ME2, occupation et libération sont trois états distincts ; le catalogue ne crée pas de libre hub post-DLC non attesté.</x:v>
      </x:c>
      <x:c r="H14" s="7" t="str">
        <x:v>ME2, occupation et libération sont trois états distincts ; le catalogue ne crée pas de libre hub post-DLC non attesté.</x:v>
      </x:c>
      <x:c r="I14" s="7" t="str">
        <x:v>Carte de station par période.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me3/continuity/omega ; rattacher les ressources et états cités à cet identifiant. Aucun fichier de jeu créé par ce catalogue.</x:v>
      </x:c>
      <x:c r="M14" s="7" t="str"/>
      <x:c r="N14" s="7" t="str">
        <x:v>Le livrable « Continuité — station et Aria » possède une scène ou un scénario de contrôle ; ses règles proposées, ses conditions et ses retours visuels sont vérifiables séparément.</x:v>
      </x:c>
      <x:c r="O14" s="7" t="str">
        <x:v>ME3-WRL-OMEGA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ME3-CON-CITADEL</x:v>
      </x:c>
      <x:c r="B15" s="9" t="str">
        <x:v>Continuité — placement de Citadel</x:v>
      </x:c>
      <x:c r="C15" s="15" t="str">
        <x:v>Défini</x:v>
      </x:c>
      <x:c r="D15" s="16" t="str">
        <x:v>Extrapolation</x:v>
      </x:c>
      <x:c r="E15" s="16" t="str">
        <x:v>P1</x:v>
      </x:c>
      <x:c r="F15" s="9" t="str">
        <x:v>Livrable original proposé : Continuité — placement de Citadel.</x:v>
      </x:c>
      <x:c r="G15" s="9" t="str">
        <x:v>Positionner le contenu avant le départ final, avec invités selon progression ; une scène festive n’annule pas les pertes déjà actées.</x:v>
      </x:c>
      <x:c r="H15" s="9" t="str">
        <x:v>Positionner le contenu avant le départ final, avec invités selon progression ; une scène festive n’annule pas les pertes déjà actées.</x:v>
      </x:c>
      <x:c r="I15" s="9" t="str">
        <x:v>Timeline de congé et verrou QG.</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me3/continuity/citadel ; rattacher les ressources et états cités à cet identifiant. Aucun fichier de jeu créé par ce catalogue.</x:v>
      </x:c>
      <x:c r="M15" s="9" t="str"/>
      <x:c r="N15" s="9" t="str">
        <x:v>Le livrable « Continuité — placement de Citadel » possède une scène ou un scénario de contrôle ; ses règles proposées, ses conditions et ses retours visuels sont vérifiables séparément.</x:v>
      </x:c>
      <x:c r="O15" s="9" t="str">
        <x:v>ME3-SYS-DLC</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ME3-CON-EXTENDED</x:v>
      </x:c>
      <x:c r="B16" s="7" t="str">
        <x:v>Continuité — Extended Cut</x:v>
      </x:c>
      <x:c r="C16" s="15" t="str">
        <x:v>Défini</x:v>
      </x:c>
      <x:c r="D16" s="17" t="str">
        <x:v>Extrapolation</x:v>
      </x:c>
      <x:c r="E16" s="17" t="str">
        <x:v>P1</x:v>
      </x:c>
      <x:c r="F16" s="7" t="str">
        <x:v>Livrable original proposé : Continuité — Extended Cut.</x:v>
      </x:c>
      <x:c r="G16" s="7" t="str">
        <x:v>Répartir scènes ajoutées et épilogues selon profil d’édition ; garder les variantes disponibles sans élire une fin officielle.</x:v>
      </x:c>
      <x:c r="H16" s="7" t="str">
        <x:v>Répartir scènes ajoutées et épilogues selon profil d’édition ; garder les variantes disponibles sans élire une fin officielle.</x:v>
      </x:c>
      <x:c r="I16" s="7" t="str">
        <x:v>Manifeste des fins.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me3/continuity/extended ; rattacher les ressources et états cités à cet identifiant. Aucun fichier de jeu créé par ce catalogue.</x:v>
      </x:c>
      <x:c r="M16" s="7" t="str"/>
      <x:c r="N16" s="7" t="str">
        <x:v>Le livrable « Continuité — Extended Cut » possède une scène ou un scénario de contrôle ; ses règles proposées, ses conditions et ses retours visuels sont vérifiables séparément.</x:v>
      </x:c>
      <x:c r="O16" s="7" t="str">
        <x:v>ME3-SYS-ENDING</x:v>
      </x:c>
      <x:c r="P16" s="7" t="str">
        <x:v>Adaptation originale — spécification de production</x:v>
      </x:c>
      <x:c r="Q16" s="7" t="str">
        <x:v>ME3-SRC-BW-EC, ME3-SRC-EA-CAL</x:v>
      </x:c>
      <x:c r="R16" s="7" t="str">
        <x:v>https://blog.bioware.com/2012/06/22/mass-effect-3-extended-cut-2/
https://www.ea.com/ea-play/news/gameplay-calibrations</x:v>
      </x:c>
      <x:c r="S16" s="7" t="str">
        <x:v>Spécification à réaliser. Les champs adaptation, gameplay, visual, animation, audio et implementation décrivent le fan game ; ils ne donnent pas des caractéristiques officielles de l’œuvre.</x:v>
      </x:c>
    </x:row>
    <x:row r="17" ht="68" customHeight="1">
      <x:c r="A17" s="18" t="str">
        <x:v>ME3-CON-LEGENDARY</x:v>
      </x:c>
      <x:c r="B17" s="9" t="str">
        <x:v>Continuité — règles Legendary</x:v>
      </x:c>
      <x:c r="C17" s="15" t="str">
        <x:v>Défini</x:v>
      </x:c>
      <x:c r="D17" s="16" t="str">
        <x:v>Extrapolation</x:v>
      </x:c>
      <x:c r="E17" s="16" t="str">
        <x:v>P1</x:v>
      </x:c>
      <x:c r="F17" s="9" t="str">
        <x:v>Livrable original proposé : Continuité — règles Legendary.</x:v>
      </x:c>
      <x:c r="G17" s="9" t="str">
        <x:v>Pas de multijoueur ni dépendance de readiness à un service externe ; acquisition d’équipement et Extended Cut suivent le profil choisi.</x:v>
      </x:c>
      <x:c r="H17" s="9" t="str">
        <x:v>Pas de multijoueur ni dépendance de readiness à un service externe ; acquisition d’équipement et Extended Cut suivent le profil choisi.</x:v>
      </x:c>
      <x:c r="I17" s="9" t="str">
        <x:v>Badge Legendary et provenance d’objet.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me3/continuity/legendary ; rattacher les ressources et états cités à cet identifiant. Aucun fichier de jeu créé par ce catalogue.</x:v>
      </x:c>
      <x:c r="M17" s="9" t="str"/>
      <x:c r="N17" s="9" t="str">
        <x:v>Le livrable « Continuité — règles Legendary » possède une scène ou un scénario de contrôle ; ses règles proposées, ses conditions et ses retours visuels sont vérifiables séparément.</x:v>
      </x:c>
      <x:c r="O17" s="9" t="str">
        <x:v>ME3-SYS-READINESS</x:v>
      </x:c>
      <x:c r="P17" s="9" t="str">
        <x:v>Gameplay Calibrations — Legendary Edition</x:v>
      </x:c>
      <x:c r="Q17" s="9" t="str">
        <x:v>ME3-SRC-EA-CAL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ME3-CON-ANDROMEDA</x:v>
      </x:c>
      <x:c r="B18" s="7" t="str">
        <x:v>Continuité — départ de l’Initiative</x:v>
      </x:c>
      <x:c r="C18" s="15" t="str">
        <x:v>Défini</x:v>
      </x:c>
      <x:c r="D18" s="17" t="str">
        <x:v>Extrapolation</x:v>
      </x:c>
      <x:c r="E18" s="17" t="str">
        <x:v>P1</x:v>
      </x:c>
      <x:c r="F18" s="7" t="str">
        <x:v>Livrable original proposé : Continuité — départ de l’Initiative.</x:v>
      </x:c>
      <x:c r="G18" s="7" t="str">
        <x:v>Le futur catalogue Andromeda n’exige pas une fin canon de ME3 ; séparation des chronologies et révélations à documenter sans retcon.</x:v>
      </x:c>
      <x:c r="H18" s="7" t="str">
        <x:v>Le futur catalogue Andromeda n’exige pas une fin canon de ME3 ; séparation des chronologies et révélations à documenter sans retcon.</x:v>
      </x:c>
      <x:c r="I18" s="7" t="str">
        <x:v>Frise distincte des galaxies.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me3/continuity/andromeda ; rattacher les ressources et états cités à cet identifiant. Aucun fichier de jeu créé par ce catalogue.</x:v>
      </x:c>
      <x:c r="M18" s="7" t="str"/>
      <x:c r="N18" s="7" t="str">
        <x:v>Le livrable « Continuité — départ de l’Initiative » possède une scène ou un scénario de contrôle ; ses règles proposées, ses conditions et ses retours visuels sont vérifiables séparément.</x:v>
      </x:c>
      <x:c r="O18" s="7" t="str">
        <x:v>ME3-CHO-DESTROY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ME3-CON-SPINOFFS</x:v>
      </x:c>
      <x:c r="B19" s="9" t="str">
        <x:v>Continuité — romans et comics</x:v>
      </x:c>
      <x:c r="C19" s="15" t="str">
        <x:v>Défini</x:v>
      </x:c>
      <x:c r="D19" s="16" t="str">
        <x:v>Extrapolation</x:v>
      </x:c>
      <x:c r="E19" s="16" t="str">
        <x:v>P1</x:v>
      </x:c>
      <x:c r="F19" s="9" t="str">
        <x:v>Livrable original proposé : Continuité — romans et comics.</x:v>
      </x:c>
      <x:c r="G19" s="9" t="str">
        <x:v>Référencer les œuvres connexes par bibliographie, pas comme preuves d’événements d’une sauvegarde ; spoilers filtrés par période.</x:v>
      </x:c>
      <x:c r="H19" s="9" t="str">
        <x:v>Référencer les œuvres connexes par bibliographie, pas comme preuves d’événements d’une sauvegarde ; spoilers filtrés par période.</x:v>
      </x:c>
      <x:c r="I19" s="9" t="str">
        <x:v>Liens documentaires hors journal de mission.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me3/continuity/spinoffs ; rattacher les ressources et états cités à cet identifiant. Aucun fichier de jeu créé par ce catalogue.</x:v>
      </x:c>
      <x:c r="M19" s="9" t="str"/>
      <x:c r="N19" s="9" t="str">
        <x:v>Le livrable « Continuité — romans et comics » possède une scène ou un scénario de contrôle ; ses règles proposées, ses conditions et ses retours visuels sont vérifiables séparément.</x:v>
      </x:c>
      <x:c r="O19" s="9" t="str">
        <x:v>ME3-SYS-JOURNAL</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ME3-CON-CANON</x:v>
      </x:c>
      <x:c r="B20" s="7" t="str">
        <x:v>Continuité — faits et adaptation</x:v>
      </x:c>
      <x:c r="C20" s="15" t="str">
        <x:v>Défini</x:v>
      </x:c>
      <x:c r="D20" s="17" t="str">
        <x:v>Extrapolation</x:v>
      </x:c>
      <x:c r="E20" s="17" t="str">
        <x:v>P1</x:v>
      </x:c>
      <x:c r="F20" s="7" t="str">
        <x:v>Livrable original proposé : Continuité — faits et adaptation.</x:v>
      </x:c>
      <x:c r="G20" s="7" t="str">
        <x:v>Description/source expriment les faits brefs ; ATB, ressources proposées, timings et méthodes d’art sont originaux et non des valeurs BioWare.</x:v>
      </x:c>
      <x:c r="H20" s="7" t="str">
        <x:v>Description/source expriment les faits brefs ; ATB, ressources proposées, timings et méthodes d’art sont originaux et non des valeurs BioWare.</x:v>
      </x:c>
      <x:c r="I20" s="7" t="str">
        <x:v>Bandeau de nature dans chaque fiche.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me3/continuity/canon ; rattacher les ressources et états cités à cet identifiant. Aucun fichier de jeu créé par ce catalogue.</x:v>
      </x:c>
      <x:c r="M20" s="7" t="str"/>
      <x:c r="N20" s="7" t="str">
        <x:v>Le livrable « Continuité — faits et adaptation » possède une scène ou un scénario de contrôle ; ses règles proposées, ses conditions et ses retours visuels sont vérifiables séparément.</x:v>
      </x:c>
      <x:c r="O20" s="7" t="str">
        <x:v>ME3-SYS-ATB</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c5fde3dd95cc4e2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3</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3</x:v>
      </x:c>
      <x:c r="C7" s="2"/>
      <x:c r="D7" s="2"/>
      <x:c r="E7" s="2"/>
      <x:c r="F7" s="2"/>
    </x:row>
    <x:row r="8" ht="30" customHeight="1">
      <x:c r="A8" s="7" t="str">
        <x:v>Support</x:v>
      </x:c>
      <x:c r="B8" s="7" t="str">
        <x:v>Jeu vidéo</x:v>
      </x:c>
      <x:c r="C8" s="2"/>
      <x:c r="D8" s="2"/>
      <x:c r="E8" s="2"/>
      <x:c r="F8" s="2"/>
    </x:row>
    <x:row r="9" ht="82" customHeight="1">
      <x:c r="A9" s="7" t="str">
        <x:v>Périmètre</x:v>
      </x:c>
      <x:c r="B9" s="7" t="str">
        <x:v>Campagne solo et DLC From Ashes, Leviathan, Omega, Citadel et Extended Cut ; profils Original et Legendary distincts. Le multijoueur de ME3 original et ses packs sont décrits comme module séparé, sans l’intégrer au roster solo ni le présenter comme présent dans Legendary.</x:v>
      </x:c>
      <x:c r="C9" s="2"/>
      <x:c r="D9" s="2"/>
      <x:c r="E9" s="2"/>
      <x:c r="F9" s="2"/>
    </x:row>
    <x:row r="10" ht="54" customHeight="1">
      <x:c r="A10" s="7" t="str">
        <x:v>Projet</x:v>
      </x:c>
      <x:c r="B10" s="7" t="str">
        <x:v>736 fiches de production ; 53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ME3-SRC-EA-LE</x:v>
      </x:c>
      <x:c r="B27" s="6" t="str">
        <x:v>Mass Effect Legendary Edition — EA</x:v>
      </x:c>
      <x:c r="C27" s="6" t="str">
        <x:v>source officielle</x:v>
      </x:c>
      <x:c r="D27" s="6" t="str">
        <x:v>https://www.ea.com/fr/games/mass-effect/mass-effect-legendary-edition</x:v>
      </x:c>
      <x:c r="E27" s="6" t="str">
        <x:v>Collection solo et DLC</x:v>
      </x:c>
      <x:c r="F27" s="6" t="str">
        <x:v>Source officielle consultée le 22 octobre 2026 ; portée limitée au sujet annoncé.</x:v>
      </x:c>
    </x:row>
    <x:row r="28" ht="42" customHeight="1">
      <x:c r="A28" s="6" t="str">
        <x:v>ME3-SRC-EA-CAL</x:v>
      </x:c>
      <x:c r="B28" s="6" t="str">
        <x:v>Gameplay Calibrations</x:v>
      </x:c>
      <x:c r="C28" s="6" t="str">
        <x:v>source officielle</x:v>
      </x:c>
      <x:c r="D28" s="6" t="str">
        <x:v>https://www.ea.com/ea-play/news/gameplay-calibrations</x:v>
      </x:c>
      <x:c r="E28" s="6" t="str">
        <x:v>Galaxy at War, Extended Cut et acquisition des objets</x:v>
      </x:c>
      <x:c r="F28" s="6" t="str">
        <x:v>Source officielle consultée le 22 octobre 2026 ; portée limitée au sujet annoncé.</x:v>
      </x:c>
    </x:row>
    <x:row r="29" ht="42" customHeight="1">
      <x:c r="A29" s="6" t="str">
        <x:v>ME3-SRC-EA-ASHES</x:v>
      </x:c>
      <x:c r="B29" s="6" t="str">
        <x:v>ME3: Surgi des cendres</x:v>
      </x:c>
      <x:c r="C29" s="6" t="str">
        <x:v>source officielle</x:v>
      </x:c>
      <x:c r="D29" s="6" t="str">
        <x:v>https://www.ea.com/fr-fr/games/mass-effect/mass-effect-3-from-ashes</x:v>
      </x:c>
      <x:c r="E29" s="6" t="str">
        <x:v>Recrutement du Prothéen</x:v>
      </x:c>
      <x:c r="F29" s="6" t="str">
        <x:v>Source officielle consultée le 22 octobre 2026 ; portée limitée au sujet annoncé.</x:v>
      </x:c>
    </x:row>
    <x:row r="30" ht="42" customHeight="1">
      <x:c r="A30" s="6" t="str">
        <x:v>ME3-SRC-EA-LEV</x:v>
      </x:c>
      <x:c r="B30" s="6" t="str">
        <x:v>Mass Effect 3: Leviathan — EA</x:v>
      </x:c>
      <x:c r="C30" s="6" t="str">
        <x:v>source officielle</x:v>
      </x:c>
      <x:c r="D30" s="6" t="str">
        <x:v>https://www.ea.com/fr-fr/games/mass-effect/mass-effect-3-leviathan</x:v>
      </x:c>
      <x:c r="E30" s="6" t="str">
        <x:v>Sujet de l’extension</x:v>
      </x:c>
      <x:c r="F30" s="6" t="str">
        <x:v>Source officielle consultée le 22 octobre 2026 ; portée limitée au sujet annoncé.</x:v>
      </x:c>
    </x:row>
    <x:row r="31" ht="42" customHeight="1">
      <x:c r="A31" s="6" t="str">
        <x:v>ME3-SRC-EA-OMEGA</x:v>
      </x:c>
      <x:c r="B31" s="6" t="str">
        <x:v>Mass Effect 3: Omega — EA</x:v>
      </x:c>
      <x:c r="C31" s="6" t="str">
        <x:v>source officielle</x:v>
      </x:c>
      <x:c r="D31" s="6" t="str">
        <x:v>https://www.ea.com/fr-fr/games/mass-effect/mass-effect-3-omega</x:v>
      </x:c>
      <x:c r="E31" s="6" t="str">
        <x:v>Aria et libération d’Omega</x:v>
      </x:c>
      <x:c r="F31" s="6" t="str">
        <x:v>Source officielle consultée le 22 octobre 2026 ; portée limitée au sujet annoncé.</x:v>
      </x:c>
    </x:row>
    <x:row r="32" ht="42" customHeight="1">
      <x:c r="A32" s="6" t="str">
        <x:v>ME3-SRC-BW-CITADEL</x:v>
      </x:c>
      <x:c r="B32" s="6" t="str">
        <x:v>Citadel &amp; Reckoning DLC Announced</x:v>
      </x:c>
      <x:c r="C32" s="6" t="str">
        <x:v>source officielle</x:v>
      </x:c>
      <x:c r="D32" s="6" t="str">
        <x:v>https://blog.bioware.com/2013/02/21/mass-effect-3-citadel-reckoning-dlc-announced/</x:v>
      </x:c>
      <x:c r="E32" s="6" t="str">
        <x:v>Citadel solo, Armax et Reckoning multi</x:v>
      </x:c>
      <x:c r="F32" s="6" t="str">
        <x:v>Source officielle consultée le 22 octobre 2026 ; portée limitée au sujet annoncé.</x:v>
      </x:c>
    </x:row>
    <x:row r="33" ht="42" customHeight="1">
      <x:c r="A33" s="6" t="str">
        <x:v>ME3-SRC-BW-LEV</x:v>
      </x:c>
      <x:c r="B33" s="6" t="str">
        <x:v>Leviathan &amp; Firefight DLC and Wii U information</x:v>
      </x:c>
      <x:c r="C33" s="6" t="str">
        <x:v>source officielle</x:v>
      </x:c>
      <x:c r="D33" s="6" t="str">
        <x:v>https://blog.bioware.com/2012/08/02/mass-effect-3-leviathan-firefight-dlc-and-wii-u-information/</x:v>
      </x:c>
      <x:c r="E33" s="6" t="str">
        <x:v>Leviathan et armes solo</x:v>
      </x:c>
      <x:c r="F33" s="6" t="str">
        <x:v>Source officielle consultée le 22 octobre 2026 ; portée limitée au sujet annoncé.</x:v>
      </x:c>
    </x:row>
    <x:row r="34" ht="42" customHeight="1">
      <x:c r="A34" s="6" t="str">
        <x:v>ME3-SRC-BW-EC</x:v>
      </x:c>
      <x:c r="B34" s="6" t="str">
        <x:v>Mass Effect 3: Extended Cut</x:v>
      </x:c>
      <x:c r="C34" s="6" t="str">
        <x:v>source officielle</x:v>
      </x:c>
      <x:c r="D34" s="6" t="str">
        <x:v>https://blog.bioware.com/2012/06/22/mass-effect-3-extended-cut-2/</x:v>
      </x:c>
      <x:c r="E34" s="6" t="str">
        <x:v>Scènes finales et épilogues supplémentaires</x:v>
      </x:c>
      <x:c r="F34" s="6" t="str">
        <x:v>Source officielle consultée le 22 octobre 2026 ; portée limitée au sujet annoncé.</x:v>
      </x:c>
    </x:row>
    <x:row r="35" ht="82" customHeight="1">
      <x:c r="A35" s="6" t="str">
        <x:v>ME3-SRC-GUIDE</x:v>
      </x:c>
      <x:c r="B35" s="6" t="str">
        <x:v>Mass Effect 3 Guide</x:v>
      </x:c>
      <x:c r="C35" s="6" t="str">
        <x:v>wiki</x:v>
      </x:c>
      <x:c r="D35" s="6" t="str">
        <x:v>https://masseffect.fandom.com/wiki/Mass_Effect_3_Guide</x:v>
      </x:c>
      <x:c r="E35" s="6" t="str">
        <x:v>Campagne et échéances de missions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ME3-SRC-MISSIONS</x:v>
      </x:c>
      <x:c r="B36" s="6" t="str">
        <x:v>Missions</x:v>
      </x:c>
      <x:c r="C36" s="6" t="str">
        <x:v>wiki</x:v>
      </x:c>
      <x:c r="D36" s="6" t="str">
        <x:v>https://masseffect.fandom.com/wiki/Missions</x:v>
      </x:c>
      <x:c r="E36" s="6" t="str">
        <x:v>Index ME3 et DLC</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ME3-SRC-CHAR</x:v>
      </x:c>
      <x:c r="B37" s="6" t="str">
        <x:v>Characters/Mass Effect 3</x:v>
      </x:c>
      <x:c r="C37" s="6" t="str">
        <x:v>wiki</x:v>
      </x:c>
      <x:c r="D37" s="6" t="str">
        <x:v>https://masseffect.fandom.com/wiki/Characters/Mass_Effect_3</x:v>
      </x:c>
      <x:c r="E37" s="6" t="str">
        <x:v>Personnages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ME3-SRC-SQUAD</x:v>
      </x:c>
      <x:c r="B38" s="6" t="str">
        <x:v>Squad Members Guide (Mass Effect 3)</x:v>
      </x:c>
      <x:c r="C38" s="6" t="str">
        <x:v>wiki</x:v>
      </x:c>
      <x:c r="D38" s="6" t="str">
        <x:v>https://masseffect.fandom.com/wiki/Squad_Members_Guide_%28Mass_Effect_3%29</x:v>
      </x:c>
      <x:c r="E38" s="6" t="str">
        <x:v>Roster campagne, DLC et Armax</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ME3-SRC-POWERS</x:v>
      </x:c>
      <x:c r="B39" s="6" t="str">
        <x:v>Powers (Mass Effect 3)</x:v>
      </x:c>
      <x:c r="C39" s="6" t="str">
        <x:v>wiki</x:v>
      </x:c>
      <x:c r="D39" s="6" t="str">
        <x:v>https://masseffect.fandom.com/wiki/Powers_%28Mass_Effect_3%29</x:v>
      </x:c>
      <x:c r="E39" s="6" t="str">
        <x:v>Pouvoirs et progressions</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ME3-SRC-COMBAT</x:v>
      </x:c>
      <x:c r="B40" s="6" t="str">
        <x:v>Combat (Mass Effect 3)</x:v>
      </x:c>
      <x:c r="C40" s="6" t="str">
        <x:v>wiki</x:v>
      </x:c>
      <x:c r="D40" s="6" t="str">
        <x:v>https://masseffect.fandom.com/wiki/Combat_%28Mass_Effect_3%29</x:v>
      </x:c>
      <x:c r="E40" s="6" t="str">
        <x:v>Couches de protection et attaques létales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ME3-SRC-EQUIP</x:v>
      </x:c>
      <x:c r="B41" s="6" t="str">
        <x:v>Equipment Guide (Mass Effect 3)</x:v>
      </x:c>
      <x:c r="C41" s="6" t="str">
        <x:v>wiki</x:v>
      </x:c>
      <x:c r="D41" s="6" t="str">
        <x:v>https://masseffect.fandom.com/wiki/Equipment_Guide_%28Mass_Effect_3%29</x:v>
      </x:c>
      <x:c r="E41" s="6" t="str">
        <x:v>Équipement et lieux de collecte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ME3-SRC-CITADEL</x:v>
      </x:c>
      <x:c r="B42" s="6" t="str">
        <x:v>Citadel</x:v>
      </x:c>
      <x:c r="C42" s="6" t="str">
        <x:v>wiki</x:v>
      </x:c>
      <x:c r="D42" s="6" t="str">
        <x:v>https://masseffect.fandom.com/wiki/Citadel</x:v>
      </x:c>
      <x:c r="E42" s="6" t="str">
        <x:v>Index des missions annexes de Citadelle</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ME3-SRC-HUERTA</x:v>
      </x:c>
      <x:c r="B43" s="6" t="str">
        <x:v>Huerta Memorial Hospital</x:v>
      </x:c>
      <x:c r="C43" s="6" t="str">
        <x:v>wiki</x:v>
      </x:c>
      <x:c r="D43" s="6" t="str">
        <x:v>https://masseffect.fandom.com/wiki/Huerta_Memorial_Hospital</x:v>
      </x:c>
      <x:c r="E43" s="6" t="str">
        <x:v>Hôpital et personnages</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ME3-SRC-TUCH</x:v>
      </x:c>
      <x:c r="B44" s="6" t="str">
        <x:v>Priority: Tuchanka</x:v>
      </x:c>
      <x:c r="C44" s="6" t="str">
        <x:v>wiki</x:v>
      </x:c>
      <x:c r="D44" s="6" t="str">
        <x:v>https://masseffect.fandom.com/wiki/Priority%3A_Tuchanka</x:v>
      </x:c>
      <x:c r="E44" s="6" t="str">
        <x:v>Génophage, Eve et sabotage</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ME3-SRC-RANNOCH</x:v>
      </x:c>
      <x:c r="B45" s="6" t="str">
        <x:v>Priority: Rannoch</x:v>
      </x:c>
      <x:c r="C45" s="6" t="str">
        <x:v>wiki</x:v>
      </x:c>
      <x:c r="D45" s="6" t="str">
        <x:v>https://masseffect.fandom.com/wiki/Priority%3A_Rannoch</x:v>
      </x:c>
      <x:c r="E45" s="6" t="str">
        <x:v>Geth, quariens et résolution</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ME3-SRC-EARTH</x:v>
      </x:c>
      <x:c r="B46" s="6" t="str">
        <x:v>Priority: Earth</x:v>
      </x:c>
      <x:c r="C46" s="6" t="str">
        <x:v>wiki</x:v>
      </x:c>
      <x:c r="D46" s="6" t="str">
        <x:v>https://masseffect.fandom.com/wiki/Priority%3A_Earth</x:v>
      </x:c>
      <x:c r="E46" s="6" t="str">
        <x:v>Final et variantes de décision</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ME3-SRC-HORIZON</x:v>
      </x:c>
      <x:c r="B47" s="6" t="str">
        <x:v>Priority: Horizon</x:v>
      </x:c>
      <x:c r="C47" s="6" t="str">
        <x:v>wiki</x:v>
      </x:c>
      <x:c r="D47" s="6" t="str">
        <x:v>https://masseffect.fandom.com/wiki/Priority%3A_Horizon</x:v>
      </x:c>
      <x:c r="E47" s="6" t="str">
        <x:v>Sanctuary et Miranda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ME3-SRC-THESSIA</x:v>
      </x:c>
      <x:c r="B48" s="6" t="str">
        <x:v>Priority: Thessia</x:v>
      </x:c>
      <x:c r="C48" s="6" t="str">
        <x:v>wiki</x:v>
      </x:c>
      <x:c r="D48" s="6" t="str">
        <x:v>https://masseffect.fandom.com/wiki/Priority%3A_Thessia</x:v>
      </x:c>
      <x:c r="E48" s="6" t="str">
        <x:v>Temple et Vendetta</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ME3-SRC-HQ</x:v>
      </x:c>
      <x:c r="B49" s="6" t="str">
        <x:v>Priority: Cerberus Headquarters</x:v>
      </x:c>
      <x:c r="C49" s="6" t="str">
        <x:v>wiki</x:v>
      </x:c>
      <x:c r="D49" s="6" t="str">
        <x:v>https://masseffect.fandom.com/wiki/Priority%3A_Cerberus_Headquarters</x:v>
      </x:c>
      <x:c r="E49" s="6" t="str">
        <x:v>Assaut final de Cerberus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ME3-SRC-CITADEL2</x:v>
      </x:c>
      <x:c r="B50" s="6" t="str">
        <x:v>Priority: The Citadel II</x:v>
      </x:c>
      <x:c r="C50" s="6" t="str">
        <x:v>wiki</x:v>
      </x:c>
      <x:c r="D50" s="6" t="str">
        <x:v>https://masseffect.fandom.com/wiki/Priority%3A_The_Citadel_II</x:v>
      </x:c>
      <x:c r="E50" s="6" t="str">
        <x:v>Coup d’État et Kolyat</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ME3-SRC-GRISSOM</x:v>
      </x:c>
      <x:c r="B51" s="6" t="str">
        <x:v>Grissom Academy: Emergency Evacuation</x:v>
      </x:c>
      <x:c r="C51" s="6" t="str">
        <x:v>wiki</x:v>
      </x:c>
      <x:c r="D51" s="6" t="str">
        <x:v>https://masseffect.fandom.com/wiki/Grissom_Academy%3A_Emergency_Evacuation</x:v>
      </x:c>
      <x:c r="E51" s="6" t="str">
        <x:v>Jack, élèves et évacuation</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ME3-SRC-RACHNI</x:v>
      </x:c>
      <x:c r="B52" s="6" t="str">
        <x:v>Attican Traverse: Krogan Team</x:v>
      </x:c>
      <x:c r="C52" s="6" t="str">
        <x:v>wiki</x:v>
      </x:c>
      <x:c r="D52" s="6" t="str">
        <x:v>https://masseffect.fandom.com/wiki/Attican_Traverse%3A_Krogan_Team</x:v>
      </x:c>
      <x:c r="E52" s="6" t="str">
        <x:v>Grunt, équipe et reine rachni</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ME3-SRC-BOMB</x:v>
      </x:c>
      <x:c r="B53" s="6" t="str">
        <x:v>Tuchanka: Bomb</x:v>
      </x:c>
      <x:c r="C53" s="6" t="str">
        <x:v>wiki</x:v>
      </x:c>
      <x:c r="D53" s="6" t="str">
        <x:v>https://masseffect.fandom.com/wiki/Tuchanka%3A_Bomb</x:v>
      </x:c>
      <x:c r="E53" s="6" t="str">
        <x:v>Désamorçage et Victus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ME3-SRC-PLATOON</x:v>
      </x:c>
      <x:c r="B54" s="6" t="str">
        <x:v>Tuchanka: Turian Platoon</x:v>
      </x:c>
      <x:c r="C54" s="6" t="str">
        <x:v>wiki</x:v>
      </x:c>
      <x:c r="D54" s="6" t="str">
        <x:v>https://masseffect.fandom.com/wiki/Tuchanka%3A_Turian_Platoon</x:v>
      </x:c>
      <x:c r="E54" s="6" t="str">
        <x:v>Peloton et enchaînement vers bombe</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ME3-SRC-KALLINI</x:v>
      </x:c>
      <x:c r="B55" s="6" t="str">
        <x:v>Kallini: Ardat-Yakshi Monastery</x:v>
      </x:c>
      <x:c r="C55" s="6" t="str">
        <x:v>wiki</x:v>
      </x:c>
      <x:c r="D55" s="6" t="str">
        <x:v>https://masseffect.fandom.com/wiki/Kallini%3A_Ardat-Yakshi_Monastery</x:v>
      </x:c>
      <x:c r="E55" s="6" t="str">
        <x:v>Samara, Falere et Rila</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ME3-SRC-ARRAE</x:v>
      </x:c>
      <x:c r="B56" s="6" t="str">
        <x:v>Arrae: Ex-Cerberus Scientists</x:v>
      </x:c>
      <x:c r="C56" s="6" t="str">
        <x:v>wiki</x:v>
      </x:c>
      <x:c r="D56" s="6" t="str">
        <x:v>https://masseffect.fandom.com/wiki/Arrae%3A_Ex-Cerberus_Scientists</x:v>
      </x:c>
      <x:c r="E56" s="6" t="str">
        <x:v>Jacob, Brynn Cole et Gavin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ME3-SRC-FIGHTERS</x:v>
      </x:c>
      <x:c r="B57" s="6" t="str">
        <x:v>Rannoch: Geth Fighter Squadrons</x:v>
      </x:c>
      <x:c r="C57" s="6" t="str">
        <x:v>wiki</x:v>
      </x:c>
      <x:c r="D57" s="6" t="str">
        <x:v>https://masseffect.fandom.com/wiki/Rannoch%3A_Geth_Fighter_Squadrons</x:v>
      </x:c>
      <x:c r="E57" s="6" t="str">
        <x:v>Consensus et échéance avant Rannoch</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ME3-SRC-OMEGA</x:v>
      </x:c>
      <x:c r="B58" s="6" t="str">
        <x:v>Omega: Aria T’Loak (Mass Effect 3)</x:v>
      </x:c>
      <x:c r="C58" s="6" t="str">
        <x:v>wiki</x:v>
      </x:c>
      <x:c r="D58" s="6" t="str">
        <x:v>https://masseffect.fandom.com/wiki/Omega%3A_Aria_T%27Loak_%28Mass_Effect_3%29</x:v>
      </x:c>
      <x:c r="E58" s="6" t="str">
        <x:v>Campagne DLC, Nyreen et Petrovsky</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ME3-SRC-OMEGA-START</x:v>
      </x:c>
      <x:c r="B59" s="6" t="str">
        <x:v>Citadel: Aria T’Loak</x:v>
      </x:c>
      <x:c r="C59" s="6" t="str">
        <x:v>wiki</x:v>
      </x:c>
      <x:c r="D59" s="6" t="str">
        <x:v>https://masseffect.fandom.com/wiki/Citadel%3A_Aria_T%27Loak</x:v>
      </x:c>
      <x:c r="E59" s="6" t="str">
        <x:v>Briefing de l’extension</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ME3-SRC-LEV</x:v>
      </x:c>
      <x:c r="B60" s="6" t="str">
        <x:v>Mass Effect 3: Leviathan</x:v>
      </x:c>
      <x:c r="C60" s="6" t="str">
        <x:v>wiki</x:v>
      </x:c>
      <x:c r="D60" s="6" t="str">
        <x:v>https://masseffect.fandom.com/wiki/Mass_Effect_3%3A_Leviathan</x:v>
      </x:c>
      <x:c r="E60" s="6" t="str">
        <x:v>Index des étapes de recherche</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ME3-SRC-CIT-DLC</x:v>
      </x:c>
      <x:c r="B61" s="6" t="str">
        <x:v>Mass Effect 3: Citadel</x:v>
      </x:c>
      <x:c r="C61" s="6" t="str">
        <x:v>wiki</x:v>
      </x:c>
      <x:c r="D61" s="6" t="str">
        <x:v>https://masseffect.fandom.com/wiki/Mass_Effect_3%3A_Citadel</x:v>
      </x:c>
      <x:c r="E61" s="6" t="str">
        <x:v>Complot et activités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ME3-SRC-MP</x:v>
      </x:c>
      <x:c r="B62" s="6" t="str">
        <x:v>Mass Effect 3 Multiplayer</x:v>
      </x:c>
      <x:c r="C62" s="6" t="str">
        <x:v>wiki</x:v>
      </x:c>
      <x:c r="D62" s="6" t="str">
        <x:v>https://masseffect.fandom.com/wiki/Mass_Effect_3_Multiplayer</x:v>
      </x:c>
      <x:c r="E62" s="6" t="str">
        <x:v>Cartes et packs multijoueurs, original uniquement</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ME3-SRC-MP-CHALLENGES</x:v>
      </x:c>
      <x:c r="B63" s="6" t="str">
        <x:v>Mass Effect 3 Multiplayer/Challenges</x:v>
      </x:c>
      <x:c r="C63" s="6" t="str">
        <x:v>wiki</x:v>
      </x:c>
      <x:c r="D63" s="6" t="str">
        <x:v>https://masseffect.fandom.com/wiki/Mass_Effect_3_Multiplayer/Challenges</x:v>
      </x:c>
      <x:c r="E63" s="6" t="str">
        <x:v>Défis de Retaliation</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ME3-SRC-GAME</x:v>
      </x:c>
      <x:c r="B64" s="6" t="str">
        <x:v>Mass Effect 3</x:v>
      </x:c>
      <x:c r="C64" s="6" t="str">
        <x:v>wiki</x:v>
      </x:c>
      <x:c r="D64" s="6" t="str">
        <x:v>https://masseffect.fandom.com/wiki/Mass_Effect_3</x:v>
      </x:c>
      <x:c r="E64" s="6" t="str">
        <x:v>Périmètre et éditions</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ME3-SRC-INTERRUPT</x:v>
      </x:c>
      <x:c r="B65" s="6" t="str">
        <x:v>Interrupt (Mass Effect 3)</x:v>
      </x:c>
      <x:c r="C65" s="6" t="str">
        <x:v>wiki</x:v>
      </x:c>
      <x:c r="D65" s="6" t="str">
        <x:v>https://masseffect.fandom.com/wiki/Interrupt_%28Mass_Effect_3%29</x:v>
      </x:c>
      <x:c r="E65" s="6" t="str">
        <x:v>Interruptions et variantes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ME3-SRC-MORAL</x:v>
      </x:c>
      <x:c r="B66" s="6" t="str">
        <x:v>Morality Guide (Mass Effect 3)</x:v>
      </x:c>
      <x:c r="C66" s="6" t="str">
        <x:v>wiki</x:v>
      </x:c>
      <x:c r="D66" s="6" t="str">
        <x:v>https://masseffect.fandom.com/wiki/Morality_Guide_%28Mass_Effect_3%29</x:v>
      </x:c>
      <x:c r="E66" s="6" t="str">
        <x:v>Dialogues et décisions</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ME3-SRC-PHANTOM</x:v>
      </x:c>
      <x:c r="B67" s="6" t="str">
        <x:v>Phantom</x:v>
      </x:c>
      <x:c r="C67" s="6" t="str">
        <x:v>wiki</x:v>
      </x:c>
      <x:c r="D67" s="6" t="str">
        <x:v>https://masseffect.fandom.com/wiki/Phantom</x:v>
      </x:c>
      <x:c r="E67" s="6" t="str">
        <x:v>Unité Cerberus et index bestiaire</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ME3-SRC-MARAUDER</x:v>
      </x:c>
      <x:c r="B68" s="6" t="str">
        <x:v>Marauder</x:v>
      </x:c>
      <x:c r="C68" s="6" t="str">
        <x:v>wiki</x:v>
      </x:c>
      <x:c r="D68" s="6" t="str">
        <x:v>https://masseffect.fandom.com/wiki/Marauder</x:v>
      </x:c>
      <x:c r="E68" s="6" t="str">
        <x:v>Unité Moissonneur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ME3-SRC-RAVAGER</x:v>
      </x:c>
      <x:c r="B69" s="6" t="str">
        <x:v>Ravager</x:v>
      </x:c>
      <x:c r="C69" s="6" t="str">
        <x:v>wiki</x:v>
      </x:c>
      <x:c r="D69" s="6" t="str">
        <x:v>https://masseffect.fandom.com/wiki/Ravager</x:v>
      </x:c>
      <x:c r="E69" s="6" t="str">
        <x:v>Unité d’artillerie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ME3-SRC-KAI</x:v>
      </x:c>
      <x:c r="B70" s="6" t="str">
        <x:v>Kai Leng (enemy)</x:v>
      </x:c>
      <x:c r="C70" s="6" t="str">
        <x:v>wiki</x:v>
      </x:c>
      <x:c r="D70" s="6" t="str">
        <x:v>https://masseffect.fandom.com/wiki/Kai_Leng_%28enemy%29</x:v>
      </x:c>
      <x:c r="E70" s="6" t="str">
        <x:v>Boss Cerberus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ME3-SRC-CLONE</x:v>
      </x:c>
      <x:c r="B71" s="6" t="str">
        <x:v>Clone</x:v>
      </x:c>
      <x:c r="C71" s="6" t="str">
        <x:v>wiki</x:v>
      </x:c>
      <x:c r="D71" s="6" t="str">
        <x:v>https://masseffect.fandom.com/wiki/Clone</x:v>
      </x:c>
      <x:c r="E71" s="6" t="str">
        <x:v>Boss de Citadel</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ME3-SRC-BROOKS</x:v>
      </x:c>
      <x:c r="B72" s="6" t="str">
        <x:v>Brooks</x:v>
      </x:c>
      <x:c r="C72" s="6" t="str">
        <x:v>wiki</x:v>
      </x:c>
      <x:c r="D72" s="6" t="str">
        <x:v>https://masseffect.fandom.com/wiki/Brooks</x:v>
      </x:c>
      <x:c r="E72" s="6" t="str">
        <x:v>Antagoniste de Citadel</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ME3-SRC-CAT6</x:v>
      </x:c>
      <x:c r="B73" s="6" t="str">
        <x:v>CAT6 Specialist</x:v>
      </x:c>
      <x:c r="C73" s="6" t="str">
        <x:v>wiki</x:v>
      </x:c>
      <x:c r="D73" s="6" t="str">
        <x:v>https://masseffect.fandom.com/wiki/CAT6_Specialist</x:v>
      </x:c>
      <x:c r="E73" s="6" t="str">
        <x:v>Unités CAT6 et drones</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ME3-SRC-HARVESTER</x:v>
      </x:c>
      <x:c r="B74" s="6" t="str">
        <x:v>Harvester (enemy)</x:v>
      </x:c>
      <x:c r="C74" s="6" t="str">
        <x:v>wiki</x:v>
      </x:c>
      <x:c r="D74" s="6" t="str">
        <x:v>https://masseffect.fandom.com/wiki/Harvester_%28enemy%29</x:v>
      </x:c>
      <x:c r="E74" s="6" t="str">
        <x:v>Boss volant</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ME3-SRC-SUPPRESSOR</x:v>
      </x:c>
      <x:c r="B75" s="6" t="str">
        <x:v>M-11 Suppressor</x:v>
      </x:c>
      <x:c r="C75" s="6" t="str">
        <x:v>wiki</x:v>
      </x:c>
      <x:c r="D75" s="6" t="str">
        <x:v>https://masseffect.fandom.com/wiki/M-11_Suppressor</x:v>
      </x:c>
      <x:c r="E75" s="6" t="str">
        <x:v>Arme de Citadel et index arsenal</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ME3-SRC-PARTICLE</x:v>
      </x:c>
      <x:c r="B76" s="6" t="str">
        <x:v>Particle Rifle</x:v>
      </x:c>
      <x:c r="C76" s="6" t="str">
        <x:v>wiki</x:v>
      </x:c>
      <x:c r="D76" s="6" t="str">
        <x:v>https://masseffect.fandom.com/wiki/Particle_Rifle</x:v>
      </x:c>
      <x:c r="E76" s="6" t="str">
        <x:v>Fusil prothéen et index arsenal</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ME3-SRC-PHAESTON</x:v>
      </x:c>
      <x:c r="B77" s="6" t="str">
        <x:v>Phaeston</x:v>
      </x:c>
      <x:c r="C77" s="6" t="str">
        <x:v>wiki</x:v>
      </x:c>
      <x:c r="D77" s="6" t="str">
        <x:v>https://masseffect.fandom.com/wiki/Phaeston</x:v>
      </x:c>
      <x:c r="E77" s="6" t="str">
        <x:v>Fusil turien et index arsenal</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ME3-SRC-CHAKRAM</x:v>
      </x:c>
      <x:c r="B78" s="6" t="str">
        <x:v>Chakram Launcher</x:v>
      </x:c>
      <x:c r="C78" s="6" t="str">
        <x:v>wiki</x:v>
      </x:c>
      <x:c r="D78" s="6" t="str">
        <x:v>https://masseffect.fandom.com/wiki/Chakram_Launcher</x:v>
      </x:c>
      <x:c r="E78" s="6" t="str">
        <x:v>Arme additionnelle</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ME3-SRC-SABER</x:v>
      </x:c>
      <x:c r="B79" s="6" t="str">
        <x:v>M-99 Saber</x:v>
      </x:c>
      <x:c r="C79" s="6" t="str">
        <x:v>wiki</x:v>
      </x:c>
      <x:c r="D79" s="6" t="str">
        <x:v>https://masseffect.fandom.com/wiki/M-99_Saber</x:v>
      </x:c>
      <x:c r="E79" s="6" t="str">
        <x:v>Fusil lourd</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ME3-SRC-BLACKSTAR</x:v>
      </x:c>
      <x:c r="B80" s="6" t="str">
        <x:v>Reaper Blackstar</x:v>
      </x:c>
      <x:c r="C80" s="6" t="str">
        <x:v>wiki</x:v>
      </x:c>
      <x:c r="D80" s="6" t="str">
        <x:v>https://masseffect.fandom.com/wiki/Reaper_Blackstar</x:v>
      </x:c>
      <x:c r="E80" s="6" t="str">
        <x:v>Arme lourde locale</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ME3-SRC-HYDRA</x:v>
      </x:c>
      <x:c r="B81" s="6" t="str">
        <x:v>M-560 Hydra</x:v>
      </x:c>
      <x:c r="C81" s="6" t="str">
        <x:v>wiki</x:v>
      </x:c>
      <x:c r="D81" s="6" t="str">
        <x:v>https://masseffect.fandom.com/wiki/M-560_Hydra</x:v>
      </x:c>
      <x:c r="E81" s="6" t="str">
        <x:v>Lanceur local de Tuchanka</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ME3-SRC-GETH-SOFT</x:v>
      </x:c>
      <x:c r="B82" s="6" t="str">
        <x:v>Geth Combat Software</x:v>
      </x:c>
      <x:c r="C82" s="6" t="str">
        <x:v>wiki</x:v>
      </x:c>
      <x:c r="D82" s="6" t="str">
        <x:v>https://masseffect.fandom.com/wiki/Geth_Combat_Software</x:v>
      </x:c>
      <x:c r="E82" s="6" t="str">
        <x:v>Arme virtuelle du consensus</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ME3-SRC-ALIEN-MED</x:v>
      </x:c>
      <x:c r="B83" s="6" t="str">
        <x:v>Citadel: Alien Medi-Gel Formula</x:v>
      </x:c>
      <x:c r="C83" s="6" t="str">
        <x:v>wiki</x:v>
      </x:c>
      <x:c r="D83" s="6" t="str">
        <x:v>https://masseffect.fandom.com/wiki/Citadel%3A_Alien_Medi-Gel_Formula</x:v>
      </x:c>
      <x:c r="E83" s="6" t="str">
        <x:v>Mission, échéance et rattrapage Spectre</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ME3-SRC-WAR-ALIEN</x:v>
      </x:c>
      <x:c r="B84" s="6" t="str">
        <x:v>War Assets/Alien</x:v>
      </x:c>
      <x:c r="C84" s="6" t="str">
        <x:v>wiki</x:v>
      </x:c>
      <x:c r="D84" s="6" t="str">
        <x:v>https://masseffect.fandom.com/wiki/War_Assets/Alien</x:v>
      </x:c>
      <x:c r="E84" s="6" t="str">
        <x:v>Ressources de guerre extraterrestres</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ME3-SRC-WAR-KROGAN</x:v>
      </x:c>
      <x:c r="B85" s="6" t="str">
        <x:v>War Assets/Krogan</x:v>
      </x:c>
      <x:c r="C85" s="6" t="str">
        <x:v>wiki</x:v>
      </x:c>
      <x:c r="D85" s="6" t="str">
        <x:v>https://masseffect.fandom.com/wiki/War_Assets/Krogan</x:v>
      </x:c>
      <x:c r="E85" s="6" t="str">
        <x:v>Ressources krogan et rachni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ME3-SRC-WAR-SALARIAN</x:v>
      </x:c>
      <x:c r="B86" s="6" t="str">
        <x:v>War Assets/Salarian</x:v>
      </x:c>
      <x:c r="C86" s="6" t="str">
        <x:v>wiki</x:v>
      </x:c>
      <x:c r="D86" s="6" t="str">
        <x:v>https://masseffect.fandom.com/wiki/War_Assets/Salarian</x:v>
      </x:c>
      <x:c r="E86" s="6" t="str">
        <x:v>Ressources salariennes conditionnelles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ME3-SRC-FIRST-AID</x:v>
      </x:c>
      <x:c r="B87" s="6" t="str">
        <x:v>First Aid</x:v>
      </x:c>
      <x:c r="C87" s="6" t="str">
        <x:v>wiki</x:v>
      </x:c>
      <x:c r="D87" s="6" t="str">
        <x:v>https://masseffect.fandom.com/wiki/First_Aid</x:v>
      </x:c>
      <x:c r="E87" s="6" t="str">
        <x:v>Différence Unity ME2 et First Aid ME3</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34" customHeight="1">
      <x:c r="A91" s="28" t="str">
        <x:v>Domaine</x:v>
      </x:c>
      <x:c r="B91" s="29" t="str">
        <x:v>Couverture actuelle</x:v>
      </x:c>
      <x:c r="C91" s="30" t="str">
        <x:v>Travail restant</x:v>
      </x:c>
      <x:c r="D91" s="2"/>
      <x:c r="E91" s="2"/>
      <x:c r="F91" s="2"/>
    </x:row>
    <x:row r="92" ht="54" customHeight="1">
      <x:c r="A92" s="6" t="str">
        <x:v>Campagne solo</x:v>
      </x:c>
      <x:c r="B92" s="6" t="str">
        <x:v>Prologue, priorités, missions N7, grandes missions conditionnelles et demandes civiles/collectes nommées.</x:v>
      </x:c>
      <x:c r="C92" s="6" t="str">
        <x:v>Parcours pièce par pièce, positions exactes de loot, textes et toutes variantes mineures de dialogues non vérifiés en jeu.</x:v>
      </x:c>
      <x:c r="D92" s="2"/>
      <x:c r="E92" s="2"/>
      <x:c r="F92" s="2"/>
    </x:row>
    <x:row r="93" ht="54" customHeight="1">
      <x:c r="A93" s="6" t="str">
        <x:v>Extensions solo</x:v>
      </x:c>
      <x:c r="B93" s="6" t="str">
        <x:v>From Ashes, Leviathan, Omega, Citadel, activités Armax et Extended Cut ; roster et décisions propres.</x:v>
      </x:c>
      <x:c r="C93" s="6" t="str">
        <x:v>Ordre de chaque petite rencontre sociale, tous scores d’arène et chaque paramètre de pack d’équipement à relever par édition.</x:v>
      </x:c>
      <x:c r="D93" s="2"/>
      <x:c r="E93" s="2"/>
      <x:c r="F93" s="2"/>
    </x:row>
    <x:row r="94" ht="68" customHeight="1">
      <x:c r="A94" s="6" t="str">
        <x:v>Combats et ressources</x:v>
      </x:c>
      <x:c r="B94" s="6" t="str">
        <x:v>Familles adverses, attaques proposées, arsenal et pouvoirs substantiels, fiches de sprites, animations, VFX, décors et audio.</x:v>
      </x:c>
      <x:c r="C94" s="6" t="str">
        <x:v>Pas de fichiers artistiques livrés ni statistiques originales certifiées ; variantes de mods, rangs, skins et personnages multi restent à détailler.</x:v>
      </x:c>
      <x:c r="D94" s="2"/>
      <x:c r="E94" s="2"/>
      <x:c r="F94" s="2"/>
    </x:row>
    <x:row r="95" ht="68" customHeight="1">
      <x:c r="A95" s="6" t="str">
        <x:v>Choix et continuité</x:v>
      </x:c>
      <x:c r="B95" s="6" t="str">
        <x:v>Matrices Tuchanka, Rannoch, Sanctuary, imports, invités et fins ; états mutuellement conditionnels.</x:v>
      </x:c>
      <x:c r="C95" s="6" t="str">
        <x:v>Seuils numériques exacts et minutages d’origine volontairement non inventés ; exigences à confirmer par captures dans édition ciblée.</x:v>
      </x:c>
      <x:c r="D95" s="2"/>
      <x:c r="E95" s="2"/>
      <x:c r="F95" s="2"/>
    </x:row>
    <x:row r="96" ht="68" customHeight="1">
      <x:c r="A96" s="6" t="str">
        <x:v>Multijoueur</x:v>
      </x:c>
      <x:c r="B96" s="6" t="str">
        <x:v>Module original séparé, cinq packs, cartes, dangers, factions et cadre de vagues ; aucun multi dans Legendary.</x:v>
      </x:c>
      <x:c r="C96" s="6" t="str">
        <x:v>Chaque personnage jouable, défi, carte de danger, mod et coefficient de difficulté n’a pas encore sa fiche exhaustive ; adaptation coop ATB expérimentale.</x:v>
      </x:c>
      <x:c r="D96" s="2"/>
      <x:c r="E96" s="2"/>
      <x:c r="F96" s="2"/>
    </x:row>
    <x:row r="97" ht="82" customHeight="1">
      <x:c r="A97" s="6" t="str">
        <x:v>Traçabilité</x:v>
      </x:c>
      <x:c r="B97" s="6" t="str">
        <x:v>Sources officielles EA/BioWare pour éditions et DLC ; index wiki secondaires pour inventaire détaillé.</x:v>
      </x:c>
      <x:c r="C97" s="6" t="str">
        <x:v>Consultation par pages indexées lorsque Fandom direct est limité ; aucune revendication d’audit exhaustif ou de validation de tous les embranchements en jeu.</x:v>
      </x:c>
      <x:c r="D97" s="2"/>
      <x:c r="E97" s="2"/>
      <x:c r="F97" s="2"/>
    </x:row>
    <x:row r="98" ht="96" customHeight="1">
      <x:c r="A98" s="6" t="str">
        <x:v>Prototype Chroniques indépendant</x:v>
      </x:c>
      <x:c r="B98" s="6" t="str">
        <x:v>9 personnages sélectionnables, 27 équipements utilisables sous restrictions d’œuvre, segment, scène et porteur ; preuves dans implementationPaths et evidence des seules lignes Prototype.</x:v>
      </x:c>
      <x:c r="C98" s="6" t="str">
        <x:v>Campagne complète, dialogues, acquisition canonique, sprites, costumes, animations et statistiques originales à réaliser ou vérifier. Les ateliers sont des essais de préparation ATB, sans progression canonique ni transfert ME1.</x:v>
      </x:c>
      <x:c r="D98" s="2"/>
      <x:c r="E98" s="2"/>
      <x:c r="F98" s="2"/>
    </x:row>
    <x:row r="99" ht="96" customHeight="1">
      <x:c r="A99" s="6" t="str">
        <x:v>Complément pouvoirs, modules et lectures</x:v>
      </x:c>
      <x:c r="B99" s="6" t="str">
        <x:v>15 fiches de pouvoirs utilisées, 2 familles de modules préparables et 0 références consultables dans une lecture documentaire. Les chemins et preuves sont inscrits sur les seules lignes Prototype.</x:v>
      </x:c>
      <x:c r="C99" s="6" t="str">
        <x:v>Arbres et progression complets, modèles et rangs exacts, campagnes et dialogues intégraux, niveaux et ressources visuelles propres à l’œuvre restent à réaliser ou vérifier. Les références lues ne rendent pas leurs personnages jouables.</x:v>
      </x:c>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sheetData>
  <x:pageMargins left="0.7" right="0.7" top="0.75" bottom="0.75" header="0.3" footer="0.3"/>
</x:worksheet>
</file>