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ca7e9848e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6b6fcb67af4778"/>
    <x:sheet xmlns:r="http://schemas.openxmlformats.org/officeDocument/2006/relationships" name="Personnages" sheetId="2" r:id="R8cd268703ea24c80"/>
    <x:sheet xmlns:r="http://schemas.openxmlformats.org/officeDocument/2006/relationships" name="PNJ" sheetId="3" r:id="R3a0b0453d66a4c80"/>
    <x:sheet xmlns:r="http://schemas.openxmlformats.org/officeDocument/2006/relationships" name="Especes_factions" sheetId="4" r:id="Re117316e8c2442cf"/>
    <x:sheet xmlns:r="http://schemas.openxmlformats.org/officeDocument/2006/relationships" name="Mondes" sheetId="5" r:id="R10699d00956b4604"/>
    <x:sheet xmlns:r="http://schemas.openxmlformats.org/officeDocument/2006/relationships" name="Zones" sheetId="6" r:id="R80c34011b6964c95"/>
    <x:sheet xmlns:r="http://schemas.openxmlformats.org/officeDocument/2006/relationships" name="Liaisons" sheetId="7" r:id="Rfd5df7527bf744ad"/>
    <x:sheet xmlns:r="http://schemas.openxmlformats.org/officeDocument/2006/relationships" name="Decors" sheetId="8" r:id="R1552879a6b3f453c"/>
    <x:sheet xmlns:r="http://schemas.openxmlformats.org/officeDocument/2006/relationships" name="Props" sheetId="9" r:id="R022dc1715c284cf5"/>
    <x:sheet xmlns:r="http://schemas.openxmlformats.org/officeDocument/2006/relationships" name="Ennemis_boss" sheetId="10" r:id="Rb3539cecb9eb4d96"/>
    <x:sheet xmlns:r="http://schemas.openxmlformats.org/officeDocument/2006/relationships" name="Missions" sheetId="11" r:id="Raf46d5de54ec40bb"/>
    <x:sheet xmlns:r="http://schemas.openxmlformats.org/officeDocument/2006/relationships" name="Secondaires_DLC" sheetId="12" r:id="R3fbdcccb641c445f"/>
    <x:sheet xmlns:r="http://schemas.openxmlformats.org/officeDocument/2006/relationships" name="Choix_relations" sheetId="13" r:id="Rb89567491bfe4e2b"/>
    <x:sheet xmlns:r="http://schemas.openxmlformats.org/officeDocument/2006/relationships" name="Dialogues" sheetId="14" r:id="R37a88ee3817d44ad"/>
    <x:sheet xmlns:r="http://schemas.openxmlformats.org/officeDocument/2006/relationships" name="Cinematiques" sheetId="15" r:id="Re25b2d7ad2e04da2"/>
    <x:sheet xmlns:r="http://schemas.openxmlformats.org/officeDocument/2006/relationships" name="Armes" sheetId="16" r:id="R2a5ec8ff7fc14bd0"/>
    <x:sheet xmlns:r="http://schemas.openxmlformats.org/officeDocument/2006/relationships" name="Armures_equipement" sheetId="17" r:id="R6fa23990391641e0"/>
    <x:sheet xmlns:r="http://schemas.openxmlformats.org/officeDocument/2006/relationships" name="Pouvoirs" sheetId="18" r:id="Rd1bfa3bd58d5419f"/>
    <x:sheet xmlns:r="http://schemas.openxmlformats.org/officeDocument/2006/relationships" name="Movesets_allies" sheetId="19" r:id="R2e25230fcf4046b0"/>
    <x:sheet xmlns:r="http://schemas.openxmlformats.org/officeDocument/2006/relationships" name="Movesets_ennemis" sheetId="20" r:id="R75afe08d7caa4a97"/>
    <x:sheet xmlns:r="http://schemas.openxmlformats.org/officeDocument/2006/relationships" name="Animations" sheetId="21" r:id="R6696b8423cc94965"/>
    <x:sheet xmlns:r="http://schemas.openxmlformats.org/officeDocument/2006/relationships" name="Sprites" sheetId="22" r:id="Rf6253d4aa4004314"/>
    <x:sheet xmlns:r="http://schemas.openxmlformats.org/officeDocument/2006/relationships" name="VFX" sheetId="23" r:id="Rd12b50ef6efc4bb9"/>
    <x:sheet xmlns:r="http://schemas.openxmlformats.org/officeDocument/2006/relationships" name="Audio" sheetId="24" r:id="Rf88f0d1b6e2843b4"/>
    <x:sheet xmlns:r="http://schemas.openxmlformats.org/officeDocument/2006/relationships" name="UI_systemes" sheetId="25" r:id="R893ef68665714e56"/>
    <x:sheet xmlns:r="http://schemas.openxmlformats.org/officeDocument/2006/relationships" name="QA" sheetId="26" r:id="R4efb0175d511412d"/>
    <x:sheet xmlns:r="http://schemas.openxmlformats.org/officeDocument/2006/relationships" name="Continuite" sheetId="27" r:id="R5a39ed7b4dc64a7b"/>
    <x:sheet xmlns:r="http://schemas.openxmlformats.org/officeDocument/2006/relationships" name="Guide" sheetId="28" r:id="Rc476a9cbfb52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ccf8062594cdf" /><Relationship Type="http://schemas.openxmlformats.org/officeDocument/2006/relationships/theme" Target="/xl/theme/theme1.xml" Id="R92cbd6ab3d404be5" /><Relationship Type="http://schemas.openxmlformats.org/officeDocument/2006/relationships/sharedStrings" Target="/xl/sharedStrings.xml" Id="Re64fd3838e074103" /><Relationship Type="http://schemas.openxmlformats.org/officeDocument/2006/relationships/worksheet" Target="/xl/worksheets/sheet1.xml" Id="Red6b6fcb67af4778" /><Relationship Type="http://schemas.openxmlformats.org/officeDocument/2006/relationships/worksheet" Target="/xl/worksheets/sheet2.xml" Id="R8cd268703ea24c80" /><Relationship Type="http://schemas.openxmlformats.org/officeDocument/2006/relationships/worksheet" Target="/xl/worksheets/sheet3.xml" Id="R3a0b0453d66a4c80" /><Relationship Type="http://schemas.openxmlformats.org/officeDocument/2006/relationships/worksheet" Target="/xl/worksheets/sheet4.xml" Id="Re117316e8c2442cf" /><Relationship Type="http://schemas.openxmlformats.org/officeDocument/2006/relationships/worksheet" Target="/xl/worksheets/sheet5.xml" Id="R10699d00956b4604" /><Relationship Type="http://schemas.openxmlformats.org/officeDocument/2006/relationships/worksheet" Target="/xl/worksheets/sheet6.xml" Id="R80c34011b6964c95" /><Relationship Type="http://schemas.openxmlformats.org/officeDocument/2006/relationships/worksheet" Target="/xl/worksheets/sheet7.xml" Id="Rfd5df7527bf744ad" /><Relationship Type="http://schemas.openxmlformats.org/officeDocument/2006/relationships/worksheet" Target="/xl/worksheets/sheet8.xml" Id="R1552879a6b3f453c" /><Relationship Type="http://schemas.openxmlformats.org/officeDocument/2006/relationships/worksheet" Target="/xl/worksheets/sheet9.xml" Id="R022dc1715c284cf5" /><Relationship Type="http://schemas.openxmlformats.org/officeDocument/2006/relationships/worksheet" Target="/xl/worksheets/sheet10.xml" Id="Rb3539cecb9eb4d96" /><Relationship Type="http://schemas.openxmlformats.org/officeDocument/2006/relationships/worksheet" Target="/xl/worksheets/sheet11.xml" Id="Raf46d5de54ec40bb" /><Relationship Type="http://schemas.openxmlformats.org/officeDocument/2006/relationships/worksheet" Target="/xl/worksheets/sheet12.xml" Id="R3fbdcccb641c445f" /><Relationship Type="http://schemas.openxmlformats.org/officeDocument/2006/relationships/worksheet" Target="/xl/worksheets/sheet13.xml" Id="Rb89567491bfe4e2b" /><Relationship Type="http://schemas.openxmlformats.org/officeDocument/2006/relationships/worksheet" Target="/xl/worksheets/sheet14.xml" Id="R37a88ee3817d44ad" /><Relationship Type="http://schemas.openxmlformats.org/officeDocument/2006/relationships/worksheet" Target="/xl/worksheets/sheet15.xml" Id="Re25b2d7ad2e04da2" /><Relationship Type="http://schemas.openxmlformats.org/officeDocument/2006/relationships/worksheet" Target="/xl/worksheets/sheet16.xml" Id="R2a5ec8ff7fc14bd0" /><Relationship Type="http://schemas.openxmlformats.org/officeDocument/2006/relationships/worksheet" Target="/xl/worksheets/sheet17.xml" Id="R6fa23990391641e0" /><Relationship Type="http://schemas.openxmlformats.org/officeDocument/2006/relationships/worksheet" Target="/xl/worksheets/sheet18.xml" Id="Rd1bfa3bd58d5419f" /><Relationship Type="http://schemas.openxmlformats.org/officeDocument/2006/relationships/worksheet" Target="/xl/worksheets/sheet19.xml" Id="R2e25230fcf4046b0" /><Relationship Type="http://schemas.openxmlformats.org/officeDocument/2006/relationships/worksheet" Target="/xl/worksheets/sheet20.xml" Id="R75afe08d7caa4a97" /><Relationship Type="http://schemas.openxmlformats.org/officeDocument/2006/relationships/worksheet" Target="/xl/worksheets/sheet21.xml" Id="R6696b8423cc94965" /><Relationship Type="http://schemas.openxmlformats.org/officeDocument/2006/relationships/worksheet" Target="/xl/worksheets/sheet22.xml" Id="Rf6253d4aa4004314" /><Relationship Type="http://schemas.openxmlformats.org/officeDocument/2006/relationships/worksheet" Target="/xl/worksheets/sheet23.xml" Id="Rd12b50ef6efc4bb9" /><Relationship Type="http://schemas.openxmlformats.org/officeDocument/2006/relationships/worksheet" Target="/xl/worksheets/sheet24.xml" Id="Rf88f0d1b6e2843b4" /><Relationship Type="http://schemas.openxmlformats.org/officeDocument/2006/relationships/worksheet" Target="/xl/worksheets/sheet25.xml" Id="R893ef68665714e56" /><Relationship Type="http://schemas.openxmlformats.org/officeDocument/2006/relationships/worksheet" Target="/xl/worksheets/sheet26.xml" Id="R4efb0175d511412d" /><Relationship Type="http://schemas.openxmlformats.org/officeDocument/2006/relationships/worksheet" Target="/xl/worksheets/sheet27.xml" Id="R5a39ed7b4dc64a7b" /><Relationship Type="http://schemas.openxmlformats.org/officeDocument/2006/relationships/worksheet" Target="/xl/worksheets/sheet28.xml" Id="Rc476a9cbfb524937" /></Relationships>
</file>

<file path=xl/tables/table1.xml><?xml version="1.0" encoding="utf-8"?>
<x:table xmlns:x="http://schemas.openxmlformats.org/spreadsheetml/2006/main" id="1" name="CON_characters" displayName="CON_charact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_npcs" displayName="CON_np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_lore" displayName="CON_lore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_worlds" displayName="CON_world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_zones" displayName="CON_zon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_links" displayName="CON_link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_scenery" displayName="CON_scener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_props" displayName="CON_prop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_enemies" displayName="CON_enemie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_main_quests" displayName="CON_main_quest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N_side_quests" displayName="CON_side_quest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_choices" displayName="CON_choic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N_dialogues" displayName="CON_dialogu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_cinematics" displayName="CON_cinemati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N_weapons" displayName="CON_weapon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N_equipment" displayName="CON_equipment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ON_powers" displayName="CON_pow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_ally_moves" displayName="CON_ally_move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N_enemy_moves" displayName="CON_enemy_mov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ON_animations" displayName="CON_animation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ON_sprites" displayName="CON_sprit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ON_vfx" displayName="CON_vfx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ON_audio" displayName="CON_audio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CON_systems" displayName="CON_system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ON_qa" displayName="CON_qa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CON_continuity" displayName="CON_continuit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fad95b9f8649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0df393f6df4a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78d42f6bb46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2016fac3474b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d50b906a654e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8b3dddac5741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308b5209ed41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212866997e48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d5228aa5b340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15dfab786204b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9c4c619fc094c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6493e2d2bd0465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f1f8bc5242b470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56ced6367e141a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8b0c24a6fe84b0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1636870d8db473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6041497df46413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994b5734e084ad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ce5bbb918f94b2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1e436b776b7141f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82da0465d30b485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791f7f86ce5e4b7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90bb37bf65a1459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15a7133b222b474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3f72002a1f4640f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8f7c205e6a1248a0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Conviction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68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13</x:v>
      </x:c>
      <x:c r="I5" s="2"/>
      <x:c r="J5" s="2" t="str">
        <x:v>Extrapolations</x:v>
      </x:c>
      <x:c r="K5" s="33" t="n">
        <x:f>SUM(I10:I35)</x:f>
        <x:v>55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26" t="str">
        <x:v>Domaine</x:v>
      </x:c>
      <x:c r="B9" s="27" t="str">
        <x:v>Total</x:v>
      </x:c>
      <x:c r="C9" s="27" t="str">
        <x:v>Défini</x:v>
      </x:c>
      <x:c r="D9" s="27" t="str">
        <x:v>Prototype</x:v>
      </x:c>
      <x:c r="E9" s="27" t="str">
        <x:v>Intégré</x:v>
      </x:c>
      <x:c r="F9" s="27" t="str">
        <x:v>Validé</x:v>
      </x:c>
      <x:c r="G9" s="27" t="str">
        <x:v>Établi</x:v>
      </x:c>
      <x:c r="H9" s="27" t="str">
        <x:v>À vérifier</x:v>
      </x:c>
      <x:c r="I9" s="27" t="str">
        <x:v>Extrapolation</x:v>
      </x:c>
      <x:c r="J9" s="27" t="str">
        <x:v>Coupé attesté</x:v>
      </x:c>
      <x:c r="K9" s="27" t="str">
        <x:v>Concept abandonné</x:v>
      </x:c>
      <x:c r="L9" s="27" t="str">
        <x:v>Allégation écartée</x:v>
      </x:c>
      <x:c r="M9" s="28" t="str">
        <x:v>Priorité P0</x:v>
      </x:c>
    </x:row>
    <x:row r="10" ht="22" customHeight="1">
      <x:c r="A10" s="35" t="str">
        <x:v>Personnages</x:v>
      </x:c>
      <x:c r="B10" s="39" t="n">
        <x:f>COUNTA('Personnages'!$A$7:$A$7)</x:f>
        <x:v>1</x:v>
      </x:c>
      <x:c r="C10" s="39" t="n">
        <x:f>COUNTIFS('Personnages'!$C$7:$C$7,"Défini")</x:f>
        <x:v>1</x:v>
      </x:c>
      <x:c r="D10" s="39" t="n">
        <x:f>COUNTIFS('Personnages'!$C$7:$C$7,"Prototype")</x:f>
        <x:v>0</x:v>
      </x:c>
      <x:c r="E10" s="39" t="n">
        <x:f>COUNTIFS('Personnages'!$C$7:$C$7,"Intégré")</x:f>
        <x:v>0</x:v>
      </x:c>
      <x:c r="F10" s="39" t="n">
        <x:f>COUNTIFS('Personnages'!$C$7:$C$7,"Validé")</x:f>
        <x:v>0</x:v>
      </x:c>
      <x:c r="G10" s="39" t="n">
        <x:f>COUNTIFS('Personnages'!$D$7:$D$7,"Établi")</x:f>
        <x:v>0</x:v>
      </x:c>
      <x:c r="H10" s="39" t="n">
        <x:f>COUNTIFS('Personnages'!$D$7:$D$7,"À vérifier")</x:f>
        <x:v>1</x:v>
      </x:c>
      <x:c r="I10" s="39" t="n">
        <x:f>COUNTIFS('Personnages'!$D$7:$D$7,"Extrapolation")</x:f>
        <x:v>0</x:v>
      </x:c>
      <x:c r="J10" s="39" t="n">
        <x:f>COUNTIFS('Personnages'!$D$7:$D$7,"Coupé attesté")</x:f>
        <x:v>0</x:v>
      </x:c>
      <x:c r="K10" s="39" t="n">
        <x:f>COUNTIFS('Personnages'!$D$7:$D$7,"Concept abandonné")</x:f>
        <x:v>0</x:v>
      </x:c>
      <x:c r="L10" s="39" t="n">
        <x:f>COUNTIFS('Personnages'!$D$7:$D$7,"Allégation écartée")</x:f>
        <x:v>0</x:v>
      </x:c>
      <x:c r="M10" s="39" t="n">
        <x:f>COUNTIFS('Personnages'!$E$7:$E$7,"P0")</x:f>
        <x:v>0</x:v>
      </x:c>
    </x:row>
    <x:row r="11" ht="22" customHeight="1">
      <x:c r="A11" s="2" t="str">
        <x:v>PNJ</x:v>
      </x:c>
      <x:c r="B11" s="40" t="n">
        <x:f>COUNTA('PNJ'!$A$7:$A$9)</x:f>
        <x:v>3</x:v>
      </x:c>
      <x:c r="C11" s="40" t="n">
        <x:f>COUNTIFS('PNJ'!$C$7:$C$9,"Défini")</x:f>
        <x:v>3</x:v>
      </x:c>
      <x:c r="D11" s="40" t="n">
        <x:f>COUNTIFS('PNJ'!$C$7:$C$9,"Prototype")</x:f>
        <x:v>0</x:v>
      </x:c>
      <x:c r="E11" s="40" t="n">
        <x:f>COUNTIFS('PNJ'!$C$7:$C$9,"Intégré")</x:f>
        <x:v>0</x:v>
      </x:c>
      <x:c r="F11" s="40" t="n">
        <x:f>COUNTIFS('PNJ'!$C$7:$C$9,"Validé")</x:f>
        <x:v>0</x:v>
      </x:c>
      <x:c r="G11" s="40" t="n">
        <x:f>COUNTIFS('PNJ'!$D$7:$D$9,"Établi")</x:f>
        <x:v>0</x:v>
      </x:c>
      <x:c r="H11" s="40" t="n">
        <x:f>COUNTIFS('PNJ'!$D$7:$D$9,"À vérifier")</x:f>
        <x:v>3</x:v>
      </x:c>
      <x:c r="I11" s="40" t="n">
        <x:f>COUNTIFS('PNJ'!$D$7:$D$9,"Extrapolation")</x:f>
        <x:v>0</x:v>
      </x:c>
      <x:c r="J11" s="40" t="n">
        <x:f>COUNTIFS('PNJ'!$D$7:$D$9,"Coupé attesté")</x:f>
        <x:v>0</x:v>
      </x:c>
      <x:c r="K11" s="40" t="n">
        <x:f>COUNTIFS('PNJ'!$D$7:$D$9,"Concept abandonné")</x:f>
        <x:v>0</x:v>
      </x:c>
      <x:c r="L11" s="40" t="n">
        <x:f>COUNTIFS('PNJ'!$D$7:$D$9,"Allégation écartée")</x:f>
        <x:v>0</x:v>
      </x:c>
      <x:c r="M11" s="40" t="n">
        <x:f>COUNTIFS('PNJ'!$E$7:$E$9,"P0")</x:f>
        <x:v>0</x:v>
      </x:c>
    </x:row>
    <x:row r="12" ht="22" customHeight="1">
      <x:c r="A12" s="35" t="str">
        <x:v>Espèces et factions</x:v>
      </x:c>
      <x:c r="B12" s="39" t="n">
        <x:f>COUNTA('Especes_factions'!$A$7:$A$12)</x:f>
        <x:v>6</x:v>
      </x:c>
      <x:c r="C12" s="39" t="n">
        <x:f>COUNTIFS('Especes_factions'!$C$7:$C$12,"Défini")</x:f>
        <x:v>6</x:v>
      </x:c>
      <x:c r="D12" s="39" t="n">
        <x:f>COUNTIFS('Especes_factions'!$C$7:$C$12,"Prototype")</x:f>
        <x:v>0</x:v>
      </x:c>
      <x:c r="E12" s="39" t="n">
        <x:f>COUNTIFS('Especes_factions'!$C$7:$C$12,"Intégré")</x:f>
        <x:v>0</x:v>
      </x:c>
      <x:c r="F12" s="39" t="n">
        <x:f>COUNTIFS('Especes_factions'!$C$7:$C$12,"Validé")</x:f>
        <x:v>0</x:v>
      </x:c>
      <x:c r="G12" s="39" t="n">
        <x:f>COUNTIFS('Especes_factions'!$D$7:$D$12,"Établi")</x:f>
        <x:v>0</x:v>
      </x:c>
      <x:c r="H12" s="39" t="n">
        <x:f>COUNTIFS('Especes_factions'!$D$7:$D$12,"À vérifier")</x:f>
        <x:v>6</x:v>
      </x:c>
      <x:c r="I12" s="39" t="n">
        <x:f>COUNTIFS('Especes_factions'!$D$7:$D$12,"Extrapolation")</x:f>
        <x:v>0</x:v>
      </x:c>
      <x:c r="J12" s="39" t="n">
        <x:f>COUNTIFS('Especes_factions'!$D$7:$D$12,"Coupé attesté")</x:f>
        <x:v>0</x:v>
      </x:c>
      <x:c r="K12" s="39" t="n">
        <x:f>COUNTIFS('Especes_factions'!$D$7:$D$12,"Concept abandonné")</x:f>
        <x:v>0</x:v>
      </x:c>
      <x:c r="L12" s="39" t="n">
        <x:f>COUNTIFS('Especes_factions'!$D$7:$D$12,"Allégation écartée")</x:f>
        <x:v>0</x:v>
      </x:c>
      <x:c r="M12" s="39" t="n">
        <x:f>COUNTIFS('Especes_factions'!$E$7:$E$12,"P0")</x:f>
        <x:v>3</x:v>
      </x:c>
    </x:row>
    <x:row r="13" ht="22" customHeight="1">
      <x:c r="A13" s="2" t="str">
        <x:v>Mondes</x:v>
      </x:c>
      <x:c r="B13" s="40" t="n">
        <x:f>COUNTA('Mondes'!$A$7:$A$8)</x:f>
        <x:v>2</x:v>
      </x:c>
      <x:c r="C13" s="40" t="n">
        <x:f>COUNTIFS('Mondes'!$C$7:$C$8,"Défini")</x:f>
        <x:v>2</x:v>
      </x:c>
      <x:c r="D13" s="40" t="n">
        <x:f>COUNTIFS('Mondes'!$C$7:$C$8,"Prototype")</x:f>
        <x:v>0</x:v>
      </x:c>
      <x:c r="E13" s="40" t="n">
        <x:f>COUNTIFS('Mondes'!$C$7:$C$8,"Intégré")</x:f>
        <x:v>0</x:v>
      </x:c>
      <x:c r="F13" s="40" t="n">
        <x:f>COUNTIFS('Mondes'!$C$7:$C$8,"Validé")</x:f>
        <x:v>0</x:v>
      </x:c>
      <x:c r="G13" s="40" t="n">
        <x:f>COUNTIFS('Mondes'!$D$7:$D$8,"Établi")</x:f>
        <x:v>0</x:v>
      </x:c>
      <x:c r="H13" s="40" t="n">
        <x:f>COUNTIFS('Mondes'!$D$7:$D$8,"À vérifier")</x:f>
        <x:v>2</x:v>
      </x:c>
      <x:c r="I13" s="40" t="n">
        <x:f>COUNTIFS('Mondes'!$D$7:$D$8,"Extrapolation")</x:f>
        <x:v>0</x:v>
      </x:c>
      <x:c r="J13" s="40" t="n">
        <x:f>COUNTIFS('Mondes'!$D$7:$D$8,"Coupé attesté")</x:f>
        <x:v>0</x:v>
      </x:c>
      <x:c r="K13" s="40" t="n">
        <x:f>COUNTIFS('Mondes'!$D$7:$D$8,"Concept abandonné")</x:f>
        <x:v>0</x:v>
      </x:c>
      <x:c r="L13" s="40" t="n">
        <x:f>COUNTIFS('Mondes'!$D$7:$D$8,"Allégation écartée")</x:f>
        <x:v>0</x:v>
      </x:c>
      <x:c r="M13" s="40" t="n">
        <x:f>COUNTIFS('Mondes'!$E$7:$E$8,"P0")</x:f>
        <x:v>0</x:v>
      </x:c>
    </x:row>
    <x:row r="14" ht="22" customHeight="1">
      <x:c r="A14" s="35" t="str">
        <x:v>Zones</x:v>
      </x:c>
      <x:c r="B14" s="39" t="n">
        <x:f>COUNTA('Zones'!$A$7:$A$8)</x:f>
        <x:v>2</x:v>
      </x:c>
      <x:c r="C14" s="39" t="n">
        <x:f>COUNTIFS('Zones'!$C$7:$C$8,"Défini")</x:f>
        <x:v>2</x:v>
      </x:c>
      <x:c r="D14" s="39" t="n">
        <x:f>COUNTIFS('Zones'!$C$7:$C$8,"Prototype")</x:f>
        <x:v>0</x:v>
      </x:c>
      <x:c r="E14" s="39" t="n">
        <x:f>COUNTIFS('Zones'!$C$7:$C$8,"Intégré")</x:f>
        <x:v>0</x:v>
      </x:c>
      <x:c r="F14" s="39" t="n">
        <x:f>COUNTIFS('Zones'!$C$7:$C$8,"Validé")</x:f>
        <x:v>0</x:v>
      </x:c>
      <x:c r="G14" s="39" t="n">
        <x:f>COUNTIFS('Zones'!$D$7:$D$8,"Établi")</x:f>
        <x:v>0</x:v>
      </x:c>
      <x:c r="H14" s="39" t="n">
        <x:f>COUNTIFS('Zones'!$D$7:$D$8,"À vérifier")</x:f>
        <x:v>0</x:v>
      </x:c>
      <x:c r="I14" s="39" t="n">
        <x:f>COUNTIFS('Zones'!$D$7:$D$8,"Extrapolation")</x:f>
        <x:v>2</x:v>
      </x:c>
      <x:c r="J14" s="39" t="n">
        <x:f>COUNTIFS('Zones'!$D$7:$D$8,"Coupé attesté")</x:f>
        <x:v>0</x:v>
      </x:c>
      <x:c r="K14" s="39" t="n">
        <x:f>COUNTIFS('Zones'!$D$7:$D$8,"Concept abandonné")</x:f>
        <x:v>0</x:v>
      </x:c>
      <x:c r="L14" s="39" t="n">
        <x:f>COUNTIFS('Zones'!$D$7:$D$8,"Allégation écartée")</x:f>
        <x:v>0</x:v>
      </x:c>
      <x:c r="M14" s="39" t="n">
        <x:f>COUNTIFS('Zones'!$E$7:$E$8,"P0")</x:f>
        <x:v>0</x:v>
      </x:c>
    </x:row>
    <x:row r="15" ht="22" customHeight="1">
      <x:c r="A15" s="2" t="str">
        <x:v>Liaisons</x:v>
      </x:c>
      <x:c r="B15" s="40" t="n">
        <x:f>COUNTA('Liaisons'!$A$7:$A$8)</x:f>
        <x:v>2</x:v>
      </x:c>
      <x:c r="C15" s="40" t="n">
        <x:f>COUNTIFS('Liaisons'!$C$7:$C$8,"Défini")</x:f>
        <x:v>2</x:v>
      </x:c>
      <x:c r="D15" s="40" t="n">
        <x:f>COUNTIFS('Liaisons'!$C$7:$C$8,"Prototype")</x:f>
        <x:v>0</x:v>
      </x:c>
      <x:c r="E15" s="40" t="n">
        <x:f>COUNTIFS('Liaisons'!$C$7:$C$8,"Intégré")</x:f>
        <x:v>0</x:v>
      </x:c>
      <x:c r="F15" s="40" t="n">
        <x:f>COUNTIFS('Liaisons'!$C$7:$C$8,"Validé")</x:f>
        <x:v>0</x:v>
      </x:c>
      <x:c r="G15" s="40" t="n">
        <x:f>COUNTIFS('Liaisons'!$D$7:$D$8,"Établi")</x:f>
        <x:v>0</x:v>
      </x:c>
      <x:c r="H15" s="40" t="n">
        <x:f>COUNTIFS('Liaisons'!$D$7:$D$8,"À vérifier")</x:f>
        <x:v>0</x:v>
      </x:c>
      <x:c r="I15" s="40" t="n">
        <x:f>COUNTIFS('Liaisons'!$D$7:$D$8,"Extrapolation")</x:f>
        <x:v>2</x:v>
      </x:c>
      <x:c r="J15" s="40" t="n">
        <x:f>COUNTIFS('Liaisons'!$D$7:$D$8,"Coupé attesté")</x:f>
        <x:v>0</x:v>
      </x:c>
      <x:c r="K15" s="40" t="n">
        <x:f>COUNTIFS('Liaisons'!$D$7:$D$8,"Concept abandonné")</x:f>
        <x:v>0</x:v>
      </x:c>
      <x:c r="L15" s="40" t="n">
        <x:f>COUNTIFS('Liaisons'!$D$7:$D$8,"Allégation écartée")</x:f>
        <x:v>0</x:v>
      </x:c>
      <x:c r="M15" s="40" t="n">
        <x:f>COUNTIFS('Liaisons'!$E$7:$E$8,"P0")</x:f>
        <x:v>0</x:v>
      </x:c>
    </x:row>
    <x:row r="16" ht="22" customHeight="1">
      <x:c r="A16" s="35" t="str">
        <x:v>Décors</x:v>
      </x:c>
      <x:c r="B16" s="39" t="n">
        <x:f>COUNTA('Decors'!$A$7:$A$8)</x:f>
        <x:v>2</x:v>
      </x:c>
      <x:c r="C16" s="39" t="n">
        <x:f>COUNTIFS('Decors'!$C$7:$C$8,"Défini")</x:f>
        <x:v>2</x:v>
      </x:c>
      <x:c r="D16" s="39" t="n">
        <x:f>COUNTIFS('Decors'!$C$7:$C$8,"Prototype")</x:f>
        <x:v>0</x:v>
      </x:c>
      <x:c r="E16" s="39" t="n">
        <x:f>COUNTIFS('Decors'!$C$7:$C$8,"Intégré")</x:f>
        <x:v>0</x:v>
      </x:c>
      <x:c r="F16" s="39" t="n">
        <x:f>COUNTIFS('Decors'!$C$7:$C$8,"Validé")</x:f>
        <x:v>0</x:v>
      </x:c>
      <x:c r="G16" s="39" t="n">
        <x:f>COUNTIFS('Decors'!$D$7:$D$8,"Établi")</x:f>
        <x:v>0</x:v>
      </x:c>
      <x:c r="H16" s="39" t="n">
        <x:f>COUNTIFS('Decors'!$D$7:$D$8,"À vérifier")</x:f>
        <x:v>0</x:v>
      </x:c>
      <x:c r="I16" s="39" t="n">
        <x:f>COUNTIFS('Decors'!$D$7:$D$8,"Extrapolation")</x:f>
        <x:v>2</x:v>
      </x:c>
      <x:c r="J16" s="39" t="n">
        <x:f>COUNTIFS('Decors'!$D$7:$D$8,"Coupé attesté")</x:f>
        <x:v>0</x:v>
      </x:c>
      <x:c r="K16" s="39" t="n">
        <x:f>COUNTIFS('Decors'!$D$7:$D$8,"Concept abandonné")</x:f>
        <x:v>0</x:v>
      </x:c>
      <x:c r="L16" s="39" t="n">
        <x:f>COUNTIFS('Decors'!$D$7:$D$8,"Allégation écartée")</x:f>
        <x:v>0</x:v>
      </x:c>
      <x:c r="M16" s="39" t="n">
        <x:f>COUNTIFS('Decors'!$E$7:$E$8,"P0")</x:f>
        <x:v>0</x:v>
      </x:c>
    </x:row>
    <x:row r="17" ht="22" customHeight="1">
      <x:c r="A17" s="2" t="str">
        <x:v>Props</x:v>
      </x:c>
      <x:c r="B17" s="40" t="n">
        <x:f>COUNTA('Props'!$A$7:$A$9)</x:f>
        <x:v>3</x:v>
      </x:c>
      <x:c r="C17" s="40" t="n">
        <x:f>COUNTIFS('Props'!$C$7:$C$9,"Défini")</x:f>
        <x:v>3</x:v>
      </x:c>
      <x:c r="D17" s="40" t="n">
        <x:f>COUNTIFS('Props'!$C$7:$C$9,"Prototype")</x:f>
        <x:v>0</x:v>
      </x:c>
      <x:c r="E17" s="40" t="n">
        <x:f>COUNTIFS('Props'!$C$7:$C$9,"Intégré")</x:f>
        <x:v>0</x:v>
      </x:c>
      <x:c r="F17" s="40" t="n">
        <x:f>COUNTIFS('Props'!$C$7:$C$9,"Validé")</x:f>
        <x:v>0</x:v>
      </x:c>
      <x:c r="G17" s="40" t="n">
        <x:f>COUNTIFS('Props'!$D$7:$D$9,"Établi")</x:f>
        <x:v>0</x:v>
      </x:c>
      <x:c r="H17" s="40" t="n">
        <x:f>COUNTIFS('Props'!$D$7:$D$9,"À vérifier")</x:f>
        <x:v>0</x:v>
      </x:c>
      <x:c r="I17" s="40" t="n">
        <x:f>COUNTIFS('Props'!$D$7:$D$9,"Extrapolation")</x:f>
        <x:v>3</x:v>
      </x:c>
      <x:c r="J17" s="40" t="n">
        <x:f>COUNTIFS('Props'!$D$7:$D$9,"Coupé attesté")</x:f>
        <x:v>0</x:v>
      </x:c>
      <x:c r="K17" s="40" t="n">
        <x:f>COUNTIFS('Props'!$D$7:$D$9,"Concept abandonné")</x:f>
        <x:v>0</x:v>
      </x:c>
      <x:c r="L17" s="40" t="n">
        <x:f>COUNTIFS('Props'!$D$7:$D$9,"Allégation écartée")</x:f>
        <x:v>0</x:v>
      </x:c>
      <x:c r="M17" s="40" t="n">
        <x:f>COUNTIFS('Props'!$E$7:$E$9,"P0")</x:f>
        <x:v>0</x:v>
      </x:c>
    </x:row>
    <x:row r="18" ht="22" customHeight="1">
      <x:c r="A18" s="35" t="str">
        <x:v>Ennemis et boss</x:v>
      </x:c>
      <x:c r="B18" s="39" t="n">
        <x:f>COUNTA('Ennemis_boss'!$A$7:$A$7)</x:f>
        <x:v>1</x:v>
      </x:c>
      <x:c r="C18" s="39" t="n">
        <x:f>COUNTIFS('Ennemis_boss'!$C$7:$C$7,"Défini")</x:f>
        <x:v>1</x:v>
      </x:c>
      <x:c r="D18" s="39" t="n">
        <x:f>COUNTIFS('Ennemis_boss'!$C$7:$C$7,"Prototype")</x:f>
        <x:v>0</x:v>
      </x:c>
      <x:c r="E18" s="39" t="n">
        <x:f>COUNTIFS('Ennemis_boss'!$C$7:$C$7,"Intégré")</x:f>
        <x:v>0</x:v>
      </x:c>
      <x:c r="F18" s="39" t="n">
        <x:f>COUNTIFS('Ennemis_boss'!$C$7:$C$7,"Validé")</x:f>
        <x:v>0</x:v>
      </x:c>
      <x:c r="G18" s="39" t="n">
        <x:f>COUNTIFS('Ennemis_boss'!$D$7:$D$7,"Établi")</x:f>
        <x:v>0</x:v>
      </x:c>
      <x:c r="H18" s="39" t="n">
        <x:f>COUNTIFS('Ennemis_boss'!$D$7:$D$7,"À vérifier")</x:f>
        <x:v>1</x:v>
      </x:c>
      <x:c r="I18" s="39" t="n">
        <x:f>COUNTIFS('Ennemis_boss'!$D$7:$D$7,"Extrapolation")</x:f>
        <x:v>0</x:v>
      </x:c>
      <x:c r="J18" s="39" t="n">
        <x:f>COUNTIFS('Ennemis_boss'!$D$7:$D$7,"Coupé attesté")</x:f>
        <x:v>0</x:v>
      </x:c>
      <x:c r="K18" s="39" t="n">
        <x:f>COUNTIFS('Ennemis_boss'!$D$7:$D$7,"Concept abandonné")</x:f>
        <x:v>0</x:v>
      </x:c>
      <x:c r="L18" s="39" t="n">
        <x:f>COUNTIFS('Ennemis_boss'!$D$7:$D$7,"Allégation écartée")</x:f>
        <x:v>0</x:v>
      </x:c>
      <x:c r="M18" s="39" t="n">
        <x:f>COUNTIFS('Ennemis_boss'!$E$7:$E$7,"P0")</x:f>
        <x:v>0</x:v>
      </x:c>
    </x:row>
    <x:row r="19" ht="22" customHeight="1">
      <x:c r="A19" s="2" t="str">
        <x:v>Missions</x:v>
      </x:c>
      <x:c r="B19" s="40" t="n">
        <x:f>COUNTA('Missions'!$A$7:$A$9)</x:f>
        <x:v>3</x:v>
      </x:c>
      <x:c r="C19" s="40" t="n">
        <x:f>COUNTIFS('Missions'!$C$7:$C$9,"Défini")</x:f>
        <x:v>3</x:v>
      </x:c>
      <x:c r="D19" s="40" t="n">
        <x:f>COUNTIFS('Missions'!$C$7:$C$9,"Prototype")</x:f>
        <x:v>0</x:v>
      </x:c>
      <x:c r="E19" s="40" t="n">
        <x:f>COUNTIFS('Missions'!$C$7:$C$9,"Intégré")</x:f>
        <x:v>0</x:v>
      </x:c>
      <x:c r="F19" s="40" t="n">
        <x:f>COUNTIFS('Missions'!$C$7:$C$9,"Validé")</x:f>
        <x:v>0</x:v>
      </x:c>
      <x:c r="G19" s="40" t="n">
        <x:f>COUNTIFS('Missions'!$D$7:$D$9,"Établi")</x:f>
        <x:v>0</x:v>
      </x:c>
      <x:c r="H19" s="40" t="n">
        <x:f>COUNTIFS('Missions'!$D$7:$D$9,"À vérifier")</x:f>
        <x:v>0</x:v>
      </x:c>
      <x:c r="I19" s="40" t="n">
        <x:f>COUNTIFS('Missions'!$D$7:$D$9,"Extrapolation")</x:f>
        <x:v>3</x:v>
      </x:c>
      <x:c r="J19" s="40" t="n">
        <x:f>COUNTIFS('Missions'!$D$7:$D$9,"Coupé attesté")</x:f>
        <x:v>0</x:v>
      </x:c>
      <x:c r="K19" s="40" t="n">
        <x:f>COUNTIFS('Missions'!$D$7:$D$9,"Concept abandonné")</x:f>
        <x:v>0</x:v>
      </x:c>
      <x:c r="L19" s="40" t="n">
        <x:f>COUNTIFS('Missions'!$D$7:$D$9,"Allégation écartée")</x:f>
        <x:v>0</x:v>
      </x:c>
      <x:c r="M19" s="40" t="n">
        <x:f>COUNTIFS('Missions'!$E$7:$E$9,"P0")</x:f>
        <x:v>3</x:v>
      </x:c>
    </x:row>
    <x:row r="20" ht="22" customHeight="1">
      <x:c r="A20" s="35" t="str">
        <x:v>Secondaires et DLC</x:v>
      </x:c>
      <x:c r="B20" s="39" t="n">
        <x:f>COUNTA('Secondaires_DLC'!$A$7:$A$9)</x:f>
        <x:v>3</x:v>
      </x:c>
      <x:c r="C20" s="39" t="n">
        <x:f>COUNTIFS('Secondaires_DLC'!$C$7:$C$9,"Défini")</x:f>
        <x:v>3</x:v>
      </x:c>
      <x:c r="D20" s="39" t="n">
        <x:f>COUNTIFS('Secondaires_DLC'!$C$7:$C$9,"Prototype")</x:f>
        <x:v>0</x:v>
      </x:c>
      <x:c r="E20" s="39" t="n">
        <x:f>COUNTIFS('Secondaires_DLC'!$C$7:$C$9,"Intégré")</x:f>
        <x:v>0</x:v>
      </x:c>
      <x:c r="F20" s="39" t="n">
        <x:f>COUNTIFS('Secondaires_DLC'!$C$7:$C$9,"Validé")</x:f>
        <x:v>0</x:v>
      </x:c>
      <x:c r="G20" s="39" t="n">
        <x:f>COUNTIFS('Secondaires_DLC'!$D$7:$D$9,"Établi")</x:f>
        <x:v>0</x:v>
      </x:c>
      <x:c r="H20" s="39" t="n">
        <x:f>COUNTIFS('Secondaires_DLC'!$D$7:$D$9,"À vérifier")</x:f>
        <x:v>0</x:v>
      </x:c>
      <x:c r="I20" s="39" t="n">
        <x:f>COUNTIFS('Secondaires_DLC'!$D$7:$D$9,"Extrapolation")</x:f>
        <x:v>3</x:v>
      </x:c>
      <x:c r="J20" s="39" t="n">
        <x:f>COUNTIFS('Secondaires_DLC'!$D$7:$D$9,"Coupé attesté")</x:f>
        <x:v>0</x:v>
      </x:c>
      <x:c r="K20" s="39" t="n">
        <x:f>COUNTIFS('Secondaires_DLC'!$D$7:$D$9,"Concept abandonné")</x:f>
        <x:v>0</x:v>
      </x:c>
      <x:c r="L20" s="39" t="n">
        <x:f>COUNTIFS('Secondaires_DLC'!$D$7:$D$9,"Allégation écartée")</x:f>
        <x:v>0</x:v>
      </x:c>
      <x:c r="M20" s="39" t="n">
        <x:f>COUNTIFS('Secondaires_DLC'!$E$7:$E$9,"P0")</x:f>
        <x:v>0</x:v>
      </x:c>
    </x:row>
    <x:row r="21" ht="22" customHeight="1">
      <x:c r="A21" s="2" t="str">
        <x:v>Choix et relations</x:v>
      </x:c>
      <x:c r="B21" s="40" t="n">
        <x:f>COUNTA('Choix_relations'!$A$7:$A$9)</x:f>
        <x:v>3</x:v>
      </x:c>
      <x:c r="C21" s="40" t="n">
        <x:f>COUNTIFS('Choix_relations'!$C$7:$C$9,"Défini")</x:f>
        <x:v>3</x:v>
      </x:c>
      <x:c r="D21" s="40" t="n">
        <x:f>COUNTIFS('Choix_relations'!$C$7:$C$9,"Prototype")</x:f>
        <x:v>0</x:v>
      </x:c>
      <x:c r="E21" s="40" t="n">
        <x:f>COUNTIFS('Choix_relations'!$C$7:$C$9,"Intégré")</x:f>
        <x:v>0</x:v>
      </x:c>
      <x:c r="F21" s="40" t="n">
        <x:f>COUNTIFS('Choix_relations'!$C$7:$C$9,"Validé")</x:f>
        <x:v>0</x:v>
      </x:c>
      <x:c r="G21" s="40" t="n">
        <x:f>COUNTIFS('Choix_relations'!$D$7:$D$9,"Établi")</x:f>
        <x:v>0</x:v>
      </x:c>
      <x:c r="H21" s="40" t="n">
        <x:f>COUNTIFS('Choix_relations'!$D$7:$D$9,"À vérifier")</x:f>
        <x:v>0</x:v>
      </x:c>
      <x:c r="I21" s="40" t="n">
        <x:f>COUNTIFS('Choix_relations'!$D$7:$D$9,"Extrapolation")</x:f>
        <x:v>3</x:v>
      </x:c>
      <x:c r="J21" s="40" t="n">
        <x:f>COUNTIFS('Choix_relations'!$D$7:$D$9,"Coupé attesté")</x:f>
        <x:v>0</x:v>
      </x:c>
      <x:c r="K21" s="40" t="n">
        <x:f>COUNTIFS('Choix_relations'!$D$7:$D$9,"Concept abandonné")</x:f>
        <x:v>0</x:v>
      </x:c>
      <x:c r="L21" s="40" t="n">
        <x:f>COUNTIFS('Choix_relations'!$D$7:$D$9,"Allégation écartée")</x:f>
        <x:v>0</x:v>
      </x:c>
      <x:c r="M21" s="40" t="n">
        <x:f>COUNTIFS('Choix_relations'!$E$7:$E$9,"P0")</x:f>
        <x:v>0</x:v>
      </x:c>
    </x:row>
    <x:row r="22" ht="22" customHeight="1">
      <x:c r="A22" s="35" t="str">
        <x:v>Dialogues</x:v>
      </x:c>
      <x:c r="B22" s="39" t="n">
        <x:f>COUNTA('Dialogues'!$A$7:$A$9)</x:f>
        <x:v>3</x:v>
      </x:c>
      <x:c r="C22" s="39" t="n">
        <x:f>COUNTIFS('Dialogues'!$C$7:$C$9,"Défini")</x:f>
        <x:v>3</x:v>
      </x:c>
      <x:c r="D22" s="39" t="n">
        <x:f>COUNTIFS('Dialogues'!$C$7:$C$9,"Prototype")</x:f>
        <x:v>0</x:v>
      </x:c>
      <x:c r="E22" s="39" t="n">
        <x:f>COUNTIFS('Dialogues'!$C$7:$C$9,"Intégré")</x:f>
        <x:v>0</x:v>
      </x:c>
      <x:c r="F22" s="39" t="n">
        <x:f>COUNTIFS('Dialogues'!$C$7:$C$9,"Validé")</x:f>
        <x:v>0</x:v>
      </x:c>
      <x:c r="G22" s="39" t="n">
        <x:f>COUNTIFS('Dialogues'!$D$7:$D$9,"Établi")</x:f>
        <x:v>0</x:v>
      </x:c>
      <x:c r="H22" s="39" t="n">
        <x:f>COUNTIFS('Dialogues'!$D$7:$D$9,"À vérifier")</x:f>
        <x:v>0</x:v>
      </x:c>
      <x:c r="I22" s="39" t="n">
        <x:f>COUNTIFS('Dialogues'!$D$7:$D$9,"Extrapolation")</x:f>
        <x:v>3</x:v>
      </x:c>
      <x:c r="J22" s="39" t="n">
        <x:f>COUNTIFS('Dialogues'!$D$7:$D$9,"Coupé attesté")</x:f>
        <x:v>0</x:v>
      </x:c>
      <x:c r="K22" s="39" t="n">
        <x:f>COUNTIFS('Dialogues'!$D$7:$D$9,"Concept abandonné")</x:f>
        <x:v>0</x:v>
      </x:c>
      <x:c r="L22" s="39" t="n">
        <x:f>COUNTIFS('Dialogues'!$D$7:$D$9,"Allégation écartée")</x:f>
        <x:v>0</x:v>
      </x:c>
      <x:c r="M22" s="39" t="n">
        <x:f>COUNTIFS('Dialogues'!$E$7:$E$9,"P0")</x:f>
        <x:v>0</x:v>
      </x:c>
    </x:row>
    <x:row r="23" ht="22" customHeight="1">
      <x:c r="A23" s="2" t="str">
        <x:v>Cinématiques</x:v>
      </x:c>
      <x:c r="B23" s="40" t="n">
        <x:f>COUNTA('Cinematiques'!$A$7:$A$9)</x:f>
        <x:v>3</x:v>
      </x:c>
      <x:c r="C23" s="40" t="n">
        <x:f>COUNTIFS('Cinematiques'!$C$7:$C$9,"Défini")</x:f>
        <x:v>3</x:v>
      </x:c>
      <x:c r="D23" s="40" t="n">
        <x:f>COUNTIFS('Cinematiques'!$C$7:$C$9,"Prototype")</x:f>
        <x:v>0</x:v>
      </x:c>
      <x:c r="E23" s="40" t="n">
        <x:f>COUNTIFS('Cinematiques'!$C$7:$C$9,"Intégré")</x:f>
        <x:v>0</x:v>
      </x:c>
      <x:c r="F23" s="40" t="n">
        <x:f>COUNTIFS('Cinematiques'!$C$7:$C$9,"Validé")</x:f>
        <x:v>0</x:v>
      </x:c>
      <x:c r="G23" s="40" t="n">
        <x:f>COUNTIFS('Cinematiques'!$D$7:$D$9,"Établi")</x:f>
        <x:v>0</x:v>
      </x:c>
      <x:c r="H23" s="40" t="n">
        <x:f>COUNTIFS('Cinematiques'!$D$7:$D$9,"À vérifier")</x:f>
        <x:v>0</x:v>
      </x:c>
      <x:c r="I23" s="40" t="n">
        <x:f>COUNTIFS('Cinematiques'!$D$7:$D$9,"Extrapolation")</x:f>
        <x:v>3</x:v>
      </x:c>
      <x:c r="J23" s="40" t="n">
        <x:f>COUNTIFS('Cinematiques'!$D$7:$D$9,"Coupé attesté")</x:f>
        <x:v>0</x:v>
      </x:c>
      <x:c r="K23" s="40" t="n">
        <x:f>COUNTIFS('Cinematiques'!$D$7:$D$9,"Concept abandonné")</x:f>
        <x:v>0</x:v>
      </x:c>
      <x:c r="L23" s="40" t="n">
        <x:f>COUNTIFS('Cinematiques'!$D$7:$D$9,"Allégation écartée")</x:f>
        <x:v>0</x:v>
      </x:c>
      <x:c r="M23" s="40" t="n">
        <x:f>COUNTIFS('Cinematiques'!$E$7:$E$9,"P0")</x:f>
        <x:v>0</x:v>
      </x:c>
    </x:row>
    <x:row r="24" ht="22" customHeight="1">
      <x:c r="A24" s="35" t="str">
        <x:v>Armes</x:v>
      </x:c>
      <x:c r="B24" s="39" t="n">
        <x:f>COUNTA('Armes'!$A$7:$A$7)</x:f>
        <x:v>1</x:v>
      </x:c>
      <x:c r="C24" s="39" t="n">
        <x:f>COUNTIFS('Armes'!$C$7:$C$7,"Défini")</x:f>
        <x:v>1</x:v>
      </x:c>
      <x:c r="D24" s="39" t="n">
        <x:f>COUNTIFS('Armes'!$C$7:$C$7,"Prototype")</x:f>
        <x:v>0</x:v>
      </x:c>
      <x:c r="E24" s="39" t="n">
        <x:f>COUNTIFS('Armes'!$C$7:$C$7,"Intégré")</x:f>
        <x:v>0</x:v>
      </x:c>
      <x:c r="F24" s="39" t="n">
        <x:f>COUNTIFS('Armes'!$C$7:$C$7,"Validé")</x:f>
        <x:v>0</x:v>
      </x:c>
      <x:c r="G24" s="39" t="n">
        <x:f>COUNTIFS('Armes'!$D$7:$D$7,"Établi")</x:f>
        <x:v>0</x:v>
      </x:c>
      <x:c r="H24" s="39" t="n">
        <x:f>COUNTIFS('Armes'!$D$7:$D$7,"À vérifier")</x:f>
        <x:v>0</x:v>
      </x:c>
      <x:c r="I24" s="39" t="n">
        <x:f>COUNTIFS('Armes'!$D$7:$D$7,"Extrapolation")</x:f>
        <x:v>1</x:v>
      </x:c>
      <x:c r="J24" s="39" t="n">
        <x:f>COUNTIFS('Armes'!$D$7:$D$7,"Coupé attesté")</x:f>
        <x:v>0</x:v>
      </x:c>
      <x:c r="K24" s="39" t="n">
        <x:f>COUNTIFS('Armes'!$D$7:$D$7,"Concept abandonné")</x:f>
        <x:v>0</x:v>
      </x:c>
      <x:c r="L24" s="39" t="n">
        <x:f>COUNTIFS('Armes'!$D$7:$D$7,"Allégation écartée")</x:f>
        <x:v>0</x:v>
      </x:c>
      <x:c r="M24" s="39" t="n">
        <x:f>COUNTIFS('Armes'!$E$7:$E$7,"P0")</x:f>
        <x:v>0</x:v>
      </x:c>
    </x:row>
    <x:row r="25" ht="22" customHeight="1">
      <x:c r="A25" s="2" t="str">
        <x:v>Armures et équipement</x:v>
      </x:c>
      <x:c r="B25" s="40" t="n">
        <x:f>COUNTA('Armures_equipement'!$A$7:$A$7)</x:f>
        <x:v>1</x:v>
      </x:c>
      <x:c r="C25" s="40" t="n">
        <x:f>COUNTIFS('Armures_equipement'!$C$7:$C$7,"Défini")</x:f>
        <x:v>1</x:v>
      </x:c>
      <x:c r="D25" s="40" t="n">
        <x:f>COUNTIFS('Armures_equipement'!$C$7:$C$7,"Prototype")</x:f>
        <x:v>0</x:v>
      </x:c>
      <x:c r="E25" s="40" t="n">
        <x:f>COUNTIFS('Armures_equipement'!$C$7:$C$7,"Intégré")</x:f>
        <x:v>0</x:v>
      </x:c>
      <x:c r="F25" s="40" t="n">
        <x:f>COUNTIFS('Armures_equipement'!$C$7:$C$7,"Validé")</x:f>
        <x:v>0</x:v>
      </x:c>
      <x:c r="G25" s="40" t="n">
        <x:f>COUNTIFS('Armures_equipement'!$D$7:$D$7,"Établi")</x:f>
        <x:v>0</x:v>
      </x:c>
      <x:c r="H25" s="40" t="n">
        <x:f>COUNTIFS('Armures_equipement'!$D$7:$D$7,"À vérifier")</x:f>
        <x:v>0</x:v>
      </x:c>
      <x:c r="I25" s="40" t="n">
        <x:f>COUNTIFS('Armures_equipement'!$D$7:$D$7,"Extrapolation")</x:f>
        <x:v>1</x:v>
      </x:c>
      <x:c r="J25" s="40" t="n">
        <x:f>COUNTIFS('Armures_equipement'!$D$7:$D$7,"Coupé attesté")</x:f>
        <x:v>0</x:v>
      </x:c>
      <x:c r="K25" s="40" t="n">
        <x:f>COUNTIFS('Armures_equipement'!$D$7:$D$7,"Concept abandonné")</x:f>
        <x:v>0</x:v>
      </x:c>
      <x:c r="L25" s="40" t="n">
        <x:f>COUNTIFS('Armures_equipement'!$D$7:$D$7,"Allégation écartée")</x:f>
        <x:v>0</x:v>
      </x:c>
      <x:c r="M25" s="40" t="n">
        <x:f>COUNTIFS('Armures_equipement'!$E$7:$E$7,"P0")</x:f>
        <x:v>0</x:v>
      </x:c>
    </x:row>
    <x:row r="26" ht="22" customHeight="1">
      <x:c r="A26" s="35" t="str">
        <x:v>Pouvoirs</x:v>
      </x:c>
      <x:c r="B26" s="39" t="n">
        <x:f>COUNTA('Pouvoirs'!$A$7:$A$7)</x:f>
        <x:v>1</x:v>
      </x:c>
      <x:c r="C26" s="39" t="n">
        <x:f>COUNTIFS('Pouvoirs'!$C$7:$C$7,"Défini")</x:f>
        <x:v>1</x:v>
      </x:c>
      <x:c r="D26" s="39" t="n">
        <x:f>COUNTIFS('Pouvoirs'!$C$7:$C$7,"Prototype")</x:f>
        <x:v>0</x:v>
      </x:c>
      <x:c r="E26" s="39" t="n">
        <x:f>COUNTIFS('Pouvoirs'!$C$7:$C$7,"Intégré")</x:f>
        <x:v>0</x:v>
      </x:c>
      <x:c r="F26" s="39" t="n">
        <x:f>COUNTIFS('Pouvoirs'!$C$7:$C$7,"Validé")</x:f>
        <x:v>0</x:v>
      </x:c>
      <x:c r="G26" s="39" t="n">
        <x:f>COUNTIFS('Pouvoirs'!$D$7:$D$7,"Établi")</x:f>
        <x:v>0</x:v>
      </x:c>
      <x:c r="H26" s="39" t="n">
        <x:f>COUNTIFS('Pouvoirs'!$D$7:$D$7,"À vérifier")</x:f>
        <x:v>0</x:v>
      </x:c>
      <x:c r="I26" s="39" t="n">
        <x:f>COUNTIFS('Pouvoirs'!$D$7:$D$7,"Extrapolation")</x:f>
        <x:v>1</x:v>
      </x:c>
      <x:c r="J26" s="39" t="n">
        <x:f>COUNTIFS('Pouvoirs'!$D$7:$D$7,"Coupé attesté")</x:f>
        <x:v>0</x:v>
      </x:c>
      <x:c r="K26" s="39" t="n">
        <x:f>COUNTIFS('Pouvoirs'!$D$7:$D$7,"Concept abandonné")</x:f>
        <x:v>0</x:v>
      </x:c>
      <x:c r="L26" s="39" t="n">
        <x:f>COUNTIFS('Pouvoirs'!$D$7:$D$7,"Allégation écartée")</x:f>
        <x:v>0</x:v>
      </x:c>
      <x:c r="M26" s="39" t="n">
        <x:f>COUNTIFS('Pouvoirs'!$E$7:$E$7,"P0")</x:f>
        <x:v>0</x:v>
      </x:c>
    </x:row>
    <x:row r="27" ht="22" customHeight="1">
      <x:c r="A27" s="2" t="str">
        <x:v>Movesets alliés</x:v>
      </x:c>
      <x:c r="B27" s="40" t="n">
        <x:f>COUNTA('Movesets_allies'!$A$7:$A$7)</x:f>
        <x:v>1</x:v>
      </x:c>
      <x:c r="C27" s="40" t="n">
        <x:f>COUNTIFS('Movesets_allies'!$C$7:$C$7,"Défini")</x:f>
        <x:v>1</x:v>
      </x:c>
      <x:c r="D27" s="40" t="n">
        <x:f>COUNTIFS('Movesets_allies'!$C$7:$C$7,"Prototype")</x:f>
        <x:v>0</x:v>
      </x:c>
      <x:c r="E27" s="40" t="n">
        <x:f>COUNTIFS('Movesets_allies'!$C$7:$C$7,"Intégré")</x:f>
        <x:v>0</x:v>
      </x:c>
      <x:c r="F27" s="40" t="n">
        <x:f>COUNTIFS('Movesets_allies'!$C$7:$C$7,"Validé")</x:f>
        <x:v>0</x:v>
      </x:c>
      <x:c r="G27" s="40" t="n">
        <x:f>COUNTIFS('Movesets_allies'!$D$7:$D$7,"Établi")</x:f>
        <x:v>0</x:v>
      </x:c>
      <x:c r="H27" s="40" t="n">
        <x:f>COUNTIFS('Movesets_allies'!$D$7:$D$7,"À vérifier")</x:f>
        <x:v>0</x:v>
      </x:c>
      <x:c r="I27" s="40" t="n">
        <x:f>COUNTIFS('Movesets_allies'!$D$7:$D$7,"Extrapolation")</x:f>
        <x:v>1</x:v>
      </x:c>
      <x:c r="J27" s="40" t="n">
        <x:f>COUNTIFS('Movesets_allies'!$D$7:$D$7,"Coupé attesté")</x:f>
        <x:v>0</x:v>
      </x:c>
      <x:c r="K27" s="40" t="n">
        <x:f>COUNTIFS('Movesets_allies'!$D$7:$D$7,"Concept abandonné")</x:f>
        <x:v>0</x:v>
      </x:c>
      <x:c r="L27" s="40" t="n">
        <x:f>COUNTIFS('Movesets_allies'!$D$7:$D$7,"Allégation écartée")</x:f>
        <x:v>0</x:v>
      </x:c>
      <x:c r="M27" s="40" t="n">
        <x:f>COUNTIFS('Movesets_allies'!$E$7:$E$7,"P0")</x:f>
        <x:v>0</x:v>
      </x:c>
    </x:row>
    <x:row r="28" ht="22" customHeight="1">
      <x:c r="A28" s="35" t="str">
        <x:v>Movesets ennemis</x:v>
      </x:c>
      <x:c r="B28" s="39" t="n">
        <x:f>COUNTA('Movesets_ennemis'!$A$7:$A$8)</x:f>
        <x:v>2</x:v>
      </x:c>
      <x:c r="C28" s="39" t="n">
        <x:f>COUNTIFS('Movesets_ennemis'!$C$7:$C$8,"Défini")</x:f>
        <x:v>2</x:v>
      </x:c>
      <x:c r="D28" s="39" t="n">
        <x:f>COUNTIFS('Movesets_ennemis'!$C$7:$C$8,"Prototype")</x:f>
        <x:v>0</x:v>
      </x:c>
      <x:c r="E28" s="39" t="n">
        <x:f>COUNTIFS('Movesets_ennemis'!$C$7:$C$8,"Intégré")</x:f>
        <x:v>0</x:v>
      </x:c>
      <x:c r="F28" s="39" t="n">
        <x:f>COUNTIFS('Movesets_ennemis'!$C$7:$C$8,"Validé")</x:f>
        <x:v>0</x:v>
      </x:c>
      <x:c r="G28" s="39" t="n">
        <x:f>COUNTIFS('Movesets_ennemis'!$D$7:$D$8,"Établi")</x:f>
        <x:v>0</x:v>
      </x:c>
      <x:c r="H28" s="39" t="n">
        <x:f>COUNTIFS('Movesets_ennemis'!$D$7:$D$8,"À vérifier")</x:f>
        <x:v>0</x:v>
      </x:c>
      <x:c r="I28" s="39" t="n">
        <x:f>COUNTIFS('Movesets_ennemis'!$D$7:$D$8,"Extrapolation")</x:f>
        <x:v>2</x:v>
      </x:c>
      <x:c r="J28" s="39" t="n">
        <x:f>COUNTIFS('Movesets_ennemis'!$D$7:$D$8,"Coupé attesté")</x:f>
        <x:v>0</x:v>
      </x:c>
      <x:c r="K28" s="39" t="n">
        <x:f>COUNTIFS('Movesets_ennemis'!$D$7:$D$8,"Concept abandonné")</x:f>
        <x:v>0</x:v>
      </x:c>
      <x:c r="L28" s="39" t="n">
        <x:f>COUNTIFS('Movesets_ennemis'!$D$7:$D$8,"Allégation écartée")</x:f>
        <x:v>0</x:v>
      </x:c>
      <x:c r="M28" s="39" t="n">
        <x:f>COUNTIFS('Movesets_ennemis'!$E$7:$E$8,"P0")</x:f>
        <x:v>0</x:v>
      </x:c>
    </x:row>
    <x:row r="29" ht="22" customHeight="1">
      <x:c r="A29" s="2" t="str">
        <x:v>Animations</x:v>
      </x:c>
      <x:c r="B29" s="40" t="n">
        <x:f>COUNTA('Animations'!$A$7:$A$10)</x:f>
        <x:v>4</x:v>
      </x:c>
      <x:c r="C29" s="40" t="n">
        <x:f>COUNTIFS('Animations'!$C$7:$C$10,"Défini")</x:f>
        <x:v>4</x:v>
      </x:c>
      <x:c r="D29" s="40" t="n">
        <x:f>COUNTIFS('Animations'!$C$7:$C$10,"Prototype")</x:f>
        <x:v>0</x:v>
      </x:c>
      <x:c r="E29" s="40" t="n">
        <x:f>COUNTIFS('Animations'!$C$7:$C$10,"Intégré")</x:f>
        <x:v>0</x:v>
      </x:c>
      <x:c r="F29" s="40" t="n">
        <x:f>COUNTIFS('Animations'!$C$7:$C$10,"Validé")</x:f>
        <x:v>0</x:v>
      </x:c>
      <x:c r="G29" s="40" t="n">
        <x:f>COUNTIFS('Animations'!$D$7:$D$10,"Établi")</x:f>
        <x:v>0</x:v>
      </x:c>
      <x:c r="H29" s="40" t="n">
        <x:f>COUNTIFS('Animations'!$D$7:$D$10,"À vérifier")</x:f>
        <x:v>0</x:v>
      </x:c>
      <x:c r="I29" s="40" t="n">
        <x:f>COUNTIFS('Animations'!$D$7:$D$10,"Extrapolation")</x:f>
        <x:v>4</x:v>
      </x:c>
      <x:c r="J29" s="40" t="n">
        <x:f>COUNTIFS('Animations'!$D$7:$D$10,"Coupé attesté")</x:f>
        <x:v>0</x:v>
      </x:c>
      <x:c r="K29" s="40" t="n">
        <x:f>COUNTIFS('Animations'!$D$7:$D$10,"Concept abandonné")</x:f>
        <x:v>0</x:v>
      </x:c>
      <x:c r="L29" s="40" t="n">
        <x:f>COUNTIFS('Animations'!$D$7:$D$10,"Allégation écartée")</x:f>
        <x:v>0</x:v>
      </x:c>
      <x:c r="M29" s="40" t="n">
        <x:f>COUNTIFS('Animations'!$E$7:$E$10,"P0")</x:f>
        <x:v>0</x:v>
      </x:c>
    </x:row>
    <x:row r="30" ht="22" customHeight="1">
      <x:c r="A30" s="35" t="str">
        <x:v>Sprites</x:v>
      </x:c>
      <x:c r="B30" s="39" t="n">
        <x:f>COUNTA('Sprites'!$A$7:$A$10)</x:f>
        <x:v>4</x:v>
      </x:c>
      <x:c r="C30" s="39" t="n">
        <x:f>COUNTIFS('Sprites'!$C$7:$C$10,"Défini")</x:f>
        <x:v>4</x:v>
      </x:c>
      <x:c r="D30" s="39" t="n">
        <x:f>COUNTIFS('Sprites'!$C$7:$C$10,"Prototype")</x:f>
        <x:v>0</x:v>
      </x:c>
      <x:c r="E30" s="39" t="n">
        <x:f>COUNTIFS('Sprites'!$C$7:$C$10,"Intégré")</x:f>
        <x:v>0</x:v>
      </x:c>
      <x:c r="F30" s="39" t="n">
        <x:f>COUNTIFS('Sprites'!$C$7:$C$10,"Validé")</x:f>
        <x:v>0</x:v>
      </x:c>
      <x:c r="G30" s="39" t="n">
        <x:f>COUNTIFS('Sprites'!$D$7:$D$10,"Établi")</x:f>
        <x:v>0</x:v>
      </x:c>
      <x:c r="H30" s="39" t="n">
        <x:f>COUNTIFS('Sprites'!$D$7:$D$10,"À vérifier")</x:f>
        <x:v>0</x:v>
      </x:c>
      <x:c r="I30" s="39" t="n">
        <x:f>COUNTIFS('Sprites'!$D$7:$D$10,"Extrapolation")</x:f>
        <x:v>4</x:v>
      </x:c>
      <x:c r="J30" s="39" t="n">
        <x:f>COUNTIFS('Sprites'!$D$7:$D$10,"Coupé attesté")</x:f>
        <x:v>0</x:v>
      </x:c>
      <x:c r="K30" s="39" t="n">
        <x:f>COUNTIFS('Sprites'!$D$7:$D$10,"Concept abandonné")</x:f>
        <x:v>0</x:v>
      </x:c>
      <x:c r="L30" s="39" t="n">
        <x:f>COUNTIFS('Sprites'!$D$7:$D$10,"Allégation écartée")</x:f>
        <x:v>0</x:v>
      </x:c>
      <x:c r="M30" s="39" t="n">
        <x:f>COUNTIFS('Sprites'!$E$7:$E$10,"P0")</x:f>
        <x:v>0</x:v>
      </x:c>
    </x:row>
    <x:row r="31" ht="22" customHeight="1">
      <x:c r="A31" s="2" t="str">
        <x:v>VFX</x:v>
      </x:c>
      <x:c r="B31" s="40" t="n">
        <x:f>COUNTA('VFX'!$A$7:$A$9)</x:f>
        <x:v>3</x:v>
      </x:c>
      <x:c r="C31" s="40" t="n">
        <x:f>COUNTIFS('VFX'!$C$7:$C$9,"Défini")</x:f>
        <x:v>3</x:v>
      </x:c>
      <x:c r="D31" s="40" t="n">
        <x:f>COUNTIFS('VFX'!$C$7:$C$9,"Prototype")</x:f>
        <x:v>0</x:v>
      </x:c>
      <x:c r="E31" s="40" t="n">
        <x:f>COUNTIFS('VFX'!$C$7:$C$9,"Intégré")</x:f>
        <x:v>0</x:v>
      </x:c>
      <x:c r="F31" s="40" t="n">
        <x:f>COUNTIFS('VFX'!$C$7:$C$9,"Validé")</x:f>
        <x:v>0</x:v>
      </x:c>
      <x:c r="G31" s="40" t="n">
        <x:f>COUNTIFS('VFX'!$D$7:$D$9,"Établi")</x:f>
        <x:v>0</x:v>
      </x:c>
      <x:c r="H31" s="40" t="n">
        <x:f>COUNTIFS('VFX'!$D$7:$D$9,"À vérifier")</x:f>
        <x:v>0</x:v>
      </x:c>
      <x:c r="I31" s="40" t="n">
        <x:f>COUNTIFS('VFX'!$D$7:$D$9,"Extrapolation")</x:f>
        <x:v>3</x:v>
      </x:c>
      <x:c r="J31" s="40" t="n">
        <x:f>COUNTIFS('VFX'!$D$7:$D$9,"Coupé attesté")</x:f>
        <x:v>0</x:v>
      </x:c>
      <x:c r="K31" s="40" t="n">
        <x:f>COUNTIFS('VFX'!$D$7:$D$9,"Concept abandonné")</x:f>
        <x:v>0</x:v>
      </x:c>
      <x:c r="L31" s="40" t="n">
        <x:f>COUNTIFS('VFX'!$D$7:$D$9,"Allégation écartée")</x:f>
        <x:v>0</x:v>
      </x:c>
      <x:c r="M31" s="40" t="n">
        <x:f>COUNTIFS('VFX'!$E$7:$E$9,"P0")</x:f>
        <x:v>0</x:v>
      </x:c>
    </x:row>
    <x:row r="32" ht="22" customHeight="1">
      <x:c r="A32" s="35" t="str">
        <x:v>Audio</x:v>
      </x:c>
      <x:c r="B32" s="39" t="n">
        <x:f>COUNTA('Audio'!$A$7:$A$8)</x:f>
        <x:v>2</x:v>
      </x:c>
      <x:c r="C32" s="39" t="n">
        <x:f>COUNTIFS('Audio'!$C$7:$C$8,"Défini")</x:f>
        <x:v>2</x:v>
      </x:c>
      <x:c r="D32" s="39" t="n">
        <x:f>COUNTIFS('Audio'!$C$7:$C$8,"Prototype")</x:f>
        <x:v>0</x:v>
      </x:c>
      <x:c r="E32" s="39" t="n">
        <x:f>COUNTIFS('Audio'!$C$7:$C$8,"Intégré")</x:f>
        <x:v>0</x:v>
      </x:c>
      <x:c r="F32" s="39" t="n">
        <x:f>COUNTIFS('Audio'!$C$7:$C$8,"Validé")</x:f>
        <x:v>0</x:v>
      </x:c>
      <x:c r="G32" s="39" t="n">
        <x:f>COUNTIFS('Audio'!$D$7:$D$8,"Établi")</x:f>
        <x:v>0</x:v>
      </x:c>
      <x:c r="H32" s="39" t="n">
        <x:f>COUNTIFS('Audio'!$D$7:$D$8,"À vérifier")</x:f>
        <x:v>0</x:v>
      </x:c>
      <x:c r="I32" s="39" t="n">
        <x:f>COUNTIFS('Audio'!$D$7:$D$8,"Extrapolation")</x:f>
        <x:v>2</x:v>
      </x:c>
      <x:c r="J32" s="39" t="n">
        <x:f>COUNTIFS('Audio'!$D$7:$D$8,"Coupé attesté")</x:f>
        <x:v>0</x:v>
      </x:c>
      <x:c r="K32" s="39" t="n">
        <x:f>COUNTIFS('Audio'!$D$7:$D$8,"Concept abandonné")</x:f>
        <x:v>0</x:v>
      </x:c>
      <x:c r="L32" s="39" t="n">
        <x:f>COUNTIFS('Audio'!$D$7:$D$8,"Allégation écartée")</x:f>
        <x:v>0</x:v>
      </x:c>
      <x:c r="M32" s="39" t="n">
        <x:f>COUNTIFS('Audio'!$E$7:$E$8,"P0")</x:f>
        <x:v>0</x:v>
      </x:c>
    </x:row>
    <x:row r="33" ht="22" customHeight="1">
      <x:c r="A33" s="2" t="str">
        <x:v>Systèmes et UI</x:v>
      </x:c>
      <x:c r="B33" s="40" t="n">
        <x:f>COUNTA('UI_systemes'!$A$7:$A$10)</x:f>
        <x:v>4</x:v>
      </x:c>
      <x:c r="C33" s="40" t="n">
        <x:f>COUNTIFS('UI_systemes'!$C$7:$C$10,"Défini")</x:f>
        <x:v>4</x:v>
      </x:c>
      <x:c r="D33" s="40" t="n">
        <x:f>COUNTIFS('UI_systemes'!$C$7:$C$10,"Prototype")</x:f>
        <x:v>0</x:v>
      </x:c>
      <x:c r="E33" s="40" t="n">
        <x:f>COUNTIFS('UI_systemes'!$C$7:$C$10,"Intégré")</x:f>
        <x:v>0</x:v>
      </x:c>
      <x:c r="F33" s="40" t="n">
        <x:f>COUNTIFS('UI_systemes'!$C$7:$C$10,"Validé")</x:f>
        <x:v>0</x:v>
      </x:c>
      <x:c r="G33" s="40" t="n">
        <x:f>COUNTIFS('UI_systemes'!$D$7:$D$10,"Établi")</x:f>
        <x:v>0</x:v>
      </x:c>
      <x:c r="H33" s="40" t="n">
        <x:f>COUNTIFS('UI_systemes'!$D$7:$D$10,"À vérifier")</x:f>
        <x:v>0</x:v>
      </x:c>
      <x:c r="I33" s="40" t="n">
        <x:f>COUNTIFS('UI_systemes'!$D$7:$D$10,"Extrapolation")</x:f>
        <x:v>4</x:v>
      </x:c>
      <x:c r="J33" s="40" t="n">
        <x:f>COUNTIFS('UI_systemes'!$D$7:$D$10,"Coupé attesté")</x:f>
        <x:v>0</x:v>
      </x:c>
      <x:c r="K33" s="40" t="n">
        <x:f>COUNTIFS('UI_systemes'!$D$7:$D$10,"Concept abandonné")</x:f>
        <x:v>0</x:v>
      </x:c>
      <x:c r="L33" s="40" t="n">
        <x:f>COUNTIFS('UI_systemes'!$D$7:$D$10,"Allégation écartée")</x:f>
        <x:v>0</x:v>
      </x:c>
      <x:c r="M33" s="40" t="n">
        <x:f>COUNTIFS('UI_systemes'!$E$7:$E$10,"P0")</x:f>
        <x:v>0</x:v>
      </x:c>
    </x:row>
    <x:row r="34" ht="22" customHeight="1">
      <x:c r="A34" s="35" t="str">
        <x:v>QA</x:v>
      </x:c>
      <x:c r="B34" s="39" t="n">
        <x:f>COUNTA('QA'!$A$7:$A$12)</x:f>
        <x:v>6</x:v>
      </x:c>
      <x:c r="C34" s="39" t="n">
        <x:f>COUNTIFS('QA'!$C$7:$C$12,"Défini")</x:f>
        <x:v>6</x:v>
      </x:c>
      <x:c r="D34" s="39" t="n">
        <x:f>COUNTIFS('QA'!$C$7:$C$12,"Prototype")</x:f>
        <x:v>0</x:v>
      </x:c>
      <x:c r="E34" s="39" t="n">
        <x:f>COUNTIFS('QA'!$C$7:$C$12,"Intégré")</x:f>
        <x:v>0</x:v>
      </x:c>
      <x:c r="F34" s="39" t="n">
        <x:f>COUNTIFS('QA'!$C$7:$C$12,"Validé")</x:f>
        <x:v>0</x:v>
      </x:c>
      <x:c r="G34" s="39" t="n">
        <x:f>COUNTIFS('QA'!$D$7:$D$12,"Établi")</x:f>
        <x:v>0</x:v>
      </x:c>
      <x:c r="H34" s="39" t="n">
        <x:f>COUNTIFS('QA'!$D$7:$D$12,"À vérifier")</x:f>
        <x:v>0</x:v>
      </x:c>
      <x:c r="I34" s="39" t="n">
        <x:f>COUNTIFS('QA'!$D$7:$D$12,"Extrapolation")</x:f>
        <x:v>6</x:v>
      </x:c>
      <x:c r="J34" s="39" t="n">
        <x:f>COUNTIFS('QA'!$D$7:$D$12,"Coupé attesté")</x:f>
        <x:v>0</x:v>
      </x:c>
      <x:c r="K34" s="39" t="n">
        <x:f>COUNTIFS('QA'!$D$7:$D$12,"Concept abandonné")</x:f>
        <x:v>0</x:v>
      </x:c>
      <x:c r="L34" s="39" t="n">
        <x:f>COUNTIFS('QA'!$D$7:$D$12,"Allégation écartée")</x:f>
        <x:v>0</x:v>
      </x:c>
      <x:c r="M34" s="39" t="n">
        <x:f>COUNTIFS('QA'!$E$7:$E$12,"P0")</x:f>
        <x:v>6</x:v>
      </x:c>
    </x:row>
    <x:row r="35" ht="22" customHeight="1">
      <x:c r="A35" s="2" t="str">
        <x:v>Continuité</x:v>
      </x:c>
      <x:c r="B35" s="40" t="n">
        <x:f>COUNTA('Continuite'!$A$7:$A$8)</x:f>
        <x:v>2</x:v>
      </x:c>
      <x:c r="C35" s="40" t="n">
        <x:f>COUNTIFS('Continuite'!$C$7:$C$8,"Défini")</x:f>
        <x:v>2</x:v>
      </x:c>
      <x:c r="D35" s="40" t="n">
        <x:f>COUNTIFS('Continuite'!$C$7:$C$8,"Prototype")</x:f>
        <x:v>0</x:v>
      </x:c>
      <x:c r="E35" s="40" t="n">
        <x:f>COUNTIFS('Continuite'!$C$7:$C$8,"Intégré")</x:f>
        <x:v>0</x:v>
      </x:c>
      <x:c r="F35" s="40" t="n">
        <x:f>COUNTIFS('Continuite'!$C$7:$C$8,"Validé")</x:f>
        <x:v>0</x:v>
      </x:c>
      <x:c r="G35" s="40" t="n">
        <x:f>COUNTIFS('Continuite'!$D$7:$D$8,"Établi")</x:f>
        <x:v>0</x:v>
      </x:c>
      <x:c r="H35" s="40" t="n">
        <x:f>COUNTIFS('Continuite'!$D$7:$D$8,"À vérifier")</x:f>
        <x:v>0</x:v>
      </x:c>
      <x:c r="I35" s="40" t="n">
        <x:f>COUNTIFS('Continuite'!$D$7:$D$8,"Extrapolation")</x:f>
        <x:v>2</x:v>
      </x:c>
      <x:c r="J35" s="40" t="n">
        <x:f>COUNTIFS('Continuite'!$D$7:$D$8,"Coupé attesté")</x:f>
        <x:v>0</x:v>
      </x:c>
      <x:c r="K35" s="40" t="n">
        <x:f>COUNTIFS('Continuite'!$D$7:$D$8,"Concept abandonné")</x:f>
        <x:v>0</x:v>
      </x:c>
      <x:c r="L35" s="40" t="n">
        <x:f>COUNTIFS('Continuite'!$D$7:$D$8,"Allégation écartée")</x:f>
        <x:v>0</x:v>
      </x:c>
      <x:c r="M35" s="40" t="n">
        <x:f>COUNTIFS('Continuite'!$E$7:$E$8,"P0")</x:f>
        <x:v>0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19" t="str">
        <x:v>TOTAL</x:v>
      </x:c>
      <x:c r="B37" s="41" t="n">
        <x:f>SUM(B10:B35)</x:f>
        <x:v>68</x:v>
      </x:c>
      <x:c r="C37" s="41" t="n">
        <x:f>SUM(C10:C35)</x:f>
        <x:v>68</x:v>
      </x:c>
      <x:c r="D37" s="41" t="n">
        <x:f>SUM(D10:D35)</x:f>
        <x:v>0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0</x:v>
      </x:c>
      <x:c r="H37" s="41" t="n">
        <x:f>SUM(H10:H35)</x:f>
        <x:v>13</x:v>
      </x:c>
      <x:c r="I37" s="41" t="n">
        <x:f>SUM(I10:I35)</x:f>
        <x:v>55</x:v>
      </x:c>
      <x:c r="J37" s="41" t="n">
        <x:f>SUM(J10:J35)</x:f>
        <x:v>0</x:v>
      </x:c>
      <x:c r="K37" s="41" t="n">
        <x:f>SUM(K10:K35)</x:f>
        <x:v>0</x:v>
      </x:c>
      <x:c r="L37" s="41" t="n">
        <x:f>SUM(L10:L35)</x:f>
        <x:v>0</x:v>
      </x:c>
      <x:c r="M37" s="41" t="n">
        <x:f>SUM(M10:M35)</x:f>
        <x:v>12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CON-ACT-VEGA</x:v>
      </x:c>
      <x:c r="B7" s="9" t="str">
        <x:v>James Vega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Vega est le protagoniste du récit.</x:v>
      </x:c>
      <x:c r="G7" s="9" t="str">
        <x:v>Avatar de proximité; maîtrise de soi et écoute après l’incident.</x:v>
      </x:c>
      <x:c r="H7" s="9" t="str">
        <x:v>Rôle narratif; aucune statistique officielle déduite.</x:v>
      </x:c>
      <x:c r="I7" s="9" t="str">
        <x:v>Direction proposée : Carrure humaine robuste, tenue hors service à comparer; ne pas reprendre automatiquement son armure ME3. Vérifier le costume sur l'édition autorisée avant peinture finale.</x:v>
      </x:c>
      <x:c r="J7" s="9" t="str">
        <x:v>Position à table, mouvement impulsif, garde et marche contrainte.</x:v>
      </x:c>
      <x:c r="K7" s="9" t="str">
        <x:v>Interprétation originale; sous-titres attribués au locuteur et aucune reprise des voix du jeu.</x:v>
      </x:c>
      <x:c r="L7" s="9" t="str">
        <x:v>Livrable proposé : spécification CON/characters/act-vega; brancher au registre de contenu de l'œuvre seulement après production.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James Vega possède une fiche de référence séparant rôle attesté, silhouette à contrôler et commandes proposées.</x:v>
      </x:c>
      <x:c r="O7" s="9" t="str"/>
      <x:c r="P7" s="9" t="str">
        <x:v>Mass Effect: Conviction, récit court</x:v>
      </x:c>
      <x:c r="Q7" s="9" t="str">
        <x:v>CON-S-WIKI</x:v>
      </x:c>
      <x:c r="R7" s="17" t="str">
        <x:v>https://masseffect.fandom.com/wiki/Mass_Effect%3A_Conviction</x:v>
      </x:c>
      <x:c r="S7" s="17" t="str">
        <x:v>Le rôle dans la source ne prouve ni recrutement jouable ni disponibilité permanente.</x:v>
      </x:c>
    </x:row>
  </x:sheetData>
  <x:conditionalFormatting sqref="D7:D7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7">
    <x:cfRule type="cellIs" dxfId="2" priority="3" operator="equal">
      <x:formula>"Validé"</x:formula>
    </x:cfRule>
  </x:conditionalFormatting>
  <x:conditionalFormatting sqref="E7:E7">
    <x:cfRule type="cellIs" dxfId="3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fad95b9f8649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CON-ACT-ANDERSON</x:v>
      </x:c>
      <x:c r="B7" s="9" t="str">
        <x:v>David Anderson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Anderson vient chercher Vega.</x:v>
      </x:c>
      <x:c r="G7" s="9" t="str">
        <x:v>Autorité et mentor; conversation plutôt que boss ou sauveur jouable.</x:v>
      </x:c>
      <x:c r="H7" s="9" t="str">
        <x:v>Rôle narratif; aucune statistique officielle déduite.</x:v>
      </x:c>
      <x:c r="I7" s="9" t="str">
        <x:v>Direction proposée : Uniforme Alliance et posture ferme, grade à contrôler dans l’édition. Vérifier le costume sur l'édition autorisée avant peinture finale.</x:v>
      </x:c>
      <x:c r="J7" s="9" t="str">
        <x:v>Entrée mesurée, geste d’arrêt et conversation assise.</x:v>
      </x:c>
      <x:c r="K7" s="9" t="str">
        <x:v>Interprétation originale; sous-titres attribués au locuteur et aucune reprise des voix du jeu.</x:v>
      </x:c>
      <x:c r="L7" s="9" t="str">
        <x:v>Livrable proposé : spécification CON/npcs/act-anderson; brancher au registre de contenu de l'œuvre seulement après production.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David Anderson possède une fiche de référence séparant rôle attesté, silhouette à contrôler et commandes proposées.</x:v>
      </x:c>
      <x:c r="O7" s="9" t="str"/>
      <x:c r="P7" s="9" t="str">
        <x:v>Mass Effect: Conviction, récit court</x:v>
      </x:c>
      <x:c r="Q7" s="9" t="str">
        <x:v>CON-S-WIKI</x:v>
      </x:c>
      <x:c r="R7" s="17" t="str">
        <x:v>https://masseffect.fandom.com/wiki/Mass_Effect%3A_Conviction</x:v>
      </x:c>
      <x:c r="S7" s="17" t="str">
        <x:v>Le rôle dans la source ne prouve ni recrutement jouable ni disponibilité permanente.</x:v>
      </x:c>
    </x:row>
    <x:row r="8" ht="68" customHeight="1">
      <x:c r="A8" s="31" t="str">
        <x:v>CON-ACT-BARTENDER</x:v>
      </x:c>
      <x:c r="B8" s="7" t="str">
        <x:v>Barman krogan</x:v>
      </x:c>
      <x:c r="C8" s="14" t="str">
        <x:v>Défini</x:v>
      </x:c>
      <x:c r="D8" s="30" t="str">
        <x:v>À vérifier</x:v>
      </x:c>
      <x:c r="E8" s="30" t="str">
        <x:v>P1</x:v>
      </x:c>
      <x:c r="F8" s="7" t="str">
        <x:v>Le wiki décrit un barman krogan présent pendant l’incident.</x:v>
      </x:c>
      <x:c r="G8" s="7" t="str">
        <x:v>Témoin du lieu; pas de marchand d’armes ajouté.</x:v>
      </x:c>
      <x:c r="H8" s="7" t="str">
        <x:v>Rôle narratif; aucune statistique officielle déduite.</x:v>
      </x:c>
      <x:c r="I8" s="7" t="str">
        <x:v>Direction proposée : Grand gabarit derrière un comptoir, tenue à contrôler. Vérifier le costume sur l'édition autorisée avant peinture finale.</x:v>
      </x:c>
      <x:c r="J8" s="7" t="str">
        <x:v>Essuyage, réaction et attente.</x:v>
      </x:c>
      <x:c r="K8" s="7" t="str">
        <x:v>Interprétation originale; sous-titres attribués au locuteur et aucune reprise des voix du jeu.</x:v>
      </x:c>
      <x:c r="L8" s="7" t="str">
        <x:v>Livrable proposé : spécification CON/npcs/act-bartender; brancher au registre de contenu de l'œuvre seulement après production.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Barman krogan possède une fiche de référence séparant rôle attesté, silhouette à contrôler et commandes proposées.</x:v>
      </x:c>
      <x:c r="O8" s="7" t="str"/>
      <x:c r="P8" s="7" t="str">
        <x:v>Mass Effect: Conviction, récit court</x:v>
      </x:c>
      <x:c r="Q8" s="7" t="str">
        <x:v>CON-S-WIKI</x:v>
      </x:c>
      <x:c r="R8" s="32" t="str">
        <x:v>https://masseffect.fandom.com/wiki/Mass_Effect%3A_Conviction</x:v>
      </x:c>
      <x:c r="S8" s="32" t="str">
        <x:v>Le rôle dans la source ne prouve ni recrutement jouable ni disponibilité permanente.</x:v>
      </x:c>
    </x:row>
    <x:row r="9" ht="68" customHeight="1">
      <x:c r="A9" s="16" t="str">
        <x:v>CON-ACT-SOLDIERS</x:v>
      </x:c>
      <x:c r="B9" s="9" t="str">
        <x:v>Soldats accompagnant Anderson</x:v>
      </x:c>
      <x:c r="C9" s="14" t="str">
        <x:v>Défini</x:v>
      </x:c>
      <x:c r="D9" s="15" t="str">
        <x:v>À vérifier</x:v>
      </x:c>
      <x:c r="E9" s="15" t="str">
        <x:v>P1</x:v>
      </x:c>
      <x:c r="F9" s="9" t="str">
        <x:v>Anderson arrive avec des soldats selon le récit rapporté.</x:v>
      </x:c>
      <x:c r="G9" s="9" t="str">
        <x:v>Intervention collective visible; aucun nom ni unité inventé.</x:v>
      </x:c>
      <x:c r="H9" s="9" t="str">
        <x:v>Rôle narratif; aucune statistique officielle déduite.</x:v>
      </x:c>
      <x:c r="I9" s="9" t="str">
        <x:v>Direction proposée : Silhouettes Alliance simplifiées et armes abaissées lors du dialogue. Vérifier le costume sur l'édition autorisée avant peinture finale.</x:v>
      </x:c>
      <x:c r="J9" s="9" t="str">
        <x:v>Entrée coordonnée, arrêt et escorte.</x:v>
      </x:c>
      <x:c r="K9" s="9" t="str">
        <x:v>Interprétation originale; sous-titres attribués au locuteur et aucune reprise des voix du jeu.</x:v>
      </x:c>
      <x:c r="L9" s="9" t="str">
        <x:v>Livrable proposé : spécification CON/npcs/act-soldiers; brancher au registre de contenu de l'œuvre seulement après production.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Soldats accompagnant Anderson possède une fiche de référence séparant rôle attesté, silhouette à contrôler et commandes proposées.</x:v>
      </x:c>
      <x:c r="O9" s="9" t="str"/>
      <x:c r="P9" s="9" t="str">
        <x:v>Mass Effect: Conviction, récit court</x:v>
      </x:c>
      <x:c r="Q9" s="9" t="str">
        <x:v>CON-S-WIKI</x:v>
      </x:c>
      <x:c r="R9" s="17" t="str">
        <x:v>https://masseffect.fandom.com/wiki/Mass_Effect%3A_Conviction</x:v>
      </x:c>
      <x:c r="S9" s="17" t="str">
        <x:v>Le rôle dans la source ne prouve ni recrutement jouable ni disponibilité permanente.</x:v>
      </x:c>
    </x:row>
  </x:sheetData>
  <x:conditionalFormatting sqref="D7:D9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9">
    <x:cfRule type="cellIs" dxfId="6" priority="3" operator="equal">
      <x:formula>"Validé"</x:formula>
    </x:cfRule>
  </x:conditionalFormatting>
  <x:conditionalFormatting sqref="E7:E9">
    <x:cfRule type="cellIs" dxfId="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0df393f6df4a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54" customHeight="1">
      <x:c r="A7" s="16" t="str">
        <x:v>CON-REF-SCOPE</x:v>
      </x:c>
      <x:c r="B7" s="9" t="str">
        <x:v>Récit centré sur James Vega</x:v>
      </x:c>
      <x:c r="C7" s="14" t="str">
        <x:v>Défini</x:v>
      </x:c>
      <x:c r="D7" s="15" t="str">
        <x:v>À vérifier</x:v>
      </x:c>
      <x:c r="E7" s="15" t="str">
        <x:v>P0</x:v>
      </x:c>
      <x:c r="F7" s="9" t="str">
        <x:v>Le wiki présente Conviction comme un court récit expliquant l’affectation de Vega auprès de Shepard.</x:v>
      </x:c>
      <x:c r="G7" s="9" t="str">
        <x:v>Conserver cet ancrage dans les données éditoriales; les variantes de jeu restent dans un espace séparé.</x:v>
      </x:c>
      <x:c r="H7" s="9" t="str"/>
      <x:c r="I7" s="9" t="str"/>
      <x:c r="J7" s="9" t="str"/>
      <x:c r="K7" s="9" t="str"/>
      <x:c r="L7" s="9" t="str">
        <x:v>Livrable proposé : spécification CON/lore/ref-scope; brancher au registre de contenu de l'œuvre seulement après production.</x:v>
      </x:c>
      <x:c r="M7" s="9" t="str">
        <x:v>Vérifier toute précision non contenue dans cette notice avant de la déclarer canon.</x:v>
      </x:c>
      <x:c r="N7" s="9" t="str">
        <x:v>Le dossier cite la source WIKI et distingue cette information de toute règle de gameplay.</x:v>
      </x:c>
      <x:c r="O7" s="9" t="str"/>
      <x:c r="P7" s="9" t="str">
        <x:v>Mass Effect: Conviction, récit court</x:v>
      </x:c>
      <x:c r="Q7" s="9" t="str">
        <x:v>CON-S-WIKI</x:v>
      </x:c>
      <x:c r="R7" s="17" t="str">
        <x:v>https://masseffect.fandom.com/wiki/Mass_Effect%3A_Conviction</x:v>
      </x:c>
      <x:c r="S7" s="17" t="str">
        <x:v>Fait résumé brièvement; aucun dialogue ni découpage intégral du comic reproduit.</x:v>
      </x:c>
    </x:row>
    <x:row r="8" ht="54" customHeight="1">
      <x:c r="A8" s="31" t="str">
        <x:v>CON-REF-OMEGA</x:v>
      </x:c>
      <x:c r="B8" s="7" t="str">
        <x:v>Incident sur Omega</x:v>
      </x:c>
      <x:c r="C8" s="14" t="str">
        <x:v>Défini</x:v>
      </x:c>
      <x:c r="D8" s="30" t="str">
        <x:v>À vérifier</x:v>
      </x:c>
      <x:c r="E8" s="30" t="str">
        <x:v>P0</x:v>
      </x:c>
      <x:c r="F8" s="7" t="str">
        <x:v>Vega est sur Omega lorsque des nouvelles concernant Shepard provoquent une altercation.</x:v>
      </x:c>
      <x:c r="G8" s="7" t="str">
        <x:v>Conserver cet ancrage dans les données éditoriales; les variantes de jeu restent dans un espace séparé.</x:v>
      </x:c>
      <x:c r="H8" s="7" t="str"/>
      <x:c r="I8" s="7" t="str"/>
      <x:c r="J8" s="7" t="str"/>
      <x:c r="K8" s="7" t="str"/>
      <x:c r="L8" s="7" t="str">
        <x:v>Livrable proposé : spécification CON/lore/ref-omega; brancher au registre de contenu de l'œuvre seulement après production.</x:v>
      </x:c>
      <x:c r="M8" s="7" t="str">
        <x:v>Vérifier toute précision non contenue dans cette notice avant de la déclarer canon.</x:v>
      </x:c>
      <x:c r="N8" s="7" t="str">
        <x:v>Le dossier cite la source WIKI et distingue cette information de toute règle de gameplay.</x:v>
      </x:c>
      <x:c r="O8" s="7" t="str"/>
      <x:c r="P8" s="7" t="str">
        <x:v>Mass Effect: Conviction, récit court</x:v>
      </x:c>
      <x:c r="Q8" s="7" t="str">
        <x:v>CON-S-WIKI</x:v>
      </x:c>
      <x:c r="R8" s="32" t="str">
        <x:v>https://masseffect.fandom.com/wiki/Mass_Effect%3A_Conviction</x:v>
      </x:c>
      <x:c r="S8" s="32" t="str">
        <x:v>Fait résumé brièvement; aucun dialogue ni découpage intégral du comic reproduit.</x:v>
      </x:c>
    </x:row>
    <x:row r="9" ht="54" customHeight="1">
      <x:c r="A9" s="16" t="str">
        <x:v>CON-REF-ANDERSON</x:v>
      </x:c>
      <x:c r="B9" s="9" t="str">
        <x:v>Intervention d’Anderson</x:v>
      </x:c>
      <x:c r="C9" s="14" t="str">
        <x:v>Défini</x:v>
      </x:c>
      <x:c r="D9" s="15" t="str">
        <x:v>À vérifier</x:v>
      </x:c>
      <x:c r="E9" s="15" t="str">
        <x:v>P0</x:v>
      </x:c>
      <x:c r="F9" s="9" t="str">
        <x:v>Anderson interrompt l’incident et ramène Vega vers le service de l’Alliance.</x:v>
      </x:c>
      <x:c r="G9" s="9" t="str">
        <x:v>Conserver cet ancrage dans les données éditoriales; les variantes de jeu restent dans un espace séparé.</x:v>
      </x:c>
      <x:c r="H9" s="9" t="str"/>
      <x:c r="I9" s="9" t="str"/>
      <x:c r="J9" s="9" t="str"/>
      <x:c r="K9" s="9" t="str"/>
      <x:c r="L9" s="9" t="str">
        <x:v>Livrable proposé : spécification CON/lore/ref-anderson; brancher au registre de contenu de l'œuvre seulement après production.</x:v>
      </x:c>
      <x:c r="M9" s="9" t="str">
        <x:v>Vérifier toute précision non contenue dans cette notice avant de la déclarer canon.</x:v>
      </x:c>
      <x:c r="N9" s="9" t="str">
        <x:v>Le dossier cite la source WIKI et distingue cette information de toute règle de gameplay.</x:v>
      </x:c>
      <x:c r="O9" s="9" t="str"/>
      <x:c r="P9" s="9" t="str">
        <x:v>Mass Effect: Conviction, récit court</x:v>
      </x:c>
      <x:c r="Q9" s="9" t="str">
        <x:v>CON-S-WIKI</x:v>
      </x:c>
      <x:c r="R9" s="17" t="str">
        <x:v>https://masseffect.fandom.com/wiki/Mass_Effect%3A_Conviction</x:v>
      </x:c>
      <x:c r="S9" s="17" t="str">
        <x:v>Fait résumé brièvement; aucun dialogue ni découpage intégral du comic reproduit.</x:v>
      </x:c>
    </x:row>
    <x:row r="10" ht="68" customHeight="1">
      <x:c r="A10" s="31" t="str">
        <x:v>CON-SC-NEWS-REF</x:v>
      </x:c>
      <x:c r="B10" s="7" t="str">
        <x:v>Nouvelle et réaction</x:v>
      </x:c>
      <x:c r="C10" s="14" t="str">
        <x:v>Défini</x:v>
      </x:c>
      <x:c r="D10" s="30" t="str">
        <x:v>À vérifier</x:v>
      </x:c>
      <x:c r="E10" s="30" t="str">
        <x:v>P1</x:v>
      </x:c>
      <x:c r="F10" s="7" t="str">
        <x:v>Vega réagit à une information diffusée sur Shepard. </x:v>
      </x:c>
      <x:c r="G10" s="7" t="str">
        <x:v>Ancrage du module; les intitulés de quêtes et options ci-dessous sont des créations de production.</x:v>
      </x:c>
      <x:c r="H10" s="7" t="str"/>
      <x:c r="I10" s="7" t="str"/>
      <x:c r="J10" s="7" t="str"/>
      <x:c r="K10" s="7" t="str"/>
      <x:c r="L10" s="7" t="str">
        <x:v>Livrable proposé : spécification CON/lore/sc-news-ref; brancher au registre de contenu de l'œuvre seulement après production.</x:v>
      </x:c>
      <x:c r="M10" s="7" t="str">
        <x:v>L’arrivée d’Anderson et l’affectation de Vega restent les raccords fixes. Les adversaires du bar représentent des individus de cette scène, pas les batariens en général.</x:v>
      </x:c>
      <x:c r="N10" s="7" t="str">
        <x:v>L’ancrage reste bref et son numéro/segment est identifiable dans les sources; les détails non confirmés portent À vérifier.</x:v>
      </x:c>
      <x:c r="O10" s="7" t="str"/>
      <x:c r="P10" s="7" t="str">
        <x:v>Mass Effect: Conviction, récit court</x:v>
      </x:c>
      <x:c r="Q10" s="7" t="str">
        <x:v>CON-S-WIKI</x:v>
      </x:c>
      <x:c r="R10" s="32" t="str">
        <x:v>https://masseffect.fandom.com/wiki/Mass_Effect%3A_Conviction</x:v>
      </x:c>
      <x:c r="S10" s="32" t="str">
        <x:v>Ne remplace pas la lecture du numéro.</x:v>
      </x:c>
    </x:row>
    <x:row r="11" ht="68" customHeight="1">
      <x:c r="A11" s="16" t="str">
        <x:v>CON-SC-BAR-REF</x:v>
      </x:c>
      <x:c r="B11" s="9" t="str">
        <x:v>Altercation au bar</x:v>
      </x:c>
      <x:c r="C11" s="14" t="str">
        <x:v>Défini</x:v>
      </x:c>
      <x:c r="D11" s="15" t="str">
        <x:v>À vérifier</x:v>
      </x:c>
      <x:c r="E11" s="15" t="str">
        <x:v>P1</x:v>
      </x:c>
      <x:c r="F11" s="9" t="str">
        <x:v>Le wiki décrit une altercation entre Vega et des individus batariens. </x:v>
      </x:c>
      <x:c r="G11" s="9" t="str">
        <x:v>Ancrage du module; les intitulés de quêtes et options ci-dessous sont des créations de production.</x:v>
      </x:c>
      <x:c r="H11" s="9" t="str"/>
      <x:c r="I11" s="9" t="str"/>
      <x:c r="J11" s="9" t="str"/>
      <x:c r="K11" s="9" t="str"/>
      <x:c r="L11" s="9" t="str">
        <x:v>Livrable proposé : spécification CON/lore/sc-bar-ref; brancher au registre de contenu de l'œuvre seulement après production.</x:v>
      </x:c>
      <x:c r="M11" s="9" t="str">
        <x:v>L’arrivée d’Anderson et l’affectation de Vega restent les raccords fixes. Les adversaires du bar représentent des individus de cette scène, pas les batariens en général.</x:v>
      </x:c>
      <x:c r="N11" s="9" t="str">
        <x:v>L’ancrage reste bref et son numéro/segment est identifiable dans les sources; les détails non confirmés portent À vérifier.</x:v>
      </x:c>
      <x:c r="O11" s="9" t="str"/>
      <x:c r="P11" s="9" t="str">
        <x:v>Mass Effect: Conviction, récit court</x:v>
      </x:c>
      <x:c r="Q11" s="9" t="str">
        <x:v>CON-S-WIKI</x:v>
      </x:c>
      <x:c r="R11" s="17" t="str">
        <x:v>https://masseffect.fandom.com/wiki/Mass_Effect%3A_Conviction</x:v>
      </x:c>
      <x:c r="S11" s="17" t="str">
        <x:v>Ne remplace pas la lecture du numéro.</x:v>
      </x:c>
    </x:row>
    <x:row r="12" ht="68" customHeight="1">
      <x:c r="A12" s="31" t="str">
        <x:v>CON-SC-DUTY-REF</x:v>
      </x:c>
      <x:c r="B12" s="7" t="str">
        <x:v>Reprendre une affectation</x:v>
      </x:c>
      <x:c r="C12" s="14" t="str">
        <x:v>Défini</x:v>
      </x:c>
      <x:c r="D12" s="30" t="str">
        <x:v>À vérifier</x:v>
      </x:c>
      <x:c r="E12" s="30" t="str">
        <x:v>P1</x:v>
      </x:c>
      <x:c r="F12" s="7" t="str">
        <x:v>La conclusion rapportée confie à Vega la garde de Shepard. </x:v>
      </x:c>
      <x:c r="G12" s="7" t="str">
        <x:v>Ancrage du module; les intitulés de quêtes et options ci-dessous sont des créations de production.</x:v>
      </x:c>
      <x:c r="H12" s="7" t="str"/>
      <x:c r="I12" s="7" t="str"/>
      <x:c r="J12" s="7" t="str"/>
      <x:c r="K12" s="7" t="str"/>
      <x:c r="L12" s="7" t="str">
        <x:v>Livrable proposé : spécification CON/lore/sc-duty-ref; brancher au registre de contenu de l'œuvre seulement après production.</x:v>
      </x:c>
      <x:c r="M12" s="7" t="str">
        <x:v>L’arrivée d’Anderson et l’affectation de Vega restent les raccords fixes. Les adversaires du bar représentent des individus de cette scène, pas les batariens en général.</x:v>
      </x:c>
      <x:c r="N12" s="7" t="str">
        <x:v>L’ancrage reste bref et son numéro/segment est identifiable dans les sources; les détails non confirmés portent À vérifier.</x:v>
      </x:c>
      <x:c r="O12" s="7" t="str"/>
      <x:c r="P12" s="7" t="str">
        <x:v>Mass Effect: Conviction, récit court</x:v>
      </x:c>
      <x:c r="Q12" s="7" t="str">
        <x:v>CON-S-WIKI</x:v>
      </x:c>
      <x:c r="R12" s="32" t="str">
        <x:v>https://masseffect.fandom.com/wiki/Mass_Effect%3A_Conviction</x:v>
      </x:c>
      <x:c r="S12" s="32" t="str">
        <x:v>Ne remplace pas la lecture du numéro.</x:v>
      </x:c>
    </x:row>
  </x:sheetData>
  <x:conditionalFormatting sqref="D7:D12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12">
    <x:cfRule type="cellIs" dxfId="10" priority="3" operator="equal">
      <x:formula>"Validé"</x:formula>
    </x:cfRule>
  </x:conditionalFormatting>
  <x:conditionalFormatting sqref="E7:E12">
    <x:cfRule type="cellIs" dxfId="11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a78d42f6bb46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CON-WRL-OMEGA</x:v>
      </x:c>
      <x:c r="B7" s="9" t="str">
        <x:v>Omega — bar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L’altercation rapportée se déroule dans un bar d’Omega.</x:v>
      </x:c>
      <x:c r="G7" s="9" t="str">
        <x:v>Espace quotidien transformé en tension brève.</x:v>
      </x:c>
      <x:c r="H7" s="9" t="str"/>
      <x:c r="I7" s="9" t="str">
        <x:v>Métal usé, mobilier lourd et éclairage chaud bas.</x:v>
      </x:c>
      <x:c r="J7" s="9" t="str"/>
      <x:c r="K7" s="9" t="str"/>
      <x:c r="L7" s="9" t="str">
        <x:v>Livrable proposé : spécification CON/worlds/wrl-omega; brancher au registre de contenu de l'œuvre seulement après production.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nom Omega — bar et sa fonction sont sourcés; les dimensions, chemins et interactions restent explicitement proposés.</x:v>
      </x:c>
      <x:c r="O7" s="9" t="str"/>
      <x:c r="P7" s="9" t="str">
        <x:v>Mass Effect: Conviction, récit court</x:v>
      </x:c>
      <x:c r="Q7" s="9" t="str">
        <x:v>CON-S-WIKI</x:v>
      </x:c>
      <x:c r="R7" s="17" t="str">
        <x:v>https://masseffect.fandom.com/wiki/Mass_Effect%3A_Conviction</x:v>
      </x:c>
      <x:c r="S7" s="17" t="str">
        <x:v>La géométrie jouable ci-dessous est originale et ne prétend pas reconstituer une carte officielle.</x:v>
      </x:c>
    </x:row>
    <x:row r="8" ht="68" customHeight="1">
      <x:c r="A8" s="31" t="str">
        <x:v>CON-WRL-DOCK</x:v>
      </x:c>
      <x:c r="B8" s="7" t="str">
        <x:v>Approche du Normandy SR-2</x:v>
      </x:c>
      <x:c r="C8" s="14" t="str">
        <x:v>Défini</x:v>
      </x:c>
      <x:c r="D8" s="30" t="str">
        <x:v>À vérifier</x:v>
      </x:c>
      <x:c r="E8" s="30" t="str">
        <x:v>P1</x:v>
      </x:c>
      <x:c r="F8" s="7" t="str">
        <x:v>Le récit rapporté mène Vega vers le Normandy SR-2.</x:v>
      </x:c>
      <x:c r="G8" s="7" t="str">
        <x:v>Raccord d’affectation, sans exploration libre du vaisseau.</x:v>
      </x:c>
      <x:c r="H8" s="7" t="str"/>
      <x:c r="I8" s="7" t="str">
        <x:v>Éclairage de quai clair et métal froid.</x:v>
      </x:c>
      <x:c r="J8" s="7" t="str"/>
      <x:c r="K8" s="7" t="str"/>
      <x:c r="L8" s="7" t="str">
        <x:v>Livrable proposé : spécification CON/worlds/wrl-dock; brancher au registre de contenu de l'œuvre seulement après production.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 nom Approche du Normandy SR-2 et sa fonction sont sourcés; les dimensions, chemins et interactions restent explicitement proposés.</x:v>
      </x:c>
      <x:c r="O8" s="7" t="str"/>
      <x:c r="P8" s="7" t="str">
        <x:v>Mass Effect: Conviction, récit court</x:v>
      </x:c>
      <x:c r="Q8" s="7" t="str">
        <x:v>CON-S-WIKI</x:v>
      </x:c>
      <x:c r="R8" s="32" t="str">
        <x:v>https://masseffect.fandom.com/wiki/Mass_Effect%3A_Conviction</x:v>
      </x:c>
      <x:c r="S8" s="32" t="str">
        <x:v>Le catalogue ne crée pas un niveau complet du Normandy; le lieu sert au raccord de fin.</x:v>
      </x:c>
    </x:row>
  </x:sheetData>
  <x:conditionalFormatting sqref="D7:D8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8">
    <x:cfRule type="cellIs" dxfId="14" priority="3" operator="equal">
      <x:formula>"Validé"</x:formula>
    </x:cfRule>
  </x:conditionalFormatting>
  <x:conditionalFormatting sqref="E7:E8">
    <x:cfRule type="cellIs" dxfId="1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016fac3474b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CON-ZONE-OMEGA</x:v>
      </x:c>
      <x:c r="B7" s="9" t="str">
        <x:v>Omega — bar — espace jouable proposé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Table de jeu, comptoir, écran et sortie; géométrie de prototype originale.</x:v>
      </x:c>
      <x:c r="G7" s="9" t="str">
        <x:v>Espace quotidien transformé en tension brève.</x:v>
      </x:c>
      <x:c r="H7" s="9" t="str">
        <x:v>Mobilier utilisé seulement selon actions autorisées; clients neutres exclus de l’auto-ciblage.</x:v>
      </x:c>
      <x:c r="I7" s="9" t="str">
        <x:v>Métal usé, mobilier lourd et éclairage chaud bas.</x:v>
      </x:c>
      <x:c r="J7" s="9" t="str">
        <x:v>Garder les trajectoires de sprites sur le sol navigable; traversées de premier plan traitées par masques.</x:v>
      </x:c>
      <x:c r="K7" s="9" t="str"/>
      <x:c r="L7" s="9" t="str">
        <x:v>Scène 3D prévue con/zones/omega; volumes de navigation, ancrages d'actions et caméras fixes séparés.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blocage de Omega — bar permet un parcours aller-retour sans caméra aveugle; chaque danger annoncé possède une sortie lisible.</x:v>
      </x:c>
      <x:c r="O7" s="9" t="str">
        <x:v>CON-WRL-OMEGA</x:v>
      </x:c>
      <x:c r="P7" s="9" t="str">
        <x:v>Plan original, dimensions à prototyper.</x:v>
      </x:c>
      <x:c r="Q7" s="9" t="str"/>
      <x:c r="R7" s="17" t="str"/>
      <x:c r="S7" s="17" t="str"/>
    </x:row>
    <x:row r="8" ht="68" customHeight="1">
      <x:c r="A8" s="31" t="str">
        <x:v>CON-ZONE-DOCK</x:v>
      </x:c>
      <x:c r="B8" s="7" t="str">
        <x:v>Approche du Normandy SR-2 — espace jouable proposé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Vue de transport et quai limité à une marche narrative.</x:v>
      </x:c>
      <x:c r="G8" s="7" t="str">
        <x:v>Raccord d’affectation, sans exploration libre du vaisseau.</x:v>
      </x:c>
      <x:c r="H8" s="7" t="str">
        <x:v>Aucun ennemi ni activité de fouille ajouté sur le quai.</x:v>
      </x:c>
      <x:c r="I8" s="7" t="str">
        <x:v>Éclairage de quai clair et métal froid.</x:v>
      </x:c>
      <x:c r="J8" s="7" t="str">
        <x:v>Garder les trajectoires de sprites sur le sol navigable; traversées de premier plan traitées par masques.</x:v>
      </x:c>
      <x:c r="K8" s="7" t="str"/>
      <x:c r="L8" s="7" t="str">
        <x:v>Scène 3D prévue con/zones/dock; volumes de navigation, ancrages d'actions et caméras fixes séparés.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 blocage de Approche du Normandy SR-2 permet un parcours aller-retour sans caméra aveugle; chaque danger annoncé possède une sortie lisible.</x:v>
      </x:c>
      <x:c r="O8" s="7" t="str">
        <x:v>CON-WRL-DOCK</x:v>
      </x:c>
      <x:c r="P8" s="7" t="str">
        <x:v>Plan original, dimensions à prototyper.</x:v>
      </x:c>
      <x:c r="Q8" s="7" t="str"/>
      <x:c r="R8" s="32" t="str"/>
      <x:c r="S8" s="32" t="str"/>
    </x:row>
  </x:sheetData>
  <x:conditionalFormatting sqref="D7:D8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8">
    <x:cfRule type="cellIs" dxfId="18" priority="3" operator="equal">
      <x:formula>"Validé"</x:formula>
    </x:cfRule>
  </x:conditionalFormatting>
  <x:conditionalFormatting sqref="E7:E8">
    <x:cfRule type="cellIs" dxfId="1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d50b906a654e5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CON-LINK-OMEGA</x:v>
      </x:c>
      <x:c r="B7" s="9" t="str">
        <x:v>Omega — bar — accès et sortie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Entrée de récit au bar puis sortie vers le transport d’Anderson.</x:v>
      </x:c>
      <x:c r="G7" s="9" t="str">
        <x:v>Conserver les raccords nécessaires au parcours sans inventer une route galactique officielle.</x:v>
      </x:c>
      <x:c r="H7" s="9" t="str">
        <x:v>Prévisualiser la destination; déclenchement sur confirmation hors combat; conserver objectifs et objets de mission au retour.</x:v>
      </x:c>
      <x:c r="I7" s="9" t="str">
        <x:v>Marquage de direction doublé d’un nom de destination; pas de code fondé sur une seule couleur.</x:v>
      </x:c>
      <x:c r="J7" s="9" t="str"/>
      <x:c r="K7" s="9" t="str"/>
      <x:c r="L7" s="9" t="str">
        <x:v>Liaison proposée CON/OMEGA; sauvegarder zone, point d'entrée et version de chapitre.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Entrer, ressortir et recharger au seuil restitue le même état du chapitre; aucun accès ne court-circuite sa conclusion fixée.</x:v>
      </x:c>
      <x:c r="O7" s="9" t="str">
        <x:v>CON-ZONE-OMEGA</x:v>
      </x:c>
      <x:c r="P7" s="9" t="str">
        <x:v>Raccord de gameplay original; ordre narratif selon les ancrages sourcés.</x:v>
      </x:c>
      <x:c r="Q7" s="9" t="str"/>
      <x:c r="R7" s="17" t="str"/>
      <x:c r="S7" s="17" t="str"/>
    </x:row>
    <x:row r="8" ht="68" customHeight="1">
      <x:c r="A8" s="31" t="str">
        <x:v>CON-LINK-DOCK</x:v>
      </x:c>
      <x:c r="B8" s="7" t="str">
        <x:v>Approche du Normandy SR-2 — accès et sortie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Bar → transport → seuil du vaisseau par ellipse.</x:v>
      </x:c>
      <x:c r="G8" s="7" t="str">
        <x:v>Conserver les raccords nécessaires au parcours sans inventer une route galactique officielle.</x:v>
      </x:c>
      <x:c r="H8" s="7" t="str">
        <x:v>Prévisualiser la destination; déclenchement sur confirmation hors combat; conserver objectifs et objets de mission au retour.</x:v>
      </x:c>
      <x:c r="I8" s="7" t="str">
        <x:v>Marquage de direction doublé d’un nom de destination; pas de code fondé sur une seule couleur.</x:v>
      </x:c>
      <x:c r="J8" s="7" t="str"/>
      <x:c r="K8" s="7" t="str"/>
      <x:c r="L8" s="7" t="str">
        <x:v>Liaison proposée CON/DOCK; sauvegarder zone, point d'entrée et version de chapitre.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Entrer, ressortir et recharger au seuil restitue le même état du chapitre; aucun accès ne court-circuite sa conclusion fixée.</x:v>
      </x:c>
      <x:c r="O8" s="7" t="str">
        <x:v>CON-ZONE-DOCK</x:v>
      </x:c>
      <x:c r="P8" s="7" t="str">
        <x:v>Raccord de gameplay original; ordre narratif selon les ancrages sourcés.</x:v>
      </x:c>
      <x:c r="Q8" s="7" t="str"/>
      <x:c r="R8" s="32" t="str"/>
      <x:c r="S8" s="32" t="str"/>
    </x:row>
  </x:sheetData>
  <x:conditionalFormatting sqref="D7:D8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8">
    <x:cfRule type="cellIs" dxfId="22" priority="3" operator="equal">
      <x:formula>"Validé"</x:formula>
    </x:cfRule>
  </x:conditionalFormatting>
  <x:conditionalFormatting sqref="E7:E8">
    <x:cfRule type="cellIs" dxfId="2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8b3dddac57412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CON-SET-OMEGA</x:v>
      </x:c>
      <x:c r="B7" s="9" t="str">
        <x:v>Omega — bar — décor et repère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Écran d’information au-dessus du comptoir.</x:v>
      </x:c>
      <x:c r="G7" s="9" t="str">
        <x:v>Espace quotidien transformé en tension brève.</x:v>
      </x:c>
      <x:c r="H7" s="9" t="str"/>
      <x:c r="I7" s="9" t="str">
        <x:v>Métal usé, mobilier lourd et éclairage chaud bas. Séparer gros volumes, surfaces de parcours et petits accessoires; réserver le contraste maximal aux éléments utilisables.</x:v>
      </x:c>
      <x:c r="J7" s="9" t="str">
        <x:v>Seuls les éléments mobiles nécessaires à la lecture du lieu ont une boucle; les lumières restent stables en mode confort.</x:v>
      </x:c>
      <x:c r="K7" s="9" t="str"/>
      <x:c r="L7" s="9" t="str">
        <x:v>Kit modulaire prévu con/sets/omega; collisions simples et matériau de repère distinct.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repère décrit reste visible depuis l'entrée et depuis le retour; aucune décoration ne masque un signal d'interaction.</x:v>
      </x:c>
      <x:c r="O7" s="9" t="str">
        <x:v>CON-ZONE-OMEGA</x:v>
      </x:c>
      <x:c r="P7" s="9" t="str">
        <x:v>Direction artistique originale, matériaux à confronter aux planches.</x:v>
      </x:c>
      <x:c r="Q7" s="9" t="str"/>
      <x:c r="R7" s="17" t="str"/>
      <x:c r="S7" s="17" t="str"/>
    </x:row>
    <x:row r="8" ht="68" customHeight="1">
      <x:c r="A8" s="31" t="str">
        <x:v>CON-SET-DOCK</x:v>
      </x:c>
      <x:c r="B8" s="7" t="str">
        <x:v>Approche du Normandy SR-2 — décor et repère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Silhouette lointaine du vaisseau, détails à contrôler.</x:v>
      </x:c>
      <x:c r="G8" s="7" t="str">
        <x:v>Raccord d’affectation, sans exploration libre du vaisseau.</x:v>
      </x:c>
      <x:c r="H8" s="7" t="str"/>
      <x:c r="I8" s="7" t="str">
        <x:v>Éclairage de quai clair et métal froid. Séparer gros volumes, surfaces de parcours et petits accessoires; réserver le contraste maximal aux éléments utilisables.</x:v>
      </x:c>
      <x:c r="J8" s="7" t="str">
        <x:v>Seuls les éléments mobiles nécessaires à la lecture du lieu ont une boucle; les lumières restent stables en mode confort.</x:v>
      </x:c>
      <x:c r="K8" s="7" t="str"/>
      <x:c r="L8" s="7" t="str">
        <x:v>Kit modulaire prévu con/sets/dock; collisions simples et matériau de repère distinct.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 repère décrit reste visible depuis l'entrée et depuis le retour; aucune décoration ne masque un signal d'interaction.</x:v>
      </x:c>
      <x:c r="O8" s="7" t="str">
        <x:v>CON-ZONE-DOCK</x:v>
      </x:c>
      <x:c r="P8" s="7" t="str">
        <x:v>Direction artistique originale, matériaux à confronter aux planches.</x:v>
      </x:c>
      <x:c r="Q8" s="7" t="str"/>
      <x:c r="R8" s="32" t="str"/>
      <x:c r="S8" s="32" t="str"/>
    </x:row>
  </x:sheetData>
  <x:conditionalFormatting sqref="D7:D8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8">
    <x:cfRule type="cellIs" dxfId="26" priority="3" operator="equal">
      <x:formula>"Validé"</x:formula>
    </x:cfRule>
  </x:conditionalFormatting>
  <x:conditionalFormatting sqref="E7:E8">
    <x:cfRule type="cellIs" dxfId="2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308b5209ed418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CON-SC-NEWS-PROP</x:v>
      </x:c>
      <x:c r="B7" s="9" t="str">
        <x:v>Écran de nouvelles — représentation proposée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Support médiatique de scène.</x:v>
      </x:c>
      <x:c r="G7" s="9" t="str">
        <x:v>Attribuer l’information à sa source diégétique.</x:v>
      </x:c>
      <x:c r="H7" s="9" t="str">
        <x:v>Texte bref sans inventer un bulletin officiel intégral.</x:v>
      </x:c>
      <x:c r="I7" s="9" t="str">
        <x:v>Bandeau média et mention déclaration.</x:v>
      </x:c>
      <x:c r="J7" s="9" t="str">
        <x:v>État repos, sélection, utilisation et remise en place; l’objet conserve son pivot entre ces états.</x:v>
      </x:c>
      <x:c r="K7" s="9" t="str">
        <x:v>Bruit de manipulation original et confirmation visible.</x:v>
      </x:c>
      <x:c r="L7" s="9" t="str">
        <x:v>Objet proposé CON/NEWS/prop; composant inspectable distinct du déclencheur narratif.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L’objet possède un état visible avant et après interaction; il ne peut pas être perdu ni dupliqué par rechargement.</x:v>
      </x:c>
      <x:c r="O7" s="9" t="str">
        <x:v>CON-SC-NEWS-MAIN</x:v>
      </x:c>
      <x:c r="P7" s="9" t="str">
        <x:v>Accessoire ou interaction de production proposé; ne vaut pas relevé exhaustif de la planche.</x:v>
      </x:c>
      <x:c r="Q7" s="9" t="str"/>
      <x:c r="R7" s="17" t="str"/>
      <x:c r="S7" s="17" t="str"/>
    </x:row>
    <x:row r="8" ht="68" customHeight="1">
      <x:c r="A8" s="31" t="str">
        <x:v>CON-SC-BAR-PROP</x:v>
      </x:c>
      <x:c r="B8" s="7" t="str">
        <x:v>Table de couvert — prototype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Élément de terrain ajouté pour le test.</x:v>
      </x:c>
      <x:c r="G8" s="7" t="str">
        <x:v>Offrir une défense lisible.</x:v>
      </x:c>
      <x:c r="H8" s="7" t="str">
        <x:v>Se placer derrière réduit un angle; l’objet n’est pas une arme lootable.</x:v>
      </x:c>
      <x:c r="I8" s="7" t="str">
        <x:v>Table basse à bord clair.</x:v>
      </x:c>
      <x:c r="J8" s="7" t="str">
        <x:v>État repos, sélection, utilisation et remise en place; l’objet conserve son pivot entre ces états.</x:v>
      </x:c>
      <x:c r="K8" s="7" t="str">
        <x:v>Bruit de manipulation original et confirmation visible.</x:v>
      </x:c>
      <x:c r="L8" s="7" t="str">
        <x:v>Objet proposé CON/BAR/prop; composant inspectable distinct du déclencheur narratif.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L’objet possède un état visible avant et après interaction; il ne peut pas être perdu ni dupliqué par rechargement.</x:v>
      </x:c>
      <x:c r="O8" s="7" t="str">
        <x:v>CON-SC-BAR-MAIN</x:v>
      </x:c>
      <x:c r="P8" s="7" t="str">
        <x:v>Accessoire ou interaction de production proposé; ne vaut pas relevé exhaustif de la planche.</x:v>
      </x:c>
      <x:c r="Q8" s="7" t="str"/>
      <x:c r="R8" s="32" t="str"/>
      <x:c r="S8" s="32" t="str"/>
    </x:row>
    <x:row r="9" ht="68" customHeight="1">
      <x:c r="A9" s="16" t="str">
        <x:v>CON-SC-DUTY-PROP</x:v>
      </x:c>
      <x:c r="B9" s="9" t="str">
        <x:v>Ordre d’affectation — interface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Résumé de fonction proposé.</x:v>
      </x:c>
      <x:c r="G9" s="9" t="str">
        <x:v>Clore sans ajouter une mission de garde inédite.</x:v>
      </x:c>
      <x:c r="H9" s="9" t="str">
        <x:v>Affiche garder Shepard comme raccord; aucune cellule explorée après la fin.</x:v>
      </x:c>
      <x:c r="I9" s="9" t="str">
        <x:v>Carte textuelle simple, source du mandat attribuée.</x:v>
      </x:c>
      <x:c r="J9" s="9" t="str">
        <x:v>État repos, sélection, utilisation et remise en place; l’objet conserve son pivot entre ces états.</x:v>
      </x:c>
      <x:c r="K9" s="9" t="str">
        <x:v>Bruit de manipulation original et confirmation visible.</x:v>
      </x:c>
      <x:c r="L9" s="9" t="str">
        <x:v>Objet proposé CON/DUTY/prop; composant inspectable distinct du déclencheur narratif.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L’objet possède un état visible avant et après interaction; il ne peut pas être perdu ni dupliqué par rechargement.</x:v>
      </x:c>
      <x:c r="O9" s="9" t="str">
        <x:v>CON-SC-DUTY-MAIN</x:v>
      </x:c>
      <x:c r="P9" s="9" t="str">
        <x:v>Accessoire ou interaction de production proposé; ne vaut pas relevé exhaustif de la planche.</x:v>
      </x:c>
      <x:c r="Q9" s="9" t="str"/>
      <x:c r="R9" s="17" t="str"/>
      <x:c r="S9" s="17" t="str"/>
    </x:row>
  </x:sheetData>
  <x:conditionalFormatting sqref="D7:D9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9">
    <x:cfRule type="cellIs" dxfId="30" priority="3" operator="equal">
      <x:formula>"Validé"</x:formula>
    </x:cfRule>
  </x:conditionalFormatting>
  <x:conditionalFormatting sqref="E7:E9">
    <x:cfRule type="cellIs" dxfId="3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212866997e48d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CON-EN-BRAWL</x:v>
      </x:c>
      <x:c r="B7" s="9" t="str">
        <x:v>Participants à l’altercation</x:v>
      </x:c>
      <x:c r="C7" s="14" t="str">
        <x:v>Défini</x:v>
      </x:c>
      <x:c r="D7" s="15" t="str">
        <x:v>À vérifier</x:v>
      </x:c>
      <x:c r="E7" s="15" t="str">
        <x:v>P1</x:v>
      </x:c>
      <x:c r="F7" s="9" t="str">
        <x:v>Le récit rapporté oppose Vega à des individus du bar.</x:v>
      </x:c>
      <x:c r="G7" s="9" t="str">
        <x:v>Adversaires de scène, sans faction nouvelle ni hostilité raciale systémique.</x:v>
      </x:c>
      <x:c r="H7" s="9" t="str">
        <x:v>Profil proposé : Approches de proximité lisibles; arrêt immédiat quand l’intervention narrative commence.</x:v>
      </x:c>
      <x:c r="I7" s="9" t="str">
        <x:v>Silhouette proposée : Vêtements civils distincts de tenues militaires; espèces à vérifier.</x:v>
      </x:c>
      <x:c r="J7" s="9" t="str">
        <x:v>Bras levés, pas d’approche et recul.</x:v>
      </x:c>
      <x:c r="K7" s="9" t="str">
        <x:v>Pas, meubles et impacts sobres.</x:v>
      </x:c>
      <x:c r="L7" s="9" t="str">
        <x:v>Livrable proposé : spécification CON/enemies/en-brawl; brancher au registre de contenu de l'œuvre seulement après production.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Participants à l’altercation a une silhouette distincte, un comportement télégraphié et une contre-mesure documentée; aucune valeur n'est annoncée comme statistique officielle.</x:v>
      </x:c>
      <x:c r="O7" s="9" t="str"/>
      <x:c r="P7" s="9" t="str">
        <x:v>Mass Effect: Conviction, récit court</x:v>
      </x:c>
      <x:c r="Q7" s="9" t="str">
        <x:v>CON-S-WIKI</x:v>
      </x:c>
      <x:c r="R7" s="17" t="str">
        <x:v>https://masseffect.fandom.com/wiki/Mass_Effect%3A_Conviction</x:v>
      </x:c>
      <x:c r="S7" s="17" t="str">
        <x:v>L’adversaire ou groupe est attesté selon la source; le combat ATB et ses réglages sont entièrement proposés.</x:v>
      </x:c>
    </x:row>
  </x:sheetData>
  <x:conditionalFormatting sqref="D7:D7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7">
    <x:cfRule type="cellIs" dxfId="34" priority="3" operator="equal">
      <x:formula>"Validé"</x:formula>
    </x:cfRule>
  </x:conditionalFormatting>
  <x:conditionalFormatting sqref="E7:E7">
    <x:cfRule type="cellIs" dxfId="35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5228aa5b3408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CON-SC-NEWS-MAIN</x:v>
      </x:c>
      <x:c r="B7" s="9" t="str">
        <x:v>Nouvelle et réaction — objectif jouable</x:v>
      </x:c>
      <x:c r="C7" s="14" t="str">
        <x:v>Défini</x:v>
      </x:c>
      <x:c r="D7" s="15" t="str">
        <x:v>Extrapolation</x:v>
      </x:c>
      <x:c r="E7" s="15" t="str">
        <x:v>P0</x:v>
      </x:c>
      <x:c r="F7" s="9" t="str">
        <x:v>Comprendre la tension de la scène avant l’incident.</x:v>
      </x:c>
      <x:c r="G7" s="9" t="str">
        <x:v>Jeu de table → nouvelle → réaction → confrontation.</x:v>
      </x:c>
      <x:c r="H7" s="9" t="str">
        <x:v>Le joueur lit un résumé original attribué à un média; aucune culpabilité de Shepard n’est déduite de cette diffusion.</x:v>
      </x:c>
      <x:c r="I7" s="9" t="str">
        <x:v>Table et comptoir, clients en silhouettes.</x:v>
      </x:c>
      <x:c r="J7" s="9" t="str">
        <x:v>Entrée prudente, geste d'inspection et retour au contrôle pour « Nouvelle et réaction »; poser les sprites avant tout changement de caméra.</x:v>
      </x:c>
      <x:c r="K7" s="9" t="str">
        <x:v>Annonce originale courte, sous-titrée, puis silence tendu.</x:v>
      </x:c>
      <x:c r="L7" s="9" t="str">
        <x:v>Graphe proposé CON/quests/NEWS: entrée → objectif actif → résolution → raccord; conditions terminales séparées des points facultatifs.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L'objectif « Nouvelle et réaction » atteint son raccord annoncé après chaque méthode; sauvegarde, rechargement et saut de scène n'en changent ni le groupe ni les informations acquises.</x:v>
      </x:c>
      <x:c r="O7" s="9" t="str">
        <x:v>CON-SC-NEWS-REF</x:v>
      </x:c>
      <x:c r="P7" s="9" t="str">
        <x:v>Conception originale rattachée à Mass Effect: Conviction, récit court</x:v>
      </x:c>
      <x:c r="Q7" s="9" t="str"/>
      <x:c r="R7" s="17" t="str"/>
      <x:c r="S7" s="17" t="str"/>
    </x:row>
    <x:row r="8" ht="68" customHeight="1">
      <x:c r="A8" s="31" t="str">
        <x:v>CON-SC-BAR-MAIN</x:v>
      </x:c>
      <x:c r="B8" s="7" t="str">
        <x:v>Altercation au bar — objectif jouable</x:v>
      </x:c>
      <x:c r="C8" s="14" t="str">
        <x:v>Défini</x:v>
      </x:c>
      <x:c r="D8" s="30" t="str">
        <x:v>Extrapolation</x:v>
      </x:c>
      <x:c r="E8" s="30" t="str">
        <x:v>P0</x:v>
      </x:c>
      <x:c r="F8" s="7" t="str">
        <x:v>Gérer un espace rapproché jusqu’à l’intervention narrative.</x:v>
      </x:c>
      <x:c r="G8" s="7" t="str">
        <x:v>Tension → actions défensives proposées → déplacement → interruption par Anderson.</x:v>
      </x:c>
      <x:c r="H8" s="7" t="str">
        <x:v>Pas de prime par adversaire; l’objectif local est de maintenir une route et de comprendre la scène, pas de tuer tous les clients.</x:v>
      </x:c>
      <x:c r="I8" s="7" t="str">
        <x:v>Chaises hors du couloir principal et fenêtre à contrôler comme référence.</x:v>
      </x:c>
      <x:c r="J8" s="7" t="str">
        <x:v>Entrée prudente, geste d'inspection et retour au contrôle pour « Altercation au bar »; poser les sprites avant tout changement de caméra.</x:v>
      </x:c>
      <x:c r="K8" s="7" t="str">
        <x:v>Meubles, impact sobre et arrivée de bottes.</x:v>
      </x:c>
      <x:c r="L8" s="7" t="str">
        <x:v>Graphe proposé CON/quests/BAR: entrée → objectif actif → résolution → raccord; conditions terminales séparées des points facultatifs.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L'objectif « Altercation au bar » atteint son raccord annoncé après chaque méthode; sauvegarde, rechargement et saut de scène n'en changent ni le groupe ni les informations acquises.</x:v>
      </x:c>
      <x:c r="O8" s="7" t="str">
        <x:v>CON-SC-BAR-REF</x:v>
      </x:c>
      <x:c r="P8" s="7" t="str">
        <x:v>Conception originale rattachée à Mass Effect: Conviction, récit court</x:v>
      </x:c>
      <x:c r="Q8" s="7" t="str"/>
      <x:c r="R8" s="32" t="str"/>
      <x:c r="S8" s="32" t="str"/>
    </x:row>
    <x:row r="9" ht="68" customHeight="1">
      <x:c r="A9" s="16" t="str">
        <x:v>CON-SC-DUTY-MAIN</x:v>
      </x:c>
      <x:c r="B9" s="9" t="str">
        <x:v>Reprendre une affectation — objectif jouable</x:v>
      </x:c>
      <x:c r="C9" s="14" t="str">
        <x:v>Défini</x:v>
      </x:c>
      <x:c r="D9" s="15" t="str">
        <x:v>Extrapolation</x:v>
      </x:c>
      <x:c r="E9" s="15" t="str">
        <x:v>P0</x:v>
      </x:c>
      <x:c r="F9" s="9" t="str">
        <x:v>Suivre la conversation puis afficher la nouvelle fonction.</x:v>
      </x:c>
      <x:c r="G9" s="9" t="str">
        <x:v>Départ du bar → transport → révélation d’affectation → seuil du vaisseau.</x:v>
      </x:c>
      <x:c r="H9" s="9" t="str">
        <x:v>Dialogue sans minuterie; réponses de ton convergent vers la même affectation.</x:v>
      </x:c>
      <x:c r="I9" s="9" t="str">
        <x:v>Passage de lumière chaude à froide, silhouette du Normandy en fond.</x:v>
      </x:c>
      <x:c r="J9" s="9" t="str">
        <x:v>Entrée prudente, geste d'inspection et retour au contrôle pour « Reprendre une affectation »; poser les sprites avant tout changement de caméra.</x:v>
      </x:c>
      <x:c r="K9" s="9" t="str">
        <x:v>Moteur stable et thème original plus calme.</x:v>
      </x:c>
      <x:c r="L9" s="9" t="str">
        <x:v>Graphe proposé CON/quests/DUTY: entrée → objectif actif → résolution → raccord; conditions terminales séparées des points facultatifs.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L'objectif « Reprendre une affectation » atteint son raccord annoncé après chaque méthode; sauvegarde, rechargement et saut de scène n'en changent ni le groupe ni les informations acquises.</x:v>
      </x:c>
      <x:c r="O9" s="9" t="str">
        <x:v>CON-SC-DUTY-REF</x:v>
      </x:c>
      <x:c r="P9" s="9" t="str">
        <x:v>Conception originale rattachée à Mass Effect: Conviction, récit court</x:v>
      </x:c>
      <x:c r="Q9" s="9" t="str"/>
      <x:c r="R9" s="17" t="str"/>
      <x:c r="S9" s="17" t="str"/>
    </x:row>
  </x:sheetData>
  <x:conditionalFormatting sqref="D7:D9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9">
    <x:cfRule type="cellIs" dxfId="38" priority="3" operator="equal">
      <x:formula>"Validé"</x:formula>
    </x:cfRule>
  </x:conditionalFormatting>
  <x:conditionalFormatting sqref="E7:E9">
    <x:cfRule type="cellIs" dxfId="39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5dfab786204b6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CON-SC-NEWS-SIDE</x:v>
      </x:c>
      <x:c r="B7" s="9" t="str">
        <x:v>Relire la formulation médiatique</x:v>
      </x:c>
      <x:c r="C7" s="14" t="str">
        <x:v>Défini</x:v>
      </x:c>
      <x:c r="D7" s="15" t="str">
        <x:v>Extrapolation</x:v>
      </x:c>
      <x:c r="E7" s="15" t="str">
        <x:v>P2</x:v>
      </x:c>
      <x:c r="F7" s="9" t="str">
        <x:v>Consultation facultative du journal.</x:v>
      </x:c>
      <x:c r="G7" s="9" t="str">
        <x:v>Distinguer faits et accusations.</x:v>
      </x:c>
      <x:c r="H7" s="9" t="str">
        <x:v>Ne fournit pas une preuve secrète sur Bahak.</x:v>
      </x:c>
      <x:c r="I7" s="9" t="str">
        <x:v>Table et comptoir, clients en silhouettes.</x:v>
      </x:c>
      <x:c r="J7" s="9" t="str">
        <x:v>Inspection, interaction courte, confirmation; permettre de renoncer sans bloquer le chemin principal.</x:v>
      </x:c>
      <x:c r="K7" s="9" t="str">
        <x:v>Confirmation discrète; aucune réplique source réemployée.</x:v>
      </x:c>
      <x:c r="L7" s="9" t="str">
        <x:v>Objectif facultatif CON/NEWS/optional; récompense locale de contexte, pas de modification de la fin.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Terminer, ignorer ou abandonner cette tâche laisse le récit principal accessible et conserve correctement l’état en sauvegarde.</x:v>
      </x:c>
      <x:c r="O7" s="9" t="str">
        <x:v>CON-SC-NEWS-MAIN</x:v>
      </x:c>
      <x:c r="P7" s="9" t="str">
        <x:v>Ajout original; cette tâche n’est pas attestée dans le comic.</x:v>
      </x:c>
      <x:c r="Q7" s="9" t="str"/>
      <x:c r="R7" s="17" t="str"/>
      <x:c r="S7" s="17" t="str"/>
    </x:row>
    <x:row r="8" ht="68" customHeight="1">
      <x:c r="A8" s="31" t="str">
        <x:v>CON-SC-BAR-SIDE</x:v>
      </x:c>
      <x:c r="B8" s="7" t="str">
        <x:v>Laisser libre l’accès des témoins</x:v>
      </x:c>
      <x:c r="C8" s="14" t="str">
        <x:v>Défini</x:v>
      </x:c>
      <x:c r="D8" s="30" t="str">
        <x:v>Extrapolation</x:v>
      </x:c>
      <x:c r="E8" s="30" t="str">
        <x:v>P2</x:v>
      </x:c>
      <x:c r="F8" s="7" t="str">
        <x:v>Objectif local original de placement.</x:v>
      </x:c>
      <x:c r="G8" s="7" t="str">
        <x:v>Éviter que les neutres soient des obstacles sacrifiables.</x:v>
      </x:c>
      <x:c r="H8" s="7" t="str">
        <x:v>Aucune modification prétendue du bilan canon.</x:v>
      </x:c>
      <x:c r="I8" s="7" t="str">
        <x:v>Chaises hors du couloir principal et fenêtre à contrôler comme référence.</x:v>
      </x:c>
      <x:c r="J8" s="7" t="str">
        <x:v>Inspection, interaction courte, confirmation; permettre de renoncer sans bloquer le chemin principal.</x:v>
      </x:c>
      <x:c r="K8" s="7" t="str">
        <x:v>Confirmation discrète; aucune réplique source réemployée.</x:v>
      </x:c>
      <x:c r="L8" s="7" t="str">
        <x:v>Objectif facultatif CON/BAR/optional; récompense locale de contexte, pas de modification de la fin.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Terminer, ignorer ou abandonner cette tâche laisse le récit principal accessible et conserve correctement l’état en sauvegarde.</x:v>
      </x:c>
      <x:c r="O8" s="7" t="str">
        <x:v>CON-SC-BAR-MAIN</x:v>
      </x:c>
      <x:c r="P8" s="7" t="str">
        <x:v>Ajout original; cette tâche n’est pas attestée dans le comic.</x:v>
      </x:c>
      <x:c r="Q8" s="7" t="str"/>
      <x:c r="R8" s="32" t="str"/>
      <x:c r="S8" s="32" t="str"/>
    </x:row>
    <x:row r="9" ht="68" customHeight="1">
      <x:c r="A9" s="16" t="str">
        <x:v>CON-SC-DUTY-SIDE</x:v>
      </x:c>
      <x:c r="B9" s="9" t="str">
        <x:v>Relire les liens chronologiques</x:v>
      </x:c>
      <x:c r="C9" s="14" t="str">
        <x:v>Défini</x:v>
      </x:c>
      <x:c r="D9" s="15" t="str">
        <x:v>Extrapolation</x:v>
      </x:c>
      <x:c r="E9" s="15" t="str">
        <x:v>P2</x:v>
      </x:c>
      <x:c r="F9" s="9" t="str">
        <x:v>Renvois facultatifs de catalogue.</x:v>
      </x:c>
      <x:c r="G9" s="9" t="str">
        <x:v>Situer Fehl et Bahak sans raconter à nouveau les œuvres associées.</x:v>
      </x:c>
      <x:c r="H9" s="9" t="str">
        <x:v>Ne confond pas rappel de contexte et contenu jouable livré.</x:v>
      </x:c>
      <x:c r="I9" s="9" t="str">
        <x:v>Passage de lumière chaude à froide, silhouette du Normandy en fond.</x:v>
      </x:c>
      <x:c r="J9" s="9" t="str">
        <x:v>Inspection, interaction courte, confirmation; permettre de renoncer sans bloquer le chemin principal.</x:v>
      </x:c>
      <x:c r="K9" s="9" t="str">
        <x:v>Confirmation discrète; aucune réplique source réemployée.</x:v>
      </x:c>
      <x:c r="L9" s="9" t="str">
        <x:v>Objectif facultatif CON/DUTY/optional; récompense locale de contexte, pas de modification de la fin.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Terminer, ignorer ou abandonner cette tâche laisse le récit principal accessible et conserve correctement l’état en sauvegarde.</x:v>
      </x:c>
      <x:c r="O9" s="9" t="str">
        <x:v>CON-SC-DUTY-MAIN</x:v>
      </x:c>
      <x:c r="P9" s="9" t="str">
        <x:v>Ajout original; cette tâche n’est pas attestée dans le comic.</x:v>
      </x:c>
      <x:c r="Q9" s="9" t="str"/>
      <x:c r="R9" s="17" t="str"/>
      <x:c r="S9" s="17" t="str"/>
    </x:row>
  </x:sheetData>
  <x:conditionalFormatting sqref="D7:D9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9">
    <x:cfRule type="cellIs" dxfId="42" priority="3" operator="equal">
      <x:formula>"Validé"</x:formula>
    </x:cfRule>
  </x:conditionalFormatting>
  <x:conditionalFormatting sqref="E7:E9">
    <x:cfRule type="cellIs" dxfId="4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c4c619fc094c4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CON-SC-NEWS-CHOICE</x:v>
      </x:c>
      <x:c r="B7" s="9" t="str">
        <x:v>Nouvelle et réaction — stratégie locale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Examiner le contexte de la nouvelle ou observer la réaction du lieu.</x:v>
      </x:c>
      <x:c r="G7" s="9" t="str">
        <x:v>Choix de méthode dans une adaptation; aucun embranchement alternatif n’est déclaré officiel.</x:v>
      </x:c>
      <x:c r="H7" s="9" t="str">
        <x:v>Deux ordres de lecture, pas un choix canon d’empêcher l’incident.</x:v>
      </x:c>
      <x:c r="I7" s="9" t="str">
        <x:v>Deux options nommées avec leur conséquence immédiate; coût affiché avant engagement.</x:v>
      </x:c>
      <x:c r="J7" s="9" t="str">
        <x:v>Geler les poses de dialogue pendant le choix; ne pas consommer une action en quittant le menu.</x:v>
      </x:c>
      <x:c r="K7" s="9" t="str">
        <x:v>Retour de sélection sobre; confirmation distincte d’une simple navigation.</x:v>
      </x:c>
      <x:c r="L7" s="9" t="str">
        <x:v>Décision locale CON/NEWS; stocker la méthode choisie et les conséquences temporaires, puis rejoindre le point de raccord.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Les deux méthodes peuvent être comprises avant sélection; chacune rejoint le même ancrage canon sans supprimer un personnage nécessaire.</x:v>
      </x:c>
      <x:c r="O7" s="9" t="str">
        <x:v>CON-SC-NEWS-MAIN</x:v>
      </x:c>
      <x:c r="P7" s="9" t="str">
        <x:v>Bifurcation de gameplay originale, pas un choix présent dans l’œuvre.</x:v>
      </x:c>
      <x:c r="Q7" s="9" t="str"/>
      <x:c r="R7" s="17" t="str"/>
      <x:c r="S7" s="17" t="str"/>
    </x:row>
    <x:row r="8" ht="68" customHeight="1">
      <x:c r="A8" s="31" t="str">
        <x:v>CON-SC-BAR-CHOICE</x:v>
      </x:c>
      <x:c r="B8" s="7" t="str">
        <x:v>Altercation au bar — stratégie locale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Garder la distance ou chercher une sortie latérale.</x:v>
      </x:c>
      <x:c r="G8" s="7" t="str">
        <x:v>Choix de méthode dans une adaptation; aucun embranchement alternatif n’est déclaré officiel.</x:v>
      </x:c>
      <x:c r="H8" s="7" t="str">
        <x:v>Placement et nombre d’actions changent; Anderson intervient au raccord prévu.</x:v>
      </x:c>
      <x:c r="I8" s="7" t="str">
        <x:v>Deux options nommées avec leur conséquence immédiate; coût affiché avant engagement.</x:v>
      </x:c>
      <x:c r="J8" s="7" t="str">
        <x:v>Geler les poses de dialogue pendant le choix; ne pas consommer une action en quittant le menu.</x:v>
      </x:c>
      <x:c r="K8" s="7" t="str">
        <x:v>Retour de sélection sobre; confirmation distincte d’une simple navigation.</x:v>
      </x:c>
      <x:c r="L8" s="7" t="str">
        <x:v>Décision locale CON/BAR; stocker la méthode choisie et les conséquences temporaires, puis rejoindre le point de raccord.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Les deux méthodes peuvent être comprises avant sélection; chacune rejoint le même ancrage canon sans supprimer un personnage nécessaire.</x:v>
      </x:c>
      <x:c r="O8" s="7" t="str">
        <x:v>CON-SC-BAR-MAIN</x:v>
      </x:c>
      <x:c r="P8" s="7" t="str">
        <x:v>Bifurcation de gameplay originale, pas un choix présent dans l’œuvre.</x:v>
      </x:c>
      <x:c r="Q8" s="7" t="str"/>
      <x:c r="R8" s="32" t="str"/>
      <x:c r="S8" s="32" t="str"/>
    </x:row>
    <x:row r="9" ht="68" customHeight="1">
      <x:c r="A9" s="16" t="str">
        <x:v>CON-SC-DUTY-CHOICE</x:v>
      </x:c>
      <x:c r="B9" s="9" t="str">
        <x:v>Reprendre une affectation — stratégie locale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Questionner la mission ou reconnaître les difficultés récentes.</x:v>
      </x:c>
      <x:c r="G9" s="9" t="str">
        <x:v>Choix de méthode dans une adaptation; aucun embranchement alternatif n’est déclaré officiel.</x:v>
      </x:c>
      <x:c r="H9" s="9" t="str">
        <x:v>Le ton change, pas l’ordre d’Anderson ni le passé de Vega.</x:v>
      </x:c>
      <x:c r="I9" s="9" t="str">
        <x:v>Deux options nommées avec leur conséquence immédiate; coût affiché avant engagement.</x:v>
      </x:c>
      <x:c r="J9" s="9" t="str">
        <x:v>Geler les poses de dialogue pendant le choix; ne pas consommer une action en quittant le menu.</x:v>
      </x:c>
      <x:c r="K9" s="9" t="str">
        <x:v>Retour de sélection sobre; confirmation distincte d’une simple navigation.</x:v>
      </x:c>
      <x:c r="L9" s="9" t="str">
        <x:v>Décision locale CON/DUTY; stocker la méthode choisie et les conséquences temporaires, puis rejoindre le point de raccord.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Les deux méthodes peuvent être comprises avant sélection; chacune rejoint le même ancrage canon sans supprimer un personnage nécessaire.</x:v>
      </x:c>
      <x:c r="O9" s="9" t="str">
        <x:v>CON-SC-DUTY-MAIN</x:v>
      </x:c>
      <x:c r="P9" s="9" t="str">
        <x:v>Bifurcation de gameplay originale, pas un choix présent dans l’œuvre.</x:v>
      </x:c>
      <x:c r="Q9" s="9" t="str"/>
      <x:c r="R9" s="17" t="str"/>
      <x:c r="S9" s="17" t="str"/>
    </x:row>
  </x:sheetData>
  <x:conditionalFormatting sqref="D7:D9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9">
    <x:cfRule type="cellIs" dxfId="46" priority="3" operator="equal">
      <x:formula>"Validé"</x:formula>
    </x:cfRule>
  </x:conditionalFormatting>
  <x:conditionalFormatting sqref="E7:E9">
    <x:cfRule type="cellIs" dxfId="4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493e2d2bd0465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CON-SC-NEWS-DIA</x:v>
      </x:c>
      <x:c r="B7" s="9" t="str">
        <x:v>Nouvelle et réaction — intentions de conversation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La nouvelle est présentée comme information médiatique et les réactions comme opinions de personnages.</x:v>
      </x:c>
      <x:c r="G7" s="9" t="str">
        <x:v>Préserver le thème « réputation et impulsion »; échanges nouveaux, sans recopier les bulles.</x:v>
      </x:c>
      <x:c r="H7" s="9" t="str">
        <x:v>Proposer questions de contexte, reformulation et fin de conversation; les informations nécessaires restent accessibles après une réponse sceptique.</x:v>
      </x:c>
      <x:c r="I7" s="9" t="str">
        <x:v>Portraits sobres avec locuteur et destinataire; encart distinct si l’information est un soupçon.</x:v>
      </x:c>
      <x:c r="J7" s="9" t="str">
        <x:v>Entrée prudente, geste d'inspection et retour au contrôle pour « Nouvelle et réaction »; poser les sprites avant tout changement de caméra.</x:v>
      </x:c>
      <x:c r="K7" s="9" t="str">
        <x:v>Dialogue original à écrire; texte intégral accessible, avance manuelle et rappel des locuteurs.</x:v>
      </x:c>
      <x:c r="L7" s="9" t="str">
        <x:v>Arbre proposé CON/NEWS/dialogue; séparer ce qui est su, ce qui est affirmé et ce qui reste caché au joueur.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lecteur peut identifier le locuteur, son but et le niveau de certitude; aucune phrase du comic n’est reproduite comme dialogue final.</x:v>
      </x:c>
      <x:c r="O7" s="9" t="str">
        <x:v>CON-SC-NEWS-MAIN</x:v>
      </x:c>
      <x:c r="P7" s="9" t="str">
        <x:v>Écriture originale à partir des thèmes, sans transcrire les bulles.</x:v>
      </x:c>
      <x:c r="Q7" s="9" t="str"/>
      <x:c r="R7" s="17" t="str"/>
      <x:c r="S7" s="17" t="str"/>
    </x:row>
    <x:row r="8" ht="68" customHeight="1">
      <x:c r="A8" s="31" t="str">
        <x:v>CON-SC-BAR-DIA</x:v>
      </x:c>
      <x:c r="B8" s="7" t="str">
        <x:v>Altercation au bar — intentions de conversation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Répliques originales brèves attribuées aux individus; aucune généralisation à une espèce.</x:v>
      </x:c>
      <x:c r="G8" s="7" t="str">
        <x:v>Préserver le thème « colère et conséquence »; échanges nouveaux, sans recopier les bulles.</x:v>
      </x:c>
      <x:c r="H8" s="7" t="str">
        <x:v>Proposer questions de contexte, reformulation et fin de conversation; les informations nécessaires restent accessibles après une réponse sceptique.</x:v>
      </x:c>
      <x:c r="I8" s="7" t="str">
        <x:v>Portraits sobres avec locuteur et destinataire; encart distinct si l’information est un soupçon.</x:v>
      </x:c>
      <x:c r="J8" s="7" t="str">
        <x:v>Entrée prudente, geste d'inspection et retour au contrôle pour « Altercation au bar »; poser les sprites avant tout changement de caméra.</x:v>
      </x:c>
      <x:c r="K8" s="7" t="str">
        <x:v>Dialogue original à écrire; texte intégral accessible, avance manuelle et rappel des locuteurs.</x:v>
      </x:c>
      <x:c r="L8" s="7" t="str">
        <x:v>Arbre proposé CON/BAR/dialogue; séparer ce qui est su, ce qui est affirmé et ce qui reste caché au joueur.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 lecteur peut identifier le locuteur, son but et le niveau de certitude; aucune phrase du comic n’est reproduite comme dialogue final.</x:v>
      </x:c>
      <x:c r="O8" s="7" t="str">
        <x:v>CON-SC-BAR-MAIN</x:v>
      </x:c>
      <x:c r="P8" s="7" t="str">
        <x:v>Écriture originale à partir des thèmes, sans transcrire les bulles.</x:v>
      </x:c>
      <x:c r="Q8" s="7" t="str"/>
      <x:c r="R8" s="32" t="str"/>
      <x:c r="S8" s="32" t="str"/>
    </x:row>
    <x:row r="9" ht="68" customHeight="1">
      <x:c r="A9" s="16" t="str">
        <x:v>CON-SC-DUTY-DIA</x:v>
      </x:c>
      <x:c r="B9" s="9" t="str">
        <x:v>Reprendre une affectation — intentions de conversation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Anderson pose des attentes; Vega exprime une résistance ou une demande d’explication par texte nouveau.</x:v>
      </x:c>
      <x:c r="G9" s="9" t="str">
        <x:v>Préserver le thème « devoir et confiance »; échanges nouveaux, sans recopier les bulles.</x:v>
      </x:c>
      <x:c r="H9" s="9" t="str">
        <x:v>Proposer questions de contexte, reformulation et fin de conversation; les informations nécessaires restent accessibles après une réponse sceptique.</x:v>
      </x:c>
      <x:c r="I9" s="9" t="str">
        <x:v>Portraits sobres avec locuteur et destinataire; encart distinct si l’information est un soupçon.</x:v>
      </x:c>
      <x:c r="J9" s="9" t="str">
        <x:v>Entrée prudente, geste d'inspection et retour au contrôle pour « Reprendre une affectation »; poser les sprites avant tout changement de caméra.</x:v>
      </x:c>
      <x:c r="K9" s="9" t="str">
        <x:v>Dialogue original à écrire; texte intégral accessible, avance manuelle et rappel des locuteurs.</x:v>
      </x:c>
      <x:c r="L9" s="9" t="str">
        <x:v>Arbre proposé CON/DUTY/dialogue; séparer ce qui est su, ce qui est affirmé et ce qui reste caché au joueur.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Le lecteur peut identifier le locuteur, son but et le niveau de certitude; aucune phrase du comic n’est reproduite comme dialogue final.</x:v>
      </x:c>
      <x:c r="O9" s="9" t="str">
        <x:v>CON-SC-DUTY-MAIN</x:v>
      </x:c>
      <x:c r="P9" s="9" t="str">
        <x:v>Écriture originale à partir des thèmes, sans transcrire les bulles.</x:v>
      </x:c>
      <x:c r="Q9" s="9" t="str"/>
      <x:c r="R9" s="17" t="str"/>
      <x:c r="S9" s="17" t="str"/>
    </x:row>
  </x:sheetData>
  <x:conditionalFormatting sqref="D7:D9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9">
    <x:cfRule type="cellIs" dxfId="50" priority="3" operator="equal">
      <x:formula>"Validé"</x:formula>
    </x:cfRule>
  </x:conditionalFormatting>
  <x:conditionalFormatting sqref="E7:E9">
    <x:cfRule type="cellIs" dxfId="5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1f8bc5242b470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CON-SC-NEWS-CINE</x:v>
      </x:c>
      <x:c r="B7" s="9" t="str">
        <x:v>Nouvelle et réaction — raccord mis en scène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Écran en second plan puis Vega au premier plan; aucune vidéo du jeu reproduite.</x:v>
      </x:c>
      <x:c r="G7" s="9" t="str">
        <x:v>Jeu de table → nouvelle → réaction → confrontation.</x:v>
      </x:c>
      <x:c r="H7" s="9" t="str"/>
      <x:c r="I7" s="9" t="str">
        <x:v>Table et comptoir, clients en silhouettes.</x:v>
      </x:c>
      <x:c r="J7" s="9" t="str">
        <x:v>Entrée prudente, geste d'inspection et retour au contrôle pour « Nouvelle et réaction »; poser les sprites avant tout changement de caméra.</x:v>
      </x:c>
      <x:c r="K7" s="9" t="str">
        <x:v>Annonce originale courte, sous-titrée, puis silence tendu.</x:v>
      </x:c>
      <x:c r="L7" s="9" t="str">
        <x:v>Séquence proposée CON/NEWS/cinematic; mise à jour des états avant restitution du contrôle; bouton passer et relecture séparés.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La version passée et la version regardée aboutissent au même placement, inventaire et objectif; les sous-titres ne sont pas coupés.</x:v>
      </x:c>
      <x:c r="O7" s="9" t="str">
        <x:v>CON-SC-NEWS-MAIN</x:v>
      </x:c>
      <x:c r="P7" s="9" t="str">
        <x:v>Découpage original pour sprites 2D sur décor 3D.</x:v>
      </x:c>
      <x:c r="Q7" s="9" t="str"/>
      <x:c r="R7" s="17" t="str"/>
      <x:c r="S7" s="17" t="str"/>
    </x:row>
    <x:row r="8" ht="68" customHeight="1">
      <x:c r="A8" s="31" t="str">
        <x:v>CON-SC-BAR-CINE</x:v>
      </x:c>
      <x:c r="B8" s="7" t="str">
        <x:v>Altercation au bar — raccord mis en scène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Vue large qui conserve le comptoir et la sortie visibles.</x:v>
      </x:c>
      <x:c r="G8" s="7" t="str">
        <x:v>Tension → actions défensives proposées → déplacement → interruption par Anderson.</x:v>
      </x:c>
      <x:c r="H8" s="7" t="str"/>
      <x:c r="I8" s="7" t="str">
        <x:v>Chaises hors du couloir principal et fenêtre à contrôler comme référence.</x:v>
      </x:c>
      <x:c r="J8" s="7" t="str">
        <x:v>Entrée prudente, geste d'inspection et retour au contrôle pour « Altercation au bar »; poser les sprites avant tout changement de caméra.</x:v>
      </x:c>
      <x:c r="K8" s="7" t="str">
        <x:v>Meubles, impact sobre et arrivée de bottes.</x:v>
      </x:c>
      <x:c r="L8" s="7" t="str">
        <x:v>Séquence proposée CON/BAR/cinematic; mise à jour des états avant restitution du contrôle; bouton passer et relecture séparés.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La version passée et la version regardée aboutissent au même placement, inventaire et objectif; les sous-titres ne sont pas coupés.</x:v>
      </x:c>
      <x:c r="O8" s="7" t="str">
        <x:v>CON-SC-BAR-MAIN</x:v>
      </x:c>
      <x:c r="P8" s="7" t="str">
        <x:v>Découpage original pour sprites 2D sur décor 3D.</x:v>
      </x:c>
      <x:c r="Q8" s="7" t="str"/>
      <x:c r="R8" s="32" t="str"/>
      <x:c r="S8" s="32" t="str"/>
    </x:row>
    <x:row r="9" ht="68" customHeight="1">
      <x:c r="A9" s="16" t="str">
        <x:v>CON-SC-DUTY-CINE</x:v>
      </x:c>
      <x:c r="B9" s="9" t="str">
        <x:v>Reprendre une affectation — raccord mis en scène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Deux personnages dans le transport puis ouverture sur le vaisseau.</x:v>
      </x:c>
      <x:c r="G9" s="9" t="str">
        <x:v>Départ du bar → transport → révélation d’affectation → seuil du vaisseau.</x:v>
      </x:c>
      <x:c r="H9" s="9" t="str"/>
      <x:c r="I9" s="9" t="str">
        <x:v>Passage de lumière chaude à froide, silhouette du Normandy en fond.</x:v>
      </x:c>
      <x:c r="J9" s="9" t="str">
        <x:v>Entrée prudente, geste d'inspection et retour au contrôle pour « Reprendre une affectation »; poser les sprites avant tout changement de caméra.</x:v>
      </x:c>
      <x:c r="K9" s="9" t="str">
        <x:v>Moteur stable et thème original plus calme.</x:v>
      </x:c>
      <x:c r="L9" s="9" t="str">
        <x:v>Séquence proposée CON/DUTY/cinematic; mise à jour des états avant restitution du contrôle; bouton passer et relecture séparés.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La version passée et la version regardée aboutissent au même placement, inventaire et objectif; les sous-titres ne sont pas coupés.</x:v>
      </x:c>
      <x:c r="O9" s="9" t="str">
        <x:v>CON-SC-DUTY-MAIN</x:v>
      </x:c>
      <x:c r="P9" s="9" t="str">
        <x:v>Découpage original pour sprites 2D sur décor 3D.</x:v>
      </x:c>
      <x:c r="Q9" s="9" t="str"/>
      <x:c r="R9" s="17" t="str"/>
      <x:c r="S9" s="17" t="str"/>
    </x:row>
  </x:sheetData>
  <x:conditionalFormatting sqref="D7:D9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9">
    <x:cfRule type="cellIs" dxfId="54" priority="3" operator="equal">
      <x:formula>"Validé"</x:formula>
    </x:cfRule>
  </x:conditionalFormatting>
  <x:conditionalFormatting sqref="E7:E9">
    <x:cfRule type="cellIs" dxfId="5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6ced6367e141a9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CON-KIT-NONE</x:v>
      </x:c>
      <x:c r="B7" s="9" t="str">
        <x:v>Armes : pas d’arsenal libre au bar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Le module se conçoit sans inventaire de fusils disponible pendant l’incident.</x:v>
      </x:c>
      <x:c r="G7" s="9" t="str">
        <x:v>Préserver la proximité et le contexte civil.</x:v>
      </x:c>
      <x:c r="H7" s="9" t="str">
        <x:v>Interactions de scène seulement; aucun butin d’arme sur les participants.</x:v>
      </x:c>
      <x:c r="I7" s="9" t="str">
        <x:v>Mains et accessoires visibles.</x:v>
      </x:c>
      <x:c r="J7" s="9" t="str">
        <x:v>Garde et déplacement.</x:v>
      </x:c>
      <x:c r="K7" s="9" t="str">
        <x:v>Confirmation audiovisuelle originale, doublée d’un libellé.</x:v>
      </x:c>
      <x:c r="L7" s="9" t="str">
        <x:v>Spécification de ressource CON/kit/NONE; données séparées du moteur, interface de coût et états d'épuisement prévus.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menu ne permet pas une fusillade ajoutée au récit.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17" t="str"/>
      <x:c r="S7" s="17" t="str"/>
    </x:row>
  </x:sheetData>
  <x:conditionalFormatting sqref="D7:D7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7">
    <x:cfRule type="cellIs" dxfId="58" priority="3" operator="equal">
      <x:formula>"Validé"</x:formula>
    </x:cfRule>
  </x:conditionalFormatting>
  <x:conditionalFormatting sqref="E7:E7">
    <x:cfRule type="cellIs" dxfId="59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b0c24a6fe84b03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CON-KIT-ORDERS</x:v>
      </x:c>
      <x:c r="B7" s="9" t="str">
        <x:v>Carte d’affectation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Interface originale de fin.</x:v>
      </x:c>
      <x:c r="G7" s="9" t="str">
        <x:v>Exprimer le changement de rôle.</x:v>
      </x:c>
      <x:c r="H7" s="9" t="str">
        <x:v>Affichage et relecture uniquement; pas de bonus chiffré canon.</x:v>
      </x:c>
      <x:c r="I7" s="9" t="str">
        <x:v>Carte Alliance sobre, insignes à contrôler.</x:v>
      </x:c>
      <x:c r="J7" s="9" t="str">
        <x:v>Lecture puis rangement.</x:v>
      </x:c>
      <x:c r="K7" s="9" t="str">
        <x:v>Confirmation audiovisuelle originale, doublée d’un libellé.</x:v>
      </x:c>
      <x:c r="L7" s="9" t="str">
        <x:v>Spécification de ressource CON/kit/ORDERS; données séparées du moteur, interface de coût et états d'épuisement prévus.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La carte n’ouvre pas une mission inexistante.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17" t="str"/>
      <x:c r="S7" s="17" t="str"/>
    </x:row>
  </x:sheetData>
  <x:conditionalFormatting sqref="D7:D7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7">
    <x:cfRule type="cellIs" dxfId="62" priority="3" operator="equal">
      <x:formula>"Validé"</x:formula>
    </x:cfRule>
  </x:conditionalFormatting>
  <x:conditionalFormatting sqref="E7:E7">
    <x:cfRule type="cellIs" dxfId="63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636870d8db473c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CON-KIT-GUARD</x:v>
      </x:c>
      <x:c r="B7" s="9" t="str">
        <x:v>Garde et reprise d’équilibre — proposition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Compétence physique de prototype, sans biotique ajoutée à Vega.</x:v>
      </x:c>
      <x:c r="G7" s="9" t="str">
        <x:v>Donner une contre-mesure accessible.</x:v>
      </x:c>
      <x:c r="H7" s="9" t="str">
        <x:v>Une action défensive réduit une pression locale et ouvre un déplacement; jamais invulnérable.</x:v>
      </x:c>
      <x:c r="I7" s="9" t="str">
        <x:v>Icône de garde et appui des pieds.</x:v>
      </x:c>
      <x:c r="J7" s="9" t="str">
        <x:v>Blocage puis reprise de posture.</x:v>
      </x:c>
      <x:c r="K7" s="9" t="str">
        <x:v>Confirmation audiovisuelle originale, doublée d’un libellé.</x:v>
      </x:c>
      <x:c r="L7" s="9" t="str">
        <x:v>Spécification de ressource CON/kit/GUARD; données séparées du moteur, interface de coût et états d'épuisement prévus.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La garde échoue lisiblement si utilisée trop tard, avec relance accessible.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17" t="str"/>
      <x:c r="S7" s="17" t="str"/>
    </x:row>
  </x:sheetData>
  <x:conditionalFormatting sqref="D7:D7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7">
    <x:cfRule type="cellIs" dxfId="66" priority="3" operator="equal">
      <x:formula>"Validé"</x:formula>
    </x:cfRule>
  </x:conditionalFormatting>
  <x:conditionalFormatting sqref="E7:E7">
    <x:cfRule type="cellIs" dxfId="67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041497df464132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CON-ALLY-VEGA</x:v>
      </x:c>
      <x:c r="B7" s="9" t="str">
        <x:v>Se dégager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Action de groupe originale pour James Vega.</x:v>
      </x:c>
      <x:c r="G7" s="9" t="str">
        <x:v>Avatar de proximité; maîtrise de soi et écoute après l’incident.</x:v>
      </x:c>
      <x:c r="H7" s="9" t="str">
        <x:v>Proposition : action défensive libérant un passage après une attaque annoncée; aucune invulnérabilité.</x:v>
      </x:c>
      <x:c r="I7" s="9" t="str">
        <x:v>Flèche de sortie et icône de garde.</x:v>
      </x:c>
      <x:c r="J7" s="9" t="str">
        <x:v>Position à table, mouvement impulsif, garde et marche contrainte.</x:v>
      </x:c>
      <x:c r="K7" s="9" t="str">
        <x:v>Confirmation courte doublée d’un pictogramme; événement silencieux visible dans le journal de combat.</x:v>
      </x:c>
      <x:c r="L7" s="9" t="str">
        <x:v>Commande ATB proposée CON/VEGA/assist; résoudre cible, coût proposé, contre-mesure et annulation avant les dégâts.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La commande indique son coût avant validation, échoue proprement si la cible devient invalide et ne déclenche pas une action canon supplémentaire.</x:v>
      </x:c>
      <x:c r="O7" s="9" t="str">
        <x:v>CON-ACT-VEGA, CON-ANI-VEGA</x:v>
      </x:c>
      <x:c r="P7" s="9" t="str">
        <x:v>Adaptation originale du rôle; pas un pouvoir officiel du comic.</x:v>
      </x:c>
      <x:c r="Q7" s="9" t="str"/>
      <x:c r="R7" s="17" t="str"/>
      <x:c r="S7" s="17" t="str"/>
    </x:row>
  </x:sheetData>
  <x:conditionalFormatting sqref="D7:D7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7">
    <x:cfRule type="cellIs" dxfId="70" priority="3" operator="equal">
      <x:formula>"Validé"</x:formula>
    </x:cfRule>
  </x:conditionalFormatting>
  <x:conditionalFormatting sqref="E7:E7">
    <x:cfRule type="cellIs" dxfId="71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94b5734e084adc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CON-EN-BRAWL-M1</x:v>
      </x:c>
      <x:c r="B7" s="9" t="str">
        <x:v>Approche frontale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Pattern original de proximité.</x:v>
      </x:c>
      <x:c r="G7" s="9" t="str">
        <x:v>Adversaires de scène, sans faction nouvelle ni hostilité raciale systémique.</x:v>
      </x:c>
      <x:c r="H7" s="9" t="str">
        <x:v>Reculer ou garder; fenêtre d’anticipation réglable.</x:v>
      </x:c>
      <x:c r="I7" s="9" t="str">
        <x:v>Flèche courte et posture.</x:v>
      </x:c>
      <x:c r="J7" s="9" t="str">
        <x:v>Bras levés, pas d’approche et recul.</x:v>
      </x:c>
      <x:c r="K7" s="9" t="str">
        <x:v>Pas, meubles et impacts sobres.</x:v>
      </x:c>
      <x:c r="L7" s="9" t="str">
        <x:v>Action proposée CON/BRAWL/1; étapes annonce → attente ATB → validation cible → résolution; annulation explicite si neutralisé.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joueur peut reconnaître la préparation et employer la contre-mesure avant la résolution; aucune attaque invisible ou imparable hors séquence annoncée.</x:v>
      </x:c>
      <x:c r="O7" s="9" t="str">
        <x:v>CON-EN-BRAWL</x:v>
      </x:c>
      <x:c r="P7" s="9" t="str">
        <x:v>Pattern original; pas de valeur numérique canon.</x:v>
      </x:c>
      <x:c r="Q7" s="9" t="str"/>
      <x:c r="R7" s="17" t="str"/>
      <x:c r="S7" s="17" t="str"/>
    </x:row>
    <x:row r="8" ht="68" customHeight="1">
      <x:c r="A8" s="31" t="str">
        <x:v>CON-EN-BRAWL-M2</x:v>
      </x:c>
      <x:c r="B8" s="7" t="str">
        <x:v>Prise d’angle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Pattern original de flanc.</x:v>
      </x:c>
      <x:c r="G8" s="7" t="str">
        <x:v>Adversaires de scène, sans faction nouvelle ni hostilité raciale systémique.</x:v>
      </x:c>
      <x:c r="H8" s="7" t="str">
        <x:v>Se déplacer vers la sortie libre; aucun adversaire caché derrière le premier plan.</x:v>
      </x:c>
      <x:c r="I8" s="7" t="str">
        <x:v>Marque latérale en pointillés.</x:v>
      </x:c>
      <x:c r="J8" s="7" t="str">
        <x:v>Bras levés, pas d’approche et recul.</x:v>
      </x:c>
      <x:c r="K8" s="7" t="str">
        <x:v>Pas, meubles et impacts sobres.</x:v>
      </x:c>
      <x:c r="L8" s="7" t="str">
        <x:v>Action proposée CON/BRAWL/2; étapes annonce → attente ATB → validation cible → résolution; annulation explicite si neutralisé.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 joueur peut reconnaître la préparation et employer la contre-mesure avant la résolution; aucune attaque invisible ou imparable hors séquence annoncée.</x:v>
      </x:c>
      <x:c r="O8" s="7" t="str">
        <x:v>CON-EN-BRAWL</x:v>
      </x:c>
      <x:c r="P8" s="7" t="str">
        <x:v>Pattern original; pas de valeur numérique canon.</x:v>
      </x:c>
      <x:c r="Q8" s="7" t="str"/>
      <x:c r="R8" s="32" t="str"/>
      <x:c r="S8" s="32" t="str"/>
    </x:row>
  </x:sheetData>
  <x:conditionalFormatting sqref="D7:D8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8">
    <x:cfRule type="cellIs" dxfId="74" priority="3" operator="equal">
      <x:formula>"Validé"</x:formula>
    </x:cfRule>
  </x:conditionalFormatting>
  <x:conditionalFormatting sqref="E7:E8">
    <x:cfRule type="cellIs" dxfId="7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e5bbb918f94b28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CON-ANI-VEGA</x:v>
      </x:c>
      <x:c r="B7" s="9" t="str">
        <x:v>James Vega — jeu de poses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Définir les transitions propres au rôle de James Vega.</x:v>
      </x:c>
      <x:c r="G7" s="9" t="str">
        <x:v>Avatar de proximité; maîtrise de soi et écoute après l’incident.</x:v>
      </x:c>
      <x:c r="H7" s="9" t="str"/>
      <x:c r="I7" s="9" t="str">
        <x:v>Carrure humaine robuste, tenue hors service à comparer; ne pas reprendre automatiquement son armure ME3.</x:v>
      </x:c>
      <x:c r="J7" s="9" t="str">
        <x:v>Position à table, mouvement impulsif, garde et marche contrainte. Décomposer anticipation, action, retour et interruption; garder un état neutre utilisable après une cinématique sautée.</x:v>
      </x:c>
      <x:c r="K7" s="9" t="str">
        <x:v>Associer les contacts de sol ou de siège à des événements; éviter le bruitage répété sur une pose tenue.</x:v>
      </x:c>
      <x:c r="L7" s="9" t="str">
        <x:v>Table d'animation prévue CON/VEGA; paramètres direction, locomotion, accessoire et interruption.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Un enchaînement déplacement → interaction → interruption → reprise conserve le pivot et les accessoires de James Vega.</x:v>
      </x:c>
      <x:c r="O7" s="9" t="str">
        <x:v>CON-ACT-VEGA, CON-SPR-VEGA</x:v>
      </x:c>
      <x:c r="P7" s="9" t="str">
        <x:v>Conception originale, aucune cadence extraite du comic.</x:v>
      </x:c>
      <x:c r="Q7" s="9" t="str"/>
      <x:c r="R7" s="17" t="str"/>
      <x:c r="S7" s="17" t="str"/>
    </x:row>
    <x:row r="8" ht="68" customHeight="1">
      <x:c r="A8" s="31" t="str">
        <x:v>CON-ANI-ANDERSON</x:v>
      </x:c>
      <x:c r="B8" s="7" t="str">
        <x:v>David Anderson — jeu de poses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Définir les transitions propres au rôle de David Anderson.</x:v>
      </x:c>
      <x:c r="G8" s="7" t="str">
        <x:v>Autorité et mentor; conversation plutôt que boss ou sauveur jouable.</x:v>
      </x:c>
      <x:c r="H8" s="7" t="str"/>
      <x:c r="I8" s="7" t="str">
        <x:v>Uniforme Alliance et posture ferme, grade à contrôler dans l’édition.</x:v>
      </x:c>
      <x:c r="J8" s="7" t="str">
        <x:v>Entrée mesurée, geste d’arrêt et conversation assise. Décomposer anticipation, action, retour et interruption; garder un état neutre utilisable après une cinématique sautée.</x:v>
      </x:c>
      <x:c r="K8" s="7" t="str">
        <x:v>Associer les contacts de sol ou de siège à des événements; éviter le bruitage répété sur une pose tenue.</x:v>
      </x:c>
      <x:c r="L8" s="7" t="str">
        <x:v>Table d'animation prévue CON/ANDERSON; paramètres direction, locomotion, accessoire et interruption.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Un enchaînement déplacement → interaction → interruption → reprise conserve le pivot et les accessoires de David Anderson.</x:v>
      </x:c>
      <x:c r="O8" s="7" t="str">
        <x:v>CON-ACT-ANDERSON, CON-SPR-ANDERSON</x:v>
      </x:c>
      <x:c r="P8" s="7" t="str">
        <x:v>Conception originale, aucune cadence extraite du comic.</x:v>
      </x:c>
      <x:c r="Q8" s="7" t="str"/>
      <x:c r="R8" s="32" t="str"/>
      <x:c r="S8" s="32" t="str"/>
    </x:row>
    <x:row r="9" ht="68" customHeight="1">
      <x:c r="A9" s="16" t="str">
        <x:v>CON-ANI-BARTENDER</x:v>
      </x:c>
      <x:c r="B9" s="9" t="str">
        <x:v>Barman krogan — jeu de poses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Définir les transitions propres au rôle de Barman krogan.</x:v>
      </x:c>
      <x:c r="G9" s="9" t="str">
        <x:v>Témoin du lieu; pas de marchand d’armes ajouté.</x:v>
      </x:c>
      <x:c r="H9" s="9" t="str"/>
      <x:c r="I9" s="9" t="str">
        <x:v>Grand gabarit derrière un comptoir, tenue à contrôler.</x:v>
      </x:c>
      <x:c r="J9" s="9" t="str">
        <x:v>Essuyage, réaction et attente. Décomposer anticipation, action, retour et interruption; garder un état neutre utilisable après une cinématique sautée.</x:v>
      </x:c>
      <x:c r="K9" s="9" t="str">
        <x:v>Associer les contacts de sol ou de siège à des événements; éviter le bruitage répété sur une pose tenue.</x:v>
      </x:c>
      <x:c r="L9" s="9" t="str">
        <x:v>Table d'animation prévue CON/BARTENDER; paramètres direction, locomotion, accessoire et interruption.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Un enchaînement déplacement → interaction → interruption → reprise conserve le pivot et les accessoires de Barman krogan.</x:v>
      </x:c>
      <x:c r="O9" s="9" t="str">
        <x:v>CON-ACT-BARTENDER, CON-SPR-BARTENDER</x:v>
      </x:c>
      <x:c r="P9" s="9" t="str">
        <x:v>Conception originale, aucune cadence extraite du comic.</x:v>
      </x:c>
      <x:c r="Q9" s="9" t="str"/>
      <x:c r="R9" s="17" t="str"/>
      <x:c r="S9" s="17" t="str"/>
    </x:row>
    <x:row r="10" ht="68" customHeight="1">
      <x:c r="A10" s="31" t="str">
        <x:v>CON-ANI-SOLDIERS</x:v>
      </x:c>
      <x:c r="B10" s="7" t="str">
        <x:v>Soldats accompagnant Anderson — jeu de poses</x:v>
      </x:c>
      <x:c r="C10" s="14" t="str">
        <x:v>Défini</x:v>
      </x:c>
      <x:c r="D10" s="30" t="str">
        <x:v>Extrapolation</x:v>
      </x:c>
      <x:c r="E10" s="30" t="str">
        <x:v>P1</x:v>
      </x:c>
      <x:c r="F10" s="7" t="str">
        <x:v>Définir les transitions propres au rôle de Soldats accompagnant Anderson.</x:v>
      </x:c>
      <x:c r="G10" s="7" t="str">
        <x:v>Intervention collective visible; aucun nom ni unité inventé.</x:v>
      </x:c>
      <x:c r="H10" s="7" t="str"/>
      <x:c r="I10" s="7" t="str">
        <x:v>Silhouettes Alliance simplifiées et armes abaissées lors du dialogue.</x:v>
      </x:c>
      <x:c r="J10" s="7" t="str">
        <x:v>Entrée coordonnée, arrêt et escorte. Décomposer anticipation, action, retour et interruption; garder un état neutre utilisable après une cinématique sautée.</x:v>
      </x:c>
      <x:c r="K10" s="7" t="str">
        <x:v>Associer les contacts de sol ou de siège à des événements; éviter le bruitage répété sur une pose tenue.</x:v>
      </x:c>
      <x:c r="L10" s="7" t="str">
        <x:v>Table d'animation prévue CON/SOLDIERS; paramètres direction, locomotion, accessoire et interruption.</x:v>
      </x:c>
      <x:c r="M10" s="7" t="str">
        <x:v>L’arrivée d’Anderson et l’affectation de Vega restent les raccords fixes. Les adversaires du bar représentent des individus de cette scène, pas les batariens en général.</x:v>
      </x:c>
      <x:c r="N10" s="7" t="str">
        <x:v>Un enchaînement déplacement → interaction → interruption → reprise conserve le pivot et les accessoires de Soldats accompagnant Anderson.</x:v>
      </x:c>
      <x:c r="O10" s="7" t="str">
        <x:v>CON-ACT-SOLDIERS, CON-SPR-SOLDIERS</x:v>
      </x:c>
      <x:c r="P10" s="7" t="str">
        <x:v>Conception originale, aucune cadence extraite du comic.</x:v>
      </x:c>
      <x:c r="Q10" s="7" t="str"/>
      <x:c r="R10" s="32" t="str"/>
      <x:c r="S10" s="32" t="str"/>
    </x:row>
  </x:sheetData>
  <x:conditionalFormatting sqref="D7:D10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0">
    <x:cfRule type="cellIs" dxfId="78" priority="3" operator="equal">
      <x:formula>"Validé"</x:formula>
    </x:cfRule>
  </x:conditionalFormatting>
  <x:conditionalFormatting sqref="E7:E10">
    <x:cfRule type="cellIs" dxfId="7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436b776b7141fc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CON-SPR-VEGA</x:v>
      </x:c>
      <x:c r="B7" s="9" t="str">
        <x:v>James Vega — planche de sprites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Produire une silhouette lisible pour James Vega dans le module Conviction.</x:v>
      </x:c>
      <x:c r="G7" s="9" t="str">
        <x:v>Avatar de proximité; maîtrise de soi et écoute après l’incident.</x:v>
      </x:c>
      <x:c r="H7" s="9" t="str"/>
      <x:c r="I7" s="9" t="str">
        <x:v>Carrure humaine robuste, tenue hors service à comparer; ne pas reprendre automatiquement son armure ME3. Prévoir face, dos et profils trois-quarts; conserver le même pivot de pieds dans chaque pose.</x:v>
      </x:c>
      <x:c r="J7" s="9" t="str">
        <x:v>Position à table, mouvement impulsif, garde et marche contrainte. Séparer arme/objet tenu du corps lorsque le changement de main est nécessaire.</x:v>
      </x:c>
      <x:c r="K7" s="9" t="str"/>
      <x:c r="L7" s="9" t="str">
        <x:v>Atlas prévu con/actors/vega; métadonnées pivot, masque d'occlusion, orientation et état. Aucun fichier de sprite n'est livré par ce catalogue.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La planche permet d'identifier James Vega sans portrait UI à l'échelle de jeu; pieds stables devant les occultations du décor 3D.</x:v>
      </x:c>
      <x:c r="O7" s="9" t="str">
        <x:v>CON-ACT-VEGA</x:v>
      </x:c>
      <x:c r="P7" s="9" t="str">
        <x:v>Conception originale; référence visuelle du personnage à contrôler.</x:v>
      </x:c>
      <x:c r="Q7" s="9" t="str"/>
      <x:c r="R7" s="17" t="str"/>
      <x:c r="S7" s="17" t="str"/>
    </x:row>
    <x:row r="8" ht="68" customHeight="1">
      <x:c r="A8" s="31" t="str">
        <x:v>CON-SPR-ANDERSON</x:v>
      </x:c>
      <x:c r="B8" s="7" t="str">
        <x:v>David Anderson — planche de sprites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Produire une silhouette lisible pour David Anderson dans le module Conviction.</x:v>
      </x:c>
      <x:c r="G8" s="7" t="str">
        <x:v>Autorité et mentor; conversation plutôt que boss ou sauveur jouable.</x:v>
      </x:c>
      <x:c r="H8" s="7" t="str"/>
      <x:c r="I8" s="7" t="str">
        <x:v>Uniforme Alliance et posture ferme, grade à contrôler dans l’édition. Prévoir face, dos et profils trois-quarts; conserver le même pivot de pieds dans chaque pose.</x:v>
      </x:c>
      <x:c r="J8" s="7" t="str">
        <x:v>Entrée mesurée, geste d’arrêt et conversation assise. Séparer arme/objet tenu du corps lorsque le changement de main est nécessaire.</x:v>
      </x:c>
      <x:c r="K8" s="7" t="str"/>
      <x:c r="L8" s="7" t="str">
        <x:v>Atlas prévu con/actors/anderson; métadonnées pivot, masque d'occlusion, orientation et état. Aucun fichier de sprite n'est livré par ce catalogue.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La planche permet d'identifier David Anderson sans portrait UI à l'échelle de jeu; pieds stables devant les occultations du décor 3D.</x:v>
      </x:c>
      <x:c r="O8" s="7" t="str">
        <x:v>CON-ACT-ANDERSON</x:v>
      </x:c>
      <x:c r="P8" s="7" t="str">
        <x:v>Conception originale; référence visuelle du personnage à contrôler.</x:v>
      </x:c>
      <x:c r="Q8" s="7" t="str"/>
      <x:c r="R8" s="32" t="str"/>
      <x:c r="S8" s="32" t="str"/>
    </x:row>
    <x:row r="9" ht="68" customHeight="1">
      <x:c r="A9" s="16" t="str">
        <x:v>CON-SPR-BARTENDER</x:v>
      </x:c>
      <x:c r="B9" s="9" t="str">
        <x:v>Barman krogan — planche de sprites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Produire une silhouette lisible pour Barman krogan dans le module Conviction.</x:v>
      </x:c>
      <x:c r="G9" s="9" t="str">
        <x:v>Témoin du lieu; pas de marchand d’armes ajouté.</x:v>
      </x:c>
      <x:c r="H9" s="9" t="str"/>
      <x:c r="I9" s="9" t="str">
        <x:v>Grand gabarit derrière un comptoir, tenue à contrôler. Prévoir face, dos et profils trois-quarts; conserver le même pivot de pieds dans chaque pose.</x:v>
      </x:c>
      <x:c r="J9" s="9" t="str">
        <x:v>Essuyage, réaction et attente. Séparer arme/objet tenu du corps lorsque le changement de main est nécessaire.</x:v>
      </x:c>
      <x:c r="K9" s="9" t="str"/>
      <x:c r="L9" s="9" t="str">
        <x:v>Atlas prévu con/actors/bartender; métadonnées pivot, masque d'occlusion, orientation et état. Aucun fichier de sprite n'est livré par ce catalogue.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La planche permet d'identifier Barman krogan sans portrait UI à l'échelle de jeu; pieds stables devant les occultations du décor 3D.</x:v>
      </x:c>
      <x:c r="O9" s="9" t="str">
        <x:v>CON-ACT-BARTENDER</x:v>
      </x:c>
      <x:c r="P9" s="9" t="str">
        <x:v>Conception originale; référence visuelle du personnage à contrôler.</x:v>
      </x:c>
      <x:c r="Q9" s="9" t="str"/>
      <x:c r="R9" s="17" t="str"/>
      <x:c r="S9" s="17" t="str"/>
    </x:row>
    <x:row r="10" ht="68" customHeight="1">
      <x:c r="A10" s="31" t="str">
        <x:v>CON-SPR-SOLDIERS</x:v>
      </x:c>
      <x:c r="B10" s="7" t="str">
        <x:v>Soldats accompagnant Anderson — planche de sprites</x:v>
      </x:c>
      <x:c r="C10" s="14" t="str">
        <x:v>Défini</x:v>
      </x:c>
      <x:c r="D10" s="30" t="str">
        <x:v>Extrapolation</x:v>
      </x:c>
      <x:c r="E10" s="30" t="str">
        <x:v>P1</x:v>
      </x:c>
      <x:c r="F10" s="7" t="str">
        <x:v>Produire une silhouette lisible pour Soldats accompagnant Anderson dans le module Conviction.</x:v>
      </x:c>
      <x:c r="G10" s="7" t="str">
        <x:v>Intervention collective visible; aucun nom ni unité inventé.</x:v>
      </x:c>
      <x:c r="H10" s="7" t="str"/>
      <x:c r="I10" s="7" t="str">
        <x:v>Silhouettes Alliance simplifiées et armes abaissées lors du dialogue. Prévoir face, dos et profils trois-quarts; conserver le même pivot de pieds dans chaque pose.</x:v>
      </x:c>
      <x:c r="J10" s="7" t="str">
        <x:v>Entrée coordonnée, arrêt et escorte. Séparer arme/objet tenu du corps lorsque le changement de main est nécessaire.</x:v>
      </x:c>
      <x:c r="K10" s="7" t="str"/>
      <x:c r="L10" s="7" t="str">
        <x:v>Atlas prévu con/actors/soldiers; métadonnées pivot, masque d'occlusion, orientation et état. Aucun fichier de sprite n'est livré par ce catalogue.</x:v>
      </x:c>
      <x:c r="M10" s="7" t="str">
        <x:v>L’arrivée d’Anderson et l’affectation de Vega restent les raccords fixes. Les adversaires du bar représentent des individus de cette scène, pas les batariens en général.</x:v>
      </x:c>
      <x:c r="N10" s="7" t="str">
        <x:v>La planche permet d'identifier Soldats accompagnant Anderson sans portrait UI à l'échelle de jeu; pieds stables devant les occultations du décor 3D.</x:v>
      </x:c>
      <x:c r="O10" s="7" t="str">
        <x:v>CON-ACT-SOLDIERS</x:v>
      </x:c>
      <x:c r="P10" s="7" t="str">
        <x:v>Conception originale; référence visuelle du personnage à contrôler.</x:v>
      </x:c>
      <x:c r="Q10" s="7" t="str"/>
      <x:c r="R10" s="32" t="str"/>
      <x:c r="S10" s="32" t="str"/>
    </x:row>
  </x:sheetData>
  <x:conditionalFormatting sqref="D7:D10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0">
    <x:cfRule type="cellIs" dxfId="82" priority="3" operator="equal">
      <x:formula>"Validé"</x:formula>
    </x:cfRule>
  </x:conditionalFormatting>
  <x:conditionalFormatting sqref="E7:E10">
    <x:cfRule type="cellIs" dxfId="8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da0465d30b4854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CON-SC-NEWS-VFX</x:v>
      </x:c>
      <x:c r="B7" s="9" t="str">
        <x:v>Nouvelle et réaction — signal visuel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Écran qui baisse d’intensité pendant la réaction, sans stroboscope.</x:v>
      </x:c>
      <x:c r="G7" s="9" t="str">
        <x:v>Rendre lisibles les interactions propres à cette séquence à la taille réelle du jeu.</x:v>
      </x:c>
      <x:c r="H7" s="9" t="str"/>
      <x:c r="I7" s="9" t="str">
        <x:v>Écran qui baisse d’intensité pendant la réaction, sans stroboscope.</x:v>
      </x:c>
      <x:c r="J7" s="9" t="str">
        <x:v>Anticipation séparée de l’impact; variante sans flash, sans secousse et à contraste renforcé.</x:v>
      </x:c>
      <x:c r="K7" s="9" t="str">
        <x:v>Annonce originale courte, sous-titrée, puis silence tendu.</x:v>
      </x:c>
      <x:c r="L7" s="9" t="str">
        <x:v>Émetteur proposé CON/NEWS/vfx; ancrage sur monde 3D et tri compatible avec les sprites; options de confort indépendantes.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Le signal reste identifiable en pause et sans son; aucun flash plein écran indispensable pour comprendre la résolution.</x:v>
      </x:c>
      <x:c r="O7" s="9" t="str">
        <x:v>CON-SC-NEWS-MAIN</x:v>
      </x:c>
      <x:c r="P7" s="9" t="str">
        <x:v>VFX original; intensité et timing à régler au prototype.</x:v>
      </x:c>
      <x:c r="Q7" s="9" t="str"/>
      <x:c r="R7" s="17" t="str"/>
      <x:c r="S7" s="17" t="str"/>
    </x:row>
    <x:row r="8" ht="68" customHeight="1">
      <x:c r="A8" s="31" t="str">
        <x:v>CON-SC-BAR-VFX</x:v>
      </x:c>
      <x:c r="B8" s="7" t="str">
        <x:v>Altercation au bar — signal visuel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Angles d’approche séparés par forme, pas de flash de rage obligatoire.</x:v>
      </x:c>
      <x:c r="G8" s="7" t="str">
        <x:v>Rendre lisibles les interactions propres à cette séquence à la taille réelle du jeu.</x:v>
      </x:c>
      <x:c r="H8" s="7" t="str"/>
      <x:c r="I8" s="7" t="str">
        <x:v>Angles d’approche séparés par forme, pas de flash de rage obligatoire.</x:v>
      </x:c>
      <x:c r="J8" s="7" t="str">
        <x:v>Anticipation séparée de l’impact; variante sans flash, sans secousse et à contraste renforcé.</x:v>
      </x:c>
      <x:c r="K8" s="7" t="str">
        <x:v>Meubles, impact sobre et arrivée de bottes.</x:v>
      </x:c>
      <x:c r="L8" s="7" t="str">
        <x:v>Émetteur proposé CON/BAR/vfx; ancrage sur monde 3D et tri compatible avec les sprites; options de confort indépendantes.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Le signal reste identifiable en pause et sans son; aucun flash plein écran indispensable pour comprendre la résolution.</x:v>
      </x:c>
      <x:c r="O8" s="7" t="str">
        <x:v>CON-SC-BAR-MAIN</x:v>
      </x:c>
      <x:c r="P8" s="7" t="str">
        <x:v>VFX original; intensité et timing à régler au prototype.</x:v>
      </x:c>
      <x:c r="Q8" s="7" t="str"/>
      <x:c r="R8" s="32" t="str"/>
      <x:c r="S8" s="32" t="str"/>
    </x:row>
    <x:row r="9" ht="68" customHeight="1">
      <x:c r="A9" s="16" t="str">
        <x:v>CON-SC-DUTY-VFX</x:v>
      </x:c>
      <x:c r="B9" s="9" t="str">
        <x:v>Reprendre une affectation — signal visuel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Étiquette de rôle remplacée après la conversation, pas d’augmentation automatique de puissance.</x:v>
      </x:c>
      <x:c r="G9" s="9" t="str">
        <x:v>Rendre lisibles les interactions propres à cette séquence à la taille réelle du jeu.</x:v>
      </x:c>
      <x:c r="H9" s="9" t="str"/>
      <x:c r="I9" s="9" t="str">
        <x:v>Étiquette de rôle remplacée après la conversation, pas d’augmentation automatique de puissance.</x:v>
      </x:c>
      <x:c r="J9" s="9" t="str">
        <x:v>Anticipation séparée de l’impact; variante sans flash, sans secousse et à contraste renforcé.</x:v>
      </x:c>
      <x:c r="K9" s="9" t="str">
        <x:v>Moteur stable et thème original plus calme.</x:v>
      </x:c>
      <x:c r="L9" s="9" t="str">
        <x:v>Émetteur proposé CON/DUTY/vfx; ancrage sur monde 3D et tri compatible avec les sprites; options de confort indépendantes.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Le signal reste identifiable en pause et sans son; aucun flash plein écran indispensable pour comprendre la résolution.</x:v>
      </x:c>
      <x:c r="O9" s="9" t="str">
        <x:v>CON-SC-DUTY-MAIN</x:v>
      </x:c>
      <x:c r="P9" s="9" t="str">
        <x:v>VFX original; intensité et timing à régler au prototype.</x:v>
      </x:c>
      <x:c r="Q9" s="9" t="str"/>
      <x:c r="R9" s="17" t="str"/>
      <x:c r="S9" s="17" t="str"/>
    </x:row>
  </x:sheetData>
  <x:conditionalFormatting sqref="D7:D9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9">
    <x:cfRule type="cellIs" dxfId="86" priority="3" operator="equal">
      <x:formula>"Validé"</x:formula>
    </x:cfRule>
  </x:conditionalFormatting>
  <x:conditionalFormatting sqref="E7:E9">
    <x:cfRule type="cellIs" dxfId="8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1f7f86ce5e4b76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CON-AUD-OMEGA</x:v>
      </x:c>
      <x:c r="B7" s="9" t="str">
        <x:v>Omega — bar — paysage sonore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Brouhaha, cartes et verre; la nouvelle coupe le bruit de fond.</x:v>
      </x:c>
      <x:c r="G7" s="9" t="str">
        <x:v>Espace quotidien transformé en tension brève.</x:v>
      </x:c>
      <x:c r="H7" s="9" t="str">
        <x:v>Doubler les alarmes utiles par texte, symbole ou changement de pose; les bruits d’ambiance ne portent pas seuls une information obligatoire.</x:v>
      </x:c>
      <x:c r="I7" s="9" t="str">
        <x:v>Métal usé, mobilier lourd et éclairage chaud bas.</x:v>
      </x:c>
      <x:c r="J7" s="9" t="str">
        <x:v>Déclencher les contacts mécaniques au mouvement visible; éviter les boucles désynchronisées des portes.</x:v>
      </x:c>
      <x:c r="K7" s="9" t="str">
        <x:v>Brouhaha, cartes et verre; la nouvelle coupe le bruit de fond. Composer une ambiance originale en couches fond / activité / danger, avec réglage indépendant des voix.</x:v>
      </x:c>
      <x:c r="L7" s="9" t="str">
        <x:v>Bus proposé CON/OMEGA; snapshots exploration, tension et dialogue; fondus après chargement.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Un parcours muet reste compréhensible; l’entrée en dialogue baisse les ambiances sans couper brutalement leur réverbération.</x:v>
      </x:c>
      <x:c r="O7" s="9" t="str">
        <x:v>CON-ZONE-OMEGA</x:v>
      </x:c>
      <x:c r="P7" s="9" t="str">
        <x:v>Création sonore originale; aucune piste commerciale requise.</x:v>
      </x:c>
      <x:c r="Q7" s="9" t="str"/>
      <x:c r="R7" s="17" t="str"/>
      <x:c r="S7" s="17" t="str"/>
    </x:row>
    <x:row r="8" ht="68" customHeight="1">
      <x:c r="A8" s="31" t="str">
        <x:v>CON-AUD-DOCK</x:v>
      </x:c>
      <x:c r="B8" s="7" t="str">
        <x:v>Approche du Normandy SR-2 — paysage sonore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Moteur calme et porte de transport.</x:v>
      </x:c>
      <x:c r="G8" s="7" t="str">
        <x:v>Raccord d’affectation, sans exploration libre du vaisseau.</x:v>
      </x:c>
      <x:c r="H8" s="7" t="str">
        <x:v>Doubler les alarmes utiles par texte, symbole ou changement de pose; les bruits d’ambiance ne portent pas seuls une information obligatoire.</x:v>
      </x:c>
      <x:c r="I8" s="7" t="str">
        <x:v>Éclairage de quai clair et métal froid.</x:v>
      </x:c>
      <x:c r="J8" s="7" t="str">
        <x:v>Déclencher les contacts mécaniques au mouvement visible; éviter les boucles désynchronisées des portes.</x:v>
      </x:c>
      <x:c r="K8" s="7" t="str">
        <x:v>Moteur calme et porte de transport. Composer une ambiance originale en couches fond / activité / danger, avec réglage indépendant des voix.</x:v>
      </x:c>
      <x:c r="L8" s="7" t="str">
        <x:v>Bus proposé CON/DOCK; snapshots exploration, tension et dialogue; fondus après chargement.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Un parcours muet reste compréhensible; l’entrée en dialogue baisse les ambiances sans couper brutalement leur réverbération.</x:v>
      </x:c>
      <x:c r="O8" s="7" t="str">
        <x:v>CON-ZONE-DOCK</x:v>
      </x:c>
      <x:c r="P8" s="7" t="str">
        <x:v>Création sonore originale; aucune piste commerciale requise.</x:v>
      </x:c>
      <x:c r="Q8" s="7" t="str"/>
      <x:c r="R8" s="32" t="str"/>
      <x:c r="S8" s="32" t="str"/>
    </x:row>
  </x:sheetData>
  <x:conditionalFormatting sqref="D7:D8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8">
    <x:cfRule type="cellIs" dxfId="90" priority="3" operator="equal">
      <x:formula>"Validé"</x:formula>
    </x:cfRule>
  </x:conditionalFormatting>
  <x:conditionalFormatting sqref="E7:E8">
    <x:cfRule type="cellIs" dxfId="9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bb37bf65a1459b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CON-SYS-CANON</x:v>
      </x:c>
      <x:c r="B7" s="9" t="str">
        <x:v>Journal à deux niveaux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Dans Conviction, séparer faits attestés, données à contrôler et événements issus des règles du fan game.</x:v>
      </x:c>
      <x:c r="G7" s="9" t="str">
        <x:v>La continuité éditoriale est distincte des essais de gameplay; un choix stratégique ne réécrit pas la fin publiée.</x:v>
      </x:c>
      <x:c r="H7" s="9" t="str">
        <x:v>La continuité éditoriale est distincte des essais de gameplay; un choix stratégique ne réécrit pas la fin publiée.</x:v>
      </x:c>
      <x:c r="I7" s="9" t="str"/>
      <x:c r="J7" s="9" t="str"/>
      <x:c r="K7" s="9" t="str"/>
      <x:c r="L7" s="9" t="str">
        <x:v>Contrat de production CON/SYS-CANON; à appliquer au futur contenu de l'œuvre.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Chaque entrée de journal porte sa provenance; un résultat de combat ne change jamais le niveau de certitude du fait source.</x:v>
      </x:c>
      <x:c r="O7" s="9" t="str">
        <x:v>CON-REF-SCOPE</x:v>
      </x:c>
      <x:c r="P7" s="9" t="str">
        <x:v>Règle originale de production; les ancrages de continuité sont documentés dans les fiches REF.</x:v>
      </x:c>
      <x:c r="Q7" s="9" t="str"/>
      <x:c r="R7" s="17" t="str"/>
      <x:c r="S7" s="17" t="str"/>
    </x:row>
    <x:row r="8" ht="68" customHeight="1">
      <x:c r="A8" s="31" t="str">
        <x:v>CON-SYS-GROUP</x:v>
      </x:c>
      <x:c r="B8" s="7" t="str">
        <x:v>Groupe propre au chapitre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Vega seul pendant l’incident; Anderson et les soldats sont des intervenants narratifs, pas une équipe de combat déverrouillée.</x:v>
      </x:c>
      <x:c r="G8" s="7" t="str">
        <x:v>Former le groupe à partir du chapitre actif; les rôles de soutien ne deviennent pas des recrutements permanents.</x:v>
      </x:c>
      <x:c r="H8" s="7" t="str">
        <x:v>Former le groupe à partir du chapitre actif; les rôles de soutien ne deviennent pas des recrutements permanents.</x:v>
      </x:c>
      <x:c r="I8" s="7" t="str"/>
      <x:c r="J8" s="7" t="str"/>
      <x:c r="K8" s="7" t="str"/>
      <x:c r="L8" s="7" t="str">
        <x:v>Contrat de production CON/SYS-GROUP; à appliquer au futur contenu de l'œuvre.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Recharger un chapitre restitue uniquement son groupe autorisé, ses positions et ses commandes proposées.</x:v>
      </x:c>
      <x:c r="O8" s="7" t="str">
        <x:v>CON-REF-SCOPE</x:v>
      </x:c>
      <x:c r="P8" s="7" t="str">
        <x:v>Règle originale de production; les ancrages de continuité sont documentés dans les fiches REF.</x:v>
      </x:c>
      <x:c r="Q8" s="7" t="str"/>
      <x:c r="R8" s="32" t="str"/>
      <x:c r="S8" s="32" t="str"/>
    </x:row>
    <x:row r="9" ht="68" customHeight="1">
      <x:c r="A9" s="16" t="str">
        <x:v>CON-SYS-ATB</x:v>
      </x:c>
      <x:c r="B9" s="9" t="str">
        <x:v>Rythme ATB proposé</x:v>
      </x:c>
      <x:c r="C9" s="14" t="str">
        <x:v>Défini</x:v>
      </x:c>
      <x:c r="D9" s="15" t="str">
        <x:v>Extrapolation</x:v>
      </x:c>
      <x:c r="E9" s="15" t="str">
        <x:v>P1</x:v>
      </x:c>
      <x:c r="F9" s="9" t="str">
        <x:v>Confrontation de proximité courte; commandes défensives et sortie de prise. Pas de butin ni d’expérience accordée pour frapper des civils.</x:v>
      </x:c>
      <x:c r="G9" s="9" t="str">
        <x:v>Pause de planification, annonce visible, résolution déterministe et commandes annulables avant confirmation.</x:v>
      </x:c>
      <x:c r="H9" s="9" t="str">
        <x:v>Pause de planification, annonce visible, résolution déterministe et commandes annulables avant confirmation.</x:v>
      </x:c>
      <x:c r="I9" s="9" t="str"/>
      <x:c r="J9" s="9" t="str"/>
      <x:c r="K9" s="9" t="str"/>
      <x:c r="L9" s="9" t="str">
        <x:v>Contrat de production CON/SYS-ATB; à appliquer au futur contenu de l'œuvre.</x:v>
      </x:c>
      <x:c r="M9" s="9" t="str">
        <x:v>L’arrivée d’Anderson et l’affectation de Vega restent les raccords fixes. Les adversaires du bar représentent des individus de cette scène, pas les batariens en général.</x:v>
      </x:c>
      <x:c r="N9" s="9" t="str">
        <x:v>Un lecteur peut suivre chaque préparation sans son; la vitesse réglable ne modifie pas les conditions du raccord narratif.</x:v>
      </x:c>
      <x:c r="O9" s="9" t="str">
        <x:v>CON-REF-SCOPE</x:v>
      </x:c>
      <x:c r="P9" s="9" t="str">
        <x:v>Règle originale de production; les ancrages de continuité sont documentés dans les fiches REF.</x:v>
      </x:c>
      <x:c r="Q9" s="9" t="str"/>
      <x:c r="R9" s="17" t="str"/>
      <x:c r="S9" s="17" t="str"/>
    </x:row>
    <x:row r="10" ht="68" customHeight="1">
      <x:c r="A10" s="31" t="str">
        <x:v>CON-SYS-SAVE</x:v>
      </x:c>
      <x:c r="B10" s="7" t="str">
        <x:v>Sauvegarde des modules</x:v>
      </x:c>
      <x:c r="C10" s="14" t="str">
        <x:v>Défini</x:v>
      </x:c>
      <x:c r="D10" s="30" t="str">
        <x:v>Extrapolation</x:v>
      </x:c>
      <x:c r="E10" s="30" t="str">
        <x:v>P1</x:v>
      </x:c>
      <x:c r="F10" s="7" t="str">
        <x:v>Conserver la progression de Conviction sans exporter une issue hypothétique vers la continuité des jeux.</x:v>
      </x:c>
      <x:c r="G10" s="7" t="str">
        <x:v>Stocker le numéro/segment, la méthode locale, les indices acquis et le raccord déjà vu; ne pas écrire dans une sauvegarde canon du jeu.</x:v>
      </x:c>
      <x:c r="H10" s="7" t="str">
        <x:v>Stocker le numéro/segment, la méthode locale, les indices acquis et le raccord déjà vu; ne pas écrire dans une sauvegarde canon du jeu.</x:v>
      </x:c>
      <x:c r="I10" s="7" t="str"/>
      <x:c r="J10" s="7" t="str"/>
      <x:c r="K10" s="7" t="str"/>
      <x:c r="L10" s="7" t="str">
        <x:v>Contrat de production CON/SYS-SAVE; à appliquer au futur contenu de l'œuvre.</x:v>
      </x:c>
      <x:c r="M10" s="7" t="str">
        <x:v>L’arrivée d’Anderson et l’affectation de Vega restent les raccords fixes. Les adversaires du bar représentent des individus de cette scène, pas les batariens en général.</x:v>
      </x:c>
      <x:c r="N10" s="7" t="str">
        <x:v>Sauvegarder, quitter et reprendre avant/après un raccord ne double aucun objet, objectif ou récompense.</x:v>
      </x:c>
      <x:c r="O10" s="7" t="str">
        <x:v>CON-REF-SCOPE</x:v>
      </x:c>
      <x:c r="P10" s="7" t="str">
        <x:v>Règle originale de production; les ancrages de continuité sont documentés dans les fiches REF.</x:v>
      </x:c>
      <x:c r="Q10" s="7" t="str"/>
      <x:c r="R10" s="32" t="str"/>
      <x:c r="S10" s="32" t="str"/>
    </x:row>
  </x:sheetData>
  <x:conditionalFormatting sqref="D7:D10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0">
    <x:cfRule type="cellIs" dxfId="94" priority="3" operator="equal">
      <x:formula>"Validé"</x:formula>
    </x:cfRule>
  </x:conditionalFormatting>
  <x:conditionalFormatting sqref="E7:E10">
    <x:cfRule type="cellIs" dxfId="9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a7133b222b474a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68" customHeight="1">
      <x:c r="A7" s="16" t="str">
        <x:v>CON-SC-NEWS-QA</x:v>
      </x:c>
      <x:c r="B7" s="9" t="str">
        <x:v>Nouvelle et réaction — contrôle du parcours</x:v>
      </x:c>
      <x:c r="C7" s="14" t="str">
        <x:v>Défini</x:v>
      </x:c>
      <x:c r="D7" s="15" t="str">
        <x:v>Extrapolation</x:v>
      </x:c>
      <x:c r="E7" s="15" t="str">
        <x:v>P0</x:v>
      </x:c>
      <x:c r="F7" s="9" t="str">
        <x:v>Rejouer « Nouvelle et réaction » par les deux méthodes proposées, avec tâche facultative ignorée puis terminée, et en sautant le raccord.</x:v>
      </x:c>
      <x:c r="G7" s="9" t="str">
        <x:v>Jeu de table → nouvelle → réaction → confrontation.</x:v>
      </x:c>
      <x:c r="H7" s="9" t="str">
        <x:v>Le joueur lit un résumé original attribué à un média; aucune culpabilité de Shepard n’est déduite de cette diffusion.</x:v>
      </x:c>
      <x:c r="I7" s="9" t="str"/>
      <x:c r="J7" s="9" t="str"/>
      <x:c r="K7" s="9" t="str"/>
      <x:c r="L7" s="9" t="str">
        <x:v>Scénarios de recette à exécuter pour CON/NEWS; consigner résultat réel et preuve seulement lors d’une future réalisation.</x:v>
      </x:c>
      <x:c r="M7" s="9" t="str">
        <x:v>Fiche de recette définie; aucun test du jeu n’a été exécuté par ce catalogue.</x:v>
      </x:c>
      <x:c r="N7" s="9" t="str">
        <x:v>L'objectif « Nouvelle et réaction » atteint son raccord annoncé après chaque méthode; sauvegarde, rechargement et saut de scène n'en changent ni le groupe ni les informations acquises.</x:v>
      </x:c>
      <x:c r="O7" s="9" t="str">
        <x:v>CON-SC-NEWS-MAIN, CON-SC-NEWS-CHOICE, CON-SC-NEWS-CINE, CON-SC-NEWS-PROP</x:v>
      </x:c>
      <x:c r="P7" s="9" t="str">
        <x:v>Critère de production original, pas une validation déjà obtenue.</x:v>
      </x:c>
      <x:c r="Q7" s="9" t="str"/>
      <x:c r="R7" s="17" t="str"/>
      <x:c r="S7" s="17" t="str"/>
    </x:row>
    <x:row r="8" ht="68" customHeight="1">
      <x:c r="A8" s="31" t="str">
        <x:v>CON-SC-BAR-QA</x:v>
      </x:c>
      <x:c r="B8" s="7" t="str">
        <x:v>Altercation au bar — contrôle du parcours</x:v>
      </x:c>
      <x:c r="C8" s="14" t="str">
        <x:v>Défini</x:v>
      </x:c>
      <x:c r="D8" s="30" t="str">
        <x:v>Extrapolation</x:v>
      </x:c>
      <x:c r="E8" s="30" t="str">
        <x:v>P0</x:v>
      </x:c>
      <x:c r="F8" s="7" t="str">
        <x:v>Rejouer « Altercation au bar » par les deux méthodes proposées, avec tâche facultative ignorée puis terminée, et en sautant le raccord.</x:v>
      </x:c>
      <x:c r="G8" s="7" t="str">
        <x:v>Tension → actions défensives proposées → déplacement → interruption par Anderson.</x:v>
      </x:c>
      <x:c r="H8" s="7" t="str">
        <x:v>Pas de prime par adversaire; l’objectif local est de maintenir une route et de comprendre la scène, pas de tuer tous les clients.</x:v>
      </x:c>
      <x:c r="I8" s="7" t="str"/>
      <x:c r="J8" s="7" t="str"/>
      <x:c r="K8" s="7" t="str"/>
      <x:c r="L8" s="7" t="str">
        <x:v>Scénarios de recette à exécuter pour CON/BAR; consigner résultat réel et preuve seulement lors d’une future réalisation.</x:v>
      </x:c>
      <x:c r="M8" s="7" t="str">
        <x:v>Fiche de recette définie; aucun test du jeu n’a été exécuté par ce catalogue.</x:v>
      </x:c>
      <x:c r="N8" s="7" t="str">
        <x:v>L'objectif « Altercation au bar » atteint son raccord annoncé après chaque méthode; sauvegarde, rechargement et saut de scène n'en changent ni le groupe ni les informations acquises.</x:v>
      </x:c>
      <x:c r="O8" s="7" t="str">
        <x:v>CON-SC-BAR-MAIN, CON-SC-BAR-CHOICE, CON-SC-BAR-CINE, CON-SC-BAR-PROP</x:v>
      </x:c>
      <x:c r="P8" s="7" t="str">
        <x:v>Critère de production original, pas une validation déjà obtenue.</x:v>
      </x:c>
      <x:c r="Q8" s="7" t="str"/>
      <x:c r="R8" s="32" t="str"/>
      <x:c r="S8" s="32" t="str"/>
    </x:row>
    <x:row r="9" ht="68" customHeight="1">
      <x:c r="A9" s="16" t="str">
        <x:v>CON-SC-DUTY-QA</x:v>
      </x:c>
      <x:c r="B9" s="9" t="str">
        <x:v>Reprendre une affectation — contrôle du parcours</x:v>
      </x:c>
      <x:c r="C9" s="14" t="str">
        <x:v>Défini</x:v>
      </x:c>
      <x:c r="D9" s="15" t="str">
        <x:v>Extrapolation</x:v>
      </x:c>
      <x:c r="E9" s="15" t="str">
        <x:v>P0</x:v>
      </x:c>
      <x:c r="F9" s="9" t="str">
        <x:v>Rejouer « Reprendre une affectation » par les deux méthodes proposées, avec tâche facultative ignorée puis terminée, et en sautant le raccord.</x:v>
      </x:c>
      <x:c r="G9" s="9" t="str">
        <x:v>Départ du bar → transport → révélation d’affectation → seuil du vaisseau.</x:v>
      </x:c>
      <x:c r="H9" s="9" t="str">
        <x:v>Dialogue sans minuterie; réponses de ton convergent vers la même affectation.</x:v>
      </x:c>
      <x:c r="I9" s="9" t="str"/>
      <x:c r="J9" s="9" t="str"/>
      <x:c r="K9" s="9" t="str"/>
      <x:c r="L9" s="9" t="str">
        <x:v>Scénarios de recette à exécuter pour CON/DUTY; consigner résultat réel et preuve seulement lors d’une future réalisation.</x:v>
      </x:c>
      <x:c r="M9" s="9" t="str">
        <x:v>Fiche de recette définie; aucun test du jeu n’a été exécuté par ce catalogue.</x:v>
      </x:c>
      <x:c r="N9" s="9" t="str">
        <x:v>L'objectif « Reprendre une affectation » atteint son raccord annoncé après chaque méthode; sauvegarde, rechargement et saut de scène n'en changent ni le groupe ni les informations acquises.</x:v>
      </x:c>
      <x:c r="O9" s="9" t="str">
        <x:v>CON-SC-DUTY-MAIN, CON-SC-DUTY-CHOICE, CON-SC-DUTY-CINE, CON-SC-DUTY-PROP</x:v>
      </x:c>
      <x:c r="P9" s="9" t="str">
        <x:v>Critère de production original, pas une validation déjà obtenue.</x:v>
      </x:c>
      <x:c r="Q9" s="9" t="str"/>
      <x:c r="R9" s="17" t="str"/>
      <x:c r="S9" s="17" t="str"/>
    </x:row>
    <x:row r="10" ht="54" customHeight="1">
      <x:c r="A10" s="31" t="str">
        <x:v>CON-QA-SOURCE</x:v>
      </x:c>
      <x:c r="B10" s="7" t="str">
        <x:v>Vérification des références</x:v>
      </x:c>
      <x:c r="C10" s="14" t="str">
        <x:v>Défini</x:v>
      </x:c>
      <x:c r="D10" s="30" t="str">
        <x:v>Extrapolation</x:v>
      </x:c>
      <x:c r="E10" s="30" t="str">
        <x:v>P0</x:v>
      </x:c>
      <x:c r="F10" s="7" t="str">
        <x:v>Contrôler Conviction dans une édition autorisée avant de transformer les éléments À vérifier en faits établis.</x:v>
      </x:c>
      <x:c r="G10" s="7" t="str">
        <x:v>Contrôler le récit court dans son édition autorisée; ne pas inventer des numéros ou une pagination absents de la consultation.</x:v>
      </x:c>
      <x:c r="H10" s="7" t="str"/>
      <x:c r="I10" s="7" t="str"/>
      <x:c r="J10" s="7" t="str"/>
      <x:c r="K10" s="7" t="str"/>
      <x:c r="L10" s="7" t="str">
        <x:v>Contrat de production CON/QA-SOURCE; à appliquer au futur contenu de l'œuvre.</x:v>
      </x:c>
      <x:c r="M10" s="7" t="str">
        <x:v>Recette planifiée; aucune réalisation testée ici.</x:v>
      </x:c>
      <x:c r="N10" s="7" t="str">
        <x:v>Chaque ajout de nom, page, costume ou date est lié à la bonne édition; les descriptions restent brèves et paraphrasées.</x:v>
      </x:c>
      <x:c r="O10" s="7" t="str">
        <x:v>CON-REF-SCOPE</x:v>
      </x:c>
      <x:c r="P10" s="7" t="str">
        <x:v>Règle originale de production; les ancrages de continuité sont documentés dans les fiches REF.</x:v>
      </x:c>
      <x:c r="Q10" s="7" t="str"/>
      <x:c r="R10" s="32" t="str"/>
      <x:c r="S10" s="32" t="str"/>
    </x:row>
    <x:row r="11" ht="54" customHeight="1">
      <x:c r="A11" s="16" t="str">
        <x:v>CON-QA-VISIBILITY</x:v>
      </x:c>
      <x:c r="B11" s="9" t="str">
        <x:v>Lecture des sprites et du terrain</x:v>
      </x:c>
      <x:c r="C11" s="14" t="str">
        <x:v>Défini</x:v>
      </x:c>
      <x:c r="D11" s="15" t="str">
        <x:v>Extrapolation</x:v>
      </x:c>
      <x:c r="E11" s="15" t="str">
        <x:v>P0</x:v>
      </x:c>
      <x:c r="F11" s="9" t="str">
        <x:v>Contrôler la taille des sprites, la séparation des silhouettes et les sorties sous la caméra fixe de chaque scène.</x:v>
      </x:c>
      <x:c r="G11" s="9" t="str">
        <x:v>Faire parcourir les zones avec premier plan actif, sous-titres larges et mode de contraste renforcé.</x:v>
      </x:c>
      <x:c r="H11" s="9" t="str"/>
      <x:c r="I11" s="9" t="str"/>
      <x:c r="J11" s="9" t="str"/>
      <x:c r="K11" s="9" t="str"/>
      <x:c r="L11" s="9" t="str">
        <x:v>Contrat de production CON/QA-VISIBILITY; à appliquer au futur contenu de l'œuvre.</x:v>
      </x:c>
      <x:c r="M11" s="9" t="str">
        <x:v>Recette planifiée; aucune réalisation testée ici.</x:v>
      </x:c>
      <x:c r="N11" s="9" t="str">
        <x:v>Le personnage contrôlé, les sorties et le signal de danger restent localisables sans désactiver le décor.</x:v>
      </x:c>
      <x:c r="O11" s="9" t="str">
        <x:v>CON-REF-SCOPE</x:v>
      </x:c>
      <x:c r="P11" s="9" t="str">
        <x:v>Règle originale de production; les ancrages de continuité sont documentés dans les fiches REF.</x:v>
      </x:c>
      <x:c r="Q11" s="9" t="str"/>
      <x:c r="R11" s="17" t="str"/>
      <x:c r="S11" s="17" t="str"/>
    </x:row>
    <x:row r="12" ht="68" customHeight="1">
      <x:c r="A12" s="31" t="str">
        <x:v>CON-QA-NARRATIVE</x:v>
      </x:c>
      <x:c r="B12" s="7" t="str">
        <x:v>Convergence narrative</x:v>
      </x:c>
      <x:c r="C12" s="14" t="str">
        <x:v>Défini</x:v>
      </x:c>
      <x:c r="D12" s="30" t="str">
        <x:v>Extrapolation</x:v>
      </x:c>
      <x:c r="E12" s="30" t="str">
        <x:v>P0</x:v>
      </x:c>
      <x:c r="F12" s="7" t="str">
        <x:v>L’arrivée d’Anderson et l’affectation de Vega restent les raccords fixes. Les adversaires du bar représentent des individus de cette scène, pas les batariens en général.</x:v>
      </x:c>
      <x:c r="G12" s="7" t="str">
        <x:v>La continuité éditoriale est distincte des essais de gameplay; un choix stratégique ne réécrit pas la fin publiée.</x:v>
      </x:c>
      <x:c r="H12" s="7" t="str"/>
      <x:c r="I12" s="7" t="str"/>
      <x:c r="J12" s="7" t="str"/>
      <x:c r="K12" s="7" t="str"/>
      <x:c r="L12" s="7" t="str">
        <x:v>Contrat de production CON/QA-NARRATIVE; à appliquer au futur contenu de l'œuvre.</x:v>
      </x:c>
      <x:c r="M12" s="7" t="str">
        <x:v>Recette planifiée; aucune réalisation testée ici.</x:v>
      </x:c>
      <x:c r="N12" s="7" t="str">
        <x:v>Jouer chaque choix local et passer chaque cinématique produit les mêmes ancrages de conclusion; les divergences restent marquées adaptation.</x:v>
      </x:c>
      <x:c r="O12" s="7" t="str">
        <x:v>CON-REF-SCOPE</x:v>
      </x:c>
      <x:c r="P12" s="7" t="str">
        <x:v>Règle originale de production; les ancrages de continuité sont documentés dans les fiches REF.</x:v>
      </x:c>
      <x:c r="Q12" s="7" t="str"/>
      <x:c r="R12" s="32" t="str"/>
      <x:c r="S12" s="32" t="str"/>
    </x:row>
  </x:sheetData>
  <x:conditionalFormatting sqref="D7:D12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2">
    <x:cfRule type="cellIs" dxfId="98" priority="3" operator="equal">
      <x:formula>"Validé"</x:formula>
    </x:cfRule>
  </x:conditionalFormatting>
  <x:conditionalFormatting sqref="E7:E12">
    <x:cfRule type="cellIs" dxfId="99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72002a1f4640f3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Conviction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6" t="str">
        <x:v>Identifiant</x:v>
      </x:c>
      <x:c r="B6" s="27" t="str">
        <x:v>Élément</x:v>
      </x:c>
      <x:c r="C6" s="27" t="str">
        <x:v>Contenu</x:v>
      </x:c>
      <x:c r="D6" s="27" t="str">
        <x:v>Nature de la référence</x:v>
      </x:c>
      <x:c r="E6" s="27" t="str">
        <x:v>Priorité</x:v>
      </x:c>
      <x:c r="F6" s="27" t="str">
        <x:v>Fait ou hypothèse</x:v>
      </x:c>
      <x:c r="G6" s="27" t="str">
        <x:v>Adaptation proposée</x:v>
      </x:c>
      <x:c r="H6" s="27" t="str">
        <x:v>Règles et moveset proposés</x:v>
      </x:c>
      <x:c r="I6" s="27" t="str">
        <x:v>Direction visuelle</x:v>
      </x:c>
      <x:c r="J6" s="27" t="str">
        <x:v>Animation</x:v>
      </x:c>
      <x:c r="K6" s="27" t="str">
        <x:v>Audio et accessibilité</x:v>
      </x:c>
      <x:c r="L6" s="27" t="str">
        <x:v>Mise en œuvre prévue</x:v>
      </x:c>
      <x:c r="M6" s="27" t="str">
        <x:v>Conditions et variantes</x:v>
      </x:c>
      <x:c r="N6" s="27" t="str">
        <x:v>Critère d’acceptation</x:v>
      </x:c>
      <x:c r="O6" s="27" t="str">
        <x:v>Dépendances</x:v>
      </x:c>
      <x:c r="P6" s="27" t="str">
        <x:v>Repère dans l’œuvre</x:v>
      </x:c>
      <x:c r="Q6" s="27" t="str">
        <x:v>Sources</x:v>
      </x:c>
      <x:c r="R6" s="27" t="str">
        <x:v>Sources URL</x:v>
      </x:c>
      <x:c r="S6" s="28" t="str">
        <x:v>Notes et limites</x:v>
      </x:c>
    </x:row>
    <x:row r="7" ht="82" customHeight="1">
      <x:c r="A7" s="16" t="str">
        <x:v>CON-CNT-PLACE</x:v>
      </x:c>
      <x:c r="B7" s="9" t="str">
        <x:v>Position dans l’univers</x:v>
      </x:c>
      <x:c r="C7" s="14" t="str">
        <x:v>Défini</x:v>
      </x:c>
      <x:c r="D7" s="15" t="str">
        <x:v>Extrapolation</x:v>
      </x:c>
      <x:c r="E7" s="15" t="str">
        <x:v>P1</x:v>
      </x:c>
      <x:c r="F7" s="9" t="str">
        <x:v>Le wiki relie Conviction aux conséquences de Bahak, au passé de Vega sur Fehl et à la garde de Shepard. Les liens avec Arrival et Paragon Lost doivent être contrôlés; ne pas rejouer ces œuvres ici.</x:v>
      </x:c>
      <x:c r="G7" s="9" t="str">
        <x:v>La continuité éditoriale est distincte des essais de gameplay; un choix stratégique ne réécrit pas la fin publiée.</x:v>
      </x:c>
      <x:c r="H7" s="9" t="str"/>
      <x:c r="I7" s="9" t="str"/>
      <x:c r="J7" s="9" t="str"/>
      <x:c r="K7" s="9" t="str"/>
      <x:c r="L7" s="9" t="str">
        <x:v>Contrat de production CON/CNT-PLACE; à appliquer au futur contenu de l'œuvre.</x:v>
      </x:c>
      <x:c r="M7" s="9" t="str">
        <x:v>L’arrivée d’Anderson et l’affectation de Vega restent les raccords fixes. Les adversaires du bar représentent des individus de cette scène, pas les batariens en général.</x:v>
      </x:c>
      <x:c r="N7" s="9" t="str">
        <x:v>La frise indique les incertitudes et les liens avec les autres œuvres sans attribuer une date non sourcée.</x:v>
      </x:c>
      <x:c r="O7" s="9" t="str">
        <x:v>CON-REF-SCOPE</x:v>
      </x:c>
      <x:c r="P7" s="9" t="str">
        <x:v>Règle originale de production; les ancrages de continuité sont documentés dans les fiches REF.</x:v>
      </x:c>
      <x:c r="Q7" s="9" t="str"/>
      <x:c r="R7" s="17" t="str"/>
      <x:c r="S7" s="17" t="str"/>
    </x:row>
    <x:row r="8" ht="68" customHeight="1">
      <x:c r="A8" s="31" t="str">
        <x:v>CON-CNT-NO-CUT</x:v>
      </x:c>
      <x:c r="B8" s="7" t="str">
        <x:v>Contenus non attestés</x:v>
      </x:c>
      <x:c r="C8" s="14" t="str">
        <x:v>Défini</x:v>
      </x:c>
      <x:c r="D8" s="30" t="str">
        <x:v>Extrapolation</x:v>
      </x:c>
      <x:c r="E8" s="30" t="str">
        <x:v>P1</x:v>
      </x:c>
      <x:c r="F8" s="7" t="str">
        <x:v>Aucune rumeur de scène coupée n’est intégrée à Conviction.</x:v>
      </x:c>
      <x:c r="G8" s="7" t="str">
        <x:v>Un contenu absent des notices consultées reste non documenté; une illustration préparatoire ne prouve pas une scène canon.</x:v>
      </x:c>
      <x:c r="H8" s="7" t="str"/>
      <x:c r="I8" s="7" t="str"/>
      <x:c r="J8" s="7" t="str"/>
      <x:c r="K8" s="7" t="str"/>
      <x:c r="L8" s="7" t="str">
        <x:v>Contrat de production CON/CNT-NO-CUT; à appliquer au futur contenu de l'œuvre.</x:v>
      </x:c>
      <x:c r="M8" s="7" t="str">
        <x:v>L’arrivée d’Anderson et l’affectation de Vega restent les raccords fixes. Les adversaires du bar représentent des individus de cette scène, pas les batariens en général.</x:v>
      </x:c>
      <x:c r="N8" s="7" t="str">
        <x:v>Une future fiche Coupé attesté ou Concept abandonné devra citer une preuve primaire spécifique.</x:v>
      </x:c>
      <x:c r="O8" s="7" t="str">
        <x:v>CON-REF-SCOPE</x:v>
      </x:c>
      <x:c r="P8" s="7" t="str">
        <x:v>Règle originale de production; les ancrages de continuité sont documentés dans les fiches REF.</x:v>
      </x:c>
      <x:c r="Q8" s="7" t="str"/>
      <x:c r="R8" s="32" t="str"/>
      <x:c r="S8" s="32" t="str"/>
    </x:row>
  </x:sheetData>
  <x:conditionalFormatting sqref="D7:D8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8">
    <x:cfRule type="cellIs" dxfId="102" priority="3" operator="equal">
      <x:formula>"Validé"</x:formula>
    </x:cfRule>
  </x:conditionalFormatting>
  <x:conditionalFormatting sqref="E7:E8">
    <x:cfRule type="cellIs" dxfId="10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7c205e6a1248a0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Conviction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26" t="str">
        <x:v>Champ</x:v>
      </x:c>
      <x:c r="B6" s="28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Conviction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Comic court / récit autonome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Récit court de James Vega sur Omega, confrontation au bar et intervention d’Anderson menant à une nouvelle affectation.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Module bref sur l’impulsion, la reprise du service et le rapport à Shepard. Les scènes jouables restent petites et leur violence ne devient pas une campagne contre une espèce.</x:v>
      </x:c>
      <x:c r="C10" s="2"/>
      <x:c r="D10" s="2"/>
      <x:c r="E10" s="2"/>
      <x:c r="F10" s="2"/>
    </x:row>
    <x:row r="11" ht="180" customHeight="1">
      <x:c r="A11" s="7" t="str">
        <x:v>Références et limites</x:v>
      </x:c>
      <x:c r="B11" s="7" t="str">
        <x:v>Le détail de l’intrigue provient du wiki indexé, donc À vérifier. Le recueil Invasion officiel mentionne un récit additionnel en ligne sans en donner le titre dans la notice consultée. Les missions, options, ATB, coûts, compositions 2D/3D, effets et fichiers proposés sont des extrapolations; aucun chiffre de réglage n’est présenté comme canon. « Établi » qualifie uniquement le fait bref de description, pas sa proposition d’adaptation. Les sources wiki consultées via l’index restent À vérifier. Les 12 pages Fandom fournies ont été tentées en accès direct et ont échoué; les notices officielles et notes d’auteur servent de remplacement lorsque disponibles.</x:v>
      </x:c>
      <x:c r="C11" s="2"/>
      <x:c r="D11" s="2"/>
      <x:c r="E11" s="2"/>
      <x:c r="F11" s="2"/>
    </x:row>
    <x:row r="12" ht="4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26" t="str">
        <x:v>Source</x:v>
      </x:c>
      <x:c r="B26" s="27" t="str">
        <x:v>Titre</x:v>
      </x:c>
      <x:c r="C26" s="27" t="str">
        <x:v>Type</x:v>
      </x:c>
      <x:c r="D26" s="27" t="str">
        <x:v>URL</x:v>
      </x:c>
      <x:c r="E26" s="27" t="str">
        <x:v>Périmètre</x:v>
      </x:c>
      <x:c r="F26" s="28" t="str">
        <x:v>Accès et limites</x:v>
      </x:c>
    </x:row>
    <x:row r="27" ht="54" customHeight="1">
      <x:c r="A27" s="6" t="str">
        <x:v>CON-S-WIKI</x:v>
      </x:c>
      <x:c r="B27" s="6" t="str">
        <x:v>Mass Effect: Conviction</x:v>
      </x:c>
      <x:c r="C27" s="6" t="str">
        <x:v>wiki — extrait indexé, à contrôler</x:v>
      </x:c>
      <x:c r="D27" s="6" t="str">
        <x:v>https://masseffect.fandom.com/wiki/Mass_Effect%3A_Conviction</x:v>
      </x:c>
      <x:c r="E27" s="6" t="str">
        <x:v>Vega, Omega, Anderson et nouvelle affectation.</x:v>
      </x:c>
      <x:c r="F27" s="6" t="str">
        <x:v>Contenu lu dans le résultat de recherche indexé; ouverture directe Fandom restreinte ou en erreur. Comparaison avec le comic autorisé requise.</x:v>
      </x:c>
    </x:row>
    <x:row r="28" ht="54" customHeight="1">
      <x:c r="A28" s="6" t="str">
        <x:v>CON-S-INVBOOK</x:v>
      </x:c>
      <x:c r="B28" s="6" t="str">
        <x:v>Dark Horse — Invasion</x:v>
      </x:c>
      <x:c r="C28" s="6" t="str">
        <x:v>source officielle — notice Dark Horse via Penguin Random House</x:v>
      </x:c>
      <x:c r="D28" s="6" t="str">
        <x:v>https://www.penguinrandomhouse.com/books/241636/mass-effect-volume-3-invasion-by-mac-walters-various-artists/</x:v>
      </x:c>
      <x:c r="E28" s="6" t="str">
        <x:v>Notice d’un récit court dans le recueil; le titre exact est à vérifier dans cette édition.</x:v>
      </x:c>
      <x:c r="F28" s="6" t="str">
        <x:v>Consulté le 22 octobre 2026; les faits sont paraphrasés brièvement.</x:v>
      </x:c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34" customHeight="1">
      <x:c r="A32" s="26" t="str">
        <x:v>Domaine</x:v>
      </x:c>
      <x:c r="B32" s="27" t="str">
        <x:v>Couverture actuelle</x:v>
      </x:c>
      <x:c r="C32" s="28" t="str">
        <x:v>Travail restant</x:v>
      </x:c>
      <x:c r="D32" s="2"/>
      <x:c r="E32" s="2"/>
      <x:c r="F32" s="2"/>
    </x:row>
    <x:row r="33" ht="68" customHeight="1">
      <x:c r="A33" s="6" t="str">
        <x:v>characters</x:v>
      </x:c>
      <x:c r="B33" s="6" t="str">
        <x:v>1 fiche(s) : James Vega</x:v>
      </x:c>
      <x:c r="C33" s="6" t="str">
        <x:v>Comparer les détails marqués À vérifier à une édition autorisée; les sources éditoriales n’attestent pas chaque détail graphique.</x:v>
      </x:c>
      <x:c r="D33" s="2"/>
      <x:c r="E33" s="2"/>
      <x:c r="F33" s="2"/>
    </x:row>
    <x:row r="34" ht="68" customHeight="1">
      <x:c r="A34" s="6" t="str">
        <x:v>npcs</x:v>
      </x:c>
      <x:c r="B34" s="6" t="str">
        <x:v>3 fiche(s) : David Anderson; Barman krogan; Soldats accompagnant Anderson</x:v>
      </x:c>
      <x:c r="C34" s="6" t="str">
        <x:v>Comparer les détails marqués À vérifier à une édition autorisée; les sources éditoriales n’attestent pas chaque détail graphique.</x:v>
      </x:c>
      <x:c r="D34" s="2"/>
      <x:c r="E34" s="2"/>
      <x:c r="F34" s="2"/>
    </x:row>
    <x:row r="35" ht="68" customHeight="1">
      <x:c r="A35" s="6" t="str">
        <x:v>lore</x:v>
      </x:c>
      <x:c r="B35" s="6" t="str">
        <x:v>6 fiche(s) : Récit centré sur James Vega; Incident sur Omega; Intervention d’Anderson; Nouvelle et réaction</x:v>
      </x:c>
      <x:c r="C35" s="6" t="str">
        <x:v>Comparer les détails marqués À vérifier à une édition autorisée; les sources éditoriales n’attestent pas chaque détail graphique.</x:v>
      </x:c>
      <x:c r="D35" s="2"/>
      <x:c r="E35" s="2"/>
      <x:c r="F35" s="2"/>
    </x:row>
    <x:row r="36" ht="68" customHeight="1">
      <x:c r="A36" s="6" t="str">
        <x:v>worlds</x:v>
      </x:c>
      <x:c r="B36" s="6" t="str">
        <x:v>2 fiche(s) : Omega — bar; Approche du Normandy SR-2</x:v>
      </x:c>
      <x:c r="C36" s="6" t="str">
        <x:v>Comparer les détails marqués À vérifier à une édition autorisée; les sources éditoriales n’attestent pas chaque détail graphique.</x:v>
      </x:c>
      <x:c r="D36" s="2"/>
      <x:c r="E36" s="2"/>
      <x:c r="F36" s="2"/>
    </x:row>
    <x:row r="37" ht="54" customHeight="1">
      <x:c r="A37" s="6" t="str">
        <x:v>zones</x:v>
      </x:c>
      <x:c r="B37" s="6" t="str">
        <x:v>2 fiche(s) : Omega — bar — espace jouable proposé; Approche du Normandy SR-2 — espace jouable proposé</x:v>
      </x:c>
      <x:c r="C37" s="6" t="str">
        <x:v>Prototyper les règles proposées et exécuter les critères de recette; aucune fiche n’est déclarée intégrée ou validée.</x:v>
      </x:c>
      <x:c r="D37" s="2"/>
      <x:c r="E37" s="2"/>
      <x:c r="F37" s="2"/>
    </x:row>
    <x:row r="38" ht="54" customHeight="1">
      <x:c r="A38" s="6" t="str">
        <x:v>links</x:v>
      </x:c>
      <x:c r="B38" s="6" t="str">
        <x:v>2 fiche(s) : Omega — bar — accès et sortie; Approche du Normandy SR-2 — accès et sortie</x:v>
      </x:c>
      <x:c r="C38" s="6" t="str">
        <x:v>Prototyper les règles proposées et exécuter les critères de recette; aucune fiche n’est déclarée intégrée ou validée.</x:v>
      </x:c>
      <x:c r="D38" s="2"/>
      <x:c r="E38" s="2"/>
      <x:c r="F38" s="2"/>
    </x:row>
    <x:row r="39" ht="54" customHeight="1">
      <x:c r="A39" s="6" t="str">
        <x:v>scenery</x:v>
      </x:c>
      <x:c r="B39" s="6" t="str">
        <x:v>2 fiche(s) : Omega — bar — décor et repère; Approche du Normandy SR-2 — décor et repère</x:v>
      </x:c>
      <x:c r="C39" s="6" t="str">
        <x:v>Produire les assets originaux puis vérifier en situation; ce catalogue ne livre ni image, ni son, ni animation.</x:v>
      </x:c>
      <x:c r="D39" s="2"/>
      <x:c r="E39" s="2"/>
      <x:c r="F39" s="2"/>
    </x:row>
    <x:row r="40" ht="54" customHeight="1">
      <x:c r="A40" s="6" t="str">
        <x:v>props</x:v>
      </x:c>
      <x:c r="B40" s="6" t="str">
        <x:v>3 fiche(s) : Écran de nouvelles — représentation proposée; Table de couvert — prototype; Ordre d’affectation — interface</x:v>
      </x:c>
      <x:c r="C40" s="6" t="str">
        <x:v>Prototyper les règles proposées et exécuter les critères de recette; aucune fiche n’est déclarée intégrée ou validée.</x:v>
      </x:c>
      <x:c r="D40" s="2"/>
      <x:c r="E40" s="2"/>
      <x:c r="F40" s="2"/>
    </x:row>
    <x:row r="41" ht="54" customHeight="1">
      <x:c r="A41" s="6" t="str">
        <x:v>enemies</x:v>
      </x:c>
      <x:c r="B41" s="6" t="str">
        <x:v>1 fiche(s) : Participants à l’altercation</x:v>
      </x:c>
      <x:c r="C41" s="6" t="str">
        <x:v>Prototyper les règles proposées et exécuter les critères de recette; aucune fiche n’est déclarée intégrée ou validée.</x:v>
      </x:c>
      <x:c r="D41" s="2"/>
      <x:c r="E41" s="2"/>
      <x:c r="F41" s="2"/>
    </x:row>
    <x:row r="42" ht="54" customHeight="1">
      <x:c r="A42" s="6" t="str">
        <x:v>main_quests</x:v>
      </x:c>
      <x:c r="B42" s="6" t="str">
        <x:v>3 fiche(s) : Nouvelle et réaction — objectif jouable; Altercation au bar — objectif jouable; Reprendre une affectation — objectif jouable</x:v>
      </x:c>
      <x:c r="C42" s="6" t="str">
        <x:v>Prototyper les règles proposées et exécuter les critères de recette; aucune fiche n’est déclarée intégrée ou validée.</x:v>
      </x:c>
      <x:c r="D42" s="2"/>
      <x:c r="E42" s="2"/>
      <x:c r="F42" s="2"/>
    </x:row>
    <x:row r="43" ht="54" customHeight="1">
      <x:c r="A43" s="6" t="str">
        <x:v>side_quests</x:v>
      </x:c>
      <x:c r="B43" s="6" t="str">
        <x:v>3 fiche(s) : Relire la formulation médiatique; Laisser libre l’accès des témoins; Relire les liens chronologiques</x:v>
      </x:c>
      <x:c r="C43" s="6" t="str">
        <x:v>Prototyper les règles proposées et exécuter les critères de recette; aucune fiche n’est déclarée intégrée ou validée.</x:v>
      </x:c>
      <x:c r="D43" s="2"/>
      <x:c r="E43" s="2"/>
      <x:c r="F43" s="2"/>
    </x:row>
    <x:row r="44" ht="54" customHeight="1">
      <x:c r="A44" s="6" t="str">
        <x:v>choices</x:v>
      </x:c>
      <x:c r="B44" s="6" t="str">
        <x:v>3 fiche(s) : Nouvelle et réaction — stratégie locale; Altercation au bar — stratégie locale; Reprendre une affectation — stratégie locale</x:v>
      </x:c>
      <x:c r="C44" s="6" t="str">
        <x:v>Prototyper les règles proposées et exécuter les critères de recette; aucune fiche n’est déclarée intégrée ou validée.</x:v>
      </x:c>
      <x:c r="D44" s="2"/>
      <x:c r="E44" s="2"/>
      <x:c r="F44" s="2"/>
    </x:row>
    <x:row r="45" ht="54" customHeight="1">
      <x:c r="A45" s="6" t="str">
        <x:v>dialogues</x:v>
      </x:c>
      <x:c r="B45" s="6" t="str">
        <x:v>3 fiche(s) : Nouvelle et réaction — intentions de conversation; Altercation au bar — intentions de conversation; Reprendre une affectation — intentions de conversation</x:v>
      </x:c>
      <x:c r="C45" s="6" t="str">
        <x:v>Prototyper les règles proposées et exécuter les critères de recette; aucune fiche n’est déclarée intégrée ou validée.</x:v>
      </x:c>
      <x:c r="D45" s="2"/>
      <x:c r="E45" s="2"/>
      <x:c r="F45" s="2"/>
    </x:row>
    <x:row r="46" ht="54" customHeight="1">
      <x:c r="A46" s="6" t="str">
        <x:v>cinematics</x:v>
      </x:c>
      <x:c r="B46" s="6" t="str">
        <x:v>3 fiche(s) : Nouvelle et réaction — raccord mis en scène; Altercation au bar — raccord mis en scène; Reprendre une affectation — raccord mis en scène</x:v>
      </x:c>
      <x:c r="C46" s="6" t="str">
        <x:v>Prototyper les règles proposées et exécuter les critères de recette; aucune fiche n’est déclarée intégrée ou validée.</x:v>
      </x:c>
      <x:c r="D46" s="2"/>
      <x:c r="E46" s="2"/>
      <x:c r="F46" s="2"/>
    </x:row>
    <x:row r="47" ht="54" customHeight="1">
      <x:c r="A47" s="6" t="str">
        <x:v>weapons</x:v>
      </x:c>
      <x:c r="B47" s="6" t="str">
        <x:v>1 fiche(s) : Armes : pas d’arsenal libre au bar</x:v>
      </x:c>
      <x:c r="C47" s="6" t="str">
        <x:v>Prototyper les règles proposées et exécuter les critères de recette; aucune fiche n’est déclarée intégrée ou validée.</x:v>
      </x:c>
      <x:c r="D47" s="2"/>
      <x:c r="E47" s="2"/>
      <x:c r="F47" s="2"/>
    </x:row>
    <x:row r="48" ht="54" customHeight="1">
      <x:c r="A48" s="6" t="str">
        <x:v>equipment</x:v>
      </x:c>
      <x:c r="B48" s="6" t="str">
        <x:v>1 fiche(s) : Carte d’affectation</x:v>
      </x:c>
      <x:c r="C48" s="6" t="str">
        <x:v>Prototyper les règles proposées et exécuter les critères de recette; aucune fiche n’est déclarée intégrée ou validée.</x:v>
      </x:c>
      <x:c r="D48" s="2"/>
      <x:c r="E48" s="2"/>
      <x:c r="F48" s="2"/>
    </x:row>
    <x:row r="49" ht="54" customHeight="1">
      <x:c r="A49" s="6" t="str">
        <x:v>powers</x:v>
      </x:c>
      <x:c r="B49" s="6" t="str">
        <x:v>1 fiche(s) : Garde et reprise d’équilibre — proposition</x:v>
      </x:c>
      <x:c r="C49" s="6" t="str">
        <x:v>Prototyper les règles proposées et exécuter les critères de recette; aucune fiche n’est déclarée intégrée ou validée.</x:v>
      </x:c>
      <x:c r="D49" s="2"/>
      <x:c r="E49" s="2"/>
      <x:c r="F49" s="2"/>
    </x:row>
    <x:row r="50" ht="54" customHeight="1">
      <x:c r="A50" s="6" t="str">
        <x:v>ally_moves</x:v>
      </x:c>
      <x:c r="B50" s="6" t="str">
        <x:v>1 fiche(s) : Se dégager</x:v>
      </x:c>
      <x:c r="C50" s="6" t="str">
        <x:v>Prototyper les règles proposées et exécuter les critères de recette; aucune fiche n’est déclarée intégrée ou validée.</x:v>
      </x:c>
      <x:c r="D50" s="2"/>
      <x:c r="E50" s="2"/>
      <x:c r="F50" s="2"/>
    </x:row>
    <x:row r="51" ht="54" customHeight="1">
      <x:c r="A51" s="6" t="str">
        <x:v>enemy_moves</x:v>
      </x:c>
      <x:c r="B51" s="6" t="str">
        <x:v>2 fiche(s) : Approche frontale; Prise d’angle</x:v>
      </x:c>
      <x:c r="C51" s="6" t="str">
        <x:v>Prototyper les règles proposées et exécuter les critères de recette; aucune fiche n’est déclarée intégrée ou validée.</x:v>
      </x:c>
      <x:c r="D51" s="2"/>
      <x:c r="E51" s="2"/>
      <x:c r="F51" s="2"/>
    </x:row>
    <x:row r="52" ht="54" customHeight="1">
      <x:c r="A52" s="6" t="str">
        <x:v>animations</x:v>
      </x:c>
      <x:c r="B52" s="6" t="str">
        <x:v>4 fiche(s) : James Vega — jeu de poses; David Anderson — jeu de poses; Barman krogan — jeu de poses; Soldats accompagnant Anderson — jeu de poses</x:v>
      </x:c>
      <x:c r="C52" s="6" t="str">
        <x:v>Produire les assets originaux puis vérifier en situation; ce catalogue ne livre ni image, ni son, ni animation.</x:v>
      </x:c>
      <x:c r="D52" s="2"/>
      <x:c r="E52" s="2"/>
      <x:c r="F52" s="2"/>
    </x:row>
    <x:row r="53" ht="54" customHeight="1">
      <x:c r="A53" s="6" t="str">
        <x:v>sprites</x:v>
      </x:c>
      <x:c r="B53" s="6" t="str">
        <x:v>4 fiche(s) : James Vega — planche de sprites; David Anderson — planche de sprites; Barman krogan — planche de sprites; Soldats accompagnant Anderson — planche de sprites</x:v>
      </x:c>
      <x:c r="C53" s="6" t="str">
        <x:v>Produire les assets originaux puis vérifier en situation; ce catalogue ne livre ni image, ni son, ni animation.</x:v>
      </x:c>
      <x:c r="D53" s="2"/>
      <x:c r="E53" s="2"/>
      <x:c r="F53" s="2"/>
    </x:row>
    <x:row r="54" ht="54" customHeight="1">
      <x:c r="A54" s="6" t="str">
        <x:v>vfx</x:v>
      </x:c>
      <x:c r="B54" s="6" t="str">
        <x:v>3 fiche(s) : Nouvelle et réaction — signal visuel; Altercation au bar — signal visuel; Reprendre une affectation — signal visuel</x:v>
      </x:c>
      <x:c r="C54" s="6" t="str">
        <x:v>Produire les assets originaux puis vérifier en situation; ce catalogue ne livre ni image, ni son, ni animation.</x:v>
      </x:c>
      <x:c r="D54" s="2"/>
      <x:c r="E54" s="2"/>
      <x:c r="F54" s="2"/>
    </x:row>
    <x:row r="55" ht="54" customHeight="1">
      <x:c r="A55" s="6" t="str">
        <x:v>audio</x:v>
      </x:c>
      <x:c r="B55" s="6" t="str">
        <x:v>2 fiche(s) : Omega — bar — paysage sonore; Approche du Normandy SR-2 — paysage sonore</x:v>
      </x:c>
      <x:c r="C55" s="6" t="str">
        <x:v>Produire les assets originaux puis vérifier en situation; ce catalogue ne livre ni image, ni son, ni animation.</x:v>
      </x:c>
      <x:c r="D55" s="2"/>
      <x:c r="E55" s="2"/>
      <x:c r="F55" s="2"/>
    </x:row>
    <x:row r="56" ht="54" customHeight="1">
      <x:c r="A56" s="6" t="str">
        <x:v>systems</x:v>
      </x:c>
      <x:c r="B56" s="6" t="str">
        <x:v>4 fiche(s) : Journal à deux niveaux; Groupe propre au chapitre; Rythme ATB proposé; Sauvegarde des modules</x:v>
      </x:c>
      <x:c r="C56" s="6" t="str">
        <x:v>Prototyper les règles proposées et exécuter les critères de recette; aucune fiche n’est déclarée intégrée ou validée.</x:v>
      </x:c>
      <x:c r="D56" s="2"/>
      <x:c r="E56" s="2"/>
      <x:c r="F56" s="2"/>
    </x:row>
    <x:row r="57" ht="54" customHeight="1">
      <x:c r="A57" s="6" t="str">
        <x:v>qa</x:v>
      </x:c>
      <x:c r="B57" s="6" t="str">
        <x:v>6 fiche(s) : Nouvelle et réaction — contrôle du parcours; Altercation au bar — contrôle du parcours; Reprendre une affectation — contrôle du parcours; Vérification des références</x:v>
      </x:c>
      <x:c r="C57" s="6" t="str">
        <x:v>Prototyper les règles proposées et exécuter les critères de recette; aucune fiche n’est déclarée intégrée ou validée.</x:v>
      </x:c>
      <x:c r="D57" s="2"/>
      <x:c r="E57" s="2"/>
      <x:c r="F57" s="2"/>
    </x:row>
    <x:row r="58" ht="68" customHeight="1">
      <x:c r="A58" s="6" t="str">
        <x:v>continuity</x:v>
      </x:c>
      <x:c r="B58" s="6" t="str">
        <x:v>2 fiche(s) : Position dans l’univers; Contenus non attestés</x:v>
      </x:c>
      <x:c r="C58" s="6" t="str">
        <x:v>Comparer les détails marqués À vérifier à une édition autorisée; les sources éditoriales n’attestent pas chaque détail graphique.</x:v>
      </x:c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  <x:row r="119" ht="22" customHeight="1">
      <x:c r="A119" s="2"/>
      <x:c r="B119" s="2"/>
      <x:c r="C119" s="2"/>
      <x:c r="D119" s="2"/>
      <x:c r="E119" s="2"/>
      <x:c r="F119" s="2"/>
    </x:row>
    <x:row r="120" ht="22" customHeight="1">
      <x:c r="A120" s="2"/>
      <x:c r="B120" s="2"/>
      <x:c r="C120" s="2"/>
      <x:c r="D120" s="2"/>
      <x:c r="E120" s="2"/>
      <x:c r="F120" s="2"/>
    </x:row>
    <x:row r="121" ht="22" customHeight="1">
      <x:c r="A121" s="2"/>
      <x:c r="B121" s="2"/>
      <x:c r="C121" s="2"/>
      <x:c r="D121" s="2"/>
      <x:c r="E121" s="2"/>
      <x:c r="F121" s="2"/>
    </x:row>
    <x:row r="122" ht="22" customHeight="1">
      <x:c r="A122" s="2"/>
      <x:c r="B122" s="2"/>
      <x:c r="C122" s="2"/>
      <x:c r="D122" s="2"/>
      <x:c r="E122" s="2"/>
      <x:c r="F122" s="2"/>
    </x:row>
    <x:row r="123" ht="22" customHeight="1">
      <x:c r="A123" s="2"/>
      <x:c r="B123" s="2"/>
      <x:c r="C123" s="2"/>
      <x:c r="D123" s="2"/>
      <x:c r="E123" s="2"/>
      <x:c r="F123" s="2"/>
    </x:row>
    <x:row r="124" ht="22" customHeight="1">
      <x:c r="A124" s="2"/>
      <x:c r="B124" s="2"/>
      <x:c r="C124" s="2"/>
      <x:c r="D124" s="2"/>
      <x:c r="E124" s="2"/>
      <x:c r="F124" s="2"/>
    </x:row>
    <x:row r="125" ht="22" customHeight="1">
      <x:c r="A125" s="2"/>
      <x:c r="B125" s="2"/>
      <x:c r="C125" s="2"/>
      <x:c r="D125" s="2"/>
      <x:c r="E125" s="2"/>
      <x:c r="F125" s="2"/>
    </x:row>
    <x:row r="126" ht="22" customHeight="1">
      <x:c r="A126" s="2"/>
      <x:c r="B126" s="2"/>
      <x:c r="C126" s="2"/>
      <x:c r="D126" s="2"/>
      <x:c r="E126" s="2"/>
      <x:c r="F126" s="2"/>
    </x:row>
    <x:row r="127" ht="22" customHeight="1">
      <x:c r="A127" s="2"/>
      <x:c r="B127" s="2"/>
      <x:c r="C127" s="2"/>
      <x:c r="D127" s="2"/>
      <x:c r="E127" s="2"/>
      <x:c r="F127" s="2"/>
    </x:row>
    <x:row r="128" ht="22" customHeight="1">
      <x:c r="A128" s="2"/>
      <x:c r="B128" s="2"/>
      <x:c r="C128" s="2"/>
      <x:c r="D128" s="2"/>
      <x:c r="E128" s="2"/>
      <x:c r="F128" s="2"/>
    </x:row>
  </x:sheetData>
  <x:pageMargins left="0.7" right="0.7" top="0.75" bottom="0.75" header="0.3" footer="0.3"/>
</x:worksheet>
</file>