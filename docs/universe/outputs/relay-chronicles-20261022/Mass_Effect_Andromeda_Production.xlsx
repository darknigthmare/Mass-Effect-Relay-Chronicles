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c54bfbdc5014f58" /></Relationships>
</file>

<file path=xl/workbook.xml><?xml version="1.0" encoding="utf-8"?>
<x:workbook xmlns:x="http://schemas.openxmlformats.org/spreadsheetml/2006/main">
  <x:sheets>
    <x:sheet xmlns:r="http://schemas.openxmlformats.org/officeDocument/2006/relationships" name="Dashboard" sheetId="1" r:id="R88aea4f745484e3a"/>
    <x:sheet xmlns:r="http://schemas.openxmlformats.org/officeDocument/2006/relationships" name="Personnages" sheetId="2" r:id="Rce559fdf66924408"/>
    <x:sheet xmlns:r="http://schemas.openxmlformats.org/officeDocument/2006/relationships" name="PNJ" sheetId="3" r:id="R9dd5f1cb59014ff0"/>
    <x:sheet xmlns:r="http://schemas.openxmlformats.org/officeDocument/2006/relationships" name="Especes_factions" sheetId="4" r:id="R265cd2ccd6534b56"/>
    <x:sheet xmlns:r="http://schemas.openxmlformats.org/officeDocument/2006/relationships" name="Mondes" sheetId="5" r:id="Rc2ddbefe211d4780"/>
    <x:sheet xmlns:r="http://schemas.openxmlformats.org/officeDocument/2006/relationships" name="Zones" sheetId="6" r:id="R2263fbb5b7894569"/>
    <x:sheet xmlns:r="http://schemas.openxmlformats.org/officeDocument/2006/relationships" name="Liaisons" sheetId="7" r:id="R5bd0d9e0c59b410f"/>
    <x:sheet xmlns:r="http://schemas.openxmlformats.org/officeDocument/2006/relationships" name="Decors" sheetId="8" r:id="R9b29f25df8704c8c"/>
    <x:sheet xmlns:r="http://schemas.openxmlformats.org/officeDocument/2006/relationships" name="Props" sheetId="9" r:id="R1ae97132f001435f"/>
    <x:sheet xmlns:r="http://schemas.openxmlformats.org/officeDocument/2006/relationships" name="Ennemis_boss" sheetId="10" r:id="R573f281e76054385"/>
    <x:sheet xmlns:r="http://schemas.openxmlformats.org/officeDocument/2006/relationships" name="Missions" sheetId="11" r:id="Rf0d34f8add8a4184"/>
    <x:sheet xmlns:r="http://schemas.openxmlformats.org/officeDocument/2006/relationships" name="Secondaires_DLC" sheetId="12" r:id="Rbb28daad6b0c4dc8"/>
    <x:sheet xmlns:r="http://schemas.openxmlformats.org/officeDocument/2006/relationships" name="Choix_relations" sheetId="13" r:id="R8bf5ff8eefc14bdd"/>
    <x:sheet xmlns:r="http://schemas.openxmlformats.org/officeDocument/2006/relationships" name="Dialogues" sheetId="14" r:id="R8be5f97eef414fbf"/>
    <x:sheet xmlns:r="http://schemas.openxmlformats.org/officeDocument/2006/relationships" name="Cinematiques" sheetId="15" r:id="R998eb429518e4e65"/>
    <x:sheet xmlns:r="http://schemas.openxmlformats.org/officeDocument/2006/relationships" name="Armes" sheetId="16" r:id="R9bb5e2b33f4c4c9d"/>
    <x:sheet xmlns:r="http://schemas.openxmlformats.org/officeDocument/2006/relationships" name="Armures_equipement" sheetId="17" r:id="Rbc22c8dd9c664583"/>
    <x:sheet xmlns:r="http://schemas.openxmlformats.org/officeDocument/2006/relationships" name="Pouvoirs" sheetId="18" r:id="Rd89f1855c9174383"/>
    <x:sheet xmlns:r="http://schemas.openxmlformats.org/officeDocument/2006/relationships" name="Movesets_allies" sheetId="19" r:id="Rfaccc2f0e59a4908"/>
    <x:sheet xmlns:r="http://schemas.openxmlformats.org/officeDocument/2006/relationships" name="Movesets_ennemis" sheetId="20" r:id="R307d3850afe44e14"/>
    <x:sheet xmlns:r="http://schemas.openxmlformats.org/officeDocument/2006/relationships" name="Animations" sheetId="21" r:id="R29aff8c9204b4a3b"/>
    <x:sheet xmlns:r="http://schemas.openxmlformats.org/officeDocument/2006/relationships" name="Sprites" sheetId="22" r:id="Rad72ea3726f944f2"/>
    <x:sheet xmlns:r="http://schemas.openxmlformats.org/officeDocument/2006/relationships" name="VFX" sheetId="23" r:id="R6dc896be3285417f"/>
    <x:sheet xmlns:r="http://schemas.openxmlformats.org/officeDocument/2006/relationships" name="Audio" sheetId="24" r:id="R94f436cb8d624c14"/>
    <x:sheet xmlns:r="http://schemas.openxmlformats.org/officeDocument/2006/relationships" name="UI_systemes" sheetId="25" r:id="R370c2d161fd84f5f"/>
    <x:sheet xmlns:r="http://schemas.openxmlformats.org/officeDocument/2006/relationships" name="QA" sheetId="26" r:id="Rea216148007f4af1"/>
    <x:sheet xmlns:r="http://schemas.openxmlformats.org/officeDocument/2006/relationships" name="Continuite" sheetId="27" r:id="R47e48c35439f4af6"/>
    <x:sheet xmlns:r="http://schemas.openxmlformats.org/officeDocument/2006/relationships" name="Guide" sheetId="28" r:id="Rf8d24f49ac1c4f5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6e5f017a0d504ca6" /><Relationship Type="http://schemas.openxmlformats.org/officeDocument/2006/relationships/theme" Target="/xl/theme/theme1.xml" Id="R3d0106e2001b4b8e" /><Relationship Type="http://schemas.openxmlformats.org/officeDocument/2006/relationships/sharedStrings" Target="/xl/sharedStrings.xml" Id="R6f2d659047c54050" /><Relationship Type="http://schemas.openxmlformats.org/officeDocument/2006/relationships/worksheet" Target="/xl/worksheets/sheet1.xml" Id="R88aea4f745484e3a" /><Relationship Type="http://schemas.openxmlformats.org/officeDocument/2006/relationships/worksheet" Target="/xl/worksheets/sheet2.xml" Id="Rce559fdf66924408" /><Relationship Type="http://schemas.openxmlformats.org/officeDocument/2006/relationships/worksheet" Target="/xl/worksheets/sheet3.xml" Id="R9dd5f1cb59014ff0" /><Relationship Type="http://schemas.openxmlformats.org/officeDocument/2006/relationships/worksheet" Target="/xl/worksheets/sheet4.xml" Id="R265cd2ccd6534b56" /><Relationship Type="http://schemas.openxmlformats.org/officeDocument/2006/relationships/worksheet" Target="/xl/worksheets/sheet5.xml" Id="Rc2ddbefe211d4780" /><Relationship Type="http://schemas.openxmlformats.org/officeDocument/2006/relationships/worksheet" Target="/xl/worksheets/sheet6.xml" Id="R2263fbb5b7894569" /><Relationship Type="http://schemas.openxmlformats.org/officeDocument/2006/relationships/worksheet" Target="/xl/worksheets/sheet7.xml" Id="R5bd0d9e0c59b410f" /><Relationship Type="http://schemas.openxmlformats.org/officeDocument/2006/relationships/worksheet" Target="/xl/worksheets/sheet8.xml" Id="R9b29f25df8704c8c" /><Relationship Type="http://schemas.openxmlformats.org/officeDocument/2006/relationships/worksheet" Target="/xl/worksheets/sheet9.xml" Id="R1ae97132f001435f" /><Relationship Type="http://schemas.openxmlformats.org/officeDocument/2006/relationships/worksheet" Target="/xl/worksheets/sheet10.xml" Id="R573f281e76054385" /><Relationship Type="http://schemas.openxmlformats.org/officeDocument/2006/relationships/worksheet" Target="/xl/worksheets/sheet11.xml" Id="Rf0d34f8add8a4184" /><Relationship Type="http://schemas.openxmlformats.org/officeDocument/2006/relationships/worksheet" Target="/xl/worksheets/sheet12.xml" Id="Rbb28daad6b0c4dc8" /><Relationship Type="http://schemas.openxmlformats.org/officeDocument/2006/relationships/worksheet" Target="/xl/worksheets/sheet13.xml" Id="R8bf5ff8eefc14bdd" /><Relationship Type="http://schemas.openxmlformats.org/officeDocument/2006/relationships/worksheet" Target="/xl/worksheets/sheet14.xml" Id="R8be5f97eef414fbf" /><Relationship Type="http://schemas.openxmlformats.org/officeDocument/2006/relationships/worksheet" Target="/xl/worksheets/sheet15.xml" Id="R998eb429518e4e65" /><Relationship Type="http://schemas.openxmlformats.org/officeDocument/2006/relationships/worksheet" Target="/xl/worksheets/sheet16.xml" Id="R9bb5e2b33f4c4c9d" /><Relationship Type="http://schemas.openxmlformats.org/officeDocument/2006/relationships/worksheet" Target="/xl/worksheets/sheet17.xml" Id="Rbc22c8dd9c664583" /><Relationship Type="http://schemas.openxmlformats.org/officeDocument/2006/relationships/worksheet" Target="/xl/worksheets/sheet18.xml" Id="Rd89f1855c9174383" /><Relationship Type="http://schemas.openxmlformats.org/officeDocument/2006/relationships/worksheet" Target="/xl/worksheets/sheet19.xml" Id="Rfaccc2f0e59a4908" /><Relationship Type="http://schemas.openxmlformats.org/officeDocument/2006/relationships/worksheet" Target="/xl/worksheets/sheet20.xml" Id="R307d3850afe44e14" /><Relationship Type="http://schemas.openxmlformats.org/officeDocument/2006/relationships/worksheet" Target="/xl/worksheets/sheet21.xml" Id="R29aff8c9204b4a3b" /><Relationship Type="http://schemas.openxmlformats.org/officeDocument/2006/relationships/worksheet" Target="/xl/worksheets/sheet22.xml" Id="Rad72ea3726f944f2" /><Relationship Type="http://schemas.openxmlformats.org/officeDocument/2006/relationships/worksheet" Target="/xl/worksheets/sheet23.xml" Id="R6dc896be3285417f" /><Relationship Type="http://schemas.openxmlformats.org/officeDocument/2006/relationships/worksheet" Target="/xl/worksheets/sheet24.xml" Id="R94f436cb8d624c14" /><Relationship Type="http://schemas.openxmlformats.org/officeDocument/2006/relationships/worksheet" Target="/xl/worksheets/sheet25.xml" Id="R370c2d161fd84f5f" /><Relationship Type="http://schemas.openxmlformats.org/officeDocument/2006/relationships/worksheet" Target="/xl/worksheets/sheet26.xml" Id="Rea216148007f4af1" /><Relationship Type="http://schemas.openxmlformats.org/officeDocument/2006/relationships/worksheet" Target="/xl/worksheets/sheet27.xml" Id="R47e48c35439f4af6" /><Relationship Type="http://schemas.openxmlformats.org/officeDocument/2006/relationships/worksheet" Target="/xl/worksheets/sheet28.xml" Id="Rf8d24f49ac1c4f51" /></Relationships>
</file>

<file path=xl/tables/table1.xml><?xml version="1.0" encoding="utf-8"?>
<x:table xmlns:x="http://schemas.openxmlformats.org/spreadsheetml/2006/main" id="1" name="MEA_characters" displayName="MEA_character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A_npcs" displayName="MEA_npc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A_lore" displayName="MEA_lore"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A_worlds" displayName="MEA_world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A_zones" displayName="MEA_zones" ref="A6:S51" headerRowCount="1" totalsRowCount="0" totalsRowShown="0">
  <x:autoFilter ref="A6:S5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A_links" displayName="MEA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A_scenery" displayName="MEA_scener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A_props" displayName="MEA_prop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A_enemies" displayName="MEA_enemi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A_main_quests" displayName="MEA_main_quest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A_side_quests" displayName="MEA_side_quests" ref="A6:S136" headerRowCount="1" totalsRowCount="0" totalsRowShown="0">
  <x:autoFilter ref="A6:S1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A_choices" displayName="MEA_choice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A_dialogues" displayName="MEA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A_cinematics" displayName="MEA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A_weapons" displayName="MEA_weapon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A_equipment" displayName="MEA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A_powers" displayName="MEA_powers" ref="A6:S49" headerRowCount="1" totalsRowCount="0" totalsRowShown="0">
  <x:autoFilter ref="A6:S4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A_ally_moves" displayName="MEA_ally_mov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A_enemy_moves" displayName="MEA_enemy_mov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A_animations" displayName="MEA_animation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A_sprites" displayName="MEA_sprites" ref="A6:S62" headerRowCount="1" totalsRowCount="0" totalsRowShown="0">
  <x:autoFilter ref="A6:S6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A_vfx" displayName="MEA_vfx"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A_audio" displayName="MEA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A_systems" displayName="MEA_system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A_qa" displayName="MEA_qa"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A_continuity" displayName="MEA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07af0b06f834189" /></Relationships>
</file>

<file path=xl/worksheets/_rels/sheet3.xml.rels>&#65279;<?xml version="1.0" encoding="utf-8"?><Relationships xmlns="http://schemas.openxmlformats.org/package/2006/relationships"><Relationship Type="http://schemas.openxmlformats.org/officeDocument/2006/relationships/table" Target="/xl/tables/table2.xml" Id="Rf8b3a9cf38634813" /></Relationships>
</file>

<file path=xl/worksheets/_rels/sheet4.xml.rels>&#65279;<?xml version="1.0" encoding="utf-8"?><Relationships xmlns="http://schemas.openxmlformats.org/package/2006/relationships"><Relationship Type="http://schemas.openxmlformats.org/officeDocument/2006/relationships/table" Target="/xl/tables/table3.xml" Id="R2b25a8222d3a4c74" /></Relationships>
</file>

<file path=xl/worksheets/_rels/sheet5.xml.rels>&#65279;<?xml version="1.0" encoding="utf-8"?><Relationships xmlns="http://schemas.openxmlformats.org/package/2006/relationships"><Relationship Type="http://schemas.openxmlformats.org/officeDocument/2006/relationships/table" Target="/xl/tables/table4.xml" Id="Rbae6dd622c144ab8" /></Relationships>
</file>

<file path=xl/worksheets/_rels/sheet6.xml.rels>&#65279;<?xml version="1.0" encoding="utf-8"?><Relationships xmlns="http://schemas.openxmlformats.org/package/2006/relationships"><Relationship Type="http://schemas.openxmlformats.org/officeDocument/2006/relationships/table" Target="/xl/tables/table5.xml" Id="R217bba8f9f7c4c89" /></Relationships>
</file>

<file path=xl/worksheets/_rels/sheet7.xml.rels>&#65279;<?xml version="1.0" encoding="utf-8"?><Relationships xmlns="http://schemas.openxmlformats.org/package/2006/relationships"><Relationship Type="http://schemas.openxmlformats.org/officeDocument/2006/relationships/table" Target="/xl/tables/table6.xml" Id="R08bd64bb17204543" /></Relationships>
</file>

<file path=xl/worksheets/_rels/sheet8.xml.rels>&#65279;<?xml version="1.0" encoding="utf-8"?><Relationships xmlns="http://schemas.openxmlformats.org/package/2006/relationships"><Relationship Type="http://schemas.openxmlformats.org/officeDocument/2006/relationships/table" Target="/xl/tables/table7.xml" Id="Re67fc50249834ae3" /></Relationships>
</file>

<file path=xl/worksheets/_rels/sheet9.xml.rels>&#65279;<?xml version="1.0" encoding="utf-8"?><Relationships xmlns="http://schemas.openxmlformats.org/package/2006/relationships"><Relationship Type="http://schemas.openxmlformats.org/officeDocument/2006/relationships/table" Target="/xl/tables/table8.xml" Id="Rf2363eb1a0bb4c6f" /></Relationships>
</file>

<file path=xl/worksheets/_rels/sheet10.xml.rels>&#65279;<?xml version="1.0" encoding="utf-8"?><Relationships xmlns="http://schemas.openxmlformats.org/package/2006/relationships"><Relationship Type="http://schemas.openxmlformats.org/officeDocument/2006/relationships/table" Target="/xl/tables/table9.xml" Id="Ra827be6e170f4875" /></Relationships>
</file>

<file path=xl/worksheets/_rels/sheet11.xml.rels>&#65279;<?xml version="1.0" encoding="utf-8"?><Relationships xmlns="http://schemas.openxmlformats.org/package/2006/relationships"><Relationship Type="http://schemas.openxmlformats.org/officeDocument/2006/relationships/table" Target="/xl/tables/table10.xml" Id="Ra2eaba8d8cb14d31" /></Relationships>
</file>

<file path=xl/worksheets/_rels/sheet12.xml.rels>&#65279;<?xml version="1.0" encoding="utf-8"?><Relationships xmlns="http://schemas.openxmlformats.org/package/2006/relationships"><Relationship Type="http://schemas.openxmlformats.org/officeDocument/2006/relationships/table" Target="/xl/tables/table11.xml" Id="Rc84f23c6d14546da" /></Relationships>
</file>

<file path=xl/worksheets/_rels/sheet13.xml.rels>&#65279;<?xml version="1.0" encoding="utf-8"?><Relationships xmlns="http://schemas.openxmlformats.org/package/2006/relationships"><Relationship Type="http://schemas.openxmlformats.org/officeDocument/2006/relationships/table" Target="/xl/tables/table12.xml" Id="Ree0bc67f08ce428d" /></Relationships>
</file>

<file path=xl/worksheets/_rels/sheet14.xml.rels>&#65279;<?xml version="1.0" encoding="utf-8"?><Relationships xmlns="http://schemas.openxmlformats.org/package/2006/relationships"><Relationship Type="http://schemas.openxmlformats.org/officeDocument/2006/relationships/table" Target="/xl/tables/table13.xml" Id="R6d6bb1f72c214391" /></Relationships>
</file>

<file path=xl/worksheets/_rels/sheet15.xml.rels>&#65279;<?xml version="1.0" encoding="utf-8"?><Relationships xmlns="http://schemas.openxmlformats.org/package/2006/relationships"><Relationship Type="http://schemas.openxmlformats.org/officeDocument/2006/relationships/table" Target="/xl/tables/table14.xml" Id="R92f080d907f34152" /></Relationships>
</file>

<file path=xl/worksheets/_rels/sheet16.xml.rels>&#65279;<?xml version="1.0" encoding="utf-8"?><Relationships xmlns="http://schemas.openxmlformats.org/package/2006/relationships"><Relationship Type="http://schemas.openxmlformats.org/officeDocument/2006/relationships/table" Target="/xl/tables/table15.xml" Id="R3e29aafa4f7642d4" /></Relationships>
</file>

<file path=xl/worksheets/_rels/sheet17.xml.rels>&#65279;<?xml version="1.0" encoding="utf-8"?><Relationships xmlns="http://schemas.openxmlformats.org/package/2006/relationships"><Relationship Type="http://schemas.openxmlformats.org/officeDocument/2006/relationships/table" Target="/xl/tables/table16.xml" Id="Rcae7b38e431147fd" /></Relationships>
</file>

<file path=xl/worksheets/_rels/sheet18.xml.rels>&#65279;<?xml version="1.0" encoding="utf-8"?><Relationships xmlns="http://schemas.openxmlformats.org/package/2006/relationships"><Relationship Type="http://schemas.openxmlformats.org/officeDocument/2006/relationships/table" Target="/xl/tables/table17.xml" Id="R1e131995fad14d0c" /></Relationships>
</file>

<file path=xl/worksheets/_rels/sheet19.xml.rels>&#65279;<?xml version="1.0" encoding="utf-8"?><Relationships xmlns="http://schemas.openxmlformats.org/package/2006/relationships"><Relationship Type="http://schemas.openxmlformats.org/officeDocument/2006/relationships/table" Target="/xl/tables/table18.xml" Id="Rd56b6d3ef33247a8" /></Relationships>
</file>

<file path=xl/worksheets/_rels/sheet20.xml.rels>&#65279;<?xml version="1.0" encoding="utf-8"?><Relationships xmlns="http://schemas.openxmlformats.org/package/2006/relationships"><Relationship Type="http://schemas.openxmlformats.org/officeDocument/2006/relationships/table" Target="/xl/tables/table19.xml" Id="R078083899a554347" /></Relationships>
</file>

<file path=xl/worksheets/_rels/sheet21.xml.rels>&#65279;<?xml version="1.0" encoding="utf-8"?><Relationships xmlns="http://schemas.openxmlformats.org/package/2006/relationships"><Relationship Type="http://schemas.openxmlformats.org/officeDocument/2006/relationships/table" Target="/xl/tables/table20.xml" Id="R606597d7041b4c08" /></Relationships>
</file>

<file path=xl/worksheets/_rels/sheet22.xml.rels>&#65279;<?xml version="1.0" encoding="utf-8"?><Relationships xmlns="http://schemas.openxmlformats.org/package/2006/relationships"><Relationship Type="http://schemas.openxmlformats.org/officeDocument/2006/relationships/table" Target="/xl/tables/table21.xml" Id="R9f9614774ba44e8a" /></Relationships>
</file>

<file path=xl/worksheets/_rels/sheet23.xml.rels>&#65279;<?xml version="1.0" encoding="utf-8"?><Relationships xmlns="http://schemas.openxmlformats.org/package/2006/relationships"><Relationship Type="http://schemas.openxmlformats.org/officeDocument/2006/relationships/table" Target="/xl/tables/table22.xml" Id="R30acc6c5ab6a415b" /></Relationships>
</file>

<file path=xl/worksheets/_rels/sheet24.xml.rels>&#65279;<?xml version="1.0" encoding="utf-8"?><Relationships xmlns="http://schemas.openxmlformats.org/package/2006/relationships"><Relationship Type="http://schemas.openxmlformats.org/officeDocument/2006/relationships/table" Target="/xl/tables/table23.xml" Id="R44ee11abb90645c3" /></Relationships>
</file>

<file path=xl/worksheets/_rels/sheet25.xml.rels>&#65279;<?xml version="1.0" encoding="utf-8"?><Relationships xmlns="http://schemas.openxmlformats.org/package/2006/relationships"><Relationship Type="http://schemas.openxmlformats.org/officeDocument/2006/relationships/table" Target="/xl/tables/table24.xml" Id="R30a3185d4ace4344" /></Relationships>
</file>

<file path=xl/worksheets/_rels/sheet26.xml.rels>&#65279;<?xml version="1.0" encoding="utf-8"?><Relationships xmlns="http://schemas.openxmlformats.org/package/2006/relationships"><Relationship Type="http://schemas.openxmlformats.org/officeDocument/2006/relationships/table" Target="/xl/tables/table25.xml" Id="Rb8ca280095834331" /></Relationships>
</file>

<file path=xl/worksheets/_rels/sheet27.xml.rels>&#65279;<?xml version="1.0" encoding="utf-8"?><Relationships xmlns="http://schemas.openxmlformats.org/package/2006/relationships"><Relationship Type="http://schemas.openxmlformats.org/officeDocument/2006/relationships/table" Target="/xl/tables/table26.xml" Id="Ra22ca73c86104075"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763</x:v>
      </x:c>
      <x:c r="C5" s="2"/>
      <x:c r="D5" s="2" t="str">
        <x:v>Intégrés</x:v>
      </x:c>
      <x:c r="E5" s="31" t="n">
        <x:f>SUM(E10:F35)</x:f>
        <x:v>0</x:v>
      </x:c>
      <x:c r="F5" s="2"/>
      <x:c r="G5" s="2" t="str">
        <x:v>À vérifier</x:v>
      </x:c>
      <x:c r="H5" s="31" t="n">
        <x:f>SUM(H10:H35)</x:f>
        <x:v>0</x:v>
      </x:c>
      <x:c r="I5" s="2"/>
      <x:c r="J5" s="2" t="str">
        <x:v>Extrapolations</x:v>
      </x:c>
      <x:c r="K5" s="31" t="n">
        <x:f>SUM(I10:I35)</x:f>
        <x:v>290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COUNTA('Personnages'!$A$7:$A$21)</x:f>
        <x:v>15</x:v>
      </x:c>
      <x:c r="C10" s="37" t="n">
        <x:f>COUNTIFS('Personnages'!$C$7:$C$21,"Défini")</x:f>
        <x:v>7</x:v>
      </x:c>
      <x:c r="D10" s="37" t="n">
        <x:f>COUNTIFS('Personnages'!$C$7:$C$21,"Prototype")</x:f>
        <x:v>8</x:v>
      </x:c>
      <x:c r="E10" s="37" t="n">
        <x:f>COUNTIFS('Personnages'!$C$7:$C$21,"Intégré")</x:f>
        <x:v>0</x:v>
      </x:c>
      <x:c r="F10" s="37" t="n">
        <x:f>COUNTIFS('Personnages'!$C$7:$C$21,"Validé")</x:f>
        <x:v>0</x:v>
      </x:c>
      <x:c r="G10" s="37" t="n">
        <x:f>COUNTIFS('Personnages'!$D$7:$D$21,"Établi")</x:f>
        <x:v>15</x:v>
      </x:c>
      <x:c r="H10" s="37" t="n">
        <x:f>COUNTIFS('Personnages'!$D$7:$D$21,"À vérifier")</x:f>
        <x:v>0</x:v>
      </x:c>
      <x:c r="I10" s="37" t="n">
        <x:f>COUNTIFS('Personnages'!$D$7:$D$21,"Extrapolation")</x:f>
        <x:v>0</x:v>
      </x:c>
      <x:c r="J10" s="37" t="n">
        <x:f>COUNTIFS('Personnages'!$D$7:$D$21,"Coupé attesté")</x:f>
        <x:v>0</x:v>
      </x:c>
      <x:c r="K10" s="37" t="n">
        <x:f>COUNTIFS('Personnages'!$D$7:$D$21,"Concept abandonné")</x:f>
        <x:v>0</x:v>
      </x:c>
      <x:c r="L10" s="37" t="n">
        <x:f>COUNTIFS('Personnages'!$D$7:$D$21,"Allégation écartée")</x:f>
        <x:v>0</x:v>
      </x:c>
      <x:c r="M10" s="37" t="n">
        <x:f>COUNTIFS('Personnages'!$E$7:$E$21,"P0")</x:f>
        <x:v>0</x:v>
      </x:c>
    </x:row>
    <x:row r="11" ht="22" customHeight="1">
      <x:c r="A11" s="2" t="str">
        <x:v>PNJ</x:v>
      </x:c>
      <x:c r="B11" s="38" t="n">
        <x:f>COUNTA('PNJ'!$A$7:$A$54)</x:f>
        <x:v>48</x:v>
      </x:c>
      <x:c r="C11" s="38" t="n">
        <x:f>COUNTIFS('PNJ'!$C$7:$C$54,"Défini")</x:f>
        <x:v>48</x:v>
      </x:c>
      <x:c r="D11" s="38" t="n">
        <x:f>COUNTIFS('PNJ'!$C$7:$C$54,"Prototype")</x:f>
        <x:v>0</x:v>
      </x:c>
      <x:c r="E11" s="38" t="n">
        <x:f>COUNTIFS('PNJ'!$C$7:$C$54,"Intégré")</x:f>
        <x:v>0</x:v>
      </x:c>
      <x:c r="F11" s="38" t="n">
        <x:f>COUNTIFS('PNJ'!$C$7:$C$54,"Validé")</x:f>
        <x:v>0</x:v>
      </x:c>
      <x:c r="G11" s="38" t="n">
        <x:f>COUNTIFS('PNJ'!$D$7:$D$54,"Établi")</x:f>
        <x:v>48</x:v>
      </x:c>
      <x:c r="H11" s="38" t="n">
        <x:f>COUNTIFS('PNJ'!$D$7:$D$54,"À vérifier")</x:f>
        <x:v>0</x:v>
      </x:c>
      <x:c r="I11" s="38" t="n">
        <x:f>COUNTIFS('PNJ'!$D$7:$D$54,"Extrapolation")</x:f>
        <x:v>0</x:v>
      </x:c>
      <x:c r="J11" s="38" t="n">
        <x:f>COUNTIFS('PNJ'!$D$7:$D$54,"Coupé attesté")</x:f>
        <x:v>0</x:v>
      </x:c>
      <x:c r="K11" s="38" t="n">
        <x:f>COUNTIFS('PNJ'!$D$7:$D$54,"Concept abandonné")</x:f>
        <x:v>0</x:v>
      </x:c>
      <x:c r="L11" s="38" t="n">
        <x:f>COUNTIFS('PNJ'!$D$7:$D$54,"Allégation écartée")</x:f>
        <x:v>0</x:v>
      </x:c>
      <x:c r="M11" s="38" t="n">
        <x:f>COUNTIFS('PNJ'!$E$7:$E$54,"P0")</x:f>
        <x:v>0</x:v>
      </x:c>
    </x:row>
    <x:row r="12" ht="22" customHeight="1">
      <x:c r="A12" s="33" t="str">
        <x:v>Espèces et factions</x:v>
      </x:c>
      <x:c r="B12" s="37" t="n">
        <x:f>COUNTA('Especes_factions'!$A$7:$A$24)</x:f>
        <x:v>18</x:v>
      </x:c>
      <x:c r="C12" s="37" t="n">
        <x:f>COUNTIFS('Especes_factions'!$C$7:$C$24,"Défini")</x:f>
        <x:v>18</x:v>
      </x:c>
      <x:c r="D12" s="37" t="n">
        <x:f>COUNTIFS('Especes_factions'!$C$7:$C$24,"Prototype")</x:f>
        <x:v>0</x:v>
      </x:c>
      <x:c r="E12" s="37" t="n">
        <x:f>COUNTIFS('Especes_factions'!$C$7:$C$24,"Intégré")</x:f>
        <x:v>0</x:v>
      </x:c>
      <x:c r="F12" s="37" t="n">
        <x:f>COUNTIFS('Especes_factions'!$C$7:$C$24,"Validé")</x:f>
        <x:v>0</x:v>
      </x:c>
      <x:c r="G12" s="37" t="n">
        <x:f>COUNTIFS('Especes_factions'!$D$7:$D$24,"Établi")</x:f>
        <x:v>18</x:v>
      </x:c>
      <x:c r="H12" s="37" t="n">
        <x:f>COUNTIFS('Especes_factions'!$D$7:$D$24,"À vérifier")</x:f>
        <x:v>0</x:v>
      </x:c>
      <x:c r="I12" s="37" t="n">
        <x:f>COUNTIFS('Especes_factions'!$D$7:$D$24,"Extrapolation")</x:f>
        <x:v>0</x:v>
      </x:c>
      <x:c r="J12" s="37" t="n">
        <x:f>COUNTIFS('Especes_factions'!$D$7:$D$24,"Coupé attesté")</x:f>
        <x:v>0</x:v>
      </x:c>
      <x:c r="K12" s="37" t="n">
        <x:f>COUNTIFS('Especes_factions'!$D$7:$D$24,"Concept abandonné")</x:f>
        <x:v>0</x:v>
      </x:c>
      <x:c r="L12" s="37" t="n">
        <x:f>COUNTIFS('Especes_factions'!$D$7:$D$24,"Allégation écartée")</x:f>
        <x:v>0</x:v>
      </x:c>
      <x:c r="M12" s="37" t="n">
        <x:f>COUNTIFS('Especes_factions'!$E$7:$E$24,"P0")</x:f>
        <x:v>0</x:v>
      </x:c>
    </x:row>
    <x:row r="13" ht="22" customHeight="1">
      <x:c r="A13" s="2" t="str">
        <x:v>Mondes</x:v>
      </x:c>
      <x:c r="B13" s="38" t="n">
        <x:f>COUNTA('Mondes'!$A$7:$A$23)</x:f>
        <x:v>17</x:v>
      </x:c>
      <x:c r="C13" s="38" t="n">
        <x:f>COUNTIFS('Mondes'!$C$7:$C$23,"Défini")</x:f>
        <x:v>17</x:v>
      </x:c>
      <x:c r="D13" s="38" t="n">
        <x:f>COUNTIFS('Mondes'!$C$7:$C$23,"Prototype")</x:f>
        <x:v>0</x:v>
      </x:c>
      <x:c r="E13" s="38" t="n">
        <x:f>COUNTIFS('Mondes'!$C$7:$C$23,"Intégré")</x:f>
        <x:v>0</x:v>
      </x:c>
      <x:c r="F13" s="38" t="n">
        <x:f>COUNTIFS('Mondes'!$C$7:$C$23,"Validé")</x:f>
        <x:v>0</x:v>
      </x:c>
      <x:c r="G13" s="38" t="n">
        <x:f>COUNTIFS('Mondes'!$D$7:$D$23,"Établi")</x:f>
        <x:v>17</x:v>
      </x:c>
      <x:c r="H13" s="38" t="n">
        <x:f>COUNTIFS('Mondes'!$D$7:$D$23,"À vérifier")</x:f>
        <x:v>0</x:v>
      </x:c>
      <x:c r="I13" s="38" t="n">
        <x:f>COUNTIFS('Mondes'!$D$7:$D$23,"Extrapolation")</x:f>
        <x:v>0</x:v>
      </x:c>
      <x:c r="J13" s="38" t="n">
        <x:f>COUNTIFS('Mondes'!$D$7:$D$23,"Coupé attesté")</x:f>
        <x:v>0</x:v>
      </x:c>
      <x:c r="K13" s="38" t="n">
        <x:f>COUNTIFS('Mondes'!$D$7:$D$23,"Concept abandonné")</x:f>
        <x:v>0</x:v>
      </x:c>
      <x:c r="L13" s="38" t="n">
        <x:f>COUNTIFS('Mondes'!$D$7:$D$23,"Allégation écartée")</x:f>
        <x:v>0</x:v>
      </x:c>
      <x:c r="M13" s="38" t="n">
        <x:f>COUNTIFS('Mondes'!$E$7:$E$23,"P0")</x:f>
        <x:v>0</x:v>
      </x:c>
    </x:row>
    <x:row r="14" ht="22" customHeight="1">
      <x:c r="A14" s="33" t="str">
        <x:v>Zones</x:v>
      </x:c>
      <x:c r="B14" s="37" t="n">
        <x:f>COUNTA('Zones'!$A$7:$A$51)</x:f>
        <x:v>45</x:v>
      </x:c>
      <x:c r="C14" s="37" t="n">
        <x:f>COUNTIFS('Zones'!$C$7:$C$51,"Défini")</x:f>
        <x:v>45</x:v>
      </x:c>
      <x:c r="D14" s="37" t="n">
        <x:f>COUNTIFS('Zones'!$C$7:$C$51,"Prototype")</x:f>
        <x:v>0</x:v>
      </x:c>
      <x:c r="E14" s="37" t="n">
        <x:f>COUNTIFS('Zones'!$C$7:$C$51,"Intégré")</x:f>
        <x:v>0</x:v>
      </x:c>
      <x:c r="F14" s="37" t="n">
        <x:f>COUNTIFS('Zones'!$C$7:$C$51,"Validé")</x:f>
        <x:v>0</x:v>
      </x:c>
      <x:c r="G14" s="37" t="n">
        <x:f>COUNTIFS('Zones'!$D$7:$D$51,"Établi")</x:f>
        <x:v>45</x:v>
      </x:c>
      <x:c r="H14" s="37" t="n">
        <x:f>COUNTIFS('Zones'!$D$7:$D$51,"À vérifier")</x:f>
        <x:v>0</x:v>
      </x:c>
      <x:c r="I14" s="37" t="n">
        <x:f>COUNTIFS('Zones'!$D$7:$D$51,"Extrapolation")</x:f>
        <x:v>0</x:v>
      </x:c>
      <x:c r="J14" s="37" t="n">
        <x:f>COUNTIFS('Zones'!$D$7:$D$51,"Coupé attesté")</x:f>
        <x:v>0</x:v>
      </x:c>
      <x:c r="K14" s="37" t="n">
        <x:f>COUNTIFS('Zones'!$D$7:$D$51,"Concept abandonné")</x:f>
        <x:v>0</x:v>
      </x:c>
      <x:c r="L14" s="37" t="n">
        <x:f>COUNTIFS('Zones'!$D$7:$D$51,"Allégation écartée")</x:f>
        <x:v>0</x:v>
      </x:c>
      <x:c r="M14" s="37" t="n">
        <x:f>COUNTIFS('Zones'!$E$7:$E$51,"P0")</x:f>
        <x:v>0</x:v>
      </x:c>
    </x:row>
    <x:row r="15" ht="22" customHeight="1">
      <x:c r="A15" s="2" t="str">
        <x:v>Liaisons</x:v>
      </x:c>
      <x:c r="B15" s="38" t="n">
        <x:f>COUNTA('Liaisons'!$A$7:$A$22)</x:f>
        <x:v>16</x:v>
      </x:c>
      <x:c r="C15" s="38" t="n">
        <x:f>COUNTIFS('Liaisons'!$C$7:$C$22,"Défini")</x:f>
        <x:v>16</x:v>
      </x:c>
      <x:c r="D15" s="38" t="n">
        <x:f>COUNTIFS('Liaisons'!$C$7:$C$22,"Prototype")</x:f>
        <x:v>0</x:v>
      </x:c>
      <x:c r="E15" s="38" t="n">
        <x:f>COUNTIFS('Liaisons'!$C$7:$C$22,"Intégré")</x:f>
        <x:v>0</x:v>
      </x:c>
      <x:c r="F15" s="38" t="n">
        <x:f>COUNTIFS('Liaisons'!$C$7:$C$22,"Validé")</x:f>
        <x:v>0</x:v>
      </x:c>
      <x:c r="G15" s="38" t="n">
        <x:f>COUNTIFS('Liaisons'!$D$7:$D$22,"Établi")</x:f>
        <x:v>0</x:v>
      </x:c>
      <x:c r="H15" s="38" t="n">
        <x:f>COUNTIFS('Liaisons'!$D$7:$D$22,"À vérifier")</x:f>
        <x:v>0</x:v>
      </x:c>
      <x:c r="I15" s="38" t="n">
        <x:f>COUNTIFS('Liaisons'!$D$7:$D$22,"Extrapolation")</x:f>
        <x:v>16</x:v>
      </x:c>
      <x:c r="J15" s="38" t="n">
        <x:f>COUNTIFS('Liaisons'!$D$7:$D$22,"Coupé attesté")</x:f>
        <x:v>0</x:v>
      </x:c>
      <x:c r="K15" s="38" t="n">
        <x:f>COUNTIFS('Liaisons'!$D$7:$D$22,"Concept abandonné")</x:f>
        <x:v>0</x:v>
      </x:c>
      <x:c r="L15" s="38" t="n">
        <x:f>COUNTIFS('Liaisons'!$D$7:$D$22,"Allégation écartée")</x:f>
        <x:v>0</x:v>
      </x:c>
      <x:c r="M15" s="38" t="n">
        <x:f>COUNTIFS('Liaisons'!$E$7:$E$22,"P0")</x:f>
        <x:v>0</x:v>
      </x:c>
    </x:row>
    <x:row r="16" ht="22" customHeight="1">
      <x:c r="A16" s="33" t="str">
        <x:v>Décors</x:v>
      </x:c>
      <x:c r="B16" s="37" t="n">
        <x:f>COUNTA('Decors'!$A$7:$A$20)</x:f>
        <x:v>14</x:v>
      </x:c>
      <x:c r="C16" s="37" t="n">
        <x:f>COUNTIFS('Decors'!$C$7:$C$20,"Défini")</x:f>
        <x:v>14</x:v>
      </x:c>
      <x:c r="D16" s="37" t="n">
        <x:f>COUNTIFS('Decors'!$C$7:$C$20,"Prototype")</x:f>
        <x:v>0</x:v>
      </x:c>
      <x:c r="E16" s="37" t="n">
        <x:f>COUNTIFS('Decors'!$C$7:$C$20,"Intégré")</x:f>
        <x:v>0</x:v>
      </x:c>
      <x:c r="F16" s="37" t="n">
        <x:f>COUNTIFS('Decors'!$C$7:$C$20,"Validé")</x:f>
        <x:v>0</x:v>
      </x:c>
      <x:c r="G16" s="37" t="n">
        <x:f>COUNTIFS('Decors'!$D$7:$D$20,"Établi")</x:f>
        <x:v>0</x:v>
      </x:c>
      <x:c r="H16" s="37" t="n">
        <x:f>COUNTIFS('Decors'!$D$7:$D$20,"À vérifier")</x:f>
        <x:v>0</x:v>
      </x:c>
      <x:c r="I16" s="37" t="n">
        <x:f>COUNTIFS('Decors'!$D$7:$D$20,"Extrapolation")</x:f>
        <x:v>14</x:v>
      </x:c>
      <x:c r="J16" s="37" t="n">
        <x:f>COUNTIFS('Decors'!$D$7:$D$20,"Coupé attesté")</x:f>
        <x:v>0</x:v>
      </x:c>
      <x:c r="K16" s="37" t="n">
        <x:f>COUNTIFS('Decors'!$D$7:$D$20,"Concept abandonné")</x:f>
        <x:v>0</x:v>
      </x:c>
      <x:c r="L16" s="37" t="n">
        <x:f>COUNTIFS('Decors'!$D$7:$D$20,"Allégation écartée")</x:f>
        <x:v>0</x:v>
      </x:c>
      <x:c r="M16" s="37" t="n">
        <x:f>COUNTIFS('Decors'!$E$7:$E$20,"P0")</x:f>
        <x:v>0</x:v>
      </x:c>
    </x:row>
    <x:row r="17" ht="22" customHeight="1">
      <x:c r="A17" s="2" t="str">
        <x:v>Props</x:v>
      </x:c>
      <x:c r="B17" s="38" t="n">
        <x:f>COUNTA('Props'!$A$7:$A$24)</x:f>
        <x:v>18</x:v>
      </x:c>
      <x:c r="C17" s="38" t="n">
        <x:f>COUNTIFS('Props'!$C$7:$C$24,"Défini")</x:f>
        <x:v>18</x:v>
      </x:c>
      <x:c r="D17" s="38" t="n">
        <x:f>COUNTIFS('Props'!$C$7:$C$24,"Prototype")</x:f>
        <x:v>0</x:v>
      </x:c>
      <x:c r="E17" s="38" t="n">
        <x:f>COUNTIFS('Props'!$C$7:$C$24,"Intégré")</x:f>
        <x:v>0</x:v>
      </x:c>
      <x:c r="F17" s="38" t="n">
        <x:f>COUNTIFS('Props'!$C$7:$C$24,"Validé")</x:f>
        <x:v>0</x:v>
      </x:c>
      <x:c r="G17" s="38" t="n">
        <x:f>COUNTIFS('Props'!$D$7:$D$24,"Établi")</x:f>
        <x:v>0</x:v>
      </x:c>
      <x:c r="H17" s="38" t="n">
        <x:f>COUNTIFS('Props'!$D$7:$D$24,"À vérifier")</x:f>
        <x:v>0</x:v>
      </x:c>
      <x:c r="I17" s="38" t="n">
        <x:f>COUNTIFS('Props'!$D$7:$D$24,"Extrapolation")</x:f>
        <x:v>18</x:v>
      </x:c>
      <x:c r="J17" s="38" t="n">
        <x:f>COUNTIFS('Props'!$D$7:$D$24,"Coupé attesté")</x:f>
        <x:v>0</x:v>
      </x:c>
      <x:c r="K17" s="38" t="n">
        <x:f>COUNTIFS('Props'!$D$7:$D$24,"Concept abandonné")</x:f>
        <x:v>0</x:v>
      </x:c>
      <x:c r="L17" s="38" t="n">
        <x:f>COUNTIFS('Props'!$D$7:$D$24,"Allégation écartée")</x:f>
        <x:v>0</x:v>
      </x:c>
      <x:c r="M17" s="38" t="n">
        <x:f>COUNTIFS('Props'!$E$7:$E$24,"P0")</x:f>
        <x:v>0</x:v>
      </x:c>
    </x:row>
    <x:row r="18" ht="22" customHeight="1">
      <x:c r="A18" s="33" t="str">
        <x:v>Ennemis et boss</x:v>
      </x:c>
      <x:c r="B18" s="37" t="n">
        <x:f>COUNTA('Ennemis_boss'!$A$7:$A$47)</x:f>
        <x:v>41</x:v>
      </x:c>
      <x:c r="C18" s="37" t="n">
        <x:f>COUNTIFS('Ennemis_boss'!$C$7:$C$47,"Défini")</x:f>
        <x:v>41</x:v>
      </x:c>
      <x:c r="D18" s="37" t="n">
        <x:f>COUNTIFS('Ennemis_boss'!$C$7:$C$47,"Prototype")</x:f>
        <x:v>0</x:v>
      </x:c>
      <x:c r="E18" s="37" t="n">
        <x:f>COUNTIFS('Ennemis_boss'!$C$7:$C$47,"Intégré")</x:f>
        <x:v>0</x:v>
      </x:c>
      <x:c r="F18" s="37" t="n">
        <x:f>COUNTIFS('Ennemis_boss'!$C$7:$C$47,"Validé")</x:f>
        <x:v>0</x:v>
      </x:c>
      <x:c r="G18" s="37" t="n">
        <x:f>COUNTIFS('Ennemis_boss'!$D$7:$D$47,"Établi")</x:f>
        <x:v>41</x:v>
      </x:c>
      <x:c r="H18" s="37" t="n">
        <x:f>COUNTIFS('Ennemis_boss'!$D$7:$D$47,"À vérifier")</x:f>
        <x:v>0</x:v>
      </x:c>
      <x:c r="I18" s="37" t="n">
        <x:f>COUNTIFS('Ennemis_boss'!$D$7:$D$47,"Extrapolation")</x:f>
        <x:v>0</x:v>
      </x:c>
      <x:c r="J18" s="37" t="n">
        <x:f>COUNTIFS('Ennemis_boss'!$D$7:$D$47,"Coupé attesté")</x:f>
        <x:v>0</x:v>
      </x:c>
      <x:c r="K18" s="37" t="n">
        <x:f>COUNTIFS('Ennemis_boss'!$D$7:$D$47,"Concept abandonné")</x:f>
        <x:v>0</x:v>
      </x:c>
      <x:c r="L18" s="37" t="n">
        <x:f>COUNTIFS('Ennemis_boss'!$D$7:$D$47,"Allégation écartée")</x:f>
        <x:v>0</x:v>
      </x:c>
      <x:c r="M18" s="37" t="n">
        <x:f>COUNTIFS('Ennemis_boss'!$E$7:$E$47,"P0")</x:f>
        <x:v>0</x:v>
      </x:c>
    </x:row>
    <x:row r="19" ht="22" customHeight="1">
      <x:c r="A19" s="2" t="str">
        <x:v>Missions</x:v>
      </x:c>
      <x:c r="B19" s="38" t="n">
        <x:f>COUNTA('Missions'!$A$7:$A$25)</x:f>
        <x:v>19</x:v>
      </x:c>
      <x:c r="C19" s="38" t="n">
        <x:f>COUNTIFS('Missions'!$C$7:$C$25,"Défini")</x:f>
        <x:v>19</x:v>
      </x:c>
      <x:c r="D19" s="38" t="n">
        <x:f>COUNTIFS('Missions'!$C$7:$C$25,"Prototype")</x:f>
        <x:v>0</x:v>
      </x:c>
      <x:c r="E19" s="38" t="n">
        <x:f>COUNTIFS('Missions'!$C$7:$C$25,"Intégré")</x:f>
        <x:v>0</x:v>
      </x:c>
      <x:c r="F19" s="38" t="n">
        <x:f>COUNTIFS('Missions'!$C$7:$C$25,"Validé")</x:f>
        <x:v>0</x:v>
      </x:c>
      <x:c r="G19" s="38" t="n">
        <x:f>COUNTIFS('Missions'!$D$7:$D$25,"Établi")</x:f>
        <x:v>19</x:v>
      </x:c>
      <x:c r="H19" s="38" t="n">
        <x:f>COUNTIFS('Missions'!$D$7:$D$25,"À vérifier")</x:f>
        <x:v>0</x:v>
      </x:c>
      <x:c r="I19" s="38" t="n">
        <x:f>COUNTIFS('Missions'!$D$7:$D$25,"Extrapolation")</x:f>
        <x:v>0</x:v>
      </x:c>
      <x:c r="J19" s="38" t="n">
        <x:f>COUNTIFS('Missions'!$D$7:$D$25,"Coupé attesté")</x:f>
        <x:v>0</x:v>
      </x:c>
      <x:c r="K19" s="38" t="n">
        <x:f>COUNTIFS('Missions'!$D$7:$D$25,"Concept abandonné")</x:f>
        <x:v>0</x:v>
      </x:c>
      <x:c r="L19" s="38" t="n">
        <x:f>COUNTIFS('Missions'!$D$7:$D$25,"Allégation écartée")</x:f>
        <x:v>0</x:v>
      </x:c>
      <x:c r="M19" s="38" t="n">
        <x:f>COUNTIFS('Missions'!$E$7:$E$25,"P0")</x:f>
        <x:v>0</x:v>
      </x:c>
    </x:row>
    <x:row r="20" ht="22" customHeight="1">
      <x:c r="A20" s="33" t="str">
        <x:v>Secondaires et DLC</x:v>
      </x:c>
      <x:c r="B20" s="37" t="n">
        <x:f>COUNTA('Secondaires_DLC'!$A$7:$A$136)</x:f>
        <x:v>130</x:v>
      </x:c>
      <x:c r="C20" s="37" t="n">
        <x:f>COUNTIFS('Secondaires_DLC'!$C$7:$C$136,"Défini")</x:f>
        <x:v>130</x:v>
      </x:c>
      <x:c r="D20" s="37" t="n">
        <x:f>COUNTIFS('Secondaires_DLC'!$C$7:$C$136,"Prototype")</x:f>
        <x:v>0</x:v>
      </x:c>
      <x:c r="E20" s="37" t="n">
        <x:f>COUNTIFS('Secondaires_DLC'!$C$7:$C$136,"Intégré")</x:f>
        <x:v>0</x:v>
      </x:c>
      <x:c r="F20" s="37" t="n">
        <x:f>COUNTIFS('Secondaires_DLC'!$C$7:$C$136,"Validé")</x:f>
        <x:v>0</x:v>
      </x:c>
      <x:c r="G20" s="37" t="n">
        <x:f>COUNTIFS('Secondaires_DLC'!$D$7:$D$136,"Établi")</x:f>
        <x:v>130</x:v>
      </x:c>
      <x:c r="H20" s="37" t="n">
        <x:f>COUNTIFS('Secondaires_DLC'!$D$7:$D$136,"À vérifier")</x:f>
        <x:v>0</x:v>
      </x:c>
      <x:c r="I20" s="37" t="n">
        <x:f>COUNTIFS('Secondaires_DLC'!$D$7:$D$136,"Extrapolation")</x:f>
        <x:v>0</x:v>
      </x:c>
      <x:c r="J20" s="37" t="n">
        <x:f>COUNTIFS('Secondaires_DLC'!$D$7:$D$136,"Coupé attesté")</x:f>
        <x:v>0</x:v>
      </x:c>
      <x:c r="K20" s="37" t="n">
        <x:f>COUNTIFS('Secondaires_DLC'!$D$7:$D$136,"Concept abandonné")</x:f>
        <x:v>0</x:v>
      </x:c>
      <x:c r="L20" s="37" t="n">
        <x:f>COUNTIFS('Secondaires_DLC'!$D$7:$D$136,"Allégation écartée")</x:f>
        <x:v>0</x:v>
      </x:c>
      <x:c r="M20" s="37" t="n">
        <x:f>COUNTIFS('Secondaires_DLC'!$E$7:$E$136,"P0")</x:f>
        <x:v>0</x:v>
      </x:c>
    </x:row>
    <x:row r="21" ht="22" customHeight="1">
      <x:c r="A21" s="2" t="str">
        <x:v>Choix et relations</x:v>
      </x:c>
      <x:c r="B21" s="38" t="n">
        <x:f>COUNTA('Choix_relations'!$A$7:$A$33)</x:f>
        <x:v>27</x:v>
      </x:c>
      <x:c r="C21" s="38" t="n">
        <x:f>COUNTIFS('Choix_relations'!$C$7:$C$33,"Défini")</x:f>
        <x:v>27</x:v>
      </x:c>
      <x:c r="D21" s="38" t="n">
        <x:f>COUNTIFS('Choix_relations'!$C$7:$C$33,"Prototype")</x:f>
        <x:v>0</x:v>
      </x:c>
      <x:c r="E21" s="38" t="n">
        <x:f>COUNTIFS('Choix_relations'!$C$7:$C$33,"Intégré")</x:f>
        <x:v>0</x:v>
      </x:c>
      <x:c r="F21" s="38" t="n">
        <x:f>COUNTIFS('Choix_relations'!$C$7:$C$33,"Validé")</x:f>
        <x:v>0</x:v>
      </x:c>
      <x:c r="G21" s="38" t="n">
        <x:f>COUNTIFS('Choix_relations'!$D$7:$D$33,"Établi")</x:f>
        <x:v>27</x:v>
      </x:c>
      <x:c r="H21" s="38" t="n">
        <x:f>COUNTIFS('Choix_relations'!$D$7:$D$33,"À vérifier")</x:f>
        <x:v>0</x:v>
      </x:c>
      <x:c r="I21" s="38" t="n">
        <x:f>COUNTIFS('Choix_relations'!$D$7:$D$33,"Extrapolation")</x:f>
        <x:v>0</x:v>
      </x:c>
      <x:c r="J21" s="38" t="n">
        <x:f>COUNTIFS('Choix_relations'!$D$7:$D$33,"Coupé attesté")</x:f>
        <x:v>0</x:v>
      </x:c>
      <x:c r="K21" s="38" t="n">
        <x:f>COUNTIFS('Choix_relations'!$D$7:$D$33,"Concept abandonné")</x:f>
        <x:v>0</x:v>
      </x:c>
      <x:c r="L21" s="38" t="n">
        <x:f>COUNTIFS('Choix_relations'!$D$7:$D$33,"Allégation écartée")</x:f>
        <x:v>0</x:v>
      </x:c>
      <x:c r="M21" s="38" t="n">
        <x:f>COUNTIFS('Choix_relations'!$E$7:$E$33,"P0")</x:f>
        <x:v>0</x:v>
      </x:c>
    </x:row>
    <x:row r="22" ht="22" customHeight="1">
      <x:c r="A22" s="33" t="str">
        <x:v>Dialogues</x:v>
      </x:c>
      <x:c r="B22" s="37" t="n">
        <x:f>COUNTA('Dialogues'!$A$7:$A$18)</x:f>
        <x:v>12</x:v>
      </x:c>
      <x:c r="C22" s="37" t="n">
        <x:f>COUNTIFS('Dialogues'!$C$7:$C$18,"Défini")</x:f>
        <x:v>12</x:v>
      </x:c>
      <x:c r="D22" s="37" t="n">
        <x:f>COUNTIFS('Dialogues'!$C$7:$C$18,"Prototype")</x:f>
        <x:v>0</x:v>
      </x:c>
      <x:c r="E22" s="37" t="n">
        <x:f>COUNTIFS('Dialogues'!$C$7:$C$18,"Intégré")</x:f>
        <x:v>0</x:v>
      </x:c>
      <x:c r="F22" s="37" t="n">
        <x:f>COUNTIFS('Dialogues'!$C$7:$C$18,"Validé")</x:f>
        <x:v>0</x:v>
      </x:c>
      <x:c r="G22" s="37" t="n">
        <x:f>COUNTIFS('Dialogues'!$D$7:$D$18,"Établi")</x:f>
        <x:v>0</x:v>
      </x:c>
      <x:c r="H22" s="37" t="n">
        <x:f>COUNTIFS('Dialogues'!$D$7:$D$18,"À vérifier")</x:f>
        <x:v>0</x:v>
      </x:c>
      <x:c r="I22" s="37" t="n">
        <x:f>COUNTIFS('Dialogues'!$D$7:$D$18,"Extrapolation")</x:f>
        <x:v>12</x:v>
      </x:c>
      <x:c r="J22" s="37" t="n">
        <x:f>COUNTIFS('Dialogues'!$D$7:$D$18,"Coupé attesté")</x:f>
        <x:v>0</x:v>
      </x:c>
      <x:c r="K22" s="37" t="n">
        <x:f>COUNTIFS('Dialogues'!$D$7:$D$18,"Concept abandonné")</x:f>
        <x:v>0</x:v>
      </x:c>
      <x:c r="L22" s="37" t="n">
        <x:f>COUNTIFS('Dialogues'!$D$7:$D$18,"Allégation écartée")</x:f>
        <x:v>0</x:v>
      </x:c>
      <x:c r="M22" s="37" t="n">
        <x:f>COUNTIFS('Dialogues'!$E$7:$E$18,"P0")</x:f>
        <x:v>0</x:v>
      </x:c>
    </x:row>
    <x:row r="23" ht="22" customHeight="1">
      <x:c r="A23" s="2" t="str">
        <x:v>Cinématiques</x:v>
      </x:c>
      <x:c r="B23" s="38" t="n">
        <x:f>COUNTA('Cinematiques'!$A$7:$A$18)</x:f>
        <x:v>12</x:v>
      </x:c>
      <x:c r="C23" s="38" t="n">
        <x:f>COUNTIFS('Cinematiques'!$C$7:$C$18,"Défini")</x:f>
        <x:v>12</x:v>
      </x:c>
      <x:c r="D23" s="38" t="n">
        <x:f>COUNTIFS('Cinematiques'!$C$7:$C$18,"Prototype")</x:f>
        <x:v>0</x:v>
      </x:c>
      <x:c r="E23" s="38" t="n">
        <x:f>COUNTIFS('Cinematiques'!$C$7:$C$18,"Intégré")</x:f>
        <x:v>0</x:v>
      </x:c>
      <x:c r="F23" s="38" t="n">
        <x:f>COUNTIFS('Cinematiques'!$C$7:$C$18,"Validé")</x:f>
        <x:v>0</x:v>
      </x:c>
      <x:c r="G23" s="38" t="n">
        <x:f>COUNTIFS('Cinematiques'!$D$7:$D$18,"Établi")</x:f>
        <x:v>0</x:v>
      </x:c>
      <x:c r="H23" s="38" t="n">
        <x:f>COUNTIFS('Cinematiques'!$D$7:$D$18,"À vérifier")</x:f>
        <x:v>0</x:v>
      </x:c>
      <x:c r="I23" s="38" t="n">
        <x:f>COUNTIFS('Cinematiques'!$D$7:$D$18,"Extrapolation")</x:f>
        <x:v>12</x:v>
      </x:c>
      <x:c r="J23" s="38" t="n">
        <x:f>COUNTIFS('Cinematiques'!$D$7:$D$18,"Coupé attesté")</x:f>
        <x:v>0</x:v>
      </x:c>
      <x:c r="K23" s="38" t="n">
        <x:f>COUNTIFS('Cinematiques'!$D$7:$D$18,"Concept abandonné")</x:f>
        <x:v>0</x:v>
      </x:c>
      <x:c r="L23" s="38" t="n">
        <x:f>COUNTIFS('Cinematiques'!$D$7:$D$18,"Allégation écartée")</x:f>
        <x:v>0</x:v>
      </x:c>
      <x:c r="M23" s="38" t="n">
        <x:f>COUNTIFS('Cinematiques'!$E$7:$E$18,"P0")</x:f>
        <x:v>0</x:v>
      </x:c>
    </x:row>
    <x:row r="24" ht="22" customHeight="1">
      <x:c r="A24" s="33" t="str">
        <x:v>Armes</x:v>
      </x:c>
      <x:c r="B24" s="37" t="n">
        <x:f>COUNTA('Armes'!$A$7:$A$54)</x:f>
        <x:v>48</x:v>
      </x:c>
      <x:c r="C24" s="37" t="n">
        <x:f>COUNTIFS('Armes'!$C$7:$C$54,"Défini")</x:f>
        <x:v>22</x:v>
      </x:c>
      <x:c r="D24" s="37" t="n">
        <x:f>COUNTIFS('Armes'!$C$7:$C$54,"Prototype")</x:f>
        <x:v>26</x:v>
      </x:c>
      <x:c r="E24" s="37" t="n">
        <x:f>COUNTIFS('Armes'!$C$7:$C$54,"Intégré")</x:f>
        <x:v>0</x:v>
      </x:c>
      <x:c r="F24" s="37" t="n">
        <x:f>COUNTIFS('Armes'!$C$7:$C$54,"Validé")</x:f>
        <x:v>0</x:v>
      </x:c>
      <x:c r="G24" s="37" t="n">
        <x:f>COUNTIFS('Armes'!$D$7:$D$54,"Établi")</x:f>
        <x:v>48</x:v>
      </x:c>
      <x:c r="H24" s="37" t="n">
        <x:f>COUNTIFS('Armes'!$D$7:$D$54,"À vérifier")</x:f>
        <x:v>0</x:v>
      </x:c>
      <x:c r="I24" s="37" t="n">
        <x:f>COUNTIFS('Armes'!$D$7:$D$54,"Extrapolation")</x:f>
        <x:v>0</x:v>
      </x:c>
      <x:c r="J24" s="37" t="n">
        <x:f>COUNTIFS('Armes'!$D$7:$D$54,"Coupé attesté")</x:f>
        <x:v>0</x:v>
      </x:c>
      <x:c r="K24" s="37" t="n">
        <x:f>COUNTIFS('Armes'!$D$7:$D$54,"Concept abandonné")</x:f>
        <x:v>0</x:v>
      </x:c>
      <x:c r="L24" s="37" t="n">
        <x:f>COUNTIFS('Armes'!$D$7:$D$54,"Allégation écartée")</x:f>
        <x:v>0</x:v>
      </x:c>
      <x:c r="M24" s="37" t="n">
        <x:f>COUNTIFS('Armes'!$E$7:$E$54,"P0")</x:f>
        <x:v>0</x:v>
      </x:c>
    </x:row>
    <x:row r="25" ht="22" customHeight="1">
      <x:c r="A25" s="2" t="str">
        <x:v>Armures et équipement</x:v>
      </x:c>
      <x:c r="B25" s="38" t="n">
        <x:f>COUNTA('Armures_equipement'!$A$7:$A$28)</x:f>
        <x:v>22</x:v>
      </x:c>
      <x:c r="C25" s="38" t="n">
        <x:f>COUNTIFS('Armures_equipement'!$C$7:$C$28,"Défini")</x:f>
        <x:v>14</x:v>
      </x:c>
      <x:c r="D25" s="38" t="n">
        <x:f>COUNTIFS('Armures_equipement'!$C$7:$C$28,"Prototype")</x:f>
        <x:v>8</x:v>
      </x:c>
      <x:c r="E25" s="38" t="n">
        <x:f>COUNTIFS('Armures_equipement'!$C$7:$C$28,"Intégré")</x:f>
        <x:v>0</x:v>
      </x:c>
      <x:c r="F25" s="38" t="n">
        <x:f>COUNTIFS('Armures_equipement'!$C$7:$C$28,"Validé")</x:f>
        <x:v>0</x:v>
      </x:c>
      <x:c r="G25" s="38" t="n">
        <x:f>COUNTIFS('Armures_equipement'!$D$7:$D$28,"Établi")</x:f>
        <x:v>22</x:v>
      </x:c>
      <x:c r="H25" s="38" t="n">
        <x:f>COUNTIFS('Armures_equipement'!$D$7:$D$28,"À vérifier")</x:f>
        <x:v>0</x:v>
      </x:c>
      <x:c r="I25" s="38" t="n">
        <x:f>COUNTIFS('Armures_equipement'!$D$7:$D$28,"Extrapolation")</x:f>
        <x:v>0</x:v>
      </x:c>
      <x:c r="J25" s="38" t="n">
        <x:f>COUNTIFS('Armures_equipement'!$D$7:$D$28,"Coupé attesté")</x:f>
        <x:v>0</x:v>
      </x:c>
      <x:c r="K25" s="38" t="n">
        <x:f>COUNTIFS('Armures_equipement'!$D$7:$D$28,"Concept abandonné")</x:f>
        <x:v>0</x:v>
      </x:c>
      <x:c r="L25" s="38" t="n">
        <x:f>COUNTIFS('Armures_equipement'!$D$7:$D$28,"Allégation écartée")</x:f>
        <x:v>0</x:v>
      </x:c>
      <x:c r="M25" s="38" t="n">
        <x:f>COUNTIFS('Armures_equipement'!$E$7:$E$28,"P0")</x:f>
        <x:v>0</x:v>
      </x:c>
    </x:row>
    <x:row r="26" ht="22" customHeight="1">
      <x:c r="A26" s="33" t="str">
        <x:v>Pouvoirs</x:v>
      </x:c>
      <x:c r="B26" s="37" t="n">
        <x:f>COUNTA('Pouvoirs'!$A$7:$A$49)</x:f>
        <x:v>43</x:v>
      </x:c>
      <x:c r="C26" s="37" t="n">
        <x:f>COUNTIFS('Pouvoirs'!$C$7:$C$49,"Défini")</x:f>
        <x:v>33</x:v>
      </x:c>
      <x:c r="D26" s="37" t="n">
        <x:f>COUNTIFS('Pouvoirs'!$C$7:$C$49,"Prototype")</x:f>
        <x:v>10</x:v>
      </x:c>
      <x:c r="E26" s="37" t="n">
        <x:f>COUNTIFS('Pouvoirs'!$C$7:$C$49,"Intégré")</x:f>
        <x:v>0</x:v>
      </x:c>
      <x:c r="F26" s="37" t="n">
        <x:f>COUNTIFS('Pouvoirs'!$C$7:$C$49,"Validé")</x:f>
        <x:v>0</x:v>
      </x:c>
      <x:c r="G26" s="37" t="n">
        <x:f>COUNTIFS('Pouvoirs'!$D$7:$D$49,"Établi")</x:f>
        <x:v>43</x:v>
      </x:c>
      <x:c r="H26" s="37" t="n">
        <x:f>COUNTIFS('Pouvoirs'!$D$7:$D$49,"À vérifier")</x:f>
        <x:v>0</x:v>
      </x:c>
      <x:c r="I26" s="37" t="n">
        <x:f>COUNTIFS('Pouvoirs'!$D$7:$D$49,"Extrapolation")</x:f>
        <x:v>0</x:v>
      </x:c>
      <x:c r="J26" s="37" t="n">
        <x:f>COUNTIFS('Pouvoirs'!$D$7:$D$49,"Coupé attesté")</x:f>
        <x:v>0</x:v>
      </x:c>
      <x:c r="K26" s="37" t="n">
        <x:f>COUNTIFS('Pouvoirs'!$D$7:$D$49,"Concept abandonné")</x:f>
        <x:v>0</x:v>
      </x:c>
      <x:c r="L26" s="37" t="n">
        <x:f>COUNTIFS('Pouvoirs'!$D$7:$D$49,"Allégation écartée")</x:f>
        <x:v>0</x:v>
      </x:c>
      <x:c r="M26" s="37" t="n">
        <x:f>COUNTIFS('Pouvoirs'!$E$7:$E$49,"P0")</x:f>
        <x:v>0</x:v>
      </x:c>
    </x:row>
    <x:row r="27" ht="22" customHeight="1">
      <x:c r="A27" s="2" t="str">
        <x:v>Movesets alliés</x:v>
      </x:c>
      <x:c r="B27" s="38" t="n">
        <x:f>COUNTA('Movesets_allies'!$A$7:$A$18)</x:f>
        <x:v>12</x:v>
      </x:c>
      <x:c r="C27" s="38" t="n">
        <x:f>COUNTIFS('Movesets_allies'!$C$7:$C$18,"Défini")</x:f>
        <x:v>12</x:v>
      </x:c>
      <x:c r="D27" s="38" t="n">
        <x:f>COUNTIFS('Movesets_allies'!$C$7:$C$18,"Prototype")</x:f>
        <x:v>0</x:v>
      </x:c>
      <x:c r="E27" s="38" t="n">
        <x:f>COUNTIFS('Movesets_allies'!$C$7:$C$18,"Intégré")</x:f>
        <x:v>0</x:v>
      </x:c>
      <x:c r="F27" s="38" t="n">
        <x:f>COUNTIFS('Movesets_allies'!$C$7:$C$18,"Validé")</x:f>
        <x:v>0</x:v>
      </x:c>
      <x:c r="G27" s="38" t="n">
        <x:f>COUNTIFS('Movesets_allies'!$D$7:$D$18,"Établi")</x:f>
        <x:v>0</x:v>
      </x:c>
      <x:c r="H27" s="38" t="n">
        <x:f>COUNTIFS('Movesets_allies'!$D$7:$D$18,"À vérifier")</x:f>
        <x:v>0</x:v>
      </x:c>
      <x:c r="I27" s="38" t="n">
        <x:f>COUNTIFS('Movesets_allies'!$D$7:$D$18,"Extrapolation")</x:f>
        <x:v>12</x:v>
      </x:c>
      <x:c r="J27" s="38" t="n">
        <x:f>COUNTIFS('Movesets_allies'!$D$7:$D$18,"Coupé attesté")</x:f>
        <x:v>0</x:v>
      </x:c>
      <x:c r="K27" s="38" t="n">
        <x:f>COUNTIFS('Movesets_allies'!$D$7:$D$18,"Concept abandonné")</x:f>
        <x:v>0</x:v>
      </x:c>
      <x:c r="L27" s="38" t="n">
        <x:f>COUNTIFS('Movesets_allies'!$D$7:$D$18,"Allégation écartée")</x:f>
        <x:v>0</x:v>
      </x:c>
      <x:c r="M27" s="38" t="n">
        <x:f>COUNTIFS('Movesets_allies'!$E$7:$E$18,"P0")</x:f>
        <x:v>0</x:v>
      </x:c>
    </x:row>
    <x:row r="28" ht="22" customHeight="1">
      <x:c r="A28" s="33" t="str">
        <x:v>Movesets ennemis</x:v>
      </x:c>
      <x:c r="B28" s="37" t="n">
        <x:f>COUNTA('Movesets_ennemis'!$A$7:$A$47)</x:f>
        <x:v>41</x:v>
      </x:c>
      <x:c r="C28" s="37" t="n">
        <x:f>COUNTIFS('Movesets_ennemis'!$C$7:$C$47,"Défini")</x:f>
        <x:v>41</x:v>
      </x:c>
      <x:c r="D28" s="37" t="n">
        <x:f>COUNTIFS('Movesets_ennemis'!$C$7:$C$47,"Prototype")</x:f>
        <x:v>0</x:v>
      </x:c>
      <x:c r="E28" s="37" t="n">
        <x:f>COUNTIFS('Movesets_ennemis'!$C$7:$C$47,"Intégré")</x:f>
        <x:v>0</x:v>
      </x:c>
      <x:c r="F28" s="37" t="n">
        <x:f>COUNTIFS('Movesets_ennemis'!$C$7:$C$47,"Validé")</x:f>
        <x:v>0</x:v>
      </x:c>
      <x:c r="G28" s="37" t="n">
        <x:f>COUNTIFS('Movesets_ennemis'!$D$7:$D$47,"Établi")</x:f>
        <x:v>0</x:v>
      </x:c>
      <x:c r="H28" s="37" t="n">
        <x:f>COUNTIFS('Movesets_ennemis'!$D$7:$D$47,"À vérifier")</x:f>
        <x:v>0</x:v>
      </x:c>
      <x:c r="I28" s="37" t="n">
        <x:f>COUNTIFS('Movesets_ennemis'!$D$7:$D$47,"Extrapolation")</x:f>
        <x:v>41</x:v>
      </x:c>
      <x:c r="J28" s="37" t="n">
        <x:f>COUNTIFS('Movesets_ennemis'!$D$7:$D$47,"Coupé attesté")</x:f>
        <x:v>0</x:v>
      </x:c>
      <x:c r="K28" s="37" t="n">
        <x:f>COUNTIFS('Movesets_ennemis'!$D$7:$D$47,"Concept abandonné")</x:f>
        <x:v>0</x:v>
      </x:c>
      <x:c r="L28" s="37" t="n">
        <x:f>COUNTIFS('Movesets_ennemis'!$D$7:$D$47,"Allégation écartée")</x:f>
        <x:v>0</x:v>
      </x:c>
      <x:c r="M28" s="37" t="n">
        <x:f>COUNTIFS('Movesets_ennemis'!$E$7:$E$47,"P0")</x:f>
        <x:v>0</x:v>
      </x:c>
    </x:row>
    <x:row r="29" ht="22" customHeight="1">
      <x:c r="A29" s="2" t="str">
        <x:v>Animations</x:v>
      </x:c>
      <x:c r="B29" s="38" t="n">
        <x:f>COUNTA('Animations'!$A$7:$A$22)</x:f>
        <x:v>16</x:v>
      </x:c>
      <x:c r="C29" s="38" t="n">
        <x:f>COUNTIFS('Animations'!$C$7:$C$22,"Défini")</x:f>
        <x:v>16</x:v>
      </x:c>
      <x:c r="D29" s="38" t="n">
        <x:f>COUNTIFS('Animations'!$C$7:$C$22,"Prototype")</x:f>
        <x:v>0</x:v>
      </x:c>
      <x:c r="E29" s="38" t="n">
        <x:f>COUNTIFS('Animations'!$C$7:$C$22,"Intégré")</x:f>
        <x:v>0</x:v>
      </x:c>
      <x:c r="F29" s="38" t="n">
        <x:f>COUNTIFS('Animations'!$C$7:$C$22,"Validé")</x:f>
        <x:v>0</x:v>
      </x:c>
      <x:c r="G29" s="38" t="n">
        <x:f>COUNTIFS('Animations'!$D$7:$D$22,"Établi")</x:f>
        <x:v>0</x:v>
      </x:c>
      <x:c r="H29" s="38" t="n">
        <x:f>COUNTIFS('Animations'!$D$7:$D$22,"À vérifier")</x:f>
        <x:v>0</x:v>
      </x:c>
      <x:c r="I29" s="38" t="n">
        <x:f>COUNTIFS('Animations'!$D$7:$D$22,"Extrapolation")</x:f>
        <x:v>16</x:v>
      </x:c>
      <x:c r="J29" s="38" t="n">
        <x:f>COUNTIFS('Animations'!$D$7:$D$22,"Coupé attesté")</x:f>
        <x:v>0</x:v>
      </x:c>
      <x:c r="K29" s="38" t="n">
        <x:f>COUNTIFS('Animations'!$D$7:$D$22,"Concept abandonné")</x:f>
        <x:v>0</x:v>
      </x:c>
      <x:c r="L29" s="38" t="n">
        <x:f>COUNTIFS('Animations'!$D$7:$D$22,"Allégation écartée")</x:f>
        <x:v>0</x:v>
      </x:c>
      <x:c r="M29" s="38" t="n">
        <x:f>COUNTIFS('Animations'!$E$7:$E$22,"P0")</x:f>
        <x:v>0</x:v>
      </x:c>
    </x:row>
    <x:row r="30" ht="22" customHeight="1">
      <x:c r="A30" s="33" t="str">
        <x:v>Sprites</x:v>
      </x:c>
      <x:c r="B30" s="37" t="n">
        <x:f>COUNTA('Sprites'!$A$7:$A$62)</x:f>
        <x:v>56</x:v>
      </x:c>
      <x:c r="C30" s="37" t="n">
        <x:f>COUNTIFS('Sprites'!$C$7:$C$62,"Défini")</x:f>
        <x:v>56</x:v>
      </x:c>
      <x:c r="D30" s="37" t="n">
        <x:f>COUNTIFS('Sprites'!$C$7:$C$62,"Prototype")</x:f>
        <x:v>0</x:v>
      </x:c>
      <x:c r="E30" s="37" t="n">
        <x:f>COUNTIFS('Sprites'!$C$7:$C$62,"Intégré")</x:f>
        <x:v>0</x:v>
      </x:c>
      <x:c r="F30" s="37" t="n">
        <x:f>COUNTIFS('Sprites'!$C$7:$C$62,"Validé")</x:f>
        <x:v>0</x:v>
      </x:c>
      <x:c r="G30" s="37" t="n">
        <x:f>COUNTIFS('Sprites'!$D$7:$D$62,"Établi")</x:f>
        <x:v>0</x:v>
      </x:c>
      <x:c r="H30" s="37" t="n">
        <x:f>COUNTIFS('Sprites'!$D$7:$D$62,"À vérifier")</x:f>
        <x:v>0</x:v>
      </x:c>
      <x:c r="I30" s="37" t="n">
        <x:f>COUNTIFS('Sprites'!$D$7:$D$62,"Extrapolation")</x:f>
        <x:v>56</x:v>
      </x:c>
      <x:c r="J30" s="37" t="n">
        <x:f>COUNTIFS('Sprites'!$D$7:$D$62,"Coupé attesté")</x:f>
        <x:v>0</x:v>
      </x:c>
      <x:c r="K30" s="37" t="n">
        <x:f>COUNTIFS('Sprites'!$D$7:$D$62,"Concept abandonné")</x:f>
        <x:v>0</x:v>
      </x:c>
      <x:c r="L30" s="37" t="n">
        <x:f>COUNTIFS('Sprites'!$D$7:$D$62,"Allégation écartée")</x:f>
        <x:v>0</x:v>
      </x:c>
      <x:c r="M30" s="37" t="n">
        <x:f>COUNTIFS('Sprites'!$E$7:$E$62,"P0")</x:f>
        <x:v>0</x:v>
      </x:c>
    </x:row>
    <x:row r="31" ht="22" customHeight="1">
      <x:c r="A31" s="2" t="str">
        <x:v>VFX</x:v>
      </x:c>
      <x:c r="B31" s="38" t="n">
        <x:f>COUNTA('VFX'!$A$7:$A$20)</x:f>
        <x:v>14</x:v>
      </x:c>
      <x:c r="C31" s="38" t="n">
        <x:f>COUNTIFS('VFX'!$C$7:$C$20,"Défini")</x:f>
        <x:v>14</x:v>
      </x:c>
      <x:c r="D31" s="38" t="n">
        <x:f>COUNTIFS('VFX'!$C$7:$C$20,"Prototype")</x:f>
        <x:v>0</x:v>
      </x:c>
      <x:c r="E31" s="38" t="n">
        <x:f>COUNTIFS('VFX'!$C$7:$C$20,"Intégré")</x:f>
        <x:v>0</x:v>
      </x:c>
      <x:c r="F31" s="38" t="n">
        <x:f>COUNTIFS('VFX'!$C$7:$C$20,"Validé")</x:f>
        <x:v>0</x:v>
      </x:c>
      <x:c r="G31" s="38" t="n">
        <x:f>COUNTIFS('VFX'!$D$7:$D$20,"Établi")</x:f>
        <x:v>0</x:v>
      </x:c>
      <x:c r="H31" s="38" t="n">
        <x:f>COUNTIFS('VFX'!$D$7:$D$20,"À vérifier")</x:f>
        <x:v>0</x:v>
      </x:c>
      <x:c r="I31" s="38" t="n">
        <x:f>COUNTIFS('VFX'!$D$7:$D$20,"Extrapolation")</x:f>
        <x:v>14</x:v>
      </x:c>
      <x:c r="J31" s="38" t="n">
        <x:f>COUNTIFS('VFX'!$D$7:$D$20,"Coupé attesté")</x:f>
        <x:v>0</x:v>
      </x:c>
      <x:c r="K31" s="38" t="n">
        <x:f>COUNTIFS('VFX'!$D$7:$D$20,"Concept abandonné")</x:f>
        <x:v>0</x:v>
      </x:c>
      <x:c r="L31" s="38" t="n">
        <x:f>COUNTIFS('VFX'!$D$7:$D$20,"Allégation écartée")</x:f>
        <x:v>0</x:v>
      </x:c>
      <x:c r="M31" s="38" t="n">
        <x:f>COUNTIFS('VFX'!$E$7:$E$20,"P0")</x:f>
        <x:v>0</x:v>
      </x:c>
    </x:row>
    <x:row r="32" ht="22" customHeight="1">
      <x:c r="A32" s="33" t="str">
        <x:v>Audio</x:v>
      </x:c>
      <x:c r="B32" s="37" t="n">
        <x:f>COUNTA('Audio'!$A$7:$A$18)</x:f>
        <x:v>12</x:v>
      </x:c>
      <x:c r="C32" s="37" t="n">
        <x:f>COUNTIFS('Audio'!$C$7:$C$18,"Défini")</x:f>
        <x:v>12</x:v>
      </x:c>
      <x:c r="D32" s="37" t="n">
        <x:f>COUNTIFS('Audio'!$C$7:$C$18,"Prototype")</x:f>
        <x:v>0</x:v>
      </x:c>
      <x:c r="E32" s="37" t="n">
        <x:f>COUNTIFS('Audio'!$C$7:$C$18,"Intégré")</x:f>
        <x:v>0</x:v>
      </x:c>
      <x:c r="F32" s="37" t="n">
        <x:f>COUNTIFS('Audio'!$C$7:$C$18,"Validé")</x:f>
        <x:v>0</x:v>
      </x:c>
      <x:c r="G32" s="37" t="n">
        <x:f>COUNTIFS('Audio'!$D$7:$D$18,"Établi")</x:f>
        <x:v>0</x:v>
      </x:c>
      <x:c r="H32" s="37" t="n">
        <x:f>COUNTIFS('Audio'!$D$7:$D$18,"À vérifier")</x:f>
        <x:v>0</x:v>
      </x:c>
      <x:c r="I32" s="37" t="n">
        <x:f>COUNTIFS('Audio'!$D$7:$D$18,"Extrapolation")</x:f>
        <x:v>12</x:v>
      </x:c>
      <x:c r="J32" s="37" t="n">
        <x:f>COUNTIFS('Audio'!$D$7:$D$18,"Coupé attesté")</x:f>
        <x:v>0</x:v>
      </x:c>
      <x:c r="K32" s="37" t="n">
        <x:f>COUNTIFS('Audio'!$D$7:$D$18,"Concept abandonné")</x:f>
        <x:v>0</x:v>
      </x:c>
      <x:c r="L32" s="37" t="n">
        <x:f>COUNTIFS('Audio'!$D$7:$D$18,"Allégation écartée")</x:f>
        <x:v>0</x:v>
      </x:c>
      <x:c r="M32" s="37" t="n">
        <x:f>COUNTIFS('Audio'!$E$7:$E$18,"P0")</x:f>
        <x:v>0</x:v>
      </x:c>
    </x:row>
    <x:row r="33" ht="22" customHeight="1">
      <x:c r="A33" s="2" t="str">
        <x:v>Systèmes et UI</x:v>
      </x:c>
      <x:c r="B33" s="38" t="n">
        <x:f>COUNTA('UI_systemes'!$A$7:$A$33)</x:f>
        <x:v>27</x:v>
      </x:c>
      <x:c r="C33" s="38" t="n">
        <x:f>COUNTIFS('UI_systemes'!$C$7:$C$33,"Défini")</x:f>
        <x:v>27</x:v>
      </x:c>
      <x:c r="D33" s="38" t="n">
        <x:f>COUNTIFS('UI_systemes'!$C$7:$C$33,"Prototype")</x:f>
        <x:v>0</x:v>
      </x:c>
      <x:c r="E33" s="38" t="n">
        <x:f>COUNTIFS('UI_systemes'!$C$7:$C$33,"Intégré")</x:f>
        <x:v>0</x:v>
      </x:c>
      <x:c r="F33" s="38" t="n">
        <x:f>COUNTIFS('UI_systemes'!$C$7:$C$33,"Validé")</x:f>
        <x:v>0</x:v>
      </x:c>
      <x:c r="G33" s="38" t="n">
        <x:f>COUNTIFS('UI_systemes'!$D$7:$D$33,"Établi")</x:f>
        <x:v>0</x:v>
      </x:c>
      <x:c r="H33" s="38" t="n">
        <x:f>COUNTIFS('UI_systemes'!$D$7:$D$33,"À vérifier")</x:f>
        <x:v>0</x:v>
      </x:c>
      <x:c r="I33" s="38" t="n">
        <x:f>COUNTIFS('UI_systemes'!$D$7:$D$33,"Extrapolation")</x:f>
        <x:v>27</x:v>
      </x:c>
      <x:c r="J33" s="38" t="n">
        <x:f>COUNTIFS('UI_systemes'!$D$7:$D$33,"Coupé attesté")</x:f>
        <x:v>0</x:v>
      </x:c>
      <x:c r="K33" s="38" t="n">
        <x:f>COUNTIFS('UI_systemes'!$D$7:$D$33,"Concept abandonné")</x:f>
        <x:v>0</x:v>
      </x:c>
      <x:c r="L33" s="38" t="n">
        <x:f>COUNTIFS('UI_systemes'!$D$7:$D$33,"Allégation écartée")</x:f>
        <x:v>0</x:v>
      </x:c>
      <x:c r="M33" s="38" t="n">
        <x:f>COUNTIFS('UI_systemes'!$E$7:$E$33,"P0")</x:f>
        <x:v>0</x:v>
      </x:c>
    </x:row>
    <x:row r="34" ht="22" customHeight="1">
      <x:c r="A34" s="33" t="str">
        <x:v>QA</x:v>
      </x:c>
      <x:c r="B34" s="37" t="n">
        <x:f>COUNTA('QA'!$A$7:$A$32)</x:f>
        <x:v>26</x:v>
      </x:c>
      <x:c r="C34" s="37" t="n">
        <x:f>COUNTIFS('QA'!$C$7:$C$32,"Défini")</x:f>
        <x:v>26</x:v>
      </x:c>
      <x:c r="D34" s="37" t="n">
        <x:f>COUNTIFS('QA'!$C$7:$C$32,"Prototype")</x:f>
        <x:v>0</x:v>
      </x:c>
      <x:c r="E34" s="37" t="n">
        <x:f>COUNTIFS('QA'!$C$7:$C$32,"Intégré")</x:f>
        <x:v>0</x:v>
      </x:c>
      <x:c r="F34" s="37" t="n">
        <x:f>COUNTIFS('QA'!$C$7:$C$32,"Validé")</x:f>
        <x:v>0</x:v>
      </x:c>
      <x:c r="G34" s="37" t="n">
        <x:f>COUNTIFS('QA'!$D$7:$D$32,"Établi")</x:f>
        <x:v>0</x:v>
      </x:c>
      <x:c r="H34" s="37" t="n">
        <x:f>COUNTIFS('QA'!$D$7:$D$32,"À vérifier")</x:f>
        <x:v>0</x:v>
      </x:c>
      <x:c r="I34" s="37" t="n">
        <x:f>COUNTIFS('QA'!$D$7:$D$32,"Extrapolation")</x:f>
        <x:v>26</x:v>
      </x:c>
      <x:c r="J34" s="37" t="n">
        <x:f>COUNTIFS('QA'!$D$7:$D$32,"Coupé attesté")</x:f>
        <x:v>0</x:v>
      </x:c>
      <x:c r="K34" s="37" t="n">
        <x:f>COUNTIFS('QA'!$D$7:$D$32,"Concept abandonné")</x:f>
        <x:v>0</x:v>
      </x:c>
      <x:c r="L34" s="37" t="n">
        <x:f>COUNTIFS('QA'!$D$7:$D$32,"Allégation écartée")</x:f>
        <x:v>0</x:v>
      </x:c>
      <x:c r="M34" s="37" t="n">
        <x:f>COUNTIFS('QA'!$E$7:$E$32,"P0")</x:f>
        <x:v>0</x:v>
      </x:c>
    </x:row>
    <x:row r="35" ht="22" customHeight="1">
      <x:c r="A35" s="2" t="str">
        <x:v>Continuité</x:v>
      </x:c>
      <x:c r="B35" s="38" t="n">
        <x:f>COUNTA('Continuite'!$A$7:$A$20)</x:f>
        <x:v>14</x:v>
      </x:c>
      <x:c r="C35" s="38" t="n">
        <x:f>COUNTIFS('Continuite'!$C$7:$C$20,"Défini")</x:f>
        <x:v>14</x:v>
      </x:c>
      <x:c r="D35" s="38" t="n">
        <x:f>COUNTIFS('Continuite'!$C$7:$C$20,"Prototype")</x:f>
        <x:v>0</x:v>
      </x:c>
      <x:c r="E35" s="38" t="n">
        <x:f>COUNTIFS('Continuite'!$C$7:$C$20,"Intégré")</x:f>
        <x:v>0</x:v>
      </x:c>
      <x:c r="F35" s="38" t="n">
        <x:f>COUNTIFS('Continuite'!$C$7:$C$20,"Validé")</x:f>
        <x:v>0</x:v>
      </x:c>
      <x:c r="G35" s="38" t="n">
        <x:f>COUNTIFS('Continuite'!$D$7:$D$20,"Établi")</x:f>
        <x:v>0</x:v>
      </x:c>
      <x:c r="H35" s="38" t="n">
        <x:f>COUNTIFS('Continuite'!$D$7:$D$20,"À vérifier")</x:f>
        <x:v>0</x:v>
      </x:c>
      <x:c r="I35" s="38" t="n">
        <x:f>COUNTIFS('Continuite'!$D$7:$D$20,"Extrapolation")</x:f>
        <x:v>14</x:v>
      </x:c>
      <x:c r="J35" s="38" t="n">
        <x:f>COUNTIFS('Continuite'!$D$7:$D$20,"Coupé attesté")</x:f>
        <x:v>0</x:v>
      </x:c>
      <x:c r="K35" s="38" t="n">
        <x:f>COUNTIFS('Continuite'!$D$7:$D$20,"Concept abandonné")</x:f>
        <x:v>0</x:v>
      </x:c>
      <x:c r="L35" s="38" t="n">
        <x:f>COUNTIFS('Continuite'!$D$7:$D$20,"Allégation écartée")</x:f>
        <x:v>0</x:v>
      </x:c>
      <x:c r="M35" s="38" t="n">
        <x:f>COUNTIFS('Continuite'!$E$7:$E$20,"P0")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763</x:v>
      </x:c>
      <x:c r="C37" s="39" t="n">
        <x:f>SUM(C10:C35)</x:f>
        <x:v>711</x:v>
      </x:c>
      <x:c r="D37" s="39" t="n">
        <x:f>SUM(D10:D35)</x:f>
        <x:v>52</x:v>
      </x:c>
      <x:c r="E37" s="39" t="n">
        <x:f>SUM(E10:E35)</x:f>
        <x:v>0</x:v>
      </x:c>
      <x:c r="F37" s="39" t="n">
        <x:f>SUM(F10:F35)</x:f>
        <x:v>0</x:v>
      </x:c>
      <x:c r="G37" s="39" t="n">
        <x:f>SUM(G10:G35)</x:f>
        <x:v>473</x:v>
      </x:c>
      <x:c r="H37" s="39" t="n">
        <x:f>SUM(H10:H35)</x:f>
        <x:v>0</x:v>
      </x:c>
      <x:c r="I37" s="39" t="n">
        <x:f>SUM(I10:I35)</x:f>
        <x:v>290</x:v>
      </x:c>
      <x:c r="J37" s="39" t="n">
        <x:f>SUM(J10:J35)</x:f>
        <x:v>0</x:v>
      </x:c>
      <x:c r="K37" s="39" t="n">
        <x:f>SUM(K10:K35)</x:f>
        <x:v>0</x:v>
      </x:c>
      <x:c r="L37" s="39" t="n">
        <x:f>SUM(L10:L35)</x:f>
        <x:v>0</x:v>
      </x:c>
      <x:c r="M37" s="39" t="n">
        <x:f>SUM(M10:M35)</x:f>
        <x:v>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MEA-CHR-RYDER</x:v>
      </x:c>
      <x:c r="B7" s="9" t="str">
        <x:v>Pathfinder Ryder — Sara ou Scott</x:v>
      </x:c>
      <x:c r="C7" s="15" t="str">
        <x:v>Prototype</x:v>
      </x:c>
      <x:c r="D7" s="16" t="str">
        <x:v>Établi</x:v>
      </x:c>
      <x:c r="E7" s="16" t="str">
        <x:v>P1</x:v>
      </x:c>
      <x:c r="F7" s="9" t="str">
        <x:v>Le joueur choisit l’un des jumeaux Ryder.</x:v>
      </x:c>
      <x:c r="G7" s="9" t="str">
        <x:v>Protagoniste ATB mobile : trois compétences actives dans un favori proposé, profils adaptables et ordres d’équipe ; ne pas figer une classe de Shepard.</x:v>
      </x:c>
      <x:c r="H7" s="9" t="str">
        <x:v>Protagoniste ATB mobile : trois compétences actives dans un favori proposé, profils adaptables et ordres d’équipe ; ne pas figer une classe de Shepard.</x:v>
      </x:c>
      <x:c r="I7" s="9" t="str">
        <x:v>Personnalisation humaine et armure de Pionnier.</x:v>
      </x:c>
      <x:c r="J7" s="9" t="str">
        <x:v>Marche, sprint, saut, suspension, dash, tir et trois compétences sélectionnées ; visages Sara/Scott séparés, ancres de main partagées par gabarit.</x:v>
      </x:c>
      <x:c r="K7" s="9" t="str">
        <x:v>Pas de combinaison, souffle et propulsion originaux ; deux profils de voix selon personnage choisi.</x:v>
      </x:c>
      <x:c r="L7" s="9" t="str">
        <x:v>Prototype Chroniques : src/universe-actors.js, src/chronicles.js. Identifiant runtime MEA-CHR-RYDER ; contexte d’œuvre/segment et sélection de scène obligatoires.</x:v>
      </x:c>
      <x:c r="M7" s="9" t="str">
        <x:v>L’autre jumeau a un rôle narratif distinct.</x:v>
      </x:c>
      <x:c r="N7" s="9" t="str">
        <x:v>Pathfinder Ryder — Sara ou Scott : identifier sa silhouette aux huit orientations proposées, tester chaque action de son rôle et ses conditions de présence ; arme, portrait et retour au couvert restent cohérents pendant saut, cast et reprise.</x:v>
      </x:c>
      <x:c r="O7" s="9" t="str"/>
      <x:c r="P7" s="9" t="str">
        <x:v>Pathfinder Ryder — Sara ou Scott</x:v>
      </x:c>
      <x:c r="Q7" s="9" t="str">
        <x:v>MEA-SRC-EA-GAME, MEA-SRC-SKILLS</x:v>
      </x:c>
      <x:c r="R7" s="9" t="str">
        <x:v>https://www.ea.com/games/mass-effect/mass-effect-andromeda
https://masseffect.fandom.com/wiki/Skills</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82" customHeight="1">
      <x:c r="A8" s="19" t="str">
        <x:v>MEA-CHR-CORA</x:v>
      </x:c>
      <x:c r="B8" s="7" t="str">
        <x:v>Cora Harper</x:v>
      </x:c>
      <x:c r="C8" s="15" t="str">
        <x:v>Prototype</x:v>
      </x:c>
      <x:c r="D8" s="17" t="str">
        <x:v>Établi</x:v>
      </x:c>
      <x:c r="E8" s="17" t="str">
        <x:v>P1</x:v>
      </x:c>
      <x:c r="F8" s="7" t="str">
        <x:v>Équipière biotique humaine.</x:v>
      </x:c>
      <x:c r="G8" s="7" t="str">
        <x:v>Avant-garde protectrice : Charge, Nova et Shield Boost traduits en approche, choc et secours ; réserve de protection visible.</x:v>
      </x:c>
      <x:c r="H8" s="7" t="str">
        <x:v>Avant-garde protectrice : Charge, Nova et Shield Boost traduits en approche, choc et secours ; réserve de protection visible.</x:v>
      </x:c>
      <x:c r="I8" s="7" t="str">
        <x:v>Coupe courte, armure de Pionnier et halo biotique.</x:v>
      </x:c>
      <x:c r="J8" s="7" t="str">
        <x:v>Charge au sol, impact Nova et geste ouvert de Shield Boost ; transitions de visée shotgun vers biotique sans arme flottante.</x:v>
      </x:c>
      <x:c r="K8" s="7" t="str">
        <x:v>Impulsion biotique courte, pulse de protection doux et annonce de secours avec sous-titre.</x:v>
      </x:c>
      <x:c r="L8" s="7" t="str">
        <x:v>Prototype Chroniques : src/universe-actors.js, src/chronicles.js. Identifiant runtime MEA-CHR-CORA ; contexte d’œuvre/segment et sélection de scène obligatoires.</x:v>
      </x:c>
      <x:c r="M8" s="7" t="str"/>
      <x:c r="N8" s="7" t="str">
        <x:v>Cora Harper : identifier sa silhouette aux huit orientations proposées, tester chaque action de son rôle et ses conditions de présence ; arme, portrait et retour au couvert restent cohérents pendant saut, cast et reprise.</x:v>
      </x:c>
      <x:c r="O8" s="7" t="str"/>
      <x:c r="P8" s="7" t="str">
        <x:v>Cora Harper</x:v>
      </x:c>
      <x:c r="Q8" s="7" t="str">
        <x:v>MEA-SRC-CORA</x:v>
      </x:c>
      <x:c r="R8" s="7" t="str">
        <x:v>https://masseffect.fandom.com/wiki/Cora_Harper</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82" customHeight="1">
      <x:c r="A9" s="18" t="str">
        <x:v>MEA-CHR-LIAM</x:v>
      </x:c>
      <x:c r="B9" s="9" t="str">
        <x:v>Liam Kosta</x:v>
      </x:c>
      <x:c r="C9" s="15" t="str">
        <x:v>Prototype</x:v>
      </x:c>
      <x:c r="D9" s="16" t="str">
        <x:v>Établi</x:v>
      </x:c>
      <x:c r="E9" s="16" t="str">
        <x:v>P1</x:v>
      </x:c>
      <x:c r="F9" s="9" t="str">
        <x:v>Équipier humain.</x:v>
      </x:c>
      <x:c r="G9" s="9" t="str">
        <x:v>Assaut mobile avec Havoc Strike, grenades et soutien électrique ; sa prise de risque devient une option d’ordre claire.</x:v>
      </x:c>
      <x:c r="H9" s="9" t="str">
        <x:v>Assaut mobile avec Havoc Strike, grenades et soutien électrique ; sa prise de risque devient une option d’ordre claire.</x:v>
      </x:c>
      <x:c r="I9" s="9" t="str">
        <x:v>Armure légère et posture vive.</x:v>
      </x:c>
      <x:c r="J9" s="9" t="str">
        <x:v>Bond Havoc Strike, lancer de grenade et Overload ; atterrissage utilise la bonne hauteur et reprise de garde mobile.</x:v>
      </x:c>
      <x:c r="K9" s="9" t="str">
        <x:v>Propulseur bref, lancer physique et signal électrique distinct, annonces d’assaut lisibles.</x:v>
      </x:c>
      <x:c r="L9" s="9" t="str">
        <x:v>Prototype Chroniques : src/universe-actors.js, src/chronicles.js. Identifiant runtime MEA-CHR-LIAM ; contexte d’œuvre/segment et sélection de scène obligatoires.</x:v>
      </x:c>
      <x:c r="M9" s="9" t="str"/>
      <x:c r="N9" s="9" t="str">
        <x:v>Liam Kosta : identifier sa silhouette aux huit orientations proposées, tester chaque action de son rôle et ses conditions de présence ; arme, portrait et retour au couvert restent cohérents pendant saut, cast et reprise.</x:v>
      </x:c>
      <x:c r="O9" s="9" t="str"/>
      <x:c r="P9" s="9" t="str">
        <x:v>Liam Kosta</x:v>
      </x:c>
      <x:c r="Q9" s="9" t="str">
        <x:v>MEA-SRC-SQUAD, MEA-SRC-SKILLS</x:v>
      </x:c>
      <x:c r="R9" s="9" t="str">
        <x:v>https://masseffect.fandom.com/wiki/Squad_Members_Guide_%28Mass_Effect%3A_Andromeda%29
https://masseffect.fandom.com/wiki/Skills</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82" customHeight="1">
      <x:c r="A10" s="19" t="str">
        <x:v>MEA-CHR-VETRA</x:v>
      </x:c>
      <x:c r="B10" s="7" t="str">
        <x:v>Vetra Nyx</x:v>
      </x:c>
      <x:c r="C10" s="15" t="str">
        <x:v>Prototype</x:v>
      </x:c>
      <x:c r="D10" s="17" t="str">
        <x:v>Établi</x:v>
      </x:c>
      <x:c r="E10" s="17" t="str">
        <x:v>P1</x:v>
      </x:c>
      <x:c r="F10" s="7" t="str">
        <x:v>Équipière turienne.</x:v>
      </x:c>
      <x:c r="G10" s="7" t="str">
        <x:v>Tireuse de soutien avec armure renforcée et Turbocharge ; sa défense couvre l’engagement d’une rafale prolongée.</x:v>
      </x:c>
      <x:c r="H10" s="7" t="str">
        <x:v>Tireuse de soutien avec armure renforcée et Turbocharge ; sa défense couvre l’engagement d’une rafale prolongée.</x:v>
      </x:c>
      <x:c r="I10" s="7" t="str">
        <x:v>Grande silhouette turienne, visière et armure sombre.</x:v>
      </x:c>
      <x:c r="J10" s="7" t="str">
        <x:v>Activation de plaques, pose de tir soutenu et recul de fusil ; tête turienne et visière gardent leur asymétrie.</x:v>
      </x:c>
      <x:c r="K10" s="7" t="str">
        <x:v>Déploiement d’armure, montée de rafale puis reprise ; voix de tir priorisée sur bruit mécanique.</x:v>
      </x:c>
      <x:c r="L10" s="7" t="str">
        <x:v>Prototype Chroniques : src/universe-actors.js, src/chronicles.js. Identifiant runtime MEA-CHR-VETRA ; contexte d’œuvre/segment et sélection de scène obligatoires.</x:v>
      </x:c>
      <x:c r="M10" s="7" t="str"/>
      <x:c r="N10" s="7" t="str">
        <x:v>Vetra Nyx : identifier sa silhouette aux huit orientations proposées, tester chaque action de son rôle et ses conditions de présence ; arme, portrait et retour au couvert restent cohérents pendant saut, cast et reprise.</x:v>
      </x:c>
      <x:c r="O10" s="7" t="str"/>
      <x:c r="P10" s="7" t="str">
        <x:v>Vetra Nyx</x:v>
      </x:c>
      <x:c r="Q10" s="7" t="str">
        <x:v>MEA-SRC-VETRA, MEA-SRC-SKILLS</x:v>
      </x:c>
      <x:c r="R10" s="7" t="str">
        <x:v>https://masseffect.fandom.com/wiki/Vetra_Nyx
https://masseffect.fandom.com/wiki/Skills</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82" customHeight="1">
      <x:c r="A11" s="18" t="str">
        <x:v>MEA-CHR-JAAL</x:v>
      </x:c>
      <x:c r="B11" s="9" t="str">
        <x:v>Jaal Ama Darav</x:v>
      </x:c>
      <x:c r="C11" s="15" t="str">
        <x:v>Prototype</x:v>
      </x:c>
      <x:c r="D11" s="16" t="str">
        <x:v>Établi</x:v>
      </x:c>
      <x:c r="E11" s="16" t="str">
        <x:v>P1</x:v>
      </x:c>
      <x:c r="F11" s="9" t="str">
        <x:v>Équipier angara.</x:v>
      </x:c>
      <x:c r="G11" s="9" t="str">
        <x:v>Tireur d’angle avec Energy Drain, Avenger Strike et Sticky Grenade ; retour de mobilité vers emplacement réservé.</x:v>
      </x:c>
      <x:c r="H11" s="9" t="str">
        <x:v>Tireur d’angle avec Energy Drain, Avenger Strike et Sticky Grenade ; retour de mobilité vers emplacement réservé.</x:v>
      </x:c>
      <x:c r="I11" s="9" t="str">
        <x:v>Manteau angara, visage violet et silhouette large.</x:v>
      </x:c>
      <x:c r="J11" s="9" t="str">
        <x:v>Visée longue, lancer adhésif, voile et frappe de retour ; manteau suit mouvement sans cacher la cellule ciblée.</x:v>
      </x:c>
      <x:c r="K11" s="9" t="str">
        <x:v>Signal de voile, frappe et arme séparés, voix angara originale sous-titrée.</x:v>
      </x:c>
      <x:c r="L11" s="9" t="str">
        <x:v>Prototype Chroniques : src/universe-actors.js, src/chronicles.js. Identifiant runtime MEA-CHR-JAAL ; contexte d’œuvre/segment et sélection de scène obligatoires.</x:v>
      </x:c>
      <x:c r="M11" s="9" t="str"/>
      <x:c r="N11" s="9" t="str">
        <x:v>Jaal Ama Darav : identifier sa silhouette aux huit orientations proposées, tester chaque action de son rôle et ses conditions de présence ; arme, portrait et retour au couvert restent cohérents pendant saut, cast et reprise.</x:v>
      </x:c>
      <x:c r="O11" s="9" t="str"/>
      <x:c r="P11" s="9" t="str">
        <x:v>Jaal Ama Darav</x:v>
      </x:c>
      <x:c r="Q11" s="9" t="str">
        <x:v>MEA-SRC-JAAL, MEA-SRC-SKILLS</x:v>
      </x:c>
      <x:c r="R11" s="9" t="str">
        <x:v>https://masseffect.fandom.com/wiki/Jaal_Ama_Darav
https://masseffect.fandom.com/wiki/Skills</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82" customHeight="1">
      <x:c r="A12" s="19" t="str">
        <x:v>MEA-CHR-DRACK</x:v>
      </x:c>
      <x:c r="B12" s="7" t="str">
        <x:v>Nakmor Drack</x:v>
      </x:c>
      <x:c r="C12" s="15" t="str">
        <x:v>Prototype</x:v>
      </x:c>
      <x:c r="D12" s="17" t="str">
        <x:v>Établi</x:v>
      </x:c>
      <x:c r="E12" s="17" t="str">
        <x:v>P1</x:v>
      </x:c>
      <x:c r="F12" s="7" t="str">
        <x:v>Équipier krogan.</x:v>
      </x:c>
      <x:c r="G12" s="7" t="str">
        <x:v>Combattant de contact avec Blood Rage, Incinerate et Flak Cannon ; ne pas confondre rage offensive et invulnérabilité.</x:v>
      </x:c>
      <x:c r="H12" s="7" t="str">
        <x:v>Combattant de contact avec Blood Rage, Incinerate et Flak Cannon ; ne pas confondre rage offensive et invulnérabilité.</x:v>
      </x:c>
      <x:c r="I12" s="7" t="str">
        <x:v>Vieille carapace krogan, armure lourde et pièces techniques.</x:v>
      </x:c>
      <x:c r="J12" s="7" t="str">
        <x:v>Pas lourds, Incinerate d’un bras, Flak Cannon et rage de contact ; ne pas mirrorer prothèses et marques de carapace.</x:v>
      </x:c>
      <x:c r="K12" s="7" t="str">
        <x:v>Pas métalliques/armure, souffle rauque original et avertissement de charge.</x:v>
      </x:c>
      <x:c r="L12" s="7" t="str">
        <x:v>Prototype Chroniques : src/universe-actors.js, src/chronicles.js. Identifiant runtime MEA-CHR-DRACK ; contexte d’œuvre/segment et sélection de scène obligatoires.</x:v>
      </x:c>
      <x:c r="M12" s="7" t="str"/>
      <x:c r="N12" s="7" t="str">
        <x:v>Nakmor Drack : identifier sa silhouette aux huit orientations proposées, tester chaque action de son rôle et ses conditions de présence ; arme, portrait et retour au couvert restent cohérents pendant saut, cast et reprise.</x:v>
      </x:c>
      <x:c r="O12" s="7" t="str"/>
      <x:c r="P12" s="7" t="str">
        <x:v>Nakmor Drack</x:v>
      </x:c>
      <x:c r="Q12" s="7" t="str">
        <x:v>MEA-SRC-SQUAD, MEA-SRC-SKILLS</x:v>
      </x:c>
      <x:c r="R12" s="7" t="str">
        <x:v>https://masseffect.fandom.com/wiki/Squad_Members_Guide_%28Mass_Effect%3A_Andromeda%29
https://masseffect.fandom.com/wiki/Skills</x:v>
      </x:c>
      <x:c r="S12"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3" ht="82" customHeight="1">
      <x:c r="A13" s="18" t="str">
        <x:v>MEA-CHR-PEEBEE</x:v>
      </x:c>
      <x:c r="B13" s="9" t="str">
        <x:v>Pelessaria B’Sayle / Peebee</x:v>
      </x:c>
      <x:c r="C13" s="15" t="str">
        <x:v>Prototype</x:v>
      </x:c>
      <x:c r="D13" s="16" t="str">
        <x:v>Établi</x:v>
      </x:c>
      <x:c r="E13" s="16" t="str">
        <x:v>P1</x:v>
      </x:c>
      <x:c r="F13" s="9" t="str">
        <x:v>Équipière asari et chercheuse de Reliquats.</x:v>
      </x:c>
      <x:c r="G13" s="9" t="str">
        <x:v>Pull, Invasion et Shockwave ouvrent des contrôles complémentaires ; Poc reste un dispositif propre à son arc.</x:v>
      </x:c>
      <x:c r="H13" s="9" t="str">
        <x:v>Pull, Invasion et Shockwave ouvrent des contrôles complémentaires ; Poc reste un dispositif propre à son arc.</x:v>
      </x:c>
      <x:c r="I13" s="9" t="str">
        <x:v>Masque de peinture, veste et silhouette asari.</x:v>
      </x:c>
      <x:c r="J13" s="9" t="str">
        <x:v>Pull, Shockwave et activation Invasion avec gestuelle vive ; acrobatie de décoration ne modifie pas hitbox ni coût.</x:v>
      </x:c>
      <x:c r="K13" s="9" t="str">
        <x:v>Impulsion biotique et parasites tech distincts ; commentaire de découverte limité en fréquence.</x:v>
      </x:c>
      <x:c r="L13" s="9" t="str">
        <x:v>Prototype Chroniques : src/universe-actors.js, src/chronicles.js. Identifiant runtime MEA-CHR-PEEBEE ; contexte d’œuvre/segment et sélection de scène obligatoires.</x:v>
      </x:c>
      <x:c r="M13" s="9" t="str"/>
      <x:c r="N13" s="9" t="str">
        <x:v>Pelessaria B’Sayle / Peebee : identifier sa silhouette aux huit orientations proposées, tester chaque action de son rôle et ses conditions de présence ; arme, portrait et retour au couvert restent cohérents pendant saut, cast et reprise.</x:v>
      </x:c>
      <x:c r="O13" s="9" t="str"/>
      <x:c r="P13" s="9" t="str">
        <x:v>Pelessaria B’Sayle / Peebee</x:v>
      </x:c>
      <x:c r="Q13" s="9" t="str">
        <x:v>MEA-SRC-SQUAD, MEA-SRC-SKILLS</x:v>
      </x:c>
      <x:c r="R13" s="9" t="str">
        <x:v>https://masseffect.fandom.com/wiki/Squad_Members_Guide_%28Mass_Effect%3A_Andromeda%29
https://masseffect.fandom.com/wiki/Skills</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82" customHeight="1">
      <x:c r="A14" s="19" t="str">
        <x:v>MEA-CHR-ALEC</x:v>
      </x:c>
      <x:c r="B14" s="7" t="str">
        <x:v>Alec Ryder — prologue</x:v>
      </x:c>
      <x:c r="C14" s="15" t="str">
        <x:v>Prototype</x:v>
      </x:c>
      <x:c r="D14" s="17" t="str">
        <x:v>Établi</x:v>
      </x:c>
      <x:c r="E14" s="17" t="str">
        <x:v>P1</x:v>
      </x:c>
      <x:c r="F14" s="7" t="str">
        <x:v>Pionnier initial de l’Hyperion.</x:v>
      </x:c>
      <x:c r="G14" s="7" t="str">
        <x:v>Allié guide de Habitat 7 ; actions d’apprentissage puis retrait narratif, sans slot permanent après transmission.</x:v>
      </x:c>
      <x:c r="H14" s="7" t="str">
        <x:v>Allié guide de Habitat 7 ; actions d’apprentissage puis retrait narratif, sans slot permanent après transmission.</x:v>
      </x:c>
      <x:c r="I14" s="7" t="str">
        <x:v>Armure N7 et casque de Pionnier.</x:v>
      </x:c>
      <x:c r="J14" s="7" t="str">
        <x:v>Progression de guide, tir d’appui et gestes vers objectif ; retrait du prologue désactive toutes animations de compagnon permanent.</x:v>
      </x:c>
      <x:c r="K14" s="7" t="str">
        <x:v>Ordres courts de tutoriel et respiration de casque, voix coupée au bon jalon narratif.</x:v>
      </x:c>
      <x:c r="L14" s="7" t="str">
        <x:v>Prototype Chroniques : src/universe-actors.js, src/chronicles.js. Identifiant runtime MEA-CHR-ALEC ; contexte d’œuvre/segment et sélection de scène obligatoires.</x:v>
      </x:c>
      <x:c r="M14" s="7" t="str">
        <x:v>Prologue uniquement.</x:v>
      </x:c>
      <x:c r="N14" s="7" t="str">
        <x:v>Alec Ryder — prologue : identifier sa silhouette aux huit orientations proposées, tester chaque action de son rôle et ses conditions de présence ; arme, portrait et retour au couvert restent cohérents pendant saut, cast et reprise.</x:v>
      </x:c>
      <x:c r="O14" s="7" t="str"/>
      <x:c r="P14" s="7" t="str">
        <x:v>Alec Ryder — prologue</x:v>
      </x:c>
      <x:c r="Q14" s="7" t="str">
        <x:v>MEA-SRC-GUIDE</x:v>
      </x:c>
      <x:c r="R14" s="7" t="str">
        <x:v>https://masseffect.fandom.com/wiki/Mass_Effect%3A_Andromeda_Guide</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MEA-CHR-MP-HUMAN-KINETICIST</x:v>
      </x:c>
      <x:c r="B15" s="9" t="str">
        <x:v>Human Kineticist</x:v>
      </x:c>
      <x:c r="C15" s="15" t="str">
        <x:v>Défini</x:v>
      </x:c>
      <x:c r="D15" s="16" t="str">
        <x:v>Établi</x:v>
      </x:c>
      <x:c r="E15" s="16" t="str">
        <x:v>P1</x:v>
      </x:c>
      <x:c r="F15" s="9" t="str">
        <x:v>Classe du multijoueur de MEA.</x:v>
      </x:c>
      <x:c r="G15" s="9" t="str">
        <x:v>Accumuler une fenêtre biotique proposée puis gérer sa dissipation ; cycles de risque lisibles.</x:v>
      </x:c>
      <x:c r="H15" s="9" t="str">
        <x:v>Accumuler une fenêtre biotique proposée puis gérer sa dissipation ; cycles de risque lisibles.</x:v>
      </x:c>
      <x:c r="I15" s="9" t="str">
        <x:v>Humain à aura biotique.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mea/characters/mp-human-kineticist ; rattacher les ressources et états cités à cet identifiant. Aucun fichier de jeu créé par ce catalogue.</x:v>
      </x:c>
      <x:c r="M15" s="9" t="str">
        <x:v>Multijoueur APEX uniquement ; aucun recrutement dans la campagne de Ryder.</x:v>
      </x:c>
      <x:c r="N15" s="9" t="str">
        <x:v>Cette classe apparaît seulement dans le roster multijoueur ; vérifier sauvegarde, équipements et passifs sans modification des six équipiers de campagne.</x:v>
      </x:c>
      <x:c r="O15" s="9" t="str"/>
      <x:c r="P15" s="9" t="str">
        <x:v>Human Kineticist</x:v>
      </x:c>
      <x:c r="Q15" s="9" t="str">
        <x:v>MEA-SRC-MP-CHARS</x:v>
      </x:c>
      <x:c r="R15" s="9" t="str">
        <x:v>https://masseffect.fandom.com/wiki/Category%3AMultiplayer_Characters_%28Mass_Effect%3A_Andromeda%29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MEA-CHR-MP-ASARI-DUELIST</x:v>
      </x:c>
      <x:c r="B16" s="7" t="str">
        <x:v>Asari Duelist</x:v>
      </x:c>
      <x:c r="C16" s="15" t="str">
        <x:v>Défini</x:v>
      </x:c>
      <x:c r="D16" s="17" t="str">
        <x:v>Établi</x:v>
      </x:c>
      <x:c r="E16" s="17" t="str">
        <x:v>P1</x:v>
      </x:c>
      <x:c r="F16" s="7" t="str">
        <x:v>Classe du multijoueur de MEA.</x:v>
      </x:c>
      <x:c r="G16" s="7" t="str">
        <x:v>Combattante mobile de contact ; réserver entrée et sortie pour éviter prise létale sans réponse.</x:v>
      </x:c>
      <x:c r="H16" s="7" t="str">
        <x:v>Combattante mobile de contact ; réserver entrée et sortie pour éviter prise létale sans réponse.</x:v>
      </x:c>
      <x:c r="I16" s="7" t="str">
        <x:v>Asari et arme de mêlée.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mea/characters/mp-asari-duelist ; rattacher les ressources et états cités à cet identifiant. Aucun fichier de jeu créé par ce catalogue.</x:v>
      </x:c>
      <x:c r="M16" s="7" t="str">
        <x:v>Multijoueur APEX uniquement ; aucun recrutement dans la campagne de Ryder.</x:v>
      </x:c>
      <x:c r="N16" s="7" t="str">
        <x:v>Cette classe apparaît seulement dans le roster multijoueur ; vérifier sauvegarde, équipements et passifs sans modification des six équipiers de campagne.</x:v>
      </x:c>
      <x:c r="O16" s="7" t="str"/>
      <x:c r="P16" s="7" t="str">
        <x:v>Asari Duelist</x:v>
      </x:c>
      <x:c r="Q16" s="7" t="str">
        <x:v>MEA-SRC-MP-CHARS</x:v>
      </x:c>
      <x:c r="R16" s="7" t="str">
        <x:v>https://masseffect.fandom.com/wiki/Category%3AMultiplayer_Characters_%28Mass_Effect%3A_Andromeda%29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MEA-CHR-MP-TURIAN-HAVOC</x:v>
      </x:c>
      <x:c r="B17" s="9" t="str">
        <x:v>Turian Havoc Trooper</x:v>
      </x:c>
      <x:c r="C17" s="15" t="str">
        <x:v>Défini</x:v>
      </x:c>
      <x:c r="D17" s="16" t="str">
        <x:v>Établi</x:v>
      </x:c>
      <x:c r="E17" s="16" t="str">
        <x:v>P1</x:v>
      </x:c>
      <x:c r="F17" s="9" t="str">
        <x:v>Classe du multijoueur de MEA.</x:v>
      </x:c>
      <x:c r="G17" s="9" t="str">
        <x:v>Assaut aérien proposé avec durée de vol bornée et point d’atterrissage.</x:v>
      </x:c>
      <x:c r="H17" s="9" t="str">
        <x:v>Assaut aérien proposé avec durée de vol bornée et point d’atterrissage.</x:v>
      </x:c>
      <x:c r="I17" s="9" t="str">
        <x:v>Turien à propulseurs.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mea/characters/mp-turian-havoc ; rattacher les ressources et états cités à cet identifiant. Aucun fichier de jeu créé par ce catalogue.</x:v>
      </x:c>
      <x:c r="M17" s="9" t="str">
        <x:v>Multijoueur APEX uniquement ; aucun recrutement dans la campagne de Ryder.</x:v>
      </x:c>
      <x:c r="N17" s="9" t="str">
        <x:v>Cette classe apparaît seulement dans le roster multijoueur ; vérifier sauvegarde, équipements et passifs sans modification des six équipiers de campagne.</x:v>
      </x:c>
      <x:c r="O17" s="9" t="str"/>
      <x:c r="P17" s="9" t="str">
        <x:v>Turian Havoc Trooper</x:v>
      </x:c>
      <x:c r="Q17" s="9" t="str">
        <x:v>MEA-SRC-MP-CHARS</x:v>
      </x:c>
      <x:c r="R17" s="9" t="str">
        <x:v>https://masseffect.fandom.com/wiki/Category%3AMultiplayer_Characters_%28Mass_Effect%3A_Andromeda%29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MEA-CHR-MP-KROGAN-ENGINEER</x:v>
      </x:c>
      <x:c r="B18" s="7" t="str">
        <x:v>Krogan Engineer</x:v>
      </x:c>
      <x:c r="C18" s="15" t="str">
        <x:v>Défini</x:v>
      </x:c>
      <x:c r="D18" s="17" t="str">
        <x:v>Établi</x:v>
      </x:c>
      <x:c r="E18" s="17" t="str">
        <x:v>P1</x:v>
      </x:c>
      <x:c r="F18" s="7" t="str">
        <x:v>Classe du multijoueur de MEA.</x:v>
      </x:c>
      <x:c r="G18" s="7" t="str">
        <x:v>Combiner construction et robustesse ; limite des invocations affichée pour tout le groupe.</x:v>
      </x:c>
      <x:c r="H18" s="7" t="str">
        <x:v>Combiner construction et robustesse ; limite des invocations affichée pour tout le groupe.</x:v>
      </x:c>
      <x:c r="I18" s="7" t="str">
        <x:v>Krogan avec outils techniques.</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mea/characters/mp-krogan-engineer ; rattacher les ressources et états cités à cet identifiant. Aucun fichier de jeu créé par ce catalogue.</x:v>
      </x:c>
      <x:c r="M18" s="7" t="str">
        <x:v>Multijoueur APEX uniquement ; aucun recrutement dans la campagne de Ryder.</x:v>
      </x:c>
      <x:c r="N18" s="7" t="str">
        <x:v>Cette classe apparaît seulement dans le roster multijoueur ; vérifier sauvegarde, équipements et passifs sans modification des six équipiers de campagne.</x:v>
      </x:c>
      <x:c r="O18" s="7" t="str"/>
      <x:c r="P18" s="7" t="str">
        <x:v>Krogan Engineer</x:v>
      </x:c>
      <x:c r="Q18" s="7" t="str">
        <x:v>MEA-SRC-MP-CHARS</x:v>
      </x:c>
      <x:c r="R18" s="7" t="str">
        <x:v>https://masseffect.fandom.com/wiki/Category%3AMultiplayer_Characters_%28Mass_Effect%3A_Andromeda%29</x:v>
      </x:c>
      <x:c r="S18" s="7" t="str">
        <x:v>Spécification à réaliser. Les champs adaptation, gameplay, visual, animation, audio et implementation décrivent le fan game ; ils ne donnent pas des caractéristiques officielles de l’œuvre.</x:v>
      </x:c>
    </x:row>
    <x:row r="19" ht="68" customHeight="1">
      <x:c r="A19" s="18" t="str">
        <x:v>MEA-CHR-MP-SALARIAN-ARCHITECT</x:v>
      </x:c>
      <x:c r="B19" s="9" t="str">
        <x:v>Salarian Architect</x:v>
      </x:c>
      <x:c r="C19" s="15" t="str">
        <x:v>Défini</x:v>
      </x:c>
      <x:c r="D19" s="16" t="str">
        <x:v>Établi</x:v>
      </x:c>
      <x:c r="E19" s="16" t="str">
        <x:v>P1</x:v>
      </x:c>
      <x:c r="F19" s="9" t="str">
        <x:v>Classe du multijoueur de MEA.</x:v>
      </x:c>
      <x:c r="G19" s="9" t="str">
        <x:v>Déploiement technique proposé et appui à distance ; bonus de groupe ne se cumulent pas sans borne.</x:v>
      </x:c>
      <x:c r="H19" s="9" t="str">
        <x:v>Déploiement technique proposé et appui à distance ; bonus de groupe ne se cumulent pas sans borne.</x:v>
      </x:c>
      <x:c r="I19" s="9" t="str">
        <x:v>Salarien en armure technique.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mea/characters/mp-salarian-architect ; rattacher les ressources et états cités à cet identifiant. Aucun fichier de jeu créé par ce catalogue.</x:v>
      </x:c>
      <x:c r="M19" s="9" t="str">
        <x:v>Multijoueur APEX uniquement ; aucun recrutement dans la campagne de Ryder.</x:v>
      </x:c>
      <x:c r="N19" s="9" t="str">
        <x:v>Cette classe apparaît seulement dans le roster multijoueur ; vérifier sauvegarde, équipements et passifs sans modification des six équipiers de campagne.</x:v>
      </x:c>
      <x:c r="O19" s="9" t="str"/>
      <x:c r="P19" s="9" t="str">
        <x:v>Salarian Architect</x:v>
      </x:c>
      <x:c r="Q19" s="9" t="str">
        <x:v>MEA-SRC-MP-CHARS</x:v>
      </x:c>
      <x:c r="R19" s="9" t="str">
        <x:v>https://masseffect.fandom.com/wiki/Category%3AMultiplayer_Characters_%28Mass_Effect%3A_Andromeda%29</x:v>
      </x:c>
      <x:c r="S19" s="9" t="str">
        <x:v>Spécification à réaliser. Les champs adaptation, gameplay, visual, animation, audio et implementation décrivent le fan game ; ils ne donnent pas des caractéristiques officielles de l’œuvre.</x:v>
      </x:c>
    </x:row>
    <x:row r="20" ht="68" customHeight="1">
      <x:c r="A20" s="19" t="str">
        <x:v>MEA-CHR-MP-ANGARA-AVENGER</x:v>
      </x:c>
      <x:c r="B20" s="7" t="str">
        <x:v>Angara Avenger</x:v>
      </x:c>
      <x:c r="C20" s="15" t="str">
        <x:v>Défini</x:v>
      </x:c>
      <x:c r="D20" s="17" t="str">
        <x:v>Établi</x:v>
      </x:c>
      <x:c r="E20" s="17" t="str">
        <x:v>P1</x:v>
      </x:c>
      <x:c r="F20" s="7" t="str">
        <x:v>Classe du multijoueur de MEA.</x:v>
      </x:c>
      <x:c r="G20" s="7" t="str">
        <x:v>Infiltration et frappe coordonnée ; phase de réapparition toujours annoncée.</x:v>
      </x:c>
      <x:c r="H20" s="7" t="str">
        <x:v>Infiltration et frappe coordonnée ; phase de réapparition toujours annoncée.</x:v>
      </x:c>
      <x:c r="I20" s="7" t="str">
        <x:v>Angara et voile de camouflage.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mea/characters/mp-angara-avenger ; rattacher les ressources et états cités à cet identifiant. Aucun fichier de jeu créé par ce catalogue.</x:v>
      </x:c>
      <x:c r="M20" s="7" t="str">
        <x:v>Multijoueur APEX uniquement ; aucun recrutement dans la campagne de Ryder.</x:v>
      </x:c>
      <x:c r="N20" s="7" t="str">
        <x:v>Cette classe apparaît seulement dans le roster multijoueur ; vérifier sauvegarde, équipements et passifs sans modification des six équipiers de campagne.</x:v>
      </x:c>
      <x:c r="O20" s="7" t="str"/>
      <x:c r="P20" s="7" t="str">
        <x:v>Angara Avenger</x:v>
      </x:c>
      <x:c r="Q20" s="7" t="str">
        <x:v>MEA-SRC-MP-CHARS</x:v>
      </x:c>
      <x:c r="R20" s="7" t="str">
        <x:v>https://masseffect.fandom.com/wiki/Category%3AMultiplayer_Characters_%28Mass_Effect%3A_Andromeda%29</x:v>
      </x:c>
      <x:c r="S20" s="7" t="str">
        <x:v>Spécification à réaliser. Les champs adaptation, gameplay, visual, animation, audio et implementation décrivent le fan game ; ils ne donnent pas des caractéristiques officielles de l’œuvre.</x:v>
      </x:c>
    </x:row>
    <x:row r="21" ht="68" customHeight="1">
      <x:c r="A21" s="18" t="str">
        <x:v>MEA-CHR-MP-BATARIAN-VANGUARD</x:v>
      </x:c>
      <x:c r="B21" s="9" t="str">
        <x:v>Batarian Vanguard</x:v>
      </x:c>
      <x:c r="C21" s="15" t="str">
        <x:v>Défini</x:v>
      </x:c>
      <x:c r="D21" s="16" t="str">
        <x:v>Établi</x:v>
      </x:c>
      <x:c r="E21" s="16" t="str">
        <x:v>P1</x:v>
      </x:c>
      <x:c r="F21" s="9" t="str">
        <x:v>Classe du multijoueur de MEA.</x:v>
      </x:c>
      <x:c r="G21" s="9" t="str">
        <x:v>Approche biotique lourde ; anticipation, impact et retour de contrôle distincts.</x:v>
      </x:c>
      <x:c r="H21" s="9" t="str">
        <x:v>Approche biotique lourde ; anticipation, impact et retour de contrôle distincts.</x:v>
      </x:c>
      <x:c r="I21" s="9" t="str">
        <x:v>Batarien à quatre yeux et armure.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mea/characters/mp-batarian-vanguard ; rattacher les ressources et états cités à cet identifiant. Aucun fichier de jeu créé par ce catalogue.</x:v>
      </x:c>
      <x:c r="M21" s="9" t="str">
        <x:v>Multijoueur APEX uniquement ; aucun recrutement dans la campagne de Ryder.</x:v>
      </x:c>
      <x:c r="N21" s="9" t="str">
        <x:v>Cette classe apparaît seulement dans le roster multijoueur ; vérifier sauvegarde, équipements et passifs sans modification des six équipiers de campagne.</x:v>
      </x:c>
      <x:c r="O21" s="9" t="str"/>
      <x:c r="P21" s="9" t="str">
        <x:v>Batarian Vanguard</x:v>
      </x:c>
      <x:c r="Q21" s="9" t="str">
        <x:v>MEA-SRC-MP-CHARS</x:v>
      </x:c>
      <x:c r="R21" s="9" t="str">
        <x:v>https://masseffect.fandom.com/wiki/Category%3AMultiplayer_Characters_%28Mass_Effect%3A_Andromeda%29</x:v>
      </x:c>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0" priority="1" operator="equal">
      <x:formula>"À vérifier"</x:formula>
    </x:cfRule>
    <x:cfRule type="cellIs" dxfId="1" priority="2" operator="equal">
      <x:formula>"Extrapolation"</x:formula>
    </x:cfRule>
  </x:conditionalFormatting>
  <x:conditionalFormatting sqref="C7:C21">
    <x:cfRule type="cellIs" dxfId="2" priority="3" operator="equal">
      <x:formula>"Validé"</x:formula>
    </x:cfRule>
  </x:conditionalFormatting>
  <x:conditionalFormatting sqref="E7:E21">
    <x:cfRule type="cellIs" dxfId="3"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807af0b06f834189"/>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MEA-NPC-TWIN</x:v>
      </x:c>
      <x:c r="B7" s="9" t="str">
        <x:v>Jumeau Ryder non choisi</x:v>
      </x:c>
      <x:c r="C7" s="15" t="str">
        <x:v>Défini</x:v>
      </x:c>
      <x:c r="D7" s="16" t="str">
        <x:v>Établi</x:v>
      </x:c>
      <x:c r="E7" s="16" t="str">
        <x:v>P1</x:v>
      </x:c>
      <x:c r="F7" s="9" t="str">
        <x:v>L’autre Ryder intervient dans le récit.</x:v>
      </x:c>
      <x:c r="G7" s="9" t="str">
        <x:v>Un profil d’apparence dérivé du choix initial et des scènes propres ; pas de copie du sprite de combat sans distinction.</x:v>
      </x:c>
      <x:c r="H7" s="9" t="str">
        <x:v>Un profil d’apparence dérivé du choix initial et des scènes propres ; pas de copie du sprite de combat sans distinction.</x:v>
      </x:c>
      <x:c r="I7" s="9" t="str">
        <x:v>Sara ou Scott selon protagoniste.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mea/npcs/twin ; rattacher les ressources et états cités à cet identifiant. Aucun fichier de jeu créé par ce catalogue.</x:v>
      </x:c>
      <x:c r="M7" s="9" t="str">
        <x:v>Identité opposée au choix joueur.</x:v>
      </x:c>
      <x:c r="N7" s="9" t="str">
        <x:v>Le livrable « Jumeau Ryder non choisi » possède une scène ou un scénario de contrôle ; ses règles proposées, ses conditions et ses retours visuels sont vérifiables séparément.</x:v>
      </x:c>
      <x:c r="O7" s="9" t="str"/>
      <x:c r="P7" s="9" t="str">
        <x:v>Jumeau Ryder non choisi</x:v>
      </x:c>
      <x:c r="Q7" s="9" t="str">
        <x:v>MEA-SRC-GUIDE, MEA-SRC-MERIDIAN</x:v>
      </x:c>
      <x:c r="R7" s="9" t="str">
        <x:v>https://masseffect.fandom.com/wiki/Mass_Effect%3A_Andromeda_Guide
https://masseffect.fandom.com/wiki/Meridian%3A_The_Way_Home</x:v>
      </x:c>
      <x:c r="S7" s="9" t="str">
        <x:v>Spécification à réaliser. Les champs adaptation, gameplay, visual, animation, audio et implementation décrivent le fan game ; ils ne donnent pas des caractéristiques officielles de l’œuvre.</x:v>
      </x:c>
    </x:row>
    <x:row r="8" ht="68" customHeight="1">
      <x:c r="A8" s="19" t="str">
        <x:v>MEA-NPC-SAM</x:v>
      </x:c>
      <x:c r="B8" s="7" t="str">
        <x:v>SAM</x:v>
      </x:c>
      <x:c r="C8" s="15" t="str">
        <x:v>Défini</x:v>
      </x:c>
      <x:c r="D8" s="17" t="str">
        <x:v>Établi</x:v>
      </x:c>
      <x:c r="E8" s="17" t="str">
        <x:v>P1</x:v>
      </x:c>
      <x:c r="F8" s="7" t="str">
        <x:v>IA liée au Pathfinder.</x:v>
      </x:c>
      <x:c r="G8" s="7" t="str">
        <x:v>Canal d’aide et de scanner ; distinguer analyse acquise, hypothèse et conseil, réduire répétitions de dangers connus.</x:v>
      </x:c>
      <x:c r="H8" s="7" t="str">
        <x:v>Canal d’aide et de scanner ; distinguer analyse acquise, hypothèse et conseil, réduire répétitions de dangers connus.</x:v>
      </x:c>
      <x:c r="I8" s="7" t="str">
        <x:v>Interface de voix et terminal SAM.</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mea/npcs/sam ; rattacher les ressources et états cités à cet identifiant. Aucun fichier de jeu créé par ce catalogue.</x:v>
      </x:c>
      <x:c r="M8" s="7" t="str"/>
      <x:c r="N8" s="7" t="str">
        <x:v>Le livrable « SAM » possède une scène ou un scénario de contrôle ; ses règles proposées, ses conditions et ses retours visuels sont vérifiables séparément.</x:v>
      </x:c>
      <x:c r="O8" s="7" t="str"/>
      <x:c r="P8" s="7" t="str">
        <x:v>SAM</x:v>
      </x:c>
      <x:c r="Q8" s="7" t="str">
        <x:v>MEA-SRC-EA-GAME, MEA-SRC-CODEX</x:v>
      </x:c>
      <x:c r="R8" s="7" t="str">
        <x:v>https://www.ea.com/games/mass-effect/mass-effect-andromeda
https://masseffect.fandom.com/wiki/Codex_Entry_Guide_%28Mass_Effect%3A_Andromeda%29</x:v>
      </x:c>
      <x:c r="S8" s="7" t="str">
        <x:v>Spécification à réaliser. Les champs adaptation, gameplay, visual, animation, audio et implementation décrivent le fan game ; ils ne donnent pas des caractéristiques officielles de l’œuvre.</x:v>
      </x:c>
    </x:row>
    <x:row r="9" ht="68" customHeight="1">
      <x:c r="A9" s="18" t="str">
        <x:v>MEA-NPC-LEXI</x:v>
      </x:c>
      <x:c r="B9" s="9" t="str">
        <x:v>Dr Lexi T’Perro</x:v>
      </x:c>
      <x:c r="C9" s="15" t="str">
        <x:v>Défini</x:v>
      </x:c>
      <x:c r="D9" s="16" t="str">
        <x:v>Établi</x:v>
      </x:c>
      <x:c r="E9" s="16" t="str">
        <x:v>P1</x:v>
      </x:c>
      <x:c r="F9" s="9" t="str">
        <x:v>Médecin du Tempest.</x:v>
      </x:c>
      <x:c r="G9" s="9" t="str">
        <x:v>Bilans d’équipage et arc personnel ; dialogue médical séparé de redistribution des compétences.</x:v>
      </x:c>
      <x:c r="H9" s="9" t="str">
        <x:v>Bilans d’équipage et arc personnel ; dialogue médical séparé de redistribution des compétences.</x:v>
      </x:c>
      <x:c r="I9" s="9" t="str">
        <x:v>Asari en tenue médicale et infirmerie.</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mea/npcs/lexi ; rattacher les ressources et états cités à cet identifiant. Aucun fichier de jeu créé par ce catalogue.</x:v>
      </x:c>
      <x:c r="M9" s="9" t="str"/>
      <x:c r="N9" s="9" t="str">
        <x:v>Le livrable « Dr Lexi T’Perro » possède une scène ou un scénario de contrôle ; ses règles proposées, ses conditions et ses retours visuels sont vérifiables séparément.</x:v>
      </x:c>
      <x:c r="O9" s="9" t="str"/>
      <x:c r="P9" s="9" t="str">
        <x:v>Dr Lexi T’Perro</x:v>
      </x:c>
      <x:c r="Q9" s="9" t="str">
        <x:v>MEA-SRC-CHAR</x:v>
      </x:c>
      <x:c r="R9" s="9" t="str">
        <x:v>https://masseffect.fandom.com/wiki/Characters/Mass_Effect%3A_Andromeda</x:v>
      </x:c>
      <x:c r="S9" s="9" t="str">
        <x:v>Spécification à réaliser. Les champs adaptation, gameplay, visual, animation, audio et implementation décrivent le fan game ; ils ne donnent pas des caractéristiques officielles de l’œuvre.</x:v>
      </x:c>
    </x:row>
    <x:row r="10" ht="68" customHeight="1">
      <x:c r="A10" s="19" t="str">
        <x:v>MEA-NPC-KALLO</x:v>
      </x:c>
      <x:c r="B10" s="7" t="str">
        <x:v>Kallo Jath</x:v>
      </x:c>
      <x:c r="C10" s="15" t="str">
        <x:v>Défini</x:v>
      </x:c>
      <x:c r="D10" s="17" t="str">
        <x:v>Établi</x:v>
      </x:c>
      <x:c r="E10" s="17" t="str">
        <x:v>P1</x:v>
      </x:c>
      <x:c r="F10" s="7" t="str">
        <x:v>Pilote du Tempest.</x:v>
      </x:c>
      <x:c r="G10" s="7" t="str">
        <x:v>Transit et souvenirs de construction ; conflit avec Gil stocké comme scènes vues plutôt que score d’hostilité arbitraire.</x:v>
      </x:c>
      <x:c r="H10" s="7" t="str">
        <x:v>Transit et souvenirs de construction ; conflit avec Gil stocké comme scènes vues plutôt que score d’hostilité arbitraire.</x:v>
      </x:c>
      <x:c r="I10" s="7" t="str">
        <x:v>Salarien à la passerelle.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mea/npcs/kallo ; rattacher les ressources et états cités à cet identifiant. Aucun fichier de jeu créé par ce catalogue.</x:v>
      </x:c>
      <x:c r="M10" s="7" t="str"/>
      <x:c r="N10" s="7" t="str">
        <x:v>Le livrable « Kallo Jath » possède une scène ou un scénario de contrôle ; ses règles proposées, ses conditions et ses retours visuels sont vérifiables séparément.</x:v>
      </x:c>
      <x:c r="O10" s="7" t="str"/>
      <x:c r="P10" s="7" t="str">
        <x:v>Kallo Jath</x:v>
      </x:c>
      <x:c r="Q10" s="7" t="str">
        <x:v>MEA-SRC-CHAR, MEA-SRC-MISSIONS</x:v>
      </x:c>
      <x:c r="R10" s="7" t="str">
        <x:v>https://masseffect.fandom.com/wiki/Characters/Mass_Effect%3A_Andromeda
https://masseffect.fandom.com/wiki/Missions_%28Mass_Effect%3A_Andromeda%29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MEA-NPC-SUVI</x:v>
      </x:c>
      <x:c r="B11" s="9" t="str">
        <x:v>Suvi Anwar</x:v>
      </x:c>
      <x:c r="C11" s="15" t="str">
        <x:v>Défini</x:v>
      </x:c>
      <x:c r="D11" s="16" t="str">
        <x:v>Établi</x:v>
      </x:c>
      <x:c r="E11" s="16" t="str">
        <x:v>P1</x:v>
      </x:c>
      <x:c r="F11" s="9" t="str">
        <x:v>Scientifique du Tempest.</x:v>
      </x:c>
      <x:c r="G11" s="9" t="str">
        <x:v>Rapports d’exploration, conversation personnelle et découverte ; voix de science distincte de SAM.</x:v>
      </x:c>
      <x:c r="H11" s="9" t="str">
        <x:v>Rapports d’exploration, conversation personnelle et découverte ; voix de science distincte de SAM.</x:v>
      </x:c>
      <x:c r="I11" s="9" t="str">
        <x:v>Uniforme de scientifique et console de navigation.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mea/npcs/suvi ; rattacher les ressources et états cités à cet identifiant. Aucun fichier de jeu créé par ce catalogue.</x:v>
      </x:c>
      <x:c r="M11" s="9" t="str"/>
      <x:c r="N11" s="9" t="str">
        <x:v>Le livrable « Suvi Anwar » possède une scène ou un scénario de contrôle ; ses règles proposées, ses conditions et ses retours visuels sont vérifiables séparément.</x:v>
      </x:c>
      <x:c r="O11" s="9" t="str"/>
      <x:c r="P11" s="9" t="str">
        <x:v>Suvi Anwar</x:v>
      </x:c>
      <x:c r="Q11" s="9" t="str">
        <x:v>MEA-SRC-CHAR, MEA-SRC-MISSIONS</x:v>
      </x:c>
      <x:c r="R11" s="9" t="str">
        <x:v>https://masseffect.fandom.com/wiki/Characters/Mass_Effect%3A_Andromeda
https://masseffect.fandom.com/wiki/Missions_%28Mass_Effect%3A_Andromeda%29</x:v>
      </x:c>
      <x:c r="S11" s="9" t="str">
        <x:v>Spécification à réaliser. Les champs adaptation, gameplay, visual, animation, audio et implementation décrivent le fan game ; ils ne donnent pas des caractéristiques officielles de l’œuvre.</x:v>
      </x:c>
    </x:row>
    <x:row r="12" ht="68" customHeight="1">
      <x:c r="A12" s="19" t="str">
        <x:v>MEA-NPC-GIL</x:v>
      </x:c>
      <x:c r="B12" s="7" t="str">
        <x:v>Gil Brodie</x:v>
      </x:c>
      <x:c r="C12" s="15" t="str">
        <x:v>Défini</x:v>
      </x:c>
      <x:c r="D12" s="17" t="str">
        <x:v>Établi</x:v>
      </x:c>
      <x:c r="E12" s="17" t="str">
        <x:v>P1</x:v>
      </x:c>
      <x:c r="F12" s="7" t="str">
        <x:v>Ingénieur du Tempest.</x:v>
      </x:c>
      <x:c r="G12" s="7" t="str">
        <x:v>Atelier, poker et relations ; ne pas faire du succès à un minijeu une condition canon inventée de son amitié.</x:v>
      </x:c>
      <x:c r="H12" s="7" t="str">
        <x:v>Atelier, poker et relations ; ne pas faire du succès à un minijeu une condition canon inventée de son amitié.</x:v>
      </x:c>
      <x:c r="I12" s="7" t="str">
        <x:v>Tenue d’atelier et salle moteur.</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mea/npcs/gil ; rattacher les ressources et états cités à cet identifiant. Aucun fichier de jeu créé par ce catalogue.</x:v>
      </x:c>
      <x:c r="M12" s="7" t="str"/>
      <x:c r="N12" s="7" t="str">
        <x:v>Le livrable « Gil Brodie » possède une scène ou un scénario de contrôle ; ses règles proposées, ses conditions et ses retours visuels sont vérifiables séparément.</x:v>
      </x:c>
      <x:c r="O12" s="7" t="str"/>
      <x:c r="P12" s="7" t="str">
        <x:v>Gil Brodie</x:v>
      </x:c>
      <x:c r="Q12" s="7" t="str">
        <x:v>MEA-SRC-CHAR, MEA-SRC-MISSIONS</x:v>
      </x:c>
      <x:c r="R12" s="7" t="str">
        <x:v>https://masseffect.fandom.com/wiki/Characters/Mass_Effect%3A_Andromeda
https://masseffect.fandom.com/wiki/Missions_%28Mass_Effect%3A_Andromeda%29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MEA-NPC-JILL</x:v>
      </x:c>
      <x:c r="B13" s="9" t="str">
        <x:v>Jill</x:v>
      </x:c>
      <x:c r="C13" s="15" t="str">
        <x:v>Défini</x:v>
      </x:c>
      <x:c r="D13" s="16" t="str">
        <x:v>Établi</x:v>
      </x:c>
      <x:c r="E13" s="16" t="str">
        <x:v>P1</x:v>
      </x:c>
      <x:c r="F13" s="9" t="str">
        <x:v>Personnage de l’arc de Gil.</x:v>
      </x:c>
      <x:c r="G13" s="9" t="str">
        <x:v>Scènes personnelles et messages contextualisés ; préserver son rôle distinct des décisions de Ryder.</x:v>
      </x:c>
      <x:c r="H13" s="9" t="str">
        <x:v>Scènes personnelles et messages contextualisés ; préserver son rôle distinct des décisions de Ryder.</x:v>
      </x:c>
      <x:c r="I13" s="9" t="str">
        <x:v>Portrait civil et message à bord.</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mea/npcs/jill ; rattacher les ressources et états cités à cet identifiant. Aucun fichier de jeu créé par ce catalogue.</x:v>
      </x:c>
      <x:c r="M13" s="9" t="str"/>
      <x:c r="N13" s="9" t="str">
        <x:v>Le livrable « Jill » possède une scène ou un scénario de contrôle ; ses règles proposées, ses conditions et ses retours visuels sont vérifiables séparément.</x:v>
      </x:c>
      <x:c r="O13" s="9" t="str"/>
      <x:c r="P13" s="9" t="str">
        <x:v>Jill</x:v>
      </x:c>
      <x:c r="Q13" s="9" t="str">
        <x:v>MEA-SRC-CHAR</x:v>
      </x:c>
      <x:c r="R13" s="9" t="str">
        <x:v>https://masseffect.fandom.com/wiki/Characters/Mass_Effect%3A_Andromeda</x:v>
      </x:c>
      <x:c r="S13" s="9" t="str">
        <x:v>Spécification à réaliser. Les champs adaptation, gameplay, visual, animation, audio et implementation décrivent le fan game ; ils ne donnent pas des caractéristiques officielles de l’œuvre.</x:v>
      </x:c>
    </x:row>
    <x:row r="14" ht="68" customHeight="1">
      <x:c r="A14" s="19" t="str">
        <x:v>MEA-NPC-TANN</x:v>
      </x:c>
      <x:c r="B14" s="7" t="str">
        <x:v>Jarun Tann</x:v>
      </x:c>
      <x:c r="C14" s="15" t="str">
        <x:v>Défini</x:v>
      </x:c>
      <x:c r="D14" s="17" t="str">
        <x:v>Établi</x:v>
      </x:c>
      <x:c r="E14" s="17" t="str">
        <x:v>P1</x:v>
      </x:c>
      <x:c r="F14" s="7" t="str">
        <x:v>Dirigeant du Nexus.</x:v>
      </x:c>
      <x:c r="G14" s="7" t="str">
        <x:v>Briefings d’implantation et décisions politiques ; options de rapport ne valent pas automatiquement approbation.</x:v>
      </x:c>
      <x:c r="H14" s="7" t="str">
        <x:v>Briefings d’implantation et décisions politiques ; options de rapport ne valent pas automatiquement approbation.</x:v>
      </x:c>
      <x:c r="I14" s="7" t="str">
        <x:v>Salarien en tenue de direction.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mea/npcs/tann ; rattacher les ressources et états cités à cet identifiant. Aucun fichier de jeu créé par ce catalogue.</x:v>
      </x:c>
      <x:c r="M14" s="7" t="str"/>
      <x:c r="N14" s="7" t="str">
        <x:v>Le livrable « Jarun Tann » possède une scène ou un scénario de contrôle ; ses règles proposées, ses conditions et ses retours visuels sont vérifiables séparément.</x:v>
      </x:c>
      <x:c r="O14" s="7" t="str"/>
      <x:c r="P14" s="7" t="str">
        <x:v>Jarun Tann</x:v>
      </x:c>
      <x:c r="Q14" s="7" t="str">
        <x:v>MEA-SRC-CHAR, MEA-SRC-MISSIONS</x:v>
      </x:c>
      <x:c r="R14" s="7" t="str">
        <x:v>https://masseffect.fandom.com/wiki/Characters/Mass_Effect%3A_Andromeda
https://masseffect.fandom.com/wiki/Missions_%28Mass_Effect%3A_Andromeda%29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MEA-NPC-ADDISON</x:v>
      </x:c>
      <x:c r="B15" s="9" t="str">
        <x:v>Foster Addison</x:v>
      </x:c>
      <x:c r="C15" s="15" t="str">
        <x:v>Défini</x:v>
      </x:c>
      <x:c r="D15" s="16" t="str">
        <x:v>Établi</x:v>
      </x:c>
      <x:c r="E15" s="16" t="str">
        <x:v>P1</x:v>
      </x:c>
      <x:c r="F15" s="9" t="str">
        <x:v>Responsable coloniale du Nexus.</x:v>
      </x:c>
      <x:c r="G15" s="9" t="str">
        <x:v>Suivi des avant-postes et dossiers de personnel ; messages de progrès liés aux implantations réelles.</x:v>
      </x:c>
      <x:c r="H15" s="9" t="str">
        <x:v>Suivi des avant-postes et dossiers de personnel ; messages de progrès liés aux implantations réelles.</x:v>
      </x:c>
      <x:c r="I15" s="9" t="str">
        <x:v>Tenue administrative et bureau du Nexus.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mea/npcs/addison ; rattacher les ressources et états cités à cet identifiant. Aucun fichier de jeu créé par ce catalogue.</x:v>
      </x:c>
      <x:c r="M15" s="9" t="str"/>
      <x:c r="N15" s="9" t="str">
        <x:v>Le livrable « Foster Addison » possède une scène ou un scénario de contrôle ; ses règles proposées, ses conditions et ses retours visuels sont vérifiables séparément.</x:v>
      </x:c>
      <x:c r="O15" s="9" t="str"/>
      <x:c r="P15" s="9" t="str">
        <x:v>Foster Addison</x:v>
      </x:c>
      <x:c r="Q15" s="9" t="str">
        <x:v>MEA-SRC-CHAR</x:v>
      </x:c>
      <x:c r="R15" s="9" t="str">
        <x:v>https://masseffect.fandom.com/wiki/Characters/Mass_Effect%3A_Andromeda</x:v>
      </x:c>
      <x:c r="S15" s="9" t="str">
        <x:v>Spécification à réaliser. Les champs adaptation, gameplay, visual, animation, audio et implementation décrivent le fan game ; ils ne donnent pas des caractéristiques officielles de l’œuvre.</x:v>
      </x:c>
    </x:row>
    <x:row r="16" ht="68" customHeight="1">
      <x:c r="A16" s="19" t="str">
        <x:v>MEA-NPC-KANDROS</x:v>
      </x:c>
      <x:c r="B16" s="7" t="str">
        <x:v>Tiran Kandros</x:v>
      </x:c>
      <x:c r="C16" s="15" t="str">
        <x:v>Défini</x:v>
      </x:c>
      <x:c r="D16" s="17" t="str">
        <x:v>Établi</x:v>
      </x:c>
      <x:c r="E16" s="17" t="str">
        <x:v>P1</x:v>
      </x:c>
      <x:c r="F16" s="7" t="str">
        <x:v>Responsable militaire du Nexus.</x:v>
      </x:c>
      <x:c r="G16" s="7" t="str">
        <x:v>APEX, sécurité et pistes d’arche turienne ; mission multi facultative clairement signalée.</x:v>
      </x:c>
      <x:c r="H16" s="7" t="str">
        <x:v>APEX, sécurité et pistes d’arche turienne ; mission multi facultative clairement signalée.</x:v>
      </x:c>
      <x:c r="I16" s="7" t="str">
        <x:v>Turien en uniforme de milice.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mea/npcs/kandros ; rattacher les ressources et états cités à cet identifiant. Aucun fichier de jeu créé par ce catalogue.</x:v>
      </x:c>
      <x:c r="M16" s="7" t="str"/>
      <x:c r="N16" s="7" t="str">
        <x:v>Le livrable « Tiran Kandros » possède une scène ou un scénario de contrôle ; ses règles proposées, ses conditions et ses retours visuels sont vérifiables séparément.</x:v>
      </x:c>
      <x:c r="O16" s="7" t="str"/>
      <x:c r="P16" s="7" t="str">
        <x:v>Tiran Kandros</x:v>
      </x:c>
      <x:c r="Q16" s="7" t="str">
        <x:v>MEA-SRC-CHAR, MEA-SRC-MISSING-ARKS</x:v>
      </x:c>
      <x:c r="R16" s="7" t="str">
        <x:v>https://masseffect.fandom.com/wiki/Characters/Mass_Effect%3A_Andromeda
https://masseffect.fandom.com/wiki/Missing_Arks</x:v>
      </x:c>
      <x:c r="S16" s="7" t="str">
        <x:v>Spécification à réaliser. Les champs adaptation, gameplay, visual, animation, audio et implementation décrivent le fan game ; ils ne donnent pas des caractéristiques officielles de l’œuvre.</x:v>
      </x:c>
    </x:row>
    <x:row r="17" ht="68" customHeight="1">
      <x:c r="A17" s="18" t="str">
        <x:v>MEA-NPC-KESH</x:v>
      </x:c>
      <x:c r="B17" s="9" t="str">
        <x:v>Nakmor Kesh</x:v>
      </x:c>
      <x:c r="C17" s="15" t="str">
        <x:v>Défini</x:v>
      </x:c>
      <x:c r="D17" s="16" t="str">
        <x:v>Établi</x:v>
      </x:c>
      <x:c r="E17" s="16" t="str">
        <x:v>P1</x:v>
      </x:c>
      <x:c r="F17" s="9" t="str">
        <x:v>Responsable technique du Nexus.</x:v>
      </x:c>
      <x:c r="G17" s="9" t="str">
        <x:v>Réparations et liens krogan ; arc de Drack et demandes personnelles ne se remplacent pas par une simple quête de ressources.</x:v>
      </x:c>
      <x:c r="H17" s="9" t="str">
        <x:v>Réparations et liens krogan ; arc de Drack et demandes personnelles ne se remplacent pas par une simple quête de ressources.</x:v>
      </x:c>
      <x:c r="I17" s="9" t="str">
        <x:v>Krogan à l’atelier du Nexus.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mea/npcs/kesh ; rattacher les ressources et états cités à cet identifiant. Aucun fichier de jeu créé par ce catalogue.</x:v>
      </x:c>
      <x:c r="M17" s="9" t="str"/>
      <x:c r="N17" s="9" t="str">
        <x:v>Le livrable « Nakmor Kesh » possède une scène ou un scénario de contrôle ; ses règles proposées, ses conditions et ses retours visuels sont vérifiables séparément.</x:v>
      </x:c>
      <x:c r="O17" s="9" t="str"/>
      <x:c r="P17" s="9" t="str">
        <x:v>Nakmor Kesh</x:v>
      </x:c>
      <x:c r="Q17" s="9" t="str">
        <x:v>MEA-SRC-CHAR</x:v>
      </x:c>
      <x:c r="R17" s="9" t="str">
        <x:v>https://masseffect.fandom.com/wiki/Characters/Mass_Effect%3A_Andromeda</x:v>
      </x:c>
      <x:c r="S17" s="9" t="str">
        <x:v>Spécification à réaliser. Les champs adaptation, gameplay, visual, animation, audio et implementation décrivent le fan game ; ils ne donnent pas des caractéristiques officielles de l’œuvre.</x:v>
      </x:c>
    </x:row>
    <x:row r="18" ht="68" customHeight="1">
      <x:c r="A18" s="19" t="str">
        <x:v>MEA-NPC-DUNN</x:v>
      </x:c>
      <x:c r="B18" s="7" t="str">
        <x:v>Nozomi Dunn</x:v>
      </x:c>
      <x:c r="C18" s="15" t="str">
        <x:v>Défini</x:v>
      </x:c>
      <x:c r="D18" s="17" t="str">
        <x:v>Établi</x:v>
      </x:c>
      <x:c r="E18" s="17" t="str">
        <x:v>P1</x:v>
      </x:c>
      <x:c r="F18" s="7" t="str">
        <x:v>Capitaine de l’Hyperion.</x:v>
      </x:c>
      <x:c r="G18" s="7" t="str">
        <x:v>Commandement de l’arche puis scène de final ; présence d’autres Pionniers vérifiée pour les variantes de sauvetage.</x:v>
      </x:c>
      <x:c r="H18" s="7" t="str">
        <x:v>Commandement de l’arche puis scène de final ; présence d’autres Pionniers vérifiée pour les variantes de sauvetage.</x:v>
      </x:c>
      <x:c r="I18" s="7" t="str">
        <x:v>Uniforme de capitaine et passerelle.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mea/npcs/dunn ; rattacher les ressources et états cités à cet identifiant. Aucun fichier de jeu créé par ce catalogue.</x:v>
      </x:c>
      <x:c r="M18" s="7" t="str"/>
      <x:c r="N18" s="7" t="str">
        <x:v>Le livrable « Nozomi Dunn » possède une scène ou un scénario de contrôle ; ses règles proposées, ses conditions et ses retours visuels sont vérifiables séparément.</x:v>
      </x:c>
      <x:c r="O18" s="7" t="str"/>
      <x:c r="P18" s="7" t="str">
        <x:v>Nozomi Dunn</x:v>
      </x:c>
      <x:c r="Q18" s="7" t="str">
        <x:v>MEA-SRC-MERIDIAN, MEA-SRC-EPILOGUE</x:v>
      </x:c>
      <x:c r="R18" s="7" t="str">
        <x:v>https://masseffect.fandom.com/wiki/Meridian%3A_The_Way_Home
https://masseffect.fandom.com/wiki/Epilogue%3A_Home_and_Away</x:v>
      </x:c>
      <x:c r="S18" s="7" t="str">
        <x:v>Spécification à réaliser. Les champs adaptation, gameplay, visual, animation, audio et implementation décrivent le fan game ; ils ne donnent pas des caractéristiques officielles de l’œuvre.</x:v>
      </x:c>
    </x:row>
    <x:row r="19" ht="68" customHeight="1">
      <x:c r="A19" s="18" t="str">
        <x:v>MEA-NPC-HARRY</x:v>
      </x:c>
      <x:c r="B19" s="9" t="str">
        <x:v>Harry Carlyle</x:v>
      </x:c>
      <x:c r="C19" s="15" t="str">
        <x:v>Défini</x:v>
      </x:c>
      <x:c r="D19" s="16" t="str">
        <x:v>Établi</x:v>
      </x:c>
      <x:c r="E19" s="16" t="str">
        <x:v>P1</x:v>
      </x:c>
      <x:c r="F19" s="9" t="str">
        <x:v>Médecin de l’Hyperion.</x:v>
      </x:c>
      <x:c r="G19" s="9" t="str">
        <x:v>Tutoriel de réveil et suivi du jumeau ; examens conduisent aux scènes de famille, jamais à une statistique de diagnostic inventée.</x:v>
      </x:c>
      <x:c r="H19" s="9" t="str">
        <x:v>Tutoriel de réveil et suivi du jumeau ; examens conduisent aux scènes de famille, jamais à une statistique de diagnostic inventée.</x:v>
      </x:c>
      <x:c r="I19" s="9" t="str">
        <x:v>Blouse et salle de cryostase.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mea/npcs/harry ; rattacher les ressources et états cités à cet identifiant. Aucun fichier de jeu créé par ce catalogue.</x:v>
      </x:c>
      <x:c r="M19" s="9" t="str"/>
      <x:c r="N19" s="9" t="str">
        <x:v>Le livrable « Harry Carlyle » possède une scène ou un scénario de contrôle ; ses règles proposées, ses conditions et ses retours visuels sont vérifiables séparément.</x:v>
      </x:c>
      <x:c r="O19" s="9" t="str"/>
      <x:c r="P19" s="9" t="str">
        <x:v>Harry Carlyle</x:v>
      </x:c>
      <x:c r="Q19" s="9" t="str">
        <x:v>MEA-SRC-CHAR</x:v>
      </x:c>
      <x:c r="R19" s="9" t="str">
        <x:v>https://masseffect.fandom.com/wiki/Characters/Mass_Effect%3A_Andromeda</x:v>
      </x:c>
      <x:c r="S19" s="9" t="str">
        <x:v>Spécification à réaliser. Les champs adaptation, gameplay, visual, animation, audio et implementation décrivent le fan game ; ils ne donnent pas des caractéristiques officielles de l’œuvre.</x:v>
      </x:c>
    </x:row>
    <x:row r="20" ht="68" customHeight="1">
      <x:c r="A20" s="19" t="str">
        <x:v>MEA-NPC-FISHER</x:v>
      </x:c>
      <x:c r="B20" s="7" t="str">
        <x:v>Fisher</x:v>
      </x:c>
      <x:c r="C20" s="15" t="str">
        <x:v>Défini</x:v>
      </x:c>
      <x:c r="D20" s="17" t="str">
        <x:v>Établi</x:v>
      </x:c>
      <x:c r="E20" s="17" t="str">
        <x:v>P1</x:v>
      </x:c>
      <x:c r="F20" s="7" t="str">
        <x:v>Membre de l’équipe de Habitat 7.</x:v>
      </x:c>
      <x:c r="G20" s="7" t="str">
        <x:v>PNJ de secours de prologue ; son marqueur blessé reste visible derrière les rochers.</x:v>
      </x:c>
      <x:c r="H20" s="7" t="str">
        <x:v>PNJ de secours de prologue ; son marqueur blessé reste visible derrière les rochers.</x:v>
      </x:c>
      <x:c r="I20" s="7" t="str">
        <x:v>Tenue de reconnaissance et blessure.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mea/npcs/fisher ; rattacher les ressources et états cités à cet identifiant. Aucun fichier de jeu créé par ce catalogue.</x:v>
      </x:c>
      <x:c r="M20" s="7" t="str">
        <x:v>Habitat 7.</x:v>
      </x:c>
      <x:c r="N20" s="7" t="str">
        <x:v>Le livrable « Fisher » possède une scène ou un scénario de contrôle ; ses règles proposées, ses conditions et ses retours visuels sont vérifiables séparément.</x:v>
      </x:c>
      <x:c r="O20" s="7" t="str"/>
      <x:c r="P20" s="7" t="str">
        <x:v>Fisher</x:v>
      </x:c>
      <x:c r="Q20" s="7" t="str">
        <x:v>MEA-SRC-CHAR, MEA-SRC-GUIDE</x:v>
      </x:c>
      <x:c r="R20" s="7" t="str">
        <x:v>https://masseffect.fandom.com/wiki/Characters/Mass_Effect%3A_Andromeda
https://masseffect.fandom.com/wiki/Mass_Effect%3A_Andromeda_Guide</x:v>
      </x:c>
      <x:c r="S20" s="7" t="str">
        <x:v>Spécification à réaliser. Les champs adaptation, gameplay, visual, animation, audio et implementation décrivent le fan game ; ils ne donnent pas des caractéristiques officielles de l’œuvre.</x:v>
      </x:c>
    </x:row>
    <x:row r="21" ht="68" customHeight="1">
      <x:c r="A21" s="18" t="str">
        <x:v>MEA-NPC-GREER</x:v>
      </x:c>
      <x:c r="B21" s="9" t="str">
        <x:v>Greer</x:v>
      </x:c>
      <x:c r="C21" s="15" t="str">
        <x:v>Défini</x:v>
      </x:c>
      <x:c r="D21" s="16" t="str">
        <x:v>Établi</x:v>
      </x:c>
      <x:c r="E21" s="16" t="str">
        <x:v>P1</x:v>
      </x:c>
      <x:c r="F21" s="9" t="str">
        <x:v>Membre de l’équipe de Habitat 7.</x:v>
      </x:c>
      <x:c r="G21" s="9" t="str">
        <x:v>Branche de recherche et secours facultative ; journal distingue trouvé, secouru et extraction.</x:v>
      </x:c>
      <x:c r="H21" s="9" t="str">
        <x:v>Branche de recherche et secours facultative ; journal distingue trouvé, secouru et extraction.</x:v>
      </x:c>
      <x:c r="I21" s="9" t="str">
        <x:v>Armure d’équipe de Pionnier.</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mea/npcs/greer ; rattacher les ressources et états cités à cet identifiant. Aucun fichier de jeu créé par ce catalogue.</x:v>
      </x:c>
      <x:c r="M21" s="9" t="str">
        <x:v>Habitat 7.</x:v>
      </x:c>
      <x:c r="N21" s="9" t="str">
        <x:v>Le livrable « Greer » possède une scène ou un scénario de contrôle ; ses règles proposées, ses conditions et ses retours visuels sont vérifiables séparément.</x:v>
      </x:c>
      <x:c r="O21" s="9" t="str"/>
      <x:c r="P21" s="9" t="str">
        <x:v>Greer</x:v>
      </x:c>
      <x:c r="Q21" s="9" t="str">
        <x:v>MEA-SRC-CHAR, MEA-SRC-GUIDE</x:v>
      </x:c>
      <x:c r="R21" s="9" t="str">
        <x:v>https://masseffect.fandom.com/wiki/Characters/Mass_Effect%3A_Andromeda
https://masseffect.fandom.com/wiki/Mass_Effect%3A_Andromeda_Guide</x:v>
      </x:c>
      <x:c r="S21" s="9" t="str">
        <x:v>Spécification à réaliser. Les champs adaptation, gameplay, visual, animation, audio et implementation décrivent le fan game ; ils ne donnent pas des caractéristiques officielles de l’œuvre.</x:v>
      </x:c>
    </x:row>
    <x:row r="22" ht="68" customHeight="1">
      <x:c r="A22" s="19" t="str">
        <x:v>MEA-NPC-KIRKLAND</x:v>
      </x:c>
      <x:c r="B22" s="7" t="str">
        <x:v>Kirkland</x:v>
      </x:c>
      <x:c r="C22" s="15" t="str">
        <x:v>Défini</x:v>
      </x:c>
      <x:c r="D22" s="17" t="str">
        <x:v>Établi</x:v>
      </x:c>
      <x:c r="E22" s="17" t="str">
        <x:v>P1</x:v>
      </x:c>
      <x:c r="F22" s="7" t="str">
        <x:v>Membre de l’équipe du prologue.</x:v>
      </x:c>
      <x:c r="G22" s="7" t="str">
        <x:v>Scène du premier contact hostile avec conséquence narrative ; ne pas proposer un sauvetage sans preuve.</x:v>
      </x:c>
      <x:c r="H22" s="7" t="str">
        <x:v>Scène du premier contact hostile avec conséquence narrative ; ne pas proposer un sauvetage sans preuve.</x:v>
      </x:c>
      <x:c r="I22" s="7" t="str">
        <x:v>Armure de reconnaissance.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mea/npcs/kirkland ; rattacher les ressources et états cités à cet identifiant. Aucun fichier de jeu créé par ce catalogue.</x:v>
      </x:c>
      <x:c r="M22" s="7" t="str">
        <x:v>Habitat 7.</x:v>
      </x:c>
      <x:c r="N22" s="7" t="str">
        <x:v>Le livrable « Kirkland » possède une scène ou un scénario de contrôle ; ses règles proposées, ses conditions et ses retours visuels sont vérifiables séparément.</x:v>
      </x:c>
      <x:c r="O22" s="7" t="str"/>
      <x:c r="P22" s="7" t="str">
        <x:v>Kirkland</x:v>
      </x:c>
      <x:c r="Q22" s="7" t="str">
        <x:v>MEA-SRC-CHAR, MEA-SRC-GUIDE</x:v>
      </x:c>
      <x:c r="R22" s="7" t="str">
        <x:v>https://masseffect.fandom.com/wiki/Characters/Mass_Effect%3A_Andromeda
https://masseffect.fandom.com/wiki/Mass_Effect%3A_Andromeda_Guide</x:v>
      </x:c>
      <x:c r="S22" s="7" t="str">
        <x:v>Spécification à réaliser. Les champs adaptation, gameplay, visual, animation, audio et implementation décrivent le fan game ; ils ne donnent pas des caractéristiques officielles de l’œuvre.</x:v>
      </x:c>
    </x:row>
    <x:row r="23" ht="68" customHeight="1">
      <x:c r="A23" s="18" t="str">
        <x:v>MEA-NPC-ELLEN</x:v>
      </x:c>
      <x:c r="B23" s="9" t="str">
        <x:v>Ellen Ryder</x:v>
      </x:c>
      <x:c r="C23" s="15" t="str">
        <x:v>Défini</x:v>
      </x:c>
      <x:c r="D23" s="16" t="str">
        <x:v>Établi</x:v>
      </x:c>
      <x:c r="E23" s="16" t="str">
        <x:v>P1</x:v>
      </x:c>
      <x:c r="F23" s="9" t="str">
        <x:v>Mère des jumeaux.</x:v>
      </x:c>
      <x:c r="G23" s="9" t="str">
        <x:v>Présence par souvenirs et révélations familiales ; informations verrouillées par progression de SAM.</x:v>
      </x:c>
      <x:c r="H23" s="9" t="str">
        <x:v>Présence par souvenirs et révélations familiales ; informations verrouillées par progression de SAM.</x:v>
      </x:c>
      <x:c r="I23" s="9" t="str">
        <x:v>Portrait familial et cryostase selon révélation.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mea/npcs/ellen ; rattacher les ressources et états cités à cet identifiant. Aucun fichier de jeu créé par ce catalogue.</x:v>
      </x:c>
      <x:c r="M23" s="9" t="str">
        <x:v>Arc familial, spoilers.</x:v>
      </x:c>
      <x:c r="N23" s="9" t="str">
        <x:v>Le livrable « Ellen Ryder » possède une scène ou un scénario de contrôle ; ses règles proposées, ses conditions et ses retours visuels sont vérifiables séparément.</x:v>
      </x:c>
      <x:c r="O23" s="9" t="str"/>
      <x:c r="P23" s="9" t="str">
        <x:v>Ellen Ryder</x:v>
      </x:c>
      <x:c r="Q23" s="9" t="str">
        <x:v>MEA-SRC-FAMILY</x:v>
      </x:c>
      <x:c r="R23" s="9" t="str">
        <x:v>https://masseffect.fandom.com/wiki/Ryder_Family_Secrets</x:v>
      </x:c>
      <x:c r="S23" s="9" t="str">
        <x:v>Spécification à réaliser. Les champs adaptation, gameplay, visual, animation, audio et implementation décrivent le fan game ; ils ne donnent pas des caractéristiques officielles de l’œuvre.</x:v>
      </x:c>
    </x:row>
    <x:row r="24" ht="68" customHeight="1">
      <x:c r="A24" s="19" t="str">
        <x:v>MEA-NPC-GARSON</x:v>
      </x:c>
      <x:c r="B24" s="7" t="str">
        <x:v>Jien Garson</x:v>
      </x:c>
      <x:c r="C24" s="15" t="str">
        <x:v>Défini</x:v>
      </x:c>
      <x:c r="D24" s="17" t="str">
        <x:v>Établi</x:v>
      </x:c>
      <x:c r="E24" s="17" t="str">
        <x:v>P1</x:v>
      </x:c>
      <x:c r="F24" s="7" t="str">
        <x:v>Fondatrice de l’Initiative.</x:v>
      </x:c>
      <x:c r="G24" s="7" t="str">
        <x:v>Documents et enquête de mémoire ; ne pas présenter son apparition comme PNJ vivant au Nexus.</x:v>
      </x:c>
      <x:c r="H24" s="7" t="str">
        <x:v>Documents et enquête de mémoire ; ne pas présenter son apparition comme PNJ vivant au Nexus.</x:v>
      </x:c>
      <x:c r="I24" s="7" t="str">
        <x:v>Enregistrements et portrait officiel.</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mea/npcs/garson ; rattacher les ressources et états cités à cet identifiant. Aucun fichier de jeu créé par ce catalogue.</x:v>
      </x:c>
      <x:c r="M24" s="7" t="str">
        <x:v>Souvenirs / enquête.</x:v>
      </x:c>
      <x:c r="N24" s="7" t="str">
        <x:v>Le livrable « Jien Garson » possède une scène ou un scénario de contrôle ; ses règles proposées, ses conditions et ses retours visuels sont vérifiables séparément.</x:v>
      </x:c>
      <x:c r="O24" s="7" t="str"/>
      <x:c r="P24" s="7" t="str">
        <x:v>Jien Garson</x:v>
      </x:c>
      <x:c r="Q24" s="7" t="str">
        <x:v>MEA-SRC-CHAR, MEA-SRC-CODEX</x:v>
      </x:c>
      <x:c r="R24" s="7" t="str">
        <x:v>https://masseffect.fandom.com/wiki/Characters/Mass_Effect%3A_Andromeda
https://masseffect.fandom.com/wiki/Codex_Entry_Guide_%28Mass_Effect%3A_Andromeda%29</x:v>
      </x:c>
      <x:c r="S24" s="7" t="str">
        <x:v>Spécification à réaliser. Les champs adaptation, gameplay, visual, animation, audio et implementation décrivent le fan game ; ils ne donnent pas des caractéristiques officielles de l’œuvre.</x:v>
      </x:c>
    </x:row>
    <x:row r="25" ht="68" customHeight="1">
      <x:c r="A25" s="18" t="str">
        <x:v>MEA-NPC-BENEFACTOR</x:v>
      </x:c>
      <x:c r="B25" s="9" t="str">
        <x:v>Bienfaiteur non identifié</x:v>
      </x:c>
      <x:c r="C25" s="15" t="str">
        <x:v>Défini</x:v>
      </x:c>
      <x:c r="D25" s="16" t="str">
        <x:v>Établi</x:v>
      </x:c>
      <x:c r="E25" s="16" t="str">
        <x:v>P1</x:v>
      </x:c>
      <x:c r="F25" s="9" t="str">
        <x:v>Une figure mystérieuse finance l’Initiative.</x:v>
      </x:c>
      <x:c r="G25" s="9" t="str">
        <x:v>Dossier de pistes sans identité inventée ; statut inconnu conservé à la fin de l’œuvre.</x:v>
      </x:c>
      <x:c r="H25" s="9" t="str">
        <x:v>Dossier de pistes sans identité inventée ; statut inconnu conservé à la fin de l’œuvre.</x:v>
      </x:c>
      <x:c r="I25" s="9" t="str">
        <x:v>Communication masquée et documents.</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mea/npcs/benefactor ; rattacher les ressources et états cités à cet identifiant. Aucun fichier de jeu créé par ce catalogue.</x:v>
      </x:c>
      <x:c r="M25" s="9" t="str">
        <x:v>Mystère non résolu dans le périmètre.</x:v>
      </x:c>
      <x:c r="N25" s="9" t="str">
        <x:v>Le livrable « Bienfaiteur non identifié » possède une scène ou un scénario de contrôle ; ses règles proposées, ses conditions et ses retours visuels sont vérifiables séparément.</x:v>
      </x:c>
      <x:c r="O25" s="9" t="str"/>
      <x:c r="P25" s="9" t="str">
        <x:v>Bienfaiteur non identifié</x:v>
      </x:c>
      <x:c r="Q25" s="9" t="str">
        <x:v>MEA-SRC-FAMILY</x:v>
      </x:c>
      <x:c r="R25" s="9" t="str">
        <x:v>https://masseffect.fandom.com/wiki/Ryder_Family_Secrets</x:v>
      </x:c>
      <x:c r="S25" s="9" t="str">
        <x:v>Spécification à réaliser. Les champs adaptation, gameplay, visual, animation, audio et implementation décrivent le fan game ; ils ne donnent pas des caractéristiques officielles de l’œuvre.</x:v>
      </x:c>
    </x:row>
    <x:row r="26" ht="68" customHeight="1">
      <x:c r="A26" s="19" t="str">
        <x:v>MEA-NPC-BRADLEY</x:v>
      </x:c>
      <x:c r="B26" s="7" t="str">
        <x:v>August Bradley</x:v>
      </x:c>
      <x:c r="C26" s="15" t="str">
        <x:v>Défini</x:v>
      </x:c>
      <x:c r="D26" s="17" t="str">
        <x:v>Établi</x:v>
      </x:c>
      <x:c r="E26" s="17" t="str">
        <x:v>P1</x:v>
      </x:c>
      <x:c r="F26" s="7" t="str">
        <x:v>Responsable de Prodromos.</x:v>
      </x:c>
      <x:c r="G26" s="7" t="str">
        <x:v>Contact de progrès d’Eos et mission Making an Impression ; invitation liée au vrai retour de colonisation.</x:v>
      </x:c>
      <x:c r="H26" s="7" t="str">
        <x:v>Contact de progrès d’Eos et mission Making an Impression ; invitation liée au vrai retour de colonisation.</x:v>
      </x:c>
      <x:c r="I26" s="7" t="str">
        <x:v>Tenue d’avant-poste et poste de commandement.</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mea/npcs/bradley ; rattacher les ressources et états cités à cet identifiant. Aucun fichier de jeu créé par ce catalogue.</x:v>
      </x:c>
      <x:c r="M26" s="7" t="str"/>
      <x:c r="N26" s="7" t="str">
        <x:v>Le livrable « August Bradley » possède une scène ou un scénario de contrôle ; ses règles proposées, ses conditions et ses retours visuels sont vérifiables séparément.</x:v>
      </x:c>
      <x:c r="O26" s="7" t="str"/>
      <x:c r="P26" s="7" t="str">
        <x:v>August Bradley</x:v>
      </x:c>
      <x:c r="Q26" s="7" t="str">
        <x:v>MEA-SRC-CHAR, MEA-SRC-MISSIONS</x:v>
      </x:c>
      <x:c r="R26" s="7" t="str">
        <x:v>https://masseffect.fandom.com/wiki/Characters/Mass_Effect%3A_Andromeda
https://masseffect.fandom.com/wiki/Missions_%28Mass_Effect%3A_Andromeda%29</x:v>
      </x:c>
      <x:c r="S26" s="7" t="str">
        <x:v>Spécification à réaliser. Les champs adaptation, gameplay, visual, animation, audio et implementation décrivent le fan game ; ils ne donnent pas des caractéristiques officielles de l’œuvre.</x:v>
      </x:c>
    </x:row>
    <x:row r="27" ht="68" customHeight="1">
      <x:c r="A27" s="18" t="str">
        <x:v>MEA-NPC-SLOANE</x:v>
      </x:c>
      <x:c r="B27" s="9" t="str">
        <x:v>Sloane Kelly</x:v>
      </x:c>
      <x:c r="C27" s="15" t="str">
        <x:v>Défini</x:v>
      </x:c>
      <x:c r="D27" s="16" t="str">
        <x:v>Établi</x:v>
      </x:c>
      <x:c r="E27" s="16" t="str">
        <x:v>P1</x:v>
      </x:c>
      <x:c r="F27" s="9" t="str">
        <x:v>Dirigeante de Kadara Port.</x:v>
      </x:c>
      <x:c r="G27" s="9" t="str">
        <x:v>Entretien de pouvoir, accès local et High Noon ; changements de régime répercutés sur les gardes.</x:v>
      </x:c>
      <x:c r="H27" s="9" t="str">
        <x:v>Entretien de pouvoir, accès local et High Noon ; changements de régime répercutés sur les gardes.</x:v>
      </x:c>
      <x:c r="I27" s="9" t="str">
        <x:v>Armure de hors-la-loi et salle du trône.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mea/npcs/sloane ; rattacher les ressources et états cités à cet identifiant. Aucun fichier de jeu créé par ce catalogue.</x:v>
      </x:c>
      <x:c r="M27" s="9" t="str"/>
      <x:c r="N27" s="9" t="str">
        <x:v>Le livrable « Sloane Kelly » possède une scène ou un scénario de contrôle ; ses règles proposées, ses conditions et ses retours visuels sont vérifiables séparément.</x:v>
      </x:c>
      <x:c r="O27" s="9" t="str"/>
      <x:c r="P27" s="9" t="str">
        <x:v>Sloane Kelly</x:v>
      </x:c>
      <x:c r="Q27" s="9" t="str">
        <x:v>MEA-SRC-HIGH-NOON, MEA-SRC-CHAR</x:v>
      </x:c>
      <x:c r="R27" s="9" t="str">
        <x:v>https://masseffect.fandom.com/wiki/High_Noon
https://masseffect.fandom.com/wiki/Characters/Mass_Effect%3A_Andromeda</x:v>
      </x:c>
      <x:c r="S27" s="9" t="str">
        <x:v>Spécification à réaliser. Les champs adaptation, gameplay, visual, animation, audio et implementation décrivent le fan game ; ils ne donnent pas des caractéristiques officielles de l’œuvre.</x:v>
      </x:c>
    </x:row>
    <x:row r="28" ht="68" customHeight="1">
      <x:c r="A28" s="19" t="str">
        <x:v>MEA-NPC-REYES</x:v>
      </x:c>
      <x:c r="B28" s="7" t="str">
        <x:v>Reyes Vidal</x:v>
      </x:c>
      <x:c r="C28" s="15" t="str">
        <x:v>Défini</x:v>
      </x:c>
      <x:c r="D28" s="17" t="str">
        <x:v>Établi</x:v>
      </x:c>
      <x:c r="E28" s="17" t="str">
        <x:v>P1</x:v>
      </x:c>
      <x:c r="F28" s="7" t="str">
        <x:v>Interlocuteur majeur de Kadara.</x:v>
      </x:c>
      <x:c r="G28" s="7" t="str">
        <x:v>Enquêtes, relation et rôle politique à révélation progressive ; ne pas spoiler son identité dans l’UI initiale.</x:v>
      </x:c>
      <x:c r="H28" s="7" t="str">
        <x:v>Enquêtes, relation et rôle politique à révélation progressive ; ne pas spoiler son identité dans l’UI initiale.</x:v>
      </x:c>
      <x:c r="I28" s="7" t="str">
        <x:v>Tenue civile sombre et bar de Kadara.</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mea/npcs/reyes ; rattacher les ressources et états cités à cet identifiant. Aucun fichier de jeu créé par ce catalogue.</x:v>
      </x:c>
      <x:c r="M28" s="7" t="str"/>
      <x:c r="N28" s="7" t="str">
        <x:v>Le livrable « Reyes Vidal » possède une scène ou un scénario de contrôle ; ses règles proposées, ses conditions et ses retours visuels sont vérifiables séparément.</x:v>
      </x:c>
      <x:c r="O28" s="7" t="str"/>
      <x:c r="P28" s="7" t="str">
        <x:v>Reyes Vidal</x:v>
      </x:c>
      <x:c r="Q28" s="7" t="str">
        <x:v>MEA-SRC-HIGH-NOON, MEA-SRC-CHAR</x:v>
      </x:c>
      <x:c r="R28" s="7" t="str">
        <x:v>https://masseffect.fandom.com/wiki/High_Noon
https://masseffect.fandom.com/wiki/Characters/Mass_Effect%3A_Andromeda</x:v>
      </x:c>
      <x:c r="S28" s="7" t="str">
        <x:v>Spécification à réaliser. Les champs adaptation, gameplay, visual, animation, audio et implementation décrivent le fan game ; ils ne donnent pas des caractéristiques officielles de l’œuvre.</x:v>
      </x:c>
    </x:row>
    <x:row r="29" ht="68" customHeight="1">
      <x:c r="A29" s="18" t="str">
        <x:v>MEA-NPC-EVFRA</x:v>
      </x:c>
      <x:c r="B29" s="9" t="str">
        <x:v>Evfra de Tershaav</x:v>
      </x:c>
      <x:c r="C29" s="15" t="str">
        <x:v>Défini</x:v>
      </x:c>
      <x:c r="D29" s="16" t="str">
        <x:v>Établi</x:v>
      </x:c>
      <x:c r="E29" s="16" t="str">
        <x:v>P1</x:v>
      </x:c>
      <x:c r="F29" s="9" t="str">
        <x:v>Chef de la Résistance angara.</x:v>
      </x:c>
      <x:c r="G29" s="9" t="str">
        <x:v>Autorise des opérations selon confiance et résultats ; une mission obtenue reste lisible après changement de planète.</x:v>
      </x:c>
      <x:c r="H29" s="9" t="str">
        <x:v>Autorise des opérations selon confiance et résultats ; une mission obtenue reste lisible après changement de planète.</x:v>
      </x:c>
      <x:c r="I29" s="9" t="str">
        <x:v>Angara en tenue de commandement.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mea/npcs/evfra ; rattacher les ressources et états cités à cet identifiant. Aucun fichier de jeu créé par ce catalogue.</x:v>
      </x:c>
      <x:c r="M29" s="9" t="str"/>
      <x:c r="N29" s="9" t="str">
        <x:v>Le livrable « Evfra de Tershaav » possède une scène ou un scénario de contrôle ; ses règles proposées, ses conditions et ses retours visuels sont vérifiables séparément.</x:v>
      </x:c>
      <x:c r="O29" s="9" t="str"/>
      <x:c r="P29" s="9" t="str">
        <x:v>Evfra de Tershaav</x:v>
      </x:c>
      <x:c r="Q29" s="9" t="str">
        <x:v>MEA-SRC-CHAR, MEA-SRC-GUIDE</x:v>
      </x:c>
      <x:c r="R29" s="9" t="str">
        <x:v>https://masseffect.fandom.com/wiki/Characters/Mass_Effect%3A_Andromeda
https://masseffect.fandom.com/wiki/Mass_Effect%3A_Andromeda_Guide</x:v>
      </x:c>
      <x:c r="S29" s="9" t="str">
        <x:v>Spécification à réaliser. Les champs adaptation, gameplay, visual, animation, audio et implementation décrivent le fan game ; ils ne donnent pas des caractéristiques officielles de l’œuvre.</x:v>
      </x:c>
    </x:row>
    <x:row r="30" ht="68" customHeight="1">
      <x:c r="A30" s="19" t="str">
        <x:v>MEA-NPC-MOSHAE</x:v>
      </x:c>
      <x:c r="B30" s="7" t="str">
        <x:v>Moshae Sjefa</x:v>
      </x:c>
      <x:c r="C30" s="15" t="str">
        <x:v>Défini</x:v>
      </x:c>
      <x:c r="D30" s="17" t="str">
        <x:v>Établi</x:v>
      </x:c>
      <x:c r="E30" s="17" t="str">
        <x:v>P1</x:v>
      </x:c>
      <x:c r="F30" s="7" t="str">
        <x:v>Scientifique angara recherchée.</x:v>
      </x:c>
      <x:c r="G30" s="7" t="str">
        <x:v>Sauvetage et révélation de l’exaltation ; attitude liée aux décisions sans en faire un objet de récompense.</x:v>
      </x:c>
      <x:c r="H30" s="7" t="str">
        <x:v>Sauvetage et révélation de l’exaltation ; attitude liée aux décisions sans en faire un objet de récompense.</x:v>
      </x:c>
      <x:c r="I30" s="7" t="str">
        <x:v>Angara âgée en tenue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mea/npcs/moshae ; rattacher les ressources et états cités à cet identifiant. Aucun fichier de jeu créé par ce catalogue.</x:v>
      </x:c>
      <x:c r="M30" s="7" t="str"/>
      <x:c r="N30" s="7" t="str">
        <x:v>Le livrable « Moshae Sjefa » possède une scène ou un scénario de contrôle ; ses règles proposées, ses conditions et ses retours visuels sont vérifiables séparément.</x:v>
      </x:c>
      <x:c r="O30" s="7" t="str"/>
      <x:c r="P30" s="7" t="str">
        <x:v>Moshae Sjefa</x:v>
      </x:c>
      <x:c r="Q30" s="7" t="str">
        <x:v>MEA-SRC-GUIDE</x:v>
      </x:c>
      <x:c r="R30" s="7" t="str">
        <x:v>https://masseffect.fandom.com/wiki/Mass_Effect%3A_Andromeda_Guide</x:v>
      </x:c>
      <x:c r="S30" s="7" t="str">
        <x:v>Spécification à réaliser. Les champs adaptation, gameplay, visual, animation, audio et implementation décrivent le fan game ; ils ne donnent pas des caractéristiques officielles de l’œuvre.</x:v>
      </x:c>
    </x:row>
    <x:row r="31" ht="68" customHeight="1">
      <x:c r="A31" s="18" t="str">
        <x:v>MEA-NPC-AKKSUL</x:v>
      </x:c>
      <x:c r="B31" s="9" t="str">
        <x:v>Akksul</x:v>
      </x:c>
      <x:c r="C31" s="15" t="str">
        <x:v>Défini</x:v>
      </x:c>
      <x:c r="D31" s="16" t="str">
        <x:v>Établi</x:v>
      </x:c>
      <x:c r="E31" s="16" t="str">
        <x:v>P1</x:v>
      </x:c>
      <x:c r="F31" s="9" t="str">
        <x:v>Chef des Roekaar.</x:v>
      </x:c>
      <x:c r="G31" s="9" t="str">
        <x:v>Confrontation familiale de Jaal avec interruption conditionnelle ; visée de l’arme doit montrer clairement qui menace qui.</x:v>
      </x:c>
      <x:c r="H31" s="9" t="str">
        <x:v>Confrontation familiale de Jaal avec interruption conditionnelle ; visée de l’arme doit montrer clairement qui menace qui.</x:v>
      </x:c>
      <x:c r="I31" s="9" t="str">
        <x:v>Visage angara marqué et tenue militante.</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mea/npcs/akksul ; rattacher les ressources et états cités à cet identifiant. Aucun fichier de jeu créé par ce catalogue.</x:v>
      </x:c>
      <x:c r="M31" s="9" t="str">
        <x:v>Arc de Jaal.</x:v>
      </x:c>
      <x:c r="N31" s="9" t="str">
        <x:v>Le livrable « Akksul » possède une scène ou un scénario de contrôle ; ses règles proposées, ses conditions et ses retours visuels sont vérifiables séparément.</x:v>
      </x:c>
      <x:c r="O31" s="9" t="str"/>
      <x:c r="P31" s="9" t="str">
        <x:v>Akksul</x:v>
      </x:c>
      <x:c r="Q31" s="9" t="str">
        <x:v>MEA-SRC-JAAL-LOYAL</x:v>
      </x:c>
      <x:c r="R31" s="9" t="str">
        <x:v>https://masseffect.fandom.com/wiki/Jaal_Ama_Darav%3A_Flesh_and_Blood</x:v>
      </x:c>
      <x:c r="S31" s="9" t="str">
        <x:v>Spécification à réaliser. Les champs adaptation, gameplay, visual, animation, audio et implementation décrivent le fan game ; ils ne donnent pas des caractéristiques officielles de l’œuvre.</x:v>
      </x:c>
    </x:row>
    <x:row r="32" ht="68" customHeight="1">
      <x:c r="A32" s="19" t="str">
        <x:v>MEA-NPC-RAEKA</x:v>
      </x:c>
      <x:c r="B32" s="7" t="str">
        <x:v>Zevin Raeka</x:v>
      </x:c>
      <x:c r="C32" s="15" t="str">
        <x:v>Défini</x:v>
      </x:c>
      <x:c r="D32" s="17" t="str">
        <x:v>Établi</x:v>
      </x:c>
      <x:c r="E32" s="17" t="str">
        <x:v>P1</x:v>
      </x:c>
      <x:c r="F32" s="7" t="str">
        <x:v>Pionnière galarienne.</x:v>
      </x:c>
      <x:c r="G32" s="7" t="str">
        <x:v>Alliée de l’arche et branche de secours ; contribution finale conditionnelle à survie.</x:v>
      </x:c>
      <x:c r="H32" s="7" t="str">
        <x:v>Alliée de l’arche et branche de secours ; contribution finale conditionnelle à survie.</x:v>
      </x:c>
      <x:c r="I32" s="7" t="str">
        <x:v>Salarienne en tenue de Pionnier.</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mea/npcs/raeka ; rattacher les ressources et états cités à cet identifiant. Aucun fichier de jeu créé par ce catalogue.</x:v>
      </x:c>
      <x:c r="M32" s="7" t="str">
        <x:v>Choix de Hunting the Archon.</x:v>
      </x:c>
      <x:c r="N32" s="7" t="str">
        <x:v>Le livrable « Zevin Raeka » possède une scène ou un scénario de contrôle ; ses règles proposées, ses conditions et ses retours visuels sont vérifiables séparément.</x:v>
      </x:c>
      <x:c r="O32" s="7" t="str"/>
      <x:c r="P32" s="7" t="str">
        <x:v>Zevin Raeka</x:v>
      </x:c>
      <x:c r="Q32" s="7" t="str">
        <x:v>MEA-SRC-ARCHON</x:v>
      </x:c>
      <x:c r="R32" s="7" t="str">
        <x:v>https://masseffect.fandom.com/wiki/Hunting_the_Archon</x:v>
      </x:c>
      <x:c r="S32" s="7" t="str">
        <x:v>Spécification à réaliser. Les champs adaptation, gameplay, visual, animation, audio et implementation décrivent le fan game ; ils ne donnent pas des caractéristiques officielles de l’œuvre.</x:v>
      </x:c>
    </x:row>
    <x:row r="33" ht="68" customHeight="1">
      <x:c r="A33" s="18" t="str">
        <x:v>MEA-NPC-HAYJER</x:v>
      </x:c>
      <x:c r="B33" s="9" t="str">
        <x:v>Lumont Hayjer</x:v>
      </x:c>
      <x:c r="C33" s="15" t="str">
        <x:v>Défini</x:v>
      </x:c>
      <x:c r="D33" s="16" t="str">
        <x:v>Établi</x:v>
      </x:c>
      <x:c r="E33" s="16" t="str">
        <x:v>P1</x:v>
      </x:c>
      <x:c r="F33" s="9" t="str">
        <x:v>Successeur possible de Raeka.</x:v>
      </x:c>
      <x:c r="G33" s="9" t="str">
        <x:v>Profil de Pionnier alternatif avec scènes propres ; ne pas le créer si Raeka occupe toujours le rôle.</x:v>
      </x:c>
      <x:c r="H33" s="9" t="str">
        <x:v>Profil de Pionnier alternatif avec scènes propres ; ne pas le créer si Raeka occupe toujours le rôle.</x:v>
      </x:c>
      <x:c r="I33" s="9" t="str">
        <x:v>Salarien et tenue de Pionnier.</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mea/npcs/hayjer ; rattacher les ressources et états cités à cet identifiant. Aucun fichier de jeu créé par ce catalogue.</x:v>
      </x:c>
      <x:c r="M33" s="9" t="str">
        <x:v>Succession conditionnelle.</x:v>
      </x:c>
      <x:c r="N33" s="9" t="str">
        <x:v>Le livrable « Lumont Hayjer » possède une scène ou un scénario de contrôle ; ses règles proposées, ses conditions et ses retours visuels sont vérifiables séparément.</x:v>
      </x:c>
      <x:c r="O33" s="9" t="str"/>
      <x:c r="P33" s="9" t="str">
        <x:v>Lumont Hayjer</x:v>
      </x:c>
      <x:c r="Q33" s="9" t="str">
        <x:v>MEA-SRC-EPILOGUE, MEA-SRC-CHAR</x:v>
      </x:c>
      <x:c r="R33" s="9" t="str">
        <x:v>https://masseffect.fandom.com/wiki/Epilogue%3A_Home_and_Away
https://masseffect.fandom.com/wiki/Characters/Mass_Effect%3A_Andromeda</x:v>
      </x:c>
      <x:c r="S33" s="9" t="str">
        <x:v>Spécification à réaliser. Les champs adaptation, gameplay, visual, animation, audio et implementation décrivent le fan game ; ils ne donnent pas des caractéristiques officielles de l’œuvre.</x:v>
      </x:c>
    </x:row>
    <x:row r="34" ht="68" customHeight="1">
      <x:c r="A34" s="19" t="str">
        <x:v>MEA-NPC-AVITUS</x:v>
      </x:c>
      <x:c r="B34" s="7" t="str">
        <x:v>Avitus Rix</x:v>
      </x:c>
      <x:c r="C34" s="15" t="str">
        <x:v>Défini</x:v>
      </x:c>
      <x:c r="D34" s="17" t="str">
        <x:v>Établi</x:v>
      </x:c>
      <x:c r="E34" s="17" t="str">
        <x:v>P1</x:v>
      </x:c>
      <x:c r="F34" s="7" t="str">
        <x:v>Personnage de l’arche turienne.</x:v>
      </x:c>
      <x:c r="G34" s="7" t="str">
        <x:v>Recherche de Macen puis choix de succession ; un refus ne le transforme pas automatiquement en Pionnier au final.</x:v>
      </x:c>
      <x:c r="H34" s="7" t="str">
        <x:v>Recherche de Macen puis choix de succession ; un refus ne le transforme pas automatiquement en Pionnier au final.</x:v>
      </x:c>
      <x:c r="I34" s="7" t="str">
        <x:v>Turien en armure de reconnaissance.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mea/npcs/avitus ; rattacher les ressources et états cités à cet identifiant. Aucun fichier de jeu créé par ce catalogue.</x:v>
      </x:c>
      <x:c r="M34" s="7" t="str">
        <x:v>Arc de l’arche turienne.</x:v>
      </x:c>
      <x:c r="N34" s="7" t="str">
        <x:v>Le livrable « Avitus Rix » possède une scène ou un scénario de contrôle ; ses règles proposées, ses conditions et ses retours visuels sont vérifiables séparément.</x:v>
      </x:c>
      <x:c r="O34" s="7" t="str"/>
      <x:c r="P34" s="7" t="str">
        <x:v>Avitus Rix</x:v>
      </x:c>
      <x:c r="Q34" s="7" t="str">
        <x:v>MEA-SRC-MISSING-ARKS, MEA-SRC-CHAR</x:v>
      </x:c>
      <x:c r="R34" s="7" t="str">
        <x:v>https://masseffect.fandom.com/wiki/Missing_Arks
https://masseffect.fandom.com/wiki/Characters/Mass_Effect%3A_Andromeda</x:v>
      </x:c>
      <x:c r="S34" s="7" t="str">
        <x:v>Spécification à réaliser. Les champs adaptation, gameplay, visual, animation, audio et implementation décrivent le fan game ; ils ne donnent pas des caractéristiques officielles de l’œuvre.</x:v>
      </x:c>
    </x:row>
    <x:row r="35" ht="68" customHeight="1">
      <x:c r="A35" s="18" t="str">
        <x:v>MEA-NPC-MACEN</x:v>
      </x:c>
      <x:c r="B35" s="9" t="str">
        <x:v>Macen Barro</x:v>
      </x:c>
      <x:c r="C35" s="15" t="str">
        <x:v>Défini</x:v>
      </x:c>
      <x:c r="D35" s="16" t="str">
        <x:v>Établi</x:v>
      </x:c>
      <x:c r="E35" s="16" t="str">
        <x:v>P1</x:v>
      </x:c>
      <x:c r="F35" s="9" t="str">
        <x:v>Pionnier de l’arche turienne.</x:v>
      </x:c>
      <x:c r="G35" s="9" t="str">
        <x:v>Traces et révélation de son sort ; séparer enregistrements passés et acteur présent de la scène.</x:v>
      </x:c>
      <x:c r="H35" s="9" t="str">
        <x:v>Traces et révélation de son sort ; séparer enregistrements passés et acteur présent de la scène.</x:v>
      </x:c>
      <x:c r="I35" s="9" t="str">
        <x:v>Portrait turien et archives de SAM.</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mea/npcs/macen ; rattacher les ressources et états cités à cet identifiant. Aucun fichier de jeu créé par ce catalogue.</x:v>
      </x:c>
      <x:c r="M35" s="9" t="str">
        <x:v>Arc Natanus.</x:v>
      </x:c>
      <x:c r="N35" s="9" t="str">
        <x:v>Le livrable « Macen Barro » possède une scène ou un scénario de contrôle ; ses règles proposées, ses conditions et ses retours visuels sont vérifiables séparément.</x:v>
      </x:c>
      <x:c r="O35" s="9" t="str"/>
      <x:c r="P35" s="9" t="str">
        <x:v>Macen Barro</x:v>
      </x:c>
      <x:c r="Q35" s="9" t="str">
        <x:v>MEA-SRC-CHAR, MEA-SRC-MISSING-ARKS</x:v>
      </x:c>
      <x:c r="R35" s="9" t="str">
        <x:v>https://masseffect.fandom.com/wiki/Characters/Mass_Effect%3A_Andromeda
https://masseffect.fandom.com/wiki/Missing_Arks</x:v>
      </x:c>
      <x:c r="S35" s="9" t="str">
        <x:v>Spécification à réaliser. Les champs adaptation, gameplay, visual, animation, audio et implementation décrivent le fan game ; ils ne donnent pas des caractéristiques officielles de l’œuvre.</x:v>
      </x:c>
    </x:row>
    <x:row r="36" ht="68" customHeight="1">
      <x:c r="A36" s="19" t="str">
        <x:v>MEA-NPC-SARISSA</x:v>
      </x:c>
      <x:c r="B36" s="7" t="str">
        <x:v>Sarissa Theris</x:v>
      </x:c>
      <x:c r="C36" s="15" t="str">
        <x:v>Défini</x:v>
      </x:c>
      <x:c r="D36" s="17" t="str">
        <x:v>Établi</x:v>
      </x:c>
      <x:c r="E36" s="17" t="str">
        <x:v>P1</x:v>
      </x:c>
      <x:c r="F36" s="7" t="str">
        <x:v>Pionnière asari de l’arc Leusinia.</x:v>
      </x:c>
      <x:c r="G36" s="7" t="str">
        <x:v>Confrontation autour des données et du sacrifice d’Ishara ; maintien ou remplacement selon décision.</x:v>
      </x:c>
      <x:c r="H36" s="7" t="str">
        <x:v>Confrontation autour des données et du sacrifice d’Ishara ; maintien ou remplacement selon décision.</x:v>
      </x:c>
      <x:c r="I36" s="7" t="str">
        <x:v>Asari en armure de commandement.</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mea/npcs/sarissa ; rattacher les ressources et états cités à cet identifiant. Aucun fichier de jeu créé par ce catalogue.</x:v>
      </x:c>
      <x:c r="M36" s="7" t="str">
        <x:v>Mission de Cora.</x:v>
      </x:c>
      <x:c r="N36" s="7" t="str">
        <x:v>Le livrable « Sarissa Theris » possède une scène ou un scénario de contrôle ; ses règles proposées, ses conditions et ses retours visuels sont vérifiables séparément.</x:v>
      </x:c>
      <x:c r="O36" s="7" t="str"/>
      <x:c r="P36" s="7" t="str">
        <x:v>Sarissa Theris</x:v>
      </x:c>
      <x:c r="Q36" s="7" t="str">
        <x:v>MEA-SRC-CORA-LOYAL</x:v>
      </x:c>
      <x:c r="R36" s="7" t="str">
        <x:v>https://masseffect.fandom.com/wiki/Cora_Harper%3A_At_Duty%27s_Edge</x:v>
      </x:c>
      <x:c r="S36" s="7" t="str">
        <x:v>Spécification à réaliser. Les champs adaptation, gameplay, visual, animation, audio et implementation décrivent le fan game ; ils ne donnent pas des caractéristiques officielles de l’œuvre.</x:v>
      </x:c>
    </x:row>
    <x:row r="37" ht="68" customHeight="1">
      <x:c r="A37" s="18" t="str">
        <x:v>MEA-NPC-VEDERIA</x:v>
      </x:c>
      <x:c r="B37" s="9" t="str">
        <x:v>Vederia Damali</x:v>
      </x:c>
      <x:c r="C37" s="15" t="str">
        <x:v>Défini</x:v>
      </x:c>
      <x:c r="D37" s="16" t="str">
        <x:v>Établi</x:v>
      </x:c>
      <x:c r="E37" s="16" t="str">
        <x:v>P1</x:v>
      </x:c>
      <x:c r="F37" s="9" t="str">
        <x:v>Personnage de l’arche asari.</x:v>
      </x:c>
      <x:c r="G37" s="9" t="str">
        <x:v>Assistance technique et succession possible ; mêmes zones mais dialogues selon fonction finale.</x:v>
      </x:c>
      <x:c r="H37" s="9" t="str">
        <x:v>Assistance technique et succession possible ; mêmes zones mais dialogues selon fonction finale.</x:v>
      </x:c>
      <x:c r="I37" s="9" t="str">
        <x:v>Asari et armure de l’arche.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mea/npcs/vederia ; rattacher les ressources et états cités à cet identifiant. Aucun fichier de jeu créé par ce catalogue.</x:v>
      </x:c>
      <x:c r="M37" s="9" t="str">
        <x:v>Mission de Cora.</x:v>
      </x:c>
      <x:c r="N37" s="9" t="str">
        <x:v>Le livrable « Vederia Damali » possède une scène ou un scénario de contrôle ; ses règles proposées, ses conditions et ses retours visuels sont vérifiables séparément.</x:v>
      </x:c>
      <x:c r="O37" s="9" t="str"/>
      <x:c r="P37" s="9" t="str">
        <x:v>Vederia Damali</x:v>
      </x:c>
      <x:c r="Q37" s="9" t="str">
        <x:v>MEA-SRC-CORA-LOYAL</x:v>
      </x:c>
      <x:c r="R37" s="9" t="str">
        <x:v>https://masseffect.fandom.com/wiki/Cora_Harper%3A_At_Duty%27s_Edge</x:v>
      </x:c>
      <x:c r="S37" s="9" t="str">
        <x:v>Spécification à réaliser. Les champs adaptation, gameplay, visual, animation, audio et implementation décrivent le fan game ; ils ne donnent pas des caractéristiques officielles de l’œuvre.</x:v>
      </x:c>
    </x:row>
    <x:row r="38" ht="68" customHeight="1">
      <x:c r="A38" s="19" t="str">
        <x:v>MEA-NPC-ATANDRA</x:v>
      </x:c>
      <x:c r="B38" s="7" t="str">
        <x:v>Capitaine Atandra</x:v>
      </x:c>
      <x:c r="C38" s="15" t="str">
        <x:v>Défini</x:v>
      </x:c>
      <x:c r="D38" s="17" t="str">
        <x:v>Établi</x:v>
      </x:c>
      <x:c r="E38" s="17" t="str">
        <x:v>P1</x:v>
      </x:c>
      <x:c r="F38" s="7" t="str">
        <x:v>Capitaine du Leusinia.</x:v>
      </x:c>
      <x:c r="G38" s="7" t="str">
        <x:v>Point de retour à la passerelle et résolution ; préserver sa fonction de capitaine distincte du Pionnier.</x:v>
      </x:c>
      <x:c r="H38" s="7" t="str">
        <x:v>Point de retour à la passerelle et résolution ; préserver sa fonction de capitaine distincte du Pionnier.</x:v>
      </x:c>
      <x:c r="I38" s="7" t="str">
        <x:v>Asari à la passerelle.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mea/npcs/atandra ; rattacher les ressources et états cités à cet identifiant. Aucun fichier de jeu créé par ce catalogue.</x:v>
      </x:c>
      <x:c r="M38" s="7" t="str">
        <x:v>Mission de Cora.</x:v>
      </x:c>
      <x:c r="N38" s="7" t="str">
        <x:v>Le livrable « Capitaine Atandra » possède une scène ou un scénario de contrôle ; ses règles proposées, ses conditions et ses retours visuels sont vérifiables séparément.</x:v>
      </x:c>
      <x:c r="O38" s="7" t="str"/>
      <x:c r="P38" s="7" t="str">
        <x:v>Capitaine Atandra</x:v>
      </x:c>
      <x:c r="Q38" s="7" t="str">
        <x:v>MEA-SRC-CORA-LOYAL</x:v>
      </x:c>
      <x:c r="R38" s="7" t="str">
        <x:v>https://masseffect.fandom.com/wiki/Cora_Harper%3A_At_Duty%27s_Edge</x:v>
      </x:c>
      <x:c r="S38" s="7" t="str">
        <x:v>Spécification à réaliser. Les champs adaptation, gameplay, visual, animation, audio et implementation décrivent le fan game ; ils ne donnent pas des caractéristiques officielles de l’œuvre.</x:v>
      </x:c>
    </x:row>
    <x:row r="39" ht="68" customHeight="1">
      <x:c r="A39" s="18" t="str">
        <x:v>MEA-NPC-MORDA</x:v>
      </x:c>
      <x:c r="B39" s="9" t="str">
        <x:v>Nakmor Morda</x:v>
      </x:c>
      <x:c r="C39" s="15" t="str">
        <x:v>Défini</x:v>
      </x:c>
      <x:c r="D39" s="16" t="str">
        <x:v>Établi</x:v>
      </x:c>
      <x:c r="E39" s="16" t="str">
        <x:v>P1</x:v>
      </x:c>
      <x:c r="F39" s="9" t="str">
        <x:v>Dirigeante krogan de New Tuchanka.</x:v>
      </x:c>
      <x:c r="G39" s="9" t="str">
        <x:v>Négociations du moteur reliquat et de l’installation ; accord local ne réconcilie pas tous les conflits de Nexus par défaut.</x:v>
      </x:c>
      <x:c r="H39" s="9" t="str">
        <x:v>Négociations du moteur reliquat et de l’installation ; accord local ne réconcilie pas tous les conflits de Nexus par défaut.</x:v>
      </x:c>
      <x:c r="I39" s="9" t="str">
        <x:v>Krogan imposante et salle de commandement.</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mea/npcs/morda ; rattacher les ressources et états cités à cet identifiant. Aucun fichier de jeu créé par ce catalogue.</x:v>
      </x:c>
      <x:c r="M39" s="9" t="str"/>
      <x:c r="N39" s="9" t="str">
        <x:v>Le livrable « Nakmor Morda » possède une scène ou un scénario de contrôle ; ses règles proposées, ses conditions et ses retours visuels sont vérifiables séparément.</x:v>
      </x:c>
      <x:c r="O39" s="9" t="str"/>
      <x:c r="P39" s="9" t="str">
        <x:v>Nakmor Morda</x:v>
      </x:c>
      <x:c r="Q39" s="9" t="str">
        <x:v>MEA-SRC-CHAR, MEA-SRC-MISSIONS</x:v>
      </x:c>
      <x:c r="R39" s="9" t="str">
        <x:v>https://masseffect.fandom.com/wiki/Characters/Mass_Effect%3A_Andromeda
https://masseffect.fandom.com/wiki/Missions_%28Mass_Effect%3A_Andromeda%29</x:v>
      </x:c>
      <x:c r="S39" s="9" t="str">
        <x:v>Spécification à réaliser. Les champs adaptation, gameplay, visual, animation, audio et implementation décrivent le fan game ; ils ne donnent pas des caractéristiques officielles de l’œuvre.</x:v>
      </x:c>
    </x:row>
    <x:row r="40" ht="68" customHeight="1">
      <x:c r="A40" s="19" t="str">
        <x:v>MEA-NPC-VORN</x:v>
      </x:c>
      <x:c r="B40" s="7" t="str">
        <x:v>Vorn</x:v>
      </x:c>
      <x:c r="C40" s="15" t="str">
        <x:v>Défini</x:v>
      </x:c>
      <x:c r="D40" s="17" t="str">
        <x:v>Établi</x:v>
      </x:c>
      <x:c r="E40" s="17" t="str">
        <x:v>P1</x:v>
      </x:c>
      <x:c r="F40" s="7" t="str">
        <x:v>Personnage de l’arc de Drack.</x:v>
      </x:c>
      <x:c r="G40" s="7" t="str">
        <x:v>Sauvetage et recherche krogan ; garantir un chemin de sortie malgré grandes silhouettes.</x:v>
      </x:c>
      <x:c r="H40" s="7" t="str">
        <x:v>Sauvetage et recherche krogan ; garantir un chemin de sortie malgré grandes silhouettes.</x:v>
      </x:c>
      <x:c r="I40" s="7" t="str">
        <x:v>Krogan scientifique et équipement de terrain.</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mea/npcs/vorn ; rattacher les ressources et états cités à cet identifiant. Aucun fichier de jeu créé par ce catalogue.</x:v>
      </x:c>
      <x:c r="M40" s="7" t="str">
        <x:v>Arc de Drack.</x:v>
      </x:c>
      <x:c r="N40" s="7" t="str">
        <x:v>Le livrable « Vorn » possède une scène ou un scénario de contrôle ; ses règles proposées, ses conditions et ses retours visuels sont vérifiables séparément.</x:v>
      </x:c>
      <x:c r="O40" s="7" t="str"/>
      <x:c r="P40" s="7" t="str">
        <x:v>Vorn</x:v>
      </x:c>
      <x:c r="Q40" s="7" t="str">
        <x:v>MEA-SRC-CHAR, MEA-SRC-MISSIONS</x:v>
      </x:c>
      <x:c r="R40" s="7" t="str">
        <x:v>https://masseffect.fandom.com/wiki/Characters/Mass_Effect%3A_Andromeda
https://masseffect.fandom.com/wiki/Missions_%28Mass_Effect%3A_Andromeda%29</x:v>
      </x:c>
      <x:c r="S40" s="7" t="str">
        <x:v>Spécification à réaliser. Les champs adaptation, gameplay, visual, animation, audio et implementation décrivent le fan game ; ils ne donnent pas des caractéristiques officielles de l’œuvre.</x:v>
      </x:c>
    </x:row>
    <x:row r="41" ht="68" customHeight="1">
      <x:c r="A41" s="18" t="str">
        <x:v>MEA-NPC-SPENDER</x:v>
      </x:c>
      <x:c r="B41" s="9" t="str">
        <x:v>William Spender</x:v>
      </x:c>
      <x:c r="C41" s="15" t="str">
        <x:v>Défini</x:v>
      </x:c>
      <x:c r="D41" s="16" t="str">
        <x:v>Établi</x:v>
      </x:c>
      <x:c r="E41" s="16" t="str">
        <x:v>P1</x:v>
      </x:c>
      <x:c r="F41" s="9" t="str">
        <x:v>Administrateur lié à l’arc krogan.</x:v>
      </x:c>
      <x:c r="G41" s="9" t="str">
        <x:v>Collecte de preuves et confrontation ; accusation n’est validée qu’après éléments du dossier prévu.</x:v>
      </x:c>
      <x:c r="H41" s="9" t="str">
        <x:v>Collecte de preuves et confrontation ; accusation n’est validée qu’après éléments du dossier prévu.</x:v>
      </x:c>
      <x:c r="I41" s="9" t="str">
        <x:v>Humain en tenue administrative.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mea/npcs/spender ; rattacher les ressources et états cités à cet identifiant. Aucun fichier de jeu créé par ce catalogue.</x:v>
      </x:c>
      <x:c r="M41" s="9" t="str">
        <x:v>Krogan Betrayal.</x:v>
      </x:c>
      <x:c r="N41" s="9" t="str">
        <x:v>Le livrable « William Spender » possède une scène ou un scénario de contrôle ; ses règles proposées, ses conditions et ses retours visuels sont vérifiables séparément.</x:v>
      </x:c>
      <x:c r="O41" s="9" t="str"/>
      <x:c r="P41" s="9" t="str">
        <x:v>William Spender</x:v>
      </x:c>
      <x:c r="Q41" s="9" t="str">
        <x:v>MEA-SRC-CHAR, MEA-SRC-MISSIONS</x:v>
      </x:c>
      <x:c r="R41" s="9" t="str">
        <x:v>https://masseffect.fandom.com/wiki/Characters/Mass_Effect%3A_Andromeda
https://masseffect.fandom.com/wiki/Missions_%28Mass_Effect%3A_Andromeda%29</x:v>
      </x:c>
      <x:c r="S41" s="9" t="str">
        <x:v>Spécification à réaliser. Les champs adaptation, gameplay, visual, animation, audio et implementation décrivent le fan game ; ils ne donnent pas des caractéristiques officielles de l’œuvre.</x:v>
      </x:c>
    </x:row>
    <x:row r="42" ht="68" customHeight="1">
      <x:c r="A42" s="19" t="str">
        <x:v>MEA-NPC-SID</x:v>
      </x:c>
      <x:c r="B42" s="7" t="str">
        <x:v>Sid Nyx</x:v>
      </x:c>
      <x:c r="C42" s="15" t="str">
        <x:v>Défini</x:v>
      </x:c>
      <x:c r="D42" s="17" t="str">
        <x:v>Établi</x:v>
      </x:c>
      <x:c r="E42" s="17" t="str">
        <x:v>P1</x:v>
      </x:c>
      <x:c r="F42" s="7" t="str">
        <x:v>Sœur de Vetra.</x:v>
      </x:c>
      <x:c r="G42" s="7" t="str">
        <x:v>Messages et intervention de mission ; relation de sœurs séparée de celle de Ryder/Vetra.</x:v>
      </x:c>
      <x:c r="H42" s="7" t="str">
        <x:v>Messages et intervention de mission ; relation de sœurs séparée de celle de Ryder/Vetra.</x:v>
      </x:c>
      <x:c r="I42" s="7" t="str">
        <x:v>Jeune turienne et portrait de communication.</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mea/npcs/sid ; rattacher les ressources et états cités à cet identifiant. Aucun fichier de jeu créé par ce catalogue.</x:v>
      </x:c>
      <x:c r="M42" s="7" t="str">
        <x:v>Arc de Vetra.</x:v>
      </x:c>
      <x:c r="N42" s="7" t="str">
        <x:v>Le livrable « Sid Nyx » possède une scène ou un scénario de contrôle ; ses règles proposées, ses conditions et ses retours visuels sont vérifiables séparément.</x:v>
      </x:c>
      <x:c r="O42" s="7" t="str"/>
      <x:c r="P42" s="7" t="str">
        <x:v>Sid Nyx</x:v>
      </x:c>
      <x:c r="Q42" s="7" t="str">
        <x:v>MEA-SRC-VETRA, MEA-SRC-CHAR</x:v>
      </x:c>
      <x:c r="R42" s="7" t="str">
        <x:v>https://masseffect.fandom.com/wiki/Vetra_Nyx
https://masseffect.fandom.com/wiki/Characters/Mass_Effect%3A_Andromeda</x:v>
      </x:c>
      <x:c r="S42" s="7" t="str">
        <x:v>Spécification à réaliser. Les champs adaptation, gameplay, visual, animation, audio et implementation décrivent le fan game ; ils ne donnent pas des caractéristiques officielles de l’œuvre.</x:v>
      </x:c>
    </x:row>
    <x:row r="43" ht="68" customHeight="1">
      <x:c r="A43" s="18" t="str">
        <x:v>MEA-NPC-KALINDA</x:v>
      </x:c>
      <x:c r="B43" s="9" t="str">
        <x:v>Kalinda T’Reve</x:v>
      </x:c>
      <x:c r="C43" s="15" t="str">
        <x:v>Défini</x:v>
      </x:c>
      <x:c r="D43" s="16" t="str">
        <x:v>Établi</x:v>
      </x:c>
      <x:c r="E43" s="16" t="str">
        <x:v>P1</x:v>
      </x:c>
      <x:c r="F43" s="9" t="str">
        <x:v>Personnage du passé de Peebee.</x:v>
      </x:c>
      <x:c r="G43" s="9" t="str">
        <x:v>Rivalité, poursuite et résolution conditionnelle ; secours ou tir produisent des retours différents.</x:v>
      </x:c>
      <x:c r="H43" s="9" t="str">
        <x:v>Rivalité, poursuite et résolution conditionnelle ; secours ou tir produisent des retours différents.</x:v>
      </x:c>
      <x:c r="I43" s="9" t="str">
        <x:v>Asari et tenue de voyage.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mea/npcs/kalinda ; rattacher les ressources et états cités à cet identifiant. Aucun fichier de jeu créé par ce catalogue.</x:v>
      </x:c>
      <x:c r="M43" s="9" t="str">
        <x:v>Arc de Peebee.</x:v>
      </x:c>
      <x:c r="N43" s="9" t="str">
        <x:v>Le livrable « Kalinda T’Reve » possède une scène ou un scénario de contrôle ; ses règles proposées, ses conditions et ses retours visuels sont vérifiables séparément.</x:v>
      </x:c>
      <x:c r="O43" s="9" t="str"/>
      <x:c r="P43" s="9" t="str">
        <x:v>Kalinda T’Reve</x:v>
      </x:c>
      <x:c r="Q43" s="9" t="str">
        <x:v>MEA-SRC-PEEBEE-LOYAL</x:v>
      </x:c>
      <x:c r="R43" s="9" t="str">
        <x:v>https://masseffect.fandom.com/wiki/Peebee%3A_A_Mysterious_Remnant_Signal</x:v>
      </x:c>
      <x:c r="S43" s="9" t="str">
        <x:v>Spécification à réaliser. Les champs adaptation, gameplay, visual, animation, audio et implementation décrivent le fan game ; ils ne donnent pas des caractéristiques officielles de l’œuvre.</x:v>
      </x:c>
    </x:row>
    <x:row r="44" ht="68" customHeight="1">
      <x:c r="A44" s="19" t="str">
        <x:v>MEA-NPC-KIIRAN</x:v>
      </x:c>
      <x:c r="B44" s="7" t="str">
        <x:v>Kiiran Dals</x:v>
      </x:c>
      <x:c r="C44" s="15" t="str">
        <x:v>Défini</x:v>
      </x:c>
      <x:c r="D44" s="17" t="str">
        <x:v>Établi</x:v>
      </x:c>
      <x:c r="E44" s="17" t="str">
        <x:v>P1</x:v>
      </x:c>
      <x:c r="F44" s="7" t="str">
        <x:v>Chercheuse angara de Havarl.</x:v>
      </x:c>
      <x:c r="G44" s="7" t="str">
        <x:v>Point d’enquête de planète et aide scientifique ; tableau d’indices plutôt que longue exposition obligatoire.</x:v>
      </x:c>
      <x:c r="H44" s="7" t="str">
        <x:v>Point d’enquête de planète et aide scientifique ; tableau d’indices plutôt que longue exposition obligatoire.</x:v>
      </x:c>
      <x:c r="I44" s="7" t="str">
        <x:v>Angara au poste de recherche.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mea/npcs/kiiran ; rattacher les ressources et états cités à cet identifiant. Aucun fichier de jeu créé par ce catalogue.</x:v>
      </x:c>
      <x:c r="M44" s="7" t="str"/>
      <x:c r="N44" s="7" t="str">
        <x:v>Le livrable « Kiiran Dals » possède une scène ou un scénario de contrôle ; ses règles proposées, ses conditions et ses retours visuels sont vérifiables séparément.</x:v>
      </x:c>
      <x:c r="O44" s="7" t="str"/>
      <x:c r="P44" s="7" t="str">
        <x:v>Kiiran Dals</x:v>
      </x:c>
      <x:c r="Q44" s="7" t="str">
        <x:v>MEA-SRC-CHAR, MEA-SRC-MISSIONS</x:v>
      </x:c>
      <x:c r="R44" s="7" t="str">
        <x:v>https://masseffect.fandom.com/wiki/Characters/Mass_Effect%3A_Andromeda
https://masseffect.fandom.com/wiki/Missions_%28Mass_Effect%3A_Andromeda%29</x:v>
      </x:c>
      <x:c r="S44" s="7" t="str">
        <x:v>Spécification à réaliser. Les champs adaptation, gameplay, visual, animation, audio et implementation décrivent le fan game ; ils ne donnent pas des caractéristiques officielles de l’œuvre.</x:v>
      </x:c>
    </x:row>
    <x:row r="45" ht="68" customHeight="1">
      <x:c r="A45" s="18" t="str">
        <x:v>MEA-NPC-ESMUS</x:v>
      </x:c>
      <x:c r="B45" s="9" t="str">
        <x:v>First Sage Esmus</x:v>
      </x:c>
      <x:c r="C45" s="15" t="str">
        <x:v>Défini</x:v>
      </x:c>
      <x:c r="D45" s="16" t="str">
        <x:v>Établi</x:v>
      </x:c>
      <x:c r="E45" s="16" t="str">
        <x:v>P1</x:v>
      </x:c>
      <x:c r="F45" s="9" t="str">
        <x:v>Sage de Havarl.</x:v>
      </x:c>
      <x:c r="G45" s="9" t="str">
        <x:v>Entretien de progression vers le caveau ; vocabulaire angara expliqué sans remplacer ses croyances par une certitude universelle.</x:v>
      </x:c>
      <x:c r="H45" s="9" t="str">
        <x:v>Entretien de progression vers le caveau ; vocabulaire angara expliqué sans remplacer ses croyances par une certitude universelle.</x:v>
      </x:c>
      <x:c r="I45" s="9" t="str">
        <x:v>Sanctuaire de Mithrava et tenue de sage.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mea/npcs/esmus ; rattacher les ressources et états cités à cet identifiant. Aucun fichier de jeu créé par ce catalogue.</x:v>
      </x:c>
      <x:c r="M45" s="9" t="str"/>
      <x:c r="N45" s="9" t="str">
        <x:v>Le livrable « First Sage Esmus » possède une scène ou un scénario de contrôle ; ses règles proposées, ses conditions et ses retours visuels sont vérifiables séparément.</x:v>
      </x:c>
      <x:c r="O45" s="9" t="str"/>
      <x:c r="P45" s="9" t="str">
        <x:v>First Sage Esmus</x:v>
      </x:c>
      <x:c r="Q45" s="9" t="str">
        <x:v>MEA-SRC-CHAR, MEA-SRC-MISSIONS</x:v>
      </x:c>
      <x:c r="R45" s="9" t="str">
        <x:v>https://masseffect.fandom.com/wiki/Characters/Mass_Effect%3A_Andromeda
https://masseffect.fandom.com/wiki/Missions_%28Mass_Effect%3A_Andromeda%29</x:v>
      </x:c>
      <x:c r="S45" s="9" t="str">
        <x:v>Spécification à réaliser. Les champs adaptation, gameplay, visual, animation, audio et implementation décrivent le fan game ; ils ne donnent pas des caractéristiques officielles de l’œuvre.</x:v>
      </x:c>
    </x:row>
    <x:row r="46" ht="68" customHeight="1">
      <x:c r="A46" s="19" t="str">
        <x:v>MEA-NPC-TAAVOS</x:v>
      </x:c>
      <x:c r="B46" s="7" t="str">
        <x:v>Taavos</x:v>
      </x:c>
      <x:c r="C46" s="15" t="str">
        <x:v>Défini</x:v>
      </x:c>
      <x:c r="D46" s="17" t="str">
        <x:v>Établi</x:v>
      </x:c>
      <x:c r="E46" s="17" t="str">
        <x:v>P1</x:v>
      </x:c>
      <x:c r="F46" s="7" t="str">
        <x:v>Angara de l’arc Havarl.</x:v>
      </x:c>
      <x:c r="G46" s="7" t="str">
        <x:v>Guide contextuel lié à A Dying Planet ; suivi de déplacement robuste dans forêt dense.</x:v>
      </x:c>
      <x:c r="H46" s="7" t="str">
        <x:v>Guide contextuel lié à A Dying Planet ; suivi de déplacement robuste dans forêt dense.</x:v>
      </x:c>
      <x:c r="I46" s="7" t="str">
        <x:v>Angara en tenue de terrain.</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mea/npcs/taavos ; rattacher les ressources et états cités à cet identifiant. Aucun fichier de jeu créé par ce catalogue.</x:v>
      </x:c>
      <x:c r="M46" s="7" t="str">
        <x:v>Arc de Havarl.</x:v>
      </x:c>
      <x:c r="N46" s="7" t="str">
        <x:v>Le livrable « Taavos » possède une scène ou un scénario de contrôle ; ses règles proposées, ses conditions et ses retours visuels sont vérifiables séparément.</x:v>
      </x:c>
      <x:c r="O46" s="7" t="str"/>
      <x:c r="P46" s="7" t="str">
        <x:v>Taavos</x:v>
      </x:c>
      <x:c r="Q46" s="7" t="str">
        <x:v>MEA-SRC-CHAR, MEA-SRC-MISSIONS</x:v>
      </x:c>
      <x:c r="R46" s="7" t="str">
        <x:v>https://masseffect.fandom.com/wiki/Characters/Mass_Effect%3A_Andromeda
https://masseffect.fandom.com/wiki/Missions_%28Mass_Effect%3A_Andromeda%29</x:v>
      </x:c>
      <x:c r="S46" s="7" t="str">
        <x:v>Spécification à réaliser. Les champs adaptation, gameplay, visual, animation, audio et implementation décrivent le fan game ; ils ne donnent pas des caractéristiques officielles de l’œuvre.</x:v>
      </x:c>
    </x:row>
    <x:row r="47" ht="68" customHeight="1">
      <x:c r="A47" s="18" t="str">
        <x:v>MEA-NPC-NILKEN</x:v>
      </x:c>
      <x:c r="B47" s="9" t="str">
        <x:v>Nilken Rensus</x:v>
      </x:c>
      <x:c r="C47" s="15" t="str">
        <x:v>Défini</x:v>
      </x:c>
      <x:c r="D47" s="16" t="str">
        <x:v>Établi</x:v>
      </x:c>
      <x:c r="E47" s="16" t="str">
        <x:v>P1</x:v>
      </x:c>
      <x:c r="F47" s="9" t="str">
        <x:v>Accusé de meurtre sur le Nexus.</x:v>
      </x:c>
      <x:c r="G47" s="9" t="str">
        <x:v>Dialogue de détenu et enquête ; séparer intention, fait matériel et décision politique finale.</x:v>
      </x:c>
      <x:c r="H47" s="9" t="str">
        <x:v>Dialogue de détenu et enquête ; séparer intention, fait matériel et décision politique finale.</x:v>
      </x:c>
      <x:c r="I47" s="9" t="str">
        <x:v>Turien derrière une barrière de cellule.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mea/npcs/nilken ; rattacher les ressources et états cités à cet identifiant. Aucun fichier de jeu créé par ce catalogue.</x:v>
      </x:c>
      <x:c r="M47" s="9" t="str">
        <x:v>First Murderer.</x:v>
      </x:c>
      <x:c r="N47" s="9" t="str">
        <x:v>Le livrable « Nilken Rensus » possède une scène ou un scénario de contrôle ; ses règles proposées, ses conditions et ses retours visuels sont vérifiables séparément.</x:v>
      </x:c>
      <x:c r="O47" s="9" t="str"/>
      <x:c r="P47" s="9" t="str">
        <x:v>Nilken Rensus</x:v>
      </x:c>
      <x:c r="Q47" s="9" t="str">
        <x:v>MEA-SRC-NILKEN, MEA-SRC-MURDER</x:v>
      </x:c>
      <x:c r="R47" s="9" t="str">
        <x:v>https://masseffect.fandom.com/wiki/Nilken_Rensus
https://masseffect.fandom.com/wiki/First_Murderer</x:v>
      </x:c>
      <x:c r="S47" s="9" t="str">
        <x:v>Spécification à réaliser. Les champs adaptation, gameplay, visual, animation, audio et implementation décrivent le fan game ; ils ne donnent pas des caractéristiques officielles de l’œuvre.</x:v>
      </x:c>
    </x:row>
    <x:row r="48" ht="68" customHeight="1">
      <x:c r="A48" s="19" t="str">
        <x:v>MEA-NPC-MARIETTE</x:v>
      </x:c>
      <x:c r="B48" s="7" t="str">
        <x:v>Mariette</x:v>
      </x:c>
      <x:c r="C48" s="15" t="str">
        <x:v>Défini</x:v>
      </x:c>
      <x:c r="D48" s="17" t="str">
        <x:v>Établi</x:v>
      </x:c>
      <x:c r="E48" s="17" t="str">
        <x:v>P1</x:v>
      </x:c>
      <x:c r="F48" s="7" t="str">
        <x:v>Épouse de Nilken.</x:v>
      </x:c>
      <x:c r="G48" s="7" t="str">
        <x:v>Demande d’enquête puis réponse selon verdict ; ne pas répéter la quête après clôture.</x:v>
      </x:c>
      <x:c r="H48" s="7" t="str">
        <x:v>Demande d’enquête puis réponse selon verdict ; ne pas répéter la quête après clôture.</x:v>
      </x:c>
      <x:c r="I48" s="7" t="str">
        <x:v>Turienne près de la milice.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mea/npcs/mariette ; rattacher les ressources et états cités à cet identifiant. Aucun fichier de jeu créé par ce catalogue.</x:v>
      </x:c>
      <x:c r="M48" s="7" t="str">
        <x:v>First Murderer.</x:v>
      </x:c>
      <x:c r="N48" s="7" t="str">
        <x:v>Le livrable « Mariette » possède une scène ou un scénario de contrôle ; ses règles proposées, ses conditions et ses retours visuels sont vérifiables séparément.</x:v>
      </x:c>
      <x:c r="O48" s="7" t="str"/>
      <x:c r="P48" s="7" t="str">
        <x:v>Mariette</x:v>
      </x:c>
      <x:c r="Q48" s="7" t="str">
        <x:v>MEA-SRC-MURDER</x:v>
      </x:c>
      <x:c r="R48" s="7" t="str">
        <x:v>https://masseffect.fandom.com/wiki/First_Murderer</x:v>
      </x:c>
      <x:c r="S48" s="7" t="str">
        <x:v>Spécification à réaliser. Les champs adaptation, gameplay, visual, animation, audio et implementation décrivent le fan game ; ils ne donnent pas des caractéristiques officielles de l’œuvre.</x:v>
      </x:c>
    </x:row>
    <x:row r="49" ht="68" customHeight="1">
      <x:c r="A49" s="18" t="str">
        <x:v>MEA-NPC-PRIMUS</x:v>
      </x:c>
      <x:c r="B49" s="9" t="str">
        <x:v>La Primus</x:v>
      </x:c>
      <x:c r="C49" s="15" t="str">
        <x:v>Défini</x:v>
      </x:c>
      <x:c r="D49" s="16" t="str">
        <x:v>Établi</x:v>
      </x:c>
      <x:c r="E49" s="16" t="str">
        <x:v>P1</x:v>
      </x:c>
      <x:c r="F49" s="9" t="str">
        <x:v>Dirigeante kett.</x:v>
      </x:c>
      <x:c r="G49" s="9" t="str">
        <x:v>Proposition et rivalité avec l’Archonte à accès conditionnel ; toute coopération garde sa provenance dans le journal.</x:v>
      </x:c>
      <x:c r="H49" s="9" t="str">
        <x:v>Proposition et rivalité avec l’Archonte à accès conditionnel ; toute coopération garde sa provenance dans le journal.</x:v>
      </x:c>
      <x:c r="I49" s="9" t="str">
        <x:v>Kett de commandement et communication.</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mea/npcs/primus ; rattacher les ressources et états cités à cet identifiant. Aucun fichier de jeu créé par ce catalogue.</x:v>
      </x:c>
      <x:c r="M49" s="9" t="str">
        <x:v>Arc secondaire de renseignement.</x:v>
      </x:c>
      <x:c r="N49" s="9" t="str">
        <x:v>Le livrable « La Primus » possède une scène ou un scénario de contrôle ; ses règles proposées, ses conditions et ses retours visuels sont vérifiables séparément.</x:v>
      </x:c>
      <x:c r="O49" s="9" t="str"/>
      <x:c r="P49" s="9" t="str">
        <x:v>La Primus</x:v>
      </x:c>
      <x:c r="Q49" s="9" t="str">
        <x:v>MEA-SRC-CHAR, MEA-SRC-MISSIONS</x:v>
      </x:c>
      <x:c r="R49" s="9" t="str">
        <x:v>https://masseffect.fandom.com/wiki/Characters/Mass_Effect%3A_Andromeda
https://masseffect.fandom.com/wiki/Missions_%28Mass_Effect%3A_Andromeda%29</x:v>
      </x:c>
      <x:c r="S49" s="9" t="str">
        <x:v>Spécification à réaliser. Les champs adaptation, gameplay, visual, animation, audio et implementation décrivent le fan game ; ils ne donnent pas des caractéristiques officielles de l’œuvre.</x:v>
      </x:c>
    </x:row>
    <x:row r="50" ht="68" customHeight="1">
      <x:c r="A50" s="19" t="str">
        <x:v>MEA-NPC-RYNN</x:v>
      </x:c>
      <x:c r="B50" s="7" t="str">
        <x:v>Spécialiste Rynn Gee</x:v>
      </x:c>
      <x:c r="C50" s="15" t="str">
        <x:v>Défini</x:v>
      </x:c>
      <x:c r="D50" s="17" t="str">
        <x:v>Établi</x:v>
      </x:c>
      <x:c r="E50" s="17" t="str">
        <x:v>P1</x:v>
      </x:c>
      <x:c r="F50" s="7" t="str">
        <x:v>Interlocutrice de Port Meridian.</x:v>
      </x:c>
      <x:c r="G50" s="7" t="str">
        <x:v>Transmet le signal de l’arche quarienne ; message d’alerte conservé sans fabriquer de suite jouable.</x:v>
      </x:c>
      <x:c r="H50" s="7" t="str">
        <x:v>Transmet le signal de l’arche quarienne ; message d’alerte conservé sans fabriquer de suite jouable.</x:v>
      </x:c>
      <x:c r="I50" s="7" t="str">
        <x:v>Uniforme et terminal d’écoute.</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mea/npcs/rynn ; rattacher les ressources et états cités à cet identifiant. Aucun fichier de jeu créé par ce catalogue.</x:v>
      </x:c>
      <x:c r="M50" s="7" t="str">
        <x:v>Épilogue.</x:v>
      </x:c>
      <x:c r="N50" s="7" t="str">
        <x:v>Le livrable « Spécialiste Rynn Gee » possède une scène ou un scénario de contrôle ; ses règles proposées, ses conditions et ses retours visuels sont vérifiables séparément.</x:v>
      </x:c>
      <x:c r="O50" s="7" t="str"/>
      <x:c r="P50" s="7" t="str">
        <x:v>Spécialiste Rynn Gee</x:v>
      </x:c>
      <x:c r="Q50" s="7" t="str">
        <x:v>MEA-SRC-EPILOGUE</x:v>
      </x:c>
      <x:c r="R50" s="7" t="str">
        <x:v>https://masseffect.fandom.com/wiki/Epilogue%3A_Home_and_Away</x:v>
      </x:c>
      <x:c r="S50" s="7" t="str">
        <x:v>Spécification à réaliser. Les champs adaptation, gameplay, visual, animation, audio et implementation décrivent le fan game ; ils ne donnent pas des caractéristiques officielles de l’œuvre.</x:v>
      </x:c>
    </x:row>
    <x:row r="51" ht="68" customHeight="1">
      <x:c r="A51" s="18" t="str">
        <x:v>MEA-NPC-KERI</x:v>
      </x:c>
      <x:c r="B51" s="9" t="str">
        <x:v>Keri T’Vessa</x:v>
      </x:c>
      <x:c r="C51" s="15" t="str">
        <x:v>Défini</x:v>
      </x:c>
      <x:c r="D51" s="16" t="str">
        <x:v>Établi</x:v>
      </x:c>
      <x:c r="E51" s="16" t="str">
        <x:v>P1</x:v>
      </x:c>
      <x:c r="F51" s="9" t="str">
        <x:v>Journaliste du Nexus.</x:v>
      </x:c>
      <x:c r="G51" s="9" t="str">
        <x:v>Interviews aux fenêtres de campagne, amitié et relation séparées ; témoignage sur découverte réelle seulement.</x:v>
      </x:c>
      <x:c r="H51" s="9" t="str">
        <x:v>Interviews aux fenêtres de campagne, amitié et relation séparées ; témoignage sur découverte réelle seulement.</x:v>
      </x:c>
      <x:c r="I51" s="9" t="str">
        <x:v>Asari et matériel de reportage.</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mea/npcs/keri ; rattacher les ressources et états cités à cet identifiant. Aucun fichier de jeu créé par ce catalogue.</x:v>
      </x:c>
      <x:c r="M51" s="9" t="str"/>
      <x:c r="N51" s="9" t="str">
        <x:v>Le livrable « Keri T’Vessa » possède une scène ou un scénario de contrôle ; ses règles proposées, ses conditions et ses retours visuels sont vérifiables séparément.</x:v>
      </x:c>
      <x:c r="O51" s="9" t="str"/>
      <x:c r="P51" s="9" t="str">
        <x:v>Keri T’Vessa</x:v>
      </x:c>
      <x:c r="Q51" s="9" t="str">
        <x:v>MEA-SRC-CHAR</x:v>
      </x:c>
      <x:c r="R51" s="9" t="str">
        <x:v>https://masseffect.fandom.com/wiki/Characters/Mass_Effect%3A_Andromeda</x:v>
      </x:c>
      <x:c r="S51" s="9" t="str">
        <x:v>Spécification à réaliser. Les champs adaptation, gameplay, visual, animation, audio et implementation décrivent le fan game ; ils ne donnent pas des caractéristiques officielles de l’œuvre.</x:v>
      </x:c>
    </x:row>
    <x:row r="52" ht="68" customHeight="1">
      <x:c r="A52" s="19" t="str">
        <x:v>MEA-NPC-AVELA</x:v>
      </x:c>
      <x:c r="B52" s="7" t="str">
        <x:v>Avela Kjar</x:v>
      </x:c>
      <x:c r="C52" s="15" t="str">
        <x:v>Défini</x:v>
      </x:c>
      <x:c r="D52" s="17" t="str">
        <x:v>Établi</x:v>
      </x:c>
      <x:c r="E52" s="17" t="str">
        <x:v>P1</x:v>
      </x:c>
      <x:c r="F52" s="7" t="str">
        <x:v>Chercheuse angara d’Aya.</x:v>
      </x:c>
      <x:c r="G52" s="7" t="str">
        <x:v>Réception d’artefacts et conversations culturelles ; lien personnel ne change pas le contenu des archives par magie.</x:v>
      </x:c>
      <x:c r="H52" s="7" t="str">
        <x:v>Réception d’artefacts et conversations culturelles ; lien personnel ne change pas le contenu des archives par magie.</x:v>
      </x:c>
      <x:c r="I52" s="7" t="str">
        <x:v>Angara au musée et outils de recherche.</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mea/npcs/avela ; rattacher les ressources et états cités à cet identifiant. Aucun fichier de jeu créé par ce catalogue.</x:v>
      </x:c>
      <x:c r="M52" s="7" t="str"/>
      <x:c r="N52" s="7" t="str">
        <x:v>Le livrable « Avela Kjar » possède une scène ou un scénario de contrôle ; ses règles proposées, ses conditions et ses retours visuels sont vérifiables séparément.</x:v>
      </x:c>
      <x:c r="O52" s="7" t="str"/>
      <x:c r="P52" s="7" t="str">
        <x:v>Avela Kjar</x:v>
      </x:c>
      <x:c r="Q52" s="7" t="str">
        <x:v>MEA-SRC-CHAR, MEA-SRC-AYA-PAGE</x:v>
      </x:c>
      <x:c r="R52" s="7" t="str">
        <x:v>https://masseffect.fandom.com/wiki/Characters/Mass_Effect%3A_Andromeda
https://masseffect.fandom.com/wiki/Aya</x:v>
      </x:c>
      <x:c r="S52" s="7" t="str">
        <x:v>Spécification à réaliser. Les champs adaptation, gameplay, visual, animation, audio et implementation décrivent le fan game ; ils ne donnent pas des caractéristiques officielles de l’œuvre.</x:v>
      </x:c>
    </x:row>
    <x:row r="53" ht="68" customHeight="1">
      <x:c r="A53" s="18" t="str">
        <x:v>MEA-NPC-RAELIS</x:v>
      </x:c>
      <x:c r="B53" s="9" t="str">
        <x:v>Raelis</x:v>
      </x:c>
      <x:c r="C53" s="15" t="str">
        <x:v>Défini</x:v>
      </x:c>
      <x:c r="D53" s="16" t="str">
        <x:v>Établi</x:v>
      </x:c>
      <x:c r="E53" s="16" t="str">
        <x:v>P1</x:v>
      </x:c>
      <x:c r="F53" s="9" t="str">
        <x:v>Contact de renseignement.</x:v>
      </x:c>
      <x:c r="G53" s="9" t="str">
        <x:v>Reçoit les données de Know Your Enemy ; dossier complet et message final validés une seule fois.</x:v>
      </x:c>
      <x:c r="H53" s="9" t="str">
        <x:v>Reçoit les données de Know Your Enemy ; dossier complet et message final validés une seule fois.</x:v>
      </x:c>
      <x:c r="I53" s="9" t="str">
        <x:v>Angara et console de données.</x:v>
      </x:c>
      <x:c r="J53" s="9" t="str">
        <x:v>Prévoir attente, orientation et réaction au contexte ; conserver les repères décrits dans la silhouette pendant les changements de direction. Les mouvements sont des créations du fan game.</x:v>
      </x:c>
      <x:c r="K53" s="9" t="str">
        <x:v>Créer des bruitages et ambiances originaux adaptés au livrable ; sous-titrer les indices utiles et proposer un réglage indépendant des effets. Aucune extraction audio demandée.</x:v>
      </x:c>
      <x:c r="L53" s="9" t="str">
        <x:v>Prévu : fiche de données mea/npcs/raelis ; rattacher les ressources et états cités à cet identifiant. Aucun fichier de jeu créé par ce catalogue.</x:v>
      </x:c>
      <x:c r="M53" s="9" t="str"/>
      <x:c r="N53" s="9" t="str">
        <x:v>Le livrable « Raelis » possède une scène ou un scénario de contrôle ; ses règles proposées, ses conditions et ses retours visuels sont vérifiables séparément.</x:v>
      </x:c>
      <x:c r="O53" s="9" t="str"/>
      <x:c r="P53" s="9" t="str">
        <x:v>Raelis</x:v>
      </x:c>
      <x:c r="Q53" s="9" t="str">
        <x:v>MEA-SRC-MISSIONS, MEA-SRC-CHAR</x:v>
      </x:c>
      <x:c r="R53" s="9" t="str">
        <x:v>https://masseffect.fandom.com/wiki/Missions_%28Mass_Effect%3A_Andromeda%29
https://masseffect.fandom.com/wiki/Characters/Mass_Effect%3A_Andromeda</x:v>
      </x:c>
      <x:c r="S53" s="9" t="str">
        <x:v>Spécification à réaliser. Les champs adaptation, gameplay, visual, animation, audio et implementation décrivent le fan game ; ils ne donnent pas des caractéristiques officielles de l’œuvre.</x:v>
      </x:c>
    </x:row>
    <x:row r="54" ht="68" customHeight="1">
      <x:c r="A54" s="19" t="str">
        <x:v>MEA-NPC-HAINLY</x:v>
      </x:c>
      <x:c r="B54" s="7" t="str">
        <x:v>Hainly Abrams</x:v>
      </x:c>
      <x:c r="C54" s="15" t="str">
        <x:v>Défini</x:v>
      </x:c>
      <x:c r="D54" s="17" t="str">
        <x:v>Établi</x:v>
      </x:c>
      <x:c r="E54" s="17" t="str">
        <x:v>P1</x:v>
      </x:c>
      <x:c r="F54" s="7" t="str">
        <x:v>Personnage dont le dialogue fut ajusté.</x:v>
      </x:c>
      <x:c r="G54" s="7" t="str">
        <x:v>Utiliser le profil de dialogue postérieur au correctif retenu ; ne pas confondre texte de lancement et version 1.08.</x:v>
      </x:c>
      <x:c r="H54" s="7" t="str">
        <x:v>Utiliser le profil de dialogue postérieur au correctif retenu ; ne pas confondre texte de lancement et version 1.08.</x:v>
      </x:c>
      <x:c r="I54" s="7" t="str">
        <x:v>Scientifique humaine à l’avant-poste.</x:v>
      </x:c>
      <x:c r="J54" s="7" t="str">
        <x:v>Prévoir attente, orientation et réaction au contexte ; conserver les repères décrits dans la silhouette pendant les changements de direction. Les mouvements sont des créations du fan game.</x:v>
      </x:c>
      <x:c r="K54" s="7" t="str">
        <x:v>Créer des bruitages et ambiances originaux adaptés au livrable ; sous-titrer les indices utiles et proposer un réglage indépendant des effets. Aucune extraction audio demandée.</x:v>
      </x:c>
      <x:c r="L54" s="7" t="str">
        <x:v>Prévu : fiche de données mea/npcs/hainly ; rattacher les ressources et états cités à cet identifiant. Aucun fichier de jeu créé par ce catalogue.</x:v>
      </x:c>
      <x:c r="M54" s="7" t="str">
        <x:v>Version de patch explicitée.</x:v>
      </x:c>
      <x:c r="N54" s="7" t="str">
        <x:v>Le livrable « Hainly Abrams » possède une scène ou un scénario de contrôle ; ses règles proposées, ses conditions et ses retours visuels sont vérifiables séparément.</x:v>
      </x:c>
      <x:c r="O54" s="7" t="str"/>
      <x:c r="P54" s="7" t="str">
        <x:v>Hainly Abrams</x:v>
      </x:c>
      <x:c r="Q54" s="7" t="str">
        <x:v>MEA-SRC-BW-108</x:v>
      </x:c>
      <x:c r="R54" s="7" t="str">
        <x:v>https://blog.bioware.com/2017/06/06/mass-effect-andromeda-patch-1-08-notes/</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4" priority="1" operator="equal">
      <x:formula>"À vérifier"</x:formula>
    </x:cfRule>
    <x:cfRule type="cellIs" dxfId="5" priority="2" operator="equal">
      <x:formula>"Extrapolation"</x:formula>
    </x:cfRule>
  </x:conditionalFormatting>
  <x:conditionalFormatting sqref="C7:C54">
    <x:cfRule type="cellIs" dxfId="6" priority="3" operator="equal">
      <x:formula>"Validé"</x:formula>
    </x:cfRule>
  </x:conditionalFormatting>
  <x:conditionalFormatting sqref="E7:E54">
    <x:cfRule type="cellIs" dxfId="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f8b3a9cf38634813"/>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MEA-LOR-INITIATIVE</x:v>
      </x:c>
      <x:c r="B7" s="9" t="str">
        <x:v>Initiative Andromède</x:v>
      </x:c>
      <x:c r="C7" s="15" t="str">
        <x:v>Défini</x:v>
      </x:c>
      <x:c r="D7" s="16" t="str">
        <x:v>Établi</x:v>
      </x:c>
      <x:c r="E7" s="16" t="str">
        <x:v>P1</x:v>
      </x:c>
      <x:c r="F7" s="9" t="str">
        <x:v>Projet d’installation dans une autre galaxie.</x:v>
      </x:c>
      <x:c r="G7" s="9" t="str">
        <x:v>Codex de départ, attentes et difficultés à l’arrivée ; séparer rêve de colonisation et réalité locale rencontrée.</x:v>
      </x:c>
      <x:c r="H7" s="9" t="str">
        <x:v>Codex de départ, attentes et difficultés à l’arrivée ; séparer rêve de colonisation et réalité locale rencontrée.</x:v>
      </x:c>
      <x:c r="I7" s="9" t="str">
        <x:v>Emblème Initiative et schémas d’arches.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mea/lore/initiative ; rattacher les ressources et états cités à cet identifiant. Aucun fichier de jeu créé par ce catalogue.</x:v>
      </x:c>
      <x:c r="M7" s="9" t="str"/>
      <x:c r="N7" s="9" t="str">
        <x:v>Le livrable « Initiative Andromède » possède une scène ou un scénario de contrôle ; ses règles proposées, ses conditions et ses retours visuels sont vérifiables séparément.</x:v>
      </x:c>
      <x:c r="O7" s="9" t="str"/>
      <x:c r="P7" s="9" t="str">
        <x:v>Initiative Andromède</x:v>
      </x:c>
      <x:c r="Q7" s="9" t="str">
        <x:v>MEA-SRC-EA-GAME, MEA-SRC-CODEX</x:v>
      </x:c>
      <x:c r="R7" s="9" t="str">
        <x:v>https://www.ea.com/games/mass-effect/mass-effect-andromeda
https://masseffect.fandom.com/wiki/Codex_Entry_Guide_%28Mass_Effect%3A_Andromeda%29</x:v>
      </x:c>
      <x:c r="S7" s="9" t="str">
        <x:v>Spécification à réaliser. Les champs adaptation, gameplay, visual, animation, audio et implementation décrivent le fan game ; ils ne donnent pas des caractéristiques officielles de l’œuvre.</x:v>
      </x:c>
    </x:row>
    <x:row r="8" ht="68" customHeight="1">
      <x:c r="A8" s="19" t="str">
        <x:v>MEA-LOR-PATHFINDER</x:v>
      </x:c>
      <x:c r="B8" s="7" t="str">
        <x:v>Pionnier / Pathfinder</x:v>
      </x:c>
      <x:c r="C8" s="15" t="str">
        <x:v>Défini</x:v>
      </x:c>
      <x:c r="D8" s="17" t="str">
        <x:v>Établi</x:v>
      </x:c>
      <x:c r="E8" s="17" t="str">
        <x:v>P1</x:v>
      </x:c>
      <x:c r="F8" s="7" t="str">
        <x:v>Ryder mène l’exploration.</x:v>
      </x:c>
      <x:c r="G8" s="7" t="str">
        <x:v>Fiche de fonction, décisions et responsabilité ; titre ne signifie pas autorité absolue sur les peuples angara.</x:v>
      </x:c>
      <x:c r="H8" s="7" t="str">
        <x:v>Fiche de fonction, décisions et responsabilité ; titre ne signifie pas autorité absolue sur les peuples angara.</x:v>
      </x:c>
      <x:c r="I8" s="7" t="str">
        <x:v>Insigne et carte de terrain.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mea/lore/pathfinder ; rattacher les ressources et états cités à cet identifiant. Aucun fichier de jeu créé par ce catalogue.</x:v>
      </x:c>
      <x:c r="M8" s="7" t="str"/>
      <x:c r="N8" s="7" t="str">
        <x:v>Le livrable « Pionnier / Pathfinder » possède une scène ou un scénario de contrôle ; ses règles proposées, ses conditions et ses retours visuels sont vérifiables séparément.</x:v>
      </x:c>
      <x:c r="O8" s="7" t="str"/>
      <x:c r="P8" s="7" t="str">
        <x:v>Pionnier / Pathfinder</x:v>
      </x:c>
      <x:c r="Q8" s="7" t="str">
        <x:v>MEA-SRC-EA-GAME</x:v>
      </x:c>
      <x:c r="R8" s="7" t="str">
        <x:v>https://www.ea.com/games/mass-effect/mass-effect-andromeda</x:v>
      </x:c>
      <x:c r="S8" s="7" t="str">
        <x:v>Spécification à réaliser. Les champs adaptation, gameplay, visual, animation, audio et implementation décrivent le fan game ; ils ne donnent pas des caractéristiques officielles de l’œuvre.</x:v>
      </x:c>
    </x:row>
    <x:row r="9" ht="68" customHeight="1">
      <x:c r="A9" s="18" t="str">
        <x:v>MEA-LOR-SAM</x:v>
      </x:c>
      <x:c r="B9" s="9" t="str">
        <x:v>SAM et lien neural</x:v>
      </x:c>
      <x:c r="C9" s="15" t="str">
        <x:v>Défini</x:v>
      </x:c>
      <x:c r="D9" s="16" t="str">
        <x:v>Établi</x:v>
      </x:c>
      <x:c r="E9" s="16" t="str">
        <x:v>P1</x:v>
      </x:c>
      <x:c r="F9" s="9" t="str">
        <x:v>SAM accompagne le Pionnier.</x:v>
      </x:c>
      <x:c r="G9" s="9" t="str">
        <x:v>Dossier de compétences, limites et partage de perception ; retrait scénarisé désactive les bons outils sans inventer télépathie universelle.</x:v>
      </x:c>
      <x:c r="H9" s="9" t="str">
        <x:v>Dossier de compétences, limites et partage de perception ; retrait scénarisé désactive les bons outils sans inventer télépathie universelle.</x:v>
      </x:c>
      <x:c r="I9" s="9" t="str">
        <x:v>Interface IA et réseau de données.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mea/lore/sam ; rattacher les ressources et états cités à cet identifiant. Aucun fichier de jeu créé par ce catalogue.</x:v>
      </x:c>
      <x:c r="M9" s="9" t="str"/>
      <x:c r="N9" s="9" t="str">
        <x:v>Le livrable « SAM et lien neural » possède une scène ou un scénario de contrôle ; ses règles proposées, ses conditions et ses retours visuels sont vérifiables séparément.</x:v>
      </x:c>
      <x:c r="O9" s="9" t="str"/>
      <x:c r="P9" s="9" t="str">
        <x:v>SAM et lien neural</x:v>
      </x:c>
      <x:c r="Q9" s="9" t="str">
        <x:v>MEA-SRC-CODEX, MEA-SRC-MERIDIAN</x:v>
      </x:c>
      <x:c r="R9" s="9" t="str">
        <x:v>https://masseffect.fandom.com/wiki/Codex_Entry_Guide_%28Mass_Effect%3A_Andromeda%29
https://masseffect.fandom.com/wiki/Meridian%3A_The_Way_Home</x:v>
      </x:c>
      <x:c r="S9" s="9" t="str">
        <x:v>Spécification à réaliser. Les champs adaptation, gameplay, visual, animation, audio et implementation décrivent le fan game ; ils ne donnent pas des caractéristiques officielles de l’œuvre.</x:v>
      </x:c>
    </x:row>
    <x:row r="10" ht="68" customHeight="1">
      <x:c r="A10" s="19" t="str">
        <x:v>MEA-LOR-SCOURGE</x:v>
      </x:c>
      <x:c r="B10" s="7" t="str">
        <x:v>Fléau / Scourge</x:v>
      </x:c>
      <x:c r="C10" s="15" t="str">
        <x:v>Défini</x:v>
      </x:c>
      <x:c r="D10" s="17" t="str">
        <x:v>Établi</x:v>
      </x:c>
      <x:c r="E10" s="17" t="str">
        <x:v>P1</x:v>
      </x:c>
      <x:c r="F10" s="7" t="str">
        <x:v>Phénomène dangereux de Heleus.</x:v>
      </x:c>
      <x:c r="G10" s="7" t="str">
        <x:v>Cartographie de danger et indices de réseau ; origine précise révélée seulement par découverte, pas comme présupposé de départ.</x:v>
      </x:c>
      <x:c r="H10" s="7" t="str">
        <x:v>Cartographie de danger et indices de réseau ; origine précise révélée seulement par découverte, pas comme présupposé de départ.</x:v>
      </x:c>
      <x:c r="I10" s="7" t="str">
        <x:v>Filaments noirs et énergie spatiale.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mea/lore/scourge ; rattacher les ressources et états cités à cet identifiant. Aucun fichier de jeu créé par ce catalogue.</x:v>
      </x:c>
      <x:c r="M10" s="7" t="str"/>
      <x:c r="N10" s="7" t="str">
        <x:v>Le livrable « Fléau / Scourge » possède une scène ou un scénario de contrôle ; ses règles proposées, ses conditions et ses retours visuels sont vérifiables séparément.</x:v>
      </x:c>
      <x:c r="O10" s="7" t="str"/>
      <x:c r="P10" s="7" t="str">
        <x:v>Fléau / Scourge</x:v>
      </x:c>
      <x:c r="Q10" s="7" t="str">
        <x:v>MEA-SRC-CODEX</x:v>
      </x:c>
      <x:c r="R10" s="7" t="str">
        <x:v>https://masseffect.fandom.com/wiki/Codex_Entry_Guide_%28Mass_Effect%3A_Andromeda%29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MEA-LOR-ANGARA</x:v>
      </x:c>
      <x:c r="B11" s="9" t="str">
        <x:v>Angara</x:v>
      </x:c>
      <x:c r="C11" s="15" t="str">
        <x:v>Défini</x:v>
      </x:c>
      <x:c r="D11" s="16" t="str">
        <x:v>Établi</x:v>
      </x:c>
      <x:c r="E11" s="16" t="str">
        <x:v>P1</x:v>
      </x:c>
      <x:c r="F11" s="9" t="str">
        <x:v>Peuple rencontré dans Heleus.</x:v>
      </x:c>
      <x:c r="G11" s="9" t="str">
        <x:v>Entrées culturelles par interlocuteur et lieu ; leurs opinions ne se résument ni à Evfra ni à Akksul.</x:v>
      </x:c>
      <x:c r="H11" s="9" t="str">
        <x:v>Entrées culturelles par interlocuteur et lieu ; leurs opinions ne se résument ni à Evfra ni à Akksul.</x:v>
      </x:c>
      <x:c r="I11" s="9" t="str">
        <x:v>Silhouettes et textiles angara.</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mea/lore/angara ; rattacher les ressources et états cités à cet identifiant. Aucun fichier de jeu créé par ce catalogue.</x:v>
      </x:c>
      <x:c r="M11" s="9" t="str"/>
      <x:c r="N11" s="9" t="str">
        <x:v>Le livrable « Angara » possède une scène ou un scénario de contrôle ; ses règles proposées, ses conditions et ses retours visuels sont vérifiables séparément.</x:v>
      </x:c>
      <x:c r="O11" s="9" t="str"/>
      <x:c r="P11" s="9" t="str">
        <x:v>Angara</x:v>
      </x:c>
      <x:c r="Q11" s="9" t="str">
        <x:v>MEA-SRC-CODEX</x:v>
      </x:c>
      <x:c r="R11" s="9" t="str">
        <x:v>https://masseffect.fandom.com/wiki/Codex_Entry_Guide_%28Mass_Effect%3A_Andromeda%29</x:v>
      </x:c>
      <x:c r="S11" s="9" t="str">
        <x:v>Spécification à réaliser. Les champs adaptation, gameplay, visual, animation, audio et implementation décrivent le fan game ; ils ne donnent pas des caractéristiques officielles de l’œuvre.</x:v>
      </x:c>
    </x:row>
    <x:row r="12" ht="68" customHeight="1">
      <x:c r="A12" s="19" t="str">
        <x:v>MEA-LOR-RESISTANCE</x:v>
      </x:c>
      <x:c r="B12" s="7" t="str">
        <x:v>Résistance angara</x:v>
      </x:c>
      <x:c r="C12" s="15" t="str">
        <x:v>Défini</x:v>
      </x:c>
      <x:c r="D12" s="17" t="str">
        <x:v>Établi</x:v>
      </x:c>
      <x:c r="E12" s="17" t="str">
        <x:v>P1</x:v>
      </x:c>
      <x:c r="F12" s="7" t="str">
        <x:v>Force opposée aux kett.</x:v>
      </x:c>
      <x:c r="G12" s="7" t="str">
        <x:v>Registre des bases et contacts ; coopération s’étend par missions et ne rend pas chaque angara soldat.</x:v>
      </x:c>
      <x:c r="H12" s="7" t="str">
        <x:v>Registre des bases et contacts ; coopération s’étend par missions et ne rend pas chaque angara soldat.</x:v>
      </x:c>
      <x:c r="I12" s="7" t="str">
        <x:v>Marques de Résistance et cartes locales.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mea/lore/resistance ; rattacher les ressources et états cités à cet identifiant. Aucun fichier de jeu créé par ce catalogue.</x:v>
      </x:c>
      <x:c r="M12" s="7" t="str"/>
      <x:c r="N12" s="7" t="str">
        <x:v>Le livrable « Résistance angara » possède une scène ou un scénario de contrôle ; ses règles proposées, ses conditions et ses retours visuels sont vérifiables séparément.</x:v>
      </x:c>
      <x:c r="O12" s="7" t="str"/>
      <x:c r="P12" s="7" t="str">
        <x:v>Résistance angara</x:v>
      </x:c>
      <x:c r="Q12" s="7" t="str">
        <x:v>MEA-SRC-MISSIONS, MEA-SRC-CODEX</x:v>
      </x:c>
      <x:c r="R12" s="7" t="str">
        <x:v>https://masseffect.fandom.com/wiki/Missions_%28Mass_Effect%3A_Andromeda%29
https://masseffect.fandom.com/wiki/Codex_Entry_Guide_%28Mass_Effect%3A_Andromeda%29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MEA-LOR-ROEKAAR</x:v>
      </x:c>
      <x:c r="B13" s="9" t="str">
        <x:v>Roekaar</x:v>
      </x:c>
      <x:c r="C13" s="15" t="str">
        <x:v>Défini</x:v>
      </x:c>
      <x:c r="D13" s="16" t="str">
        <x:v>Établi</x:v>
      </x:c>
      <x:c r="E13" s="16" t="str">
        <x:v>P1</x:v>
      </x:c>
      <x:c r="F13" s="9" t="str">
        <x:v>Mouvement hostile aux nouveaux arrivants.</x:v>
      </x:c>
      <x:c r="G13" s="9" t="str">
        <x:v>Faction distincte des angara civils et de la Résistance ; résolution de Jaal conserve réactions locales.</x:v>
      </x:c>
      <x:c r="H13" s="9" t="str">
        <x:v>Faction distincte des angara civils et de la Résistance ; résolution de Jaal conserve réactions locales.</x:v>
      </x:c>
      <x:c r="I13" s="9" t="str">
        <x:v>Symboles militants et dossiers.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mea/lore/roekaar ; rattacher les ressources et états cités à cet identifiant. Aucun fichier de jeu créé par ce catalogue.</x:v>
      </x:c>
      <x:c r="M13" s="9" t="str"/>
      <x:c r="N13" s="9" t="str">
        <x:v>Le livrable « Roekaar » possède une scène ou un scénario de contrôle ; ses règles proposées, ses conditions et ses retours visuels sont vérifiables séparément.</x:v>
      </x:c>
      <x:c r="O13" s="9" t="str"/>
      <x:c r="P13" s="9" t="str">
        <x:v>Roekaar</x:v>
      </x:c>
      <x:c r="Q13" s="9" t="str">
        <x:v>MEA-SRC-JAAL-LOYAL</x:v>
      </x:c>
      <x:c r="R13" s="9" t="str">
        <x:v>https://masseffect.fandom.com/wiki/Jaal_Ama_Darav%3A_Flesh_and_Blood</x:v>
      </x:c>
      <x:c r="S13" s="9" t="str">
        <x:v>Spécification à réaliser. Les champs adaptation, gameplay, visual, animation, audio et implementation décrivent le fan game ; ils ne donnent pas des caractéristiques officielles de l’œuvre.</x:v>
      </x:c>
    </x:row>
    <x:row r="14" ht="68" customHeight="1">
      <x:c r="A14" s="19" t="str">
        <x:v>MEA-LOR-KETT</x:v>
      </x:c>
      <x:c r="B14" s="7" t="str">
        <x:v>Kett</x:v>
      </x:c>
      <x:c r="C14" s="15" t="str">
        <x:v>Défini</x:v>
      </x:c>
      <x:c r="D14" s="17" t="str">
        <x:v>Établi</x:v>
      </x:c>
      <x:c r="E14" s="17" t="str">
        <x:v>P1</x:v>
      </x:c>
      <x:c r="F14" s="7" t="str">
        <x:v>Force antagoniste d’Andromeda.</x:v>
      </x:c>
      <x:c r="G14" s="7" t="str">
        <x:v>Hiérarchie Archonte/Primus et unités ; ne pas traiter le contingent rencontré comme description exhaustive d’un empire entier.</x:v>
      </x:c>
      <x:c r="H14" s="7" t="str">
        <x:v>Hiérarchie Archonte/Primus et unités ; ne pas traiter le contingent rencontré comme description exhaustive d’un empire entier.</x:v>
      </x:c>
      <x:c r="I14" s="7" t="str">
        <x:v>Architecture organique et armures osseuses.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mea/lore/kett ; rattacher les ressources et états cités à cet identifiant. Aucun fichier de jeu créé par ce catalogue.</x:v>
      </x:c>
      <x:c r="M14" s="7" t="str"/>
      <x:c r="N14" s="7" t="str">
        <x:v>Le livrable « Kett » possède une scène ou un scénario de contrôle ; ses règles proposées, ses conditions et ses retours visuels sont vérifiables séparément.</x:v>
      </x:c>
      <x:c r="O14" s="7" t="str"/>
      <x:c r="P14" s="7" t="str">
        <x:v>Kett</x:v>
      </x:c>
      <x:c r="Q14" s="7" t="str">
        <x:v>MEA-SRC-CODEX</x:v>
      </x:c>
      <x:c r="R14" s="7" t="str">
        <x:v>https://masseffect.fandom.com/wiki/Codex_Entry_Guide_%28Mass_Effect%3A_Andromeda%29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MEA-LOR-EXALTATION</x:v>
      </x:c>
      <x:c r="B15" s="9" t="str">
        <x:v>Exaltation</x:v>
      </x:c>
      <x:c r="C15" s="15" t="str">
        <x:v>Défini</x:v>
      </x:c>
      <x:c r="D15" s="16" t="str">
        <x:v>Établi</x:v>
      </x:c>
      <x:c r="E15" s="16" t="str">
        <x:v>P1</x:v>
      </x:c>
      <x:c r="F15" s="9" t="str">
        <x:v>Transformation révélée pendant la campagne.</x:v>
      </x:c>
      <x:c r="G15" s="9" t="str">
        <x:v>Codex verrouillé avant installation de Voeld ; nom, victime et résultat distincts des théories initiales de l’équipage.</x:v>
      </x:c>
      <x:c r="H15" s="9" t="str">
        <x:v>Codex verrouillé avant installation de Voeld ; nom, victime et résultat distincts des théories initiales de l’équipage.</x:v>
      </x:c>
      <x:c r="I15" s="9" t="str">
        <x:v>Capsules et silhouettes en transformation.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mea/lore/exaltation ; rattacher les ressources et états cités à cet identifiant. Aucun fichier de jeu créé par ce catalogue.</x:v>
      </x:c>
      <x:c r="M15" s="9" t="str"/>
      <x:c r="N15" s="9" t="str">
        <x:v>Le livrable « Exaltation » possède une scène ou un scénario de contrôle ; ses règles proposées, ses conditions et ses retours visuels sont vérifiables séparément.</x:v>
      </x:c>
      <x:c r="O15" s="9" t="str"/>
      <x:c r="P15" s="9" t="str">
        <x:v>Exaltation</x:v>
      </x:c>
      <x:c r="Q15" s="9" t="str">
        <x:v>MEA-SRC-GUIDE, MEA-SRC-CODEX</x:v>
      </x:c>
      <x:c r="R15" s="9" t="str">
        <x:v>https://masseffect.fandom.com/wiki/Mass_Effect%3A_Andromeda_Guide
https://masseffect.fandom.com/wiki/Codex_Entry_Guide_%28Mass_Effect%3A_Andromeda%29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MEA-LOR-REMNANT</x:v>
      </x:c>
      <x:c r="B16" s="7" t="str">
        <x:v>Reliquats / Remnant</x:v>
      </x:c>
      <x:c r="C16" s="15" t="str">
        <x:v>Défini</x:v>
      </x:c>
      <x:c r="D16" s="17" t="str">
        <x:v>Établi</x:v>
      </x:c>
      <x:c r="E16" s="17" t="str">
        <x:v>P1</x:v>
      </x:c>
      <x:c r="F16" s="7" t="str">
        <x:v>Machines et structures anciennes.</x:v>
      </x:c>
      <x:c r="G16" s="7" t="str">
        <x:v>Scanner sépare fonctionnement observé et origine interprétée ; machines parfois alliées, faction non automatiquement hostile.</x:v>
      </x:c>
      <x:c r="H16" s="7" t="str">
        <x:v>Scanner sépare fonctionnement observé et origine interprétée ; machines parfois alliées, faction non automatiquement hostile.</x:v>
      </x:c>
      <x:c r="I16" s="7" t="str">
        <x:v>Géométrie noire et lumière turquoise.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mea/lore/remnant ; rattacher les ressources et états cités à cet identifiant. Aucun fichier de jeu créé par ce catalogue.</x:v>
      </x:c>
      <x:c r="M16" s="7" t="str"/>
      <x:c r="N16" s="7" t="str">
        <x:v>Le livrable « Reliquats / Remnant » possède une scène ou un scénario de contrôle ; ses règles proposées, ses conditions et ses retours visuels sont vérifiables séparément.</x:v>
      </x:c>
      <x:c r="O16" s="7" t="str"/>
      <x:c r="P16" s="7" t="str">
        <x:v>Reliquats / Remnant</x:v>
      </x:c>
      <x:c r="Q16" s="7" t="str">
        <x:v>MEA-SRC-VAULT, MEA-SRC-CODEX</x:v>
      </x:c>
      <x:c r="R16" s="7" t="str">
        <x:v>https://masseffect.fandom.com/wiki/Vault
https://masseffect.fandom.com/wiki/Codex_Entry_Guide_%28Mass_Effect%3A_Andromeda%29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MEA-LOR-JAARDAN</x:v>
      </x:c>
      <x:c r="B17" s="9" t="str">
        <x:v>Jardaan</x:v>
      </x:c>
      <x:c r="C17" s="15" t="str">
        <x:v>Défini</x:v>
      </x:c>
      <x:c r="D17" s="16" t="str">
        <x:v>Établi</x:v>
      </x:c>
      <x:c r="E17" s="16" t="str">
        <x:v>P1</x:v>
      </x:c>
      <x:c r="F17" s="9" t="str">
        <x:v>Civilisation liée aux révélations reliquates.</x:v>
      </x:c>
      <x:c r="G17" s="9" t="str">
        <x:v>Entrée tardive de savoir, incertitudes conservées ; aucun personnage ou plan futur inventé.</x:v>
      </x:c>
      <x:c r="H17" s="9" t="str">
        <x:v>Entrée tardive de savoir, incertitudes conservées ; aucun personnage ou plan futur inventé.</x:v>
      </x:c>
      <x:c r="I17" s="9" t="str">
        <x:v>Archives et réseaux de Méridiane.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mea/lore/jaardan ; rattacher les ressources et états cités à cet identifiant. Aucun fichier de jeu créé par ce catalogue.</x:v>
      </x:c>
      <x:c r="M17" s="9" t="str">
        <x:v>Spoilers tardifs.</x:v>
      </x:c>
      <x:c r="N17" s="9" t="str">
        <x:v>Le livrable « Jardaan » possède une scène ou un scénario de contrôle ; ses règles proposées, ses conditions et ses retours visuels sont vérifiables séparément.</x:v>
      </x:c>
      <x:c r="O17" s="9" t="str"/>
      <x:c r="P17" s="9" t="str">
        <x:v>Jardaan</x:v>
      </x:c>
      <x:c r="Q17" s="9" t="str">
        <x:v>MEA-SRC-CODEX</x:v>
      </x:c>
      <x:c r="R17" s="9" t="str">
        <x:v>https://masseffect.fandom.com/wiki/Codex_Entry_Guide_%28Mass_Effect%3A_Andromeda%29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MEA-LOR-VAULTS</x:v>
      </x:c>
      <x:c r="B18" s="7" t="str">
        <x:v>Réseau des caveaux</x:v>
      </x:c>
      <x:c r="C18" s="15" t="str">
        <x:v>Défini</x:v>
      </x:c>
      <x:c r="D18" s="17" t="str">
        <x:v>Établi</x:v>
      </x:c>
      <x:c r="E18" s="17" t="str">
        <x:v>P1</x:v>
      </x:c>
      <x:c r="F18" s="7" t="str">
        <x:v>Les caveaux participent aux restaurations.</x:v>
      </x:c>
      <x:c r="G18" s="7" t="str">
        <x:v>Carte des liens techniques, état par planète et résultat vérifié ; un seul caveau activé ne rend pas tout Heleus habitable.</x:v>
      </x:c>
      <x:c r="H18" s="7" t="str">
        <x:v>Carte des liens techniques, état par planète et résultat vérifié ; un seul caveau activé ne rend pas tout Heleus habitable.</x:v>
      </x:c>
      <x:c r="I18" s="7" t="str">
        <x:v>Nœuds et lignes de réseau.</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mea/lore/vaults ; rattacher les ressources et états cités à cet identifiant. Aucun fichier de jeu créé par ce catalogue.</x:v>
      </x:c>
      <x:c r="M18" s="7" t="str"/>
      <x:c r="N18" s="7" t="str">
        <x:v>Le livrable « Réseau des caveaux » possède une scène ou un scénario de contrôle ; ses règles proposées, ses conditions et ses retours visuels sont vérifiables séparément.</x:v>
      </x:c>
      <x:c r="O18" s="7" t="str"/>
      <x:c r="P18" s="7" t="str">
        <x:v>Réseau des caveaux</x:v>
      </x:c>
      <x:c r="Q18" s="7" t="str">
        <x:v>MEA-SRC-VAULT</x:v>
      </x:c>
      <x:c r="R18" s="7" t="str">
        <x:v>https://masseffect.fandom.com/wiki/Vault</x:v>
      </x:c>
      <x:c r="S18" s="7" t="str">
        <x:v>Spécification à réaliser. Les champs adaptation, gameplay, visual, animation, audio et implementation décrivent le fan game ; ils ne donnent pas des caractéristiques officielles de l’œuvre.</x:v>
      </x:c>
    </x:row>
    <x:row r="19" ht="68" customHeight="1">
      <x:c r="A19" s="18" t="str">
        <x:v>MEA-LOR-EXILES</x:v>
      </x:c>
      <x:c r="B19" s="9" t="str">
        <x:v>Exilés du Nexus</x:v>
      </x:c>
      <x:c r="C19" s="15" t="str">
        <x:v>Défini</x:v>
      </x:c>
      <x:c r="D19" s="16" t="str">
        <x:v>Établi</x:v>
      </x:c>
      <x:c r="E19" s="16" t="str">
        <x:v>P1</x:v>
      </x:c>
      <x:c r="F19" s="9" t="str">
        <x:v>Des groupes ont quitté le Nexus.</x:v>
      </x:c>
      <x:c r="G19" s="9" t="str">
        <x:v>Distinguer civils, Outcasts, Collective et bandes ; appartenance d’une espèce ne détermine pas faction.</x:v>
      </x:c>
      <x:c r="H19" s="9" t="str">
        <x:v>Distinguer civils, Outcasts, Collective et bandes ; appartenance d’une espèce ne détermine pas faction.</x:v>
      </x:c>
      <x:c r="I19" s="9" t="str">
        <x:v>Camps et insignes de groupes.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mea/lore/exiles ; rattacher les ressources et états cités à cet identifiant. Aucun fichier de jeu créé par ce catalogue.</x:v>
      </x:c>
      <x:c r="M19" s="9" t="str"/>
      <x:c r="N19" s="9" t="str">
        <x:v>Le livrable « Exilés du Nexus » possède une scène ou un scénario de contrôle ; ses règles proposées, ses conditions et ses retours visuels sont vérifiables séparément.</x:v>
      </x:c>
      <x:c r="O19" s="9" t="str"/>
      <x:c r="P19" s="9" t="str">
        <x:v>Exilés du Nexus</x:v>
      </x:c>
      <x:c r="Q19" s="9" t="str">
        <x:v>MEA-SRC-CODEX, MEA-SRC-HIGH-NOON</x:v>
      </x:c>
      <x:c r="R19" s="9" t="str">
        <x:v>https://masseffect.fandom.com/wiki/Codex_Entry_Guide_%28Mass_Effect%3A_Andromeda%29
https://masseffect.fandom.com/wiki/High_Noon</x:v>
      </x:c>
      <x:c r="S19" s="9" t="str">
        <x:v>Spécification à réaliser. Les champs adaptation, gameplay, visual, animation, audio et implementation décrivent le fan game ; ils ne donnent pas des caractéristiques officielles de l’œuvre.</x:v>
      </x:c>
    </x:row>
    <x:row r="20" ht="68" customHeight="1">
      <x:c r="A20" s="19" t="str">
        <x:v>MEA-LOR-KROGAN</x:v>
      </x:c>
      <x:c r="B20" s="7" t="str">
        <x:v>Colons krogan</x:v>
      </x:c>
      <x:c r="C20" s="15" t="str">
        <x:v>Défini</x:v>
      </x:c>
      <x:c r="D20" s="17" t="str">
        <x:v>Établi</x:v>
      </x:c>
      <x:c r="E20" s="17" t="str">
        <x:v>P1</x:v>
      </x:c>
      <x:c r="F20" s="7" t="str">
        <x:v>Les krogans ont leur propre implantation.</x:v>
      </x:c>
      <x:c r="G20" s="7" t="str">
        <x:v>Conflits Nexus, clan et espoir de générations ; ne pas appliquer automatiquement le dénouement du génophage de ME3.</x:v>
      </x:c>
      <x:c r="H20" s="7" t="str">
        <x:v>Conflits Nexus, clan et espoir de générations ; ne pas appliquer automatiquement le dénouement du génophage de ME3.</x:v>
      </x:c>
      <x:c r="I20" s="7" t="str">
        <x:v>New Tuchanka, serre et portraits.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mea/lore/krogan ; rattacher les ressources et états cités à cet identifiant. Aucun fichier de jeu créé par ce catalogue.</x:v>
      </x:c>
      <x:c r="M20" s="7" t="str"/>
      <x:c r="N20" s="7" t="str">
        <x:v>Le livrable « Colons krogan » possède une scène ou un scénario de contrôle ; ses règles proposées, ses conditions et ses retours visuels sont vérifiables séparément.</x:v>
      </x:c>
      <x:c r="O20" s="7" t="str"/>
      <x:c r="P20" s="7" t="str">
        <x:v>Colons krogan</x:v>
      </x:c>
      <x:c r="Q20" s="7" t="str">
        <x:v>MEA-SRC-DRACK, MEA-SRC-DRACK-LOYAL</x:v>
      </x:c>
      <x:c r="R20" s="7" t="str">
        <x:v>https://masseffect.fandom.com/wiki/Nakmor_Drack
https://masseffect.fandom.com/wiki/Nakmor_Drack%3A_A_Future_for_our_People</x:v>
      </x:c>
      <x:c r="S20" s="7" t="str">
        <x:v>Spécification à réaliser. Les champs adaptation, gameplay, visual, animation, audio et implementation décrivent le fan game ; ils ne donnent pas des caractéristiques officielles de l’œuvre.</x:v>
      </x:c>
    </x:row>
    <x:row r="21" ht="68" customHeight="1">
      <x:c r="A21" s="18" t="str">
        <x:v>MEA-LOR-ARKS</x:v>
      </x:c>
      <x:c r="B21" s="9" t="str">
        <x:v>Arches et Pionniers</x:v>
      </x:c>
      <x:c r="C21" s="15" t="str">
        <x:v>Défini</x:v>
      </x:c>
      <x:c r="D21" s="16" t="str">
        <x:v>Établi</x:v>
      </x:c>
      <x:c r="E21" s="16" t="str">
        <x:v>P1</x:v>
      </x:c>
      <x:c r="F21" s="9" t="str">
        <x:v>Plusieurs arches rejoignent Heleus.</x:v>
      </x:c>
      <x:c r="G21" s="9" t="str">
        <x:v>Chaque arche a capitaine, SAM et Pionnier propres ; états des survivants ne sont pas interchangeables.</x:v>
      </x:c>
      <x:c r="H21" s="9" t="str">
        <x:v>Chaque arche a capitaine, SAM et Pionnier propres ; états des survivants ne sont pas interchangeables.</x:v>
      </x:c>
      <x:c r="I21" s="9" t="str">
        <x:v>Carte d’arches et statut par peuple.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mea/lore/arks ; rattacher les ressources et états cités à cet identifiant. Aucun fichier de jeu créé par ce catalogue.</x:v>
      </x:c>
      <x:c r="M21" s="9" t="str"/>
      <x:c r="N21" s="9" t="str">
        <x:v>Le livrable « Arches et Pionniers » possède une scène ou un scénario de contrôle ; ses règles proposées, ses conditions et ses retours visuels sont vérifiables séparément.</x:v>
      </x:c>
      <x:c r="O21" s="9" t="str"/>
      <x:c r="P21" s="9" t="str">
        <x:v>Arches et Pionniers</x:v>
      </x:c>
      <x:c r="Q21" s="9" t="str">
        <x:v>MEA-SRC-MISSING-ARKS</x:v>
      </x:c>
      <x:c r="R21" s="9" t="str">
        <x:v>https://masseffect.fandom.com/wiki/Missing_Arks</x:v>
      </x:c>
      <x:c r="S21" s="9" t="str">
        <x:v>Spécification à réaliser. Les champs adaptation, gameplay, visual, animation, audio et implementation décrivent le fan game ; ils ne donnent pas des caractéristiques officielles de l’œuvre.</x:v>
      </x:c>
    </x:row>
    <x:row r="22" ht="68" customHeight="1">
      <x:c r="A22" s="19" t="str">
        <x:v>MEA-LOR-CRYO</x:v>
      </x:c>
      <x:c r="B22" s="7" t="str">
        <x:v>Cryostase et ressources</x:v>
      </x:c>
      <x:c r="C22" s="15" t="str">
        <x:v>Défini</x:v>
      </x:c>
      <x:c r="D22" s="17" t="str">
        <x:v>Établi</x:v>
      </x:c>
      <x:c r="E22" s="17" t="str">
        <x:v>P1</x:v>
      </x:c>
      <x:c r="F22" s="7" t="str">
        <x:v>Les arrivants ne sont pas tous réveillés ensemble.</x:v>
      </x:c>
      <x:c r="G22" s="7" t="str">
        <x:v>Décisions AVP et personnes concernées séparées ; chaque bonus est une proposition de design tant que valeur source non vérifiée.</x:v>
      </x:c>
      <x:c r="H22" s="7" t="str">
        <x:v>Décisions AVP et personnes concernées séparées ; chaque bonus est une proposition de design tant que valeur source non vérifiée.</x:v>
      </x:c>
      <x:c r="I22" s="7" t="str">
        <x:v>Pods et registre de spécialistes.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mea/lore/cryo ; rattacher les ressources et états cités à cet identifiant. Aucun fichier de jeu créé par ce catalogue.</x:v>
      </x:c>
      <x:c r="M22" s="7" t="str"/>
      <x:c r="N22" s="7" t="str">
        <x:v>Le livrable « Cryostase et ressources » possède une scène ou un scénario de contrôle ; ses règles proposées, ses conditions et ses retours visuels sont vérifiables séparément.</x:v>
      </x:c>
      <x:c r="O22" s="7" t="str"/>
      <x:c r="P22" s="7" t="str">
        <x:v>Cryostase et ressources</x:v>
      </x:c>
      <x:c r="Q22" s="7" t="str">
        <x:v>MEA-SRC-MISSIONS</x:v>
      </x:c>
      <x:c r="R22" s="7" t="str">
        <x:v>https://masseffect.fandom.com/wiki/Missions_%28Mass_Effect%3A_Andromeda%29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MEA-LOR-BENEF</x:v>
      </x:c>
      <x:c r="B23" s="9" t="str">
        <x:v>Financement et mystères familiaux</x:v>
      </x:c>
      <x:c r="C23" s="15" t="str">
        <x:v>Défini</x:v>
      </x:c>
      <x:c r="D23" s="16" t="str">
        <x:v>Établi</x:v>
      </x:c>
      <x:c r="E23" s="16" t="str">
        <x:v>P1</x:v>
      </x:c>
      <x:c r="F23" s="9" t="str">
        <x:v>L’arc familial révèle des éléments cachés.</x:v>
      </x:c>
      <x:c r="G23" s="9" t="str">
        <x:v>Dossier de faits connus, témoignages et questions ouvertes ; identité du Bienfaiteur conservée inconnue.</x:v>
      </x:c>
      <x:c r="H23" s="9" t="str">
        <x:v>Dossier de faits connus, témoignages et questions ouvertes ; identité du Bienfaiteur conservée inconnue.</x:v>
      </x:c>
      <x:c r="I23" s="9" t="str">
        <x:v>Archives SAM et transmissions masquées.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mea/lore/benef ; rattacher les ressources et états cités à cet identifiant. Aucun fichier de jeu créé par ce catalogue.</x:v>
      </x:c>
      <x:c r="M23" s="9" t="str"/>
      <x:c r="N23" s="9" t="str">
        <x:v>Le livrable « Financement et mystères familiaux » possède une scène ou un scénario de contrôle ; ses règles proposées, ses conditions et ses retours visuels sont vérifiables séparément.</x:v>
      </x:c>
      <x:c r="O23" s="9" t="str"/>
      <x:c r="P23" s="9" t="str">
        <x:v>Financement et mystères familiaux</x:v>
      </x:c>
      <x:c r="Q23" s="9" t="str">
        <x:v>MEA-SRC-FAMILY</x:v>
      </x:c>
      <x:c r="R23" s="9" t="str">
        <x:v>https://masseffect.fandom.com/wiki/Ryder_Family_Secrets</x:v>
      </x:c>
      <x:c r="S23" s="9" t="str">
        <x:v>Spécification à réaliser. Les champs adaptation, gameplay, visual, animation, audio et implementation décrivent le fan game ; ils ne donnent pas des caractéristiques officielles de l’œuvre.</x:v>
      </x:c>
    </x:row>
    <x:row r="24" ht="68" customHeight="1">
      <x:c r="A24" s="19" t="str">
        <x:v>MEA-LOR-QUARIAN</x:v>
      </x:c>
      <x:c r="B24" s="7" t="str">
        <x:v>Signal du Keelah Si’yah</x:v>
      </x:c>
      <x:c r="C24" s="15" t="str">
        <x:v>Défini</x:v>
      </x:c>
      <x:c r="D24" s="17" t="str">
        <x:v>Établi</x:v>
      </x:c>
      <x:c r="E24" s="17" t="str">
        <x:v>P1</x:v>
      </x:c>
      <x:c r="F24" s="7" t="str">
        <x:v>L’épilogue transmet un avertissement.</x:v>
      </x:c>
      <x:c r="G24" s="7" t="str">
        <x:v>Entrée d’archive sans quête de résolution inventée ; lien bibliographique vers roman traité dans catalogue dédié.</x:v>
      </x:c>
      <x:c r="H24" s="7" t="str">
        <x:v>Entrée d’archive sans quête de résolution inventée ; lien bibliographique vers roman traité dans catalogue dédié.</x:v>
      </x:c>
      <x:c r="I24" s="7" t="str">
        <x:v>Signal codé et nom d’arche.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mea/lore/quarian ; rattacher les ressources et états cités à cet identifiant. Aucun fichier de jeu créé par ce catalogue.</x:v>
      </x:c>
      <x:c r="M24" s="7" t="str">
        <x:v>Épilogue ; aucune extension solo produite à inférer.</x:v>
      </x:c>
      <x:c r="N24" s="7" t="str">
        <x:v>Le livrable « Signal du Keelah Si’yah » possède une scène ou un scénario de contrôle ; ses règles proposées, ses conditions et ses retours visuels sont vérifiables séparément.</x:v>
      </x:c>
      <x:c r="O24" s="7" t="str"/>
      <x:c r="P24" s="7" t="str">
        <x:v>Signal du Keelah Si’yah</x:v>
      </x:c>
      <x:c r="Q24" s="7" t="str">
        <x:v>MEA-SRC-EPILOGUE, MEA-SRC-BW-FINAL</x:v>
      </x:c>
      <x:c r="R24" s="7" t="str">
        <x:v>https://masseffect.fandom.com/wiki/Epilogue%3A_Home_and_Away
https://blog.bioware.com/2017/08/19/mass-effect-andromeda/</x:v>
      </x:c>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8" priority="1" operator="equal">
      <x:formula>"À vérifier"</x:formula>
    </x:cfRule>
    <x:cfRule type="cellIs" dxfId="9" priority="2" operator="equal">
      <x:formula>"Extrapolation"</x:formula>
    </x:cfRule>
  </x:conditionalFormatting>
  <x:conditionalFormatting sqref="C7:C24">
    <x:cfRule type="cellIs" dxfId="10" priority="3" operator="equal">
      <x:formula>"Validé"</x:formula>
    </x:cfRule>
  </x:conditionalFormatting>
  <x:conditionalFormatting sqref="E7:E24">
    <x:cfRule type="cellIs" dxfId="1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2b25a8222d3a4c74"/>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MEA-WRL-HABITAT7</x:v>
      </x:c>
      <x:c r="B7" s="9" t="str">
        <x:v>Habitat 7</x:v>
      </x:c>
      <x:c r="C7" s="15" t="str">
        <x:v>Défini</x:v>
      </x:c>
      <x:c r="D7" s="16" t="str">
        <x:v>Établi</x:v>
      </x:c>
      <x:c r="E7" s="16" t="str">
        <x:v>P1</x:v>
      </x:c>
      <x:c r="F7" s="9" t="str">
        <x:v>Première destination planétaire.</x:v>
      </x:c>
      <x:c r="G7" s="9" t="str">
        <x:v>Carte de prologue avec dangers météo et parcours d’équipe ; l’état après tour reste distinct des mondes à coloniser librement.</x:v>
      </x:c>
      <x:c r="H7" s="9" t="str">
        <x:v>Carte de prologue avec dangers météo et parcours d’équipe ; l’état après tour reste distinct des mondes à coloniser librement.</x:v>
      </x:c>
      <x:c r="I7" s="9" t="str">
        <x:v>Roches suspendues, éclairs et montagnes.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mea/worlds/habitat7 ; rattacher les ressources et états cités à cet identifiant. Aucun fichier de jeu créé par ce catalogue.</x:v>
      </x:c>
      <x:c r="M7" s="9" t="str"/>
      <x:c r="N7" s="9" t="str">
        <x:v>Le livrable « Habitat 7 » possède une scène ou un scénario de contrôle ; ses règles proposées, ses conditions et ses retours visuels sont vérifiables séparément.</x:v>
      </x:c>
      <x:c r="O7" s="9" t="str"/>
      <x:c r="P7" s="9" t="str">
        <x:v>Habitat 7</x:v>
      </x:c>
      <x:c r="Q7" s="9" t="str">
        <x:v>MEA-SRC-LOCATIONS, MEA-SRC-GUIDE</x:v>
      </x:c>
      <x:c r="R7" s="9" t="str">
        <x:v>https://masseffect.fandom.com/wiki/Codex_%28Mass_Effect%3A_Andromeda%29/Planets_And_Locations
https://masseffect.fandom.com/wiki/Mass_Effect%3A_Andromeda_Guide</x:v>
      </x:c>
      <x:c r="S7" s="9" t="str">
        <x:v>Spécification à réaliser. Les champs adaptation, gameplay, visual, animation, audio et implementation décrivent le fan game ; ils ne donnent pas des caractéristiques officielles de l’œuvre.</x:v>
      </x:c>
    </x:row>
    <x:row r="8" ht="68" customHeight="1">
      <x:c r="A8" s="19" t="str">
        <x:v>MEA-WRL-NEXUS</x:v>
      </x:c>
      <x:c r="B8" s="7" t="str">
        <x:v>Nexus</x:v>
      </x:c>
      <x:c r="C8" s="15" t="str">
        <x:v>Défini</x:v>
      </x:c>
      <x:c r="D8" s="17" t="str">
        <x:v>Établi</x:v>
      </x:c>
      <x:c r="E8" s="17" t="str">
        <x:v>P1</x:v>
      </x:c>
      <x:c r="F8" s="7" t="str">
        <x:v>Station centrale de l’Initiative.</x:v>
      </x:c>
      <x:c r="G8" s="7" t="str">
        <x:v>Hub qui évolue avec réveils et progrès ; repères de commerce, administration, bar et archives.</x:v>
      </x:c>
      <x:c r="H8" s="7" t="str">
        <x:v>Hub qui évolue avec réveils et progrès ; repères de commerce, administration, bar et archives.</x:v>
      </x:c>
      <x:c r="I8" s="7" t="str">
        <x:v>Station inachevée et couloirs propres.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mea/worlds/nexus ; rattacher les ressources et états cités à cet identifiant. Aucun fichier de jeu créé par ce catalogue.</x:v>
      </x:c>
      <x:c r="M8" s="7" t="str"/>
      <x:c r="N8" s="7" t="str">
        <x:v>Le livrable « Nexus » possède une scène ou un scénario de contrôle ; ses règles proposées, ses conditions et ses retours visuels sont vérifiables séparément.</x:v>
      </x:c>
      <x:c r="O8" s="7" t="str"/>
      <x:c r="P8" s="7" t="str">
        <x:v>Nexus</x:v>
      </x:c>
      <x:c r="Q8" s="7" t="str">
        <x:v>MEA-SRC-LOCATIONS</x:v>
      </x:c>
      <x:c r="R8" s="7" t="str">
        <x:v>https://masseffect.fandom.com/wiki/Codex_%28Mass_Effect%3A_Andromeda%29/Planets_And_Locations</x:v>
      </x:c>
      <x:c r="S8" s="7" t="str">
        <x:v>Spécification à réaliser. Les champs adaptation, gameplay, visual, animation, audio et implementation décrivent le fan game ; ils ne donnent pas des caractéristiques officielles de l’œuvre.</x:v>
      </x:c>
    </x:row>
    <x:row r="9" ht="68" customHeight="1">
      <x:c r="A9" s="18" t="str">
        <x:v>MEA-WRL-HYPERION</x:v>
      </x:c>
      <x:c r="B9" s="9" t="str">
        <x:v>Hyperion</x:v>
      </x:c>
      <x:c r="C9" s="15" t="str">
        <x:v>Défini</x:v>
      </x:c>
      <x:c r="D9" s="16" t="str">
        <x:v>Établi</x:v>
      </x:c>
      <x:c r="E9" s="16" t="str">
        <x:v>P1</x:v>
      </x:c>
      <x:c r="F9" s="9" t="str">
        <x:v>Arche humaine.</x:v>
      </x:c>
      <x:c r="G9" s="9" t="str">
        <x:v>Cryostase, SAM Node et passerelle ; versions spatiale et Port Meridian séparées par état du final.</x:v>
      </x:c>
      <x:c r="H9" s="9" t="str">
        <x:v>Cryostase, SAM Node et passerelle ; versions spatiale et Port Meridian séparées par état du final.</x:v>
      </x:c>
      <x:c r="I9" s="9" t="str">
        <x:v>Grands volumes d’arche et pods.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mea/worlds/hyperion ; rattacher les ressources et états cités à cet identifiant. Aucun fichier de jeu créé par ce catalogue.</x:v>
      </x:c>
      <x:c r="M9" s="9" t="str"/>
      <x:c r="N9" s="9" t="str">
        <x:v>Le livrable « Hyperion » possède une scène ou un scénario de contrôle ; ses règles proposées, ses conditions et ses retours visuels sont vérifiables séparément.</x:v>
      </x:c>
      <x:c r="O9" s="9" t="str"/>
      <x:c r="P9" s="9" t="str">
        <x:v>Hyperion</x:v>
      </x:c>
      <x:c r="Q9" s="9" t="str">
        <x:v>MEA-SRC-GUIDE, MEA-SRC-EPILOGUE</x:v>
      </x:c>
      <x:c r="R9" s="9" t="str">
        <x:v>https://masseffect.fandom.com/wiki/Mass_Effect%3A_Andromeda_Guide
https://masseffect.fandom.com/wiki/Epilogue%3A_Home_and_Away</x:v>
      </x:c>
      <x:c r="S9" s="9" t="str">
        <x:v>Spécification à réaliser. Les champs adaptation, gameplay, visual, animation, audio et implementation décrivent le fan game ; ils ne donnent pas des caractéristiques officielles de l’œuvre.</x:v>
      </x:c>
    </x:row>
    <x:row r="10" ht="68" customHeight="1">
      <x:c r="A10" s="19" t="str">
        <x:v>MEA-WRL-EOS</x:v>
      </x:c>
      <x:c r="B10" s="7" t="str">
        <x:v>Eos</x:v>
      </x:c>
      <x:c r="C10" s="15" t="str">
        <x:v>Défini</x:v>
      </x:c>
      <x:c r="D10" s="17" t="str">
        <x:v>Établi</x:v>
      </x:c>
      <x:c r="E10" s="17" t="str">
        <x:v>P1</x:v>
      </x:c>
      <x:c r="F10" s="7" t="str">
        <x:v>Monde désertique à coloniser.</x:v>
      </x:c>
      <x:c r="G10" s="7" t="str">
        <x:v>Régions ouvertes progressivement par restauration ; distinguer radiation, verticalité et zones de colonie.</x:v>
      </x:c>
      <x:c r="H10" s="7" t="str">
        <x:v>Régions ouvertes progressivement par restauration ; distinguer radiation, verticalité et zones de colonie.</x:v>
      </x:c>
      <x:c r="I10" s="7" t="str">
        <x:v>Désert, mesas et installations abandonnées.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mea/worlds/eos ; rattacher les ressources et états cités à cet identifiant. Aucun fichier de jeu créé par ce catalogue.</x:v>
      </x:c>
      <x:c r="M10" s="7" t="str"/>
      <x:c r="N10" s="7" t="str">
        <x:v>Le livrable « Eos » possède une scène ou un scénario de contrôle ; ses règles proposées, ses conditions et ses retours visuels sont vérifiables séparément.</x:v>
      </x:c>
      <x:c r="O10" s="7" t="str"/>
      <x:c r="P10" s="7" t="str">
        <x:v>Eos</x:v>
      </x:c>
      <x:c r="Q10" s="7" t="str">
        <x:v>MEA-SRC-HAZARD, MEA-SRC-LOCATIONS</x:v>
      </x:c>
      <x:c r="R10" s="7" t="str">
        <x:v>https://masseffect.fandom.com/wiki/Hazard
https://masseffect.fandom.com/wiki/Codex_%28Mass_Effect%3A_Andromeda%29/Planets_And_Locations</x:v>
      </x:c>
      <x:c r="S10" s="7" t="str">
        <x:v>Spécification à réaliser. Les champs adaptation, gameplay, visual, animation, audio et implementation décrivent le fan game ; ils ne donnent pas des caractéristiques officielles de l’œuvre.</x:v>
      </x:c>
    </x:row>
    <x:row r="11" ht="68" customHeight="1">
      <x:c r="A11" s="18" t="str">
        <x:v>MEA-WRL-AYA</x:v>
      </x:c>
      <x:c r="B11" s="9" t="str">
        <x:v>Aya</x:v>
      </x:c>
      <x:c r="C11" s="15" t="str">
        <x:v>Défini</x:v>
      </x:c>
      <x:c r="D11" s="16" t="str">
        <x:v>Établi</x:v>
      </x:c>
      <x:c r="E11" s="16" t="str">
        <x:v>P1</x:v>
      </x:c>
      <x:c r="F11" s="9" t="str">
        <x:v>Monde angara protégé.</x:v>
      </x:c>
      <x:c r="G11" s="9" t="str">
        <x:v>Hub social à accès progressif ; climat luxuriant et volcans de fond sans exploration de surface illimitée inventée.</x:v>
      </x:c>
      <x:c r="H11" s="9" t="str">
        <x:v>Hub social à accès progressif ; climat luxuriant et volcans de fond sans exploration de surface illimitée inventée.</x:v>
      </x:c>
      <x:c r="I11" s="9" t="str">
        <x:v>Cascade, marché et ciel chargé.</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mea/worlds/aya ; rattacher les ressources et états cités à cet identifiant. Aucun fichier de jeu créé par ce catalogue.</x:v>
      </x:c>
      <x:c r="M11" s="9" t="str"/>
      <x:c r="N11" s="9" t="str">
        <x:v>Le livrable « Aya » possède une scène ou un scénario de contrôle ; ses règles proposées, ses conditions et ses retours visuels sont vérifiables séparément.</x:v>
      </x:c>
      <x:c r="O11" s="9" t="str"/>
      <x:c r="P11" s="9" t="str">
        <x:v>Aya</x:v>
      </x:c>
      <x:c r="Q11" s="9" t="str">
        <x:v>MEA-SRC-LOCATIONS</x:v>
      </x:c>
      <x:c r="R11" s="9" t="str">
        <x:v>https://masseffect.fandom.com/wiki/Codex_%28Mass_Effect%3A_Andromeda%29/Planets_And_Locations</x:v>
      </x:c>
      <x:c r="S11" s="9" t="str">
        <x:v>Spécification à réaliser. Les champs adaptation, gameplay, visual, animation, audio et implementation décrivent le fan game ; ils ne donnent pas des caractéristiques officielles de l’œuvre.</x:v>
      </x:c>
    </x:row>
    <x:row r="12" ht="68" customHeight="1">
      <x:c r="A12" s="19" t="str">
        <x:v>MEA-WRL-VOELD</x:v>
      </x:c>
      <x:c r="B12" s="7" t="str">
        <x:v>Voeld</x:v>
      </x:c>
      <x:c r="C12" s="15" t="str">
        <x:v>Défini</x:v>
      </x:c>
      <x:c r="D12" s="17" t="str">
        <x:v>Établi</x:v>
      </x:c>
      <x:c r="E12" s="17" t="str">
        <x:v>P1</x:v>
      </x:c>
      <x:c r="F12" s="7" t="str">
        <x:v>Monde froid d’Heleus.</x:v>
      </x:c>
      <x:c r="G12" s="7" t="str">
        <x:v>Carte neigeuse avec relais de chaleur, résistance, kett et caveau ; gestion de froid visible.</x:v>
      </x:c>
      <x:c r="H12" s="7" t="str">
        <x:v>Carte neigeuse avec relais de chaleur, résistance, kett et caveau ; gestion de froid visible.</x:v>
      </x:c>
      <x:c r="I12" s="7" t="str">
        <x:v>Glace, falaises et lumière pâle.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mea/worlds/voeld ; rattacher les ressources et états cités à cet identifiant. Aucun fichier de jeu créé par ce catalogue.</x:v>
      </x:c>
      <x:c r="M12" s="7" t="str"/>
      <x:c r="N12" s="7" t="str">
        <x:v>Le livrable « Voeld » possède une scène ou un scénario de contrôle ; ses règles proposées, ses conditions et ses retours visuels sont vérifiables séparément.</x:v>
      </x:c>
      <x:c r="O12" s="7" t="str"/>
      <x:c r="P12" s="7" t="str">
        <x:v>Voeld</x:v>
      </x:c>
      <x:c r="Q12" s="7" t="str">
        <x:v>MEA-SRC-HAZARD, MEA-SRC-LOCATIONS</x:v>
      </x:c>
      <x:c r="R12" s="7" t="str">
        <x:v>https://masseffect.fandom.com/wiki/Hazard
https://masseffect.fandom.com/wiki/Codex_%28Mass_Effect%3A_Andromeda%29/Planets_And_Locations</x:v>
      </x:c>
      <x:c r="S12" s="7" t="str">
        <x:v>Spécification à réaliser. Les champs adaptation, gameplay, visual, animation, audio et implementation décrivent le fan game ; ils ne donnent pas des caractéristiques officielles de l’œuvre.</x:v>
      </x:c>
    </x:row>
    <x:row r="13" ht="68" customHeight="1">
      <x:c r="A13" s="18" t="str">
        <x:v>MEA-WRL-HAVARL</x:v>
      </x:c>
      <x:c r="B13" s="9" t="str">
        <x:v>Havarl</x:v>
      </x:c>
      <x:c r="C13" s="15" t="str">
        <x:v>Défini</x:v>
      </x:c>
      <x:c r="D13" s="16" t="str">
        <x:v>Établi</x:v>
      </x:c>
      <x:c r="E13" s="16" t="str">
        <x:v>P1</x:v>
      </x:c>
      <x:c r="F13" s="9" t="str">
        <x:v>Monde de jungle angara.</x:v>
      </x:c>
      <x:c r="G13" s="9" t="str">
        <x:v>Densité végétale et ruines verticales ; ne pas inventer une jauge de poison ambiant générale.</x:v>
      </x:c>
      <x:c r="H13" s="9" t="str">
        <x:v>Densité végétale et ruines verticales ; ne pas inventer une jauge de poison ambiant générale.</x:v>
      </x:c>
      <x:c r="I13" s="9" t="str">
        <x:v>Jungle lumineuse et terrasses reliquates.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mea/worlds/havarl ; rattacher les ressources et états cités à cet identifiant. Aucun fichier de jeu créé par ce catalogue.</x:v>
      </x:c>
      <x:c r="M13" s="9" t="str"/>
      <x:c r="N13" s="9" t="str">
        <x:v>Le livrable « Havarl » possède une scène ou un scénario de contrôle ; ses règles proposées, ses conditions et ses retours visuels sont vérifiables séparément.</x:v>
      </x:c>
      <x:c r="O13" s="9" t="str"/>
      <x:c r="P13" s="9" t="str">
        <x:v>Havarl</x:v>
      </x:c>
      <x:c r="Q13" s="9" t="str">
        <x:v>MEA-SRC-HAZARD, MEA-SRC-LOCATIONS</x:v>
      </x:c>
      <x:c r="R13" s="9" t="str">
        <x:v>https://masseffect.fandom.com/wiki/Hazard
https://masseffect.fandom.com/wiki/Codex_%28Mass_Effect%3A_Andromeda%29/Planets_And_Locations</x:v>
      </x:c>
      <x:c r="S13" s="9" t="str">
        <x:v>Spécification à réaliser. Les champs adaptation, gameplay, visual, animation, audio et implementation décrivent le fan game ; ils ne donnent pas des caractéristiques officielles de l’œuvre.</x:v>
      </x:c>
    </x:row>
    <x:row r="14" ht="68" customHeight="1">
      <x:c r="A14" s="19" t="str">
        <x:v>MEA-WRL-KADARA</x:v>
      </x:c>
      <x:c r="B14" s="7" t="str">
        <x:v>Kadara</x:v>
      </x:c>
      <x:c r="C14" s="15" t="str">
        <x:v>Défini</x:v>
      </x:c>
      <x:c r="D14" s="17" t="str">
        <x:v>Établi</x:v>
      </x:c>
      <x:c r="E14" s="17" t="str">
        <x:v>P1</x:v>
      </x:c>
      <x:c r="F14" s="7" t="str">
        <x:v>Monde d’exilés et d’angara.</x:v>
      </x:c>
      <x:c r="G14" s="7" t="str">
        <x:v>Port et badlands reliés par transit ; eau toxique localisée, pas danger global de l’air.</x:v>
      </x:c>
      <x:c r="H14" s="7" t="str">
        <x:v>Port et badlands reliés par transit ; eau toxique localisée, pas danger global de l’air.</x:v>
      </x:c>
      <x:c r="I14" s="7" t="str">
        <x:v>Roche colorée, bassins et constructions disparates.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mea/worlds/kadara ; rattacher les ressources et états cités à cet identifiant. Aucun fichier de jeu créé par ce catalogue.</x:v>
      </x:c>
      <x:c r="M14" s="7" t="str"/>
      <x:c r="N14" s="7" t="str">
        <x:v>Le livrable « Kadara » possède une scène ou un scénario de contrôle ; ses règles proposées, ses conditions et ses retours visuels sont vérifiables séparément.</x:v>
      </x:c>
      <x:c r="O14" s="7" t="str"/>
      <x:c r="P14" s="7" t="str">
        <x:v>Kadara</x:v>
      </x:c>
      <x:c r="Q14" s="7" t="str">
        <x:v>MEA-SRC-HAZARD, MEA-SRC-LOCATIONS</x:v>
      </x:c>
      <x:c r="R14" s="7" t="str">
        <x:v>https://masseffect.fandom.com/wiki/Hazard
https://masseffect.fandom.com/wiki/Codex_%28Mass_Effect%3A_Andromeda%29/Planets_And_Locations</x:v>
      </x:c>
      <x:c r="S14" s="7" t="str">
        <x:v>Spécification à réaliser. Les champs adaptation, gameplay, visual, animation, audio et implementation décrivent le fan game ; ils ne donnent pas des caractéristiques officielles de l’œuvre.</x:v>
      </x:c>
    </x:row>
    <x:row r="15" ht="68" customHeight="1">
      <x:c r="A15" s="18" t="str">
        <x:v>MEA-WRL-ELAADEN</x:v>
      </x:c>
      <x:c r="B15" s="9" t="str">
        <x:v>Elaaden</x:v>
      </x:c>
      <x:c r="C15" s="15" t="str">
        <x:v>Défini</x:v>
      </x:c>
      <x:c r="D15" s="16" t="str">
        <x:v>Établi</x:v>
      </x:c>
      <x:c r="E15" s="16" t="str">
        <x:v>P1</x:v>
      </x:c>
      <x:c r="F15" s="9" t="str">
        <x:v>Lune désertique des krogans.</x:v>
      </x:c>
      <x:c r="G15" s="9" t="str">
        <x:v>Dunes, épave, New Tuchanka et abris thermiques ; chaleur dépend de l’exposition, avec indicateurs accessibles.</x:v>
      </x:c>
      <x:c r="H15" s="9" t="str">
        <x:v>Dunes, épave, New Tuchanka et abris thermiques ; chaleur dépend de l’exposition, avec indicateurs accessibles.</x:v>
      </x:c>
      <x:c r="I15" s="9" t="str">
        <x:v>Sable clair, grand corps céleste et épave.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mea/worlds/elaaden ; rattacher les ressources et états cités à cet identifiant. Aucun fichier de jeu créé par ce catalogue.</x:v>
      </x:c>
      <x:c r="M15" s="9" t="str"/>
      <x:c r="N15" s="9" t="str">
        <x:v>Le livrable « Elaaden » possède une scène ou un scénario de contrôle ; ses règles proposées, ses conditions et ses retours visuels sont vérifiables séparément.</x:v>
      </x:c>
      <x:c r="O15" s="9" t="str"/>
      <x:c r="P15" s="9" t="str">
        <x:v>Elaaden</x:v>
      </x:c>
      <x:c r="Q15" s="9" t="str">
        <x:v>MEA-SRC-HAZARD, MEA-SRC-LOCATIONS</x:v>
      </x:c>
      <x:c r="R15" s="9" t="str">
        <x:v>https://masseffect.fandom.com/wiki/Hazard
https://masseffect.fandom.com/wiki/Codex_%28Mass_Effect%3A_Andromeda%29/Planets_And_Locations</x:v>
      </x:c>
      <x:c r="S15" s="9" t="str">
        <x:v>Spécification à réaliser. Les champs adaptation, gameplay, visual, animation, audio et implementation décrivent le fan game ; ils ne donnent pas des caractéristiques officielles de l’œuvre.</x:v>
      </x:c>
    </x:row>
    <x:row r="16" ht="68" customHeight="1">
      <x:c r="A16" s="19" t="str">
        <x:v>MEA-WRL-H047C</x:v>
      </x:c>
      <x:c r="B16" s="7" t="str">
        <x:v>H-047c</x:v>
      </x:c>
      <x:c r="C16" s="15" t="str">
        <x:v>Défini</x:v>
      </x:c>
      <x:c r="D16" s="17" t="str">
        <x:v>Établi</x:v>
      </x:c>
      <x:c r="E16" s="17" t="str">
        <x:v>P1</x:v>
      </x:c>
      <x:c r="F16" s="7" t="str">
        <x:v>Vestiges d’un monde détruit.</x:v>
      </x:c>
      <x:c r="G16" s="7" t="str">
        <x:v>Nomad entre dômes pressurisés ; entrées/sorties séparées pour éviter marche dans le vide.</x:v>
      </x:c>
      <x:c r="H16" s="7" t="str">
        <x:v>Nomad entre dômes pressurisés ; entrées/sorties séparées pour éviter marche dans le vide.</x:v>
      </x:c>
      <x:c r="I16" s="7" t="str">
        <x:v>Fragments rocheux, étoiles et habitats sous dôme.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mea/worlds/h047c ; rattacher les ressources et états cités à cet identifiant. Aucun fichier de jeu créé par ce catalogue.</x:v>
      </x:c>
      <x:c r="M16" s="7" t="str"/>
      <x:c r="N16" s="7" t="str">
        <x:v>Le livrable « H-047c » possède une scène ou un scénario de contrôle ; ses règles proposées, ses conditions et ses retours visuels sont vérifiables séparément.</x:v>
      </x:c>
      <x:c r="O16" s="7" t="str"/>
      <x:c r="P16" s="7" t="str">
        <x:v>H-047c</x:v>
      </x:c>
      <x:c r="Q16" s="7" t="str">
        <x:v>MEA-SRC-HAZARD, MEA-SRC-LOCATIONS</x:v>
      </x:c>
      <x:c r="R16" s="7" t="str">
        <x:v>https://masseffect.fandom.com/wiki/Hazard
https://masseffect.fandom.com/wiki/Codex_%28Mass_Effect%3A_Andromeda%29/Planets_And_Locations</x:v>
      </x:c>
      <x:c r="S16" s="7" t="str">
        <x:v>Spécification à réaliser. Les champs adaptation, gameplay, visual, animation, audio et implementation décrivent le fan game ; ils ne donnent pas des caractéristiques officielles de l’œuvre.</x:v>
      </x:c>
    </x:row>
    <x:row r="17" ht="68" customHeight="1">
      <x:c r="A17" s="18" t="str">
        <x:v>MEA-WRL-KHI-TASIRA</x:v>
      </x:c>
      <x:c r="B17" s="9" t="str">
        <x:v>Khi Tasira</x:v>
      </x:c>
      <x:c r="C17" s="15" t="str">
        <x:v>Défini</x:v>
      </x:c>
      <x:c r="D17" s="16" t="str">
        <x:v>Établi</x:v>
      </x:c>
      <x:c r="E17" s="16" t="str">
        <x:v>P1</x:v>
      </x:c>
      <x:c r="F17" s="9" t="str">
        <x:v>Site reliquat de la recherche de Méridiane.</x:v>
      </x:c>
      <x:c r="G17" s="9" t="str">
        <x:v>Immense ville technique à secteurs d’énergie ; ne pas confondre ce site et monde habitable final.</x:v>
      </x:c>
      <x:c r="H17" s="9" t="str">
        <x:v>Immense ville technique à secteurs d’énergie ; ne pas confondre ce site et monde habitable final.</x:v>
      </x:c>
      <x:c r="I17" s="9" t="str">
        <x:v>Tours géométriques et réseaux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mea/worlds/khi-tasira ; rattacher les ressources et états cités à cet identifiant. Aucun fichier de jeu créé par ce catalogue.</x:v>
      </x:c>
      <x:c r="M17" s="9" t="str"/>
      <x:c r="N17" s="9" t="str">
        <x:v>Le livrable « Khi Tasira » possède une scène ou un scénario de contrôle ; ses règles proposées, ses conditions et ses retours visuels sont vérifiables séparément.</x:v>
      </x:c>
      <x:c r="O17" s="9" t="str"/>
      <x:c r="P17" s="9" t="str">
        <x:v>Khi Tasira</x:v>
      </x:c>
      <x:c r="Q17" s="9" t="str">
        <x:v>MEA-SRC-GUIDE</x:v>
      </x:c>
      <x:c r="R17" s="9" t="str">
        <x:v>https://masseffect.fandom.com/wiki/Mass_Effect%3A_Andromeda_Guide</x:v>
      </x:c>
      <x:c r="S17" s="9" t="str">
        <x:v>Spécification à réaliser. Les champs adaptation, gameplay, visual, animation, audio et implementation décrivent le fan game ; ils ne donnent pas des caractéristiques officielles de l’œuvre.</x:v>
      </x:c>
    </x:row>
    <x:row r="18" ht="68" customHeight="1">
      <x:c r="A18" s="19" t="str">
        <x:v>MEA-WRL-MERIDIAN</x:v>
      </x:c>
      <x:c r="B18" s="7" t="str">
        <x:v>Méridiane</x:v>
      </x:c>
      <x:c r="C18" s="15" t="str">
        <x:v>Défini</x:v>
      </x:c>
      <x:c r="D18" s="17" t="str">
        <x:v>Établi</x:v>
      </x:c>
      <x:c r="E18" s="17" t="str">
        <x:v>P1</x:v>
      </x:c>
      <x:c r="F18" s="7" t="str">
        <x:v>Destination du final et de l’épilogue.</x:v>
      </x:c>
      <x:c r="G18" s="7" t="str">
        <x:v>Noyau de réseau puis paysage intérieur habitable ; carte de Port Meridian distincte du champ de bataille.</x:v>
      </x:c>
      <x:c r="H18" s="7" t="str">
        <x:v>Noyau de réseau puis paysage intérieur habitable ; carte de Port Meridian distincte du champ de bataille.</x:v>
      </x:c>
      <x:c r="I18" s="7" t="str">
        <x:v>Sphère, ciel intérieur et végétation.</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mea/worlds/meridian ; rattacher les ressources et états cités à cet identifiant. Aucun fichier de jeu créé par ce catalogue.</x:v>
      </x:c>
      <x:c r="M18" s="7" t="str"/>
      <x:c r="N18" s="7" t="str">
        <x:v>Le livrable « Méridiane » possède une scène ou un scénario de contrôle ; ses règles proposées, ses conditions et ses retours visuels sont vérifiables séparément.</x:v>
      </x:c>
      <x:c r="O18" s="7" t="str"/>
      <x:c r="P18" s="7" t="str">
        <x:v>Méridiane</x:v>
      </x:c>
      <x:c r="Q18" s="7" t="str">
        <x:v>MEA-SRC-MERIDIAN, MEA-SRC-EPILOGUE</x:v>
      </x:c>
      <x:c r="R18" s="7" t="str">
        <x:v>https://masseffect.fandom.com/wiki/Meridian%3A_The_Way_Home
https://masseffect.fandom.com/wiki/Epilogue%3A_Home_and_Away</x:v>
      </x:c>
      <x:c r="S18" s="7" t="str">
        <x:v>Spécification à réaliser. Les champs adaptation, gameplay, visual, animation, audio et implementation décrivent le fan game ; ils ne donnent pas des caractéristiques officielles de l’œuvre.</x:v>
      </x:c>
    </x:row>
    <x:row r="19" ht="68" customHeight="1">
      <x:c r="A19" s="18" t="str">
        <x:v>MEA-WRL-PAS10</x:v>
      </x:c>
      <x:c r="B19" s="9" t="str">
        <x:v>Pas-10</x:v>
      </x:c>
      <x:c r="C19" s="15" t="str">
        <x:v>Défini</x:v>
      </x:c>
      <x:c r="D19" s="16" t="str">
        <x:v>Établi</x:v>
      </x:c>
      <x:c r="E19" s="16" t="str">
        <x:v>P1</x:v>
      </x:c>
      <x:c r="F19" s="9" t="str">
        <x:v>Monde volcanique de la mission de Peebee.</x:v>
      </x:c>
      <x:c r="G19" s="9" t="str">
        <x:v>Carte linéaire de loyauté avec Observers alliés, lave et retour par navette ; exploration ouverte non promise.</x:v>
      </x:c>
      <x:c r="H19" s="9" t="str">
        <x:v>Carte linéaire de loyauté avec Observers alliés, lave et retour par navette ; exploration ouverte non promise.</x:v>
      </x:c>
      <x:c r="I19" s="9" t="str">
        <x:v>Roche rouge et ruines au-dessus de lave.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mea/worlds/pas10 ; rattacher les ressources et états cités à cet identifiant. Aucun fichier de jeu créé par ce catalogue.</x:v>
      </x:c>
      <x:c r="M19" s="9" t="str"/>
      <x:c r="N19" s="9" t="str">
        <x:v>Le livrable « Pas-10 » possède une scène ou un scénario de contrôle ; ses règles proposées, ses conditions et ses retours visuels sont vérifiables séparément.</x:v>
      </x:c>
      <x:c r="O19" s="9" t="str"/>
      <x:c r="P19" s="9" t="str">
        <x:v>Pas-10</x:v>
      </x:c>
      <x:c r="Q19" s="9" t="str">
        <x:v>MEA-SRC-PEEBEE-LOYAL</x:v>
      </x:c>
      <x:c r="R19" s="9" t="str">
        <x:v>https://masseffect.fandom.com/wiki/Peebee%3A_A_Mysterious_Remnant_Signal</x:v>
      </x:c>
      <x:c r="S19" s="9" t="str">
        <x:v>Spécification à réaliser. Les champs adaptation, gameplay, visual, animation, audio et implementation décrivent le fan game ; ils ne donnent pas des caractéristiques officielles de l’œuvre.</x:v>
      </x:c>
    </x:row>
    <x:row r="20" ht="68" customHeight="1">
      <x:c r="A20" s="19" t="str">
        <x:v>MEA-WRL-MOONYARD</x:v>
      </x:c>
      <x:c r="B20" s="7" t="str">
        <x:v>Chantier lunaire de Drack</x:v>
      </x:c>
      <x:c r="C20" s="15" t="str">
        <x:v>Défini</x:v>
      </x:c>
      <x:c r="D20" s="17" t="str">
        <x:v>Établi</x:v>
      </x:c>
      <x:c r="E20" s="17" t="str">
        <x:v>P1</x:v>
      </x:c>
      <x:c r="F20" s="7" t="str">
        <x:v>Le transport volé mène à une lune d’Elaaden.</x:v>
      </x:c>
      <x:c r="G20" s="7" t="str">
        <x:v>Zone d’abordage, plateformes et serre de transport ; géographie originale locale annoncée.</x:v>
      </x:c>
      <x:c r="H20" s="7" t="str">
        <x:v>Zone d’abordage, plateformes et serre de transport ; géographie originale locale annoncée.</x:v>
      </x:c>
      <x:c r="I20" s="7" t="str">
        <x:v>Chantier orbital bas et containers.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mea/worlds/moonyard ; rattacher les ressources et états cités à cet identifiant. Aucun fichier de jeu créé par ce catalogue.</x:v>
      </x:c>
      <x:c r="M20" s="7" t="str"/>
      <x:c r="N20" s="7" t="str">
        <x:v>Le livrable « Chantier lunaire de Drack » possède une scène ou un scénario de contrôle ; ses règles proposées, ses conditions et ses retours visuels sont vérifiables séparément.</x:v>
      </x:c>
      <x:c r="O20" s="7" t="str"/>
      <x:c r="P20" s="7" t="str">
        <x:v>Chantier lunaire de Drack</x:v>
      </x:c>
      <x:c r="Q20" s="7" t="str">
        <x:v>MEA-SRC-DRACK-LOYAL</x:v>
      </x:c>
      <x:c r="R20" s="7" t="str">
        <x:v>https://masseffect.fandom.com/wiki/Nakmor_Drack%3A_A_Future_for_our_People</x:v>
      </x:c>
      <x:c r="S20" s="7" t="str">
        <x:v>Spécification à réaliser. Les champs adaptation, gameplay, visual, animation, audio et implementation décrivent le fan game ; ils ne donnent pas des caractéristiques officielles de l’œuvre.</x:v>
      </x:c>
    </x:row>
    <x:row r="21" ht="68" customHeight="1">
      <x:c r="A21" s="18" t="str">
        <x:v>MEA-WRL-LEUSINIA</x:v>
      </x:c>
      <x:c r="B21" s="9" t="str">
        <x:v>Leusinia</x:v>
      </x:c>
      <x:c r="C21" s="15" t="str">
        <x:v>Défini</x:v>
      </x:c>
      <x:c r="D21" s="16" t="str">
        <x:v>Établi</x:v>
      </x:c>
      <x:c r="E21" s="16" t="str">
        <x:v>P1</x:v>
      </x:c>
      <x:c r="F21" s="9" t="str">
        <x:v>Arche asari.</x:v>
      </x:c>
      <x:c r="G21" s="9" t="str">
        <x:v>Carte intérieure de mission avec champs et salles de survie ; roster Cora obligatoire selon mission.</x:v>
      </x:c>
      <x:c r="H21" s="9" t="str">
        <x:v>Carte intérieure de mission avec champs et salles de survie ; roster Cora obligatoire selon mission.</x:v>
      </x:c>
      <x:c r="I21" s="9" t="str">
        <x:v>Architecture d’arche et panneaux asari.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mea/worlds/leusinia ; rattacher les ressources et états cités à cet identifiant. Aucun fichier de jeu créé par ce catalogue.</x:v>
      </x:c>
      <x:c r="M21" s="9" t="str"/>
      <x:c r="N21" s="9" t="str">
        <x:v>Le livrable « Leusinia » possède une scène ou un scénario de contrôle ; ses règles proposées, ses conditions et ses retours visuels sont vérifiables séparément.</x:v>
      </x:c>
      <x:c r="O21" s="9" t="str"/>
      <x:c r="P21" s="9" t="str">
        <x:v>Leusinia</x:v>
      </x:c>
      <x:c r="Q21" s="9" t="str">
        <x:v>MEA-SRC-CORA-LOYAL</x:v>
      </x:c>
      <x:c r="R21" s="9" t="str">
        <x:v>https://masseffect.fandom.com/wiki/Cora_Harper%3A_At_Duty%27s_Edge</x:v>
      </x:c>
      <x:c r="S21" s="9" t="str">
        <x:v>Spécification à réaliser. Les champs adaptation, gameplay, visual, animation, audio et implementation décrivent le fan game ; ils ne donnent pas des caractéristiques officielles de l’œuvre.</x:v>
      </x:c>
    </x:row>
    <x:row r="22" ht="68" customHeight="1">
      <x:c r="A22" s="19" t="str">
        <x:v>MEA-WRL-NATANUS</x:v>
      </x:c>
      <x:c r="B22" s="7" t="str">
        <x:v>Natanus</x:v>
      </x:c>
      <x:c r="C22" s="15" t="str">
        <x:v>Défini</x:v>
      </x:c>
      <x:c r="D22" s="17" t="str">
        <x:v>Établi</x:v>
      </x:c>
      <x:c r="E22" s="17" t="str">
        <x:v>P1</x:v>
      </x:c>
      <x:c r="F22" s="7" t="str">
        <x:v>Arche turienne recherchée.</x:v>
      </x:c>
      <x:c r="G22" s="7" t="str">
        <x:v>Parcours d’enquête et mémoire de Macen ; scènes d’Avitus dans zones restreintes.</x:v>
      </x:c>
      <x:c r="H22" s="7" t="str">
        <x:v>Parcours d’enquête et mémoire de Macen ; scènes d’Avitus dans zones restreintes.</x:v>
      </x:c>
      <x:c r="I22" s="7" t="str">
        <x:v>Couloirs endommagés et dispositifs turiens.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mea/worlds/natanus ; rattacher les ressources et états cités à cet identifiant. Aucun fichier de jeu créé par ce catalogue.</x:v>
      </x:c>
      <x:c r="M22" s="7" t="str"/>
      <x:c r="N22" s="7" t="str">
        <x:v>Le livrable « Natanus » possède une scène ou un scénario de contrôle ; ses règles proposées, ses conditions et ses retours visuels sont vérifiables séparément.</x:v>
      </x:c>
      <x:c r="O22" s="7" t="str"/>
      <x:c r="P22" s="7" t="str">
        <x:v>Natanus</x:v>
      </x:c>
      <x:c r="Q22" s="7" t="str">
        <x:v>MEA-SRC-MISSING-ARKS</x:v>
      </x:c>
      <x:c r="R22" s="7" t="str">
        <x:v>https://masseffect.fandom.com/wiki/Missing_Arks</x:v>
      </x:c>
      <x:c r="S22" s="7" t="str">
        <x:v>Spécification à réaliser. Les champs adaptation, gameplay, visual, animation, audio et implementation décrivent le fan game ; ils ne donnent pas des caractéristiques officielles de l’œuvre.</x:v>
      </x:c>
    </x:row>
    <x:row r="23" ht="68" customHeight="1">
      <x:c r="A23" s="18" t="str">
        <x:v>MEA-WRL-PAARCHERO</x:v>
      </x:c>
      <x:c r="B23" s="9" t="str">
        <x:v>Paarchero</x:v>
      </x:c>
      <x:c r="C23" s="15" t="str">
        <x:v>Défini</x:v>
      </x:c>
      <x:c r="D23" s="16" t="str">
        <x:v>Établi</x:v>
      </x:c>
      <x:c r="E23" s="16" t="str">
        <x:v>P1</x:v>
      </x:c>
      <x:c r="F23" s="9" t="str">
        <x:v>Arche galarienne de la traque de l’Archonte.</x:v>
      </x:c>
      <x:c r="G23" s="9" t="str">
        <x:v>Séparer portions d’arche et vaisseau kett où se déroule l’opération ; pas de téléportation de pont sans transition.</x:v>
      </x:c>
      <x:c r="H23" s="9" t="str">
        <x:v>Séparer portions d’arche et vaisseau kett où se déroule l’opération ; pas de téléportation de pont sans transition.</x:v>
      </x:c>
      <x:c r="I23" s="9" t="str">
        <x:v>Pods galariens et structure d’arche.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mea/worlds/paarchero ; rattacher les ressources et états cités à cet identifiant. Aucun fichier de jeu créé par ce catalogue.</x:v>
      </x:c>
      <x:c r="M23" s="9" t="str"/>
      <x:c r="N23" s="9" t="str">
        <x:v>Le livrable « Paarchero » possède une scène ou un scénario de contrôle ; ses règles proposées, ses conditions et ses retours visuels sont vérifiables séparément.</x:v>
      </x:c>
      <x:c r="O23" s="9" t="str"/>
      <x:c r="P23" s="9" t="str">
        <x:v>Paarchero</x:v>
      </x:c>
      <x:c r="Q23" s="9" t="str">
        <x:v>MEA-SRC-ARCHON</x:v>
      </x:c>
      <x:c r="R23" s="9" t="str">
        <x:v>https://masseffect.fandom.com/wiki/Hunting_the_Archon</x:v>
      </x:c>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12" priority="1" operator="equal">
      <x:formula>"À vérifier"</x:formula>
    </x:cfRule>
    <x:cfRule type="cellIs" dxfId="13" priority="2" operator="equal">
      <x:formula>"Extrapolation"</x:formula>
    </x:cfRule>
  </x:conditionalFormatting>
  <x:conditionalFormatting sqref="C7:C23">
    <x:cfRule type="cellIs" dxfId="14" priority="3" operator="equal">
      <x:formula>"Validé"</x:formula>
    </x:cfRule>
  </x:conditionalFormatting>
  <x:conditionalFormatting sqref="E7:E23">
    <x:cfRule type="cellIs" dxfId="15"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bae6dd622c144ab8"/>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MEA-ZON-TEMPEST-BRIDGE</x:v>
      </x:c>
      <x:c r="B7" s="9" t="str">
        <x:v>Tempest — passerelle</x:v>
      </x:c>
      <x:c r="C7" s="15" t="str">
        <x:v>Défini</x:v>
      </x:c>
      <x:c r="D7" s="16" t="str">
        <x:v>Établi</x:v>
      </x:c>
      <x:c r="E7" s="16" t="str">
        <x:v>P1</x:v>
      </x:c>
      <x:c r="F7" s="9" t="str">
        <x:v>Lieu du pilotage et de Suvi.</x:v>
      </x:c>
      <x:c r="G7" s="9" t="str">
        <x:v>Carte galactique, conversation et départ sont interactions distinctes ; fenêtres donnent orientation stable.</x:v>
      </x:c>
      <x:c r="H7" s="9" t="str">
        <x:v>Carte galactique, conversation et départ sont interactions distinctes ; fenêtres donnent orientation stable.</x:v>
      </x:c>
      <x:c r="I7" s="9" t="str">
        <x:v>Grand cockpit vitré et consoles.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mea/zones/tempest-bridge ; rattacher les ressources et états cités à cet identifiant. Aucun fichier de jeu créé par ce catalogue.</x:v>
      </x:c>
      <x:c r="M7" s="9" t="str"/>
      <x:c r="N7" s="9" t="str">
        <x:v>Le livrable « Tempest — passerelle » possède une scène ou un scénario de contrôle ; ses règles proposées, ses conditions et ses retours visuels sont vérifiables séparément.</x:v>
      </x:c>
      <x:c r="O7" s="9" t="str"/>
      <x:c r="P7" s="9" t="str">
        <x:v>Tempest — passerelle</x:v>
      </x:c>
      <x:c r="Q7" s="9" t="str">
        <x:v>MEA-SRC-CHAR</x:v>
      </x:c>
      <x:c r="R7" s="9" t="str">
        <x:v>https://masseffect.fandom.com/wiki/Characters/Mass_Effect%3A_Andromeda</x:v>
      </x:c>
      <x:c r="S7" s="9" t="str">
        <x:v>Spécification à réaliser. Les champs adaptation, gameplay, visual, animation, audio et implementation décrivent le fan game ; ils ne donnent pas des caractéristiques officielles de l’œuvre.</x:v>
      </x:c>
    </x:row>
    <x:row r="8" ht="68" customHeight="1">
      <x:c r="A8" s="19" t="str">
        <x:v>MEA-ZON-TEMPEST-LAB</x:v>
      </x:c>
      <x:c r="B8" s="7" t="str">
        <x:v>Tempest — laboratoire et recherche</x:v>
      </x:c>
      <x:c r="C8" s="15" t="str">
        <x:v>Défini</x:v>
      </x:c>
      <x:c r="D8" s="17" t="str">
        <x:v>Établi</x:v>
      </x:c>
      <x:c r="E8" s="17" t="str">
        <x:v>P1</x:v>
      </x:c>
      <x:c r="F8" s="7" t="str">
        <x:v>Zone de recherche et fabrication.</x:v>
      </x:c>
      <x:c r="G8" s="7" t="str">
        <x:v>Écran de recette, scanner et dialogue scientifique séparés ; pas de consommation en lisant un plan.</x:v>
      </x:c>
      <x:c r="H8" s="7" t="str">
        <x:v>Écran de recette, scanner et dialogue scientifique séparés ; pas de consommation en lisant un plan.</x:v>
      </x:c>
      <x:c r="I8" s="7" t="str">
        <x:v>Bancs blancs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mea/zones/tempest-lab ; rattacher les ressources et états cités à cet identifiant. Aucun fichier de jeu créé par ce catalogue.</x:v>
      </x:c>
      <x:c r="M8" s="7" t="str"/>
      <x:c r="N8" s="7" t="str">
        <x:v>Le livrable « Tempest — laboratoire et recherche » possède une scène ou un scénario de contrôle ; ses règles proposées, ses conditions et ses retours visuels sont vérifiables séparément.</x:v>
      </x:c>
      <x:c r="O8" s="7" t="str"/>
      <x:c r="P8" s="7" t="str">
        <x:v>Tempest — laboratoire et recherche</x:v>
      </x:c>
      <x:c r="Q8" s="7" t="str">
        <x:v>MEA-SRC-RESEARCH</x:v>
      </x:c>
      <x:c r="R8" s="7" t="str">
        <x:v>https://masseffect.fandom.com/wiki/Research_Center_%28Mass_Effect%3A_Andromeda%29</x:v>
      </x:c>
      <x:c r="S8" s="7" t="str">
        <x:v>Spécification à réaliser. Les champs adaptation, gameplay, visual, animation, audio et implementation décrivent le fan game ; ils ne donnent pas des caractéristiques officielles de l’œuvre.</x:v>
      </x:c>
    </x:row>
    <x:row r="9" ht="68" customHeight="1">
      <x:c r="A9" s="18" t="str">
        <x:v>MEA-ZON-TEMPEST-ENGINE</x:v>
      </x:c>
      <x:c r="B9" s="9" t="str">
        <x:v>Tempest — moteur et atelier</x:v>
      </x:c>
      <x:c r="C9" s="15" t="str">
        <x:v>Défini</x:v>
      </x:c>
      <x:c r="D9" s="16" t="str">
        <x:v>Établi</x:v>
      </x:c>
      <x:c r="E9" s="16" t="str">
        <x:v>P1</x:v>
      </x:c>
      <x:c r="F9" s="9" t="str">
        <x:v>Lieu de Gil.</x:v>
      </x:c>
      <x:c r="G9" s="9" t="str">
        <x:v>Atelier et mini-scènes personnelles ; machines décoratives ne déclenchent pas un menu d’amélioration inexistant.</x:v>
      </x:c>
      <x:c r="H9" s="9" t="str">
        <x:v>Atelier et mini-scènes personnelles ; machines décoratives ne déclenchent pas un menu d’amélioration inexistant.</x:v>
      </x:c>
      <x:c r="I9" s="9" t="str">
        <x:v>Générateur et outils.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mea/zones/tempest-engine ; rattacher les ressources et états cités à cet identifiant. Aucun fichier de jeu créé par ce catalogue.</x:v>
      </x:c>
      <x:c r="M9" s="9" t="str"/>
      <x:c r="N9" s="9" t="str">
        <x:v>Le livrable « Tempest — moteur et atelier » possède une scène ou un scénario de contrôle ; ses règles proposées, ses conditions et ses retours visuels sont vérifiables séparément.</x:v>
      </x:c>
      <x:c r="O9" s="9" t="str"/>
      <x:c r="P9" s="9" t="str">
        <x:v>Tempest — moteur et atelier</x:v>
      </x:c>
      <x:c r="Q9" s="9" t="str">
        <x:v>MEA-SRC-CHAR</x:v>
      </x:c>
      <x:c r="R9" s="9" t="str">
        <x:v>https://masseffect.fandom.com/wiki/Characters/Mass_Effect%3A_Andromeda</x:v>
      </x:c>
      <x:c r="S9" s="9" t="str">
        <x:v>Spécification à réaliser. Les champs adaptation, gameplay, visual, animation, audio et implementation décrivent le fan game ; ils ne donnent pas des caractéristiques officielles de l’œuvre.</x:v>
      </x:c>
    </x:row>
    <x:row r="10" ht="68" customHeight="1">
      <x:c r="A10" s="19" t="str">
        <x:v>MEA-ZON-TEMPEST-CREW</x:v>
      </x:c>
      <x:c r="B10" s="7" t="str">
        <x:v>Tempest — quartiers</x:v>
      </x:c>
      <x:c r="C10" s="15" t="str">
        <x:v>Défini</x:v>
      </x:c>
      <x:c r="D10" s="17" t="str">
        <x:v>Établi</x:v>
      </x:c>
      <x:c r="E10" s="17" t="str">
        <x:v>P1</x:v>
      </x:c>
      <x:c r="F10" s="7" t="str">
        <x:v>Lieu de l’équipage.</x:v>
      </x:c>
      <x:c r="G10" s="7" t="str">
        <x:v>Pièces à états relationnels, nom sur porte et minimap ; conversations verrouillées expliquent besoin de progression.</x:v>
      </x:c>
      <x:c r="H10" s="7" t="str">
        <x:v>Pièces à états relationnels, nom sur porte et minimap ; conversations verrouillées expliquent besoin de progression.</x:v>
      </x:c>
      <x:c r="I10" s="7" t="str">
        <x:v>Cabines, mess et couchettes.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mea/zones/tempest-crew ; rattacher les ressources et états cités à cet identifiant. Aucun fichier de jeu créé par ce catalogue.</x:v>
      </x:c>
      <x:c r="M10" s="7" t="str"/>
      <x:c r="N10" s="7" t="str">
        <x:v>Le livrable « Tempest — quartiers » possède une scène ou un scénario de contrôle ; ses règles proposées, ses conditions et ses retours visuels sont vérifiables séparément.</x:v>
      </x:c>
      <x:c r="O10" s="7" t="str"/>
      <x:c r="P10" s="7" t="str">
        <x:v>Tempest — quartiers</x:v>
      </x:c>
      <x:c r="Q10" s="7" t="str">
        <x:v>MEA-SRC-SQUAD</x:v>
      </x:c>
      <x:c r="R10" s="7" t="str">
        <x:v>https://masseffect.fandom.com/wiki/Squad_Members_Guide_%28Mass_Effect%3A_Andromeda%29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MEA-ZON-TEMPEST-POD</x:v>
      </x:c>
      <x:c r="B11" s="9" t="str">
        <x:v>Tempest — capsule de Peebee</x:v>
      </x:c>
      <x:c r="C11" s="15" t="str">
        <x:v>Défini</x:v>
      </x:c>
      <x:c r="D11" s="16" t="str">
        <x:v>Établi</x:v>
      </x:c>
      <x:c r="E11" s="16" t="str">
        <x:v>P1</x:v>
      </x:c>
      <x:c r="F11" s="9" t="str">
        <x:v>Espace personnel de Peebee.</x:v>
      </x:c>
      <x:c r="G11" s="9" t="str">
        <x:v>Atelier de Poc, rencontre et déclencheur de mission sont actions distinctes ; avertissement avant départ de loyauté proposé.</x:v>
      </x:c>
      <x:c r="H11" s="9" t="str">
        <x:v>Atelier de Poc, rencontre et déclencheur de mission sont actions distinctes ; avertissement avant départ de loyauté proposé.</x:v>
      </x:c>
      <x:c r="I11" s="9" t="str">
        <x:v>Capsule, dessins et composants reliquats.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mea/zones/tempest-pod ; rattacher les ressources et états cités à cet identifiant. Aucun fichier de jeu créé par ce catalogue.</x:v>
      </x:c>
      <x:c r="M11" s="9" t="str"/>
      <x:c r="N11" s="9" t="str">
        <x:v>Le livrable « Tempest — capsule de Peebee » possède une scène ou un scénario de contrôle ; ses règles proposées, ses conditions et ses retours visuels sont vérifiables séparément.</x:v>
      </x:c>
      <x:c r="O11" s="9" t="str"/>
      <x:c r="P11" s="9" t="str">
        <x:v>Tempest — capsule de Peebee</x:v>
      </x:c>
      <x:c r="Q11" s="9" t="str">
        <x:v>MEA-SRC-PEEBEE-LOYAL, MEA-SRC-PEEBEE-POC</x:v>
      </x:c>
      <x:c r="R11" s="9" t="str">
        <x:v>https://masseffect.fandom.com/wiki/Peebee%3A_A_Mysterious_Remnant_Signal
https://masseffect.fandom.com/wiki/Peebee%3A_Reclaiming_Poc</x:v>
      </x:c>
      <x:c r="S11" s="9" t="str">
        <x:v>Spécification à réaliser. Les champs adaptation, gameplay, visual, animation, audio et implementation décrivent le fan game ; ils ne donnent pas des caractéristiques officielles de l’œuvre.</x:v>
      </x:c>
    </x:row>
    <x:row r="12" ht="68" customHeight="1">
      <x:c r="A12" s="19" t="str">
        <x:v>MEA-ZON-HYP-CRYO</x:v>
      </x:c>
      <x:c r="B12" s="7" t="str">
        <x:v>Hyperion — cryostase</x:v>
      </x:c>
      <x:c r="C12" s="15" t="str">
        <x:v>Défini</x:v>
      </x:c>
      <x:c r="D12" s="17" t="str">
        <x:v>Établi</x:v>
      </x:c>
      <x:c r="E12" s="17" t="str">
        <x:v>P1</x:v>
      </x:c>
      <x:c r="F12" s="7" t="str">
        <x:v>Zone du réveil.</x:v>
      </x:c>
      <x:c r="G12" s="7" t="str">
        <x:v>Tutoriel sur allées sûres ; pods en fond ne ressemblent pas à des cibles ouvrables.</x:v>
      </x:c>
      <x:c r="H12" s="7" t="str">
        <x:v>Tutoriel sur allées sûres ; pods en fond ne ressemblent pas à des cibles ouvrables.</x:v>
      </x:c>
      <x:c r="I12" s="7" t="str">
        <x:v>Lignes de capsules et brume froide.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mea/zones/hyp-cryo ; rattacher les ressources et états cités à cet identifiant. Aucun fichier de jeu créé par ce catalogue.</x:v>
      </x:c>
      <x:c r="M12" s="7" t="str"/>
      <x:c r="N12" s="7" t="str">
        <x:v>Le livrable « Hyperion — cryostase » possède une scène ou un scénario de contrôle ; ses règles proposées, ses conditions et ses retours visuels sont vérifiables séparément.</x:v>
      </x:c>
      <x:c r="O12" s="7" t="str"/>
      <x:c r="P12" s="7" t="str">
        <x:v>Hyperion — cryostase</x:v>
      </x:c>
      <x:c r="Q12" s="7" t="str">
        <x:v>MEA-SRC-GUIDE</x:v>
      </x:c>
      <x:c r="R12" s="7" t="str">
        <x:v>https://masseffect.fandom.com/wiki/Mass_Effect%3A_Andromeda_Guide</x:v>
      </x:c>
      <x:c r="S12" s="7" t="str">
        <x:v>Spécification à réaliser. Les champs adaptation, gameplay, visual, animation, audio et implementation décrivent le fan game ; ils ne donnent pas des caractéristiques officielles de l’œuvre.</x:v>
      </x:c>
    </x:row>
    <x:row r="13" ht="68" customHeight="1">
      <x:c r="A13" s="18" t="str">
        <x:v>MEA-ZON-SAM-NODE</x:v>
      </x:c>
      <x:c r="B13" s="9" t="str">
        <x:v>Hyperion — SAM Node</x:v>
      </x:c>
      <x:c r="C13" s="15" t="str">
        <x:v>Défini</x:v>
      </x:c>
      <x:c r="D13" s="16" t="str">
        <x:v>Établi</x:v>
      </x:c>
      <x:c r="E13" s="16" t="str">
        <x:v>P1</x:v>
      </x:c>
      <x:c r="F13" s="9" t="str">
        <x:v>Lieu des souvenirs d’Alec.</x:v>
      </x:c>
      <x:c r="G13" s="9" t="str">
        <x:v>Console principale et archives ; tableau de mémoires connues/à débloquer sans spoilers de contenu.</x:v>
      </x:c>
      <x:c r="H13" s="9" t="str">
        <x:v>Console principale et archives ; tableau de mémoires connues/à débloquer sans spoilers de contenu.</x:v>
      </x:c>
      <x:c r="I13" s="9" t="str">
        <x:v>Salle d’IA bleue et interface familiale.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mea/zones/sam-node ; rattacher les ressources et états cités à cet identifiant. Aucun fichier de jeu créé par ce catalogue.</x:v>
      </x:c>
      <x:c r="M13" s="9" t="str"/>
      <x:c r="N13" s="9" t="str">
        <x:v>Le livrable « Hyperion — SAM Node » possède une scène ou un scénario de contrôle ; ses règles proposées, ses conditions et ses retours visuels sont vérifiables séparément.</x:v>
      </x:c>
      <x:c r="O13" s="9" t="str"/>
      <x:c r="P13" s="9" t="str">
        <x:v>Hyperion — SAM Node</x:v>
      </x:c>
      <x:c r="Q13" s="9" t="str">
        <x:v>MEA-SRC-MISSIONS</x:v>
      </x:c>
      <x:c r="R13" s="9" t="str">
        <x:v>https://masseffect.fandom.com/wiki/Missions_%28Mass_Effect%3A_Andromeda%29</x:v>
      </x:c>
      <x:c r="S13" s="9" t="str">
        <x:v>Spécification à réaliser. Les champs adaptation, gameplay, visual, animation, audio et implementation décrivent le fan game ; ils ne donnent pas des caractéristiques officielles de l’œuvre.</x:v>
      </x:c>
    </x:row>
    <x:row r="14" ht="68" customHeight="1">
      <x:c r="A14" s="19" t="str">
        <x:v>MEA-ZON-NEXUS-OPS</x:v>
      </x:c>
      <x:c r="B14" s="7" t="str">
        <x:v>Nexus — Operations</x:v>
      </x:c>
      <x:c r="C14" s="15" t="str">
        <x:v>Défini</x:v>
      </x:c>
      <x:c r="D14" s="17" t="str">
        <x:v>Établi</x:v>
      </x:c>
      <x:c r="E14" s="17" t="str">
        <x:v>P1</x:v>
      </x:c>
      <x:c r="F14" s="7" t="str">
        <x:v>Centre administratif.</x:v>
      </x:c>
      <x:c r="G14" s="7" t="str">
        <x:v>Quatre responsables et tableau APEX facilement repérables ; dossiers politiques séparés des marchands.</x:v>
      </x:c>
      <x:c r="H14" s="7" t="str">
        <x:v>Quatre responsables et tableau APEX facilement repérables ; dossiers politiques séparés des marchands.</x:v>
      </x:c>
      <x:c r="I14" s="7" t="str">
        <x:v>Bureaux, passerelles et écrans.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mea/zones/nexus-ops ; rattacher les ressources et états cités à cet identifiant. Aucun fichier de jeu créé par ce catalogue.</x:v>
      </x:c>
      <x:c r="M14" s="7" t="str"/>
      <x:c r="N14" s="7" t="str">
        <x:v>Le livrable « Nexus — Operations » possède une scène ou un scénario de contrôle ; ses règles proposées, ses conditions et ses retours visuels sont vérifiables séparément.</x:v>
      </x:c>
      <x:c r="O14" s="7" t="str"/>
      <x:c r="P14" s="7" t="str">
        <x:v>Nexus — Operations</x:v>
      </x:c>
      <x:c r="Q14" s="7" t="str">
        <x:v>MEA-SRC-CHAR</x:v>
      </x:c>
      <x:c r="R14" s="7" t="str">
        <x:v>https://masseffect.fandom.com/wiki/Characters/Mass_Effect%3A_Andromeda</x:v>
      </x:c>
      <x:c r="S14" s="7" t="str">
        <x:v>Spécification à réaliser. Les champs adaptation, gameplay, visual, animation, audio et implementation décrivent le fan game ; ils ne donnent pas des caractéristiques officielles de l’œuvre.</x:v>
      </x:c>
    </x:row>
    <x:row r="15" ht="68" customHeight="1">
      <x:c r="A15" s="18" t="str">
        <x:v>MEA-ZON-NEXUS-COMMON</x:v>
      </x:c>
      <x:c r="B15" s="9" t="str">
        <x:v>Nexus — Common Area</x:v>
      </x:c>
      <x:c r="C15" s="15" t="str">
        <x:v>Défini</x:v>
      </x:c>
      <x:c r="D15" s="16" t="str">
        <x:v>Établi</x:v>
      </x:c>
      <x:c r="E15" s="16" t="str">
        <x:v>P1</x:v>
      </x:c>
      <x:c r="F15" s="9" t="str">
        <x:v>Zone sociale et commerces.</x:v>
      </x:c>
      <x:c r="G15" s="9" t="str">
        <x:v>Bar, magasins et mission markers distincts ; routes libres pour grands sprites krogan.</x:v>
      </x:c>
      <x:c r="H15" s="9" t="str">
        <x:v>Bar, magasins et mission markers distincts ; routes libres pour grands sprites krogan.</x:v>
      </x:c>
      <x:c r="I15" s="9" t="str">
        <x:v>Boutiques, bancs et éclairage chaud.</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mea/zones/nexus-common ; rattacher les ressources et états cités à cet identifiant. Aucun fichier de jeu créé par ce catalogue.</x:v>
      </x:c>
      <x:c r="M15" s="9" t="str"/>
      <x:c r="N15" s="9" t="str">
        <x:v>Le livrable « Nexus — Common Area » possède une scène ou un scénario de contrôle ; ses règles proposées, ses conditions et ses retours visuels sont vérifiables séparément.</x:v>
      </x:c>
      <x:c r="O15" s="9" t="str"/>
      <x:c r="P15" s="9" t="str">
        <x:v>Nexus — Common Area</x:v>
      </x:c>
      <x:c r="Q15" s="9" t="str">
        <x:v>MEA-SRC-LOCATIONS</x:v>
      </x:c>
      <x:c r="R15" s="9" t="str">
        <x:v>https://masseffect.fandom.com/wiki/Codex_%28Mass_Effect%3A_Andromeda%29/Planets_And_Locations</x:v>
      </x:c>
      <x:c r="S15" s="9" t="str">
        <x:v>Spécification à réaliser. Les champs adaptation, gameplay, visual, animation, audio et implementation décrivent le fan game ; ils ne donnent pas des caractéristiques officielles de l’œuvre.</x:v>
      </x:c>
    </x:row>
    <x:row r="16" ht="68" customHeight="1">
      <x:c r="A16" s="19" t="str">
        <x:v>MEA-ZON-NEXUS-MILITIA</x:v>
      </x:c>
      <x:c r="B16" s="7" t="str">
        <x:v>Nexus — bureau de la milice</x:v>
      </x:c>
      <x:c r="C16" s="15" t="str">
        <x:v>Défini</x:v>
      </x:c>
      <x:c r="D16" s="17" t="str">
        <x:v>Établi</x:v>
      </x:c>
      <x:c r="E16" s="17" t="str">
        <x:v>P1</x:v>
      </x:c>
      <x:c r="F16" s="7" t="str">
        <x:v>Lieu d’enquête et sécurité.</x:v>
      </x:c>
      <x:c r="G16" s="7" t="str">
        <x:v>Cellules, Kandros et archives ; interroger un détenu ne déclenche pas jugement sans confirmation.</x:v>
      </x:c>
      <x:c r="H16" s="7" t="str">
        <x:v>Cellules, Kandros et archives ; interroger un détenu ne déclenche pas jugement sans confirmation.</x:v>
      </x:c>
      <x:c r="I16" s="7" t="str">
        <x:v>Barrières et consoles de sécurité.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mea/zones/nexus-militia ; rattacher les ressources et états cités à cet identifiant. Aucun fichier de jeu créé par ce catalogue.</x:v>
      </x:c>
      <x:c r="M16" s="7" t="str"/>
      <x:c r="N16" s="7" t="str">
        <x:v>Le livrable « Nexus — bureau de la milice » possède une scène ou un scénario de contrôle ; ses règles proposées, ses conditions et ses retours visuels sont vérifiables séparément.</x:v>
      </x:c>
      <x:c r="O16" s="7" t="str"/>
      <x:c r="P16" s="7" t="str">
        <x:v>Nexus — bureau de la milice</x:v>
      </x:c>
      <x:c r="Q16" s="7" t="str">
        <x:v>MEA-SRC-MURDER</x:v>
      </x:c>
      <x:c r="R16" s="7" t="str">
        <x:v>https://masseffect.fandom.com/wiki/First_Murderer</x:v>
      </x:c>
      <x:c r="S16" s="7" t="str">
        <x:v>Spécification à réaliser. Les champs adaptation, gameplay, visual, animation, audio et implementation décrivent le fan game ; ils ne donnent pas des caractéristiques officielles de l’œuvre.</x:v>
      </x:c>
    </x:row>
    <x:row r="17" ht="68" customHeight="1">
      <x:c r="A17" s="18" t="str">
        <x:v>MEA-ZON-EOS-SITE1</x:v>
      </x:c>
      <x:c r="B17" s="9" t="str">
        <x:v>Eos — Site 1 / Promise</x:v>
      </x:c>
      <x:c r="C17" s="15" t="str">
        <x:v>Défini</x:v>
      </x:c>
      <x:c r="D17" s="16" t="str">
        <x:v>Établi</x:v>
      </x:c>
      <x:c r="E17" s="16" t="str">
        <x:v>P1</x:v>
      </x:c>
      <x:c r="F17" s="9" t="str">
        <x:v>Colonie abandonnée.</x:v>
      </x:c>
      <x:c r="G17" s="9" t="str">
        <x:v>Enquête sur traces et chemin de remise en route ; log trouvé reste disponible même après changement de zone.</x:v>
      </x:c>
      <x:c r="H17" s="9" t="str">
        <x:v>Enquête sur traces et chemin de remise en route ; log trouvé reste disponible même après changement de zone.</x:v>
      </x:c>
      <x:c r="I17" s="9" t="str">
        <x:v>Préfabriqués désertés et sable.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mea/zones/eos-site1 ; rattacher les ressources et états cités à cet identifiant. Aucun fichier de jeu créé par ce catalogue.</x:v>
      </x:c>
      <x:c r="M17" s="9" t="str"/>
      <x:c r="N17" s="9" t="str">
        <x:v>Le livrable « Eos — Site 1 / Promise » possède une scène ou un scénario de contrôle ; ses règles proposées, ses conditions et ses retours visuels sont vérifiables séparément.</x:v>
      </x:c>
      <x:c r="O17" s="9" t="str"/>
      <x:c r="P17" s="9" t="str">
        <x:v>Eos — Site 1 / Promise</x:v>
      </x:c>
      <x:c r="Q17" s="9" t="str">
        <x:v>MEA-SRC-GUIDE</x:v>
      </x:c>
      <x:c r="R17" s="9" t="str">
        <x:v>https://masseffect.fandom.com/wiki/Mass_Effect%3A_Andromeda_Guide</x:v>
      </x:c>
      <x:c r="S17" s="9" t="str">
        <x:v>Spécification à réaliser. Les champs adaptation, gameplay, visual, animation, audio et implementation décrivent le fan game ; ils ne donnent pas des caractéristiques officielles de l’œuvre.</x:v>
      </x:c>
    </x:row>
    <x:row r="18" ht="68" customHeight="1">
      <x:c r="A18" s="19" t="str">
        <x:v>MEA-ZON-EOS-SITE2</x:v>
      </x:c>
      <x:c r="B18" s="7" t="str">
        <x:v>Eos — Site 2 / Resilience</x:v>
      </x:c>
      <x:c r="C18" s="15" t="str">
        <x:v>Défini</x:v>
      </x:c>
      <x:c r="D18" s="17" t="str">
        <x:v>Établi</x:v>
      </x:c>
      <x:c r="E18" s="17" t="str">
        <x:v>P1</x:v>
      </x:c>
      <x:c r="F18" s="7" t="str">
        <x:v>Autre site de colonie.</x:v>
      </x:c>
      <x:c r="G18" s="7" t="str">
        <x:v>Parcours de recherche séparé de Promise ; identifiants de morts et de journaux spécifiques au lieu.</x:v>
      </x:c>
      <x:c r="H18" s="7" t="str">
        <x:v>Parcours de recherche séparé de Promise ; identifiants de morts et de journaux spécifiques au lieu.</x:v>
      </x:c>
      <x:c r="I18" s="7" t="str">
        <x:v>Installations endommagées et laboratoire.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mea/zones/eos-site2 ; rattacher les ressources et états cités à cet identifiant. Aucun fichier de jeu créé par ce catalogue.</x:v>
      </x:c>
      <x:c r="M18" s="7" t="str"/>
      <x:c r="N18" s="7" t="str">
        <x:v>Le livrable « Eos — Site 2 / Resilience » possède une scène ou un scénario de contrôle ; ses règles proposées, ses conditions et ses retours visuels sont vérifiables séparément.</x:v>
      </x:c>
      <x:c r="O18" s="7" t="str"/>
      <x:c r="P18" s="7" t="str">
        <x:v>Eos — Site 2 / Resilience</x:v>
      </x:c>
      <x:c r="Q18" s="7" t="str">
        <x:v>MEA-SRC-MISSIONS</x:v>
      </x:c>
      <x:c r="R18" s="7" t="str">
        <x:v>https://masseffect.fandom.com/wiki/Missions_%28Mass_Effect%3A_Andromeda%29</x:v>
      </x:c>
      <x:c r="S18" s="7" t="str">
        <x:v>Spécification à réaliser. Les champs adaptation, gameplay, visual, animation, audio et implementation décrivent le fan game ; ils ne donnent pas des caractéristiques officielles de l’œuvre.</x:v>
      </x:c>
    </x:row>
    <x:row r="19" ht="68" customHeight="1">
      <x:c r="A19" s="18" t="str">
        <x:v>MEA-ZON-PRODROMOS</x:v>
      </x:c>
      <x:c r="B19" s="9" t="str">
        <x:v>Eos — Prodromos</x:v>
      </x:c>
      <x:c r="C19" s="15" t="str">
        <x:v>Défini</x:v>
      </x:c>
      <x:c r="D19" s="16" t="str">
        <x:v>Établi</x:v>
      </x:c>
      <x:c r="E19" s="16" t="str">
        <x:v>P1</x:v>
      </x:c>
      <x:c r="F19" s="9" t="str">
        <x:v>Premier avant-poste.</x:v>
      </x:c>
      <x:c r="G19" s="9" t="str">
        <x:v>Variantes scientifique/militaire proposées fidèles au choix enregistré ; personnel et retour de mission changent selon progression.</x:v>
      </x:c>
      <x:c r="H19" s="9" t="str">
        <x:v>Variantes scientifique/militaire proposées fidèles au choix enregistré ; personnel et retour de mission changent selon progression.</x:v>
      </x:c>
      <x:c r="I19" s="9" t="str">
        <x:v>Habitat neuf et équipements de colonie.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mea/zones/prodromos ; rattacher les ressources et états cités à cet identifiant. Aucun fichier de jeu créé par ce catalogue.</x:v>
      </x:c>
      <x:c r="M19" s="9" t="str"/>
      <x:c r="N19" s="9" t="str">
        <x:v>Le livrable « Eos — Prodromos » possède une scène ou un scénario de contrôle ; ses règles proposées, ses conditions et ses retours visuels sont vérifiables séparément.</x:v>
      </x:c>
      <x:c r="O19" s="9" t="str"/>
      <x:c r="P19" s="9" t="str">
        <x:v>Eos — Prodromos</x:v>
      </x:c>
      <x:c r="Q19" s="9" t="str">
        <x:v>MEA-SRC-GUIDE</x:v>
      </x:c>
      <x:c r="R19" s="9" t="str">
        <x:v>https://masseffect.fandom.com/wiki/Mass_Effect%3A_Andromeda_Guide</x:v>
      </x:c>
      <x:c r="S19" s="9" t="str">
        <x:v>Spécification à réaliser. Les champs adaptation, gameplay, visual, animation, audio et implementation décrivent le fan game ; ils ne donnent pas des caractéristiques officielles de l’œuvre.</x:v>
      </x:c>
    </x:row>
    <x:row r="20" ht="68" customHeight="1">
      <x:c r="A20" s="19" t="str">
        <x:v>MEA-ZON-EOS-VAULT</x:v>
      </x:c>
      <x:c r="B20" s="7" t="str">
        <x:v>Eos — caveau reliquat</x:v>
      </x:c>
      <x:c r="C20" s="15" t="str">
        <x:v>Défini</x:v>
      </x:c>
      <x:c r="D20" s="17" t="str">
        <x:v>Établi</x:v>
      </x:c>
      <x:c r="E20" s="17" t="str">
        <x:v>P1</x:v>
      </x:c>
      <x:c r="F20" s="7" t="str">
        <x:v>Caveau de la première restauration.</x:v>
      </x:c>
      <x:c r="G20" s="7" t="str">
        <x:v>Tutoriel de console, glyphes et purification ; portes de sortie visibles avant déclenchement du danger.</x:v>
      </x:c>
      <x:c r="H20" s="7" t="str">
        <x:v>Tutoriel de console, glyphes et purification ; portes de sortie visibles avant déclenchement du danger.</x:v>
      </x:c>
      <x:c r="I20" s="7" t="str">
        <x:v>Murs noirs, lumière turquoise et plateformes.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mea/zones/eos-vault ; rattacher les ressources et états cités à cet identifiant. Aucun fichier de jeu créé par ce catalogue.</x:v>
      </x:c>
      <x:c r="M20" s="7" t="str"/>
      <x:c r="N20" s="7" t="str">
        <x:v>Le livrable « Eos — caveau reliquat » possède une scène ou un scénario de contrôle ; ses règles proposées, ses conditions et ses retours visuels sont vérifiables séparément.</x:v>
      </x:c>
      <x:c r="O20" s="7" t="str"/>
      <x:c r="P20" s="7" t="str">
        <x:v>Eos — caveau reliquat</x:v>
      </x:c>
      <x:c r="Q20" s="7" t="str">
        <x:v>MEA-SRC-VAULT</x:v>
      </x:c>
      <x:c r="R20" s="7" t="str">
        <x:v>https://masseffect.fandom.com/wiki/Vault</x:v>
      </x:c>
      <x:c r="S20" s="7" t="str">
        <x:v>Spécification à réaliser. Les champs adaptation, gameplay, visual, animation, audio et implementation décrivent le fan game ; ils ne donnent pas des caractéristiques officielles de l’œuvre.</x:v>
      </x:c>
    </x:row>
    <x:row r="21" ht="68" customHeight="1">
      <x:c r="A21" s="18" t="str">
        <x:v>MEA-ZON-AYA-MARKET</x:v>
      </x:c>
      <x:c r="B21" s="9" t="str">
        <x:v>Aya — marché</x:v>
      </x:c>
      <x:c r="C21" s="15" t="str">
        <x:v>Défini</x:v>
      </x:c>
      <x:c r="D21" s="16" t="str">
        <x:v>Établi</x:v>
      </x:c>
      <x:c r="E21" s="16" t="str">
        <x:v>P1</x:v>
      </x:c>
      <x:c r="F21" s="9" t="str">
        <x:v>Zone de rencontres et d’échange.</x:v>
      </x:c>
      <x:c r="G21" s="9" t="str">
        <x:v>Étals avec objets distincts ; conversations à proximité n’empilent pas les sous-titres.</x:v>
      </x:c>
      <x:c r="H21" s="9" t="str">
        <x:v>Étals avec objets distincts ; conversations à proximité n’empilent pas les sous-titres.</x:v>
      </x:c>
      <x:c r="I21" s="9" t="str">
        <x:v>Textiles, aliments et bassins.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mea/zones/aya-market ; rattacher les ressources et états cités à cet identifiant. Aucun fichier de jeu créé par ce catalogue.</x:v>
      </x:c>
      <x:c r="M21" s="9" t="str"/>
      <x:c r="N21" s="9" t="str">
        <x:v>Le livrable « Aya — marché » possède une scène ou un scénario de contrôle ; ses règles proposées, ses conditions et ses retours visuels sont vérifiables séparément.</x:v>
      </x:c>
      <x:c r="O21" s="9" t="str"/>
      <x:c r="P21" s="9" t="str">
        <x:v>Aya — marché</x:v>
      </x:c>
      <x:c r="Q21" s="9" t="str">
        <x:v>MEA-SRC-MISSIONS</x:v>
      </x:c>
      <x:c r="R21" s="9" t="str">
        <x:v>https://masseffect.fandom.com/wiki/Missions_%28Mass_Effect%3A_Andromeda%29</x:v>
      </x:c>
      <x:c r="S21" s="9" t="str">
        <x:v>Spécification à réaliser. Les champs adaptation, gameplay, visual, animation, audio et implementation décrivent le fan game ; ils ne donnent pas des caractéristiques officielles de l’œuvre.</x:v>
      </x:c>
    </x:row>
    <x:row r="22" ht="68" customHeight="1">
      <x:c r="A22" s="19" t="str">
        <x:v>MEA-ZON-AYA-MUSEUM</x:v>
      </x:c>
      <x:c r="B22" s="7" t="str">
        <x:v>Aya — musée</x:v>
      </x:c>
      <x:c r="C22" s="15" t="str">
        <x:v>Défini</x:v>
      </x:c>
      <x:c r="D22" s="17" t="str">
        <x:v>Établi</x:v>
      </x:c>
      <x:c r="E22" s="17" t="str">
        <x:v>P1</x:v>
      </x:c>
      <x:c r="F22" s="7" t="str">
        <x:v>Lieu de mémoire angara.</x:v>
      </x:c>
      <x:c r="G22" s="7" t="str">
        <x:v>Vitrines et descriptions courtes ; objets récupérés se placent par état de quête sans doublon.</x:v>
      </x:c>
      <x:c r="H22" s="7" t="str">
        <x:v>Vitrines et descriptions courtes ; objets récupérés se placent par état de quête sans doublon.</x:v>
      </x:c>
      <x:c r="I22" s="7" t="str">
        <x:v>Reliques et panneaux culturels.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mea/zones/aya-museum ; rattacher les ressources et états cités à cet identifiant. Aucun fichier de jeu créé par ce catalogue.</x:v>
      </x:c>
      <x:c r="M22" s="7" t="str"/>
      <x:c r="N22" s="7" t="str">
        <x:v>Le livrable « Aya — musée » possède une scène ou un scénario de contrôle ; ses règles proposées, ses conditions et ses retours visuels sont vérifiables séparément.</x:v>
      </x:c>
      <x:c r="O22" s="7" t="str"/>
      <x:c r="P22" s="7" t="str">
        <x:v>Aya — musée</x:v>
      </x:c>
      <x:c r="Q22" s="7" t="str">
        <x:v>MEA-SRC-MISSIONS</x:v>
      </x:c>
      <x:c r="R22" s="7" t="str">
        <x:v>https://masseffect.fandom.com/wiki/Missions_%28Mass_Effect%3A_Andromeda%29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MEA-ZON-VOELD-RESIST</x:v>
      </x:c>
      <x:c r="B23" s="9" t="str">
        <x:v>Voeld — base de la Résistance</x:v>
      </x:c>
      <x:c r="C23" s="15" t="str">
        <x:v>Défini</x:v>
      </x:c>
      <x:c r="D23" s="16" t="str">
        <x:v>Établi</x:v>
      </x:c>
      <x:c r="E23" s="16" t="str">
        <x:v>P1</x:v>
      </x:c>
      <x:c r="F23" s="9" t="str">
        <x:v>Hub angara du monde froid.</x:v>
      </x:c>
      <x:c r="G23" s="9" t="str">
        <x:v>Salle de commandement, soins et ravitaillement ; zone chaude clairement définie pour jauge de survie.</x:v>
      </x:c>
      <x:c r="H23" s="9" t="str">
        <x:v>Salle de commandement, soins et ravitaillement ; zone chaude clairement définie pour jauge de survie.</x:v>
      </x:c>
      <x:c r="I23" s="9" t="str">
        <x:v>Tunnels de glace et radiateurs.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mea/zones/voeld-resist ; rattacher les ressources et états cités à cet identifiant. Aucun fichier de jeu créé par ce catalogue.</x:v>
      </x:c>
      <x:c r="M23" s="9" t="str"/>
      <x:c r="N23" s="9" t="str">
        <x:v>Le livrable « Voeld — base de la Résistance » possède une scène ou un scénario de contrôle ; ses règles proposées, ses conditions et ses retours visuels sont vérifiables séparément.</x:v>
      </x:c>
      <x:c r="O23" s="9" t="str"/>
      <x:c r="P23" s="9" t="str">
        <x:v>Voeld — base de la Résistance</x:v>
      </x:c>
      <x:c r="Q23" s="9" t="str">
        <x:v>MEA-SRC-MISSIONS, MEA-SRC-HAZARD</x:v>
      </x:c>
      <x:c r="R23" s="9" t="str">
        <x:v>https://masseffect.fandom.com/wiki/Missions_%28Mass_Effect%3A_Andromeda%29
https://masseffect.fandom.com/wiki/Hazard</x:v>
      </x:c>
      <x:c r="S23" s="9" t="str">
        <x:v>Spécification à réaliser. Les champs adaptation, gameplay, visual, animation, audio et implementation décrivent le fan game ; ils ne donnent pas des caractéristiques officielles de l’œuvre.</x:v>
      </x:c>
    </x:row>
    <x:row r="24" ht="68" customHeight="1">
      <x:c r="A24" s="19" t="str">
        <x:v>MEA-ZON-EXALTATION</x:v>
      </x:c>
      <x:c r="B24" s="7" t="str">
        <x:v>Voeld — installation d’exaltation</x:v>
      </x:c>
      <x:c r="C24" s="15" t="str">
        <x:v>Défini</x:v>
      </x:c>
      <x:c r="D24" s="17" t="str">
        <x:v>Établi</x:v>
      </x:c>
      <x:c r="E24" s="17" t="str">
        <x:v>P1</x:v>
      </x:c>
      <x:c r="F24" s="7" t="str">
        <x:v>Lieu de secours de la Moshae.</x:v>
      </x:c>
      <x:c r="G24" s="7" t="str">
        <x:v>Prison, transformation et salle Cardinal en secteurs ; sortir des captifs reste objectif distinct de tuer le boss.</x:v>
      </x:c>
      <x:c r="H24" s="7" t="str">
        <x:v>Prison, transformation et salle Cardinal en secteurs ; sortir des captifs reste objectif distinct de tuer le boss.</x:v>
      </x:c>
      <x:c r="I24" s="7" t="str">
        <x:v>Pods, métal organique et cages.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mea/zones/exaltation ; rattacher les ressources et états cités à cet identifiant. Aucun fichier de jeu créé par ce catalogue.</x:v>
      </x:c>
      <x:c r="M24" s="7" t="str"/>
      <x:c r="N24" s="7" t="str">
        <x:v>Le livrable « Voeld — installation d’exaltation » possède une scène ou un scénario de contrôle ; ses règles proposées, ses conditions et ses retours visuels sont vérifiables séparément.</x:v>
      </x:c>
      <x:c r="O24" s="7" t="str"/>
      <x:c r="P24" s="7" t="str">
        <x:v>Voeld — installation d’exaltation</x:v>
      </x:c>
      <x:c r="Q24" s="7" t="str">
        <x:v>MEA-SRC-GUIDE</x:v>
      </x:c>
      <x:c r="R24" s="7" t="str">
        <x:v>https://masseffect.fandom.com/wiki/Mass_Effect%3A_Andromeda_Guide</x:v>
      </x:c>
      <x:c r="S24" s="7" t="str">
        <x:v>Spécification à réaliser. Les champs adaptation, gameplay, visual, animation, audio et implementation décrivent le fan game ; ils ne donnent pas des caractéristiques officielles de l’œuvre.</x:v>
      </x:c>
    </x:row>
    <x:row r="25" ht="68" customHeight="1">
      <x:c r="A25" s="18" t="str">
        <x:v>MEA-ZON-VOELD-VAULT</x:v>
      </x:c>
      <x:c r="B25" s="9" t="str">
        <x:v>Voeld — caveau</x:v>
      </x:c>
      <x:c r="C25" s="15" t="str">
        <x:v>Défini</x:v>
      </x:c>
      <x:c r="D25" s="16" t="str">
        <x:v>Établi</x:v>
      </x:c>
      <x:c r="E25" s="16" t="str">
        <x:v>P1</x:v>
      </x:c>
      <x:c r="F25" s="9" t="str">
        <x:v>Site de restauration.</x:v>
      </x:c>
      <x:c r="G25" s="9" t="str">
        <x:v>Approche froide et intérieur technique ; danger de purification indépendant du froid de surface.</x:v>
      </x:c>
      <x:c r="H25" s="9" t="str">
        <x:v>Approche froide et intérieur technique ; danger de purification indépendant du froid de surface.</x:v>
      </x:c>
      <x:c r="I25" s="9" t="str">
        <x:v>Glace extérieure et réseau turquoise.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mea/zones/voeld-vault ; rattacher les ressources et états cités à cet identifiant. Aucun fichier de jeu créé par ce catalogue.</x:v>
      </x:c>
      <x:c r="M25" s="9" t="str"/>
      <x:c r="N25" s="9" t="str">
        <x:v>Le livrable « Voeld — caveau » possède une scène ou un scénario de contrôle ; ses règles proposées, ses conditions et ses retours visuels sont vérifiables séparément.</x:v>
      </x:c>
      <x:c r="O25" s="9" t="str"/>
      <x:c r="P25" s="9" t="str">
        <x:v>Voeld — caveau</x:v>
      </x:c>
      <x:c r="Q25" s="9" t="str">
        <x:v>MEA-SRC-VAULT, MEA-SRC-HAZARD</x:v>
      </x:c>
      <x:c r="R25" s="9" t="str">
        <x:v>https://masseffect.fandom.com/wiki/Vault
https://masseffect.fandom.com/wiki/Hazard</x:v>
      </x:c>
      <x:c r="S25" s="9" t="str">
        <x:v>Spécification à réaliser. Les champs adaptation, gameplay, visual, animation, audio et implementation décrivent le fan game ; ils ne donnent pas des caractéristiques officielles de l’œuvre.</x:v>
      </x:c>
    </x:row>
    <x:row r="26" ht="68" customHeight="1">
      <x:c r="A26" s="19" t="str">
        <x:v>MEA-ZON-HAVARL-RESEARCH</x:v>
      </x:c>
      <x:c r="B26" s="7" t="str">
        <x:v>Havarl — poste de recherche</x:v>
      </x:c>
      <x:c r="C26" s="15" t="str">
        <x:v>Défini</x:v>
      </x:c>
      <x:c r="D26" s="17" t="str">
        <x:v>Établi</x:v>
      </x:c>
      <x:c r="E26" s="17" t="str">
        <x:v>P1</x:v>
      </x:c>
      <x:c r="F26" s="7" t="str">
        <x:v>Centre scientifique angara.</x:v>
      </x:c>
      <x:c r="G26" s="7" t="str">
        <x:v>Hub compact au pied de jungle ; contacts et observations accessibles après restauration.</x:v>
      </x:c>
      <x:c r="H26" s="7" t="str">
        <x:v>Hub compact au pied de jungle ; contacts et observations accessibles après restauration.</x:v>
      </x:c>
      <x:c r="I26" s="7" t="str">
        <x:v>Équipements angara sous feuillage.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mea/zones/havarl-research ; rattacher les ressources et états cités à cet identifiant. Aucun fichier de jeu créé par ce catalogue.</x:v>
      </x:c>
      <x:c r="M26" s="7" t="str"/>
      <x:c r="N26" s="7" t="str">
        <x:v>Le livrable « Havarl — poste de recherche » possède une scène ou un scénario de contrôle ; ses règles proposées, ses conditions et ses retours visuels sont vérifiables séparément.</x:v>
      </x:c>
      <x:c r="O26" s="7" t="str"/>
      <x:c r="P26" s="7" t="str">
        <x:v>Havarl — poste de recherche</x:v>
      </x:c>
      <x:c r="Q26" s="7" t="str">
        <x:v>MEA-SRC-MISSIONS</x:v>
      </x:c>
      <x:c r="R26" s="7" t="str">
        <x:v>https://masseffect.fandom.com/wiki/Missions_%28Mass_Effect%3A_Andromeda%29</x:v>
      </x:c>
      <x:c r="S26" s="7" t="str">
        <x:v>Spécification à réaliser. Les champs adaptation, gameplay, visual, animation, audio et implementation décrivent le fan game ; ils ne donnent pas des caractéristiques officielles de l’œuvre.</x:v>
      </x:c>
    </x:row>
    <x:row r="27" ht="68" customHeight="1">
      <x:c r="A27" s="18" t="str">
        <x:v>MEA-ZON-MITHRAVA</x:v>
      </x:c>
      <x:c r="B27" s="9" t="str">
        <x:v>Havarl — Mithrava</x:v>
      </x:c>
      <x:c r="C27" s="15" t="str">
        <x:v>Défini</x:v>
      </x:c>
      <x:c r="D27" s="16" t="str">
        <x:v>Établi</x:v>
      </x:c>
      <x:c r="E27" s="16" t="str">
        <x:v>P1</x:v>
      </x:c>
      <x:c r="F27" s="9" t="str">
        <x:v>Sanctuaire de sages.</x:v>
      </x:c>
      <x:c r="G27" s="9" t="str">
        <x:v>Ascension à plateformes avec repères d’étage ; raccourci de retour proposé pour éviter refaire tous les sauts.</x:v>
      </x:c>
      <x:c r="H27" s="9" t="str">
        <x:v>Ascension à plateformes avec repères d’étage ; raccourci de retour proposé pour éviter refaire tous les sauts.</x:v>
      </x:c>
      <x:c r="I27" s="9" t="str">
        <x:v>Ruines hautes et passerelles végétales.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mea/zones/mithrava ; rattacher les ressources et états cités à cet identifiant. Aucun fichier de jeu créé par ce catalogue.</x:v>
      </x:c>
      <x:c r="M27" s="9" t="str"/>
      <x:c r="N27" s="9" t="str">
        <x:v>Le livrable « Havarl — Mithrava » possède une scène ou un scénario de contrôle ; ses règles proposées, ses conditions et ses retours visuels sont vérifiables séparément.</x:v>
      </x:c>
      <x:c r="O27" s="9" t="str"/>
      <x:c r="P27" s="9" t="str">
        <x:v>Havarl — Mithrava</x:v>
      </x:c>
      <x:c r="Q27" s="9" t="str">
        <x:v>MEA-SRC-MISSIONS</x:v>
      </x:c>
      <x:c r="R27" s="9" t="str">
        <x:v>https://masseffect.fandom.com/wiki/Missions_%28Mass_Effect%3A_Andromeda%29</x:v>
      </x:c>
      <x:c r="S27" s="9" t="str">
        <x:v>Spécification à réaliser. Les champs adaptation, gameplay, visual, animation, audio et implementation décrivent le fan game ; ils ne donnent pas des caractéristiques officielles de l’œuvre.</x:v>
      </x:c>
    </x:row>
    <x:row r="28" ht="68" customHeight="1">
      <x:c r="A28" s="19" t="str">
        <x:v>MEA-ZON-HAVARL-VAULT</x:v>
      </x:c>
      <x:c r="B28" s="7" t="str">
        <x:v>Havarl — caveau</x:v>
      </x:c>
      <x:c r="C28" s="15" t="str">
        <x:v>Défini</x:v>
      </x:c>
      <x:c r="D28" s="17" t="str">
        <x:v>Établi</x:v>
      </x:c>
      <x:c r="E28" s="17" t="str">
        <x:v>P1</x:v>
      </x:c>
      <x:c r="F28" s="7" t="str">
        <x:v>Site lié à A Dying Planet.</x:v>
      </x:c>
      <x:c r="G28" s="7" t="str">
        <x:v>Entrée après guide et indices ; liens d’énergie lisibles malgré racines.</x:v>
      </x:c>
      <x:c r="H28" s="7" t="str">
        <x:v>Entrée après guide et indices ; liens d’énergie lisibles malgré racines.</x:v>
      </x:c>
      <x:c r="I28" s="7" t="str">
        <x:v>Tech reliquate mêlée de végétation.</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mea/zones/havarl-vault ; rattacher les ressources et états cités à cet identifiant. Aucun fichier de jeu créé par ce catalogue.</x:v>
      </x:c>
      <x:c r="M28" s="7" t="str"/>
      <x:c r="N28" s="7" t="str">
        <x:v>Le livrable « Havarl — caveau » possède une scène ou un scénario de contrôle ; ses règles proposées, ses conditions et ses retours visuels sont vérifiables séparément.</x:v>
      </x:c>
      <x:c r="O28" s="7" t="str"/>
      <x:c r="P28" s="7" t="str">
        <x:v>Havarl — caveau</x:v>
      </x:c>
      <x:c r="Q28" s="7" t="str">
        <x:v>MEA-SRC-VAULT, MEA-SRC-MISSIONS</x:v>
      </x:c>
      <x:c r="R28" s="7" t="str">
        <x:v>https://masseffect.fandom.com/wiki/Vault
https://masseffect.fandom.com/wiki/Missions_%28Mass_Effect%3A_Andromeda%29</x:v>
      </x:c>
      <x:c r="S28" s="7" t="str">
        <x:v>Spécification à réaliser. Les champs adaptation, gameplay, visual, animation, audio et implementation décrivent le fan game ; ils ne donnent pas des caractéristiques officielles de l’œuvre.</x:v>
      </x:c>
    </x:row>
    <x:row r="29" ht="68" customHeight="1">
      <x:c r="A29" s="18" t="str">
        <x:v>MEA-ZON-KADARA-PORT</x:v>
      </x:c>
      <x:c r="B29" s="9" t="str">
        <x:v>Kadara Port</x:v>
      </x:c>
      <x:c r="C29" s="15" t="str">
        <x:v>Défini</x:v>
      </x:c>
      <x:c r="D29" s="16" t="str">
        <x:v>Établi</x:v>
      </x:c>
      <x:c r="E29" s="16" t="str">
        <x:v>P1</x:v>
      </x:c>
      <x:c r="F29" s="9" t="str">
        <x:v>Hub politique du monde.</x:v>
      </x:c>
      <x:c r="G29" s="9" t="str">
        <x:v>Salle de Sloane, marché, bar et accès bas ; autorité/gardes modifiés après High Noon.</x:v>
      </x:c>
      <x:c r="H29" s="9" t="str">
        <x:v>Salle de Sloane, marché, bar et accès bas ; autorité/gardes modifiés après High Noon.</x:v>
      </x:c>
      <x:c r="I29" s="9" t="str">
        <x:v>Roche orange et structures urbaines.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mea/zones/kadara-port ; rattacher les ressources et états cités à cet identifiant. Aucun fichier de jeu créé par ce catalogue.</x:v>
      </x:c>
      <x:c r="M29" s="9" t="str"/>
      <x:c r="N29" s="9" t="str">
        <x:v>Le livrable « Kadara Port » possède une scène ou un scénario de contrôle ; ses règles proposées, ses conditions et ses retours visuels sont vérifiables séparément.</x:v>
      </x:c>
      <x:c r="O29" s="9" t="str"/>
      <x:c r="P29" s="9" t="str">
        <x:v>Kadara Port</x:v>
      </x:c>
      <x:c r="Q29" s="9" t="str">
        <x:v>MEA-SRC-HIGH-NOON</x:v>
      </x:c>
      <x:c r="R29" s="9" t="str">
        <x:v>https://masseffect.fandom.com/wiki/High_Noon</x:v>
      </x:c>
      <x:c r="S29" s="9" t="str">
        <x:v>Spécification à réaliser. Les champs adaptation, gameplay, visual, animation, audio et implementation décrivent le fan game ; ils ne donnent pas des caractéristiques officielles de l’œuvre.</x:v>
      </x:c>
    </x:row>
    <x:row r="30" ht="68" customHeight="1">
      <x:c r="A30" s="19" t="str">
        <x:v>MEA-ZON-KADARA-BADLANDS</x:v>
      </x:c>
      <x:c r="B30" s="7" t="str">
        <x:v>Kadara — badlands</x:v>
      </x:c>
      <x:c r="C30" s="15" t="str">
        <x:v>Défini</x:v>
      </x:c>
      <x:c r="D30" s="17" t="str">
        <x:v>Établi</x:v>
      </x:c>
      <x:c r="E30" s="17" t="str">
        <x:v>P1</x:v>
      </x:c>
      <x:c r="F30" s="7" t="str">
        <x:v>Région d’exploration.</x:v>
      </x:c>
      <x:c r="G30" s="7" t="str">
        <x:v>Bassins dangereux, camps et voies Nomad ; identifier routes avec ponts sûrs et eau non franchissable à pied.</x:v>
      </x:c>
      <x:c r="H30" s="7" t="str">
        <x:v>Bassins dangereux, camps et voies Nomad ; identifier routes avec ponts sûrs et eau non franchissable à pied.</x:v>
      </x:c>
      <x:c r="I30" s="7" t="str">
        <x:v>Roches rouges et eau acide.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mea/zones/kadara-badlands ; rattacher les ressources et états cités à cet identifiant. Aucun fichier de jeu créé par ce catalogue.</x:v>
      </x:c>
      <x:c r="M30" s="7" t="str"/>
      <x:c r="N30" s="7" t="str">
        <x:v>Le livrable « Kadara — badlands » possède une scène ou un scénario de contrôle ; ses règles proposées, ses conditions et ses retours visuels sont vérifiables séparément.</x:v>
      </x:c>
      <x:c r="O30" s="7" t="str"/>
      <x:c r="P30" s="7" t="str">
        <x:v>Kadara — badlands</x:v>
      </x:c>
      <x:c r="Q30" s="7" t="str">
        <x:v>MEA-SRC-HAZARD</x:v>
      </x:c>
      <x:c r="R30" s="7" t="str">
        <x:v>https://masseffect.fandom.com/wiki/Hazard</x:v>
      </x:c>
      <x:c r="S30" s="7" t="str">
        <x:v>Spécification à réaliser. Les champs adaptation, gameplay, visual, animation, audio et implementation décrivent le fan game ; ils ne donnent pas des caractéristiques officielles de l’œuvre.</x:v>
      </x:c>
    </x:row>
    <x:row r="31" ht="68" customHeight="1">
      <x:c r="A31" s="18" t="str">
        <x:v>MEA-ZON-KADARA-VAULT</x:v>
      </x:c>
      <x:c r="B31" s="9" t="str">
        <x:v>Kadara — caveau</x:v>
      </x:c>
      <x:c r="C31" s="15" t="str">
        <x:v>Défini</x:v>
      </x:c>
      <x:c r="D31" s="16" t="str">
        <x:v>Établi</x:v>
      </x:c>
      <x:c r="E31" s="16" t="str">
        <x:v>P1</x:v>
      </x:c>
      <x:c r="F31" s="9" t="str">
        <x:v>Lieu d’assainissement.</x:v>
      </x:c>
      <x:c r="G31" s="9" t="str">
        <x:v>Circuit de console distinct de l’eau de surface ; restaurer fait évoluer danger selon table dédiée.</x:v>
      </x:c>
      <x:c r="H31" s="9" t="str">
        <x:v>Circuit de console distinct de l’eau de surface ; restaurer fait évoluer danger selon table dédiée.</x:v>
      </x:c>
      <x:c r="I31" s="9" t="str">
        <x:v>Salles noires et lumière reliquate.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mea/zones/kadara-vault ; rattacher les ressources et états cités à cet identifiant. Aucun fichier de jeu créé par ce catalogue.</x:v>
      </x:c>
      <x:c r="M31" s="9" t="str"/>
      <x:c r="N31" s="9" t="str">
        <x:v>Le livrable « Kadara — caveau » possède une scène ou un scénario de contrôle ; ses règles proposées, ses conditions et ses retours visuels sont vérifiables séparément.</x:v>
      </x:c>
      <x:c r="O31" s="9" t="str"/>
      <x:c r="P31" s="9" t="str">
        <x:v>Kadara — caveau</x:v>
      </x:c>
      <x:c r="Q31" s="9" t="str">
        <x:v>MEA-SRC-VAULT</x:v>
      </x:c>
      <x:c r="R31" s="9" t="str">
        <x:v>https://masseffect.fandom.com/wiki/Vault</x:v>
      </x:c>
      <x:c r="S31" s="9" t="str">
        <x:v>Spécification à réaliser. Les champs adaptation, gameplay, visual, animation, audio et implementation décrivent le fan game ; ils ne donnent pas des caractéristiques officielles de l’œuvre.</x:v>
      </x:c>
    </x:row>
    <x:row r="32" ht="68" customHeight="1">
      <x:c r="A32" s="19" t="str">
        <x:v>MEA-ZON-NEW-TUCHANKA</x:v>
      </x:c>
      <x:c r="B32" s="7" t="str">
        <x:v>Elaaden — New Tuchanka</x:v>
      </x:c>
      <x:c r="C32" s="15" t="str">
        <x:v>Défini</x:v>
      </x:c>
      <x:c r="D32" s="17" t="str">
        <x:v>Établi</x:v>
      </x:c>
      <x:c r="E32" s="17" t="str">
        <x:v>P1</x:v>
      </x:c>
      <x:c r="F32" s="7" t="str">
        <x:v>Colonie krogan.</x:v>
      </x:c>
      <x:c r="G32" s="7" t="str">
        <x:v>Grande porte, salle de Morda et serres ; volume adapté aux silhouettes krogans sans rendre humains minuscules.</x:v>
      </x:c>
      <x:c r="H32" s="7" t="str">
        <x:v>Grande porte, salle de Morda et serres ; volume adapté aux silhouettes krogans sans rendre humains minuscules.</x:v>
      </x:c>
      <x:c r="I32" s="7" t="str">
        <x:v>Récupération industrielle et sable.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mea/zones/new-tuchanka ; rattacher les ressources et états cités à cet identifiant. Aucun fichier de jeu créé par ce catalogue.</x:v>
      </x:c>
      <x:c r="M32" s="7" t="str"/>
      <x:c r="N32" s="7" t="str">
        <x:v>Le livrable « Elaaden — New Tuchanka » possède une scène ou un scénario de contrôle ; ses règles proposées, ses conditions et ses retours visuels sont vérifiables séparément.</x:v>
      </x:c>
      <x:c r="O32" s="7" t="str"/>
      <x:c r="P32" s="7" t="str">
        <x:v>Elaaden — New Tuchanka</x:v>
      </x:c>
      <x:c r="Q32" s="7" t="str">
        <x:v>MEA-SRC-MISSIONS</x:v>
      </x:c>
      <x:c r="R32" s="7" t="str">
        <x:v>https://masseffect.fandom.com/wiki/Missions_%28Mass_Effect%3A_Andromeda%29</x:v>
      </x:c>
      <x:c r="S32" s="7" t="str">
        <x:v>Spécification à réaliser. Les champs adaptation, gameplay, visual, animation, audio et implementation décrivent le fan game ; ils ne donnent pas des caractéristiques officielles de l’œuvre.</x:v>
      </x:c>
    </x:row>
    <x:row r="33" ht="68" customHeight="1">
      <x:c r="A33" s="18" t="str">
        <x:v>MEA-ZON-DERELICT</x:v>
      </x:c>
      <x:c r="B33" s="9" t="str">
        <x:v>Elaaden — épave reliquate</x:v>
      </x:c>
      <x:c r="C33" s="15" t="str">
        <x:v>Défini</x:v>
      </x:c>
      <x:c r="D33" s="16" t="str">
        <x:v>Établi</x:v>
      </x:c>
      <x:c r="E33" s="16" t="str">
        <x:v>P1</x:v>
      </x:c>
      <x:c r="F33" s="9" t="str">
        <x:v>Grande structure à explorer.</x:v>
      </x:c>
      <x:c r="G33" s="9" t="str">
        <x:v>Découpage en coque, intérieur et chambre du cœur ; repères pour retour sans fausse liaison au caveau.</x:v>
      </x:c>
      <x:c r="H33" s="9" t="str">
        <x:v>Découpage en coque, intérieur et chambre du cœur ; repères pour retour sans fausse liaison au caveau.</x:v>
      </x:c>
      <x:c r="I33" s="9" t="str">
        <x:v>Volumes géants et passerelles.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mea/zones/derelict ; rattacher les ressources et états cités à cet identifiant. Aucun fichier de jeu créé par ce catalogue.</x:v>
      </x:c>
      <x:c r="M33" s="9" t="str"/>
      <x:c r="N33" s="9" t="str">
        <x:v>Le livrable « Elaaden — épave reliquate » possède une scène ou un scénario de contrôle ; ses règles proposées, ses conditions et ses retours visuels sont vérifiables séparément.</x:v>
      </x:c>
      <x:c r="O33" s="9" t="str"/>
      <x:c r="P33" s="9" t="str">
        <x:v>Elaaden — épave reliquate</x:v>
      </x:c>
      <x:c r="Q33" s="9" t="str">
        <x:v>MEA-SRC-MISSIONS</x:v>
      </x:c>
      <x:c r="R33" s="9" t="str">
        <x:v>https://masseffect.fandom.com/wiki/Missions_%28Mass_Effect%3A_Andromeda%29</x:v>
      </x:c>
      <x:c r="S33" s="9" t="str">
        <x:v>Spécification à réaliser. Les champs adaptation, gameplay, visual, animation, audio et implementation décrivent le fan game ; ils ne donnent pas des caractéristiques officielles de l’œuvre.</x:v>
      </x:c>
    </x:row>
    <x:row r="34" ht="68" customHeight="1">
      <x:c r="A34" s="19" t="str">
        <x:v>MEA-ZON-ELAADEN-VAULT</x:v>
      </x:c>
      <x:c r="B34" s="7" t="str">
        <x:v>Elaaden — caveau</x:v>
      </x:c>
      <x:c r="C34" s="15" t="str">
        <x:v>Défini</x:v>
      </x:c>
      <x:c r="D34" s="17" t="str">
        <x:v>Établi</x:v>
      </x:c>
      <x:c r="E34" s="17" t="str">
        <x:v>P1</x:v>
      </x:c>
      <x:c r="F34" s="7" t="str">
        <x:v>Site de restauration du désert.</x:v>
      </x:c>
      <x:c r="G34" s="7" t="str">
        <x:v>Chaînes d’alimentation et purification ; ombre thermique de surface et sécurité intérieure séparées.</x:v>
      </x:c>
      <x:c r="H34" s="7" t="str">
        <x:v>Chaînes d’alimentation et purification ; ombre thermique de surface et sécurité intérieure séparées.</x:v>
      </x:c>
      <x:c r="I34" s="7" t="str">
        <x:v>Architecture noire sous sable.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mea/zones/elaaden-vault ; rattacher les ressources et états cités à cet identifiant. Aucun fichier de jeu créé par ce catalogue.</x:v>
      </x:c>
      <x:c r="M34" s="7" t="str"/>
      <x:c r="N34" s="7" t="str">
        <x:v>Le livrable « Elaaden — caveau » possède une scène ou un scénario de contrôle ; ses règles proposées, ses conditions et ses retours visuels sont vérifiables séparément.</x:v>
      </x:c>
      <x:c r="O34" s="7" t="str"/>
      <x:c r="P34" s="7" t="str">
        <x:v>Elaaden — caveau</x:v>
      </x:c>
      <x:c r="Q34" s="7" t="str">
        <x:v>MEA-SRC-VAULT, MEA-SRC-HAZARD</x:v>
      </x:c>
      <x:c r="R34" s="7" t="str">
        <x:v>https://masseffect.fandom.com/wiki/Vault
https://masseffect.fandom.com/wiki/Hazard</x:v>
      </x:c>
      <x:c r="S34" s="7" t="str">
        <x:v>Spécification à réaliser. Les champs adaptation, gameplay, visual, animation, audio et implementation décrivent le fan game ; ils ne donnent pas des caractéristiques officielles de l’œuvre.</x:v>
      </x:c>
    </x:row>
    <x:row r="35" ht="68" customHeight="1">
      <x:c r="A35" s="18" t="str">
        <x:v>MEA-ZON-H047C-DOMES</x:v>
      </x:c>
      <x:c r="B35" s="9" t="str">
        <x:v>H-047c — dômes</x:v>
      </x:c>
      <x:c r="C35" s="15" t="str">
        <x:v>Défini</x:v>
      </x:c>
      <x:c r="D35" s="16" t="str">
        <x:v>Établi</x:v>
      </x:c>
      <x:c r="E35" s="16" t="str">
        <x:v>P1</x:v>
      </x:c>
      <x:c r="F35" s="9" t="str">
        <x:v>Zones pressurisées.</x:v>
      </x:c>
      <x:c r="G35" s="9" t="str">
        <x:v>Transition Nomad/pied seulement dans sas admis ; pas d’escouade apparaissant hors air respirable.</x:v>
      </x:c>
      <x:c r="H35" s="9" t="str">
        <x:v>Transition Nomad/pied seulement dans sas admis ; pas d’escouade apparaissant hors air respirable.</x:v>
      </x:c>
      <x:c r="I35" s="9" t="str">
        <x:v>Bulles d’habitat et bases minières.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mea/zones/h047c-domes ; rattacher les ressources et états cités à cet identifiant. Aucun fichier de jeu créé par ce catalogue.</x:v>
      </x:c>
      <x:c r="M35" s="9" t="str"/>
      <x:c r="N35" s="9" t="str">
        <x:v>Le livrable « H-047c — dômes » possède une scène ou un scénario de contrôle ; ses règles proposées, ses conditions et ses retours visuels sont vérifiables séparément.</x:v>
      </x:c>
      <x:c r="O35" s="9" t="str"/>
      <x:c r="P35" s="9" t="str">
        <x:v>H-047c — dômes</x:v>
      </x:c>
      <x:c r="Q35" s="9" t="str">
        <x:v>MEA-SRC-HAZARD</x:v>
      </x:c>
      <x:c r="R35" s="9" t="str">
        <x:v>https://masseffect.fandom.com/wiki/Hazard</x:v>
      </x:c>
      <x:c r="S35" s="9" t="str">
        <x:v>Spécification à réaliser. Les champs adaptation, gameplay, visual, animation, audio et implementation décrivent le fan game ; ils ne donnent pas des caractéristiques officielles de l’œuvre.</x:v>
      </x:c>
    </x:row>
    <x:row r="36" ht="68" customHeight="1">
      <x:c r="A36" s="19" t="str">
        <x:v>MEA-ZON-VETRA-MINE</x:v>
      </x:c>
      <x:c r="B36" s="7" t="str">
        <x:v>H-047c — mine de Meriweather</x:v>
      </x:c>
      <x:c r="C36" s="15" t="str">
        <x:v>Défini</x:v>
      </x:c>
      <x:c r="D36" s="17" t="str">
        <x:v>Établi</x:v>
      </x:c>
      <x:c r="E36" s="17" t="str">
        <x:v>P1</x:v>
      </x:c>
      <x:c r="F36" s="7" t="str">
        <x:v>Lieu de loyauté de Vetra.</x:v>
      </x:c>
      <x:c r="G36" s="7" t="str">
        <x:v>Captifs, ménagerie et atelier vus par caméras ; sabotage change obstacles, dangers et rencontres.</x:v>
      </x:c>
      <x:c r="H36" s="7" t="str">
        <x:v>Captifs, ménagerie et atelier vus par caméras ; sabotage change obstacles, dangers et rencontres.</x:v>
      </x:c>
      <x:c r="I36" s="7" t="str">
        <x:v>Mine à niveaux, moniteurs et Hydra.</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mea/zones/vetra-mine ; rattacher les ressources et états cités à cet identifiant. Aucun fichier de jeu créé par ce catalogue.</x:v>
      </x:c>
      <x:c r="M36" s="7" t="str"/>
      <x:c r="N36" s="7" t="str">
        <x:v>Le livrable « H-047c — mine de Meriweather » possède une scène ou un scénario de contrôle ; ses règles proposées, ses conditions et ses retours visuels sont vérifiables séparément.</x:v>
      </x:c>
      <x:c r="O36" s="7" t="str"/>
      <x:c r="P36" s="7" t="str">
        <x:v>H-047c — mine de Meriweather</x:v>
      </x:c>
      <x:c r="Q36" s="7" t="str">
        <x:v>MEA-SRC-VETRA-LOYAL</x:v>
      </x:c>
      <x:c r="R36" s="7" t="str">
        <x:v>https://masseffect.fandom.com/wiki/Vetra_Nyx%3A_Means_and_Ends</x:v>
      </x:c>
      <x:c r="S36" s="7" t="str">
        <x:v>Spécification à réaliser. Les champs adaptation, gameplay, visual, animation, audio et implementation décrivent le fan game ; ils ne donnent pas des caractéristiques officielles de l’œuvre.</x:v>
      </x:c>
    </x:row>
    <x:row r="37" ht="68" customHeight="1">
      <x:c r="A37" s="18" t="str">
        <x:v>MEA-ZON-LIAM-SHIP</x:v>
      </x:c>
      <x:c r="B37" s="9" t="str">
        <x:v>Vaisseau de Calot Gurting</x:v>
      </x:c>
      <x:c r="C37" s="15" t="str">
        <x:v>Défini</x:v>
      </x:c>
      <x:c r="D37" s="16" t="str">
        <x:v>Établi</x:v>
      </x:c>
      <x:c r="E37" s="16" t="str">
        <x:v>P1</x:v>
      </x:c>
      <x:c r="F37" s="9" t="str">
        <x:v>Lieu du secours de Liam.</x:v>
      </x:c>
      <x:c r="G37" s="9" t="str">
        <x:v>Trois états d’orientation de salle avec ancres recalculées ; objets de scan disponibles seulement où ils sont physiquement présents.</x:v>
      </x:c>
      <x:c r="H37" s="9" t="str">
        <x:v>Trois états d’orientation de salle avec ancres recalculées ; objets de scan disponibles seulement où ils sont physiquement présents.</x:v>
      </x:c>
      <x:c r="I37" s="9" t="str">
        <x:v>Containers, grues et plafond devenu sol.</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mea/zones/liam-ship ; rattacher les ressources et états cités à cet identifiant. Aucun fichier de jeu créé par ce catalogue.</x:v>
      </x:c>
      <x:c r="M37" s="9" t="str"/>
      <x:c r="N37" s="9" t="str">
        <x:v>Le livrable « Vaisseau de Calot Gurting » possède une scène ou un scénario de contrôle ; ses règles proposées, ses conditions et ses retours visuels sont vérifiables séparément.</x:v>
      </x:c>
      <x:c r="O37" s="9" t="str"/>
      <x:c r="P37" s="9" t="str">
        <x:v>Vaisseau de Calot Gurting</x:v>
      </x:c>
      <x:c r="Q37" s="9" t="str">
        <x:v>MEA-SRC-LIAM-LOYAL</x:v>
      </x:c>
      <x:c r="R37" s="9" t="str">
        <x:v>https://masseffect.fandom.com/wiki/Liam_Kosta%3A_All_In</x:v>
      </x:c>
      <x:c r="S37" s="9" t="str">
        <x:v>Spécification à réaliser. Les champs adaptation, gameplay, visual, animation, audio et implementation décrivent le fan game ; ils ne donnent pas des caractéristiques officielles de l’œuvre.</x:v>
      </x:c>
    </x:row>
    <x:row r="38" ht="68" customHeight="1">
      <x:c r="A38" s="19" t="str">
        <x:v>MEA-ZON-PAS10-CORE</x:v>
      </x:c>
      <x:c r="B38" s="7" t="str">
        <x:v>Pas-10 — dispositif reliquat</x:v>
      </x:c>
      <x:c r="C38" s="15" t="str">
        <x:v>Défini</x:v>
      </x:c>
      <x:c r="D38" s="17" t="str">
        <x:v>Établi</x:v>
      </x:c>
      <x:c r="E38" s="17" t="str">
        <x:v>P1</x:v>
      </x:c>
      <x:c r="F38" s="7" t="str">
        <x:v>Lieu de conclusion Peebee.</x:v>
      </x:c>
      <x:c r="G38" s="7" t="str">
        <x:v>Plateformes au-dessus de lave, choix Kalinda puis route d’évacuation ; temporisation accessible proposée.</x:v>
      </x:c>
      <x:c r="H38" s="7" t="str">
        <x:v>Plateformes au-dessus de lave, choix Kalinda puis route d’évacuation ; temporisation accessible proposée.</x:v>
      </x:c>
      <x:c r="I38" s="7" t="str">
        <x:v>Ponts, appareil et navette.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mea/zones/pas10-core ; rattacher les ressources et états cités à cet identifiant. Aucun fichier de jeu créé par ce catalogue.</x:v>
      </x:c>
      <x:c r="M38" s="7" t="str"/>
      <x:c r="N38" s="7" t="str">
        <x:v>Le livrable « Pas-10 — dispositif reliquat » possède une scène ou un scénario de contrôle ; ses règles proposées, ses conditions et ses retours visuels sont vérifiables séparément.</x:v>
      </x:c>
      <x:c r="O38" s="7" t="str"/>
      <x:c r="P38" s="7" t="str">
        <x:v>Pas-10 — dispositif reliquat</x:v>
      </x:c>
      <x:c r="Q38" s="7" t="str">
        <x:v>MEA-SRC-PEEBEE-LOYAL</x:v>
      </x:c>
      <x:c r="R38" s="7" t="str">
        <x:v>https://masseffect.fandom.com/wiki/Peebee%3A_A_Mysterious_Remnant_Signal</x:v>
      </x:c>
      <x:c r="S38" s="7" t="str">
        <x:v>Spécification à réaliser. Les champs adaptation, gameplay, visual, animation, audio et implementation décrivent le fan game ; ils ne donnent pas des caractéristiques officielles de l’œuvre.</x:v>
      </x:c>
    </x:row>
    <x:row r="39" ht="68" customHeight="1">
      <x:c r="A39" s="18" t="str">
        <x:v>MEA-ZON-KETT-FLAGSHIP</x:v>
      </x:c>
      <x:c r="B39" s="9" t="str">
        <x:v>Vaisseau de l’Archonte</x:v>
      </x:c>
      <x:c r="C39" s="15" t="str">
        <x:v>Défini</x:v>
      </x:c>
      <x:c r="D39" s="16" t="str">
        <x:v>Établi</x:v>
      </x:c>
      <x:c r="E39" s="16" t="str">
        <x:v>P1</x:v>
      </x:c>
      <x:c r="F39" s="9" t="str">
        <x:v>Site du choix de secours.</x:v>
      </x:c>
      <x:c r="G39" s="9" t="str">
        <x:v>Laboratoire, prisonniers et deux routes finales ; afficher clairement l’objectif engagé et irréversibilité de bifurcation.</x:v>
      </x:c>
      <x:c r="H39" s="9" t="str">
        <x:v>Laboratoire, prisonniers et deux routes finales ; afficher clairement l’objectif engagé et irréversibilité de bifurcation.</x:v>
      </x:c>
      <x:c r="I39" s="9" t="str">
        <x:v>Architecture kett et pods d’expérience.</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mea/zones/kett-flagship ; rattacher les ressources et états cités à cet identifiant. Aucun fichier de jeu créé par ce catalogue.</x:v>
      </x:c>
      <x:c r="M39" s="9" t="str"/>
      <x:c r="N39" s="9" t="str">
        <x:v>Le livrable « Vaisseau de l’Archonte » possède une scène ou un scénario de contrôle ; ses règles proposées, ses conditions et ses retours visuels sont vérifiables séparément.</x:v>
      </x:c>
      <x:c r="O39" s="9" t="str"/>
      <x:c r="P39" s="9" t="str">
        <x:v>Vaisseau de l’Archonte</x:v>
      </x:c>
      <x:c r="Q39" s="9" t="str">
        <x:v>MEA-SRC-ARCHON</x:v>
      </x:c>
      <x:c r="R39" s="9" t="str">
        <x:v>https://masseffect.fandom.com/wiki/Hunting_the_Archon</x:v>
      </x:c>
      <x:c r="S39" s="9" t="str">
        <x:v>Spécification à réaliser. Les champs adaptation, gameplay, visual, animation, audio et implementation décrivent le fan game ; ils ne donnent pas des caractéristiques officielles de l’œuvre.</x:v>
      </x:c>
    </x:row>
    <x:row r="40" ht="68" customHeight="1">
      <x:c r="A40" s="19" t="str">
        <x:v>MEA-ZON-MERIDIAN-CORE</x:v>
      </x:c>
      <x:c r="B40" s="7" t="str">
        <x:v>Méridiane — noyau final</x:v>
      </x:c>
      <x:c r="C40" s="15" t="str">
        <x:v>Défini</x:v>
      </x:c>
      <x:c r="D40" s="17" t="str">
        <x:v>Établi</x:v>
      </x:c>
      <x:c r="E40" s="17" t="str">
        <x:v>P1</x:v>
      </x:c>
      <x:c r="F40" s="7" t="str">
        <x:v>Arène de l’Archonte.</x:v>
      </x:c>
      <x:c r="G40" s="7" t="str">
        <x:v>Progression d’objectifs de réseau pendant combat ; la cible principale est système de contrôle et machine, pas un simple sac de PV.</x:v>
      </x:c>
      <x:c r="H40" s="7" t="str">
        <x:v>Progression d’objectifs de réseau pendant combat ; la cible principale est système de contrôle et machine, pas un simple sac de PV.</x:v>
      </x:c>
      <x:c r="I40" s="7" t="str">
        <x:v>Noyau, conduits et grande plateforme.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mea/zones/meridian-core ; rattacher les ressources et états cités à cet identifiant. Aucun fichier de jeu créé par ce catalogue.</x:v>
      </x:c>
      <x:c r="M40" s="7" t="str"/>
      <x:c r="N40" s="7" t="str">
        <x:v>Le livrable « Méridiane — noyau final » possède une scène ou un scénario de contrôle ; ses règles proposées, ses conditions et ses retours visuels sont vérifiables séparément.</x:v>
      </x:c>
      <x:c r="O40" s="7" t="str"/>
      <x:c r="P40" s="7" t="str">
        <x:v>Méridiane — noyau final</x:v>
      </x:c>
      <x:c r="Q40" s="7" t="str">
        <x:v>MEA-SRC-MERIDIAN</x:v>
      </x:c>
      <x:c r="R40" s="7" t="str">
        <x:v>https://masseffect.fandom.com/wiki/Meridian%3A_The_Way_Home</x:v>
      </x:c>
      <x:c r="S40" s="7" t="str">
        <x:v>Spécification à réaliser. Les champs adaptation, gameplay, visual, animation, audio et implementation décrivent le fan game ; ils ne donnent pas des caractéristiques officielles de l’œuvre.</x:v>
      </x:c>
    </x:row>
    <x:row r="41" ht="68" customHeight="1">
      <x:c r="A41" s="18" t="str">
        <x:v>MEA-ZON-PORT-MERIDIAN</x:v>
      </x:c>
      <x:c r="B41" s="9" t="str">
        <x:v>Port Meridian</x:v>
      </x:c>
      <x:c r="C41" s="15" t="str">
        <x:v>Défini</x:v>
      </x:c>
      <x:c r="D41" s="16" t="str">
        <x:v>Établi</x:v>
      </x:c>
      <x:c r="E41" s="16" t="str">
        <x:v>P1</x:v>
      </x:c>
      <x:c r="F41" s="9" t="str">
        <x:v>Hub de l’épilogue.</x:v>
      </x:c>
      <x:c r="G41" s="9" t="str">
        <x:v>Arche posée, fête et conversations ; présence du jumeau et fenêtres finales traitées comme scènes d’épilogue limitées.</x:v>
      </x:c>
      <x:c r="H41" s="9" t="str">
        <x:v>Arche posée, fête et conversations ; présence du jumeau et fenêtres finales traitées comme scènes d’épilogue limitées.</x:v>
      </x:c>
      <x:c r="I41" s="9" t="str">
        <x:v>Hyperion au milieu de végétation.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mea/zones/port-meridian ; rattacher les ressources et états cités à cet identifiant. Aucun fichier de jeu créé par ce catalogue.</x:v>
      </x:c>
      <x:c r="M41" s="9" t="str"/>
      <x:c r="N41" s="9" t="str">
        <x:v>Le livrable « Port Meridian » possède une scène ou un scénario de contrôle ; ses règles proposées, ses conditions et ses retours visuels sont vérifiables séparément.</x:v>
      </x:c>
      <x:c r="O41" s="9" t="str"/>
      <x:c r="P41" s="9" t="str">
        <x:v>Port Meridian</x:v>
      </x:c>
      <x:c r="Q41" s="9" t="str">
        <x:v>MEA-SRC-EPILOGUE</x:v>
      </x:c>
      <x:c r="R41" s="9" t="str">
        <x:v>https://masseffect.fandom.com/wiki/Epilogue%3A_Home_and_Away</x:v>
      </x:c>
      <x:c r="S41" s="9" t="str">
        <x:v>Spécification à réaliser. Les champs adaptation, gameplay, visual, animation, audio et implementation décrivent le fan game ; ils ne donnent pas des caractéristiques officielles de l’œuvre.</x:v>
      </x:c>
    </x:row>
    <x:row r="42" ht="68" customHeight="1">
      <x:c r="A42" s="19" t="str">
        <x:v>MEA-ZON-MP-AQUA</x:v>
      </x:c>
      <x:c r="B42" s="7" t="str">
        <x:v>Firebase Aqua</x:v>
      </x:c>
      <x:c r="C42" s="15" t="str">
        <x:v>Défini</x:v>
      </x:c>
      <x:c r="D42" s="17" t="str">
        <x:v>Établi</x:v>
      </x:c>
      <x:c r="E42" s="17" t="str">
        <x:v>P1</x:v>
      </x:c>
      <x:c r="F42" s="7" t="str">
        <x:v>Carte du module multijoueur.</x:v>
      </x:c>
      <x:c r="G42" s="7" t="str">
        <x:v>Arène à vagues distincte du solo ; définir quatre positions de départ, des voies de secours et des objectifs distribués. Relevé exact de géométrie requis avant reproduction fidèle.</x:v>
      </x:c>
      <x:c r="H42" s="7" t="str">
        <x:v>Arène à vagues distincte du solo ; définir quatre positions de départ, des voies de secours et des objectifs distribués. Relevé exact de géométrie requis avant reproduction fidèle.</x:v>
      </x:c>
      <x:c r="I42" s="7" t="str">
        <x:v>Plateformes et eau, conception de quais proposée.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mea/zones/mp-aqua ; rattacher les ressources et états cités à cet identifiant. Aucun fichier de jeu créé par ce catalogue.</x:v>
      </x:c>
      <x:c r="M42" s="7" t="str">
        <x:v>Multijoueur uniquement ; Remnant Ruins associé à missions APEX, disponibilité de service non garantie par ce catalogue.</x:v>
      </x:c>
      <x:c r="N42" s="7" t="str">
        <x:v>Sélection affiche le mode multi et le bon nom ; objectif, renforts, extraction et reprise de partie fonctionnent sans fuite d’états vers la carte solo.</x:v>
      </x:c>
      <x:c r="O42" s="7" t="str"/>
      <x:c r="P42" s="7" t="str">
        <x:v>Firebase Aqua</x:v>
      </x:c>
      <x:c r="Q42" s="7" t="str">
        <x:v>MEA-SRC-MP</x:v>
      </x:c>
      <x:c r="R42" s="7" t="str">
        <x:v>https://masseffect.fandom.com/wiki/Mass_Effect%3A_Andromeda_Multiplayer</x:v>
      </x:c>
      <x:c r="S42" s="7" t="str">
        <x:v>Spécification à réaliser. Les champs adaptation, gameplay, visual, animation, audio et implementation décrivent le fan game ; ils ne donnent pas des caractéristiques officielles de l’œuvre.</x:v>
      </x:c>
    </x:row>
    <x:row r="43" ht="68" customHeight="1">
      <x:c r="A43" s="18" t="str">
        <x:v>MEA-ZON-MP-DERELICT</x:v>
      </x:c>
      <x:c r="B43" s="9" t="str">
        <x:v>Firebase Derelict</x:v>
      </x:c>
      <x:c r="C43" s="15" t="str">
        <x:v>Défini</x:v>
      </x:c>
      <x:c r="D43" s="16" t="str">
        <x:v>Établi</x:v>
      </x:c>
      <x:c r="E43" s="16" t="str">
        <x:v>P1</x:v>
      </x:c>
      <x:c r="F43" s="9" t="str">
        <x:v>Carte du module multijoueur.</x:v>
      </x:c>
      <x:c r="G43" s="9" t="str">
        <x:v>Arène à vagues distincte du solo ; définir quatre positions de départ, des voies de secours et des objectifs distribués. Relevé exact de géométrie requis avant reproduction fidèle.</x:v>
      </x:c>
      <x:c r="H43" s="9" t="str">
        <x:v>Arène à vagues distincte du solo ; définir quatre positions de départ, des voies de secours et des objectifs distribués. Relevé exact de géométrie requis avant reproduction fidèle.</x:v>
      </x:c>
      <x:c r="I43" s="9" t="str">
        <x:v>Installations abandonnées et couverts de récupération proposés.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mea/zones/mp-derelict ; rattacher les ressources et états cités à cet identifiant. Aucun fichier de jeu créé par ce catalogue.</x:v>
      </x:c>
      <x:c r="M43" s="9" t="str">
        <x:v>Multijoueur uniquement ; Remnant Ruins associé à missions APEX, disponibilité de service non garantie par ce catalogue.</x:v>
      </x:c>
      <x:c r="N43" s="9" t="str">
        <x:v>Sélection affiche le mode multi et le bon nom ; objectif, renforts, extraction et reprise de partie fonctionnent sans fuite d’états vers la carte solo.</x:v>
      </x:c>
      <x:c r="O43" s="9" t="str"/>
      <x:c r="P43" s="9" t="str">
        <x:v>Firebase Derelict</x:v>
      </x:c>
      <x:c r="Q43" s="9" t="str">
        <x:v>MEA-SRC-MP</x:v>
      </x:c>
      <x:c r="R43" s="9" t="str">
        <x:v>https://masseffect.fandom.com/wiki/Mass_Effect%3A_Andromeda_Multiplayer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MEA-ZON-MP-ICEBREAKER</x:v>
      </x:c>
      <x:c r="B44" s="7" t="str">
        <x:v>Firebase Icebreaker</x:v>
      </x:c>
      <x:c r="C44" s="15" t="str">
        <x:v>Défini</x:v>
      </x:c>
      <x:c r="D44" s="17" t="str">
        <x:v>Établi</x:v>
      </x:c>
      <x:c r="E44" s="17" t="str">
        <x:v>P1</x:v>
      </x:c>
      <x:c r="F44" s="7" t="str">
        <x:v>Carte du module multijoueur.</x:v>
      </x:c>
      <x:c r="G44" s="7" t="str">
        <x:v>Arène à vagues distincte du solo ; définir quatre positions de départ, des voies de secours et des objectifs distribués. Relevé exact de géométrie requis avant reproduction fidèle.</x:v>
      </x:c>
      <x:c r="H44" s="7" t="str">
        <x:v>Arène à vagues distincte du solo ; définir quatre positions de départ, des voies de secours et des objectifs distribués. Relevé exact de géométrie requis avant reproduction fidèle.</x:v>
      </x:c>
      <x:c r="I44" s="7" t="str">
        <x:v>Environnement glacé, chaleur et abris comme repères visuels proposés.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mea/zones/mp-icebreaker ; rattacher les ressources et états cités à cet identifiant. Aucun fichier de jeu créé par ce catalogue.</x:v>
      </x:c>
      <x:c r="M44" s="7" t="str">
        <x:v>Multijoueur uniquement ; Remnant Ruins associé à missions APEX, disponibilité de service non garantie par ce catalogue.</x:v>
      </x:c>
      <x:c r="N44" s="7" t="str">
        <x:v>Sélection affiche le mode multi et le bon nom ; objectif, renforts, extraction et reprise de partie fonctionnent sans fuite d’états vers la carte solo.</x:v>
      </x:c>
      <x:c r="O44" s="7" t="str"/>
      <x:c r="P44" s="7" t="str">
        <x:v>Firebase Icebreaker</x:v>
      </x:c>
      <x:c r="Q44" s="7" t="str">
        <x:v>MEA-SRC-MP</x:v>
      </x:c>
      <x:c r="R44" s="7" t="str">
        <x:v>https://masseffect.fandom.com/wiki/Mass_Effect%3A_Andromeda_Multiplayer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MEA-ZON-MP-MAGMA</x:v>
      </x:c>
      <x:c r="B45" s="9" t="str">
        <x:v>Firebase Magma</x:v>
      </x:c>
      <x:c r="C45" s="15" t="str">
        <x:v>Défini</x:v>
      </x:c>
      <x:c r="D45" s="16" t="str">
        <x:v>Établi</x:v>
      </x:c>
      <x:c r="E45" s="16" t="str">
        <x:v>P1</x:v>
      </x:c>
      <x:c r="F45" s="9" t="str">
        <x:v>Carte du module multijoueur.</x:v>
      </x:c>
      <x:c r="G45" s="9" t="str">
        <x:v>Arène à vagues distincte du solo ; définir quatre positions de départ, des voies de secours et des objectifs distribués. Relevé exact de géométrie requis avant reproduction fidèle.</x:v>
      </x:c>
      <x:c r="H45" s="9" t="str">
        <x:v>Arène à vagues distincte du solo ; définir quatre positions de départ, des voies de secours et des objectifs distribués. Relevé exact de géométrie requis avant reproduction fidèle.</x:v>
      </x:c>
      <x:c r="I45" s="9" t="str">
        <x:v>Fonderie sur rivière de lave.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mea/zones/mp-magma ; rattacher les ressources et états cités à cet identifiant. Aucun fichier de jeu créé par ce catalogue.</x:v>
      </x:c>
      <x:c r="M45" s="9" t="str">
        <x:v>Multijoueur uniquement ; Remnant Ruins associé à missions APEX, disponibilité de service non garantie par ce catalogue.</x:v>
      </x:c>
      <x:c r="N45" s="9" t="str">
        <x:v>Sélection affiche le mode multi et le bon nom ; objectif, renforts, extraction et reprise de partie fonctionnent sans fuite d’états vers la carte solo.</x:v>
      </x:c>
      <x:c r="O45" s="9" t="str"/>
      <x:c r="P45" s="9" t="str">
        <x:v>Firebase Magma</x:v>
      </x:c>
      <x:c r="Q45" s="9" t="str">
        <x:v>MEA-SRC-MP-MAGMA</x:v>
      </x:c>
      <x:c r="R45" s="9" t="str">
        <x:v>https://masseffect.fandom.com/wiki/Firebase_Magma</x:v>
      </x:c>
      <x:c r="S45" s="9" t="str">
        <x:v>Spécification à réaliser. Les champs adaptation, gameplay, visual, animation, audio et implementation décrivent le fan game ; ils ne donnent pas des caractéristiques officielles de l’œuvre.</x:v>
      </x:c>
    </x:row>
    <x:row r="46" ht="68" customHeight="1">
      <x:c r="A46" s="19" t="str">
        <x:v>MEA-ZON-MP-NIMBUS</x:v>
      </x:c>
      <x:c r="B46" s="7" t="str">
        <x:v>Firebase Nimbus</x:v>
      </x:c>
      <x:c r="C46" s="15" t="str">
        <x:v>Défini</x:v>
      </x:c>
      <x:c r="D46" s="17" t="str">
        <x:v>Établi</x:v>
      </x:c>
      <x:c r="E46" s="17" t="str">
        <x:v>P1</x:v>
      </x:c>
      <x:c r="F46" s="7" t="str">
        <x:v>Carte du module multijoueur.</x:v>
      </x:c>
      <x:c r="G46" s="7" t="str">
        <x:v>Arène à vagues distincte du solo ; définir quatre positions de départ, des voies de secours et des objectifs distribués. Relevé exact de géométrie requis avant reproduction fidèle.</x:v>
      </x:c>
      <x:c r="H46" s="7" t="str">
        <x:v>Arène à vagues distincte du solo ; définir quatre positions de départ, des voies de secours et des objectifs distribués. Relevé exact de géométrie requis avant reproduction fidèle.</x:v>
      </x:c>
      <x:c r="I46" s="7" t="str">
        <x:v>Volumes de station et lignes de hauteur à relever, kit de nuages proposé.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mea/zones/mp-nimbus ; rattacher les ressources et états cités à cet identifiant. Aucun fichier de jeu créé par ce catalogue.</x:v>
      </x:c>
      <x:c r="M46" s="7" t="str">
        <x:v>Multijoueur uniquement ; Remnant Ruins associé à missions APEX, disponibilité de service non garantie par ce catalogue.</x:v>
      </x:c>
      <x:c r="N46" s="7" t="str">
        <x:v>Sélection affiche le mode multi et le bon nom ; objectif, renforts, extraction et reprise de partie fonctionnent sans fuite d’états vers la carte solo.</x:v>
      </x:c>
      <x:c r="O46" s="7" t="str"/>
      <x:c r="P46" s="7" t="str">
        <x:v>Firebase Nimbus</x:v>
      </x:c>
      <x:c r="Q46" s="7" t="str">
        <x:v>MEA-SRC-MP</x:v>
      </x:c>
      <x:c r="R46" s="7" t="str">
        <x:v>https://masseffect.fandom.com/wiki/Mass_Effect%3A_Andromeda_Multiplayer</x:v>
      </x:c>
      <x:c r="S46" s="7" t="str">
        <x:v>Spécification à réaliser. Les champs adaptation, gameplay, visual, animation, audio et implementation décrivent le fan game ; ils ne donnent pas des caractéristiques officielles de l’œuvre.</x:v>
      </x:c>
    </x:row>
    <x:row r="47" ht="68" customHeight="1">
      <x:c r="A47" s="18" t="str">
        <x:v>MEA-ZON-MP-PARADOX</x:v>
      </x:c>
      <x:c r="B47" s="9" t="str">
        <x:v>Firebase Paradox</x:v>
      </x:c>
      <x:c r="C47" s="15" t="str">
        <x:v>Défini</x:v>
      </x:c>
      <x:c r="D47" s="16" t="str">
        <x:v>Établi</x:v>
      </x:c>
      <x:c r="E47" s="16" t="str">
        <x:v>P1</x:v>
      </x:c>
      <x:c r="F47" s="9" t="str">
        <x:v>Carte du module multijoueur.</x:v>
      </x:c>
      <x:c r="G47" s="9" t="str">
        <x:v>Arène à vagues distincte du solo ; définir quatre positions de départ, des voies de secours et des objectifs distribués. Relevé exact de géométrie requis avant reproduction fidèle.</x:v>
      </x:c>
      <x:c r="H47" s="9" t="str">
        <x:v>Arène à vagues distincte du solo ; définir quatre positions de départ, des voies de secours et des objectifs distribués. Relevé exact de géométrie requis avant reproduction fidèle.</x:v>
      </x:c>
      <x:c r="I47" s="9" t="str">
        <x:v>Géométrie reliquate et réseau de plateformes proposé.</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mea/zones/mp-paradox ; rattacher les ressources et états cités à cet identifiant. Aucun fichier de jeu créé par ce catalogue.</x:v>
      </x:c>
      <x:c r="M47" s="9" t="str">
        <x:v>Multijoueur uniquement ; Remnant Ruins associé à missions APEX, disponibilité de service non garantie par ce catalogue.</x:v>
      </x:c>
      <x:c r="N47" s="9" t="str">
        <x:v>Sélection affiche le mode multi et le bon nom ; objectif, renforts, extraction et reprise de partie fonctionnent sans fuite d’états vers la carte solo.</x:v>
      </x:c>
      <x:c r="O47" s="9" t="str"/>
      <x:c r="P47" s="9" t="str">
        <x:v>Firebase Paradox</x:v>
      </x:c>
      <x:c r="Q47" s="9" t="str">
        <x:v>MEA-SRC-MP</x:v>
      </x:c>
      <x:c r="R47" s="9" t="str">
        <x:v>https://masseffect.fandom.com/wiki/Mass_Effect%3A_Andromeda_Multiplayer</x:v>
      </x:c>
      <x:c r="S47" s="9" t="str">
        <x:v>Spécification à réaliser. Les champs adaptation, gameplay, visual, animation, audio et implementation décrivent le fan game ; ils ne donnent pas des caractéristiques officielles de l’œuvre.</x:v>
      </x:c>
    </x:row>
    <x:row r="48" ht="68" customHeight="1">
      <x:c r="A48" s="19" t="str">
        <x:v>MEA-ZON-MP-SANDSTORM</x:v>
      </x:c>
      <x:c r="B48" s="7" t="str">
        <x:v>Firebase Sandstorm</x:v>
      </x:c>
      <x:c r="C48" s="15" t="str">
        <x:v>Défini</x:v>
      </x:c>
      <x:c r="D48" s="17" t="str">
        <x:v>Établi</x:v>
      </x:c>
      <x:c r="E48" s="17" t="str">
        <x:v>P1</x:v>
      </x:c>
      <x:c r="F48" s="7" t="str">
        <x:v>Carte du module multijoueur.</x:v>
      </x:c>
      <x:c r="G48" s="7" t="str">
        <x:v>Arène à vagues distincte du solo ; définir quatre positions de départ, des voies de secours et des objectifs distribués. Relevé exact de géométrie requis avant reproduction fidèle.</x:v>
      </x:c>
      <x:c r="H48" s="7" t="str">
        <x:v>Arène à vagues distincte du solo ; définir quatre positions de départ, des voies de secours et des objectifs distribués. Relevé exact de géométrie requis avant reproduction fidèle.</x:v>
      </x:c>
      <x:c r="I48" s="7" t="str">
        <x:v>Structures de désert et visibilité modulée proposées.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mea/zones/mp-sandstorm ; rattacher les ressources et états cités à cet identifiant. Aucun fichier de jeu créé par ce catalogue.</x:v>
      </x:c>
      <x:c r="M48" s="7" t="str">
        <x:v>Multijoueur uniquement ; Remnant Ruins associé à missions APEX, disponibilité de service non garantie par ce catalogue.</x:v>
      </x:c>
      <x:c r="N48" s="7" t="str">
        <x:v>Sélection affiche le mode multi et le bon nom ; objectif, renforts, extraction et reprise de partie fonctionnent sans fuite d’états vers la carte solo.</x:v>
      </x:c>
      <x:c r="O48" s="7" t="str"/>
      <x:c r="P48" s="7" t="str">
        <x:v>Firebase Sandstorm</x:v>
      </x:c>
      <x:c r="Q48" s="7" t="str">
        <x:v>MEA-SRC-MP</x:v>
      </x:c>
      <x:c r="R48" s="7" t="str">
        <x:v>https://masseffect.fandom.com/wiki/Mass_Effect%3A_Andromeda_Multiplayer</x:v>
      </x:c>
      <x:c r="S48" s="7" t="str">
        <x:v>Spécification à réaliser. Les champs adaptation, gameplay, visual, animation, audio et implementation décrivent le fan game ; ils ne donnent pas des caractéristiques officielles de l’œuvre.</x:v>
      </x:c>
    </x:row>
    <x:row r="49" ht="68" customHeight="1">
      <x:c r="A49" s="18" t="str">
        <x:v>MEA-ZON-MP-VERTIGO</x:v>
      </x:c>
      <x:c r="B49" s="9" t="str">
        <x:v>Firebase Vertigo</x:v>
      </x:c>
      <x:c r="C49" s="15" t="str">
        <x:v>Défini</x:v>
      </x:c>
      <x:c r="D49" s="16" t="str">
        <x:v>Établi</x:v>
      </x:c>
      <x:c r="E49" s="16" t="str">
        <x:v>P1</x:v>
      </x:c>
      <x:c r="F49" s="9" t="str">
        <x:v>Carte du module multijoueur.</x:v>
      </x:c>
      <x:c r="G49" s="9" t="str">
        <x:v>Arène à vagues distincte du solo ; définir quatre positions de départ, des voies de secours et des objectifs distribués. Relevé exact de géométrie requis avant reproduction fidèle.</x:v>
      </x:c>
      <x:c r="H49" s="9" t="str">
        <x:v>Arène à vagues distincte du solo ; définir quatre positions de départ, des voies de secours et des objectifs distribués. Relevé exact de géométrie requis avant reproduction fidèle.</x:v>
      </x:c>
      <x:c r="I49" s="9" t="str">
        <x:v>Hauteurs et ponts, zones de chute toujours marquées.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mea/zones/mp-vertigo ; rattacher les ressources et états cités à cet identifiant. Aucun fichier de jeu créé par ce catalogue.</x:v>
      </x:c>
      <x:c r="M49" s="9" t="str">
        <x:v>Multijoueur uniquement ; Remnant Ruins associé à missions APEX, disponibilité de service non garantie par ce catalogue.</x:v>
      </x:c>
      <x:c r="N49" s="9" t="str">
        <x:v>Sélection affiche le mode multi et le bon nom ; objectif, renforts, extraction et reprise de partie fonctionnent sans fuite d’états vers la carte solo.</x:v>
      </x:c>
      <x:c r="O49" s="9" t="str"/>
      <x:c r="P49" s="9" t="str">
        <x:v>Firebase Vertigo</x:v>
      </x:c>
      <x:c r="Q49" s="9" t="str">
        <x:v>MEA-SRC-MP</x:v>
      </x:c>
      <x:c r="R49" s="9" t="str">
        <x:v>https://masseffect.fandom.com/wiki/Mass_Effect%3A_Andromeda_Multiplayer</x:v>
      </x:c>
      <x:c r="S49" s="9" t="str">
        <x:v>Spécification à réaliser. Les champs adaptation, gameplay, visual, animation, audio et implementation décrivent le fan game ; ils ne donnent pas des caractéristiques officielles de l’œuvre.</x:v>
      </x:c>
    </x:row>
    <x:row r="50" ht="68" customHeight="1">
      <x:c r="A50" s="19" t="str">
        <x:v>MEA-ZON-MP-ZERO</x:v>
      </x:c>
      <x:c r="B50" s="7" t="str">
        <x:v>Firebase Zero</x:v>
      </x:c>
      <x:c r="C50" s="15" t="str">
        <x:v>Défini</x:v>
      </x:c>
      <x:c r="D50" s="17" t="str">
        <x:v>Établi</x:v>
      </x:c>
      <x:c r="E50" s="17" t="str">
        <x:v>P1</x:v>
      </x:c>
      <x:c r="F50" s="7" t="str">
        <x:v>Carte du module multijoueur.</x:v>
      </x:c>
      <x:c r="G50" s="7" t="str">
        <x:v>Arène à vagues distincte du solo ; définir quatre positions de départ, des voies de secours et des objectifs distribués. Relevé exact de géométrie requis avant reproduction fidèle.</x:v>
      </x:c>
      <x:c r="H50" s="7" t="str">
        <x:v>Arène à vagues distincte du solo ; définir quatre positions de départ, des voies de secours et des objectifs distribués. Relevé exact de géométrie requis avant reproduction fidèle.</x:v>
      </x:c>
      <x:c r="I50" s="7" t="str">
        <x:v>Avant-poste minier dans un astéroïde.</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mea/zones/mp-zero ; rattacher les ressources et états cités à cet identifiant. Aucun fichier de jeu créé par ce catalogue.</x:v>
      </x:c>
      <x:c r="M50" s="7" t="str">
        <x:v>Multijoueur uniquement ; Remnant Ruins associé à missions APEX, disponibilité de service non garantie par ce catalogue.</x:v>
      </x:c>
      <x:c r="N50" s="7" t="str">
        <x:v>Sélection affiche le mode multi et le bon nom ; objectif, renforts, extraction et reprise de partie fonctionnent sans fuite d’états vers la carte solo.</x:v>
      </x:c>
      <x:c r="O50" s="7" t="str"/>
      <x:c r="P50" s="7" t="str">
        <x:v>Firebase Zero</x:v>
      </x:c>
      <x:c r="Q50" s="7" t="str">
        <x:v>MEA-SRC-MP-ZERO</x:v>
      </x:c>
      <x:c r="R50" s="7" t="str">
        <x:v>https://masseffect.fandom.com/wiki/Firebase_Zero</x:v>
      </x:c>
      <x:c r="S50" s="7" t="str">
        <x:v>Spécification à réaliser. Les champs adaptation, gameplay, visual, animation, audio et implementation décrivent le fan game ; ils ne donnent pas des caractéristiques officielles de l’œuvre.</x:v>
      </x:c>
    </x:row>
    <x:row r="51" ht="68" customHeight="1">
      <x:c r="A51" s="18" t="str">
        <x:v>MEA-ZON-MP-REMNANT</x:v>
      </x:c>
      <x:c r="B51" s="9" t="str">
        <x:v>Remnant Ruins</x:v>
      </x:c>
      <x:c r="C51" s="15" t="str">
        <x:v>Défini</x:v>
      </x:c>
      <x:c r="D51" s="16" t="str">
        <x:v>Établi</x:v>
      </x:c>
      <x:c r="E51" s="16" t="str">
        <x:v>P1</x:v>
      </x:c>
      <x:c r="F51" s="9" t="str">
        <x:v>Carte du module multijoueur.</x:v>
      </x:c>
      <x:c r="G51" s="9" t="str">
        <x:v>Arène à vagues distincte du solo ; définir quatre positions de départ, des voies de secours et des objectifs distribués. Relevé exact de géométrie requis avant reproduction fidèle.</x:v>
      </x:c>
      <x:c r="H51" s="9" t="str">
        <x:v>Arène à vagues distincte du solo ; définir quatre positions de départ, des voies de secours et des objectifs distribués. Relevé exact de géométrie requis avant reproduction fidèle.</x:v>
      </x:c>
      <x:c r="I51" s="9" t="str">
        <x:v>Ruines reliquates et objectifs de mission APEX.</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mea/zones/mp-remnant ; rattacher les ressources et états cités à cet identifiant. Aucun fichier de jeu créé par ce catalogue.</x:v>
      </x:c>
      <x:c r="M51" s="9" t="str">
        <x:v>Multijoueur uniquement ; Remnant Ruins associé à missions APEX, disponibilité de service non garantie par ce catalogue.</x:v>
      </x:c>
      <x:c r="N51" s="9" t="str">
        <x:v>Sélection affiche le mode multi et le bon nom ; objectif, renforts, extraction et reprise de partie fonctionnent sans fuite d’états vers la carte solo.</x:v>
      </x:c>
      <x:c r="O51" s="9" t="str"/>
      <x:c r="P51" s="9" t="str">
        <x:v>Remnant Ruins</x:v>
      </x:c>
      <x:c r="Q51" s="9" t="str">
        <x:v>MEA-SRC-MP</x:v>
      </x:c>
      <x:c r="R51" s="9" t="str">
        <x:v>https://masseffect.fandom.com/wiki/Mass_Effect%3A_Andromeda_Multiplayer</x:v>
      </x:c>
      <x:c r="S51" s="9" t="str">
        <x:v>Spécification à réaliser. Les champs adaptation, gameplay, visual, animation, audio et implementation décrivent le fan game ; ils ne donnent pas des caractéristiques officielles de l’œuvre.</x:v>
      </x:c>
    </x:row>
  </x:sheetData>
  <x:conditionalFormatting sqref="D7:D51">
    <x:cfRule type="cellIs" dxfId="16" priority="1" operator="equal">
      <x:formula>"À vérifier"</x:formula>
    </x:cfRule>
    <x:cfRule type="cellIs" dxfId="17" priority="2" operator="equal">
      <x:formula>"Extrapolation"</x:formula>
    </x:cfRule>
  </x:conditionalFormatting>
  <x:conditionalFormatting sqref="C7:C51">
    <x:cfRule type="cellIs" dxfId="18" priority="3" operator="equal">
      <x:formula>"Validé"</x:formula>
    </x:cfRule>
  </x:conditionalFormatting>
  <x:conditionalFormatting sqref="E7:E51">
    <x:cfRule type="cellIs" dxfId="19" priority="4" operator="equal">
      <x:formula>"P0"</x:formula>
    </x:cfRule>
  </x:conditionalFormatting>
  <x:dataValidations count="3">
    <x:dataValidation type="list" sqref="C7:C51">
      <x:formula1>"Défini,Prototype,Intégré,Validé"</x:formula1>
    </x:dataValidation>
    <x:dataValidation type="list" sqref="D7:D51">
      <x:formula1>"Établi,À vérifier,Extrapolation,Coupé attesté,Concept abandonné,Allégation écartée"</x:formula1>
    </x:dataValidation>
    <x:dataValidation type="list" sqref="E7:E51">
      <x:formula1>"P0,P1,P2"</x:formula1>
    </x:dataValidation>
  </x:dataValidations>
  <x:pageMargins left="0.7" right="0.7" top="0.75" bottom="0.75" header="0.3" footer="0.3"/>
  <x:tableParts count="1">
    <x:tablePart xmlns:r="http://schemas.openxmlformats.org/officeDocument/2006/relationships" r:id="R217bba8f9f7c4c8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MEA-LNK-GALAXY</x:v>
      </x:c>
      <x:c r="B7" s="9" t="str">
        <x:v>Tempest ↔ carte de Heleus</x:v>
      </x:c>
      <x:c r="C7" s="15" t="str">
        <x:v>Défini</x:v>
      </x:c>
      <x:c r="D7" s="16" t="str">
        <x:v>Extrapolation</x:v>
      </x:c>
      <x:c r="E7" s="16" t="str">
        <x:v>P1</x:v>
      </x:c>
      <x:c r="F7" s="9" t="str">
        <x:v>Livrable original proposé : Tempest ↔ carte de Heleus.</x:v>
      </x:c>
      <x:c r="G7" s="9" t="str">
        <x:v>Voyage par système puis destination ; distinguer découverte orbitale, approche et atterrissage, conserver scans déjà faits.</x:v>
      </x:c>
      <x:c r="H7" s="9" t="str">
        <x:v>Voyage par système puis destination ; distinguer découverte orbitale, approche et atterrissage, conserver scans déjà faits.</x:v>
      </x:c>
      <x:c r="I7" s="9" t="str">
        <x:v>Carte et transition spatiale 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mea/links/galaxy ; rattacher les ressources et états cités à cet identifiant. Aucun fichier de jeu créé par ce catalogue.</x:v>
      </x:c>
      <x:c r="M7" s="9" t="str"/>
      <x:c r="N7" s="9" t="str">
        <x:v>Le livrable « Tempest ↔ carte de Heleus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MEA-LNK-NEXUS</x:v>
      </x:c>
      <x:c r="B8" s="7" t="str">
        <x:v>Tempest ↔ Nexus / Hyperion</x:v>
      </x:c>
      <x:c r="C8" s="15" t="str">
        <x:v>Défini</x:v>
      </x:c>
      <x:c r="D8" s="17" t="str">
        <x:v>Extrapolation</x:v>
      </x:c>
      <x:c r="E8" s="17" t="str">
        <x:v>P1</x:v>
      </x:c>
      <x:c r="F8" s="7" t="str">
        <x:v>Livrable original proposé : Tempest ↔ Nexus / Hyperion.</x:v>
      </x:c>
      <x:c r="G8" s="7" t="str">
        <x:v>Sélecteur de quai et transit de station ; SAM Node reste attaché à Hyperion jusqu’au changement du final.</x:v>
      </x:c>
      <x:c r="H8" s="7" t="str">
        <x:v>Sélecteur de quai et transit de station ; SAM Node reste attaché à Hyperion jusqu’au changement du final.</x:v>
      </x:c>
      <x:c r="I8" s="7" t="str">
        <x:v>Plan de station et icône d’arche.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mea/links/nexus ; rattacher les ressources et états cités à cet identifiant. Aucun fichier de jeu créé par ce catalogue.</x:v>
      </x:c>
      <x:c r="M8" s="7" t="str"/>
      <x:c r="N8" s="7" t="str">
        <x:v>Le livrable « Tempest ↔ Nexus / Hyperion » possède une scène ou un scénario de contrôle ; ses règles proposées, ses conditions et ses retours visuels sont vérifiables séparément.</x:v>
      </x:c>
      <x:c r="O8" s="7" t="str">
        <x:v>MEA-WRL-NEXUS, MEA-WRL-HYPERION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MEA-LNK-HABITAT</x:v>
      </x:c>
      <x:c r="B9" s="9" t="str">
        <x:v>Atterrissage → sites de Habitat 7</x:v>
      </x:c>
      <x:c r="C9" s="15" t="str">
        <x:v>Défini</x:v>
      </x:c>
      <x:c r="D9" s="16" t="str">
        <x:v>Extrapolation</x:v>
      </x:c>
      <x:c r="E9" s="16" t="str">
        <x:v>P1</x:v>
      </x:c>
      <x:c r="F9" s="9" t="str">
        <x:v>Livrable original proposé : Atterrissage → sites de Habitat 7.</x:v>
      </x:c>
      <x:c r="G9" s="9" t="str">
        <x:v>Branches facultatives vers rescapés puis convergence vers Alec ; sortie finale annoncée avant abandon des recherches.</x:v>
      </x:c>
      <x:c r="H9" s="9" t="str">
        <x:v>Branches facultatives vers rescapés puis convergence vers Alec ; sortie finale annoncée avant abandon des recherches.</x:v>
      </x:c>
      <x:c r="I9" s="9" t="str">
        <x:v>Carte locale et traces d’équipe.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mea/links/habitat ; rattacher les ressources et états cités à cet identifiant. Aucun fichier de jeu créé par ce catalogue.</x:v>
      </x:c>
      <x:c r="M9" s="9" t="str"/>
      <x:c r="N9" s="9" t="str">
        <x:v>Le livrable « Atterrissage → sites de Habitat 7 » possède une scène ou un scénario de contrôle ; ses règles proposées, ses conditions et ses retours visuels sont vérifiables séparément.</x:v>
      </x:c>
      <x:c r="O9" s="9" t="str">
        <x:v>MEA-MQ-PLANETSIDE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MEA-LNK-FORWARD</x:v>
      </x:c>
      <x:c r="B10" s="7" t="str">
        <x:v>Stations avancées ↔ voyage rapide</x:v>
      </x:c>
      <x:c r="C10" s="15" t="str">
        <x:v>Défini</x:v>
      </x:c>
      <x:c r="D10" s="17" t="str">
        <x:v>Extrapolation</x:v>
      </x:c>
      <x:c r="E10" s="17" t="str">
        <x:v>P1</x:v>
      </x:c>
      <x:c r="F10" s="7" t="str">
        <x:v>Livrable original proposé : Stations avancées ↔ voyage rapide.</x:v>
      </x:c>
      <x:c r="G10" s="7" t="str">
        <x:v>Débloquer à découverte et sécurité ; téléportation de confort hors combat seulement, état météo recalculé à arrivée.</x:v>
      </x:c>
      <x:c r="H10" s="7" t="str">
        <x:v>Débloquer à découverte et sécurité ; téléportation de confort hors combat seulement, état météo recalculé à arrivée.</x:v>
      </x:c>
      <x:c r="I10" s="7" t="str">
        <x:v>Balise et carte de région.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mea/links/forward ; rattacher les ressources et états cités à cet identifiant. Aucun fichier de jeu créé par ce catalogue.</x:v>
      </x:c>
      <x:c r="M10" s="7" t="str"/>
      <x:c r="N10" s="7" t="str">
        <x:v>Le livrable « Stations avancées ↔ voyage rapide » possède une scène ou un scénario de contrôle ; ses règles proposées, ses conditions et ses retours visuels sont vérifiables séparément.</x:v>
      </x:c>
      <x:c r="O10" s="7" t="str">
        <x:v>MEA-PRP-FORWARD</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MEA-LNK-NOMAD</x:v>
      </x:c>
      <x:c r="B11" s="9" t="str">
        <x:v>Ryder ↔ Nomad</x:v>
      </x:c>
      <x:c r="C11" s="15" t="str">
        <x:v>Défini</x:v>
      </x:c>
      <x:c r="D11" s="16" t="str">
        <x:v>Extrapolation</x:v>
      </x:c>
      <x:c r="E11" s="16" t="str">
        <x:v>P1</x:v>
      </x:c>
      <x:c r="F11" s="9" t="str">
        <x:v>Livrable original proposé : Ryder ↔ Nomad.</x:v>
      </x:c>
      <x:c r="G11" s="9" t="str">
        <x:v>Entrée conserve roster et équipement ; sortie choisit sol sûr et espace pour les trois personnages, interdite dans vide de H-047c.</x:v>
      </x:c>
      <x:c r="H11" s="9" t="str">
        <x:v>Entrée conserve roster et équipement ; sortie choisit sol sûr et espace pour les trois personnages, interdite dans vide de H-047c.</x:v>
      </x:c>
      <x:c r="I11" s="9" t="str">
        <x:v>Portière et points de placement.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mea/links/nomad ; rattacher les ressources et états cités à cet identifiant. Aucun fichier de jeu créé par ce catalogue.</x:v>
      </x:c>
      <x:c r="M11" s="9" t="str"/>
      <x:c r="N11" s="9" t="str">
        <x:v>Le livrable « Ryder ↔ Nomad » possède une scène ou un scénario de contrôle ; ses règles proposées, ses conditions et ses retours visuels sont vérifiables séparément.</x:v>
      </x:c>
      <x:c r="O11" s="9" t="str">
        <x:v>MEA-WRL-H047C, MEA-SYS-NOMAD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MEA-LNK-EOS</x:v>
      </x:c>
      <x:c r="B12" s="7" t="str">
        <x:v>Promise → monolithes → caveau → Prodromos</x:v>
      </x:c>
      <x:c r="C12" s="15" t="str">
        <x:v>Défini</x:v>
      </x:c>
      <x:c r="D12" s="17" t="str">
        <x:v>Extrapolation</x:v>
      </x:c>
      <x:c r="E12" s="17" t="str">
        <x:v>P1</x:v>
      </x:c>
      <x:c r="F12" s="7" t="str">
        <x:v>Livrable original proposé : Promise → monolithes → caveau → Prodromos.</x:v>
      </x:c>
      <x:c r="G12" s="7" t="str">
        <x:v>Flux de première implantation avec retours permis avant purification ; restauration et choix de colonie deux étapes distinctes.</x:v>
      </x:c>
      <x:c r="H12" s="7" t="str">
        <x:v>Flux de première implantation avec retours permis avant purification ; restauration et choix de colonie deux étapes distinctes.</x:v>
      </x:c>
      <x:c r="I12" s="7" t="str">
        <x:v>Carte à jalons et réseaux reliquats.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mea/links/eos ; rattacher les ressources et états cités à cet identifiant. Aucun fichier de jeu créé par ce catalogue.</x:v>
      </x:c>
      <x:c r="M12" s="7" t="str"/>
      <x:c r="N12" s="7" t="str">
        <x:v>Le livrable « Promise → monolithes → caveau → Prodromos » possède une scène ou un scénario de contrôle ; ses règles proposées, ses conditions et ses retours visuels sont vérifiables séparément.</x:v>
      </x:c>
      <x:c r="O12" s="7" t="str">
        <x:v>MEA-MQ-EOS</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MEA-LNK-AYA</x:v>
      </x:c>
      <x:c r="B13" s="9" t="str">
        <x:v>Quai d’Aya ↔ quartiers autorisés</x:v>
      </x:c>
      <x:c r="C13" s="15" t="str">
        <x:v>Défini</x:v>
      </x:c>
      <x:c r="D13" s="16" t="str">
        <x:v>Extrapolation</x:v>
      </x:c>
      <x:c r="E13" s="16" t="str">
        <x:v>P1</x:v>
      </x:c>
      <x:c r="F13" s="9" t="str">
        <x:v>Livrable original proposé : Quai d’Aya ↔ quartiers autorisés.</x:v>
      </x:c>
      <x:c r="G13" s="9" t="str">
        <x:v>Gates de confiance explicites aux entrées ; aucune barrière invisible sans explication de restriction locale.</x:v>
      </x:c>
      <x:c r="H13" s="9" t="str">
        <x:v>Gates de confiance explicites aux entrées ; aucune barrière invisible sans explication de restriction locale.</x:v>
      </x:c>
      <x:c r="I13" s="9" t="str">
        <x:v>Gardes, porte et nom de district.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mea/links/aya ; rattacher les ressources et états cités à cet identifiant. Aucun fichier de jeu créé par ce catalogue.</x:v>
      </x:c>
      <x:c r="M13" s="9" t="str"/>
      <x:c r="N13" s="9" t="str">
        <x:v>Le livrable « Quai d’Aya ↔ quartiers autorisés » possède une scène ou un scénario de contrôle ; ses règles proposées, ses conditions et ses retours visuels sont vérifiables séparément.</x:v>
      </x:c>
      <x:c r="O13" s="9" t="str">
        <x:v>MEA-WRL-AYA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MEA-LNK-VOELD</x:v>
      </x:c>
      <x:c r="B14" s="7" t="str">
        <x:v>Résistance → camp de captifs → installation</x:v>
      </x:c>
      <x:c r="C14" s="15" t="str">
        <x:v>Défini</x:v>
      </x:c>
      <x:c r="D14" s="17" t="str">
        <x:v>Extrapolation</x:v>
      </x:c>
      <x:c r="E14" s="17" t="str">
        <x:v>P1</x:v>
      </x:c>
      <x:c r="F14" s="7" t="str">
        <x:v>Livrable original proposé : Résistance → camp de captifs → installation.</x:v>
      </x:c>
      <x:c r="G14" s="7" t="str">
        <x:v>Missions de Voeld gardent points d’entrée propres selon ordre Havarl ; secours de la Moshae n’écrase pas les libérations secondaires.</x:v>
      </x:c>
      <x:c r="H14" s="7" t="str">
        <x:v>Missions de Voeld gardent points d’entrée propres selon ordre Havarl ; secours de la Moshae n’écrase pas les libérations secondaires.</x:v>
      </x:c>
      <x:c r="I14" s="7" t="str">
        <x:v>Carte de neige et routes de navette.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mea/links/voeld ; rattacher les ressources et états cités à cet identifiant. Aucun fichier de jeu créé par ce catalogue.</x:v>
      </x:c>
      <x:c r="M14" s="7" t="str"/>
      <x:c r="N14" s="7" t="str">
        <x:v>Le livrable « Résistance → camp de captifs → installation » possède une scène ou un scénario de contrôle ; ses règles proposées, ses conditions et ses retours visuels sont vérifiables séparément.</x:v>
      </x:c>
      <x:c r="O14" s="7" t="str">
        <x:v>MEA-ZON-VOELD-RESIST, MEA-ZON-EXALTATION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MEA-LNK-MITHRAVA</x:v>
      </x:c>
      <x:c r="B15" s="9" t="str">
        <x:v>Poste Havarl ↔ Mithrava</x:v>
      </x:c>
      <x:c r="C15" s="15" t="str">
        <x:v>Défini</x:v>
      </x:c>
      <x:c r="D15" s="16" t="str">
        <x:v>Extrapolation</x:v>
      </x:c>
      <x:c r="E15" s="16" t="str">
        <x:v>P1</x:v>
      </x:c>
      <x:c r="F15" s="9" t="str">
        <x:v>Livrable original proposé : Poste Havarl ↔ Mithrava.</x:v>
      </x:c>
      <x:c r="G15" s="9" t="str">
        <x:v>Sauts et ascenseurs de ruine à orientation claire ; raccourci de retour proposé après premier parcours réussi.</x:v>
      </x:c>
      <x:c r="H15" s="9" t="str">
        <x:v>Sauts et ascenseurs de ruine à orientation claire ; raccourci de retour proposé après premier parcours réussi.</x:v>
      </x:c>
      <x:c r="I15" s="9" t="str">
        <x:v>Plateformes et numéros d’étage.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mea/links/mithrava ; rattacher les ressources et états cités à cet identifiant. Aucun fichier de jeu créé par ce catalogue.</x:v>
      </x:c>
      <x:c r="M15" s="9" t="str"/>
      <x:c r="N15" s="9" t="str">
        <x:v>Le livrable « Poste Havarl ↔ Mithrava » possède une scène ou un scénario de contrôle ; ses règles proposées, ses conditions et ses retours visuels sont vérifiables séparément.</x:v>
      </x:c>
      <x:c r="O15" s="9" t="str">
        <x:v>MEA-ZON-MITHRAVA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MEA-LNK-KADARA</x:v>
      </x:c>
      <x:c r="B16" s="7" t="str">
        <x:v>Port → bidonville → badlands</x:v>
      </x:c>
      <x:c r="C16" s="15" t="str">
        <x:v>Défini</x:v>
      </x:c>
      <x:c r="D16" s="17" t="str">
        <x:v>Extrapolation</x:v>
      </x:c>
      <x:c r="E16" s="17" t="str">
        <x:v>P1</x:v>
      </x:c>
      <x:c r="F16" s="7" t="str">
        <x:v>Livrable original proposé : Port → bidonville → badlands.</x:v>
      </x:c>
      <x:c r="G16" s="7" t="str">
        <x:v>Transit vertical et accès Nomad à leur vrai type de zone ; pas de véhicule dans intérieur social.</x:v>
      </x:c>
      <x:c r="H16" s="7" t="str">
        <x:v>Transit vertical et accès Nomad à leur vrai type de zone ; pas de véhicule dans intérieur social.</x:v>
      </x:c>
      <x:c r="I16" s="7" t="str">
        <x:v>Ascenseur, sas et terrain ouvert.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mea/links/kadara ; rattacher les ressources et états cités à cet identifiant. Aucun fichier de jeu créé par ce catalogue.</x:v>
      </x:c>
      <x:c r="M16" s="7" t="str"/>
      <x:c r="N16" s="7" t="str">
        <x:v>Le livrable « Port → bidonville → badlands » possède une scène ou un scénario de contrôle ; ses règles proposées, ses conditions et ses retours visuels sont vérifiables séparément.</x:v>
      </x:c>
      <x:c r="O16" s="7" t="str">
        <x:v>MEA-ZON-KADARA-PORT, MEA-ZON-KADARA-BADLANDS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MEA-LNK-ELAADEN</x:v>
      </x:c>
      <x:c r="B17" s="9" t="str">
        <x:v>New Tuchanka ↔ épave ↔ caveau</x:v>
      </x:c>
      <x:c r="C17" s="15" t="str">
        <x:v>Défini</x:v>
      </x:c>
      <x:c r="D17" s="16" t="str">
        <x:v>Extrapolation</x:v>
      </x:c>
      <x:c r="E17" s="16" t="str">
        <x:v>P1</x:v>
      </x:c>
      <x:c r="F17" s="9" t="str">
        <x:v>Livrable original proposé : New Tuchanka ↔ épave ↔ caveau.</x:v>
      </x:c>
      <x:c r="G17" s="9" t="str">
        <x:v>Carte d’exploration reliant objectifs indépendants ; motorcore, restauration et accord de Morda ne fusionnent pas.</x:v>
      </x:c>
      <x:c r="H17" s="9" t="str">
        <x:v>Carte d’exploration reliant objectifs indépendants ; motorcore, restauration et accord de Morda ne fusionnent pas.</x:v>
      </x:c>
      <x:c r="I17" s="9" t="str">
        <x:v>Trois icônes d’objectif et routes désertiques.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mea/links/elaaden ; rattacher les ressources et états cités à cet identifiant. Aucun fichier de jeu créé par ce catalogue.</x:v>
      </x:c>
      <x:c r="M17" s="9" t="str"/>
      <x:c r="N17" s="9" t="str">
        <x:v>Le livrable « New Tuchanka ↔ épave ↔ caveau » possède une scène ou un scénario de contrôle ; ses règles proposées, ses conditions et ses retours visuels sont vérifiables séparément.</x:v>
      </x:c>
      <x:c r="O17" s="9" t="str">
        <x:v>MEA-ZON-NEW-TUCHANKA, MEA-ZON-DERELICT, MEA-ZON-ELAADEN-VAULT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MEA-LNK-LEUSINIA</x:v>
      </x:c>
      <x:c r="B18" s="7" t="str">
        <x:v>Tempest → arche asari</x:v>
      </x:c>
      <x:c r="C18" s="15" t="str">
        <x:v>Défini</x:v>
      </x:c>
      <x:c r="D18" s="17" t="str">
        <x:v>Extrapolation</x:v>
      </x:c>
      <x:c r="E18" s="17" t="str">
        <x:v>P1</x:v>
      </x:c>
      <x:c r="F18" s="7" t="str">
        <x:v>Livrable original proposé : Tempest → arche asari.</x:v>
      </x:c>
      <x:c r="G18" s="7" t="str">
        <x:v>Confirmer Cora et loadout avant mission ; retour applique rôle de Sarissa/Vederia et suite de relation.</x:v>
      </x:c>
      <x:c r="H18" s="7" t="str">
        <x:v>Confirmer Cora et loadout avant mission ; retour applique rôle de Sarissa/Vederia et suite de relation.</x:v>
      </x:c>
      <x:c r="I18" s="7" t="str">
        <x:v>Sas d’arche et tableau d’escouade.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mea/links/leusinia ; rattacher les ressources et états cités à cet identifiant. Aucun fichier de jeu créé par ce catalogue.</x:v>
      </x:c>
      <x:c r="M18" s="7" t="str"/>
      <x:c r="N18" s="7" t="str">
        <x:v>Le livrable « Tempest → arche asari » possède une scène ou un scénario de contrôle ; ses règles proposées, ses conditions et ses retours visuels sont vérifiables séparément.</x:v>
      </x:c>
      <x:c r="O18" s="7" t="str">
        <x:v>MEA-SQ-CORA-EDGE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MEA-LNK-LIAM-GRAVITY</x:v>
      </x:c>
      <x:c r="B19" s="9" t="str">
        <x:v>Transitions de gravité du vaisseau de Liam</x:v>
      </x:c>
      <x:c r="C19" s="15" t="str">
        <x:v>Défini</x:v>
      </x:c>
      <x:c r="D19" s="16" t="str">
        <x:v>Extrapolation</x:v>
      </x:c>
      <x:c r="E19" s="16" t="str">
        <x:v>P1</x:v>
      </x:c>
      <x:c r="F19" s="9" t="str">
        <x:v>Livrable original proposé : Transitions de gravité du vaisseau de Liam.</x:v>
      </x:c>
      <x:c r="G19" s="9" t="str">
        <x:v>Trois états de carte avec ancres sol recalculées ; ranger sprites, caméra, projectiles et loot avant rotation de scène.</x:v>
      </x:c>
      <x:c r="H19" s="9" t="str">
        <x:v>Trois états de carte avec ancres sol recalculées ; ranger sprites, caméra, projectiles et loot avant rotation de scène.</x:v>
      </x:c>
      <x:c r="I19" s="9" t="str">
        <x:v>Grue, containers et nouvelle orientation.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mea/links/liam-gravity ; rattacher les ressources et états cités à cet identifiant. Aucun fichier de jeu créé par ce catalogue.</x:v>
      </x:c>
      <x:c r="M19" s="9" t="str"/>
      <x:c r="N19" s="9" t="str">
        <x:v>Le livrable « Transitions de gravité du vaisseau de Liam » possède une scène ou un scénario de contrôle ; ses règles proposées, ses conditions et ses retours visuels sont vérifiables séparément.</x:v>
      </x:c>
      <x:c r="O19" s="9" t="str">
        <x:v>MEA-ZON-LIAM-SHIP</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MEA-LNK-PAS10</x:v>
      </x:c>
      <x:c r="B20" s="7" t="str">
        <x:v>Capsule → ruines de Pas-10 → navette</x:v>
      </x:c>
      <x:c r="C20" s="15" t="str">
        <x:v>Défini</x:v>
      </x:c>
      <x:c r="D20" s="17" t="str">
        <x:v>Extrapolation</x:v>
      </x:c>
      <x:c r="E20" s="17" t="str">
        <x:v>P1</x:v>
      </x:c>
      <x:c r="F20" s="7" t="str">
        <x:v>Livrable original proposé : Capsule → ruines de Pas-10 → navette.</x:v>
      </x:c>
      <x:c r="G20" s="7" t="str">
        <x:v>Départ narratif, itinéraire et évacuation ; retour rend l’accès au Tempest sans restaurer l’appareil perdu dans lave.</x:v>
      </x:c>
      <x:c r="H20" s="7" t="str">
        <x:v>Départ narratif, itinéraire et évacuation ; retour rend l’accès au Tempest sans restaurer l’appareil perdu dans lave.</x:v>
      </x:c>
      <x:c r="I20" s="7" t="str">
        <x:v>Capsule, pont et navette.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mea/links/pas10 ; rattacher les ressources et états cités à cet identifiant. Aucun fichier de jeu créé par ce catalogue.</x:v>
      </x:c>
      <x:c r="M20" s="7" t="str"/>
      <x:c r="N20" s="7" t="str">
        <x:v>Le livrable « Capsule → ruines de Pas-10 → navette » possède une scène ou un scénario de contrôle ; ses règles proposées, ses conditions et ses retours visuels sont vérifiables séparément.</x:v>
      </x:c>
      <x:c r="O20" s="7" t="str">
        <x:v>MEA-SQ-PEEBEE-SIGNAL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MEA-LNK-ARCHON</x:v>
      </x:c>
      <x:c r="B21" s="9" t="str">
        <x:v>Arche galarienne ↔ vaisseau kett</x:v>
      </x:c>
      <x:c r="C21" s="15" t="str">
        <x:v>Défini</x:v>
      </x:c>
      <x:c r="D21" s="16" t="str">
        <x:v>Extrapolation</x:v>
      </x:c>
      <x:c r="E21" s="16" t="str">
        <x:v>P1</x:v>
      </x:c>
      <x:c r="F21" s="9" t="str">
        <x:v>Livrable original proposé : Arche galarienne ↔ vaisseau kett.</x:v>
      </x:c>
      <x:c r="G21" s="9" t="str">
        <x:v>Transitions de groupes de captifs et embranchement final ; point d’engagement sauvegardé avant secours exclusif.</x:v>
      </x:c>
      <x:c r="H21" s="9" t="str">
        <x:v>Transitions de groupes de captifs et embranchement final ; point d’engagement sauvegardé avant secours exclusif.</x:v>
      </x:c>
      <x:c r="I21" s="9" t="str">
        <x:v>Sas, cellules et deux routes.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mea/links/archon ; rattacher les ressources et états cités à cet identifiant. Aucun fichier de jeu créé par ce catalogue.</x:v>
      </x:c>
      <x:c r="M21" s="9" t="str"/>
      <x:c r="N21" s="9" t="str">
        <x:v>Le livrable « Arche galarienne ↔ vaisseau kett » possède une scène ou un scénario de contrôle ; ses règles proposées, ses conditions et ses retours visuels sont vérifiables séparément.</x:v>
      </x:c>
      <x:c r="O21" s="9" t="str">
        <x:v>MEA-MQ-ARCHON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MEA-LNK-MERIDIAN</x:v>
      </x:c>
      <x:c r="B22" s="7" t="str">
        <x:v>Khi Tasira → véritable Méridiane</x:v>
      </x:c>
      <x:c r="C22" s="15" t="str">
        <x:v>Défini</x:v>
      </x:c>
      <x:c r="D22" s="17" t="str">
        <x:v>Extrapolation</x:v>
      </x:c>
      <x:c r="E22" s="17" t="str">
        <x:v>P1</x:v>
      </x:c>
      <x:c r="F22" s="7" t="str">
        <x:v>Livrable original proposé : Khi Tasira → véritable Méridiane.</x:v>
      </x:c>
      <x:c r="G22" s="7" t="str">
        <x:v>Carte et dénomination distinguent découverte du site et destination ; relais du jumeau conserve protagoniste original à retour.</x:v>
      </x:c>
      <x:c r="H22" s="7" t="str">
        <x:v>Carte et dénomination distinguent découverte du site et destination ; relais du jumeau conserve protagoniste original à retour.</x:v>
      </x:c>
      <x:c r="I22" s="7" t="str">
        <x:v>Réseau spatial et trajectoire Hyperion.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mea/links/meridian ; rattacher les ressources et états cités à cet identifiant. Aucun fichier de jeu créé par ce catalogue.</x:v>
      </x:c>
      <x:c r="M22" s="7" t="str"/>
      <x:c r="N22" s="7" t="str">
        <x:v>Le livrable « Khi Tasira → véritable Méridiane » possède une scène ou un scénario de contrôle ; ses règles proposées, ses conditions et ses retours visuels sont vérifiables séparément.</x:v>
      </x:c>
      <x:c r="O22" s="7" t="str">
        <x:v>MEA-WRL-KHI-TASIRA, MEA-WRL-MERIDIAN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08bd64bb17204543"/>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MEA-SCN-TEMPEST</x:v>
      </x:c>
      <x:c r="B7" s="9" t="str">
        <x:v>Kit 3D — Tempest</x:v>
      </x:c>
      <x:c r="C7" s="15" t="str">
        <x:v>Défini</x:v>
      </x:c>
      <x:c r="D7" s="16" t="str">
        <x:v>Extrapolation</x:v>
      </x:c>
      <x:c r="E7" s="16" t="str">
        <x:v>P1</x:v>
      </x:c>
      <x:c r="F7" s="9" t="str">
        <x:v>Livrable original proposé : Kit 3D — Tempest.</x:v>
      </x:c>
      <x:c r="G7" s="9" t="str">
        <x:v>Modules de cabine, pont et moteur avec toit escamotable ; circulation continue entre conversations, grandes silhouettes sans blocage.</x:v>
      </x:c>
      <x:c r="H7" s="9" t="str">
        <x:v>Modules de cabine, pont et moteur avec toit escamotable ; circulation continue entre conversations, grandes silhouettes sans blocage.</x:v>
      </x:c>
      <x:c r="I7" s="9" t="str">
        <x:v>Blanc, verre et éclairage d’exploration.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mea/scenery/tempest ; rattacher les ressources et états cités à cet identifiant. Aucun fichier de jeu créé par ce catalogue.</x:v>
      </x:c>
      <x:c r="M7" s="9" t="str"/>
      <x:c r="N7" s="9" t="str">
        <x:v>Le livrable « Kit 3D — Tempest » possède une scène ou un scénario de contrôle ; ses règles proposées, ses conditions et ses retours visuels sont vérifiables séparément.</x:v>
      </x:c>
      <x:c r="O7" s="9" t="str">
        <x:v>MEA-ZON-TEMPEST-CREW</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MEA-SCN-NEXUS</x:v>
      </x:c>
      <x:c r="B8" s="7" t="str">
        <x:v>Kit 3D — Nexus incomplet</x:v>
      </x:c>
      <x:c r="C8" s="15" t="str">
        <x:v>Défini</x:v>
      </x:c>
      <x:c r="D8" s="17" t="str">
        <x:v>Extrapolation</x:v>
      </x:c>
      <x:c r="E8" s="17" t="str">
        <x:v>P1</x:v>
      </x:c>
      <x:c r="F8" s="7" t="str">
        <x:v>Livrable original proposé : Kit 3D — Nexus incomplet.</x:v>
      </x:c>
      <x:c r="G8" s="7" t="str">
        <x:v>Sections administratives et structures en chantier ; variantes de population et réparations par progression.</x:v>
      </x:c>
      <x:c r="H8" s="7" t="str">
        <x:v>Sections administratives et structures en chantier ; variantes de population et réparations par progression.</x:v>
      </x:c>
      <x:c r="I8" s="7" t="str">
        <x:v>Métal clair, échafaudages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mea/scenery/nexus ; rattacher les ressources et états cités à cet identifiant. Aucun fichier de jeu créé par ce catalogue.</x:v>
      </x:c>
      <x:c r="M8" s="7" t="str"/>
      <x:c r="N8" s="7" t="str">
        <x:v>Le livrable « Kit 3D — Nexus incomplet » possède une scène ou un scénario de contrôle ; ses règles proposées, ses conditions et ses retours visuels sont vérifiables séparément.</x:v>
      </x:c>
      <x:c r="O8" s="7" t="str">
        <x:v>MEA-WRL-NEXUS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MEA-SCN-HYPERION</x:v>
      </x:c>
      <x:c r="B9" s="9" t="str">
        <x:v>Kit 3D — arche humaine</x:v>
      </x:c>
      <x:c r="C9" s="15" t="str">
        <x:v>Défini</x:v>
      </x:c>
      <x:c r="D9" s="16" t="str">
        <x:v>Extrapolation</x:v>
      </x:c>
      <x:c r="E9" s="16" t="str">
        <x:v>P1</x:v>
      </x:c>
      <x:c r="F9" s="9" t="str">
        <x:v>Livrable original proposé : Kit 3D — arche humaine.</x:v>
      </x:c>
      <x:c r="G9" s="9" t="str">
        <x:v>Cryostase répétable sans tous pods interactifs ; passerelle et SAM Node à identité propre.</x:v>
      </x:c>
      <x:c r="H9" s="9" t="str">
        <x:v>Cryostase répétable sans tous pods interactifs ; passerelle et SAM Node à identité propre.</x:v>
      </x:c>
      <x:c r="I9" s="9" t="str">
        <x:v>Volumes blancs, brume et lumière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mea/scenery/hyperion ; rattacher les ressources et états cités à cet identifiant. Aucun fichier de jeu créé par ce catalogue.</x:v>
      </x:c>
      <x:c r="M9" s="9" t="str"/>
      <x:c r="N9" s="9" t="str">
        <x:v>Le livrable « Kit 3D — arche humaine » possède une scène ou un scénario de contrôle ; ses règles proposées, ses conditions et ses retours visuels sont vérifiables séparément.</x:v>
      </x:c>
      <x:c r="O9" s="9" t="str">
        <x:v>MEA-WRL-HYPERION</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MEA-SCN-HABITAT</x:v>
      </x:c>
      <x:c r="B10" s="7" t="str">
        <x:v>Kit 3D — Habitat 7</x:v>
      </x:c>
      <x:c r="C10" s="15" t="str">
        <x:v>Défini</x:v>
      </x:c>
      <x:c r="D10" s="17" t="str">
        <x:v>Extrapolation</x:v>
      </x:c>
      <x:c r="E10" s="17" t="str">
        <x:v>P1</x:v>
      </x:c>
      <x:c r="F10" s="7" t="str">
        <x:v>Livrable original proposé : Kit 3D — Habitat 7.</x:v>
      </x:c>
      <x:c r="G10" s="7" t="str">
        <x:v>Rochers, sol brisé et tours avec flottements décoratifs ; masque de collision clairement séparé de débris en vol.</x:v>
      </x:c>
      <x:c r="H10" s="7" t="str">
        <x:v>Rochers, sol brisé et tours avec flottements décoratifs ; masque de collision clairement séparé de débris en vol.</x:v>
      </x:c>
      <x:c r="I10" s="7" t="str">
        <x:v>Noir, rouge de ciel et éclairs.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mea/scenery/habitat ; rattacher les ressources et états cités à cet identifiant. Aucun fichier de jeu créé par ce catalogue.</x:v>
      </x:c>
      <x:c r="M10" s="7" t="str"/>
      <x:c r="N10" s="7" t="str">
        <x:v>Le livrable « Kit 3D —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MEA-SCN-EOS</x:v>
      </x:c>
      <x:c r="B11" s="9" t="str">
        <x:v>Kit 3D — Eos</x:v>
      </x:c>
      <x:c r="C11" s="15" t="str">
        <x:v>Défini</x:v>
      </x:c>
      <x:c r="D11" s="16" t="str">
        <x:v>Extrapolation</x:v>
      </x:c>
      <x:c r="E11" s="16" t="str">
        <x:v>P1</x:v>
      </x:c>
      <x:c r="F11" s="9" t="str">
        <x:v>Livrable original proposé : Kit 3D — Eos.</x:v>
      </x:c>
      <x:c r="G11" s="9" t="str">
        <x:v>Mesas, préfabriqués et dunes ; routes Nomad larges, couvert ATB local défini dans arènes de pied.</x:v>
      </x:c>
      <x:c r="H11" s="9" t="str">
        <x:v>Mesas, préfabriqués et dunes ; routes Nomad larges, couvert ATB local défini dans arènes de pied.</x:v>
      </x:c>
      <x:c r="I11" s="9" t="str">
        <x:v>Sable orange et blanc Initiative.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mea/scenery/eos ; rattacher les ressources et états cités à cet identifiant. Aucun fichier de jeu créé par ce catalogue.</x:v>
      </x:c>
      <x:c r="M11" s="9" t="str"/>
      <x:c r="N11" s="9" t="str">
        <x:v>Le livrable « Kit 3D — Eos » possède une scène ou un scénario de contrôle ; ses règles proposées, ses conditions et ses retours visuels sont vérifiables séparément.</x:v>
      </x:c>
      <x:c r="O11" s="9" t="str">
        <x:v>MEA-WRL-EOS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MEA-SCN-AYA</x:v>
      </x:c>
      <x:c r="B12" s="7" t="str">
        <x:v>Kit 3D — Aya</x:v>
      </x:c>
      <x:c r="C12" s="15" t="str">
        <x:v>Défini</x:v>
      </x:c>
      <x:c r="D12" s="17" t="str">
        <x:v>Extrapolation</x:v>
      </x:c>
      <x:c r="E12" s="17" t="str">
        <x:v>P1</x:v>
      </x:c>
      <x:c r="F12" s="7" t="str">
        <x:v>Livrable original proposé : Kit 3D — Aya.</x:v>
      </x:c>
      <x:c r="G12" s="7" t="str">
        <x:v>Terrasses, canaux et marché sous cascade ; volumes de foule et stands permettent lecture de portraits.</x:v>
      </x:c>
      <x:c r="H12" s="7" t="str">
        <x:v>Terrasses, canaux et marché sous cascade ; volumes de foule et stands permettent lecture de portraits.</x:v>
      </x:c>
      <x:c r="I12" s="7" t="str">
        <x:v>Végétation, textile et architecture angara.</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mea/scenery/aya ; rattacher les ressources et états cités à cet identifiant. Aucun fichier de jeu créé par ce catalogue.</x:v>
      </x:c>
      <x:c r="M12" s="7" t="str"/>
      <x:c r="N12" s="7" t="str">
        <x:v>Le livrable « Kit 3D — Aya » possède une scène ou un scénario de contrôle ; ses règles proposées, ses conditions et ses retours visuels sont vérifiables séparément.</x:v>
      </x:c>
      <x:c r="O12" s="7" t="str">
        <x:v>MEA-WRL-AYA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MEA-SCN-VOELD</x:v>
      </x:c>
      <x:c r="B13" s="9" t="str">
        <x:v>Kit 3D — Voeld</x:v>
      </x:c>
      <x:c r="C13" s="15" t="str">
        <x:v>Défini</x:v>
      </x:c>
      <x:c r="D13" s="16" t="str">
        <x:v>Extrapolation</x:v>
      </x:c>
      <x:c r="E13" s="16" t="str">
        <x:v>P1</x:v>
      </x:c>
      <x:c r="F13" s="9" t="str">
        <x:v>Livrable original proposé : Kit 3D — Voeld.</x:v>
      </x:c>
      <x:c r="G13" s="9" t="str">
        <x:v>Neige, grottes et bases ; surfaces bleues glissantes décoratives ne deviennent pas mécaniques sans règle annoncée.</x:v>
      </x:c>
      <x:c r="H13" s="9" t="str">
        <x:v>Neige, grottes et bases ; surfaces bleues glissantes décoratives ne deviennent pas mécaniques sans règle annoncée.</x:v>
      </x:c>
      <x:c r="I13" s="9" t="str">
        <x:v>Glace cyan, abris chauds et ciel froid.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mea/scenery/voeld ; rattacher les ressources et états cités à cet identifiant. Aucun fichier de jeu créé par ce catalogue.</x:v>
      </x:c>
      <x:c r="M13" s="9" t="str"/>
      <x:c r="N13" s="9" t="str">
        <x:v>Le livrable « Kit 3D — Voeld » possède une scène ou un scénario de contrôle ; ses règles proposées, ses conditions et ses retours visuels sont vérifiables séparément.</x:v>
      </x:c>
      <x:c r="O13" s="9" t="str">
        <x:v>MEA-WRL-VOELD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MEA-SCN-HAVARL</x:v>
      </x:c>
      <x:c r="B14" s="7" t="str">
        <x:v>Kit 3D — Havarl</x:v>
      </x:c>
      <x:c r="C14" s="15" t="str">
        <x:v>Défini</x:v>
      </x:c>
      <x:c r="D14" s="17" t="str">
        <x:v>Extrapolation</x:v>
      </x:c>
      <x:c r="E14" s="17" t="str">
        <x:v>P1</x:v>
      </x:c>
      <x:c r="F14" s="7" t="str">
        <x:v>Livrable original proposé : Kit 3D — Havarl.</x:v>
      </x:c>
      <x:c r="G14" s="7" t="str">
        <x:v>Forêt dense à étages, lianes et reliquats ; transparence de feuillage proche caméra sans disparition des indices.</x:v>
      </x:c>
      <x:c r="H14" s="7" t="str">
        <x:v>Forêt dense à étages, lianes et reliquats ; transparence de feuillage proche caméra sans disparition des indices.</x:v>
      </x:c>
      <x:c r="I14" s="7" t="str">
        <x:v>Vert, magenta et lumière de ruine.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mea/scenery/havarl ; rattacher les ressources et états cités à cet identifiant. Aucun fichier de jeu créé par ce catalogue.</x:v>
      </x:c>
      <x:c r="M14" s="7" t="str"/>
      <x:c r="N14" s="7" t="str">
        <x:v>Le livrable « Kit 3D — Havarl » possède une scène ou un scénario de contrôle ; ses règles proposées, ses conditions et ses retours visuels sont vérifiables séparément.</x:v>
      </x:c>
      <x:c r="O14" s="7" t="str">
        <x:v>MEA-WRL-HAVARL</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MEA-SCN-KADARA</x:v>
      </x:c>
      <x:c r="B15" s="9" t="str">
        <x:v>Kit 3D — Kadara</x:v>
      </x:c>
      <x:c r="C15" s="15" t="str">
        <x:v>Défini</x:v>
      </x:c>
      <x:c r="D15" s="16" t="str">
        <x:v>Extrapolation</x:v>
      </x:c>
      <x:c r="E15" s="16" t="str">
        <x:v>P1</x:v>
      </x:c>
      <x:c r="F15" s="9" t="str">
        <x:v>Livrable original proposé : Kit 3D — Kadara.</x:v>
      </x:c>
      <x:c r="G15" s="9" t="str">
        <x:v>Roches multicolores, port et bassins ; eau dangereuse bordée par forme/texture, pas couleur seule.</x:v>
      </x:c>
      <x:c r="H15" s="9" t="str">
        <x:v>Roches multicolores, port et bassins ; eau dangereuse bordée par forme/texture, pas couleur seule.</x:v>
      </x:c>
      <x:c r="I15" s="9" t="str">
        <x:v>Orange, violet et reflets acides.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mea/scenery/kadara ; rattacher les ressources et états cités à cet identifiant. Aucun fichier de jeu créé par ce catalogue.</x:v>
      </x:c>
      <x:c r="M15" s="9" t="str"/>
      <x:c r="N15" s="9" t="str">
        <x:v>Le livrable « Kit 3D — Kadara » possède une scène ou un scénario de contrôle ; ses règles proposées, ses conditions et ses retours visuels sont vérifiables séparément.</x:v>
      </x:c>
      <x:c r="O15" s="9" t="str">
        <x:v>MEA-WRL-KADARA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MEA-SCN-ELAADEN</x:v>
      </x:c>
      <x:c r="B16" s="7" t="str">
        <x:v>Kit 3D — Elaaden</x:v>
      </x:c>
      <x:c r="C16" s="15" t="str">
        <x:v>Défini</x:v>
      </x:c>
      <x:c r="D16" s="17" t="str">
        <x:v>Extrapolation</x:v>
      </x:c>
      <x:c r="E16" s="17" t="str">
        <x:v>P1</x:v>
      </x:c>
      <x:c r="F16" s="7" t="str">
        <x:v>Livrable original proposé : Kit 3D — Elaaden.</x:v>
      </x:c>
      <x:c r="G16" s="7" t="str">
        <x:v>Dunes claires, gigantesque épave et colonie ; ombres jouables cohérentes avec protection contre chaleur proposée.</x:v>
      </x:c>
      <x:c r="H16" s="7" t="str">
        <x:v>Dunes claires, gigantesque épave et colonie ; ombres jouables cohérentes avec protection contre chaleur proposée.</x:v>
      </x:c>
      <x:c r="I16" s="7" t="str">
        <x:v>Sable pâle et métal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mea/scenery/elaaden ; rattacher les ressources et états cités à cet identifiant. Aucun fichier de jeu créé par ce catalogue.</x:v>
      </x:c>
      <x:c r="M16" s="7" t="str"/>
      <x:c r="N16" s="7" t="str">
        <x:v>Le livrable « Kit 3D — Elaaden » possède une scène ou un scénario de contrôle ; ses règles proposées, ses conditions et ses retours visuels sont vérifiables séparément.</x:v>
      </x:c>
      <x:c r="O16" s="7" t="str">
        <x:v>MEA-WRL-ELAADEN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MEA-SCN-H047C</x:v>
      </x:c>
      <x:c r="B17" s="9" t="str">
        <x:v>Kit 3D — H-047c</x:v>
      </x:c>
      <x:c r="C17" s="15" t="str">
        <x:v>Défini</x:v>
      </x:c>
      <x:c r="D17" s="16" t="str">
        <x:v>Extrapolation</x:v>
      </x:c>
      <x:c r="E17" s="16" t="str">
        <x:v>P1</x:v>
      </x:c>
      <x:c r="F17" s="9" t="str">
        <x:v>Livrable original proposé : Kit 3D — H-047c.</x:v>
      </x:c>
      <x:c r="G17" s="9" t="str">
        <x:v>Fragments, dômes et mine ; horizon spatial et rochers de fond ne créent pas de fausse plateforme praticable.</x:v>
      </x:c>
      <x:c r="H17" s="9" t="str">
        <x:v>Fragments, dômes et mine ; horizon spatial et rochers de fond ne créent pas de fausse plateforme praticable.</x:v>
      </x:c>
      <x:c r="I17" s="9" t="str">
        <x:v>Vide noir et minéraux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mea/scenery/h047c ; rattacher les ressources et états cités à cet identifiant. Aucun fichier de jeu créé par ce catalogue.</x:v>
      </x:c>
      <x:c r="M17" s="9" t="str"/>
      <x:c r="N17" s="9" t="str">
        <x:v>Le livrable « Kit 3D — H-047c » possède une scène ou un scénario de contrôle ; ses règles proposées, ses conditions et ses retours visuels sont vérifiables séparément.</x:v>
      </x:c>
      <x:c r="O17" s="9" t="str">
        <x:v>MEA-WRL-H047C</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MEA-SCN-KETT</x:v>
      </x:c>
      <x:c r="B18" s="7" t="str">
        <x:v>Kit 3D — architecture kett</x:v>
      </x:c>
      <x:c r="C18" s="15" t="str">
        <x:v>Défini</x:v>
      </x:c>
      <x:c r="D18" s="17" t="str">
        <x:v>Extrapolation</x:v>
      </x:c>
      <x:c r="E18" s="17" t="str">
        <x:v>P1</x:v>
      </x:c>
      <x:c r="F18" s="7" t="str">
        <x:v>Livrable original proposé : Kit 3D — architecture kett.</x:v>
      </x:c>
      <x:c r="G18" s="7" t="str">
        <x:v>Parois organiques modulaires, prisons et laboratoire ; système de portes clairement distinct des consoles reliquates.</x:v>
      </x:c>
      <x:c r="H18" s="7" t="str">
        <x:v>Parois organiques modulaires, prisons et laboratoire ; système de portes clairement distinct des consoles reliquates.</x:v>
      </x:c>
      <x:c r="I18" s="7" t="str">
        <x:v>Os, vert sourd et lumière clinique.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mea/scenery/kett ; rattacher les ressources et états cités à cet identifiant. Aucun fichier de jeu créé par ce catalogue.</x:v>
      </x:c>
      <x:c r="M18" s="7" t="str"/>
      <x:c r="N18" s="7" t="str">
        <x:v>Le livrable « Kit 3D — architecture kett » possède une scène ou un scénario de contrôle ; ses règles proposées, ses conditions et ses retours visuels sont vérifiables séparément.</x:v>
      </x:c>
      <x:c r="O18" s="7" t="str">
        <x:v>MEA-ZON-KETT-FLAGSHIP</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MEA-SCN-REMNANT</x:v>
      </x:c>
      <x:c r="B19" s="9" t="str">
        <x:v>Kit 3D — caveaux reliquats</x:v>
      </x:c>
      <x:c r="C19" s="15" t="str">
        <x:v>Défini</x:v>
      </x:c>
      <x:c r="D19" s="16" t="str">
        <x:v>Extrapolation</x:v>
      </x:c>
      <x:c r="E19" s="16" t="str">
        <x:v>P1</x:v>
      </x:c>
      <x:c r="F19" s="9" t="str">
        <x:v>Livrable original proposé : Kit 3D — caveaux reliquats.</x:v>
      </x:c>
      <x:c r="G19" s="9" t="str">
        <x:v>Piliers noirs, dalles mobiles, portes et lignes d’énergie ; chaque pièce fonctionne à plusieurs orientations de caméra.</x:v>
      </x:c>
      <x:c r="H19" s="9" t="str">
        <x:v>Piliers noirs, dalles mobiles, portes et lignes d’énergie ; chaque pièce fonctionne à plusieurs orientations de caméra.</x:v>
      </x:c>
      <x:c r="I19" s="9" t="str">
        <x:v>Noir poli et turquoise géométrique.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mea/scenery/remnant ; rattacher les ressources et états cités à cet identifiant. Aucun fichier de jeu créé par ce catalogue.</x:v>
      </x:c>
      <x:c r="M19" s="9" t="str"/>
      <x:c r="N19" s="9" t="str">
        <x:v>Le livrable « Kit 3D — caveaux reliquats » possède une scène ou un scénario de contrôle ; ses règles proposées, ses conditions et ses retours visuels sont vérifiables séparément.</x:v>
      </x:c>
      <x:c r="O19" s="9" t="str">
        <x:v>MEA-LOR-VAULTS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MEA-SCN-MERIDIAN</x:v>
      </x:c>
      <x:c r="B20" s="7" t="str">
        <x:v>Kit 3D — Méridiane</x:v>
      </x:c>
      <x:c r="C20" s="15" t="str">
        <x:v>Défini</x:v>
      </x:c>
      <x:c r="D20" s="17" t="str">
        <x:v>Extrapolation</x:v>
      </x:c>
      <x:c r="E20" s="17" t="str">
        <x:v>P1</x:v>
      </x:c>
      <x:c r="F20" s="7" t="str">
        <x:v>Livrable original proposé : Kit 3D — Méridiane.</x:v>
      </x:c>
      <x:c r="G20" s="7" t="str">
        <x:v>Intérieur habitable et réseau monumental ; final technique puis épilogue verdoyant en cartes distinctes.</x:v>
      </x:c>
      <x:c r="H20" s="7" t="str">
        <x:v>Intérieur habitable et réseau monumental ; final technique puis épilogue verdoyant en cartes distinctes.</x:v>
      </x:c>
      <x:c r="I20" s="7" t="str">
        <x:v>Lumière intérieure, eau et architecture géante.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mea/scenery/meridian ; rattacher les ressources et états cités à cet identifiant. Aucun fichier de jeu créé par ce catalogue.</x:v>
      </x:c>
      <x:c r="M20" s="7" t="str"/>
      <x:c r="N20" s="7" t="str">
        <x:v>Le livrable « Kit 3D — Méridiane » possède une scène ou un scénario de contrôle ; ses règles proposées, ses conditions et ses retours visuels sont vérifiables séparément.</x:v>
      </x:c>
      <x:c r="O20" s="7" t="str">
        <x:v>MEA-WRL-MERIDIAN</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24" priority="1" operator="equal">
      <x:formula>"À vérifier"</x:formula>
    </x:cfRule>
    <x:cfRule type="cellIs" dxfId="25" priority="2" operator="equal">
      <x:formula>"Extrapolation"</x:formula>
    </x:cfRule>
  </x:conditionalFormatting>
  <x:conditionalFormatting sqref="C7:C20">
    <x:cfRule type="cellIs" dxfId="26" priority="3" operator="equal">
      <x:formula>"Validé"</x:formula>
    </x:cfRule>
  </x:conditionalFormatting>
  <x:conditionalFormatting sqref="E7:E20">
    <x:cfRule type="cellIs" dxfId="2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e67fc50249834ae3"/>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MEA-PRP-SCANNER</x:v>
      </x:c>
      <x:c r="B7" s="9" t="str">
        <x:v>Scanner du Pionnier</x:v>
      </x:c>
      <x:c r="C7" s="15" t="str">
        <x:v>Défini</x:v>
      </x:c>
      <x:c r="D7" s="16" t="str">
        <x:v>Extrapolation</x:v>
      </x:c>
      <x:c r="E7" s="16" t="str">
        <x:v>P1</x:v>
      </x:c>
      <x:c r="F7" s="9" t="str">
        <x:v>Livrable original proposé : Scanner du Pionnier.</x:v>
      </x:c>
      <x:c r="G7" s="9" t="str">
        <x:v>Mode d’observation avec silhouette de cible, catégorie de données et statut déjà scanné ; grandes zones interactives accessibles.</x:v>
      </x:c>
      <x:c r="H7" s="9" t="str">
        <x:v>Mode d’observation avec silhouette de cible, catégorie de données et statut déjà scanné ; grandes zones interactives accessibles.</x:v>
      </x:c>
      <x:c r="I7" s="9" t="str">
        <x:v>Cadre orange et nom lisible.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mea/props/scanner ; rattacher les ressources et états cités à cet identifiant. Aucun fichier de jeu créé par ce catalogue.</x:v>
      </x:c>
      <x:c r="M7" s="9" t="str"/>
      <x:c r="N7" s="9" t="str">
        <x:v>Le livrable « Scanner du Pionnier » possède une scène ou un scénario de contrôle ; ses règles proposées, ses conditions et ses retours visuels sont vérifiables séparément.</x:v>
      </x:c>
      <x:c r="O7" s="9" t="str">
        <x:v>MEA-SYS-SCAN</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MEA-PRP-FORWARD</x:v>
      </x:c>
      <x:c r="B8" s="7" t="str">
        <x:v>Station avancée</x:v>
      </x:c>
      <x:c r="C8" s="15" t="str">
        <x:v>Défini</x:v>
      </x:c>
      <x:c r="D8" s="17" t="str">
        <x:v>Extrapolation</x:v>
      </x:c>
      <x:c r="E8" s="17" t="str">
        <x:v>P1</x:v>
      </x:c>
      <x:c r="F8" s="7" t="str">
        <x:v>Livrable original proposé : Station avancée.</x:v>
      </x:c>
      <x:c r="G8" s="7" t="str">
        <x:v>Déploiement, repos et loadout en interactions séparées ; ne pas consommer ressource en consultant la carte.</x:v>
      </x:c>
      <x:c r="H8" s="7" t="str">
        <x:v>Déploiement, repos et loadout en interactions séparées ; ne pas consommer ressource en consultant la carte.</x:v>
      </x:c>
      <x:c r="I8" s="7" t="str">
        <x:v>Balise Initiative et modules déployés.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mea/props/forward ; rattacher les ressources et états cités à cet identifiant. Aucun fichier de jeu créé par ce catalogue.</x:v>
      </x:c>
      <x:c r="M8" s="7" t="str"/>
      <x:c r="N8" s="7" t="str">
        <x:v>Le livrable « Station avancée » possède une scène ou un scénario de contrôle ; ses règles proposées, ses conditions et ses retours visuels sont vérifiables séparément.</x:v>
      </x:c>
      <x:c r="O8" s="7" t="str">
        <x:v>MEA-SYS-FORWARD</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MEA-PRP-MONOLITH</x:v>
      </x:c>
      <x:c r="B9" s="9" t="str">
        <x:v>Monolithe reliquat</x:v>
      </x:c>
      <x:c r="C9" s="15" t="str">
        <x:v>Défini</x:v>
      </x:c>
      <x:c r="D9" s="16" t="str">
        <x:v>Extrapolation</x:v>
      </x:c>
      <x:c r="E9" s="16" t="str">
        <x:v>P1</x:v>
      </x:c>
      <x:c r="F9" s="9" t="str">
        <x:v>Livrable original proposé : Monolithe reliquat.</x:v>
      </x:c>
      <x:c r="G9" s="9" t="str">
        <x:v>États inactif, glyphes acquis, puzzle résolu et réseau ouvert ; aucun simple clic ne saute une étape sans option explicite.</x:v>
      </x:c>
      <x:c r="H9" s="9" t="str">
        <x:v>États inactif, glyphes acquis, puzzle résolu et réseau ouvert ; aucun simple clic ne saute une étape sans option explicite.</x:v>
      </x:c>
      <x:c r="I9" s="9" t="str">
        <x:v>Piliers et lignes d’énergie.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mea/props/monolith ; rattacher les ressources et états cités à cet identifiant. Aucun fichier de jeu créé par ce catalogue.</x:v>
      </x:c>
      <x:c r="M9" s="9" t="str"/>
      <x:c r="N9" s="9" t="str">
        <x:v>Le livrable « Monolithe reliquat » possède une scène ou un scénario de contrôle ; ses règles proposées, ses conditions et ses retours visuels sont vérifiables séparément.</x:v>
      </x:c>
      <x:c r="O9" s="9" t="str">
        <x:v>MEA-SYS-PUZZLES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MEA-PRP-GLYPH</x:v>
      </x:c>
      <x:c r="B10" s="7" t="str">
        <x:v>Glyphe à scanner</x:v>
      </x:c>
      <x:c r="C10" s="15" t="str">
        <x:v>Défini</x:v>
      </x:c>
      <x:c r="D10" s="17" t="str">
        <x:v>Extrapolation</x:v>
      </x:c>
      <x:c r="E10" s="17" t="str">
        <x:v>P1</x:v>
      </x:c>
      <x:c r="F10" s="7" t="str">
        <x:v>Livrable original proposé : Glyphe à scanner.</x:v>
      </x:c>
      <x:c r="G10" s="7" t="str">
        <x:v>Surface assez large pour pointage et alternative de liste ; identifiant unique de découverte et symbole indépendant de couleur.</x:v>
      </x:c>
      <x:c r="H10" s="7" t="str">
        <x:v>Surface assez large pour pointage et alternative de liste ; identifiant unique de découverte et symbole indépendant de couleur.</x:v>
      </x:c>
      <x:c r="I10" s="7" t="str">
        <x:v>Symbole géométrique sur pierre.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mea/props/glyph ; rattacher les ressources et états cités à cet identifiant. Aucun fichier de jeu créé par ce catalogue.</x:v>
      </x:c>
      <x:c r="M10" s="7" t="str"/>
      <x:c r="N10" s="7" t="str">
        <x:v>Le livrable « Glyphe à scanner » possède une scène ou un scénario de contrôle ; ses règles proposées, ses conditions et ses retours visuels sont vérifiables séparément.</x:v>
      </x:c>
      <x:c r="O10" s="7" t="str">
        <x:v>MEA-SYS-PUZZLES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MEA-PRP-VAULT-CONSOLE</x:v>
      </x:c>
      <x:c r="B11" s="9" t="str">
        <x:v>Console de caveau</x:v>
      </x:c>
      <x:c r="C11" s="15" t="str">
        <x:v>Défini</x:v>
      </x:c>
      <x:c r="D11" s="16" t="str">
        <x:v>Extrapolation</x:v>
      </x:c>
      <x:c r="E11" s="16" t="str">
        <x:v>P1</x:v>
      </x:c>
      <x:c r="F11" s="9" t="str">
        <x:v>Livrable original proposé : Console de caveau.</x:v>
      </x:c>
      <x:c r="G11" s="9" t="str">
        <x:v>Interface avec effet visible sur porte, champ ou machine ; afficher conséquence d’interaction avant déclenchement de purification.</x:v>
      </x:c>
      <x:c r="H11" s="9" t="str">
        <x:v>Interface avec effet visible sur porte, champ ou machine ; afficher conséquence d’interaction avant déclenchement de purification.</x:v>
      </x:c>
      <x:c r="I11" s="9" t="str">
        <x:v>Pupitre noir et hologramme turquoise.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mea/props/vault-console ; rattacher les ressources et états cités à cet identifiant. Aucun fichier de jeu créé par ce catalogue.</x:v>
      </x:c>
      <x:c r="M11" s="9" t="str"/>
      <x:c r="N11" s="9" t="str">
        <x:v>Le livrable « Console de caveau » possède une scène ou un scénario de contrôle ; ses règles proposées, ses conditions et ses retours visuels sont vérifiables séparément.</x:v>
      </x:c>
      <x:c r="O11" s="9" t="str">
        <x:v>MEA-SYS-VAULTS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MEA-PRP-PURIFICATION</x:v>
      </x:c>
      <x:c r="B12" s="7" t="str">
        <x:v>Champ de purification</x:v>
      </x:c>
      <x:c r="C12" s="15" t="str">
        <x:v>Défini</x:v>
      </x:c>
      <x:c r="D12" s="17" t="str">
        <x:v>Extrapolation</x:v>
      </x:c>
      <x:c r="E12" s="17" t="str">
        <x:v>P1</x:v>
      </x:c>
      <x:c r="F12" s="7" t="str">
        <x:v>Livrable original proposé : Champ de purification.</x:v>
      </x:c>
      <x:c r="G12" s="7" t="str">
        <x:v>Danger de déplacement avec front lisible et compte à rebours facultatif proposé ; route de sortie pas dissimulée derrière sprite géant.</x:v>
      </x:c>
      <x:c r="H12" s="7" t="str">
        <x:v>Danger de déplacement avec front lisible et compte à rebours facultatif proposé ; route de sortie pas dissimulée derrière sprite géant.</x:v>
      </x:c>
      <x:c r="I12" s="7" t="str">
        <x:v>Mur d’énergie et sol de fuite.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mea/props/purification ; rattacher les ressources et états cités à cet identifiant. Aucun fichier de jeu créé par ce catalogue.</x:v>
      </x:c>
      <x:c r="M12" s="7" t="str"/>
      <x:c r="N12" s="7" t="str">
        <x:v>Le livrable « Champ de purification » possède une scène ou un scénario de contrôle ; ses règles proposées, ses conditions et ses retours visuels sont vérifiables séparément.</x:v>
      </x:c>
      <x:c r="O12" s="7" t="str">
        <x:v>MEA-SYS-VAULTS</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MEA-PRP-LIFE-SUPPORT</x:v>
      </x:c>
      <x:c r="B13" s="9" t="str">
        <x:v>Indicateur de survie</x:v>
      </x:c>
      <x:c r="C13" s="15" t="str">
        <x:v>Défini</x:v>
      </x:c>
      <x:c r="D13" s="16" t="str">
        <x:v>Extrapolation</x:v>
      </x:c>
      <x:c r="E13" s="16" t="str">
        <x:v>P1</x:v>
      </x:c>
      <x:c r="F13" s="9" t="str">
        <x:v>Livrable original proposé : Indicateur de survie.</x:v>
      </x:c>
      <x:c r="G13" s="9" t="str">
        <x:v>Radiation, froid, chaleur et vide ont noms et symboles propres ; avertissement gradué sans répétition vocale constante.</x:v>
      </x:c>
      <x:c r="H13" s="9" t="str">
        <x:v>Radiation, froid, chaleur et vide ont noms et symboles propres ; avertissement gradué sans répétition vocale constante.</x:v>
      </x:c>
      <x:c r="I13" s="9" t="str">
        <x:v>Jauge de combinaison et icône de danger.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mea/props/life-support ; rattacher les ressources et états cités à cet identifiant. Aucun fichier de jeu créé par ce catalogue.</x:v>
      </x:c>
      <x:c r="M13" s="9" t="str"/>
      <x:c r="N13" s="9" t="str">
        <x:v>Le livrable « Indicateur de survie » possède une scène ou un scénario de contrôle ; ses règles proposées, ses conditions et ses retours visuels sont vérifiables séparément.</x:v>
      </x:c>
      <x:c r="O13" s="9" t="str">
        <x:v>MEA-SYS-HAZARDS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MEA-PRP-MINING</x:v>
      </x:c>
      <x:c r="B14" s="7" t="str">
        <x:v>Gisement et drone minier</x:v>
      </x:c>
      <x:c r="C14" s="15" t="str">
        <x:v>Défini</x:v>
      </x:c>
      <x:c r="D14" s="17" t="str">
        <x:v>Extrapolation</x:v>
      </x:c>
      <x:c r="E14" s="17" t="str">
        <x:v>P1</x:v>
      </x:c>
      <x:c r="F14" s="7" t="str">
        <x:v>Livrable original proposé : Gisement et drone minier.</x:v>
      </x:c>
      <x:c r="G14" s="7" t="str">
        <x:v>Scanner de zone et extraction avec aperçu ; inventaire confirme quantité du fan game, aucun forage d’un gisement déjà vide.</x:v>
      </x:c>
      <x:c r="H14" s="7" t="str">
        <x:v>Scanner de zone et extraction avec aperçu ; inventaire confirme quantité du fan game, aucun forage d’un gisement déjà vide.</x:v>
      </x:c>
      <x:c r="I14" s="7" t="str">
        <x:v>Sonde, minerai et carte d’intensité.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mea/props/mining ; rattacher les ressources et états cités à cet identifiant. Aucun fichier de jeu créé par ce catalogue.</x:v>
      </x:c>
      <x:c r="M14" s="7" t="str"/>
      <x:c r="N14" s="7" t="str">
        <x:v>Le livrable « Gisement et drone minier » possède une scène ou un scénario de contrôle ; ses règles proposées, ses conditions et ses retours visuels sont vérifiables séparément.</x:v>
      </x:c>
      <x:c r="O14" s="7" t="str">
        <x:v>MEA-SYS-RESEARCH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MEA-PRP-MEMORY</x:v>
      </x:c>
      <x:c r="B15" s="9" t="str">
        <x:v>Déclencheur de mémoire d’Alec</x:v>
      </x:c>
      <x:c r="C15" s="15" t="str">
        <x:v>Défini</x:v>
      </x:c>
      <x:c r="D15" s="16" t="str">
        <x:v>Extrapolation</x:v>
      </x:c>
      <x:c r="E15" s="16" t="str">
        <x:v>P1</x:v>
      </x:c>
      <x:c r="F15" s="9" t="str">
        <x:v>Livrable original proposé : Déclencheur de mémoire d’Alec.</x:v>
      </x:c>
      <x:c r="G15" s="9" t="str">
        <x:v>Objet de collecte à silhouette distincte des données reliquates ; débloque seuil d’archive sans jouer mémoire sur place par accident.</x:v>
      </x:c>
      <x:c r="H15" s="9" t="str">
        <x:v>Objet de collecte à silhouette distincte des données reliquates ; débloque seuil d’archive sans jouer mémoire sur place par accident.</x:v>
      </x:c>
      <x:c r="I15" s="9" t="str">
        <x:v>Halo de mémoire et progression SAM.</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mea/props/memory ; rattacher les ressources et états cités à cet identifiant. Aucun fichier de jeu créé par ce catalogue.</x:v>
      </x:c>
      <x:c r="M15" s="9" t="str"/>
      <x:c r="N15" s="9" t="str">
        <x:v>Le livrable « Déclencheur de mémoire d’Alec » possède une scène ou un scénario de contrôle ; ses règles proposées, ses conditions et ses retours visuels sont vérifiables séparément.</x:v>
      </x:c>
      <x:c r="O15" s="9" t="str">
        <x:v>MEA-SQ-FAMILY</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MEA-PRP-CRYO-POD</x:v>
      </x:c>
      <x:c r="B16" s="7" t="str">
        <x:v>Pod de cryostase</x:v>
      </x:c>
      <x:c r="C16" s="15" t="str">
        <x:v>Défini</x:v>
      </x:c>
      <x:c r="D16" s="17" t="str">
        <x:v>Extrapolation</x:v>
      </x:c>
      <x:c r="E16" s="17" t="str">
        <x:v>P1</x:v>
      </x:c>
      <x:c r="F16" s="7" t="str">
        <x:v>Livrable original proposé : Pod de cryostase.</x:v>
      </x:c>
      <x:c r="G16" s="7" t="str">
        <x:v>Personne, statut et autorisation de réveil séparés ; enregistrements Ellen restent cachés avant révélation familiale.</x:v>
      </x:c>
      <x:c r="H16" s="7" t="str">
        <x:v>Personne, statut et autorisation de réveil séparés ; enregistrements Ellen restent cachés avant révélation familiale.</x:v>
      </x:c>
      <x:c r="I16" s="7" t="str">
        <x:v>Capsule vitrée et étiquette.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mea/props/cryo-pod ; rattacher les ressources et états cités à cet identifiant. Aucun fichier de jeu créé par ce catalogue.</x:v>
      </x:c>
      <x:c r="M16" s="7" t="str"/>
      <x:c r="N16" s="7" t="str">
        <x:v>Le livrable « Pod de cryostase » possède une scène ou un scénario de contrôle ; ses règles proposées, ses conditions et ses retours visuels sont vérifiables séparément.</x:v>
      </x:c>
      <x:c r="O16" s="7" t="str">
        <x:v>MEA-CHO-ELLEN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MEA-PRP-SEED-VAULT</x:v>
      </x:c>
      <x:c r="B17" s="9" t="str">
        <x:v>Banque de graines krogan</x:v>
      </x:c>
      <x:c r="C17" s="15" t="str">
        <x:v>Défini</x:v>
      </x:c>
      <x:c r="D17" s="16" t="str">
        <x:v>Extrapolation</x:v>
      </x:c>
      <x:c r="E17" s="16" t="str">
        <x:v>P1</x:v>
      </x:c>
      <x:c r="F17" s="9" t="str">
        <x:v>Livrable original proposé : Banque de graines krogan.</x:v>
      </x:c>
      <x:c r="G17" s="9" t="str">
        <x:v>Objet central du transport ; visualiser conservation et chargement, pas un sac de loot pouvant être vendu.</x:v>
      </x:c>
      <x:c r="H17" s="9" t="str">
        <x:v>Objet central du transport ; visualiser conservation et chargement, pas un sac de loot pouvant être vendu.</x:v>
      </x:c>
      <x:c r="I17" s="9" t="str">
        <x:v>Serre, capsules de semences et éclairage doux.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mea/props/seed-vault ; rattacher les ressources et états cités à cet identifiant. Aucun fichier de jeu créé par ce catalogue.</x:v>
      </x:c>
      <x:c r="M17" s="9" t="str"/>
      <x:c r="N17" s="9" t="str">
        <x:v>Le livrable « Banque de graines krogan » possède une scène ou un scénario de contrôle ; ses règles proposées, ses conditions et ses retours visuels sont vérifiables séparément.</x:v>
      </x:c>
      <x:c r="O17" s="9" t="str">
        <x:v>MEA-SQ-DRACK-FUTURE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MEA-PRP-DRIVE-CORE</x:v>
      </x:c>
      <x:c r="B18" s="7" t="str">
        <x:v>Cœur de propulsion reliquat</x:v>
      </x:c>
      <x:c r="C18" s="15" t="str">
        <x:v>Défini</x:v>
      </x:c>
      <x:c r="D18" s="17" t="str">
        <x:v>Extrapolation</x:v>
      </x:c>
      <x:c r="E18" s="17" t="str">
        <x:v>P1</x:v>
      </x:c>
      <x:c r="F18" s="7" t="str">
        <x:v>Livrable original proposé : Cœur de propulsion reliquat.</x:v>
      </x:c>
      <x:c r="G18" s="7" t="str">
        <x:v>Inventaire de quête unique, transfert de possession explicite vers Morda ou Initiative ; objet retiré une seule fois.</x:v>
      </x:c>
      <x:c r="H18" s="7" t="str">
        <x:v>Inventaire de quête unique, transfert de possession explicite vers Morda ou Initiative ; objet retiré une seule fois.</x:v>
      </x:c>
      <x:c r="I18" s="7" t="str">
        <x:v>Noyau lumineux en support.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mea/props/drive-core ; rattacher les ressources et états cités à cet identifiant. Aucun fichier de jeu créé par ce catalogue.</x:v>
      </x:c>
      <x:c r="M18" s="7" t="str"/>
      <x:c r="N18" s="7" t="str">
        <x:v>Le livrable « Cœur de propulsion reliquat » possède une scène ou un scénario de contrôle ; ses règles proposées, ses conditions et ses retours visuels sont vérifiables séparément.</x:v>
      </x:c>
      <x:c r="O18" s="7" t="str">
        <x:v>MEA-CHO-CORE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MEA-PRP-SID-CAMERA</x:v>
      </x:c>
      <x:c r="B19" s="9" t="str">
        <x:v>Caméra de sécurité de Sid</x:v>
      </x:c>
      <x:c r="C19" s="15" t="str">
        <x:v>Défini</x:v>
      </x:c>
      <x:c r="D19" s="16" t="str">
        <x:v>Extrapolation</x:v>
      </x:c>
      <x:c r="E19" s="16" t="str">
        <x:v>P1</x:v>
      </x:c>
      <x:c r="F19" s="9" t="str">
        <x:v>Livrable original proposé : Caméra de sécurité de Sid.</x:v>
      </x:c>
      <x:c r="G19" s="9" t="str">
        <x:v>Prévisualiser salle, danger et sabotage possible ; choix verrouille dispositif exact avant entrée du groupe.</x:v>
      </x:c>
      <x:c r="H19" s="9" t="str">
        <x:v>Prévisualiser salle, danger et sabotage possible ; choix verrouille dispositif exact avant entrée du groupe.</x:v>
      </x:c>
      <x:c r="I19" s="9" t="str">
        <x:v>Écran quadrillé et cibles nommées.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mea/props/sid-camera ; rattacher les ressources et états cités à cet identifiant. Aucun fichier de jeu créé par ce catalogue.</x:v>
      </x:c>
      <x:c r="M19" s="9" t="str"/>
      <x:c r="N19" s="9" t="str">
        <x:v>Le livrable « Caméra de sécurité de Sid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MEA-PRP-EXALT-POD</x:v>
      </x:c>
      <x:c r="B20" s="7" t="str">
        <x:v>Capsule d’exaltation</x:v>
      </x:c>
      <x:c r="C20" s="15" t="str">
        <x:v>Défini</x:v>
      </x:c>
      <x:c r="D20" s="17" t="str">
        <x:v>Extrapolation</x:v>
      </x:c>
      <x:c r="E20" s="17" t="str">
        <x:v>P1</x:v>
      </x:c>
      <x:c r="F20" s="7" t="str">
        <x:v>Livrable original proposé : Capsule d’exaltation.</x:v>
      </x:c>
      <x:c r="G20" s="7" t="str">
        <x:v>États prisonnier/libéré/vide séparés ; scan fournit découverte sans effacer l’action de secours.</x:v>
      </x:c>
      <x:c r="H20" s="7" t="str">
        <x:v>États prisonnier/libéré/vide séparés ; scan fournit découverte sans effacer l’action de secours.</x:v>
      </x:c>
      <x:c r="I20" s="7" t="str">
        <x:v>Cuve kett et silhouette angara.</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mea/props/exalt-pod ; rattacher les ressources et états cités à cet identifiant. Aucun fichier de jeu créé par ce catalogue.</x:v>
      </x:c>
      <x:c r="M20" s="7" t="str"/>
      <x:c r="N20" s="7" t="str">
        <x:v>Le livrable « Capsule d’exaltation » possède une scène ou un scénario de contrôle ; ses règles proposées, ses conditions et ses retours visuels sont vérifiables séparément.</x:v>
      </x:c>
      <x:c r="O20" s="7" t="str">
        <x:v>MEA-CHO-MOSHAE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MEA-PRP-ASCENDANT-ORB</x:v>
      </x:c>
      <x:c r="B21" s="9" t="str">
        <x:v>Orbe d’Ascendant</x:v>
      </x:c>
      <x:c r="C21" s="15" t="str">
        <x:v>Défini</x:v>
      </x:c>
      <x:c r="D21" s="16" t="str">
        <x:v>Extrapolation</x:v>
      </x:c>
      <x:c r="E21" s="16" t="str">
        <x:v>P1</x:v>
      </x:c>
      <x:c r="F21" s="9" t="str">
        <x:v>Livrable original proposé : Orbe d’Ascendant.</x:v>
      </x:c>
      <x:c r="G21" s="9" t="str">
        <x:v>Cible orbitale distincte avec chemin prévisible ; protection du porteur réagit au vrai état de l’orbe.</x:v>
      </x:c>
      <x:c r="H21" s="9" t="str">
        <x:v>Cible orbitale distincte avec chemin prévisible ; protection du porteur réagit au vrai état de l’orbe.</x:v>
      </x:c>
      <x:c r="I21" s="9" t="str">
        <x:v>Sphère lumineuse et lien de champ.</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mea/props/ascendant-orb ; rattacher les ressources et états cités à cet identifiant. Aucun fichier de jeu créé par ce catalogue.</x:v>
      </x:c>
      <x:c r="M21" s="9" t="str"/>
      <x:c r="N21" s="9" t="str">
        <x:v>Le livrable « Orbe d’Ascendant » possède une scène ou un scénario de contrôle ; ses règles proposées, ses conditions et ses retours visuels sont vérifiables séparément.</x:v>
      </x:c>
      <x:c r="O21" s="9" t="str">
        <x:v>MEA-ENM-ASCENDANT</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MEA-PRP-ARCHITECT-NODES</x:v>
      </x:c>
      <x:c r="B22" s="7" t="str">
        <x:v>Membres et tête d’Architecte</x:v>
      </x:c>
      <x:c r="C22" s="15" t="str">
        <x:v>Défini</x:v>
      </x:c>
      <x:c r="D22" s="17" t="str">
        <x:v>Extrapolation</x:v>
      </x:c>
      <x:c r="E22" s="17" t="str">
        <x:v>P1</x:v>
      </x:c>
      <x:c r="F22" s="7" t="str">
        <x:v>Livrable original proposé : Membres et tête d’Architecte.</x:v>
      </x:c>
      <x:c r="G22" s="7" t="str">
        <x:v>Sous-cibles à barres séparées, repères projetés au sol ; ouverture de tête annoncée et durée suffisante pour décision ATB.</x:v>
      </x:c>
      <x:c r="H22" s="7" t="str">
        <x:v>Sous-cibles à barres séparées, repères projetés au sol ; ouverture de tête annoncée et durée suffisante pour décision ATB.</x:v>
      </x:c>
      <x:c r="I22" s="7" t="str">
        <x:v>Noyaux rouge/turquoise et attaches massives.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mea/props/architect-nodes ; rattacher les ressources et états cités à cet identifiant. Aucun fichier de jeu créé par ce catalogue.</x:v>
      </x:c>
      <x:c r="M22" s="7" t="str"/>
      <x:c r="N22" s="7" t="str">
        <x:v>Le livrable « Membres et tête d’Architecte » possède une scène ou un scénario de contrôle ; ses règles proposées, ses conditions et ses retours visuels sont vérifiables séparément.</x:v>
      </x:c>
      <x:c r="O22" s="7" t="str">
        <x:v>MEA-ENM-ARCHITECT</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MEA-PRP-MOVIE-KIT</x:v>
      </x:c>
      <x:c r="B23" s="9" t="str">
        <x:v>Écran et installation de soirée film</x:v>
      </x:c>
      <x:c r="C23" s="15" t="str">
        <x:v>Défini</x:v>
      </x:c>
      <x:c r="D23" s="16" t="str">
        <x:v>Extrapolation</x:v>
      </x:c>
      <x:c r="E23" s="16" t="str">
        <x:v>P1</x:v>
      </x:c>
      <x:c r="F23" s="9" t="str">
        <x:v>Livrable original proposé : Écran et installation de soirée film.</x:v>
      </x:c>
      <x:c r="G23" s="9" t="str">
        <x:v>Chaque objet de la chaîne trouve une place et confirme préparation ; version complète rassemble les sièges sans chevauchement.</x:v>
      </x:c>
      <x:c r="H23" s="9" t="str">
        <x:v>Chaque objet de la chaîne trouve une place et confirme préparation ; version complète rassemble les sièges sans chevauchement.</x:v>
      </x:c>
      <x:c r="I23" s="9" t="str">
        <x:v>Écran, enceintes et nourriture.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mea/props/movie-kit ; rattacher les ressources et états cités à cet identifiant. Aucun fichier de jeu créé par ce catalogue.</x:v>
      </x:c>
      <x:c r="M23" s="9" t="str"/>
      <x:c r="N23" s="9" t="str">
        <x:v>Le livrable « Écran et installation de soirée film » possède une scène ou un scénario de contrôle ; ses règles proposées, ses conditions et ses retours visuels sont vérifiables séparément.</x:v>
      </x:c>
      <x:c r="O23" s="9" t="str">
        <x:v>MEA-SQ-MOVIE</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MEA-PRP-QUARIAN-SIGNAL</x:v>
      </x:c>
      <x:c r="B24" s="7" t="str">
        <x:v>Terminal du signal quarien</x:v>
      </x:c>
      <x:c r="C24" s="15" t="str">
        <x:v>Défini</x:v>
      </x:c>
      <x:c r="D24" s="17" t="str">
        <x:v>Extrapolation</x:v>
      </x:c>
      <x:c r="E24" s="17" t="str">
        <x:v>P1</x:v>
      </x:c>
      <x:c r="F24" s="7" t="str">
        <x:v>Livrable original proposé : Terminal du signal quarien.</x:v>
      </x:c>
      <x:c r="G24" s="7" t="str">
        <x:v>Lecture unique mémorisée puis replay autorisé ; aucune flèche vers une mission solo inexistante.</x:v>
      </x:c>
      <x:c r="H24" s="7" t="str">
        <x:v>Lecture unique mémorisée puis replay autorisé ; aucune flèche vers une mission solo inexistante.</x:v>
      </x:c>
      <x:c r="I24" s="7" t="str">
        <x:v>Signal codé et étiquette Keelah Si’yah.</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mea/props/quarian-signal ; rattacher les ressources et états cités à cet identifiant. Aucun fichier de jeu créé par ce catalogue.</x:v>
      </x:c>
      <x:c r="M24" s="7" t="str"/>
      <x:c r="N24" s="7" t="str">
        <x:v>Le livrable « Terminal du signal quarien » possède une scène ou un scénario de contrôle ; ses règles proposées, ses conditions et ses retours visuels sont vérifiables séparément.</x:v>
      </x:c>
      <x:c r="O24" s="7" t="str">
        <x:v>MEA-NPC-RYNN</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28" priority="1" operator="equal">
      <x:formula>"À vérifier"</x:formula>
    </x:cfRule>
    <x:cfRule type="cellIs" dxfId="29" priority="2" operator="equal">
      <x:formula>"Extrapolation"</x:formula>
    </x:cfRule>
  </x:conditionalFormatting>
  <x:conditionalFormatting sqref="C7:C24">
    <x:cfRule type="cellIs" dxfId="30" priority="3" operator="equal">
      <x:formula>"Validé"</x:formula>
    </x:cfRule>
  </x:conditionalFormatting>
  <x:conditionalFormatting sqref="E7:E24">
    <x:cfRule type="cellIs" dxfId="3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f2363eb1a0bb4c6f"/>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MEA-ENM-CHOSEN</x:v>
      </x:c>
      <x:c r="B7" s="9" t="str">
        <x:v>Kett Chosen</x:v>
      </x:c>
      <x:c r="C7" s="15" t="str">
        <x:v>Défini</x:v>
      </x:c>
      <x:c r="D7" s="16" t="str">
        <x:v>Établi</x:v>
      </x:c>
      <x:c r="E7" s="16" t="str">
        <x:v>P1</x:v>
      </x:c>
      <x:c r="F7" s="9" t="str">
        <x:v>Infanterie kett.</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Préparer une anticipation orientée, un événement de résolution, une récupération et une réaction interrompue propres à ce comportement : Avance par petits groupes et tir de ligne ; annonce de grenade proposée pour déloger un couvert sans sortie forcée hors carte.</x:v>
      </x:c>
      <x:c r="K7" s="9" t="str">
        <x:v>Créer un signal distinct de préparation et une indication visuelle équivalente ; signaux de créature, machine et tir allié restent différenciés.</x:v>
      </x:c>
      <x:c r="L7" s="9" t="str">
        <x:v>Prévu : fiche de données mea/enemies/chosen ; rattacher les ressources et états cités à cet identifiant. Aucun fichier de jeu créé par ce catalogue.</x:v>
      </x:c>
      <x:c r="M7" s="9" t="str">
        <x:v>Campagne / multi selon rencontre.</x:v>
      </x:c>
      <x:c r="N7" s="9" t="str">
        <x:v>Kett Chosen : tester la menace annoncée, une réponse de déplacement, un contre compatible et la sortie de combat ; cible, faction et phase ne changent jamais sans retour visible.</x:v>
      </x:c>
      <x:c r="O7" s="9" t="str"/>
      <x:c r="P7" s="9" t="str">
        <x:v>Kett Chosen</x:v>
      </x:c>
      <x:c r="Q7" s="9" t="str">
        <x:v>MEA-SRC-CHOSEN</x:v>
      </x:c>
      <x:c r="R7" s="9" t="str">
        <x:v>https://masseffect.fandom.com/wiki/Chosen</x:v>
      </x:c>
      <x:c r="S7" s="9" t="str">
        <x:v>Spécification à réaliser. Les champs adaptation, gameplay, visual, animation, audio et implementation décrivent le fan game ; ils ne donnent pas des caractéristiques officielles de l’œuvre.</x:v>
      </x:c>
    </x:row>
    <x:row r="8" ht="96" customHeight="1">
      <x:c r="A8" s="19" t="str">
        <x:v>MEA-ENM-ANOINTED</x:v>
      </x:c>
      <x:c r="B8" s="7" t="str">
        <x:v>Kett Anointed</x:v>
      </x:c>
      <x:c r="C8" s="15" t="str">
        <x:v>Défini</x:v>
      </x:c>
      <x:c r="D8" s="17" t="str">
        <x:v>Établi</x:v>
      </x:c>
      <x:c r="E8" s="17" t="str">
        <x:v>P1</x:v>
      </x:c>
      <x:c r="F8" s="7" t="str">
        <x:v>Unité kett.</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Préparer une anticipation orientée, un événement de résolution, une récupération et une réaction interrompue propres à ce comportement : Rafale soutenue et repositionnement ; les arrêts de tir ouvrent une fenêtre de flanc distincte de la simple recharge du joueur.</x:v>
      </x:c>
      <x:c r="K8" s="7" t="str">
        <x:v>Créer un signal distinct de préparation et une indication visuelle équivalente ; signaux de créature, machine et tir allié restent différenciés.</x:v>
      </x:c>
      <x:c r="L8" s="7" t="str">
        <x:v>Prévu : fiche de données mea/enemies/anointed ; rattacher les ressources et états cités à cet identifiant. Aucun fichier de jeu créé par ce catalogue.</x:v>
      </x:c>
      <x:c r="M8" s="7" t="str">
        <x:v>Campagne / multi selon rencontre.</x:v>
      </x:c>
      <x:c r="N8" s="7" t="str">
        <x:v>Kett Anointed : tester la menace annoncée, une réponse de déplacement, un contre compatible et la sortie de combat ; cible, faction et phase ne changent jamais sans retour visible.</x:v>
      </x:c>
      <x:c r="O8" s="7" t="str"/>
      <x:c r="P8" s="7" t="str">
        <x:v>Kett Anointed</x:v>
      </x:c>
      <x:c r="Q8" s="7" t="str">
        <x:v>MEA-SRC-CHOSEN</x:v>
      </x:c>
      <x:c r="R8" s="7" t="str">
        <x:v>https://masseffect.fandom.com/wiki/Chosen</x:v>
      </x:c>
      <x:c r="S8" s="7" t="str">
        <x:v>Spécification à réaliser. Les champs adaptation, gameplay, visual, animation, audio et implementation décrivent le fan game ; ils ne donnent pas des caractéristiques officielles de l’œuvre.</x:v>
      </x:c>
    </x:row>
    <x:row r="9" ht="96" customHeight="1">
      <x:c r="A9" s="18" t="str">
        <x:v>MEA-ENM-DESTINED</x:v>
      </x:c>
      <x:c r="B9" s="9" t="str">
        <x:v>Kett Destined</x:v>
      </x:c>
      <x:c r="C9" s="15" t="str">
        <x:v>Défini</x:v>
      </x:c>
      <x:c r="D9" s="16" t="str">
        <x:v>Établi</x:v>
      </x:c>
      <x:c r="E9" s="16" t="str">
        <x:v>P1</x:v>
      </x:c>
      <x:c r="F9" s="9" t="str">
        <x:v>Unité de soutien kett.</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Préparer une anticipation orientée, un événement de résolution, une récupération et une réaction interrompue propres à ce comportement : Soutenir un groupe puis se replier ; une zone de brouillage proposée masque visée, jamais les icônes de danger essentielles.</x:v>
      </x:c>
      <x:c r="K9" s="9" t="str">
        <x:v>Créer un signal distinct de préparation et une indication visuelle équivalente ; signaux de créature, machine et tir allié restent différenciés.</x:v>
      </x:c>
      <x:c r="L9" s="9" t="str">
        <x:v>Prévu : fiche de données mea/enemies/destined ; rattacher les ressources et états cités à cet identifiant. Aucun fichier de jeu créé par ce catalogue.</x:v>
      </x:c>
      <x:c r="M9" s="9" t="str">
        <x:v>Campagne / multi selon rencontre.</x:v>
      </x:c>
      <x:c r="N9" s="9" t="str">
        <x:v>Kett Destined : tester la menace annoncée, une réponse de déplacement, un contre compatible et la sortie de combat ; cible, faction et phase ne changent jamais sans retour visible.</x:v>
      </x:c>
      <x:c r="O9" s="9" t="str"/>
      <x:c r="P9" s="9" t="str">
        <x:v>Kett Destined</x:v>
      </x:c>
      <x:c r="Q9" s="9" t="str">
        <x:v>MEA-SRC-CHOSEN</x:v>
      </x:c>
      <x:c r="R9" s="9" t="str">
        <x:v>https://masseffect.fandom.com/wiki/Chosen</x:v>
      </x:c>
      <x:c r="S9" s="9" t="str">
        <x:v>Spécification à réaliser. Les champs adaptation, gameplay, visual, animation, audio et implementation décrivent le fan game ; ils ne donnent pas des caractéristiques officielles de l’œuvre.</x:v>
      </x:c>
    </x:row>
    <x:row r="10" ht="96" customHeight="1">
      <x:c r="A10" s="19" t="str">
        <x:v>MEA-ENM-WRAITH</x:v>
      </x:c>
      <x:c r="B10" s="7" t="str">
        <x:v>Kett Wraith</x:v>
      </x:c>
      <x:c r="C10" s="15" t="str">
        <x:v>Défini</x:v>
      </x:c>
      <x:c r="D10" s="17" t="str">
        <x:v>Établi</x:v>
      </x:c>
      <x:c r="E10" s="17" t="str">
        <x:v>P1</x:v>
      </x:c>
      <x:c r="F10" s="7" t="str">
        <x:v>Créature kett camouflée.</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Préparer une anticipation orientée, un événement de résolution, une récupération et une réaction interrompue propres à ce comportement : Approche basse puis bond ; perturbation au sol et zone d’arrivée permettent de réagir sans distinguer un sprite transparent.</x:v>
      </x:c>
      <x:c r="K10" s="7" t="str">
        <x:v>Créer un signal distinct de préparation et une indication visuelle équivalente ; signaux de créature, machine et tir allié restent différenciés.</x:v>
      </x:c>
      <x:c r="L10" s="7" t="str">
        <x:v>Prévu : fiche de données mea/enemies/wraith ; rattacher les ressources et états cités à cet identifiant. Aucun fichier de jeu créé par ce catalogue.</x:v>
      </x:c>
      <x:c r="M10" s="7" t="str">
        <x:v>Campagne / multi selon rencontre.</x:v>
      </x:c>
      <x:c r="N10" s="7" t="str">
        <x:v>Kett Wraith : tester la menace annoncée, une réponse de déplacement, un contre compatible et la sortie de combat ; cible, faction et phase ne changent jamais sans retour visible.</x:v>
      </x:c>
      <x:c r="O10" s="7" t="str"/>
      <x:c r="P10" s="7" t="str">
        <x:v>Kett Wraith</x:v>
      </x:c>
      <x:c r="Q10" s="7" t="str">
        <x:v>MEA-SRC-CHOSEN</x:v>
      </x:c>
      <x:c r="R10" s="7" t="str">
        <x:v>https://masseffect.fandom.com/wiki/Chosen</x:v>
      </x:c>
      <x:c r="S10" s="7" t="str">
        <x:v>Spécification à réaliser. Les champs adaptation, gameplay, visual, animation, audio et implementation décrivent le fan game ; ils ne donnent pas des caractéristiques officielles de l’œuvre.</x:v>
      </x:c>
    </x:row>
    <x:row r="11" ht="96" customHeight="1">
      <x:c r="A11" s="18" t="str">
        <x:v>MEA-ENM-FIEND</x:v>
      </x:c>
      <x:c r="B11" s="9" t="str">
        <x:v>Kett Fiend</x:v>
      </x:c>
      <x:c r="C11" s="15" t="str">
        <x:v>Défini</x:v>
      </x:c>
      <x:c r="D11" s="16" t="str">
        <x:v>Établi</x:v>
      </x:c>
      <x:c r="E11" s="16" t="str">
        <x:v>P1</x:v>
      </x:c>
      <x:c r="F11" s="9" t="str">
        <x:v>Grande créature kett.</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Préparer une anticipation orientée, un événement de résolution, une récupération et une réaction interrompue propres à ce comportement : Charge, balayage et menace de prise ; réservation du trajet avant départ, phase de secours d’allié proposée avant mise hors combat.</x:v>
      </x:c>
      <x:c r="K11" s="9" t="str">
        <x:v>Créer un signal distinct de préparation et une indication visuelle équivalente ; signaux de créature, machine et tir allié restent différenciés.</x:v>
      </x:c>
      <x:c r="L11" s="9" t="str">
        <x:v>Prévu : fiche de données mea/enemies/fiend ; rattacher les ressources et états cités à cet identifiant. Aucun fichier de jeu créé par ce catalogue.</x:v>
      </x:c>
      <x:c r="M11" s="9" t="str">
        <x:v>Campagne / multi selon rencontre.</x:v>
      </x:c>
      <x:c r="N11" s="9" t="str">
        <x:v>Kett Fiend : tester la menace annoncée, une réponse de déplacement, un contre compatible et la sortie de combat ; cible, faction et phase ne changent jamais sans retour visible.</x:v>
      </x:c>
      <x:c r="O11" s="9" t="str"/>
      <x:c r="P11" s="9" t="str">
        <x:v>Kett Fiend</x:v>
      </x:c>
      <x:c r="Q11" s="9" t="str">
        <x:v>MEA-SRC-CHOSEN</x:v>
      </x:c>
      <x:c r="R11" s="9" t="str">
        <x:v>https://masseffect.fandom.com/wiki/Chosen</x:v>
      </x:c>
      <x:c r="S11" s="9" t="str">
        <x:v>Spécification à réaliser. Les champs adaptation, gameplay, visual, animation, audio et implementation décrivent le fan game ; ils ne donnent pas des caractéristiques officielles de l’œuvre.</x:v>
      </x:c>
    </x:row>
    <x:row r="12" ht="96" customHeight="1">
      <x:c r="A12" s="19" t="str">
        <x:v>MEA-ENM-ASCENDANT</x:v>
      </x:c>
      <x:c r="B12" s="7" t="str">
        <x:v>Ascendant</x:v>
      </x:c>
      <x:c r="C12" s="15" t="str">
        <x:v>Défini</x:v>
      </x:c>
      <x:c r="D12" s="17" t="str">
        <x:v>Établi</x:v>
      </x:c>
      <x:c r="E12" s="17" t="str">
        <x:v>P1</x:v>
      </x:c>
      <x:c r="F12" s="7" t="str">
        <x:v>Unité kett protégée par un orbe.</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Préparer une anticipation orientée, un événement de résolution, une récupération et une réaction interrompue propres à ce comportement : Orbe comme cible mobile séparée, champ de protection et attaque électrique ; après rupture, vraie fenêtre d’attaque puis retour signalé.</x:v>
      </x:c>
      <x:c r="K12" s="7" t="str">
        <x:v>Créer un signal distinct de préparation et une indication visuelle équivalente ; signaux de créature, machine et tir allié restent différenciés.</x:v>
      </x:c>
      <x:c r="L12" s="7" t="str">
        <x:v>Prévu : fiche de données mea/enemies/ascendant ; rattacher les ressources et états cités à cet identifiant. Aucun fichier de jeu créé par ce catalogue.</x:v>
      </x:c>
      <x:c r="M12" s="7" t="str">
        <x:v>Campagne / multi selon rencontre.</x:v>
      </x:c>
      <x:c r="N12" s="7" t="str">
        <x:v>Ascendant : tester la menace annoncée, une réponse de déplacement, un contre compatible et la sortie de combat ; cible, faction et phase ne changent jamais sans retour visible.</x:v>
      </x:c>
      <x:c r="O12" s="7" t="str"/>
      <x:c r="P12" s="7" t="str">
        <x:v>Ascendant</x:v>
      </x:c>
      <x:c r="Q12" s="7" t="str">
        <x:v>MEA-SRC-ASCENDANT</x:v>
      </x:c>
      <x:c r="R12" s="7" t="str">
        <x:v>https://masseffect.fandom.com/wiki/Ascendant</x:v>
      </x:c>
      <x:c r="S12" s="7" t="str">
        <x:v>Spécification à réaliser. Les champs adaptation, gameplay, visual, animation, audio et implementation décrivent le fan game ; ils ne donnent pas des caractéristiques officielles de l’œuvre.</x:v>
      </x:c>
    </x:row>
    <x:row r="13" ht="96" customHeight="1">
      <x:c r="A13" s="18" t="str">
        <x:v>MEA-ENM-CARDINAL</x:v>
      </x:c>
      <x:c r="B13" s="9" t="str">
        <x:v>Le Cardinal</x:v>
      </x:c>
      <x:c r="C13" s="15" t="str">
        <x:v>Défini</x:v>
      </x:c>
      <x:c r="D13" s="16" t="str">
        <x:v>Établi</x:v>
      </x:c>
      <x:c r="E13" s="16" t="str">
        <x:v>P1</x:v>
      </x:c>
      <x:c r="F13" s="9" t="str">
        <x:v>Boss de l’installation d’exaltation.</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Préparer une anticipation orientée, un événement de résolution, une récupération et une réaction interrompue propres à ce comportement : Variante Ascendant avec renforts limités et phases de protection lisibles ; résolution du boss ouvre la décision sur le site.</x:v>
      </x:c>
      <x:c r="K13" s="9" t="str">
        <x:v>Créer un signal distinct de préparation et une indication visuelle équivalente ; signaux de créature, machine et tir allié restent différenciés.</x:v>
      </x:c>
      <x:c r="L13" s="9" t="str">
        <x:v>Prévu : fiche de données mea/enemies/cardinal ; rattacher les ressources et états cités à cet identifiant. Aucun fichier de jeu créé par ce catalogue.</x:v>
      </x:c>
      <x:c r="M13" s="9" t="str">
        <x:v>A Trail of Hope II.</x:v>
      </x:c>
      <x:c r="N13" s="9" t="str">
        <x:v>Le Cardinal : tester la menace annoncée, une réponse de déplacement, un contre compatible et la sortie de combat ; cible, faction et phase ne changent jamais sans retour visible.</x:v>
      </x:c>
      <x:c r="O13" s="9" t="str"/>
      <x:c r="P13" s="9" t="str">
        <x:v>Le Cardinal</x:v>
      </x:c>
      <x:c r="Q13" s="9" t="str">
        <x:v>MEA-SRC-ASCENDANT, MEA-SRC-GUIDE</x:v>
      </x:c>
      <x:c r="R13" s="9" t="str">
        <x:v>https://masseffect.fandom.com/wiki/Ascendant
https://masseffect.fandom.com/wiki/Mass_Effect%3A_Andromeda_Guide</x:v>
      </x:c>
      <x:c r="S13" s="9" t="str">
        <x:v>Spécification à réaliser. Les champs adaptation, gameplay, visual, animation, audio et implementation décrivent le fan game ; ils ne donnent pas des caractéristiques officielles de l’œuvre.</x:v>
      </x:c>
    </x:row>
    <x:row r="14" ht="96" customHeight="1">
      <x:c r="A14" s="19" t="str">
        <x:v>MEA-ENM-INVICTOR</x:v>
      </x:c>
      <x:c r="B14" s="7" t="str">
        <x:v>Invictor</x:v>
      </x:c>
      <x:c r="C14" s="15" t="str">
        <x:v>Défini</x:v>
      </x:c>
      <x:c r="D14" s="17" t="str">
        <x:v>Établi</x:v>
      </x:c>
      <x:c r="E14" s="17" t="str">
        <x:v>P1</x:v>
      </x:c>
      <x:c r="F14" s="7" t="str">
        <x:v>Boss kett d’Eos.</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Préparer une anticipation orientée, un événement de résolution, une récupération et une réaction interrompue propres à ce comportement : Variante lourde de commandement : traiter protections, renforts puis fenêtre d’exposition ; réglage original sans nombres copiés.</x:v>
      </x:c>
      <x:c r="K14" s="7" t="str">
        <x:v>Créer un signal distinct de préparation et une indication visuelle équivalente ; signaux de créature, machine et tir allié restent différenciés.</x:v>
      </x:c>
      <x:c r="L14" s="7" t="str">
        <x:v>Prévu : fiche de données mea/enemies/invictor ; rattacher les ressources et états cités à cet identifiant. Aucun fichier de jeu créé par ce catalogue.</x:v>
      </x:c>
      <x:c r="M14" s="7" t="str">
        <x:v>Defeating the Kett.</x:v>
      </x:c>
      <x:c r="N14" s="7" t="str">
        <x:v>Invictor : tester la menace annoncée, une réponse de déplacement, un contre compatible et la sortie de combat ; cible, faction et phase ne changent jamais sans retour visible.</x:v>
      </x:c>
      <x:c r="O14" s="7" t="str"/>
      <x:c r="P14" s="7" t="str">
        <x:v>Invictor</x:v>
      </x:c>
      <x:c r="Q14" s="7" t="str">
        <x:v>MEA-SRC-CHOSEN</x:v>
      </x:c>
      <x:c r="R14" s="7" t="str">
        <x:v>https://masseffect.fandom.com/wiki/Chosen</x:v>
      </x:c>
      <x:c r="S14" s="7" t="str">
        <x:v>Spécification à réaliser. Les champs adaptation, gameplay, visual, animation, audio et implementation décrivent le fan game ; ils ne donnent pas des caractéristiques officielles de l’œuvre.</x:v>
      </x:c>
    </x:row>
    <x:row r="15" ht="82" customHeight="1">
      <x:c r="A15" s="18" t="str">
        <x:v>MEA-ENM-ARCHON-SWORD</x:v>
      </x:c>
      <x:c r="B15" s="9" t="str">
        <x:v>Archon’s Sword</x:v>
      </x:c>
      <x:c r="C15" s="15" t="str">
        <x:v>Défini</x:v>
      </x:c>
      <x:c r="D15" s="16" t="str">
        <x:v>Établi</x:v>
      </x:c>
      <x:c r="E15" s="16" t="str">
        <x:v>P1</x:v>
      </x:c>
      <x:c r="F15" s="9" t="str">
        <x:v>Adversaire kett nommé.</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Préparer une anticipation orientée, un événement de résolution, une récupération et une réaction interrompue propres à ce comportement : Offensive de commandement avec changements d’angle annoncés ; éviter téléportation sans signal hors champ.</x:v>
      </x:c>
      <x:c r="K15" s="9" t="str">
        <x:v>Créer un signal distinct de préparation et une indication visuelle équivalente ; signaux de créature, machine et tir allié restent différenciés.</x:v>
      </x:c>
      <x:c r="L15" s="9" t="str">
        <x:v>Prévu : fiche de données mea/enemies/archon-sword ; rattacher les ressources et états cités à cet identifiant. Aucun fichier de jeu créé par ce catalogue.</x:v>
      </x:c>
      <x:c r="M15" s="9" t="str">
        <x:v>Rencontre de campagne.</x:v>
      </x:c>
      <x:c r="N15" s="9" t="str">
        <x:v>Archon’s Sword : tester la menace annoncée, une réponse de déplacement, un contre compatible et la sortie de combat ; cible, faction et phase ne changent jamais sans retour visible.</x:v>
      </x:c>
      <x:c r="O15" s="9" t="str"/>
      <x:c r="P15" s="9" t="str">
        <x:v>Archon’s Sword</x:v>
      </x:c>
      <x:c r="Q15" s="9" t="str">
        <x:v>MEA-SRC-CHOSEN</x:v>
      </x:c>
      <x:c r="R15" s="9" t="str">
        <x:v>https://masseffect.fandom.com/wiki/Chosen</x:v>
      </x:c>
      <x:c r="S15" s="9" t="str">
        <x:v>Spécification à réaliser. Les champs adaptation, gameplay, visual, animation, audio et implementation décrivent le fan game ; ils ne donnent pas des caractéristiques officielles de l’œuvre.</x:v>
      </x:c>
    </x:row>
    <x:row r="16" ht="96" customHeight="1">
      <x:c r="A16" s="19" t="str">
        <x:v>MEA-ENM-VALIANT</x:v>
      </x:c>
      <x:c r="B16" s="7" t="str">
        <x:v>Valiant</x:v>
      </x:c>
      <x:c r="C16" s="15" t="str">
        <x:v>Défini</x:v>
      </x:c>
      <x:c r="D16" s="17" t="str">
        <x:v>Établi</x:v>
      </x:c>
      <x:c r="E16" s="17" t="str">
        <x:v>P1</x:v>
      </x:c>
      <x:c r="F16" s="7" t="str">
        <x:v>Adversaire kett nommé.</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Préparer une anticipation orientée, un événement de résolution, une récupération et une réaction interrompue propres à ce comportement : Variante d’élite à cible prioritaire ; fenêtre de charge/attaque affichée même si renforts remplissent l’arène.</x:v>
      </x:c>
      <x:c r="K16" s="7" t="str">
        <x:v>Créer un signal distinct de préparation et une indication visuelle équivalente ; signaux de créature, machine et tir allié restent différenciés.</x:v>
      </x:c>
      <x:c r="L16" s="7" t="str">
        <x:v>Prévu : fiche de données mea/enemies/valiant ; rattacher les ressources et états cités à cet identifiant. Aucun fichier de jeu créé par ce catalogue.</x:v>
      </x:c>
      <x:c r="M16" s="7" t="str">
        <x:v>Rencontre liée à l’arche asari.</x:v>
      </x:c>
      <x:c r="N16" s="7" t="str">
        <x:v>Valiant : tester la menace annoncée, une réponse de déplacement, un contre compatible et la sortie de combat ; cible, faction et phase ne changent jamais sans retour visible.</x:v>
      </x:c>
      <x:c r="O16" s="7" t="str"/>
      <x:c r="P16" s="7" t="str">
        <x:v>Valiant</x:v>
      </x:c>
      <x:c r="Q16" s="7" t="str">
        <x:v>MEA-SRC-CHOSEN, MEA-SRC-CORA-LOYAL</x:v>
      </x:c>
      <x:c r="R16" s="7" t="str">
        <x:v>https://masseffect.fandom.com/wiki/Chosen
https://masseffect.fandom.com/wiki/Cora_Harper%3A_At_Duty%27s_Edge</x:v>
      </x:c>
      <x:c r="S16" s="7" t="str">
        <x:v>Spécification à réaliser. Les champs adaptation, gameplay, visual, animation, audio et implementation décrivent le fan game ; ils ne donnent pas des caractéristiques officielles de l’œuvre.</x:v>
      </x:c>
    </x:row>
    <x:row r="17" ht="96" customHeight="1">
      <x:c r="A17" s="18" t="str">
        <x:v>MEA-ENM-BEHEMOTH</x:v>
      </x:c>
      <x:c r="B17" s="9" t="str">
        <x:v>Behemoth</x:v>
      </x:c>
      <x:c r="C17" s="15" t="str">
        <x:v>Défini</x:v>
      </x:c>
      <x:c r="D17" s="16" t="str">
        <x:v>Établi</x:v>
      </x:c>
      <x:c r="E17" s="16" t="str">
        <x:v>P1</x:v>
      </x:c>
      <x:c r="F17" s="9" t="str">
        <x:v>Créature lourde kett.</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Préparer une anticipation orientée, un événement de résolution, une récupération et une réaction interrompue propres à ce comportement : Assaut rapproché et dégâts de zone ; corps imposant ne doit pas cacher cibles secondaires ni sortie de cône.</x:v>
      </x:c>
      <x:c r="K17" s="9" t="str">
        <x:v>Créer un signal distinct de préparation et une indication visuelle équivalente ; signaux de créature, machine et tir allié restent différenciés.</x:v>
      </x:c>
      <x:c r="L17" s="9" t="str">
        <x:v>Prévu : fiche de données mea/enemies/behemoth ; rattacher les ressources et états cités à cet identifiant. Aucun fichier de jeu créé par ce catalogue.</x:v>
      </x:c>
      <x:c r="M17" s="9" t="str">
        <x:v>Rencontres de campagne / multi selon profil.</x:v>
      </x:c>
      <x:c r="N17" s="9" t="str">
        <x:v>Behemoth : tester la menace annoncée, une réponse de déplacement, un contre compatible et la sortie de combat ; cible, faction et phase ne changent jamais sans retour visible.</x:v>
      </x:c>
      <x:c r="O17" s="9" t="str"/>
      <x:c r="P17" s="9" t="str">
        <x:v>Behemoth</x:v>
      </x:c>
      <x:c r="Q17" s="9" t="str">
        <x:v>MEA-SRC-CHOSEN</x:v>
      </x:c>
      <x:c r="R17" s="9" t="str">
        <x:v>https://masseffect.fandom.com/wiki/Chosen</x:v>
      </x:c>
      <x:c r="S17" s="9" t="str">
        <x:v>Spécification à réaliser. Les champs adaptation, gameplay, visual, animation, audio et implementation décrivent le fan game ; ils ne donnent pas des caractéristiques officielles de l’œuvre.</x:v>
      </x:c>
    </x:row>
    <x:row r="18" ht="96" customHeight="1">
      <x:c r="A18" s="19" t="str">
        <x:v>MEA-ENM-SCIENTIST</x:v>
      </x:c>
      <x:c r="B18" s="7" t="str">
        <x:v>Scientifique kett</x:v>
      </x:c>
      <x:c r="C18" s="15" t="str">
        <x:v>Défini</x:v>
      </x:c>
      <x:c r="D18" s="17" t="str">
        <x:v>Établi</x:v>
      </x:c>
      <x:c r="E18" s="17" t="str">
        <x:v>P1</x:v>
      </x:c>
      <x:c r="F18" s="7" t="str">
        <x:v>Unité kett répertoriée.</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Préparer une anticipation orientée, un événement de résolution, une récupération et une réaction interrompue propres à ce comportement : Rôle de laboratoire avec fuite et alarme proposés ; distinguer non-combattant narratif et ennemi actif selon scène.</x:v>
      </x:c>
      <x:c r="K18" s="7" t="str">
        <x:v>Créer un signal distinct de préparation et une indication visuelle équivalente ; signaux de créature, machine et tir allié restent différenciés.</x:v>
      </x:c>
      <x:c r="L18" s="7" t="str">
        <x:v>Prévu : fiche de données mea/enemies/scientist ; rattacher les ressources et états cités à cet identifiant. Aucun fichier de jeu créé par ce catalogue.</x:v>
      </x:c>
      <x:c r="M18" s="7" t="str">
        <x:v>Identité de rencontre à confirmer avant combat automatique.</x:v>
      </x:c>
      <x:c r="N18" s="7" t="str">
        <x:v>Scientifique kett : tester la menace annoncée, une réponse de déplacement, un contre compatible et la sortie de combat ; cible, faction et phase ne changent jamais sans retour visible.</x:v>
      </x:c>
      <x:c r="O18" s="7" t="str"/>
      <x:c r="P18" s="7" t="str">
        <x:v>Scientifique kett</x:v>
      </x:c>
      <x:c r="Q18" s="7" t="str">
        <x:v>MEA-SRC-CHOSEN</x:v>
      </x:c>
      <x:c r="R18" s="7" t="str">
        <x:v>https://masseffect.fandom.com/wiki/Chosen</x:v>
      </x:c>
      <x:c r="S18" s="7" t="str">
        <x:v>Spécification à réaliser. Les champs adaptation, gameplay, visual, animation, audio et implementation décrivent le fan game ; ils ne donnent pas des caractéristiques officielles de l’œuvre.</x:v>
      </x:c>
    </x:row>
    <x:row r="19" ht="96" customHeight="1">
      <x:c r="A19" s="18" t="str">
        <x:v>MEA-ENM-KETT-TURRET</x:v>
      </x:c>
      <x:c r="B19" s="9" t="str">
        <x:v>Tourelle kett</x:v>
      </x:c>
      <x:c r="C19" s="15" t="str">
        <x:v>Défini</x:v>
      </x:c>
      <x:c r="D19" s="16" t="str">
        <x:v>Établi</x:v>
      </x:c>
      <x:c r="E19" s="16" t="str">
        <x:v>P1</x:v>
      </x:c>
      <x:c r="F19" s="9" t="str">
        <x:v>Défense fixe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Préparer une anticipation orientée, un événement de résolution, une récupération et une réaction interrompue propres à ce comportement : Pivot puis rafale dans cône ; alimentation et piratage proposés seulement sur objets explicitement interactifs.</x:v>
      </x:c>
      <x:c r="K19" s="9" t="str">
        <x:v>Créer un signal distinct de préparation et une indication visuelle équivalente ; signaux de créature, machine et tir allié restent différenciés.</x:v>
      </x:c>
      <x:c r="L19" s="9" t="str">
        <x:v>Prévu : fiche de données mea/enemies/kett-turret ; rattacher les ressources et états cités à cet identifiant. Aucun fichier de jeu créé par ce catalogue.</x:v>
      </x:c>
      <x:c r="M19" s="9" t="str">
        <x:v>Rencontres kett.</x:v>
      </x:c>
      <x:c r="N19" s="9" t="str">
        <x:v>Tourelle kett : tester la menace annoncée, une réponse de déplacement, un contre compatible et la sortie de combat ; cible, faction et phase ne changent jamais sans retour visible.</x:v>
      </x:c>
      <x:c r="O19" s="9" t="str"/>
      <x:c r="P19" s="9" t="str">
        <x:v>Tourelle kett</x:v>
      </x:c>
      <x:c r="Q19" s="9" t="str">
        <x:v>MEA-SRC-CHOSEN</x:v>
      </x:c>
      <x:c r="R19" s="9" t="str">
        <x:v>https://masseffect.fandom.com/wiki/Chosen</x:v>
      </x:c>
      <x:c r="S19" s="9" t="str">
        <x:v>Spécification à réaliser. Les champs adaptation, gameplay, visual, animation, audio et implementation décrivent le fan game ; ils ne donnent pas des caractéristiques officielles de l’œuvre.</x:v>
      </x:c>
    </x:row>
    <x:row r="20" ht="82" customHeight="1">
      <x:c r="A20" s="19" t="str">
        <x:v>MEA-ENM-RAIDER</x:v>
      </x:c>
      <x:c r="B20" s="7" t="str">
        <x:v>Raider hors-la-loi</x:v>
      </x:c>
      <x:c r="C20" s="15" t="str">
        <x:v>Défini</x:v>
      </x:c>
      <x:c r="D20" s="17" t="str">
        <x:v>Établi</x:v>
      </x:c>
      <x:c r="E20" s="17" t="str">
        <x:v>P1</x:v>
      </x:c>
      <x:c r="F20" s="7" t="str">
        <x:v>Infanterie de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Préparer une anticipation orientée, un événement de résolution, une récupération et une réaction interrompue propres à ce comportement : Tir de couvert et déplacement latéral ; faction et espèce indiquées séparément pour variantes d’apparence.</x:v>
      </x:c>
      <x:c r="K20" s="7" t="str">
        <x:v>Créer un signal distinct de préparation et une indication visuelle équivalente ; signaux de créature, machine et tir allié restent différenciés.</x:v>
      </x:c>
      <x:c r="L20" s="7" t="str">
        <x:v>Prévu : fiche de données mea/enemies/raider ; rattacher les ressources et états cités à cet identifiant. Aucun fichier de jeu créé par ce catalogue.</x:v>
      </x:c>
      <x:c r="M20" s="7" t="str">
        <x:v>Campagne / multi selon rencontre.</x:v>
      </x:c>
      <x:c r="N20" s="7" t="str">
        <x:v>Raider hors-la-loi : tester la menace annoncée, une réponse de déplacement, un contre compatible et la sortie de combat ; cible, faction et phase ne changent jamais sans retour visible.</x:v>
      </x:c>
      <x:c r="O20" s="7" t="str"/>
      <x:c r="P20" s="7" t="str">
        <x:v>Raider hors-la-loi</x:v>
      </x:c>
      <x:c r="Q20" s="7" t="str">
        <x:v>MEA-SRC-AGENT</x:v>
      </x:c>
      <x:c r="R20" s="7" t="str">
        <x:v>https://masseffect.fandom.com/wiki/Agent</x:v>
      </x:c>
      <x:c r="S20" s="7" t="str">
        <x:v>Spécification à réaliser. Les champs adaptation, gameplay, visual, animation, audio et implementation décrivent le fan game ; ils ne donnent pas des caractéristiques officielles de l’œuvre.</x:v>
      </x:c>
    </x:row>
    <x:row r="21" ht="82" customHeight="1">
      <x:c r="A21" s="18" t="str">
        <x:v>MEA-ENM-BERSERKER</x:v>
      </x:c>
      <x:c r="B21" s="9" t="str">
        <x:v>Berserker hors-la-loi</x:v>
      </x:c>
      <x:c r="C21" s="15" t="str">
        <x:v>Défini</x:v>
      </x:c>
      <x:c r="D21" s="16" t="str">
        <x:v>Établi</x:v>
      </x:c>
      <x:c r="E21" s="16" t="str">
        <x:v>P1</x:v>
      </x:c>
      <x:c r="F21" s="9" t="str">
        <x:v>Unité lourde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Préparer une anticipation orientée, un événement de résolution, une récupération et une réaction interrompue propres à ce comportement : Avance de rupture et coup proche ; annoncer l’engagement et laisser exploiter l’angle arrière.</x:v>
      </x:c>
      <x:c r="K21" s="9" t="str">
        <x:v>Créer un signal distinct de préparation et une indication visuelle équivalente ; signaux de créature, machine et tir allié restent différenciés.</x:v>
      </x:c>
      <x:c r="L21" s="9" t="str">
        <x:v>Prévu : fiche de données mea/enemies/berserker ; rattacher les ressources et états cités à cet identifiant. Aucun fichier de jeu créé par ce catalogue.</x:v>
      </x:c>
      <x:c r="M21" s="9" t="str">
        <x:v>Campagne / multi selon rencontre.</x:v>
      </x:c>
      <x:c r="N21" s="9" t="str">
        <x:v>Berserker hors-la-loi : tester la menace annoncée, une réponse de déplacement, un contre compatible et la sortie de combat ; cible, faction et phase ne changent jamais sans retour visible.</x:v>
      </x:c>
      <x:c r="O21" s="9" t="str"/>
      <x:c r="P21" s="9" t="str">
        <x:v>Berserker hors-la-loi</x:v>
      </x:c>
      <x:c r="Q21" s="9" t="str">
        <x:v>MEA-SRC-AGENT</x:v>
      </x:c>
      <x:c r="R21" s="9" t="str">
        <x:v>https://masseffect.fandom.com/wiki/Agent</x:v>
      </x:c>
      <x:c r="S21" s="9" t="str">
        <x:v>Spécification à réaliser. Les champs adaptation, gameplay, visual, animation, audio et implementation décrivent le fan game ; ils ne donnent pas des caractéristiques officielles de l’œuvre.</x:v>
      </x:c>
    </x:row>
    <x:row r="22" ht="82" customHeight="1">
      <x:c r="A22" s="19" t="str">
        <x:v>MEA-ENM-AGENT</x:v>
      </x:c>
      <x:c r="B22" s="7" t="str">
        <x:v>Agent hors-la-loi</x:v>
      </x:c>
      <x:c r="C22" s="15" t="str">
        <x:v>Défini</x:v>
      </x:c>
      <x:c r="D22" s="17" t="str">
        <x:v>Établi</x:v>
      </x:c>
      <x:c r="E22" s="17" t="str">
        <x:v>P1</x:v>
      </x:c>
      <x:c r="F22" s="7" t="str">
        <x:v>Unité de soutien.</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Préparer une anticipation orientée, un événement de résolution, une récupération et une réaction interrompue propres à ce comportement : Soutien technique et diversion ; lien visuel vers construction ou cible affectée dans l’adaptation.</x:v>
      </x:c>
      <x:c r="K22" s="7" t="str">
        <x:v>Créer un signal distinct de préparation et une indication visuelle équivalente ; signaux de créature, machine et tir allié restent différenciés.</x:v>
      </x:c>
      <x:c r="L22" s="7" t="str">
        <x:v>Prévu : fiche de données mea/enemies/agent ; rattacher les ressources et états cités à cet identifiant. Aucun fichier de jeu créé par ce catalogue.</x:v>
      </x:c>
      <x:c r="M22" s="7" t="str">
        <x:v>Campagne / multi selon rencontre.</x:v>
      </x:c>
      <x:c r="N22" s="7" t="str">
        <x:v>Agent hors-la-loi : tester la menace annoncée, une réponse de déplacement, un contre compatible et la sortie de combat ; cible, faction et phase ne changent jamais sans retour visible.</x:v>
      </x:c>
      <x:c r="O22" s="7" t="str"/>
      <x:c r="P22" s="7" t="str">
        <x:v>Agent hors-la-loi</x:v>
      </x:c>
      <x:c r="Q22" s="7" t="str">
        <x:v>MEA-SRC-AGENT</x:v>
      </x:c>
      <x:c r="R22" s="7" t="str">
        <x:v>https://masseffect.fandom.com/wiki/Agent</x:v>
      </x:c>
      <x:c r="S22" s="7" t="str">
        <x:v>Spécification à réaliser. Les champs adaptation, gameplay, visual, animation, audio et implementation décrivent le fan game ; ils ne donnent pas des caractéristiques officielles de l’œuvre.</x:v>
      </x:c>
    </x:row>
    <x:row r="23" ht="96" customHeight="1">
      <x:c r="A23" s="18" t="str">
        <x:v>MEA-ENM-ANARCHIST</x:v>
      </x:c>
      <x:c r="B23" s="9" t="str">
        <x:v>Anarchist</x:v>
      </x:c>
      <x:c r="C23" s="15" t="str">
        <x:v>Défini</x:v>
      </x:c>
      <x:c r="D23" s="16" t="str">
        <x:v>Établi</x:v>
      </x:c>
      <x:c r="E23" s="16" t="str">
        <x:v>P1</x:v>
      </x:c>
      <x:c r="F23" s="9" t="str">
        <x:v>Unité explosive hors-la-loi.</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Préparer une anticipation orientée, un événement de résolution, une récupération et une réaction interrompue propres à ce comportement : Projectiles de zone à trajectoire et délai visibles ; cadence limitée pour ne pas couvrir tout sol praticable.</x:v>
      </x:c>
      <x:c r="K23" s="9" t="str">
        <x:v>Créer un signal distinct de préparation et une indication visuelle équivalente ; signaux de créature, machine et tir allié restent différenciés.</x:v>
      </x:c>
      <x:c r="L23" s="9" t="str">
        <x:v>Prévu : fiche de données mea/enemies/anarchist ; rattacher les ressources et états cités à cet identifiant. Aucun fichier de jeu créé par ce catalogue.</x:v>
      </x:c>
      <x:c r="M23" s="9" t="str">
        <x:v>Campagne / multi selon rencontre.</x:v>
      </x:c>
      <x:c r="N23" s="9" t="str">
        <x:v>Anarchist : tester la menace annoncée, une réponse de déplacement, un contre compatible et la sortie de combat ; cible, faction et phase ne changent jamais sans retour visible.</x:v>
      </x:c>
      <x:c r="O23" s="9" t="str"/>
      <x:c r="P23" s="9" t="str">
        <x:v>Anarchist</x:v>
      </x:c>
      <x:c r="Q23" s="9" t="str">
        <x:v>MEA-SRC-AGENT</x:v>
      </x:c>
      <x:c r="R23" s="9" t="str">
        <x:v>https://masseffect.fandom.com/wiki/Agent</x:v>
      </x:c>
      <x:c r="S23" s="9" t="str">
        <x:v>Spécification à réaliser. Les champs adaptation, gameplay, visual, animation, audio et implementation décrivent le fan game ; ils ne donnent pas des caractéristiques officielles de l’œuvre.</x:v>
      </x:c>
    </x:row>
    <x:row r="24" ht="96" customHeight="1">
      <x:c r="A24" s="19" t="str">
        <x:v>MEA-ENM-HYDRA</x:v>
      </x:c>
      <x:c r="B24" s="7" t="str">
        <x:v>Hydra</x:v>
      </x:c>
      <x:c r="C24" s="15" t="str">
        <x:v>Défini</x:v>
      </x:c>
      <x:c r="D24" s="17" t="str">
        <x:v>Établi</x:v>
      </x:c>
      <x:c r="E24" s="17" t="str">
        <x:v>P1</x:v>
      </x:c>
      <x:c r="F24" s="7" t="str">
        <x:v>Méca des hors-la-loi.</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Préparer une anticipation orientée, un événement de résolution, une récupération et une réaction interrompue propres à ce comportement : Salve de missiles, canon puis refroidissement ; tir à travers couvert uniquement si matériau marqué destructible.</x:v>
      </x:c>
      <x:c r="K24" s="7" t="str">
        <x:v>Créer un signal distinct de préparation et une indication visuelle équivalente ; signaux de créature, machine et tir allié restent différenciés.</x:v>
      </x:c>
      <x:c r="L24" s="7" t="str">
        <x:v>Prévu : fiche de données mea/enemies/hydra ; rattacher les ressources et états cités à cet identifiant. Aucun fichier de jeu créé par ce catalogue.</x:v>
      </x:c>
      <x:c r="M24" s="7" t="str">
        <x:v>Campagne / multi selon rencontre.</x:v>
      </x:c>
      <x:c r="N24" s="7" t="str">
        <x:v>Hydra : tester la menace annoncée, une réponse de déplacement, un contre compatible et la sortie de combat ; cible, faction et phase ne changent jamais sans retour visible.</x:v>
      </x:c>
      <x:c r="O24" s="7" t="str"/>
      <x:c r="P24" s="7" t="str">
        <x:v>Hydra</x:v>
      </x:c>
      <x:c r="Q24" s="7" t="str">
        <x:v>MEA-SRC-AGENT</x:v>
      </x:c>
      <x:c r="R24" s="7" t="str">
        <x:v>https://masseffect.fandom.com/wiki/Agent</x:v>
      </x:c>
      <x:c r="S24" s="7" t="str">
        <x:v>Spécification à réaliser. Les champs adaptation, gameplay, visual, animation, audio et implementation décrivent le fan game ; ils ne donnent pas des caractéristiques officielles de l’œuvre.</x:v>
      </x:c>
    </x:row>
    <x:row r="25" ht="96" customHeight="1">
      <x:c r="A25" s="18" t="str">
        <x:v>MEA-ENM-PARIAH</x:v>
      </x:c>
      <x:c r="B25" s="9" t="str">
        <x:v>Pariah</x:v>
      </x:c>
      <x:c r="C25" s="15" t="str">
        <x:v>Défini</x:v>
      </x:c>
      <x:c r="D25" s="16" t="str">
        <x:v>Établi</x:v>
      </x:c>
      <x:c r="E25" s="16" t="str">
        <x:v>P1</x:v>
      </x:c>
      <x:c r="F25" s="9" t="str">
        <x:v>Unité biotique hors-la-loi.</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Préparer une anticipation orientée, un événement de résolution, une récupération et une réaction interrompue propres à ce comportement : Contrôle de zone et projection ; contre visible avant déplacement forcé, résistance des gros alliés annoncée.</x:v>
      </x:c>
      <x:c r="K25" s="9" t="str">
        <x:v>Créer un signal distinct de préparation et une indication visuelle équivalente ; signaux de créature, machine et tir allié restent différenciés.</x:v>
      </x:c>
      <x:c r="L25" s="9" t="str">
        <x:v>Prévu : fiche de données mea/enemies/pariah ; rattacher les ressources et états cités à cet identifiant. Aucun fichier de jeu créé par ce catalogue.</x:v>
      </x:c>
      <x:c r="M25" s="9" t="str">
        <x:v>Campagne / multi selon rencontre.</x:v>
      </x:c>
      <x:c r="N25" s="9" t="str">
        <x:v>Pariah : tester la menace annoncée, une réponse de déplacement, un contre compatible et la sortie de combat ; cible, faction et phase ne changent jamais sans retour visible.</x:v>
      </x:c>
      <x:c r="O25" s="9" t="str"/>
      <x:c r="P25" s="9" t="str">
        <x:v>Pariah</x:v>
      </x:c>
      <x:c r="Q25" s="9" t="str">
        <x:v>MEA-SRC-AGENT</x:v>
      </x:c>
      <x:c r="R25" s="9" t="str">
        <x:v>https://masseffect.fandom.com/wiki/Agent</x:v>
      </x:c>
      <x:c r="S25" s="9" t="str">
        <x:v>Spécification à réaliser. Les champs adaptation, gameplay, visual, animation, audio et implementation décrivent le fan game ; ils ne donnent pas des caractéristiques officielles de l’œuvre.</x:v>
      </x:c>
    </x:row>
    <x:row r="26" ht="82" customHeight="1">
      <x:c r="A26" s="19" t="str">
        <x:v>MEA-ENM-SABOTEUR</x:v>
      </x:c>
      <x:c r="B26" s="7" t="str">
        <x:v>Saboteur</x:v>
      </x:c>
      <x:c r="C26" s="15" t="str">
        <x:v>Défini</x:v>
      </x:c>
      <x:c r="D26" s="17" t="str">
        <x:v>Établi</x:v>
      </x:c>
      <x:c r="E26" s="17" t="str">
        <x:v>P1</x:v>
      </x:c>
      <x:c r="F26" s="7" t="str">
        <x:v>Unité technique hors-la-loi.</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Préparer une anticipation orientée, un événement de résolution, une récupération et une réaction interrompue propres à ce comportement : Pose de zone dangereuse et brouillage ; l’objet placé possède sa propre cible et peut être neutralisé.</x:v>
      </x:c>
      <x:c r="K26" s="7" t="str">
        <x:v>Créer un signal distinct de préparation et une indication visuelle équivalente ; signaux de créature, machine et tir allié restent différenciés.</x:v>
      </x:c>
      <x:c r="L26" s="7" t="str">
        <x:v>Prévu : fiche de données mea/enemies/saboteur ; rattacher les ressources et états cités à cet identifiant. Aucun fichier de jeu créé par ce catalogue.</x:v>
      </x:c>
      <x:c r="M26" s="7" t="str">
        <x:v>Campagne / multi selon rencontre.</x:v>
      </x:c>
      <x:c r="N26" s="7" t="str">
        <x:v>Saboteur : tester la menace annoncée, une réponse de déplacement, un contre compatible et la sortie de combat ; cible, faction et phase ne changent jamais sans retour visible.</x:v>
      </x:c>
      <x:c r="O26" s="7" t="str"/>
      <x:c r="P26" s="7" t="str">
        <x:v>Saboteur</x:v>
      </x:c>
      <x:c r="Q26" s="7" t="str">
        <x:v>MEA-SRC-AGENT</x:v>
      </x:c>
      <x:c r="R26" s="7" t="str">
        <x:v>https://masseffect.fandom.com/wiki/Agent</x:v>
      </x:c>
      <x:c r="S26" s="7" t="str">
        <x:v>Spécification à réaliser. Les champs adaptation, gameplay, visual, animation, audio et implementation décrivent le fan game ; ils ne donnent pas des caractéristiques officielles de l’œuvre.</x:v>
      </x:c>
    </x:row>
    <x:row r="27" ht="82" customHeight="1">
      <x:c r="A27" s="18" t="str">
        <x:v>MEA-ENM-SHARPSHOOTER</x:v>
      </x:c>
      <x:c r="B27" s="9" t="str">
        <x:v>Sharpshooter</x:v>
      </x:c>
      <x:c r="C27" s="15" t="str">
        <x:v>Défini</x:v>
      </x:c>
      <x:c r="D27" s="16" t="str">
        <x:v>Établi</x:v>
      </x:c>
      <x:c r="E27" s="16" t="str">
        <x:v>P1</x:v>
      </x:c>
      <x:c r="F27" s="9" t="str">
        <x:v>Tireur de précision hors-la-loi.</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Préparer une anticipation orientée, un événement de résolution, une récupération et une réaction interrompue propres à ce comportement : Laser de visée avant tir ; casser la ligne annule la résolution sans conserver impact fantôme.</x:v>
      </x:c>
      <x:c r="K27" s="9" t="str">
        <x:v>Créer un signal distinct de préparation et une indication visuelle équivalente ; signaux de créature, machine et tir allié restent différenciés.</x:v>
      </x:c>
      <x:c r="L27" s="9" t="str">
        <x:v>Prévu : fiche de données mea/enemies/sharpshooter ; rattacher les ressources et états cités à cet identifiant. Aucun fichier de jeu créé par ce catalogue.</x:v>
      </x:c>
      <x:c r="M27" s="9" t="str">
        <x:v>Campagne / multi selon rencontre.</x:v>
      </x:c>
      <x:c r="N27" s="9" t="str">
        <x:v>Sharpshooter : tester la menace annoncée, une réponse de déplacement, un contre compatible et la sortie de combat ; cible, faction et phase ne changent jamais sans retour visible.</x:v>
      </x:c>
      <x:c r="O27" s="9" t="str"/>
      <x:c r="P27" s="9" t="str">
        <x:v>Sharpshooter</x:v>
      </x:c>
      <x:c r="Q27" s="9" t="str">
        <x:v>MEA-SRC-AGENT</x:v>
      </x:c>
      <x:c r="R27" s="9" t="str">
        <x:v>https://masseffect.fandom.com/wiki/Agent</x:v>
      </x:c>
      <x:c r="S27" s="9" t="str">
        <x:v>Spécification à réaliser. Les champs adaptation, gameplay, visual, animation, audio et implementation décrivent le fan game ; ils ne donnent pas des caractéristiques officielles de l’œuvre.</x:v>
      </x:c>
    </x:row>
    <x:row r="28" ht="82" customHeight="1">
      <x:c r="A28" s="19" t="str">
        <x:v>MEA-ENM-OUTLAW-TURRET</x:v>
      </x:c>
      <x:c r="B28" s="7" t="str">
        <x:v>Tourelle de hors-la-loi</x:v>
      </x:c>
      <x:c r="C28" s="15" t="str">
        <x:v>Défini</x:v>
      </x:c>
      <x:c r="D28" s="17" t="str">
        <x:v>Établi</x:v>
      </x:c>
      <x:c r="E28" s="17" t="str">
        <x:v>P1</x:v>
      </x:c>
      <x:c r="F28" s="7" t="str">
        <x:v>Défense fixe.</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Préparer une anticipation orientée, un événement de résolution, une récupération et une réaction interrompue propres à ce comportement : Cône limité, rechargement puis reprise ; couleur de faction différente de l’Assault Turret de Ryder.</x:v>
      </x:c>
      <x:c r="K28" s="7" t="str">
        <x:v>Créer un signal distinct de préparation et une indication visuelle équivalente ; signaux de créature, machine et tir allié restent différenciés.</x:v>
      </x:c>
      <x:c r="L28" s="7" t="str">
        <x:v>Prévu : fiche de données mea/enemies/outlaw-turret ; rattacher les ressources et états cités à cet identifiant. Aucun fichier de jeu créé par ce catalogue.</x:v>
      </x:c>
      <x:c r="M28" s="7" t="str">
        <x:v>Campagne / multi selon rencontre.</x:v>
      </x:c>
      <x:c r="N28" s="7" t="str">
        <x:v>Tourelle de hors-la-loi : tester la menace annoncée, une réponse de déplacement, un contre compatible et la sortie de combat ; cible, faction et phase ne changent jamais sans retour visible.</x:v>
      </x:c>
      <x:c r="O28" s="7" t="str"/>
      <x:c r="P28" s="7" t="str">
        <x:v>Tourelle de hors-la-loi</x:v>
      </x:c>
      <x:c r="Q28" s="7" t="str">
        <x:v>MEA-SRC-AGENT</x:v>
      </x:c>
      <x:c r="R28" s="7" t="str">
        <x:v>https://masseffect.fandom.com/wiki/Agent</x:v>
      </x:c>
      <x:c r="S28" s="7" t="str">
        <x:v>Spécification à réaliser. Les champs adaptation, gameplay, visual, animation, audio et implementation décrivent le fan game ; ils ne donnent pas des caractéristiques officielles de l’œuvre.</x:v>
      </x:c>
    </x:row>
    <x:row r="29" ht="96" customHeight="1">
      <x:c r="A29" s="18" t="str">
        <x:v>MEA-ENM-ADHI-TRAINED</x:v>
      </x:c>
      <x:c r="B29" s="9" t="str">
        <x:v>Adhi dressé</x:v>
      </x:c>
      <x:c r="C29" s="15" t="str">
        <x:v>Défini</x:v>
      </x:c>
      <x:c r="D29" s="16" t="str">
        <x:v>Établi</x:v>
      </x:c>
      <x:c r="E29" s="16" t="str">
        <x:v>P1</x:v>
      </x:c>
      <x:c r="F29" s="9" t="str">
        <x:v>Animal utilisé par des groupes ennemis.</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Préparer une anticipation orientée, un événement de résolution, une récupération et une réaction interrompue propres à ce comportement : Course, morsure puis recul ; prise à l’avant-bras convertie en état secourable sans martèlement de touche.</x:v>
      </x:c>
      <x:c r="K29" s="9" t="str">
        <x:v>Créer un signal distinct de préparation et une indication visuelle équivalente ; signaux de créature, machine et tir allié restent différenciés.</x:v>
      </x:c>
      <x:c r="L29" s="9" t="str">
        <x:v>Prévu : fiche de données mea/enemies/adhi-trained ; rattacher les ressources et états cités à cet identifiant. Aucun fichier de jeu créé par ce catalogue.</x:v>
      </x:c>
      <x:c r="M29" s="9" t="str">
        <x:v>Faction de la rencontre distincte de faune sauvage.</x:v>
      </x:c>
      <x:c r="N29" s="9" t="str">
        <x:v>Adhi dressé : tester la menace annoncée, une réponse de déplacement, un contre compatible et la sortie de combat ; cible, faction et phase ne changent jamais sans retour visible.</x:v>
      </x:c>
      <x:c r="O29" s="9" t="str"/>
      <x:c r="P29" s="9" t="str">
        <x:v>Adhi dressé</x:v>
      </x:c>
      <x:c r="Q29" s="9" t="str">
        <x:v>MEA-SRC-ADHI</x:v>
      </x:c>
      <x:c r="R29" s="9" t="str">
        <x:v>https://masseffect.fandom.com/wiki/Adhi</x:v>
      </x:c>
      <x:c r="S29" s="9" t="str">
        <x:v>Spécification à réaliser. Les champs adaptation, gameplay, visual, animation, audio et implementation décrivent le fan game ; ils ne donnent pas des caractéristiques officielles de l’œuvre.</x:v>
      </x:c>
    </x:row>
    <x:row r="30" ht="96" customHeight="1">
      <x:c r="A30" s="19" t="str">
        <x:v>MEA-ENM-ASSEMBLER</x:v>
      </x:c>
      <x:c r="B30" s="7" t="str">
        <x:v>Assembler</x:v>
      </x:c>
      <x:c r="C30" s="15" t="str">
        <x:v>Défini</x:v>
      </x:c>
      <x:c r="D30" s="17" t="str">
        <x:v>Établi</x:v>
      </x:c>
      <x:c r="E30" s="17" t="str">
        <x:v>P1</x:v>
      </x:c>
      <x:c r="F30" s="7" t="str">
        <x:v>Machine reliquate.</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Préparer une anticipation orientée, un événement de résolution, une récupération et une réaction interrompue propres à ce comportement : Production de renforts avec cycle annoncé et emplacements réservés ; interruption de fabrication ne crée pas d’unité invisible.</x:v>
      </x:c>
      <x:c r="K30" s="7" t="str">
        <x:v>Créer un signal distinct de préparation et une indication visuelle équivalente ; signaux de créature, machine et tir allié restent différenciés.</x:v>
      </x:c>
      <x:c r="L30" s="7" t="str">
        <x:v>Prévu : fiche de données mea/enemies/assembler ; rattacher les ressources et états cités à cet identifiant. Aucun fichier de jeu créé par ce catalogue.</x:v>
      </x:c>
      <x:c r="M30" s="7" t="str">
        <x:v>Sites reliquats.</x:v>
      </x:c>
      <x:c r="N30" s="7" t="str">
        <x:v>Assembler : tester la menace annoncée, une réponse de déplacement, un contre compatible et la sortie de combat ; cible, faction et phase ne changent jamais sans retour visible.</x:v>
      </x:c>
      <x:c r="O30" s="7" t="str"/>
      <x:c r="P30" s="7" t="str">
        <x:v>Assembler</x:v>
      </x:c>
      <x:c r="Q30" s="7" t="str">
        <x:v>MEA-SRC-ASSEMBLER</x:v>
      </x:c>
      <x:c r="R30" s="7" t="str">
        <x:v>https://masseffect.fandom.com/wiki/Assembler</x:v>
      </x:c>
      <x:c r="S30" s="7" t="str">
        <x:v>Spécification à réaliser. Les champs adaptation, gameplay, visual, animation, audio et implementation décrivent le fan game ; ils ne donnent pas des caractéristiques officielles de l’œuvre.</x:v>
      </x:c>
    </x:row>
    <x:row r="31" ht="82" customHeight="1">
      <x:c r="A31" s="18" t="str">
        <x:v>MEA-ENM-BREACHER</x:v>
      </x:c>
      <x:c r="B31" s="9" t="str">
        <x:v>Breacher</x:v>
      </x:c>
      <x:c r="C31" s="15" t="str">
        <x:v>Défini</x:v>
      </x:c>
      <x:c r="D31" s="16" t="str">
        <x:v>Établi</x:v>
      </x:c>
      <x:c r="E31" s="16" t="str">
        <x:v>P1</x:v>
      </x:c>
      <x:c r="F31" s="9" t="str">
        <x:v>Unité reliquate.</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Préparer une anticipation orientée, un événement de résolution, une récupération et une réaction interrompue propres à ce comportement : Approche de contact puis onde courte proposée ; forme basse reste sélectionnable par icône de cible.</x:v>
      </x:c>
      <x:c r="K31" s="9" t="str">
        <x:v>Créer un signal distinct de préparation et une indication visuelle équivalente ; signaux de créature, machine et tir allié restent différenciés.</x:v>
      </x:c>
      <x:c r="L31" s="9" t="str">
        <x:v>Prévu : fiche de données mea/enemies/breacher ; rattacher les ressources et états cités à cet identifiant. Aucun fichier de jeu créé par ce catalogue.</x:v>
      </x:c>
      <x:c r="M31" s="9" t="str">
        <x:v>Sites reliquats.</x:v>
      </x:c>
      <x:c r="N31" s="9" t="str">
        <x:v>Breacher : tester la menace annoncée, une réponse de déplacement, un contre compatible et la sortie de combat ; cible, faction et phase ne changent jamais sans retour visible.</x:v>
      </x:c>
      <x:c r="O31" s="9" t="str"/>
      <x:c r="P31" s="9" t="str">
        <x:v>Breacher</x:v>
      </x:c>
      <x:c r="Q31" s="9" t="str">
        <x:v>MEA-SRC-ASSEMBLER</x:v>
      </x:c>
      <x:c r="R31" s="9" t="str">
        <x:v>https://masseffect.fandom.com/wiki/Assembler</x:v>
      </x:c>
      <x:c r="S31" s="9" t="str">
        <x:v>Spécification à réaliser. Les champs adaptation, gameplay, visual, animation, audio et implementation décrivent le fan game ; ils ne donnent pas des caractéristiques officielles de l’œuvre.</x:v>
      </x:c>
    </x:row>
    <x:row r="32" ht="82" customHeight="1">
      <x:c r="A32" s="19" t="str">
        <x:v>MEA-ENM-CREEPER</x:v>
      </x:c>
      <x:c r="B32" s="7" t="str">
        <x:v>Creeper</x:v>
      </x:c>
      <x:c r="C32" s="15" t="str">
        <x:v>Défini</x:v>
      </x:c>
      <x:c r="D32" s="17" t="str">
        <x:v>Établi</x:v>
      </x:c>
      <x:c r="E32" s="17" t="str">
        <x:v>P1</x:v>
      </x:c>
      <x:c r="F32" s="7" t="str">
        <x:v>Unité reliquate de proximité.</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Préparer une anticipation orientée, un événement de résolution, une récupération et une réaction interrompue propres à ce comportement : Avance sur sol puis attaque de contact ; déplacement de mur purement visuel si collision non gérée.</x:v>
      </x:c>
      <x:c r="K32" s="7" t="str">
        <x:v>Créer un signal distinct de préparation et une indication visuelle équivalente ; signaux de créature, machine et tir allié restent différenciés.</x:v>
      </x:c>
      <x:c r="L32" s="7" t="str">
        <x:v>Prévu : fiche de données mea/enemies/creeper ; rattacher les ressources et états cités à cet identifiant. Aucun fichier de jeu créé par ce catalogue.</x:v>
      </x:c>
      <x:c r="M32" s="7" t="str">
        <x:v>Sites reliquats.</x:v>
      </x:c>
      <x:c r="N32" s="7" t="str">
        <x:v>Creeper : tester la menace annoncée, une réponse de déplacement, un contre compatible et la sortie de combat ; cible, faction et phase ne changent jamais sans retour visible.</x:v>
      </x:c>
      <x:c r="O32" s="7" t="str"/>
      <x:c r="P32" s="7" t="str">
        <x:v>Creeper</x:v>
      </x:c>
      <x:c r="Q32" s="7" t="str">
        <x:v>MEA-SRC-ASSEMBLER</x:v>
      </x:c>
      <x:c r="R32" s="7" t="str">
        <x:v>https://masseffect.fandom.com/wiki/Assembler</x:v>
      </x:c>
      <x:c r="S32" s="7" t="str">
        <x:v>Spécification à réaliser. Les champs adaptation, gameplay, visual, animation, audio et implementation décrivent le fan game ; ils ne donnent pas des caractéristiques officielles de l’œuvre.</x:v>
      </x:c>
    </x:row>
    <x:row r="33" ht="96" customHeight="1">
      <x:c r="A33" s="18" t="str">
        <x:v>MEA-ENM-DESTROYER</x:v>
      </x:c>
      <x:c r="B33" s="9" t="str">
        <x:v>Destroyer</x:v>
      </x:c>
      <x:c r="C33" s="15" t="str">
        <x:v>Défini</x:v>
      </x:c>
      <x:c r="D33" s="16" t="str">
        <x:v>Établi</x:v>
      </x:c>
      <x:c r="E33" s="16" t="str">
        <x:v>P1</x:v>
      </x:c>
      <x:c r="F33" s="9" t="str">
        <x:v>Machine reliquate lourde.</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Préparer une anticipation orientée, un événement de résolution, une récupération et une réaction interrompue propres à ce comportement : Tourelles latérales, salves et noyau ; pièces ciblables ont barres et projections au sol indépendantes du corps.</x:v>
      </x:c>
      <x:c r="K33" s="9" t="str">
        <x:v>Créer un signal distinct de préparation et une indication visuelle équivalente ; signaux de créature, machine et tir allié restent différenciés.</x:v>
      </x:c>
      <x:c r="L33" s="9" t="str">
        <x:v>Prévu : fiche de données mea/enemies/destroyer ; rattacher les ressources et états cités à cet identifiant. Aucun fichier de jeu créé par ce catalogue.</x:v>
      </x:c>
      <x:c r="M33" s="9" t="str">
        <x:v>Sites reliquats.</x:v>
      </x:c>
      <x:c r="N33" s="9" t="str">
        <x:v>Destroyer : tester la menace annoncée, une réponse de déplacement, un contre compatible et la sortie de combat ; cible, faction et phase ne changent jamais sans retour visible.</x:v>
      </x:c>
      <x:c r="O33" s="9" t="str"/>
      <x:c r="P33" s="9" t="str">
        <x:v>Destroyer</x:v>
      </x:c>
      <x:c r="Q33" s="9" t="str">
        <x:v>MEA-SRC-ASSEMBLER</x:v>
      </x:c>
      <x:c r="R33" s="9" t="str">
        <x:v>https://masseffect.fandom.com/wiki/Assembler</x:v>
      </x:c>
      <x:c r="S33" s="9" t="str">
        <x:v>Spécification à réaliser. Les champs adaptation, gameplay, visual, animation, audio et implementation décrivent le fan game ; ils ne donnent pas des caractéristiques officielles de l’œuvre.</x:v>
      </x:c>
    </x:row>
    <x:row r="34" ht="96" customHeight="1">
      <x:c r="A34" s="19" t="str">
        <x:v>MEA-ENM-NULLIFIER</x:v>
      </x:c>
      <x:c r="B34" s="7" t="str">
        <x:v>Nullifier</x:v>
      </x:c>
      <x:c r="C34" s="15" t="str">
        <x:v>Défini</x:v>
      </x:c>
      <x:c r="D34" s="17" t="str">
        <x:v>Établi</x:v>
      </x:c>
      <x:c r="E34" s="17" t="str">
        <x:v>P1</x:v>
      </x:c>
      <x:c r="F34" s="7" t="str">
        <x:v>Machine reliquate protégée.</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Préparer une anticipation orientée, un événement de résolution, une récupération et une réaction interrompue propres à ce comportement : Déploiement de barrière puis tir ; exposer flanc et intervalle de reconfiguration plutôt qu’immunité totale opaque.</x:v>
      </x:c>
      <x:c r="K34" s="7" t="str">
        <x:v>Créer un signal distinct de préparation et une indication visuelle équivalente ; signaux de créature, machine et tir allié restent différenciés.</x:v>
      </x:c>
      <x:c r="L34" s="7" t="str">
        <x:v>Prévu : fiche de données mea/enemies/nullifier ; rattacher les ressources et états cités à cet identifiant. Aucun fichier de jeu créé par ce catalogue.</x:v>
      </x:c>
      <x:c r="M34" s="7" t="str">
        <x:v>Sites reliquats.</x:v>
      </x:c>
      <x:c r="N34" s="7" t="str">
        <x:v>Nullifier : tester la menace annoncée, une réponse de déplacement, un contre compatible et la sortie de combat ; cible, faction et phase ne changent jamais sans retour visible.</x:v>
      </x:c>
      <x:c r="O34" s="7" t="str"/>
      <x:c r="P34" s="7" t="str">
        <x:v>Nullifier</x:v>
      </x:c>
      <x:c r="Q34" s="7" t="str">
        <x:v>MEA-SRC-ASSEMBLER</x:v>
      </x:c>
      <x:c r="R34" s="7" t="str">
        <x:v>https://masseffect.fandom.com/wiki/Assembler</x:v>
      </x:c>
      <x:c r="S34" s="7" t="str">
        <x:v>Spécification à réaliser. Les champs adaptation, gameplay, visual, animation, audio et implementation décrivent le fan game ; ils ne donnent pas des caractéristiques officielles de l’œuvre.</x:v>
      </x:c>
    </x:row>
    <x:row r="35" ht="82" customHeight="1">
      <x:c r="A35" s="18" t="str">
        <x:v>MEA-ENM-OBSERVER</x:v>
      </x:c>
      <x:c r="B35" s="9" t="str">
        <x:v>Observer</x:v>
      </x:c>
      <x:c r="C35" s="15" t="str">
        <x:v>Défini</x:v>
      </x:c>
      <x:c r="D35" s="16" t="str">
        <x:v>Établi</x:v>
      </x:c>
      <x:c r="E35" s="16" t="str">
        <x:v>P1</x:v>
      </x:c>
      <x:c r="F35" s="9" t="str">
        <x:v>Machine reliquate volante.</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Préparer une anticipation orientée, un événement de résolution, une récupération et une réaction interrompue propres à ce comportement : Rayon continu à préparation visible ; version alliée étiquetée et contours de faction distincts.</x:v>
      </x:c>
      <x:c r="K35" s="9" t="str">
        <x:v>Créer un signal distinct de préparation et une indication visuelle équivalente ; signaux de créature, machine et tir allié restent différenciés.</x:v>
      </x:c>
      <x:c r="L35" s="9" t="str">
        <x:v>Prévu : fiche de données mea/enemies/observer ; rattacher les ressources et états cités à cet identifiant. Aucun fichier de jeu créé par ce catalogue.</x:v>
      </x:c>
      <x:c r="M35" s="9" t="str">
        <x:v>Hostile ou allié selon console / mission.</x:v>
      </x:c>
      <x:c r="N35" s="9" t="str">
        <x:v>Observer : tester la menace annoncée, une réponse de déplacement, un contre compatible et la sortie de combat ; cible, faction et phase ne changent jamais sans retour visible.</x:v>
      </x:c>
      <x:c r="O35" s="9" t="str"/>
      <x:c r="P35" s="9" t="str">
        <x:v>Observer</x:v>
      </x:c>
      <x:c r="Q35" s="9" t="str">
        <x:v>MEA-SRC-ASSEMBLER, MEA-SRC-PEEBEE-LOYAL</x:v>
      </x:c>
      <x:c r="R35" s="9" t="str">
        <x:v>https://masseffect.fandom.com/wiki/Assembler
https://masseffect.fandom.com/wiki/Peebee%3A_A_Mysterious_Remnant_Signal</x:v>
      </x:c>
      <x:c r="S35" s="9" t="str">
        <x:v>Spécification à réaliser. Les champs adaptation, gameplay, visual, animation, audio et implementation décrivent le fan game ; ils ne donnent pas des caractéristiques officielles de l’œuvre.</x:v>
      </x:c>
    </x:row>
    <x:row r="36" ht="96" customHeight="1">
      <x:c r="A36" s="19" t="str">
        <x:v>MEA-ENM-REM-TURRET</x:v>
      </x:c>
      <x:c r="B36" s="7" t="str">
        <x:v>Tourelle reliquate</x:v>
      </x:c>
      <x:c r="C36" s="15" t="str">
        <x:v>Défini</x:v>
      </x:c>
      <x:c r="D36" s="17" t="str">
        <x:v>Établi</x:v>
      </x:c>
      <x:c r="E36" s="17" t="str">
        <x:v>P1</x:v>
      </x:c>
      <x:c r="F36" s="7" t="str">
        <x:v>Défense de site.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Préparer une anticipation orientée, un événement de résolution, une récupération et une réaction interrompue propres à ce comportement : Commande de console change faction explicitement ; conserver cible réservée ou annuler proprement lors de conversion.</x:v>
      </x:c>
      <x:c r="K36" s="7" t="str">
        <x:v>Créer un signal distinct de préparation et une indication visuelle équivalente ; signaux de créature, machine et tir allié restent différenciés.</x:v>
      </x:c>
      <x:c r="L36" s="7" t="str">
        <x:v>Prévu : fiche de données mea/enemies/rem-turret ; rattacher les ressources et états cités à cet identifiant. Aucun fichier de jeu créé par ce catalogue.</x:v>
      </x:c>
      <x:c r="M36" s="7" t="str">
        <x:v>Sites reliquats.</x:v>
      </x:c>
      <x:c r="N36" s="7" t="str">
        <x:v>Tourelle reliquate : tester la menace annoncée, une réponse de déplacement, un contre compatible et la sortie de combat ; cible, faction et phase ne changent jamais sans retour visible.</x:v>
      </x:c>
      <x:c r="O36" s="7" t="str"/>
      <x:c r="P36" s="7" t="str">
        <x:v>Tourelle reliquate</x:v>
      </x:c>
      <x:c r="Q36" s="7" t="str">
        <x:v>MEA-SRC-ASSEMBLER</x:v>
      </x:c>
      <x:c r="R36" s="7" t="str">
        <x:v>https://masseffect.fandom.com/wiki/Assembler</x:v>
      </x:c>
      <x:c r="S36" s="7" t="str">
        <x:v>Spécification à réaliser. Les champs adaptation, gameplay, visual, animation, audio et implementation décrivent le fan game ; ils ne donnent pas des caractéristiques officielles de l’œuvre.</x:v>
      </x:c>
    </x:row>
    <x:row r="37" ht="96" customHeight="1">
      <x:c r="A37" s="18" t="str">
        <x:v>MEA-ENM-ARCHITECT</x:v>
      </x:c>
      <x:c r="B37" s="9" t="str">
        <x:v>Architecte reliquat</x:v>
      </x:c>
      <x:c r="C37" s="15" t="str">
        <x:v>Défini</x:v>
      </x:c>
      <x:c r="D37" s="16" t="str">
        <x:v>Établi</x:v>
      </x:c>
      <x:c r="E37" s="16" t="str">
        <x:v>P1</x:v>
      </x:c>
      <x:c r="F37" s="9" t="str">
        <x:v>Machine géante de plusieurs mondes.</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Préparer une anticipation orientée, un événement de résolution, une récupération et une réaction interrompue propres à ce comportement : Membres puis tête exposée, repositionnement et renforts ; attaque au sol lisible en vue isométrique, distance visuelle ne cache pas portée réelle.</x:v>
      </x:c>
      <x:c r="K37" s="9" t="str">
        <x:v>Créer un signal distinct de préparation et une indication visuelle équivalente ; signaux de créature, machine et tir allié restent différenciés.</x:v>
      </x:c>
      <x:c r="L37" s="9" t="str">
        <x:v>Prévu : fiche de données mea/enemies/architect ; rattacher les ressources et états cités à cet identifiant. Aucun fichier de jeu créé par ce catalogue.</x:v>
      </x:c>
      <x:c r="M37" s="9" t="str">
        <x:v>Rencontres Eos/Voeld/Kadara/Elaaden à parametrer séparément.</x:v>
      </x:c>
      <x:c r="N37" s="9" t="str">
        <x:v>Architecte reliquat : tester la menace annoncée, une réponse de déplacement, un contre compatible et la sortie de combat ; cible, faction et phase ne changent jamais sans retour visible.</x:v>
      </x:c>
      <x:c r="O37" s="9" t="str"/>
      <x:c r="P37" s="9" t="str">
        <x:v>Architecte reliquat</x:v>
      </x:c>
      <x:c r="Q37" s="9" t="str">
        <x:v>MEA-SRC-ASSEMBLER, MEA-SRC-MISSIONS</x:v>
      </x:c>
      <x:c r="R37" s="9" t="str">
        <x:v>https://masseffect.fandom.com/wiki/Assembler
https://masseffect.fandom.com/wiki/Missions_%28Mass_Effect%3A_Andromeda%29</x:v>
      </x:c>
      <x:c r="S37" s="9" t="str">
        <x:v>Spécification à réaliser. Les champs adaptation, gameplay, visual, animation, audio et implementation décrivent le fan game ; ils ne donnent pas des caractéristiques officielles de l’œuvre.</x:v>
      </x:c>
    </x:row>
    <x:row r="38" ht="82" customHeight="1">
      <x:c r="A38" s="19" t="str">
        <x:v>MEA-ENM-PROGENITOR</x:v>
      </x:c>
      <x:c r="B38" s="7" t="str">
        <x:v>Progenitor</x:v>
      </x:c>
      <x:c r="C38" s="15" t="str">
        <x:v>Défini</x:v>
      </x:c>
      <x:c r="D38" s="17" t="str">
        <x:v>Établi</x:v>
      </x:c>
      <x:c r="E38" s="17" t="str">
        <x:v>P1</x:v>
      </x:c>
      <x:c r="F38" s="7" t="str">
        <x:v>Boss reliquat nommé.</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Préparer une anticipation orientée, un événement de résolution, une récupération et une réaction interrompue propres à ce comportement : Variante Destroyer à phases propres, objectifs latéraux puis cœur ; aucune nouvelle espèce inventée.</x:v>
      </x:c>
      <x:c r="K38" s="7" t="str">
        <x:v>Créer un signal distinct de préparation et une indication visuelle équivalente ; signaux de créature, machine et tir allié restent différenciés.</x:v>
      </x:c>
      <x:c r="L38" s="7" t="str">
        <x:v>Prévu : fiche de données mea/enemies/progenitor ; rattacher les ressources et états cités à cet identifiant. Aucun fichier de jeu créé par ce catalogue.</x:v>
      </x:c>
      <x:c r="M38" s="7" t="str">
        <x:v>The Remnant Tiller.</x:v>
      </x:c>
      <x:c r="N38" s="7" t="str">
        <x:v>Progenitor : tester la menace annoncée, une réponse de déplacement, un contre compatible et la sortie de combat ; cible, faction et phase ne changent jamais sans retour visible.</x:v>
      </x:c>
      <x:c r="O38" s="7" t="str"/>
      <x:c r="P38" s="7" t="str">
        <x:v>Progenitor</x:v>
      </x:c>
      <x:c r="Q38" s="7" t="str">
        <x:v>MEA-SRC-ASSEMBLER, MEA-SRC-MISSIONS</x:v>
      </x:c>
      <x:c r="R38" s="7" t="str">
        <x:v>https://masseffect.fandom.com/wiki/Assembler
https://masseffect.fandom.com/wiki/Missions_%28Mass_Effect%3A_Andromeda%29</x:v>
      </x:c>
      <x:c r="S38" s="7" t="str">
        <x:v>Spécification à réaliser. Les champs adaptation, gameplay, visual, animation, audio et implementation décrivent le fan game ; ils ne donnent pas des caractéristiques officielles de l’œuvre.</x:v>
      </x:c>
    </x:row>
    <x:row r="39" ht="96" customHeight="1">
      <x:c r="A39" s="18" t="str">
        <x:v>MEA-ENM-ARCHON-FINAL</x:v>
      </x:c>
      <x:c r="B39" s="9" t="str">
        <x:v>Archonte et réseau de Méridiane</x:v>
      </x:c>
      <x:c r="C39" s="15" t="str">
        <x:v>Défini</x:v>
      </x:c>
      <x:c r="D39" s="16" t="str">
        <x:v>Établi</x:v>
      </x:c>
      <x:c r="E39" s="16" t="str">
        <x:v>P1</x:v>
      </x:c>
      <x:c r="F39" s="9" t="str">
        <x:v>Confrontation finale.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Préparer une anticipation orientée, un événement de résolution, une récupération et une réaction interrompue propres à ce comportement : Boss à objectifs : survivre aux machines, ouvrir relais puis couper contrôle ; ne pas traiter l’Archonte comme fantassin à abattre directement.</x:v>
      </x:c>
      <x:c r="K39" s="9" t="str">
        <x:v>Créer un signal distinct de préparation et une indication visuelle équivalente ; signaux de créature, machine et tir allié restent différenciés.</x:v>
      </x:c>
      <x:c r="L39" s="9" t="str">
        <x:v>Prévu : fiche de données mea/enemies/archon-final ; rattacher les ressources et états cités à cet identifiant. Aucun fichier de jeu créé par ce catalogue.</x:v>
      </x:c>
      <x:c r="M39" s="9" t="str">
        <x:v>Final solo uniquement.</x:v>
      </x:c>
      <x:c r="N39" s="9" t="str">
        <x:v>Archonte et réseau de Méridiane : tester la menace annoncée, une réponse de déplacement, un contre compatible et la sortie de combat ; cible, faction et phase ne changent jamais sans retour visible.</x:v>
      </x:c>
      <x:c r="O39" s="9" t="str"/>
      <x:c r="P39" s="9" t="str">
        <x:v>Archonte et réseau de Méridiane</x:v>
      </x:c>
      <x:c r="Q39" s="9" t="str">
        <x:v>MEA-SRC-MERIDIAN</x:v>
      </x:c>
      <x:c r="R39" s="9" t="str">
        <x:v>https://masseffect.fandom.com/wiki/Meridian%3A_The_Way_Home</x:v>
      </x:c>
      <x:c r="S39" s="9" t="str">
        <x:v>Spécification à réaliser. Les champs adaptation, gameplay, visual, animation, audio et implementation décrivent le fan game ; ils ne donnent pas des caractéristiques officielles de l’œuvre.</x:v>
      </x:c>
    </x:row>
    <x:row r="40" ht="96" customHeight="1">
      <x:c r="A40" s="19" t="str">
        <x:v>MEA-ENM-CALOT</x:v>
      </x:c>
      <x:c r="B40" s="7" t="str">
        <x:v>Calot Gurting</x:v>
      </x:c>
      <x:c r="C40" s="15" t="str">
        <x:v>Défini</x:v>
      </x:c>
      <x:c r="D40" s="17" t="str">
        <x:v>Établi</x:v>
      </x:c>
      <x:c r="E40" s="17" t="str">
        <x:v>P1</x:v>
      </x:c>
      <x:c r="F40" s="7" t="str">
        <x:v>Chef du vaisseau de Liam.</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Préparer une anticipation orientée, un événement de résolution, une récupération et une réaction interrompue propres à ce comportement : Bouclier à neutraliser par point de piratage défendu ; couvrir l’opérateur et repousser les vagues limitées.</x:v>
      </x:c>
      <x:c r="K40" s="7" t="str">
        <x:v>Créer un signal distinct de préparation et une indication visuelle équivalente ; signaux de créature, machine et tir allié restent différenciés.</x:v>
      </x:c>
      <x:c r="L40" s="7" t="str">
        <x:v>Prévu : fiche de données mea/enemies/calot ; rattacher les ressources et états cités à cet identifiant. Aucun fichier de jeu créé par ce catalogue.</x:v>
      </x:c>
      <x:c r="M40" s="7" t="str">
        <x:v>Liam: All In.</x:v>
      </x:c>
      <x:c r="N40" s="7" t="str">
        <x:v>Calot Gurting : tester la menace annoncée, une réponse de déplacement, un contre compatible et la sortie de combat ; cible, faction et phase ne changent jamais sans retour visible.</x:v>
      </x:c>
      <x:c r="O40" s="7" t="str"/>
      <x:c r="P40" s="7" t="str">
        <x:v>Calot Gurting</x:v>
      </x:c>
      <x:c r="Q40" s="7" t="str">
        <x:v>MEA-SRC-LIAM-LOYAL</x:v>
      </x:c>
      <x:c r="R40" s="7" t="str">
        <x:v>https://masseffect.fandom.com/wiki/Liam_Kosta%3A_All_In</x:v>
      </x:c>
      <x:c r="S40" s="7" t="str">
        <x:v>Spécification à réaliser. Les champs adaptation, gameplay, visual, animation, audio et implementation décrivent le fan game ; ils ne donnent pas des caractéristiques officielles de l’œuvre.</x:v>
      </x:c>
    </x:row>
    <x:row r="41" ht="96" customHeight="1">
      <x:c r="A41" s="18" t="str">
        <x:v>MEA-ENM-MERIWEATHER</x:v>
      </x:c>
      <x:c r="B41" s="9" t="str">
        <x:v>Meriweather</x:v>
      </x:c>
      <x:c r="C41" s="15" t="str">
        <x:v>Défini</x:v>
      </x:c>
      <x:c r="D41" s="16" t="str">
        <x:v>Établi</x:v>
      </x:c>
      <x:c r="E41" s="16" t="str">
        <x:v>P1</x:v>
      </x:c>
      <x:c r="F41" s="9" t="str">
        <x:v>Antagoniste de la mission de Vetra.</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Préparer une anticipation orientée, un événement de résolution, une récupération et une réaction interrompue propres à ce comportement : Rencontre conditionnée aux sabotages de Sid ; renforts et dangers correspondent aux salles réellement préparées.</x:v>
      </x:c>
      <x:c r="K41" s="9" t="str">
        <x:v>Créer un signal distinct de préparation et une indication visuelle équivalente ; signaux de créature, machine et tir allié restent différenciés.</x:v>
      </x:c>
      <x:c r="L41" s="9" t="str">
        <x:v>Prévu : fiche de données mea/enemies/meriweather ; rattacher les ressources et états cités à cet identifiant. Aucun fichier de jeu créé par ce catalogue.</x:v>
      </x:c>
      <x:c r="M41" s="9" t="str">
        <x:v>Vetra: Means and Ends.</x:v>
      </x:c>
      <x:c r="N41" s="9" t="str">
        <x:v>Meriweather : tester la menace annoncée, une réponse de déplacement, un contre compatible et la sortie de combat ; cible, faction et phase ne changent jamais sans retour visible.</x:v>
      </x:c>
      <x:c r="O41" s="9" t="str"/>
      <x:c r="P41" s="9" t="str">
        <x:v>Meriweather</x:v>
      </x:c>
      <x:c r="Q41" s="9" t="str">
        <x:v>MEA-SRC-VETRA-LOYAL</x:v>
      </x:c>
      <x:c r="R41" s="9" t="str">
        <x:v>https://masseffect.fandom.com/wiki/Vetra_Nyx%3A_Means_and_Ends</x:v>
      </x:c>
      <x:c r="S41" s="9" t="str">
        <x:v>Spécification à réaliser. Les champs adaptation, gameplay, visual, animation, audio et implementation décrivent le fan game ; ils ne donnent pas des caractéristiques officielles de l’œuvre.</x:v>
      </x:c>
    </x:row>
    <x:row r="42" ht="96" customHeight="1">
      <x:c r="A42" s="19" t="str">
        <x:v>MEA-ENM-ADHI-WILD</x:v>
      </x:c>
      <x:c r="B42" s="7" t="str">
        <x:v>Adhi sauvage</x:v>
      </x:c>
      <x:c r="C42" s="15" t="str">
        <x:v>Défini</x:v>
      </x:c>
      <x:c r="D42" s="17" t="str">
        <x:v>Établi</x:v>
      </x:c>
      <x:c r="E42" s="17" t="str">
        <x:v>P1</x:v>
      </x:c>
      <x:c r="F42" s="7" t="str">
        <x:v>Faune de Heleus.</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Préparer une anticipation orientée, un événement de résolution, une récupération et une réaction interrompue propres à ce comportement : Territoire et avertissement avant poursuite ; possibilité d’observation sans combat si le joueur reste hors zone proposée.</x:v>
      </x:c>
      <x:c r="K42" s="7" t="str">
        <x:v>Créer un signal distinct de préparation et une indication visuelle équivalente ; signaux de créature, machine et tir allié restent différenciés.</x:v>
      </x:c>
      <x:c r="L42" s="7" t="str">
        <x:v>Prévu : fiche de données mea/enemies/adhi-wild ; rattacher les ressources et états cités à cet identifiant. Aucun fichier de jeu créé par ce catalogue.</x:v>
      </x:c>
      <x:c r="M42" s="7" t="str">
        <x:v>Faune, pas faction kett par défaut.</x:v>
      </x:c>
      <x:c r="N42" s="7" t="str">
        <x:v>Adhi sauvage : tester la menace annoncée, une réponse de déplacement, un contre compatible et la sortie de combat ; cible, faction et phase ne changent jamais sans retour visible.</x:v>
      </x:c>
      <x:c r="O42" s="7" t="str"/>
      <x:c r="P42" s="7" t="str">
        <x:v>Adhi sauvage</x:v>
      </x:c>
      <x:c r="Q42" s="7" t="str">
        <x:v>MEA-SRC-ADHI</x:v>
      </x:c>
      <x:c r="R42" s="7" t="str">
        <x:v>https://masseffect.fandom.com/wiki/Adhi</x:v>
      </x:c>
      <x:c r="S42" s="7" t="str">
        <x:v>Spécification à réaliser. Les champs adaptation, gameplay, visual, animation, audio et implementation décrivent le fan game ; ils ne donnent pas des caractéristiques officielles de l’œuvre.</x:v>
      </x:c>
    </x:row>
    <x:row r="43" ht="96" customHeight="1">
      <x:c r="A43" s="18" t="str">
        <x:v>MEA-ENM-ANCIENT-EIROCH</x:v>
      </x:c>
      <x:c r="B43" s="9" t="str">
        <x:v>Ancient Eiroch</x:v>
      </x:c>
      <x:c r="C43" s="15" t="str">
        <x:v>Défini</x:v>
      </x:c>
      <x:c r="D43" s="16" t="str">
        <x:v>Établi</x:v>
      </x:c>
      <x:c r="E43" s="16" t="str">
        <x:v>P1</x:v>
      </x:c>
      <x:c r="F43" s="9" t="str">
        <x:v>Créature massive.</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Préparer une anticipation orientée, un événement de résolution, une récupération et une réaction interrompue propres à ce comportement : Charge et balayage à cône large ; faiblesse proposée après collision, champ de cible indépendant de hauteur du sprite.</x:v>
      </x:c>
      <x:c r="K43" s="9" t="str">
        <x:v>Créer un signal distinct de préparation et une indication visuelle équivalente ; signaux de créature, machine et tir allié restent différenciés.</x:v>
      </x:c>
      <x:c r="L43" s="9" t="str">
        <x:v>Prévu : fiche de données mea/enemies/ancient-eiroch ; rattacher les ressources et états cités à cet identifiant. Aucun fichier de jeu créé par ce catalogue.</x:v>
      </x:c>
      <x:c r="M43" s="9" t="str">
        <x:v>Rencontre de faune.</x:v>
      </x:c>
      <x:c r="N43" s="9" t="str">
        <x:v>Ancient Eiroch : tester la menace annoncée, une réponse de déplacement, un contre compatible et la sortie de combat ; cible, faction et phase ne changent jamais sans retour visible.</x:v>
      </x:c>
      <x:c r="O43" s="9" t="str"/>
      <x:c r="P43" s="9" t="str">
        <x:v>Ancient Eiroch</x:v>
      </x:c>
      <x:c r="Q43" s="9" t="str">
        <x:v>MEA-SRC-EIROCH</x:v>
      </x:c>
      <x:c r="R43" s="9" t="str">
        <x:v>https://masseffect.fandom.com/wiki/Ancient_Eiroch</x:v>
      </x:c>
      <x:c r="S43" s="9" t="str">
        <x:v>Spécification à réaliser. Les champs adaptation, gameplay, visual, animation, audio et implementation décrivent le fan game ; ils ne donnent pas des caractéristiques officielles de l’œuvre.</x:v>
      </x:c>
    </x:row>
    <x:row r="44" ht="96" customHeight="1">
      <x:c r="A44" s="19" t="str">
        <x:v>MEA-ENM-KAERKYN</x:v>
      </x:c>
      <x:c r="B44" s="7" t="str">
        <x:v>Kaerkyn</x:v>
      </x:c>
      <x:c r="C44" s="15" t="str">
        <x:v>Défini</x:v>
      </x:c>
      <x:c r="D44" s="17" t="str">
        <x:v>Établi</x:v>
      </x:c>
      <x:c r="E44" s="17" t="str">
        <x:v>P1</x:v>
      </x:c>
      <x:c r="F44" s="7" t="str">
        <x:v>Faune locale.</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Préparer une anticipation orientée, un événement de résolution, une récupération et une réaction interrompue propres à ce comportement : Réaction de défense et déplacement court proposés ; comportement non hostile par défaut tant que rencontre ne le requiert.</x:v>
      </x:c>
      <x:c r="K44" s="7" t="str">
        <x:v>Créer un signal distinct de préparation et une indication visuelle équivalente ; signaux de créature, machine et tir allié restent différenciés.</x:v>
      </x:c>
      <x:c r="L44" s="7" t="str">
        <x:v>Prévu : fiche de données mea/enemies/kaerkyn ; rattacher les ressources et états cités à cet identifiant. Aucun fichier de jeu créé par ce catalogue.</x:v>
      </x:c>
      <x:c r="M44" s="7" t="str">
        <x:v>Paramètres d’hostilité à vérifier par lieu.</x:v>
      </x:c>
      <x:c r="N44" s="7" t="str">
        <x:v>Kaerkyn : tester la menace annoncée, une réponse de déplacement, un contre compatible et la sortie de combat ; cible, faction et phase ne changent jamais sans retour visible.</x:v>
      </x:c>
      <x:c r="O44" s="7" t="str"/>
      <x:c r="P44" s="7" t="str">
        <x:v>Kaerkyn</x:v>
      </x:c>
      <x:c r="Q44" s="7" t="str">
        <x:v>MEA-SRC-KAERKYN</x:v>
      </x:c>
      <x:c r="R44" s="7" t="str">
        <x:v>https://masseffect.fandom.com/wiki/Kaerkyn</x:v>
      </x:c>
      <x:c r="S44" s="7" t="str">
        <x:v>Spécification à réaliser. Les champs adaptation, gameplay, visual, animation, audio et implementation décrivent le fan game ; ils ne donnent pas des caractéristiques officielles de l’œuvre.</x:v>
      </x:c>
    </x:row>
    <x:row r="45" ht="82" customHeight="1">
      <x:c r="A45" s="18" t="str">
        <x:v>MEA-ENM-SPITBUG</x:v>
      </x:c>
      <x:c r="B45" s="9" t="str">
        <x:v>Spitbug</x:v>
      </x:c>
      <x:c r="C45" s="15" t="str">
        <x:v>Défini</x:v>
      </x:c>
      <x:c r="D45" s="16" t="str">
        <x:v>Établi</x:v>
      </x:c>
      <x:c r="E45" s="16" t="str">
        <x:v>P1</x:v>
      </x:c>
      <x:c r="F45" s="9" t="str">
        <x:v>Créature projetant une substance.</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Préparer une anticipation orientée, un événement de résolution, une récupération et une réaction interrompue propres à ce comportement : Jet arqué puis zone persistante proposée ; trace au sol donne durée et contournement.</x:v>
      </x:c>
      <x:c r="K45" s="9" t="str">
        <x:v>Créer un signal distinct de préparation et une indication visuelle équivalente ; signaux de créature, machine et tir allié restent différenciés.</x:v>
      </x:c>
      <x:c r="L45" s="9" t="str">
        <x:v>Prévu : fiche de données mea/enemies/spitbug ; rattacher les ressources et états cités à cet identifiant. Aucun fichier de jeu créé par ce catalogue.</x:v>
      </x:c>
      <x:c r="M45" s="9" t="str">
        <x:v>Faune.</x:v>
      </x:c>
      <x:c r="N45" s="9" t="str">
        <x:v>Spitbug : tester la menace annoncée, une réponse de déplacement, un contre compatible et la sortie de combat ; cible, faction et phase ne changent jamais sans retour visible.</x:v>
      </x:c>
      <x:c r="O45" s="9" t="str"/>
      <x:c r="P45" s="9" t="str">
        <x:v>Spitbug</x:v>
      </x:c>
      <x:c r="Q45" s="9" t="str">
        <x:v>MEA-SRC-SPITBUG</x:v>
      </x:c>
      <x:c r="R45" s="9" t="str">
        <x:v>https://masseffect.fandom.com/wiki/Spitbug</x:v>
      </x:c>
      <x:c r="S45" s="9" t="str">
        <x:v>Spécification à réaliser. Les champs adaptation, gameplay, visual, animation, audio et implementation décrivent le fan game ; ils ne donnent pas des caractéristiques officielles de l’œuvre.</x:v>
      </x:c>
    </x:row>
    <x:row r="46" ht="96" customHeight="1">
      <x:c r="A46" s="19" t="str">
        <x:v>MEA-ENM-TAURG</x:v>
      </x:c>
      <x:c r="B46" s="7" t="str">
        <x:v>Taurg</x:v>
      </x:c>
      <x:c r="C46" s="15" t="str">
        <x:v>Défini</x:v>
      </x:c>
      <x:c r="D46" s="17" t="str">
        <x:v>Établi</x:v>
      </x:c>
      <x:c r="E46" s="17" t="str">
        <x:v>P1</x:v>
      </x:c>
      <x:c r="F46" s="7" t="str">
        <x:v>Faune locale.</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Préparer une anticipation orientée, un événement de résolution, une récupération et une réaction interrompue propres à ce comportement : Patrouille territoriale et recul d’avertissement proposés ; conservation d’une distance d’observation pour scanner.</x:v>
      </x:c>
      <x:c r="K46" s="7" t="str">
        <x:v>Créer un signal distinct de préparation et une indication visuelle équivalente ; signaux de créature, machine et tir allié restent différenciés.</x:v>
      </x:c>
      <x:c r="L46" s="7" t="str">
        <x:v>Prévu : fiche de données mea/enemies/taurg ; rattacher les ressources et états cités à cet identifiant. Aucun fichier de jeu créé par ce catalogue.</x:v>
      </x:c>
      <x:c r="M46" s="7" t="str">
        <x:v>Hostilité déterminée par variante documentée.</x:v>
      </x:c>
      <x:c r="N46" s="7" t="str">
        <x:v>Taurg : tester la menace annoncée, une réponse de déplacement, un contre compatible et la sortie de combat ; cible, faction et phase ne changent jamais sans retour visible.</x:v>
      </x:c>
      <x:c r="O46" s="7" t="str"/>
      <x:c r="P46" s="7" t="str">
        <x:v>Taurg</x:v>
      </x:c>
      <x:c r="Q46" s="7" t="str">
        <x:v>MEA-SRC-TAURG</x:v>
      </x:c>
      <x:c r="R46" s="7" t="str">
        <x:v>https://masseffect.fandom.com/wiki/Taurg</x:v>
      </x:c>
      <x:c r="S46" s="7" t="str">
        <x:v>Spécification à réaliser. Les champs adaptation, gameplay, visual, animation, audio et implementation décrivent le fan game ; ils ne donnent pas des caractéristiques officielles de l’œuvre.</x:v>
      </x:c>
    </x:row>
    <x:row r="47" ht="96" customHeight="1">
      <x:c r="A47" s="18" t="str">
        <x:v>MEA-ENM-CHALLYRION</x:v>
      </x:c>
      <x:c r="B47" s="9" t="str">
        <x:v>Challyrion</x:v>
      </x:c>
      <x:c r="C47" s="15" t="str">
        <x:v>Défini</x:v>
      </x:c>
      <x:c r="D47" s="16" t="str">
        <x:v>Établi</x:v>
      </x:c>
      <x:c r="E47" s="16" t="str">
        <x:v>P1</x:v>
      </x:c>
      <x:c r="F47" s="9" t="str">
        <x:v>Faune de Havarl.</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Préparer une anticipation orientée, un événement de résolution, une récupération et une réaction interrompue propres à ce comportement : Variante normale observable et variante mutée dangereuse séparées ; analyser avant action reste une vraie option.</x:v>
      </x:c>
      <x:c r="K47" s="9" t="str">
        <x:v>Créer un signal distinct de préparation et une indication visuelle équivalente ; signaux de créature, machine et tir allié restent différenciés.</x:v>
      </x:c>
      <x:c r="L47" s="9" t="str">
        <x:v>Prévu : fiche de données mea/enemies/challyrion ; rattacher les ressources et états cités à cet identifiant. Aucun fichier de jeu créé par ce catalogue.</x:v>
      </x:c>
      <x:c r="M47" s="9" t="str">
        <x:v>Overgrown pour variante mutée.</x:v>
      </x:c>
      <x:c r="N47" s="9" t="str">
        <x:v>Challyrion : tester la menace annoncée, une réponse de déplacement, un contre compatible et la sortie de combat ; cible, faction et phase ne changent jamais sans retour visible.</x:v>
      </x:c>
      <x:c r="O47" s="9" t="str"/>
      <x:c r="P47" s="9" t="str">
        <x:v>Challyrion</x:v>
      </x:c>
      <x:c r="Q47" s="9" t="str">
        <x:v>MEA-SRC-CHALLYRION, MEA-SRC-OVERGROWN</x:v>
      </x:c>
      <x:c r="R47" s="9" t="str">
        <x:v>https://masseffect.fandom.com/wiki/Challyrion
https://masseffect.fandom.com/wiki/Overgrown</x:v>
      </x:c>
      <x:c r="S47" s="9" t="str">
        <x:v>Spécification à réaliser. Les champs adaptation, gameplay, visual, animation, audio et implementation décrivent le fan game ; ils ne donnent pas des caractéristiques officielles de l’œuvre.</x:v>
      </x:c>
    </x:row>
  </x:sheetData>
  <x:conditionalFormatting sqref="D7:D47">
    <x:cfRule type="cellIs" dxfId="32" priority="1" operator="equal">
      <x:formula>"À vérifier"</x:formula>
    </x:cfRule>
    <x:cfRule type="cellIs" dxfId="33" priority="2" operator="equal">
      <x:formula>"Extrapolation"</x:formula>
    </x:cfRule>
  </x:conditionalFormatting>
  <x:conditionalFormatting sqref="C7:C47">
    <x:cfRule type="cellIs" dxfId="34" priority="3" operator="equal">
      <x:formula>"Validé"</x:formula>
    </x:cfRule>
  </x:conditionalFormatting>
  <x:conditionalFormatting sqref="E7:E47">
    <x:cfRule type="cellIs" dxfId="3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a827be6e170f4875"/>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MEA-MQ-HYPERION</x:v>
      </x:c>
      <x:c r="B7" s="9" t="str">
        <x:v>Prologue: Hyperion</x:v>
      </x:c>
      <x:c r="C7" s="15" t="str">
        <x:v>Défini</x:v>
      </x:c>
      <x:c r="D7" s="16" t="str">
        <x:v>Établi</x:v>
      </x:c>
      <x:c r="E7" s="16" t="str">
        <x:v>P1</x:v>
      </x:c>
      <x:c r="F7" s="9" t="str">
        <x:v>Réveil sur l’arche humaine.</x:v>
      </x:c>
      <x:c r="G7" s="9" t="str">
        <x:v>Tutoriel dialogue, déplacement et scanner avec étapes courtes ; personnalisation confirmée avant entrée sur terrain.</x:v>
      </x:c>
      <x:c r="H7" s="9" t="str">
        <x:v>Tutoriel dialogue, déplacement et scanner avec étapes courtes ; personnalisation confirmée avant entrée sur terrain.</x:v>
      </x:c>
      <x:c r="I7" s="9" t="str">
        <x:v>Cryostase, passerelle et fenêtres spatiales.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mea/main_quests/hyperion ; rattacher les ressources et états cités à cet identifiant. Aucun fichier de jeu créé par ce catalogue.</x:v>
      </x:c>
      <x:c r="M7" s="9" t="str"/>
      <x:c r="N7" s="9" t="str">
        <x:v>Le livrable « Prologue: Hyperion » possède une scène ou un scénario de contrôle ; ses règles proposées, ses conditions et ses retours visuels sont vérifiables séparément.</x:v>
      </x:c>
      <x:c r="O7" s="9" t="str"/>
      <x:c r="P7" s="9" t="str">
        <x:v>Prologue: Hyperion</x:v>
      </x:c>
      <x:c r="Q7" s="9" t="str">
        <x:v>MEA-SRC-GUIDE</x:v>
      </x:c>
      <x:c r="R7" s="9" t="str">
        <x:v>https://masseffect.fandom.com/wiki/Mass_Effect%3A_Andromeda_Guide</x:v>
      </x:c>
      <x:c r="S7" s="9" t="str">
        <x:v>Spécification à réaliser. Les champs adaptation, gameplay, visual, animation, audio et implementation décrivent le fan game ; ils ne donnent pas des caractéristiques officielles de l’œuvre.</x:v>
      </x:c>
    </x:row>
    <x:row r="8" ht="68" customHeight="1">
      <x:c r="A8" s="19" t="str">
        <x:v>MEA-MQ-PLANETSIDE</x:v>
      </x:c>
      <x:c r="B8" s="7" t="str">
        <x:v>Planetside — Habitat 7</x:v>
      </x:c>
      <x:c r="C8" s="15" t="str">
        <x:v>Défini</x:v>
      </x:c>
      <x:c r="D8" s="17" t="str">
        <x:v>Établi</x:v>
      </x:c>
      <x:c r="E8" s="17" t="str">
        <x:v>P1</x:v>
      </x:c>
      <x:c r="F8" s="7" t="str">
        <x:v>Première exploration planétaire.</x:v>
      </x:c>
      <x:c r="G8" s="7" t="str">
        <x:v>Décomposer atterrissage, recherche d’équipe, premier combat et tour reliquate ; dangers météo lisibles avant mouvement.</x:v>
      </x:c>
      <x:c r="H8" s="7" t="str">
        <x:v>Décomposer atterrissage, recherche d’équipe, premier combat et tour reliquate ; dangers météo lisibles avant mouvement.</x:v>
      </x:c>
      <x:c r="I8" s="7" t="str">
        <x:v>Roches flottantes, éclairs et ruines.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mea/main_quests/planetside ; rattacher les ressources et états cités à cet identifiant. Aucun fichier de jeu créé par ce catalogue.</x:v>
      </x:c>
      <x:c r="M8" s="7" t="str"/>
      <x:c r="N8" s="7" t="str">
        <x:v>Le livrable « Planetside — Habitat 7 » possède une scène ou un scénario de contrôle ; ses règles proposées, ses conditions et ses retours visuels sont vérifiables séparément.</x:v>
      </x:c>
      <x:c r="O8" s="7" t="str"/>
      <x:c r="P8" s="7" t="str">
        <x:v>Planetside — Habitat 7</x:v>
      </x:c>
      <x:c r="Q8" s="7" t="str">
        <x:v>MEA-SRC-GUIDE</x:v>
      </x:c>
      <x:c r="R8" s="7" t="str">
        <x:v>https://masseffect.fandom.com/wiki/Mass_Effect%3A_Andromeda_Guide</x:v>
      </x:c>
      <x:c r="S8" s="7" t="str">
        <x:v>Spécification à réaliser. Les champs adaptation, gameplay, visual, animation, audio et implementation décrivent le fan game ; ils ne donnent pas des caractéristiques officielles de l’œuvre.</x:v>
      </x:c>
    </x:row>
    <x:row r="9" ht="68" customHeight="1">
      <x:c r="A9" s="18" t="str">
        <x:v>MEA-MQ-NEXUS</x:v>
      </x:c>
      <x:c r="B9" s="9" t="str">
        <x:v>Nexus Reunion</x:v>
      </x:c>
      <x:c r="C9" s="15" t="str">
        <x:v>Défini</x:v>
      </x:c>
      <x:c r="D9" s="16" t="str">
        <x:v>Établi</x:v>
      </x:c>
      <x:c r="E9" s="16" t="str">
        <x:v>P1</x:v>
      </x:c>
      <x:c r="F9" s="9" t="str">
        <x:v>Premier contact avec le Nexus.</x:v>
      </x:c>
      <x:c r="G9" s="9" t="str">
        <x:v>Hub de présentation avec parcours libre et interlocuteurs repérables ; toutes les missions obtenues gardent leur provenance.</x:v>
      </x:c>
      <x:c r="H9" s="9" t="str">
        <x:v>Hub de présentation avec parcours libre et interlocuteurs repérables ; toutes les missions obtenues gardent leur provenance.</x:v>
      </x:c>
      <x:c r="I9" s="9" t="str">
        <x:v>Station incomplète et bureaux.</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mea/main_quests/nexus ; rattacher les ressources et états cités à cet identifiant. Aucun fichier de jeu créé par ce catalogue.</x:v>
      </x:c>
      <x:c r="M9" s="9" t="str"/>
      <x:c r="N9" s="9" t="str">
        <x:v>Le livrable « Nexus Reunion » possède une scène ou un scénario de contrôle ; ses règles proposées, ses conditions et ses retours visuels sont vérifiables séparément.</x:v>
      </x:c>
      <x:c r="O9" s="9" t="str"/>
      <x:c r="P9" s="9" t="str">
        <x:v>Nexus Reunion</x:v>
      </x:c>
      <x:c r="Q9" s="9" t="str">
        <x:v>MEA-SRC-GUIDE</x:v>
      </x:c>
      <x:c r="R9" s="9" t="str">
        <x:v>https://masseffect.fandom.com/wiki/Mass_Effect%3A_Andromeda_Guide</x:v>
      </x:c>
      <x:c r="S9" s="9" t="str">
        <x:v>Spécification à réaliser. Les champs adaptation, gameplay, visual, animation, audio et implementation décrivent le fan game ; ils ne donnent pas des caractéristiques officielles de l’œuvre.</x:v>
      </x:c>
    </x:row>
    <x:row r="10" ht="68" customHeight="1">
      <x:c r="A10" s="19" t="str">
        <x:v>MEA-MQ-FIRST-STRIKE</x:v>
      </x:c>
      <x:c r="B10" s="7" t="str">
        <x:v>First Strike</x:v>
      </x:c>
      <x:c r="C10" s="15" t="str">
        <x:v>Défini</x:v>
      </x:c>
      <x:c r="D10" s="17" t="str">
        <x:v>Établi</x:v>
      </x:c>
      <x:c r="E10" s="17" t="str">
        <x:v>P1</x:v>
      </x:c>
      <x:c r="F10" s="7" t="str">
        <x:v>Introduction aux équipes d’intervention.</x:v>
      </x:c>
      <x:c r="G10" s="7" t="str">
        <x:v>Tutoriel d’envoi de Strike Team et explication du mode APEX facultatif ; aucun lancement multijoueur imposé.</x:v>
      </x:c>
      <x:c r="H10" s="7" t="str">
        <x:v>Tutoriel d’envoi de Strike Team et explication du mode APEX facultatif ; aucun lancement multijoueur imposé.</x:v>
      </x:c>
      <x:c r="I10" s="7" t="str">
        <x:v>Table de mission et succès estimé.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mea/main_quests/first-strike ; rattacher les ressources et états cités à cet identifiant. Aucun fichier de jeu créé par ce catalogue.</x:v>
      </x:c>
      <x:c r="M10" s="7" t="str"/>
      <x:c r="N10" s="7" t="str">
        <x:v>Le livrable « First Strike » possède une scène ou un scénario de contrôle ; ses règles proposées, ses conditions et ses retours visuels sont vérifiables séparément.</x:v>
      </x:c>
      <x:c r="O10" s="7" t="str"/>
      <x:c r="P10" s="7" t="str">
        <x:v>First Strike</x:v>
      </x:c>
      <x:c r="Q10" s="7" t="str">
        <x:v>MEA-SRC-MISSIONS, MEA-SRC-MP</x:v>
      </x:c>
      <x:c r="R10" s="7" t="str">
        <x:v>https://masseffect.fandom.com/wiki/Missions_%28Mass_Effect%3A_Andromeda%29
https://masseffect.fandom.com/wiki/Mass_Effect%3A_Andromeda_Multiplayer</x:v>
      </x:c>
      <x:c r="S10" s="7" t="str">
        <x:v>Spécification à réaliser. Les champs adaptation, gameplay, visual, animation, audio et implementation décrivent le fan game ; ils ne donnent pas des caractéristiques officielles de l’œuvre.</x:v>
      </x:c>
    </x:row>
    <x:row r="11" ht="82" customHeight="1">
      <x:c r="A11" s="18" t="str">
        <x:v>MEA-MQ-EOS</x:v>
      </x:c>
      <x:c r="B11" s="9" t="str">
        <x:v>A Better Beginning</x:v>
      </x:c>
      <x:c r="C11" s="15" t="str">
        <x:v>Défini</x:v>
      </x:c>
      <x:c r="D11" s="16" t="str">
        <x:v>Établi</x:v>
      </x:c>
      <x:c r="E11" s="16" t="str">
        <x:v>P1</x:v>
      </x:c>
      <x:c r="F11" s="9" t="str">
        <x:v>L’opération d’Eos fonde le premier avant-poste.</x:v>
      </x:c>
      <x:c r="G11" s="9" t="str">
        <x:v>Site abandonné, monolithes, caveau puis implantation ; séparer étapes de viabilité et choix de fonction de colonie.</x:v>
      </x:c>
      <x:c r="H11" s="9" t="str">
        <x:v>Site abandonné, monolithes, caveau puis implantation ; séparer étapes de viabilité et choix de fonction de colonie.</x:v>
      </x:c>
      <x:c r="I11" s="9" t="str">
        <x:v>Désert irradié, ruines et Prodromos.</x:v>
      </x:c>
      <x:c r="J11" s="9" t="str">
        <x:v>Nommer les variantes de scène et leurs positions finales ; saut de cinématique, réduction de mouvement et lecture complète appliquent le même état. Désert irradié, ruines et Prodromos.</x:v>
      </x:c>
      <x:c r="K11" s="9" t="str">
        <x:v>Répliques originales par branche et sous-titres nominatifs ; supprimer les voix d’acteurs absents avant mixage et conserver les informations de danger en texte.</x:v>
      </x:c>
      <x:c r="L11" s="9" t="str">
        <x:v>Prévu : fiche de données mea/main_quests/eos ; rattacher les ressources et états cités à cet identifiant. Aucun fichier de jeu créé par ce catalogue.</x:v>
      </x:c>
      <x:c r="M11" s="9" t="str"/>
      <x:c r="N11" s="9" t="str">
        <x:v>Scanner, monolithes, décryptage, purification puis type d’avant-poste sont cinq états distincts ; une reprise dans le caveau conserve la solution et aucune colonie n’est créée avant choix. Radiation et accès se mettent à jour selon le bon état de restauration.</x:v>
      </x:c>
      <x:c r="O11" s="9" t="str"/>
      <x:c r="P11" s="9" t="str">
        <x:v>A Better Beginning</x:v>
      </x:c>
      <x:c r="Q11" s="9" t="str">
        <x:v>MEA-SRC-GUIDE</x:v>
      </x:c>
      <x:c r="R11" s="9" t="str">
        <x:v>https://masseffect.fandom.com/wiki/Mass_Effect%3A_Andromeda_Guide</x:v>
      </x:c>
      <x:c r="S11" s="9" t="str">
        <x:v>Spécification à réaliser. Les champs adaptation, gameplay, visual, animation, audio et implementation décrivent le fan game ; ils ne donnent pas des caractéristiques officielles de l’œuvre.</x:v>
      </x:c>
    </x:row>
    <x:row r="12" ht="68" customHeight="1">
      <x:c r="A12" s="19" t="str">
        <x:v>MEA-MQ-AVP</x:v>
      </x:c>
      <x:c r="B12" s="7" t="str">
        <x:v>AVP Cryo Deployment Perks</x:v>
      </x:c>
      <x:c r="C12" s="15" t="str">
        <x:v>Défini</x:v>
      </x:c>
      <x:c r="D12" s="17" t="str">
        <x:v>Établi</x:v>
      </x:c>
      <x:c r="E12" s="17" t="str">
        <x:v>P1</x:v>
      </x:c>
      <x:c r="F12" s="7" t="str">
        <x:v>La progression déverrouille des avantages de cryostase.</x:v>
      </x:c>
      <x:c r="G12" s="7" t="str">
        <x:v>Écran de spécialistes et bénéfices, confirmation réversible de lecture ; réveil n’est pas recrutement d’un équipier de terrain.</x:v>
      </x:c>
      <x:c r="H12" s="7" t="str">
        <x:v>Écran de spécialistes et bénéfices, confirmation réversible de lecture ; réveil n’est pas recrutement d’un équipier de terrain.</x:v>
      </x:c>
      <x:c r="I12" s="7" t="str">
        <x:v>Pod, liste de rôles et avantage.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mea/main_quests/avp ; rattacher les ressources et états cités à cet identifiant. Aucun fichier de jeu créé par ce catalogue.</x:v>
      </x:c>
      <x:c r="M12" s="7" t="str"/>
      <x:c r="N12" s="7" t="str">
        <x:v>Le livrable « AVP Cryo Deployment Perks » possède une scène ou un scénario de contrôle ; ses règles proposées, ses conditions et ses retours visuels sont vérifiables séparément.</x:v>
      </x:c>
      <x:c r="O12" s="7" t="str"/>
      <x:c r="P12" s="7" t="str">
        <x:v>AVP Cryo Deployment Perks</x:v>
      </x:c>
      <x:c r="Q12" s="7" t="str">
        <x:v>MEA-SRC-MISSIONS</x:v>
      </x:c>
      <x:c r="R12" s="7" t="str">
        <x:v>https://masseffect.fandom.com/wiki/Missions_%28Mass_Effect%3A_Andromeda%29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MEA-MQ-AYA</x:v>
      </x:c>
      <x:c r="B13" s="9" t="str">
        <x:v>A Trail of Hope I</x:v>
      </x:c>
      <x:c r="C13" s="15" t="str">
        <x:v>Défini</x:v>
      </x:c>
      <x:c r="D13" s="16" t="str">
        <x:v>Établi</x:v>
      </x:c>
      <x:c r="E13" s="16" t="str">
        <x:v>P1</x:v>
      </x:c>
      <x:c r="F13" s="9" t="str">
        <x:v>Premier accueil sur Aya.</x:v>
      </x:c>
      <x:c r="G13" s="9" t="str">
        <x:v>Présenter angara, restrictions et contacts ; confiance obtenue par missions, pas par simple traversée du hub.</x:v>
      </x:c>
      <x:c r="H13" s="9" t="str">
        <x:v>Présenter angara, restrictions et contacts ; confiance obtenue par missions, pas par simple traversée du hub.</x:v>
      </x:c>
      <x:c r="I13" s="9" t="str">
        <x:v>Ville sous cascade et contrôle d’accès.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mea/main_quests/aya ; rattacher les ressources et états cités à cet identifiant. Aucun fichier de jeu créé par ce catalogue.</x:v>
      </x:c>
      <x:c r="M13" s="9" t="str"/>
      <x:c r="N13" s="9" t="str">
        <x:v>Le livrable « A Trail of Hope I » possède une scène ou un scénario de contrôle ; ses règles proposées, ses conditions et ses retours visuels sont vérifiables séparément.</x:v>
      </x:c>
      <x:c r="O13" s="9" t="str"/>
      <x:c r="P13" s="9" t="str">
        <x:v>A Trail of Hope I</x:v>
      </x:c>
      <x:c r="Q13" s="9" t="str">
        <x:v>MEA-SRC-GUIDE</x:v>
      </x:c>
      <x:c r="R13" s="9" t="str">
        <x:v>https://masseffect.fandom.com/wiki/Mass_Effect%3A_Andromeda_Guide</x:v>
      </x:c>
      <x:c r="S13" s="9" t="str">
        <x:v>Spécification à réaliser. Les champs adaptation, gameplay, visual, animation, audio et implementation décrivent le fan game ; ils ne donnent pas des caractéristiques officielles de l’œuvre.</x:v>
      </x:c>
    </x:row>
    <x:row r="14" ht="68" customHeight="1">
      <x:c r="A14" s="19" t="str">
        <x:v>MEA-MQ-RESISTANCE</x:v>
      </x:c>
      <x:c r="B14" s="7" t="str">
        <x:v>Meet the Resistance</x:v>
      </x:c>
      <x:c r="C14" s="15" t="str">
        <x:v>Défini</x:v>
      </x:c>
      <x:c r="D14" s="17" t="str">
        <x:v>Établi</x:v>
      </x:c>
      <x:c r="E14" s="17" t="str">
        <x:v>P1</x:v>
      </x:c>
      <x:c r="F14" s="7" t="str">
        <x:v>Arc de Résistance sur Voeld.</x:v>
      </x:c>
      <x:c r="G14" s="7" t="str">
        <x:v>Mission dont catégorie dépend de l’ordre Havarl/Voeld ; même identifiant de progression sous deux vues de journal.</x:v>
      </x:c>
      <x:c r="H14" s="7" t="str">
        <x:v>Mission dont catégorie dépend de l’ordre Havarl/Voeld ; même identifiant de progression sous deux vues de journal.</x:v>
      </x:c>
      <x:c r="I14" s="7" t="str">
        <x:v>Base angara enneigée.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mea/main_quests/resistance ; rattacher les ressources et états cités à cet identifiant. Aucun fichier de jeu créé par ce catalogue.</x:v>
      </x:c>
      <x:c r="M14" s="7" t="str">
        <x:v>Priority Ops ou Heleus selon parcours.</x:v>
      </x:c>
      <x:c r="N14" s="7" t="str">
        <x:v>Le livrable « Meet the Resistance » possède une scène ou un scénario de contrôle ; ses règles proposées, ses conditions et ses retours visuels sont vérifiables séparément.</x:v>
      </x:c>
      <x:c r="O14" s="7" t="str"/>
      <x:c r="P14" s="7" t="str">
        <x:v>Meet the Resistance</x:v>
      </x:c>
      <x:c r="Q14" s="7" t="str">
        <x:v>MEA-SRC-MISSIONS</x:v>
      </x:c>
      <x:c r="R14" s="7" t="str">
        <x:v>https://masseffect.fandom.com/wiki/Missions_%28Mass_Effect%3A_Andromeda%29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MEA-MQ-FRONTLINES</x:v>
      </x:c>
      <x:c r="B15" s="9" t="str">
        <x:v>On the Frontlines</x:v>
      </x:c>
      <x:c r="C15" s="15" t="str">
        <x:v>Défini</x:v>
      </x:c>
      <x:c r="D15" s="16" t="str">
        <x:v>Établi</x:v>
      </x:c>
      <x:c r="E15" s="16" t="str">
        <x:v>P1</x:v>
      </x:c>
      <x:c r="F15" s="9" t="str">
        <x:v>Étape de Voeld selon ordre choisi.</x:v>
      </x:c>
      <x:c r="G15" s="9" t="str">
        <x:v>Contact militaire et route de sauvetage ; ne pas la rendre obligatoire si le parcours Havarl l’a remplacée.</x:v>
      </x:c>
      <x:c r="H15" s="9" t="str">
        <x:v>Contact militaire et route de sauvetage ; ne pas la rendre obligatoire si le parcours Havarl l’a remplacée.</x:v>
      </x:c>
      <x:c r="I15" s="9" t="str">
        <x:v>Avant-poste enneigé et radio.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mea/main_quests/frontlines ; rattacher les ressources et états cités à cet identifiant. Aucun fichier de jeu créé par ce catalogue.</x:v>
      </x:c>
      <x:c r="M15" s="9" t="str">
        <x:v>Si Voeld traité avant Havarl.</x:v>
      </x:c>
      <x:c r="N15" s="9" t="str">
        <x:v>Le livrable « On the Frontlines » possède une scène ou un scénario de contrôle ; ses règles proposées, ses conditions et ses retours visuels sont vérifiables séparément.</x:v>
      </x:c>
      <x:c r="O15" s="9" t="str"/>
      <x:c r="P15" s="9" t="str">
        <x:v>On the Frontlines</x:v>
      </x:c>
      <x:c r="Q15" s="9" t="str">
        <x:v>MEA-SRC-MISSIONS</x:v>
      </x:c>
      <x:c r="R15" s="9" t="str">
        <x:v>https://masseffect.fandom.com/wiki/Missions_%28Mass_Effect%3A_Andromeda%29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MEA-MQ-RESCUE</x:v>
      </x:c>
      <x:c r="B16" s="7" t="str">
        <x:v>Stage a Rescue</x:v>
      </x:c>
      <x:c r="C16" s="15" t="str">
        <x:v>Défini</x:v>
      </x:c>
      <x:c r="D16" s="17" t="str">
        <x:v>Établi</x:v>
      </x:c>
      <x:c r="E16" s="17" t="str">
        <x:v>P1</x:v>
      </x:c>
      <x:c r="F16" s="7" t="str">
        <x:v>Opération de secours angara.</x:v>
      </x:c>
      <x:c r="G16" s="7" t="str">
        <x:v>Préparer assaut, libérer groupes et valider extraction ; peut apparaître sous catégorie différente selon donneur.</x:v>
      </x:c>
      <x:c r="H16" s="7" t="str">
        <x:v>Préparer assaut, libérer groupes et valider extraction ; peut apparaître sous catégorie différente selon donneur.</x:v>
      </x:c>
      <x:c r="I16" s="7" t="str">
        <x:v>Prison kett et cellule d’otages.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mea/main_quests/rescue ; rattacher les ressources et états cités à cet identifiant. Aucun fichier de jeu créé par ce catalogue.</x:v>
      </x:c>
      <x:c r="M16" s="7" t="str">
        <x:v>Catégorie conditionnelle selon parcours.</x:v>
      </x:c>
      <x:c r="N16" s="7" t="str">
        <x:v>Le livrable « Stage a Rescue » possède une scène ou un scénario de contrôle ; ses règles proposées, ses conditions et ses retours visuels sont vérifiables séparément.</x:v>
      </x:c>
      <x:c r="O16" s="7" t="str"/>
      <x:c r="P16" s="7" t="str">
        <x:v>Stage a Rescue</x:v>
      </x:c>
      <x:c r="Q16" s="7" t="str">
        <x:v>MEA-SRC-MISSIONS</x:v>
      </x:c>
      <x:c r="R16" s="7" t="str">
        <x:v>https://masseffect.fandom.com/wiki/Missions_%28Mass_Effect%3A_Andromeda%29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MEA-MQ-HAVARL</x:v>
      </x:c>
      <x:c r="B17" s="9" t="str">
        <x:v>Helping Havarl’s Scientists</x:v>
      </x:c>
      <x:c r="C17" s="15" t="str">
        <x:v>Défini</x:v>
      </x:c>
      <x:c r="D17" s="16" t="str">
        <x:v>Établi</x:v>
      </x:c>
      <x:c r="E17" s="16" t="str">
        <x:v>P1</x:v>
      </x:c>
      <x:c r="F17" s="9" t="str">
        <x:v>Mission scientifique de Havarl.</x:v>
      </x:c>
      <x:c r="G17" s="9" t="str">
        <x:v>Inspecter l’anomalie reliquate et libérer les chercheurs ; résolution du puzzle et sécurité du groupe sont deux validations.</x:v>
      </x:c>
      <x:c r="H17" s="9" t="str">
        <x:v>Inspecter l’anomalie reliquate et libérer les chercheurs ; résolution du puzzle et sécurité du groupe sont deux validations.</x:v>
      </x:c>
      <x:c r="I17" s="9" t="str">
        <x:v>Jungle, chercheurs et dispositif reliquat.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mea/main_quests/havarl ; rattacher les ressources et états cités à cet identifiant. Aucun fichier de jeu créé par ce catalogue.</x:v>
      </x:c>
      <x:c r="M17" s="9" t="str">
        <x:v>Priority Ops ou Heleus selon ordre.</x:v>
      </x:c>
      <x:c r="N17" s="9" t="str">
        <x:v>Le livrable « Helping Havarl’s Scientists » possède une scène ou un scénario de contrôle ; ses règles proposées, ses conditions et ses retours visuels sont vérifiables séparément.</x:v>
      </x:c>
      <x:c r="O17" s="9" t="str"/>
      <x:c r="P17" s="9" t="str">
        <x:v>Helping Havarl’s Scientists</x:v>
      </x:c>
      <x:c r="Q17" s="9" t="str">
        <x:v>MEA-SRC-MISSIONS</x:v>
      </x:c>
      <x:c r="R17" s="9" t="str">
        <x:v>https://masseffect.fandom.com/wiki/Missions_%28Mass_Effect%3A_Andromeda%29</x:v>
      </x:c>
      <x:c r="S17" s="9" t="str">
        <x:v>Spécification à réaliser. Les champs adaptation, gameplay, visual, animation, audio et implementation décrivent le fan game ; ils ne donnent pas des caractéristiques officielles de l’œuvre.</x:v>
      </x:c>
    </x:row>
    <x:row r="18" ht="82" customHeight="1">
      <x:c r="A18" s="19" t="str">
        <x:v>MEA-MQ-MOSHAE</x:v>
      </x:c>
      <x:c r="B18" s="7" t="str">
        <x:v>A Trail of Hope II</x:v>
      </x:c>
      <x:c r="C18" s="15" t="str">
        <x:v>Défini</x:v>
      </x:c>
      <x:c r="D18" s="17" t="str">
        <x:v>Établi</x:v>
      </x:c>
      <x:c r="E18" s="17" t="str">
        <x:v>P1</x:v>
      </x:c>
      <x:c r="F18" s="7" t="str">
        <x:v>Le secours de la Moshae mène à une révélation.</x:v>
      </x:c>
      <x:c r="G18" s="7" t="str">
        <x:v>Installation d’exaltation, Cardinal puis décision de sort du site ; annoncer les alternatives avant engagement.</x:v>
      </x:c>
      <x:c r="H18" s="7" t="str">
        <x:v>Installation d’exaltation, Cardinal puis décision de sort du site ; annoncer les alternatives avant engagement.</x:v>
      </x:c>
      <x:c r="I18" s="7" t="str">
        <x:v>Complexe kett et capsules angara.</x:v>
      </x:c>
      <x:c r="J18" s="7" t="str">
        <x:v>Nommer les variantes de scène et leurs positions finales ; saut de cinématique, réduction de mouvement et lecture complète appliquent le même état. Complexe kett et capsules angara.</x:v>
      </x:c>
      <x:c r="K18" s="7" t="str">
        <x:v>Répliques originales par branche et sous-titres nominatifs ; supprimer les voix d’acteurs absents avant mixage et conserver les informations de danger en texte.</x:v>
      </x:c>
      <x:c r="L18" s="7" t="str">
        <x:v>Prévu : fiche de données mea/main_quests/moshae ; rattacher les ressources et états cités à cet identifiant. Aucun fichier de jeu créé par ce catalogue.</x:v>
      </x:c>
      <x:c r="M18" s="7" t="str"/>
      <x:c r="N18" s="7" t="str">
        <x:v>Le Cardinal possède orbe et protection cohérentes ; à victoire, choix de captifs/site puis sort du Cardinal sont enregistrés séparément. Le débrief de la Moshae, les retours angara et les prochains objectifs suivent ces valeurs.</x:v>
      </x:c>
      <x:c r="O18" s="7" t="str"/>
      <x:c r="P18" s="7" t="str">
        <x:v>A Trail of Hope II</x:v>
      </x:c>
      <x:c r="Q18" s="7" t="str">
        <x:v>MEA-SRC-GUIDE</x:v>
      </x:c>
      <x:c r="R18" s="7" t="str">
        <x:v>https://masseffect.fandom.com/wiki/Mass_Effect%3A_Andromeda_Guide</x:v>
      </x:c>
      <x:c r="S18" s="7" t="str">
        <x:v>Spécification à réaliser. Les champs adaptation, gameplay, visual, animation, audio et implementation décrivent le fan game ; ils ne donnent pas des caractéristiques officielles de l’œuvre.</x:v>
      </x:c>
    </x:row>
    <x:row r="19" ht="82" customHeight="1">
      <x:c r="A19" s="18" t="str">
        <x:v>MEA-MQ-ARCHON</x:v>
      </x:c>
      <x:c r="B19" s="9" t="str">
        <x:v>Hunting the Archon</x:v>
      </x:c>
      <x:c r="C19" s="15" t="str">
        <x:v>Défini</x:v>
      </x:c>
      <x:c r="D19" s="16" t="str">
        <x:v>Établi</x:v>
      </x:c>
      <x:c r="E19" s="16" t="str">
        <x:v>P1</x:v>
      </x:c>
      <x:c r="F19" s="9" t="str">
        <x:v>La traque mène à l’arche galarienne.</x:v>
      </x:c>
      <x:c r="G19" s="9" t="str">
        <x:v>Enquête Kadara, abordage, piège et choix de secours ; les deux objectifs finaux ne sont pas simultanément sauvables par défaut.</x:v>
      </x:c>
      <x:c r="H19" s="9" t="str">
        <x:v>Enquête Kadara, abordage, piège et choix de secours ; les deux objectifs finaux ne sont pas simultanément sauvables par défaut.</x:v>
      </x:c>
      <x:c r="I19" s="9" t="str">
        <x:v>Vaisseau kett, arche et laboratoire.</x:v>
      </x:c>
      <x:c r="J19" s="9" t="str">
        <x:v>Nommer les variantes de scène et leurs positions finales ; saut de cinématique, réduction de mouvement et lecture complète appliquent le même état. Vaisseau kett, arche et laboratoire.</x:v>
      </x:c>
      <x:c r="K19" s="9" t="str">
        <x:v>Répliques originales par branche et sous-titres nominatifs ; supprimer les voix d’acteurs absents avant mixage et conserver les informations de danger en texte.</x:v>
      </x:c>
      <x:c r="L19" s="9" t="str">
        <x:v>Prévu : fiche de données mea/main_quests/archon ; rattacher les ressources et états cités à cet identifiant. Aucun fichier de jeu créé par ce catalogue.</x:v>
      </x:c>
      <x:c r="M19" s="9" t="str"/>
      <x:c r="N19" s="9" t="str">
        <x:v>Le choix Raeka/scouts n’accomplit jamais les deux secours ; la réaction de Drack, la fonction galarienne et les communications finales sont cohérentes après sauvegarde/reprise. Aucun effet de piège de SAM ne reste bloqué après sortie.</x:v>
      </x:c>
      <x:c r="O19" s="9" t="str"/>
      <x:c r="P19" s="9" t="str">
        <x:v>Hunting the Archon</x:v>
      </x:c>
      <x:c r="Q19" s="9" t="str">
        <x:v>MEA-SRC-ARCHON</x:v>
      </x:c>
      <x:c r="R19" s="9" t="str">
        <x:v>https://masseffect.fandom.com/wiki/Hunting_the_Archon</x:v>
      </x:c>
      <x:c r="S19" s="9" t="str">
        <x:v>Spécification à réaliser. Les champs adaptation, gameplay, visual, animation, audio et implementation décrivent le fan game ; ils ne donnent pas des caractéristiques officielles de l’œuvre.</x:v>
      </x:c>
    </x:row>
    <x:row r="20" ht="68" customHeight="1">
      <x:c r="A20" s="19" t="str">
        <x:v>MEA-MQ-ELAADEN</x:v>
      </x:c>
      <x:c r="B20" s="7" t="str">
        <x:v>Elaaden: A New World</x:v>
      </x:c>
      <x:c r="C20" s="15" t="str">
        <x:v>Défini</x:v>
      </x:c>
      <x:c r="D20" s="17" t="str">
        <x:v>Établi</x:v>
      </x:c>
      <x:c r="E20" s="17" t="str">
        <x:v>P1</x:v>
      </x:c>
      <x:c r="F20" s="7" t="str">
        <x:v>Introduction au monde désertique.</x:v>
      </x:c>
      <x:c r="G20" s="7" t="str">
        <x:v>Accès aux krogans, points de survie et conflits locaux ; ne pas forcer tout arc du monde comme priorité principale.</x:v>
      </x:c>
      <x:c r="H20" s="7" t="str">
        <x:v>Accès aux krogans, points de survie et conflits locaux ; ne pas forcer tout arc du monde comme priorité principale.</x:v>
      </x:c>
      <x:c r="I20" s="7" t="str">
        <x:v>Sable, New Tuchanka et épave reliquate.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mea/main_quests/elaaden ; rattacher les ressources et états cités à cet identifiant. Aucun fichier de jeu créé par ce catalogue.</x:v>
      </x:c>
      <x:c r="M20" s="7" t="str"/>
      <x:c r="N20" s="7" t="str">
        <x:v>Le livrable « Elaaden: A New World » possède une scène ou un scénario de contrôle ; ses règles proposées, ses conditions et ses retours visuels sont vérifiables séparément.</x:v>
      </x:c>
      <x:c r="O20" s="7" t="str"/>
      <x:c r="P20" s="7" t="str">
        <x:v>Elaaden: A New World</x:v>
      </x:c>
      <x:c r="Q20" s="7" t="str">
        <x:v>MEA-SRC-MISSIONS</x:v>
      </x:c>
      <x:c r="R20" s="7" t="str">
        <x:v>https://masseffect.fandom.com/wiki/Missions_%28Mass_Effect%3A_Andromeda%29</x:v>
      </x:c>
      <x:c r="S20" s="7" t="str">
        <x:v>Spécification à réaliser. Les champs adaptation, gameplay, visual, animation, audio et implementation décrivent le fan game ; ils ne donnent pas des caractéristiques officielles de l’œuvre.</x:v>
      </x:c>
    </x:row>
    <x:row r="21" ht="68" customHeight="1">
      <x:c r="A21" s="18" t="str">
        <x:v>MEA-MQ-H047C</x:v>
      </x:c>
      <x:c r="B21" s="9" t="str">
        <x:v>H-047c: A New World</x:v>
      </x:c>
      <x:c r="C21" s="15" t="str">
        <x:v>Défini</x:v>
      </x:c>
      <x:c r="D21" s="16" t="str">
        <x:v>Établi</x:v>
      </x:c>
      <x:c r="E21" s="16" t="str">
        <x:v>P1</x:v>
      </x:c>
      <x:c r="F21" s="9" t="str">
        <x:v>Exploration d’un monde fragmenté.</x:v>
      </x:c>
      <x:c r="G21" s="9" t="str">
        <x:v>Nomad obligatoire hors dôme, entrée de terrain sûr explicitée ; ressources et mission Tiller distinctes.</x:v>
      </x:c>
      <x:c r="H21" s="9" t="str">
        <x:v>Nomad obligatoire hors dôme, entrée de terrain sûr explicitée ; ressources et mission Tiller distinctes.</x:v>
      </x:c>
      <x:c r="I21" s="9" t="str">
        <x:v>Astéroïdes, vide et dômes.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mea/main_quests/h047c ; rattacher les ressources et états cités à cet identifiant. Aucun fichier de jeu créé par ce catalogue.</x:v>
      </x:c>
      <x:c r="M21" s="9" t="str"/>
      <x:c r="N21" s="9" t="str">
        <x:v>Le livrable « H-047c: A New World » possède une scène ou un scénario de contrôle ; ses règles proposées, ses conditions et ses retours visuels sont vérifiables séparément.</x:v>
      </x:c>
      <x:c r="O21" s="9" t="str"/>
      <x:c r="P21" s="9" t="str">
        <x:v>H-047c: A New World</x:v>
      </x:c>
      <x:c r="Q21" s="9" t="str">
        <x:v>MEA-SRC-MISSIONS, MEA-SRC-HAZARD</x:v>
      </x:c>
      <x:c r="R21" s="9" t="str">
        <x:v>https://masseffect.fandom.com/wiki/Missions_%28Mass_Effect%3A_Andromeda%29
https://masseffect.fandom.com/wiki/Hazard</x:v>
      </x:c>
      <x:c r="S21" s="9" t="str">
        <x:v>Spécification à réaliser. Les champs adaptation, gameplay, visual, animation, audio et implementation décrivent le fan game ; ils ne donnent pas des caractéristiques officielles de l’œuvre.</x:v>
      </x:c>
    </x:row>
    <x:row r="22" ht="68" customHeight="1">
      <x:c r="A22" s="19" t="str">
        <x:v>MEA-MQ-JOURNEY</x:v>
      </x:c>
      <x:c r="B22" s="7" t="str">
        <x:v>The Journey to Meridian</x:v>
      </x:c>
      <x:c r="C22" s="15" t="str">
        <x:v>Défini</x:v>
      </x:c>
      <x:c r="D22" s="17" t="str">
        <x:v>Établi</x:v>
      </x:c>
      <x:c r="E22" s="17" t="str">
        <x:v>P1</x:v>
      </x:c>
      <x:c r="F22" s="7" t="str">
        <x:v>La recherche vise le réseau de Méridiane.</x:v>
      </x:c>
      <x:c r="G22" s="7" t="str">
        <x:v>Assaut et activation du site reliquat ; identifier ville/centre découvert et véritable destination pour éviter confusion de carte.</x:v>
      </x:c>
      <x:c r="H22" s="7" t="str">
        <x:v>Assaut et activation du site reliquat ; identifier ville/centre découvert et véritable destination pour éviter confusion de carte.</x:v>
      </x:c>
      <x:c r="I22" s="7" t="str">
        <x:v>Structures reliquates et architecture géante.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mea/main_quests/journey ; rattacher les ressources et états cités à cet identifiant. Aucun fichier de jeu créé par ce catalogue.</x:v>
      </x:c>
      <x:c r="M22" s="7" t="str"/>
      <x:c r="N22" s="7" t="str">
        <x:v>Le livrable « The Journey to Meridian » possède une scène ou un scénario de contrôle ; ses règles proposées, ses conditions et ses retours visuels sont vérifiables séparément.</x:v>
      </x:c>
      <x:c r="O22" s="7" t="str"/>
      <x:c r="P22" s="7" t="str">
        <x:v>The Journey to Meridian</x:v>
      </x:c>
      <x:c r="Q22" s="7" t="str">
        <x:v>MEA-SRC-GUIDE</x:v>
      </x:c>
      <x:c r="R22" s="7" t="str">
        <x:v>https://masseffect.fandom.com/wiki/Mass_Effect%3A_Andromeda_Guide</x:v>
      </x:c>
      <x:c r="S22" s="7" t="str">
        <x:v>Spécification à réaliser. Les champs adaptation, gameplay, visual, animation, audio et implementation décrivent le fan game ; ils ne donnent pas des caractéristiques officielles de l’œuvre.</x:v>
      </x:c>
    </x:row>
    <x:row r="23" ht="68" customHeight="1">
      <x:c r="A23" s="18" t="str">
        <x:v>MEA-MQ-MERIDIAN</x:v>
      </x:c>
      <x:c r="B23" s="9" t="str">
        <x:v>Meridian: The Way Home</x:v>
      </x:c>
      <x:c r="C23" s="15" t="str">
        <x:v>Défini</x:v>
      </x:c>
      <x:c r="D23" s="16" t="str">
        <x:v>Établi</x:v>
      </x:c>
      <x:c r="E23" s="16" t="str">
        <x:v>P1</x:v>
      </x:c>
      <x:c r="F23" s="9" t="str">
        <x:v>Opération finale contre l’Archonte.</x:v>
      </x:c>
      <x:c r="G23" s="9" t="str">
        <x:v>Perte de SAM, relais du jumeau, secours Hyperion puis combat final à objectifs ; alliés acquis conditionnent apparitions.</x:v>
      </x:c>
      <x:c r="H23" s="9" t="str">
        <x:v>Perte de SAM, relais du jumeau, secours Hyperion puis combat final à objectifs ; alliés acquis conditionnent apparitions.</x:v>
      </x:c>
      <x:c r="I23" s="9" t="str">
        <x:v>Hyperion, sphère habitable et noyau.</x:v>
      </x:c>
      <x:c r="J23" s="9" t="str">
        <x:v>Nommer les variantes de scène et leurs positions finales ; saut de cinématique, réduction de mouvement et lecture complète appliquent le même état. Hyperion, sphère habitable et noyau.</x:v>
      </x:c>
      <x:c r="K23" s="9" t="str">
        <x:v>Répliques originales par branche et sous-titres nominatifs ; supprimer les voix d’acteurs absents avant mixage et conserver les informations de danger en texte.</x:v>
      </x:c>
      <x:c r="L23" s="9" t="str">
        <x:v>Prévu : fiche de données mea/main_quests/meridian ; rattacher les ressources et états cités à cet identifiant. Aucun fichier de jeu créé par ce catalogue.</x:v>
      </x:c>
      <x:c r="M23" s="9" t="str"/>
      <x:c r="N23" s="9" t="str">
        <x:v>Le relais du jumeau utilise le bon nom/modèle puis rend le contrôle au bon Ryder ; chaque Pionnier présent a un état valide, l’arène se termine par objectifs de réseau et le destin de Dunn concorde dans montage et épilogue.</x:v>
      </x:c>
      <x:c r="O23" s="9" t="str"/>
      <x:c r="P23" s="9" t="str">
        <x:v>Meridian: The Way Home</x:v>
      </x:c>
      <x:c r="Q23" s="9" t="str">
        <x:v>MEA-SRC-MERIDIAN</x:v>
      </x:c>
      <x:c r="R23" s="9" t="str">
        <x:v>https://masseffect.fandom.com/wiki/Meridian%3A_The_Way_Home</x:v>
      </x:c>
      <x:c r="S23" s="9" t="str">
        <x:v>Spécification à réaliser. Les champs adaptation, gameplay, visual, animation, audio et implementation décrivent le fan game ; ils ne donnent pas des caractéristiques officielles de l’œuvre.</x:v>
      </x:c>
    </x:row>
    <x:row r="24" ht="68" customHeight="1">
      <x:c r="A24" s="19" t="str">
        <x:v>MEA-MQ-EPILOGUE</x:v>
      </x:c>
      <x:c r="B24" s="7" t="str">
        <x:v>Epilogue: Home and Away</x:v>
      </x:c>
      <x:c r="C24" s="15" t="str">
        <x:v>Défini</x:v>
      </x:c>
      <x:c r="D24" s="17" t="str">
        <x:v>Établi</x:v>
      </x:c>
      <x:c r="E24" s="17" t="str">
        <x:v>P1</x:v>
      </x:c>
      <x:c r="F24" s="7" t="str">
        <x:v>Retrouvailles à Port Meridian.</x:v>
      </x:c>
      <x:c r="G24" s="7" t="str">
        <x:v>Dialogue du jumeau, ambassadeur et équipage ; étapes de conversation obligatoires et facultatives distinguées.</x:v>
      </x:c>
      <x:c r="H24" s="7" t="str">
        <x:v>Dialogue du jumeau, ambassadeur et équipage ; étapes de conversation obligatoires et facultatives distinguées.</x:v>
      </x:c>
      <x:c r="I24" s="7" t="str">
        <x:v>Arche posée, fête et plateforme.</x:v>
      </x:c>
      <x:c r="J24" s="7" t="str">
        <x:v>Nommer les variantes de scène et leurs positions finales ; saut de cinématique, réduction de mouvement et lecture complète appliquent le même état. Arche posée, fête et plateforme.</x:v>
      </x:c>
      <x:c r="K24" s="7" t="str">
        <x:v>Répliques originales par branche et sous-titres nominatifs ; supprimer les voix d’acteurs absents avant mixage et conserver les informations de danger en texte.</x:v>
      </x:c>
      <x:c r="L24" s="7" t="str">
        <x:v>Prévu : fiche de données mea/main_quests/epilogue ; rattacher les ressources et états cités à cet identifiant. Aucun fichier de jeu créé par ce catalogue.</x:v>
      </x:c>
      <x:c r="M24" s="7" t="str"/>
      <x:c r="N24" s="7" t="str">
        <x:v>Ambassadeur choisi dans liste disponible, conversations d’équipage marquées distinctement et signal quarien relisible ; sortie ne crée aucune quête de DLC fictive et les morts/absents ne réapparaissent pas à la fête.</x:v>
      </x:c>
      <x:c r="O24" s="7" t="str"/>
      <x:c r="P24" s="7" t="str">
        <x:v>Epilogue: Home and Away</x:v>
      </x:c>
      <x:c r="Q24" s="7" t="str">
        <x:v>MEA-SRC-EPILOGUE</x:v>
      </x:c>
      <x:c r="R24" s="7" t="str">
        <x:v>https://masseffect.fandom.com/wiki/Epilogue%3A_Home_and_Away</x:v>
      </x:c>
      <x:c r="S24" s="7" t="str">
        <x:v>Spécification à réaliser. Les champs adaptation, gameplay, visual, animation, audio et implementation décrivent le fan game ; ils ne donnent pas des caractéristiques officielles de l’œuvre.</x:v>
      </x:c>
    </x:row>
    <x:row r="25" ht="68" customHeight="1">
      <x:c r="A25" s="18" t="str">
        <x:v>MEA-MQ-WORLD-WAITING</x:v>
      </x:c>
      <x:c r="B25" s="9" t="str">
        <x:v>The World is Waiting</x:v>
      </x:c>
      <x:c r="C25" s="15" t="str">
        <x:v>Défini</x:v>
      </x:c>
      <x:c r="D25" s="16" t="str">
        <x:v>Établi</x:v>
      </x:c>
      <x:c r="E25" s="16" t="str">
        <x:v>P1</x:v>
      </x:c>
      <x:c r="F25" s="9" t="str">
        <x:v>Le jeu permet de poursuivre l’exploration.</x:v>
      </x:c>
      <x:c r="G25" s="9" t="str">
        <x:v>Retour au Tempest et activités restantes ; ne pas rouvrir automatiquement les choix irréversibles du final.</x:v>
      </x:c>
      <x:c r="H25" s="9" t="str">
        <x:v>Retour au Tempest et activités restantes ; ne pas rouvrir automatiquement les choix irréversibles du final.</x:v>
      </x:c>
      <x:c r="I25" s="9" t="str">
        <x:v>Carte de Heleus avec objectifs restants.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mea/main_quests/world-waiting ; rattacher les ressources et états cités à cet identifiant. Aucun fichier de jeu créé par ce catalogue.</x:v>
      </x:c>
      <x:c r="M25" s="9" t="str"/>
      <x:c r="N25" s="9" t="str">
        <x:v>Le livrable « The World is Waiting » possède une scène ou un scénario de contrôle ; ses règles proposées, ses conditions et ses retours visuels sont vérifiables séparément.</x:v>
      </x:c>
      <x:c r="O25" s="9" t="str"/>
      <x:c r="P25" s="9" t="str">
        <x:v>The World is Waiting</x:v>
      </x:c>
      <x:c r="Q25" s="9" t="str">
        <x:v>MEA-SRC-MISSIONS</x:v>
      </x:c>
      <x:c r="R25" s="9" t="str">
        <x:v>https://masseffect.fandom.com/wiki/Missions_%28Mass_Effect%3A_Andromeda%29</x:v>
      </x:c>
      <x:c r="S25" s="9" t="str">
        <x:v>Spécification à réaliser. Les champs adaptation, gameplay, visual, animation, audio et implementation décrivent le fan game ; ils ne donnent pas des caractéristiques officielles de l’œuvre.</x:v>
      </x:c>
    </x:row>
  </x:sheetData>
  <x:conditionalFormatting sqref="D7:D25">
    <x:cfRule type="cellIs" dxfId="36" priority="1" operator="equal">
      <x:formula>"À vérifier"</x:formula>
    </x:cfRule>
    <x:cfRule type="cellIs" dxfId="37" priority="2" operator="equal">
      <x:formula>"Extrapolation"</x:formula>
    </x:cfRule>
  </x:conditionalFormatting>
  <x:conditionalFormatting sqref="C7:C25">
    <x:cfRule type="cellIs" dxfId="38" priority="3" operator="equal">
      <x:formula>"Validé"</x:formula>
    </x:cfRule>
  </x:conditionalFormatting>
  <x:conditionalFormatting sqref="E7:E25">
    <x:cfRule type="cellIs" dxfId="39"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a2eaba8d8cb14d31"/>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MEA-SQ-CORA-ARK</x:v>
      </x:c>
      <x:c r="B7" s="9" t="str">
        <x:v>Cora Harper: Asari Ark</x:v>
      </x:c>
      <x:c r="C7" s="15" t="str">
        <x:v>Défini</x:v>
      </x:c>
      <x:c r="D7" s="16" t="str">
        <x:v>Établi</x:v>
      </x:c>
      <x:c r="E7" s="16" t="str">
        <x:v>P1</x:v>
      </x:c>
      <x:c r="F7" s="9" t="str">
        <x:v>Recherche de l’arche asari.</x:v>
      </x:c>
      <x:c r="G7" s="9" t="str">
        <x:v>Chaîne d’indices avec contacts et balises ; journal montre la prochaine piste sans révéler le rôle de Sarissa.</x:v>
      </x:c>
      <x:c r="H7" s="9" t="str">
        <x:v>Chaîne d’indices avec contacts et balises ; journal montre la prochaine piste sans révéler le rôle de Sarissa.</x:v>
      </x:c>
      <x:c r="I7" s="9" t="str">
        <x:v>Hologrammes d’arche et traces de voyage.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mea/side_quests/cora-ark ; rattacher les ressources et états cités à cet identifiant. Aucun fichier de jeu créé par ce catalogue.</x:v>
      </x:c>
      <x:c r="M7" s="9" t="str"/>
      <x:c r="N7" s="9" t="str">
        <x:v>Le livrable « Cora Harper: Asari Ark » possède une scène ou un scénario de contrôle ; ses règles proposées, ses conditions et ses retours visuels sont vérifiables séparément.</x:v>
      </x:c>
      <x:c r="O7" s="9" t="str"/>
      <x:c r="P7" s="9" t="str">
        <x:v>Cora Harper: Asari Ark</x:v>
      </x:c>
      <x:c r="Q7" s="9" t="str">
        <x:v>MEA-SRC-MISSIONS</x:v>
      </x:c>
      <x:c r="R7" s="9" t="str">
        <x:v>https://masseffect.fandom.com/wiki/Missions_%28Mass_Effect%3A_Andromeda%29</x:v>
      </x:c>
      <x:c r="S7" s="9" t="str">
        <x:v>Spécification à réaliser. Les champs adaptation, gameplay, visual, animation, audio et implementation décrivent le fan game ; ils ne donnent pas des caractéristiques officielles de l’œuvre.</x:v>
      </x:c>
    </x:row>
    <x:row r="8" ht="82" customHeight="1">
      <x:c r="A8" s="19" t="str">
        <x:v>MEA-SQ-CORA-EDGE</x:v>
      </x:c>
      <x:c r="B8" s="7" t="str">
        <x:v>Cora Harper: At Duty’s Edge</x:v>
      </x:c>
      <x:c r="C8" s="15" t="str">
        <x:v>Défini</x:v>
      </x:c>
      <x:c r="D8" s="17" t="str">
        <x:v>Établi</x:v>
      </x:c>
      <x:c r="E8" s="17" t="str">
        <x:v>P1</x:v>
      </x:c>
      <x:c r="F8" s="7" t="str">
        <x:v>Mission de loyauté de Cora.</x:v>
      </x:c>
      <x:c r="G8" s="7" t="str">
        <x:v>Assaut du Leusinia, réparation, révélation du journal et choix de succession ; chaque étape sauve un état de mission distinct.</x:v>
      </x:c>
      <x:c r="H8" s="7" t="str">
        <x:v>Assaut du Leusinia, réparation, révélation du journal et choix de succession ; chaque étape sauve un état de mission distinct.</x:v>
      </x:c>
      <x:c r="I8" s="7" t="str">
        <x:v>Passerelle asari, champ de masse et couloirs.</x:v>
      </x:c>
      <x:c r="J8" s="7" t="str">
        <x:v>Nommer les variantes de scène et leurs positions finales ; saut de cinématique, réduction de mouvement et lecture complète appliquent le même état. Passerelle asari, champ de masse et couloirs.</x:v>
      </x:c>
      <x:c r="K8" s="7" t="str">
        <x:v>Répliques originales par branche et sous-titres nominatifs ; supprimer les voix d’acteurs absents avant mixage et conserver les informations de danger en texte.</x:v>
      </x:c>
      <x:c r="L8" s="7" t="str">
        <x:v>Prévu : fiche de données mea/side_quests/cora-edge ; rattacher les ressources et états cités à cet identifiant. Aucun fichier de jeu créé par ce catalogue.</x:v>
      </x:c>
      <x:c r="M8" s="7" t="str"/>
      <x:c r="N8" s="7" t="str">
        <x:v>Réparer les systèmes ouvre le bon parcours ; révélation du journal et rôle de Pionnière sont deux décisions sauvegardées. Rangs avancés de Cora et apparition de Sarissa/Vederia au final correspondent aux états réels.</x:v>
      </x:c>
      <x:c r="O8" s="7" t="str"/>
      <x:c r="P8" s="7" t="str">
        <x:v>Cora Harper: At Duty’s Edge</x:v>
      </x:c>
      <x:c r="Q8" s="7" t="str">
        <x:v>MEA-SRC-CORA-LOYAL</x:v>
      </x:c>
      <x:c r="R8" s="7" t="str">
        <x:v>https://masseffect.fandom.com/wiki/Cora_Harper%3A_At_Duty%27s_Edge</x:v>
      </x:c>
      <x:c r="S8" s="7" t="str">
        <x:v>Spécification à réaliser. Les champs adaptation, gameplay, visual, animation, audio et implementation décrivent le fan game ; ils ne donnent pas des caractéristiques officielles de l’œuvre.</x:v>
      </x:c>
    </x:row>
    <x:row r="9" ht="68" customHeight="1">
      <x:c r="A9" s="18" t="str">
        <x:v>MEA-SQ-CORA-DUTY</x:v>
      </x:c>
      <x:c r="B9" s="9" t="str">
        <x:v>Cora Harper: Duty Calls</x:v>
      </x:c>
      <x:c r="C9" s="15" t="str">
        <x:v>Défini</x:v>
      </x:c>
      <x:c r="D9" s="16" t="str">
        <x:v>Établi</x:v>
      </x:c>
      <x:c r="E9" s="16" t="str">
        <x:v>P1</x:v>
      </x:c>
      <x:c r="F9" s="9" t="str">
        <x:v>Étape personnelle de Cora.</x:v>
      </x:c>
      <x:c r="G9" s="9" t="str">
        <x:v>Invitation après progression compatible ; laisser distinguer conversation amicale et engagement romantique.</x:v>
      </x:c>
      <x:c r="H9" s="9" t="str">
        <x:v>Invitation après progression compatible ; laisser distinguer conversation amicale et engagement romantique.</x:v>
      </x:c>
      <x:c r="I9" s="9" t="str">
        <x:v>Lieu de rendez-vous et portrait de Cora.</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mea/side_quests/cora-duty ; rattacher les ressources et états cités à cet identifiant. Aucun fichier de jeu créé par ce catalogue.</x:v>
      </x:c>
      <x:c r="M9" s="9" t="str"/>
      <x:c r="N9" s="9" t="str">
        <x:v>Le livrable « Cora Harper: Duty Calls » possède une scène ou un scénario de contrôle ; ses règles proposées, ses conditions et ses retours visuels sont vérifiables séparément.</x:v>
      </x:c>
      <x:c r="O9" s="9" t="str"/>
      <x:c r="P9" s="9" t="str">
        <x:v>Cora Harper: Duty Calls</x:v>
      </x:c>
      <x:c r="Q9" s="9" t="str">
        <x:v>MEA-SRC-MISSIONS</x:v>
      </x:c>
      <x:c r="R9" s="9" t="str">
        <x:v>https://masseffect.fandom.com/wiki/Missions_%28Mass_Effect%3A_Andromeda%29</x:v>
      </x:c>
      <x:c r="S9" s="9" t="str">
        <x:v>Spécification à réaliser. Les champs adaptation, gameplay, visual, animation, audio et implementation décrivent le fan game ; ils ne donnent pas des caractéristiques officielles de l’œuvre.</x:v>
      </x:c>
    </x:row>
    <x:row r="10" ht="68" customHeight="1">
      <x:c r="A10" s="19" t="str">
        <x:v>MEA-SQ-CORA-FOUNDATION</x:v>
      </x:c>
      <x:c r="B10" s="7" t="str">
        <x:v>Cora Harper: A Foundation</x:v>
      </x:c>
      <x:c r="C10" s="15" t="str">
        <x:v>Défini</x:v>
      </x:c>
      <x:c r="D10" s="17" t="str">
        <x:v>Établi</x:v>
      </x:c>
      <x:c r="E10" s="17" t="str">
        <x:v>P1</x:v>
      </x:c>
      <x:c r="F10" s="7" t="str">
        <x:v>Étape personnelle de Cora.</x:v>
      </x:c>
      <x:c r="G10" s="7" t="str">
        <x:v>Scène de projection vers l’avenir après sa loyauté ; aucune récompense de survie du final inventée.</x:v>
      </x:c>
      <x:c r="H10" s="7" t="str">
        <x:v>Scène de projection vers l’avenir après sa loyauté ; aucune récompense de survie du final inventée.</x:v>
      </x:c>
      <x:c r="I10" s="7" t="str">
        <x:v>Avant-poste et geste de construction.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mea/side_quests/cora-foundation ; rattacher les ressources et états cités à cet identifiant. Aucun fichier de jeu créé par ce catalogue.</x:v>
      </x:c>
      <x:c r="M10" s="7" t="str"/>
      <x:c r="N10" s="7" t="str">
        <x:v>Le livrable « Cora Harper: A Foundation » possède une scène ou un scénario de contrôle ; ses règles proposées, ses conditions et ses retours visuels sont vérifiables séparément.</x:v>
      </x:c>
      <x:c r="O10" s="7" t="str"/>
      <x:c r="P10" s="7" t="str">
        <x:v>Cora Harper: A Foundation</x:v>
      </x:c>
      <x:c r="Q10" s="7" t="str">
        <x:v>MEA-SRC-MISSIONS</x:v>
      </x:c>
      <x:c r="R10" s="7" t="str">
        <x:v>https://masseffect.fandom.com/wiki/Missions_%28Mass_Effect%3A_Andromeda%29</x:v>
      </x:c>
      <x:c r="S10" s="7" t="str">
        <x:v>Spécification à réaliser. Les champs adaptation, gameplay, visual, animation, audio et implementation décrivent le fan game ; ils ne donnent pas des caractéristiques officielles de l’œuvre.</x:v>
      </x:c>
    </x:row>
    <x:row r="11" ht="68" customHeight="1">
      <x:c r="A11" s="18" t="str">
        <x:v>MEA-SQ-LIAM-ARMOR</x:v>
      </x:c>
      <x:c r="B11" s="9" t="str">
        <x:v>Liam Kosta: Armor Diplomacy</x:v>
      </x:c>
      <x:c r="C11" s="15" t="str">
        <x:v>Défini</x:v>
      </x:c>
      <x:c r="D11" s="16" t="str">
        <x:v>Établi</x:v>
      </x:c>
      <x:c r="E11" s="16" t="str">
        <x:v>P1</x:v>
      </x:c>
      <x:c r="F11" s="9" t="str">
        <x:v>Mission sociale de Liam.</x:v>
      </x:c>
      <x:c r="G11" s="9" t="str">
        <x:v>Échange culturel et fabrication ciblée ; objet de mission séparé du meilleur équipement de combat.</x:v>
      </x:c>
      <x:c r="H11" s="9" t="str">
        <x:v>Échange culturel et fabrication ciblée ; objet de mission séparé du meilleur équipement de combat.</x:v>
      </x:c>
      <x:c r="I11" s="9" t="str">
        <x:v>Armures présentées et scène à bord.</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mea/side_quests/liam-armor ; rattacher les ressources et états cités à cet identifiant. Aucun fichier de jeu créé par ce catalogue.</x:v>
      </x:c>
      <x:c r="M11" s="9" t="str"/>
      <x:c r="N11" s="9" t="str">
        <x:v>Le livrable « Liam Kosta: Armor Diplomacy » possède une scène ou un scénario de contrôle ; ses règles proposées, ses conditions et ses retours visuels sont vérifiables séparément.</x:v>
      </x:c>
      <x:c r="O11" s="9" t="str"/>
      <x:c r="P11" s="9" t="str">
        <x:v>Liam Kosta: Armor Diplomacy</x:v>
      </x:c>
      <x:c r="Q11" s="9" t="str">
        <x:v>MEA-SRC-MISSIONS</x:v>
      </x:c>
      <x:c r="R11" s="9" t="str">
        <x:v>https://masseffect.fandom.com/wiki/Missions_%28Mass_Effect%3A_Andromeda%29</x:v>
      </x:c>
      <x:c r="S11" s="9" t="str">
        <x:v>Spécification à réaliser. Les champs adaptation, gameplay, visual, animation, audio et implementation décrivent le fan game ; ils ne donnent pas des caractéristiques officielles de l’œuvre.</x:v>
      </x:c>
    </x:row>
    <x:row r="12" ht="68" customHeight="1">
      <x:c r="A12" s="19" t="str">
        <x:v>MEA-SQ-LIAM-AYA</x:v>
      </x:c>
      <x:c r="B12" s="7" t="str">
        <x:v>Liam Kosta: Day out on Aya</x:v>
      </x:c>
      <x:c r="C12" s="15" t="str">
        <x:v>Défini</x:v>
      </x:c>
      <x:c r="D12" s="17" t="str">
        <x:v>Établi</x:v>
      </x:c>
      <x:c r="E12" s="17" t="str">
        <x:v>P1</x:v>
      </x:c>
      <x:c r="F12" s="7" t="str">
        <x:v>Rencontre de Liam sur Aya.</x:v>
      </x:c>
      <x:c r="G12" s="7" t="str">
        <x:v>Parcours social dans le marché avec sujets facultatifs ; journal évite de guider hors zone autorisée.</x:v>
      </x:c>
      <x:c r="H12" s="7" t="str">
        <x:v>Parcours social dans le marché avec sujets facultatifs ; journal évite de guider hors zone autorisée.</x:v>
      </x:c>
      <x:c r="I12" s="7" t="str">
        <x:v>Marché angara et conversation en promenade.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mea/side_quests/liam-aya ; rattacher les ressources et états cités à cet identifiant. Aucun fichier de jeu créé par ce catalogue.</x:v>
      </x:c>
      <x:c r="M12" s="7" t="str"/>
      <x:c r="N12" s="7" t="str">
        <x:v>Le livrable « Liam Kosta: Day out on Aya » possède une scène ou un scénario de contrôle ; ses règles proposées, ses conditions et ses retours visuels sont vérifiables séparément.</x:v>
      </x:c>
      <x:c r="O12" s="7" t="str"/>
      <x:c r="P12" s="7" t="str">
        <x:v>Liam Kosta: Day out on Aya</x:v>
      </x:c>
      <x:c r="Q12" s="7" t="str">
        <x:v>MEA-SRC-MISSIONS</x:v>
      </x:c>
      <x:c r="R12" s="7" t="str">
        <x:v>https://masseffect.fandom.com/wiki/Missions_%28Mass_Effect%3A_Andromeda%29</x:v>
      </x:c>
      <x:c r="S12" s="7" t="str">
        <x:v>Spécification à réaliser. Les champs adaptation, gameplay, visual, animation, audio et implementation décrivent le fan game ; ils ne donnent pas des caractéristiques officielles de l’œuvre.</x:v>
      </x:c>
    </x:row>
    <x:row r="13" ht="68" customHeight="1">
      <x:c r="A13" s="18" t="str">
        <x:v>MEA-SQ-LIAM-OUTPOST</x:v>
      </x:c>
      <x:c r="B13" s="9" t="str">
        <x:v>Liam Kosta: Outpost Worlds</x:v>
      </x:c>
      <x:c r="C13" s="15" t="str">
        <x:v>Défini</x:v>
      </x:c>
      <x:c r="D13" s="16" t="str">
        <x:v>Établi</x:v>
      </x:c>
      <x:c r="E13" s="16" t="str">
        <x:v>P1</x:v>
      </x:c>
      <x:c r="F13" s="9" t="str">
        <x:v>Étape d’implantation liée à Liam.</x:v>
      </x:c>
      <x:c r="G13" s="9" t="str">
        <x:v>Détecter avant-poste réellement fondé, pas seule viabilité ; même événement n’incrémente qu’une fois l’objectif.</x:v>
      </x:c>
      <x:c r="H13" s="9" t="str">
        <x:v>Détecter avant-poste réellement fondé, pas seule viabilité ; même événement n’incrémente qu’une fois l’objectif.</x:v>
      </x:c>
      <x:c r="I13" s="9" t="str">
        <x:v>Carte des colonies et message de Liam.</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mea/side_quests/liam-outpost ; rattacher les ressources et états cités à cet identifiant. Aucun fichier de jeu créé par ce catalogue.</x:v>
      </x:c>
      <x:c r="M13" s="9" t="str"/>
      <x:c r="N13" s="9" t="str">
        <x:v>Le livrable « Liam Kosta: Outpost Worlds » possède une scène ou un scénario de contrôle ; ses règles proposées, ses conditions et ses retours visuels sont vérifiables séparément.</x:v>
      </x:c>
      <x:c r="O13" s="9" t="str"/>
      <x:c r="P13" s="9" t="str">
        <x:v>Liam Kosta: Outpost Worlds</x:v>
      </x:c>
      <x:c r="Q13" s="9" t="str">
        <x:v>MEA-SRC-LIAM-OUTPOST</x:v>
      </x:c>
      <x:c r="R13" s="9" t="str">
        <x:v>https://masseffect.fandom.com/wiki/Liam_Kosta%3A_Outpost_Worlds</x:v>
      </x:c>
      <x:c r="S13" s="9" t="str">
        <x:v>Spécification à réaliser. Les champs adaptation, gameplay, visual, animation, audio et implementation décrivent le fan game ; ils ne donnent pas des caractéristiques officielles de l’œuvre.</x:v>
      </x:c>
    </x:row>
    <x:row r="14" ht="68" customHeight="1">
      <x:c r="A14" s="19" t="str">
        <x:v>MEA-SQ-LIAM-ALLIN</x:v>
      </x:c>
      <x:c r="B14" s="7" t="str">
        <x:v>Liam Kosta: All In</x:v>
      </x:c>
      <x:c r="C14" s="15" t="str">
        <x:v>Défini</x:v>
      </x:c>
      <x:c r="D14" s="17" t="str">
        <x:v>Établi</x:v>
      </x:c>
      <x:c r="E14" s="17" t="str">
        <x:v>P1</x:v>
      </x:c>
      <x:c r="F14" s="7" t="str">
        <x:v>Mission de loyauté de Liam.</x:v>
      </x:c>
      <x:c r="G14" s="7" t="str">
        <x:v>Infiltration cargo, changement de gravité, secours puis boss sous bouclier ; chaque orientation conserve un axe de sol cohérent pour sprites.</x:v>
      </x:c>
      <x:c r="H14" s="7" t="str">
        <x:v>Infiltration cargo, changement de gravité, secours puis boss sous bouclier ; chaque orientation conserve un axe de sol cohérent pour sprites.</x:v>
      </x:c>
      <x:c r="I14" s="7" t="str">
        <x:v>Intérieur de vaisseau tourné et containers.</x:v>
      </x:c>
      <x:c r="J14" s="7" t="str">
        <x:v>Nommer les variantes de scène et leurs positions finales ; saut de cinématique, réduction de mouvement et lecture complète appliquent le même état. Intérieur de vaisseau tourné et containers.</x:v>
      </x:c>
      <x:c r="K14" s="7" t="str">
        <x:v>Répliques originales par branche et sous-titres nominatifs ; supprimer les voix d’acteurs absents avant mixage et conserver les informations de danger en texte.</x:v>
      </x:c>
      <x:c r="L14" s="7" t="str">
        <x:v>Prévu : fiche de données mea/side_quests/liam-allin ; rattacher les ressources et états cités à cet identifiant. Aucun fichier de jeu créé par ce catalogue.</x:v>
      </x:c>
      <x:c r="M14" s="7" t="str"/>
      <x:c r="N14" s="7" t="str">
        <x:v>Chaque orientation de gravité conserve corps, caméra, projectiles et scanner dans le même repère ; consoles du bouclier et secours validés une fois. Relire le debrief ne duplique pas captifs ni récompenses.</x:v>
      </x:c>
      <x:c r="O14" s="7" t="str"/>
      <x:c r="P14" s="7" t="str">
        <x:v>Liam Kosta: All In</x:v>
      </x:c>
      <x:c r="Q14" s="7" t="str">
        <x:v>MEA-SRC-LIAM-LOYAL</x:v>
      </x:c>
      <x:c r="R14" s="7" t="str">
        <x:v>https://masseffect.fandom.com/wiki/Liam_Kosta%3A_All_In</x:v>
      </x:c>
      <x:c r="S14" s="7" t="str">
        <x:v>Spécification à réaliser. Les champs adaptation, gameplay, visual, animation, audio et implementation décrivent le fan game ; ils ne donnent pas des caractéristiques officielles de l’œuvre.</x:v>
      </x:c>
    </x:row>
    <x:row r="15" ht="68" customHeight="1">
      <x:c r="A15" s="18" t="str">
        <x:v>MEA-SQ-LIAM-NEIGHBORS</x:v>
      </x:c>
      <x:c r="B15" s="9" t="str">
        <x:v>Liam Kosta: Something for the Neighbors</x:v>
      </x:c>
      <x:c r="C15" s="15" t="str">
        <x:v>Défini</x:v>
      </x:c>
      <x:c r="D15" s="16" t="str">
        <x:v>Établi</x:v>
      </x:c>
      <x:c r="E15" s="16" t="str">
        <x:v>P1</x:v>
      </x:c>
      <x:c r="F15" s="9" t="str">
        <x:v>Étape sociale de Liam.</x:v>
      </x:c>
      <x:c r="G15" s="9" t="str">
        <x:v>Réponse à son projet collectif ; objets de décor montrant progrès sans nouvelle colonie fictive.</x:v>
      </x:c>
      <x:c r="H15" s="9" t="str">
        <x:v>Réponse à son projet collectif ; objets de décor montrant progrès sans nouvelle colonie fictive.</x:v>
      </x:c>
      <x:c r="I15" s="9" t="str">
        <x:v>Espace communautaire et équipage.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mea/side_quests/liam-neighbors ; rattacher les ressources et états cités à cet identifiant. Aucun fichier de jeu créé par ce catalogue.</x:v>
      </x:c>
      <x:c r="M15" s="9" t="str"/>
      <x:c r="N15" s="9" t="str">
        <x:v>Le livrable « Liam Kosta: Something for the Neighbors » possède une scène ou un scénario de contrôle ; ses règles proposées, ses conditions et ses retours visuels sont vérifiables séparément.</x:v>
      </x:c>
      <x:c r="O15" s="9" t="str"/>
      <x:c r="P15" s="9" t="str">
        <x:v>Liam Kosta: Something for the Neighbors</x:v>
      </x:c>
      <x:c r="Q15" s="9" t="str">
        <x:v>MEA-SRC-MISSIONS</x:v>
      </x:c>
      <x:c r="R15" s="9" t="str">
        <x:v>https://masseffect.fandom.com/wiki/Missions_%28Mass_Effect%3A_Andromeda%29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MEA-SQ-LIAM-COMMUNITY</x:v>
      </x:c>
      <x:c r="B16" s="7" t="str">
        <x:v>Liam Kosta: Community</x:v>
      </x:c>
      <x:c r="C16" s="15" t="str">
        <x:v>Défini</x:v>
      </x:c>
      <x:c r="D16" s="17" t="str">
        <x:v>Établi</x:v>
      </x:c>
      <x:c r="E16" s="17" t="str">
        <x:v>P1</x:v>
      </x:c>
      <x:c r="F16" s="7" t="str">
        <x:v>Étape personnelle de Liam.</x:v>
      </x:c>
      <x:c r="G16" s="7" t="str">
        <x:v>Scène sociale après ses initiatives ; conditions de relation séparées de validation de mission.</x:v>
      </x:c>
      <x:c r="H16" s="7" t="str">
        <x:v>Scène sociale après ses initiatives ; conditions de relation séparées de validation de mission.</x:v>
      </x:c>
      <x:c r="I16" s="7" t="str">
        <x:v>Lieu collectif et posture détendue.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mea/side_quests/liam-community ; rattacher les ressources et états cités à cet identifiant. Aucun fichier de jeu créé par ce catalogue.</x:v>
      </x:c>
      <x:c r="M16" s="7" t="str"/>
      <x:c r="N16" s="7" t="str">
        <x:v>Le livrable « Liam Kosta: Community » possède une scène ou un scénario de contrôle ; ses règles proposées, ses conditions et ses retours visuels sont vérifiables séparément.</x:v>
      </x:c>
      <x:c r="O16" s="7" t="str"/>
      <x:c r="P16" s="7" t="str">
        <x:v>Liam Kosta: Community</x:v>
      </x:c>
      <x:c r="Q16" s="7" t="str">
        <x:v>MEA-SRC-MISSIONS</x:v>
      </x:c>
      <x:c r="R16" s="7" t="str">
        <x:v>https://masseffect.fandom.com/wiki/Missions_%28Mass_Effect%3A_Andromeda%29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MEA-SQ-LIAM-US</x:v>
      </x:c>
      <x:c r="B17" s="9" t="str">
        <x:v>Liam Kosta: Something for Us</x:v>
      </x:c>
      <x:c r="C17" s="15" t="str">
        <x:v>Défini</x:v>
      </x:c>
      <x:c r="D17" s="16" t="str">
        <x:v>Établi</x:v>
      </x:c>
      <x:c r="E17" s="16" t="str">
        <x:v>P1</x:v>
      </x:c>
      <x:c r="F17" s="9" t="str">
        <x:v>Étape de relation avec Liam.</x:v>
      </x:c>
      <x:c r="G17" s="9" t="str">
        <x:v>Interaction privée uniquement si état relationnel admissible ; refus explicite ne bloque pas les missions d’équipe.</x:v>
      </x:c>
      <x:c r="H17" s="9" t="str">
        <x:v>Interaction privée uniquement si état relationnel admissible ; refus explicite ne bloque pas les missions d’équipe.</x:v>
      </x:c>
      <x:c r="I17" s="9" t="str">
        <x:v>Rendez-vous et cadrage intime non explicite.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mea/side_quests/liam-us ; rattacher les ressources et états cités à cet identifiant. Aucun fichier de jeu créé par ce catalogue.</x:v>
      </x:c>
      <x:c r="M17" s="9" t="str"/>
      <x:c r="N17" s="9" t="str">
        <x:v>Le livrable « Liam Kosta: Something for Us » possède une scène ou un scénario de contrôle ; ses règles proposées, ses conditions et ses retours visuels sont vérifiables séparément.</x:v>
      </x:c>
      <x:c r="O17" s="9" t="str"/>
      <x:c r="P17" s="9" t="str">
        <x:v>Liam Kosta: Something for Us</x:v>
      </x:c>
      <x:c r="Q17" s="9" t="str">
        <x:v>MEA-SRC-MISSIONS, MEA-SRC-ROMANCE</x:v>
      </x:c>
      <x:c r="R17" s="9" t="str">
        <x:v>https://masseffect.fandom.com/wiki/Missions_%28Mass_Effect%3A_Andromeda%29
https://masseffect.fandom.com/wiki/Romance_%28Mass_Effect%3A_Andromeda%29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MEA-SQ-JAAL-FRIEND</x:v>
      </x:c>
      <x:c r="B18" s="7" t="str">
        <x:v>Jaal Ama Darav: Friend or Foe? I–III</x:v>
      </x:c>
      <x:c r="C18" s="15" t="str">
        <x:v>Défini</x:v>
      </x:c>
      <x:c r="D18" s="17" t="str">
        <x:v>Établi</x:v>
      </x:c>
      <x:c r="E18" s="17" t="str">
        <x:v>P1</x:v>
      </x:c>
      <x:c r="F18" s="7" t="str">
        <x:v>Chaîne de préparation de Jaal.</x:v>
      </x:c>
      <x:c r="G18" s="7" t="str">
        <x:v>Trois sous-états conservés dans une même fiche de chaîne ; ordre, message et rencontre ont accusé de progression.</x:v>
      </x:c>
      <x:c r="H18" s="7" t="str">
        <x:v>Trois sous-états conservés dans une même fiche de chaîne ; ordre, message et rencontre ont accusé de progression.</x:v>
      </x:c>
      <x:c r="I18" s="7" t="str">
        <x:v>Famille, messages et préoccupations Roekaar.</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mea/side_quests/jaal-friend ; rattacher les ressources et états cités à cet identifiant. Aucun fichier de jeu créé par ce catalogue.</x:v>
      </x:c>
      <x:c r="M18" s="7" t="str"/>
      <x:c r="N18" s="7" t="str">
        <x:v>Le livrable « Jaal Ama Darav: Friend or Foe? I–III » possède une scène ou un scénario de contrôle ; ses règles proposées, ses conditions et ses retours visuels sont vérifiables séparément.</x:v>
      </x:c>
      <x:c r="O18" s="7" t="str"/>
      <x:c r="P18" s="7" t="str">
        <x:v>Jaal Ama Darav: Friend or Foe? I–III</x:v>
      </x:c>
      <x:c r="Q18" s="7" t="str">
        <x:v>MEA-SRC-MISSIONS, MEA-SRC-JAAL-LOYAL</x:v>
      </x:c>
      <x:c r="R18" s="7" t="str">
        <x:v>https://masseffect.fandom.com/wiki/Missions_%28Mass_Effect%3A_Andromeda%29
https://masseffect.fandom.com/wiki/Jaal_Ama_Darav%3A_Flesh_and_Blood</x:v>
      </x:c>
      <x:c r="S18" s="7" t="str">
        <x:v>Spécification à réaliser. Les champs adaptation, gameplay, visual, animation, audio et implementation décrivent le fan game ; ils ne donnent pas des caractéristiques officielles de l’œuvre.</x:v>
      </x:c>
    </x:row>
    <x:row r="19" ht="68" customHeight="1">
      <x:c r="A19" s="18" t="str">
        <x:v>MEA-SQ-JAAL-FLESH</x:v>
      </x:c>
      <x:c r="B19" s="9" t="str">
        <x:v>Jaal Ama Darav: Flesh and Blood</x:v>
      </x:c>
      <x:c r="C19" s="15" t="str">
        <x:v>Défini</x:v>
      </x:c>
      <x:c r="D19" s="16" t="str">
        <x:v>Établi</x:v>
      </x:c>
      <x:c r="E19" s="16" t="str">
        <x:v>P1</x:v>
      </x:c>
      <x:c r="F19" s="9" t="str">
        <x:v>Mission de loyauté de Jaal.</x:v>
      </x:c>
      <x:c r="G19" s="9" t="str">
        <x:v>Recherche familiale, combats Roekaar et confrontation avec Akksul ; fenêtre de tir accessible sans confirmer un choix par accident.</x:v>
      </x:c>
      <x:c r="H19" s="9" t="str">
        <x:v>Recherche familiale, combats Roekaar et confrontation avec Akksul ; fenêtre de tir accessible sans confirmer un choix par accident.</x:v>
      </x:c>
      <x:c r="I19" s="9" t="str">
        <x:v>Village angara et famille rassemblée.</x:v>
      </x:c>
      <x:c r="J19" s="9" t="str">
        <x:v>Nommer les variantes de scène et leurs positions finales ; saut de cinématique, réduction de mouvement et lecture complète appliquent le même état. Village angara et famille rassemblée.</x:v>
      </x:c>
      <x:c r="K19" s="9" t="str">
        <x:v>Répliques originales par branche et sous-titres nominatifs ; supprimer les voix d’acteurs absents avant mixage et conserver les informations de danger en texte.</x:v>
      </x:c>
      <x:c r="L19" s="9" t="str">
        <x:v>Prévu : fiche de données mea/side_quests/jaal-flesh ; rattacher les ressources et états cités à cet identifiant. Aucun fichier de jeu créé par ce catalogue.</x:v>
      </x:c>
      <x:c r="M19" s="9" t="str"/>
      <x:c r="N19" s="9" t="str">
        <x:v>Tir et abstention produisent la bonne scène Akksul/Jaal ; alternative sans délai proposée garde le même choix. La loyauté ne modifie pas les conditions de romance avant dialogue explicite.</x:v>
      </x:c>
      <x:c r="O19" s="9" t="str"/>
      <x:c r="P19" s="9" t="str">
        <x:v>Jaal Ama Darav: Flesh and Blood</x:v>
      </x:c>
      <x:c r="Q19" s="9" t="str">
        <x:v>MEA-SRC-JAAL-LOYAL</x:v>
      </x:c>
      <x:c r="R19" s="9" t="str">
        <x:v>https://masseffect.fandom.com/wiki/Jaal_Ama_Darav%3A_Flesh_and_Blood</x:v>
      </x:c>
      <x:c r="S19" s="9" t="str">
        <x:v>Spécification à réaliser. Les champs adaptation, gameplay, visual, animation, audio et implementation décrivent le fan game ; ils ne donnent pas des caractéristiques officielles de l’œuvre.</x:v>
      </x:c>
    </x:row>
    <x:row r="20" ht="68" customHeight="1">
      <x:c r="A20" s="19" t="str">
        <x:v>MEA-SQ-JAAL-FAMILY</x:v>
      </x:c>
      <x:c r="B20" s="7" t="str">
        <x:v>Jaal Ama Darav: Runs in the Family</x:v>
      </x:c>
      <x:c r="C20" s="15" t="str">
        <x:v>Défini</x:v>
      </x:c>
      <x:c r="D20" s="17" t="str">
        <x:v>Établi</x:v>
      </x:c>
      <x:c r="E20" s="17" t="str">
        <x:v>P1</x:v>
      </x:c>
      <x:c r="F20" s="7" t="str">
        <x:v>Rencontre familiale.</x:v>
      </x:c>
      <x:c r="G20" s="7" t="str">
        <x:v>Dialogue de groupe original et placement de nombreux interlocuteurs ; conserver leurs noms et liens lisibles.</x:v>
      </x:c>
      <x:c r="H20" s="7" t="str">
        <x:v>Dialogue de groupe original et placement de nombreux interlocuteurs ; conserver leurs noms et liens lisibles.</x:v>
      </x:c>
      <x:c r="I20" s="7" t="str">
        <x:v>Maison angara et textiles.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mea/side_quests/jaal-family ; rattacher les ressources et états cités à cet identifiant. Aucun fichier de jeu créé par ce catalogue.</x:v>
      </x:c>
      <x:c r="M20" s="7" t="str"/>
      <x:c r="N20" s="7" t="str">
        <x:v>Le livrable « Jaal Ama Darav: Runs in the Family » possède une scène ou un scénario de contrôle ; ses règles proposées, ses conditions et ses retours visuels sont vérifiables séparément.</x:v>
      </x:c>
      <x:c r="O20" s="7" t="str"/>
      <x:c r="P20" s="7" t="str">
        <x:v>Jaal Ama Darav: Runs in the Family</x:v>
      </x:c>
      <x:c r="Q20" s="7" t="str">
        <x:v>MEA-SRC-MISSIONS</x:v>
      </x:c>
      <x:c r="R20" s="7" t="str">
        <x:v>https://masseffect.fandom.com/wiki/Missions_%28Mass_Effect%3A_Andromeda%29</x:v>
      </x:c>
      <x:c r="S20" s="7" t="str">
        <x:v>Spécification à réaliser. Les champs adaptation, gameplay, visual, animation, audio et implementation décrivent le fan game ; ils ne donnent pas des caractéristiques officielles de l’œuvre.</x:v>
      </x:c>
    </x:row>
    <x:row r="21" ht="68" customHeight="1">
      <x:c r="A21" s="18" t="str">
        <x:v>MEA-SQ-JAAL-AFFECTION</x:v>
      </x:c>
      <x:c r="B21" s="9" t="str">
        <x:v>Jaal Ama Darav: Angaran Affection</x:v>
      </x:c>
      <x:c r="C21" s="15" t="str">
        <x:v>Défini</x:v>
      </x:c>
      <x:c r="D21" s="16" t="str">
        <x:v>Établi</x:v>
      </x:c>
      <x:c r="E21" s="16" t="str">
        <x:v>P1</x:v>
      </x:c>
      <x:c r="F21" s="9" t="str">
        <x:v>Étape relationnelle de Jaal.</x:v>
      </x:c>
      <x:c r="G21" s="9" t="str">
        <x:v>Conditions compatibles avec patch 1.08 pour Scott ; séparer amitié, flirt et scène de couple.</x:v>
      </x:c>
      <x:c r="H21" s="9" t="str">
        <x:v>Conditions compatibles avec patch 1.08 pour Scott ; séparer amitié, flirt et scène de couple.</x:v>
      </x:c>
      <x:c r="I21" s="9" t="str">
        <x:v>Rendez-vous et portrait angara.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mea/side_quests/jaal-affection ; rattacher les ressources et états cités à cet identifiant. Aucun fichier de jeu créé par ce catalogue.</x:v>
      </x:c>
      <x:c r="M21" s="9" t="str">
        <x:v>Version de romance explicite.</x:v>
      </x:c>
      <x:c r="N21" s="9" t="str">
        <x:v>Le livrable « Jaal Ama Darav: Angaran Affection » possède une scène ou un scénario de contrôle ; ses règles proposées, ses conditions et ses retours visuels sont vérifiables séparément.</x:v>
      </x:c>
      <x:c r="O21" s="9" t="str"/>
      <x:c r="P21" s="9" t="str">
        <x:v>Jaal Ama Darav: Angaran Affection</x:v>
      </x:c>
      <x:c r="Q21" s="9" t="str">
        <x:v>MEA-SRC-MISSIONS, MEA-SRC-BW-108</x:v>
      </x:c>
      <x:c r="R21" s="9" t="str">
        <x:v>https://masseffect.fandom.com/wiki/Missions_%28Mass_Effect%3A_Andromeda%29
https://blog.bioware.com/2017/06/06/mass-effect-andromeda-patch-1-08-notes/</x:v>
      </x:c>
      <x:c r="S21" s="9" t="str">
        <x:v>Spécification à réaliser. Les champs adaptation, gameplay, visual, animation, audio et implementation décrivent le fan game ; ils ne donnent pas des caractéristiques officielles de l’œuvre.</x:v>
      </x:c>
    </x:row>
    <x:row r="22" ht="68" customHeight="1">
      <x:c r="A22" s="19" t="str">
        <x:v>MEA-SQ-DRACK-BETRAYAL</x:v>
      </x:c>
      <x:c r="B22" s="7" t="str">
        <x:v>Nakmor Drack: Krogan Betrayal</x:v>
      </x:c>
      <x:c r="C22" s="15" t="str">
        <x:v>Défini</x:v>
      </x:c>
      <x:c r="D22" s="17" t="str">
        <x:v>Établi</x:v>
      </x:c>
      <x:c r="E22" s="17" t="str">
        <x:v>P1</x:v>
      </x:c>
      <x:c r="F22" s="7" t="str">
        <x:v>Enquête liée à Spender.</x:v>
      </x:c>
      <x:c r="G22" s="7" t="str">
        <x:v>Collecter preuves et comparer témoignages ; aucune accusation finale sur un unique indice facultatif.</x:v>
      </x:c>
      <x:c r="H22" s="7" t="str">
        <x:v>Collecter preuves et comparer témoignages ; aucune accusation finale sur un unique indice facultatif.</x:v>
      </x:c>
      <x:c r="I22" s="7" t="str">
        <x:v>Nexus, vidéo et dossiers.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mea/side_quests/drack-betrayal ; rattacher les ressources et états cités à cet identifiant. Aucun fichier de jeu créé par ce catalogue.</x:v>
      </x:c>
      <x:c r="M22" s="7" t="str"/>
      <x:c r="N22" s="7" t="str">
        <x:v>Le livrable « Nakmor Drack: Krogan Betrayal » possède une scène ou un scénario de contrôle ; ses règles proposées, ses conditions et ses retours visuels sont vérifiables séparément.</x:v>
      </x:c>
      <x:c r="O22" s="7" t="str"/>
      <x:c r="P22" s="7" t="str">
        <x:v>Nakmor Drack: Krogan Betrayal</x:v>
      </x:c>
      <x:c r="Q22" s="7" t="str">
        <x:v>MEA-SRC-MISSIONS, MEA-SRC-DRACK-LOYAL</x:v>
      </x:c>
      <x:c r="R22" s="7" t="str">
        <x:v>https://masseffect.fandom.com/wiki/Missions_%28Mass_Effect%3A_Andromeda%29
https://masseffect.fandom.com/wiki/Nakmor_Drack%3A_A_Future_for_our_People</x:v>
      </x:c>
      <x:c r="S22" s="7" t="str">
        <x:v>Spécification à réaliser. Les champs adaptation, gameplay, visual, animation, audio et implementation décrivent le fan game ; ils ne donnent pas des caractéristiques officielles de l’œuvre.</x:v>
      </x:c>
    </x:row>
    <x:row r="23" ht="68" customHeight="1">
      <x:c r="A23" s="18" t="str">
        <x:v>MEA-SQ-DRACK-FUTURE</x:v>
      </x:c>
      <x:c r="B23" s="9" t="str">
        <x:v>Nakmor Drack: A Future for our People</x:v>
      </x:c>
      <x:c r="C23" s="15" t="str">
        <x:v>Défini</x:v>
      </x:c>
      <x:c r="D23" s="16" t="str">
        <x:v>Établi</x:v>
      </x:c>
      <x:c r="E23" s="16" t="str">
        <x:v>P1</x:v>
      </x:c>
      <x:c r="F23" s="9" t="str">
        <x:v>Mission de loyauté de Drack.</x:v>
      </x:c>
      <x:c r="G23" s="9" t="str">
        <x:v>Récupérer le transport de graines, secourir Vorn puis traiter Aroane/Spender ; loyauté et clôture administrative séparées.</x:v>
      </x:c>
      <x:c r="H23" s="9" t="str">
        <x:v>Récupérer le transport de graines, secourir Vorn puis traiter Aroane/Spender ; loyauté et clôture administrative séparées.</x:v>
      </x:c>
      <x:c r="I23" s="9" t="str">
        <x:v>Chantier lunaire, transport et serre.</x:v>
      </x:c>
      <x:c r="J23" s="9" t="str">
        <x:v>Nommer les variantes de scène et leurs positions finales ; saut de cinématique, réduction de mouvement et lecture complète appliquent le même état. Chantier lunaire, transport et serre.</x:v>
      </x:c>
      <x:c r="K23" s="9" t="str">
        <x:v>Répliques originales par branche et sous-titres nominatifs ; supprimer les voix d’acteurs absents avant mixage et conserver les informations de danger en texte.</x:v>
      </x:c>
      <x:c r="L23" s="9" t="str">
        <x:v>Prévu : fiche de données mea/side_quests/drack-future ; rattacher les ressources et états cités à cet identifiant. Aucun fichier de jeu créé par ce catalogue.</x:v>
      </x:c>
      <x:c r="M23" s="9" t="str"/>
      <x:c r="N23" s="9" t="str">
        <x:v>Vorn et transport sécurisés avant retour, graines retirées du registre de vol, loyauté débloquée à son jalon et Spender jugé à son propre jalon ; les deux statuts ne se remplacent pas.</x:v>
      </x:c>
      <x:c r="O23" s="9" t="str"/>
      <x:c r="P23" s="9" t="str">
        <x:v>Nakmor Drack: A Future for our People</x:v>
      </x:c>
      <x:c r="Q23" s="9" t="str">
        <x:v>MEA-SRC-DRACK-LOYAL</x:v>
      </x:c>
      <x:c r="R23" s="9" t="str">
        <x:v>https://masseffect.fandom.com/wiki/Nakmor_Drack%3A_A_Future_for_our_People</x:v>
      </x:c>
      <x:c r="S23" s="9" t="str">
        <x:v>Spécification à réaliser. Les champs adaptation, gameplay, visual, animation, audio et implementation décrivent le fan game ; ils ne donnent pas des caractéristiques officielles de l’œuvre.</x:v>
      </x:c>
    </x:row>
    <x:row r="24" ht="68" customHeight="1">
      <x:c r="A24" s="19" t="str">
        <x:v>MEA-SQ-DRACK-KNOCK</x:v>
      </x:c>
      <x:c r="B24" s="7" t="str">
        <x:v>Nakmor Drack: Knock ’em Down</x:v>
      </x:c>
      <x:c r="C24" s="15" t="str">
        <x:v>Défini</x:v>
      </x:c>
      <x:c r="D24" s="17" t="str">
        <x:v>Établi</x:v>
      </x:c>
      <x:c r="E24" s="17" t="str">
        <x:v>P1</x:v>
      </x:c>
      <x:c r="F24" s="7" t="str">
        <x:v>Étape personnelle de Drack.</x:v>
      </x:c>
      <x:c r="G24" s="7" t="str">
        <x:v>Réception d’invitation indépendante de la dernière formalité sur Spender ; verrouiller seulement selon règles confirmées du patch.</x:v>
      </x:c>
      <x:c r="H24" s="7" t="str">
        <x:v>Réception d’invitation indépendante de la dernière formalité sur Spender ; verrouiller seulement selon règles confirmées du patch.</x:v>
      </x:c>
      <x:c r="I24" s="7" t="str">
        <x:v>Rencontre de détente et silhouette krogan.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mea/side_quests/drack-knock ; rattacher les ressources et états cités à cet identifiant. Aucun fichier de jeu créé par ce catalogue.</x:v>
      </x:c>
      <x:c r="M24" s="7" t="str"/>
      <x:c r="N24" s="7" t="str">
        <x:v>Le livrable « Nakmor Drack: Knock ’em Down » possède une scène ou un scénario de contrôle ; ses règles proposées, ses conditions et ses retours visuels sont vérifiables séparément.</x:v>
      </x:c>
      <x:c r="O24" s="7" t="str"/>
      <x:c r="P24" s="7" t="str">
        <x:v>Nakmor Drack: Knock ’em Down</x:v>
      </x:c>
      <x:c r="Q24" s="7" t="str">
        <x:v>MEA-SRC-MISSIONS, MEA-SRC-DRACK-LOYAL</x:v>
      </x:c>
      <x:c r="R24" s="7" t="str">
        <x:v>https://masseffect.fandom.com/wiki/Missions_%28Mass_Effect%3A_Andromeda%29
https://masseffect.fandom.com/wiki/Nakmor_Drack%3A_A_Future_for_our_People</x:v>
      </x:c>
      <x:c r="S24" s="7" t="str">
        <x:v>Spécification à réaliser. Les champs adaptation, gameplay, visual, animation, audio et implementation décrivent le fan game ; ils ne donnent pas des caractéristiques officielles de l’œuvre.</x:v>
      </x:c>
    </x:row>
    <x:row r="25" ht="68" customHeight="1">
      <x:c r="A25" s="18" t="str">
        <x:v>MEA-SQ-DRACK-TOUGH</x:v>
      </x:c>
      <x:c r="B25" s="9" t="str">
        <x:v>Nakmor Drack: How to Act Tough</x:v>
      </x:c>
      <x:c r="C25" s="15" t="str">
        <x:v>Défini</x:v>
      </x:c>
      <x:c r="D25" s="16" t="str">
        <x:v>Établi</x:v>
      </x:c>
      <x:c r="E25" s="16" t="str">
        <x:v>P1</x:v>
      </x:c>
      <x:c r="F25" s="9" t="str">
        <x:v>Échange de Drack.</x:v>
      </x:c>
      <x:c r="G25" s="9" t="str">
        <x:v>Conversation courte et gestuelle originale ; ne pas convertir plaisanterie en bonus canon permanent.</x:v>
      </x:c>
      <x:c r="H25" s="9" t="str">
        <x:v>Conversation courte et gestuelle originale ; ne pas convertir plaisanterie en bonus canon permanent.</x:v>
      </x:c>
      <x:c r="I25" s="9" t="str">
        <x:v>Krogan en posture de démonstration.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mea/side_quests/drack-tough ; rattacher les ressources et états cités à cet identifiant. Aucun fichier de jeu créé par ce catalogue.</x:v>
      </x:c>
      <x:c r="M25" s="9" t="str"/>
      <x:c r="N25" s="9" t="str">
        <x:v>Le livrable « Nakmor Drack: How to Act Tough » possède une scène ou un scénario de contrôle ; ses règles proposées, ses conditions et ses retours visuels sont vérifiables séparément.</x:v>
      </x:c>
      <x:c r="O25" s="9" t="str"/>
      <x:c r="P25" s="9" t="str">
        <x:v>Nakmor Drack: How to Act Tough</x:v>
      </x:c>
      <x:c r="Q25" s="9" t="str">
        <x:v>MEA-SRC-MISSIONS</x:v>
      </x:c>
      <x:c r="R25" s="9" t="str">
        <x:v>https://masseffect.fandom.com/wiki/Missions_%28Mass_Effect%3A_Andromeda%29</x:v>
      </x:c>
      <x:c r="S25" s="9" t="str">
        <x:v>Spécification à réaliser. Les champs adaptation, gameplay, visual, animation, audio et implementation décrivent le fan game ; ils ne donnent pas des caractéristiques officielles de l’œuvre.</x:v>
      </x:c>
    </x:row>
    <x:row r="26" ht="68" customHeight="1">
      <x:c r="A26" s="19" t="str">
        <x:v>MEA-SQ-DRACK-MAWS</x:v>
      </x:c>
      <x:c r="B26" s="7" t="str">
        <x:v>Nakmor Drack: Firebreathing Thresher Maws</x:v>
      </x:c>
      <x:c r="C26" s="15" t="str">
        <x:v>Défini</x:v>
      </x:c>
      <x:c r="D26" s="17" t="str">
        <x:v>Établi</x:v>
      </x:c>
      <x:c r="E26" s="17" t="str">
        <x:v>P1</x:v>
      </x:c>
      <x:c r="F26" s="7" t="str">
        <x:v>Étape personnelle de Drack.</x:v>
      </x:c>
      <x:c r="G26" s="7" t="str">
        <x:v>Séquence de conversation avec option de sortie ; nom de mission ne crée pas une créature de combat non attestée.</x:v>
      </x:c>
      <x:c r="H26" s="7" t="str">
        <x:v>Séquence de conversation avec option de sortie ; nom de mission ne crée pas une créature de combat non attestée.</x:v>
      </x:c>
      <x:c r="I26" s="7" t="str">
        <x:v>Scène sociale et objets de boisson.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mea/side_quests/drack-maws ; rattacher les ressources et états cités à cet identifiant. Aucun fichier de jeu créé par ce catalogue.</x:v>
      </x:c>
      <x:c r="M26" s="7" t="str"/>
      <x:c r="N26" s="7" t="str">
        <x:v>Le livrable « Nakmor Drack: Firebreathing Thresher Maws » possède une scène ou un scénario de contrôle ; ses règles proposées, ses conditions et ses retours visuels sont vérifiables séparément.</x:v>
      </x:c>
      <x:c r="O26" s="7" t="str"/>
      <x:c r="P26" s="7" t="str">
        <x:v>Nakmor Drack: Firebreathing Thresher Maws</x:v>
      </x:c>
      <x:c r="Q26" s="7" t="str">
        <x:v>MEA-SRC-MISSIONS</x:v>
      </x:c>
      <x:c r="R26" s="7" t="str">
        <x:v>https://masseffect.fandom.com/wiki/Missions_%28Mass_Effect%3A_Andromeda%29</x:v>
      </x:c>
      <x:c r="S26" s="7" t="str">
        <x:v>Spécification à réaliser. Les champs adaptation, gameplay, visual, animation, audio et implementation décrivent le fan game ; ils ne donnent pas des caractéristiques officielles de l’œuvre.</x:v>
      </x:c>
    </x:row>
    <x:row r="27" ht="68" customHeight="1">
      <x:c r="A27" s="18" t="str">
        <x:v>MEA-SQ-DRACK-CLUTCH</x:v>
      </x:c>
      <x:c r="B27" s="9" t="str">
        <x:v>Nakmor Drack: Clutch Moment</x:v>
      </x:c>
      <x:c r="C27" s="15" t="str">
        <x:v>Défini</x:v>
      </x:c>
      <x:c r="D27" s="16" t="str">
        <x:v>Établi</x:v>
      </x:c>
      <x:c r="E27" s="16" t="str">
        <x:v>P1</x:v>
      </x:c>
      <x:c r="F27" s="9" t="str">
        <x:v>Étape familiale krogan.</x:v>
      </x:c>
      <x:c r="G27" s="9" t="str">
        <x:v>Conversation d’avenir, Kesh et liens de clan ; respect des révélations déjà obtenues.</x:v>
      </x:c>
      <x:c r="H27" s="9" t="str">
        <x:v>Conversation d’avenir, Kesh et liens de clan ; respect des révélations déjà obtenues.</x:v>
      </x:c>
      <x:c r="I27" s="9" t="str">
        <x:v>Nexus, portraits krogan et ton calme.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mea/side_quests/drack-clutch ; rattacher les ressources et états cités à cet identifiant. Aucun fichier de jeu créé par ce catalogue.</x:v>
      </x:c>
      <x:c r="M27" s="9" t="str"/>
      <x:c r="N27" s="9" t="str">
        <x:v>Le livrable « Nakmor Drack: Clutch Moment » possède une scène ou un scénario de contrôle ; ses règles proposées, ses conditions et ses retours visuels sont vérifiables séparément.</x:v>
      </x:c>
      <x:c r="O27" s="9" t="str"/>
      <x:c r="P27" s="9" t="str">
        <x:v>Nakmor Drack: Clutch Moment</x:v>
      </x:c>
      <x:c r="Q27" s="9" t="str">
        <x:v>MEA-SRC-MISSIONS</x:v>
      </x:c>
      <x:c r="R27" s="9" t="str">
        <x:v>https://masseffect.fandom.com/wiki/Missions_%28Mass_Effect%3A_Andromeda%29</x:v>
      </x:c>
      <x:c r="S27" s="9" t="str">
        <x:v>Spécification à réaliser. Les champs adaptation, gameplay, visual, animation, audio et implementation décrivent le fan game ; ils ne donnent pas des caractéristiques officielles de l’œuvre.</x:v>
      </x:c>
    </x:row>
    <x:row r="28" ht="68" customHeight="1">
      <x:c r="A28" s="19" t="str">
        <x:v>MEA-SQ-PEEBEE-SCANNER</x:v>
      </x:c>
      <x:c r="B28" s="7" t="str">
        <x:v>Peebee: Remnant Scanner</x:v>
      </x:c>
      <x:c r="C28" s="15" t="str">
        <x:v>Défini</x:v>
      </x:c>
      <x:c r="D28" s="17" t="str">
        <x:v>Établi</x:v>
      </x:c>
      <x:c r="E28" s="17" t="str">
        <x:v>P1</x:v>
      </x:c>
      <x:c r="F28" s="7" t="str">
        <x:v>Étape de recherche de Peebee.</x:v>
      </x:c>
      <x:c r="G28" s="7" t="str">
        <x:v>Chercher composants selon planètes débloquées ; scanner distingue objet déjà acquis et donnée nouvelle.</x:v>
      </x:c>
      <x:c r="H28" s="7" t="str">
        <x:v>Chercher composants selon planètes débloquées ; scanner distingue objet déjà acquis et donnée nouvelle.</x:v>
      </x:c>
      <x:c r="I28" s="7" t="str">
        <x:v>Pièces reliquates et marqueur de scan.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mea/side_quests/peebee-scanner ; rattacher les ressources et états cités à cet identifiant. Aucun fichier de jeu créé par ce catalogue.</x:v>
      </x:c>
      <x:c r="M28" s="7" t="str"/>
      <x:c r="N28" s="7" t="str">
        <x:v>Le livrable « Peebee: Remnant Scanner » possède une scène ou un scénario de contrôle ; ses règles proposées, ses conditions et ses retours visuels sont vérifiables séparément.</x:v>
      </x:c>
      <x:c r="O28" s="7" t="str"/>
      <x:c r="P28" s="7" t="str">
        <x:v>Peebee: Remnant Scanner</x:v>
      </x:c>
      <x:c r="Q28" s="7" t="str">
        <x:v>MEA-SRC-MISSIONS</x:v>
      </x:c>
      <x:c r="R28" s="7" t="str">
        <x:v>https://masseffect.fandom.com/wiki/Missions_%28Mass_Effect%3A_Andromeda%29</x:v>
      </x:c>
      <x:c r="S28" s="7" t="str">
        <x:v>Spécification à réaliser. Les champs adaptation, gameplay, visual, animation, audio et implementation décrivent le fan game ; ils ne donnent pas des caractéristiques officielles de l’œuvre.</x:v>
      </x:c>
    </x:row>
    <x:row r="29" ht="68" customHeight="1">
      <x:c r="A29" s="18" t="str">
        <x:v>MEA-SQ-PEEBEE-SECRET</x:v>
      </x:c>
      <x:c r="B29" s="9" t="str">
        <x:v>Peebee: Secret Project</x:v>
      </x:c>
      <x:c r="C29" s="15" t="str">
        <x:v>Défini</x:v>
      </x:c>
      <x:c r="D29" s="16" t="str">
        <x:v>Établi</x:v>
      </x:c>
      <x:c r="E29" s="16" t="str">
        <x:v>P1</x:v>
      </x:c>
      <x:c r="F29" s="9" t="str">
        <x:v>Projet personnel de Peebee.</x:v>
      </x:c>
      <x:c r="G29" s="9" t="str">
        <x:v>Acquisition et présentation de Poc ; l’outil ne devient pas compagnon humain ni septième équipier.</x:v>
      </x:c>
      <x:c r="H29" s="9" t="str">
        <x:v>Acquisition et présentation de Poc ; l’outil ne devient pas compagnon humain ni septième équipier.</x:v>
      </x:c>
      <x:c r="I29" s="9" t="str">
        <x:v>Atelier de capsule et petit robot.</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mea/side_quests/peebee-secret ; rattacher les ressources et états cités à cet identifiant. Aucun fichier de jeu créé par ce catalogue.</x:v>
      </x:c>
      <x:c r="M29" s="9" t="str"/>
      <x:c r="N29" s="9" t="str">
        <x:v>Le livrable « Peebee: Secret Project » possède une scène ou un scénario de contrôle ; ses règles proposées, ses conditions et ses retours visuels sont vérifiables séparément.</x:v>
      </x:c>
      <x:c r="O29" s="9" t="str"/>
      <x:c r="P29" s="9" t="str">
        <x:v>Peebee: Secret Project</x:v>
      </x:c>
      <x:c r="Q29" s="9" t="str">
        <x:v>MEA-SRC-MISSIONS</x:v>
      </x:c>
      <x:c r="R29" s="9" t="str">
        <x:v>https://masseffect.fandom.com/wiki/Missions_%28Mass_Effect%3A_Andromeda%29</x:v>
      </x:c>
      <x:c r="S29" s="9" t="str">
        <x:v>Spécification à réaliser. Les champs adaptation, gameplay, visual, animation, audio et implementation décrivent le fan game ; ils ne donnent pas des caractéristiques officielles de l’œuvre.</x:v>
      </x:c>
    </x:row>
    <x:row r="30" ht="68" customHeight="1">
      <x:c r="A30" s="19" t="str">
        <x:v>MEA-SQ-PEEBEE-POC</x:v>
      </x:c>
      <x:c r="B30" s="7" t="str">
        <x:v>Peebee: Reclaiming Poc</x:v>
      </x:c>
      <x:c r="C30" s="15" t="str">
        <x:v>Défini</x:v>
      </x:c>
      <x:c r="D30" s="17" t="str">
        <x:v>Établi</x:v>
      </x:c>
      <x:c r="E30" s="17" t="str">
        <x:v>P1</x:v>
      </x:c>
      <x:c r="F30" s="7" t="str">
        <x:v>Récupération de Poc.</x:v>
      </x:c>
      <x:c r="G30" s="7" t="str">
        <x:v>Poursuite de Kalinda et réparation ; valider cette étape ouvre la recherche du signal sans double mission en journal.</x:v>
      </x:c>
      <x:c r="H30" s="7" t="str">
        <x:v>Poursuite de Kalinda et réparation ; valider cette étape ouvre la recherche du signal sans double mission en journal.</x:v>
      </x:c>
      <x:c r="I30" s="7" t="str">
        <x:v>Robot endommagé et message privé.</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mea/side_quests/peebee-poc ; rattacher les ressources et états cités à cet identifiant. Aucun fichier de jeu créé par ce catalogue.</x:v>
      </x:c>
      <x:c r="M30" s="7" t="str"/>
      <x:c r="N30" s="7" t="str">
        <x:v>Le livrable « Peebee: Reclaiming Poc » possède une scène ou un scénario de contrôle ; ses règles proposées, ses conditions et ses retours visuels sont vérifiables séparément.</x:v>
      </x:c>
      <x:c r="O30" s="7" t="str"/>
      <x:c r="P30" s="7" t="str">
        <x:v>Peebee: Reclaiming Poc</x:v>
      </x:c>
      <x:c r="Q30" s="7" t="str">
        <x:v>MEA-SRC-PEEBEE-POC</x:v>
      </x:c>
      <x:c r="R30" s="7" t="str">
        <x:v>https://masseffect.fandom.com/wiki/Peebee%3A_Reclaiming_Poc</x:v>
      </x:c>
      <x:c r="S30" s="7" t="str">
        <x:v>Spécification à réaliser. Les champs adaptation, gameplay, visual, animation, audio et implementation décrivent le fan game ; ils ne donnent pas des caractéristiques officielles de l’œuvre.</x:v>
      </x:c>
    </x:row>
    <x:row r="31" ht="82" customHeight="1">
      <x:c r="A31" s="18" t="str">
        <x:v>MEA-SQ-PEEBEE-SIGNAL</x:v>
      </x:c>
      <x:c r="B31" s="9" t="str">
        <x:v>Peebee: A Mysterious Remnant Signal</x:v>
      </x:c>
      <x:c r="C31" s="15" t="str">
        <x:v>Défini</x:v>
      </x:c>
      <x:c r="D31" s="16" t="str">
        <x:v>Établi</x:v>
      </x:c>
      <x:c r="E31" s="16" t="str">
        <x:v>P1</x:v>
      </x:c>
      <x:c r="F31" s="9" t="str">
        <x:v>Mission de loyauté de Peebee.</x:v>
      </x:c>
      <x:c r="G31" s="9" t="str">
        <x:v>Pas-10, Observers alliés, rivalité Kalinda puis fuite ; différencier sauvegarde de la personne et acquisition de l’appareil.</x:v>
      </x:c>
      <x:c r="H31" s="9" t="str">
        <x:v>Pas-10, Observers alliés, rivalité Kalinda puis fuite ; différencier sauvegarde de la personne et acquisition de l’appareil.</x:v>
      </x:c>
      <x:c r="I31" s="9" t="str">
        <x:v>Cavernes volcaniques et plateformes reliquates.</x:v>
      </x:c>
      <x:c r="J31" s="9" t="str">
        <x:v>Nommer les variantes de scène et leurs positions finales ; saut de cinématique, réduction de mouvement et lecture complète appliquent le même état. Cavernes volcaniques et plateformes reliquates.</x:v>
      </x:c>
      <x:c r="K31" s="9" t="str">
        <x:v>Répliques originales par branche et sous-titres nominatifs ; supprimer les voix d’acteurs absents avant mixage et conserver les informations de danger en texte.</x:v>
      </x:c>
      <x:c r="L31" s="9" t="str">
        <x:v>Prévu : fiche de données mea/side_quests/peebee-signal ; rattacher les ressources et états cités à cet identifiant. Aucun fichier de jeu créé par ce catalogue.</x:v>
      </x:c>
      <x:c r="M31" s="9" t="str"/>
      <x:c r="N31" s="9" t="str">
        <x:v>Tir Kalinda = personnage perdu/appareil acquis ; abstention = Kalinda sauvée/appareil perdu. Après fuite, inventaire, dialogue et aide éventuelle au final restent compatibles avec la branche.</x:v>
      </x:c>
      <x:c r="O31" s="9" t="str"/>
      <x:c r="P31" s="9" t="str">
        <x:v>Peebee: A Mysterious Remnant Signal</x:v>
      </x:c>
      <x:c r="Q31" s="9" t="str">
        <x:v>MEA-SRC-PEEBEE-LOYAL</x:v>
      </x:c>
      <x:c r="R31" s="9" t="str">
        <x:v>https://masseffect.fandom.com/wiki/Peebee%3A_A_Mysterious_Remnant_Signal</x:v>
      </x:c>
      <x:c r="S31" s="9" t="str">
        <x:v>Spécification à réaliser. Les champs adaptation, gameplay, visual, animation, audio et implementation décrivent le fan game ; ils ne donnent pas des caractéristiques officielles de l’œuvre.</x:v>
      </x:c>
    </x:row>
    <x:row r="32" ht="68" customHeight="1">
      <x:c r="A32" s="19" t="str">
        <x:v>MEA-SQ-PEEBEE-SPIRITS</x:v>
      </x:c>
      <x:c r="B32" s="7" t="str">
        <x:v>Peebee: Spirits</x:v>
      </x:c>
      <x:c r="C32" s="15" t="str">
        <x:v>Défini</x:v>
      </x:c>
      <x:c r="D32" s="17" t="str">
        <x:v>Établi</x:v>
      </x:c>
      <x:c r="E32" s="17" t="str">
        <x:v>P1</x:v>
      </x:c>
      <x:c r="F32" s="7" t="str">
        <x:v>Étape personnelle de Peebee.</x:v>
      </x:c>
      <x:c r="G32" s="7" t="str">
        <x:v>Rencontre après son arc ; état amitié/romance conservé, aucune option implicite dans un dialogue seulement humoristique.</x:v>
      </x:c>
      <x:c r="H32" s="7" t="str">
        <x:v>Rencontre après son arc ; état amitié/romance conservé, aucune option implicite dans un dialogue seulement humoristique.</x:v>
      </x:c>
      <x:c r="I32" s="7" t="str">
        <x:v>Lieu de détente et langage corporel asari.</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mea/side_quests/peebee-spirits ; rattacher les ressources et états cités à cet identifiant. Aucun fichier de jeu créé par ce catalogue.</x:v>
      </x:c>
      <x:c r="M32" s="7" t="str"/>
      <x:c r="N32" s="7" t="str">
        <x:v>Le livrable « Peebee: Spirits » possède une scène ou un scénario de contrôle ; ses règles proposées, ses conditions et ses retours visuels sont vérifiables séparément.</x:v>
      </x:c>
      <x:c r="O32" s="7" t="str"/>
      <x:c r="P32" s="7" t="str">
        <x:v>Peebee: Spirits</x:v>
      </x:c>
      <x:c r="Q32" s="7" t="str">
        <x:v>MEA-SRC-MISSIONS</x:v>
      </x:c>
      <x:c r="R32" s="7" t="str">
        <x:v>https://masseffect.fandom.com/wiki/Missions_%28Mass_Effect%3A_Andromeda%29</x:v>
      </x:c>
      <x:c r="S32" s="7" t="str">
        <x:v>Spécification à réaliser. Les champs adaptation, gameplay, visual, animation, audio et implementation décrivent le fan game ; ils ne donnent pas des caractéristiques officielles de l’œuvre.</x:v>
      </x:c>
    </x:row>
    <x:row r="33" ht="68" customHeight="1">
      <x:c r="A33" s="18" t="str">
        <x:v>MEA-SQ-PEEBEE-MUSEUM</x:v>
      </x:c>
      <x:c r="B33" s="9" t="str">
        <x:v>Peebee: The Museum Trip</x:v>
      </x:c>
      <x:c r="C33" s="15" t="str">
        <x:v>Défini</x:v>
      </x:c>
      <x:c r="D33" s="16" t="str">
        <x:v>Établi</x:v>
      </x:c>
      <x:c r="E33" s="16" t="str">
        <x:v>P1</x:v>
      </x:c>
      <x:c r="F33" s="9" t="str">
        <x:v>Visite liée à Peebee.</x:v>
      </x:c>
      <x:c r="G33" s="9" t="str">
        <x:v>Parcours d’observation avec pauses facultatives ; les connaissances affichées dépendent des découvertes.</x:v>
      </x:c>
      <x:c r="H33" s="9" t="str">
        <x:v>Parcours d’observation avec pauses facultatives ; les connaissances affichées dépendent des découvertes.</x:v>
      </x:c>
      <x:c r="I33" s="9" t="str">
        <x:v>Musée angara et objets exposés.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mea/side_quests/peebee-museum ; rattacher les ressources et états cités à cet identifiant. Aucun fichier de jeu créé par ce catalogue.</x:v>
      </x:c>
      <x:c r="M33" s="9" t="str"/>
      <x:c r="N33" s="9" t="str">
        <x:v>Le livrable « Peebee: The Museum Trip » possède une scène ou un scénario de contrôle ; ses règles proposées, ses conditions et ses retours visuels sont vérifiables séparément.</x:v>
      </x:c>
      <x:c r="O33" s="9" t="str"/>
      <x:c r="P33" s="9" t="str">
        <x:v>Peebee: The Museum Trip</x:v>
      </x:c>
      <x:c r="Q33" s="9" t="str">
        <x:v>MEA-SRC-MISSIONS</x:v>
      </x:c>
      <x:c r="R33" s="9" t="str">
        <x:v>https://masseffect.fandom.com/wiki/Missions_%28Mass_Effect%3A_Andromeda%29</x:v>
      </x:c>
      <x:c r="S33" s="9" t="str">
        <x:v>Spécification à réaliser. Les champs adaptation, gameplay, visual, animation, audio et implementation décrivent le fan game ; ils ne donnent pas des caractéristiques officielles de l’œuvre.</x:v>
      </x:c>
    </x:row>
    <x:row r="34" ht="68" customHeight="1">
      <x:c r="A34" s="19" t="str">
        <x:v>MEA-SQ-VETRA-MEANS</x:v>
      </x:c>
      <x:c r="B34" s="7" t="str">
        <x:v>Vetra Nyx: Means and Ends</x:v>
      </x:c>
      <x:c r="C34" s="15" t="str">
        <x:v>Défini</x:v>
      </x:c>
      <x:c r="D34" s="17" t="str">
        <x:v>Établi</x:v>
      </x:c>
      <x:c r="E34" s="17" t="str">
        <x:v>P1</x:v>
      </x:c>
      <x:c r="F34" s="7" t="str">
        <x:v>Mission de loyauté de Vetra.</x:v>
      </x:c>
      <x:c r="G34" s="7" t="str">
        <x:v>Mine de H-047c, captifs et caméras de Sid ; chaque sabotage de sécurité modifie réellement la salle suivante.</x:v>
      </x:c>
      <x:c r="H34" s="7" t="str">
        <x:v>Mine de H-047c, captifs et caméras de Sid ; chaque sabotage de sécurité modifie réellement la salle suivante.</x:v>
      </x:c>
      <x:c r="I34" s="7" t="str">
        <x:v>Mine fermée, ateliers et moniteurs.</x:v>
      </x:c>
      <x:c r="J34" s="7" t="str">
        <x:v>Nommer les variantes de scène et leurs positions finales ; saut de cinématique, réduction de mouvement et lecture complète appliquent le même état. Mine fermée, ateliers et moniteurs.</x:v>
      </x:c>
      <x:c r="K34" s="7" t="str">
        <x:v>Répliques originales par branche et sous-titres nominatifs ; supprimer les voix d’acteurs absents avant mixage et conserver les informations de danger en texte.</x:v>
      </x:c>
      <x:c r="L34" s="7" t="str">
        <x:v>Prévu : fiche de données mea/side_quests/vetra-means ; rattacher les ressources et états cités à cet identifiant. Aucun fichier de jeu créé par ce catalogue.</x:v>
      </x:c>
      <x:c r="M34" s="7" t="str"/>
      <x:c r="N34" s="7" t="str">
        <x:v>Chaque intervention de Sid modifie la salle attendue, y compris gaz dangereux et Hydra neutralisée ; caméra preview correspond à carte jouée, aucun captif placé dans danger créé sans route de secours.</x:v>
      </x:c>
      <x:c r="O34" s="7" t="str"/>
      <x:c r="P34" s="7" t="str">
        <x:v>Vetra Nyx: Means and Ends</x:v>
      </x:c>
      <x:c r="Q34" s="7" t="str">
        <x:v>MEA-SRC-VETRA-LOYAL</x:v>
      </x:c>
      <x:c r="R34" s="7" t="str">
        <x:v>https://masseffect.fandom.com/wiki/Vetra_Nyx%3A_Means_and_Ends</x:v>
      </x:c>
      <x:c r="S34" s="7" t="str">
        <x:v>Spécification à réaliser. Les champs adaptation, gameplay, visual, animation, audio et implementation décrivent le fan game ; ils ne donnent pas des caractéristiques officielles de l’œuvre.</x:v>
      </x:c>
    </x:row>
    <x:row r="35" ht="68" customHeight="1">
      <x:c r="A35" s="18" t="str">
        <x:v>MEA-SQ-VETRA-PLANET</x:v>
      </x:c>
      <x:c r="B35" s="9" t="str">
        <x:v>Vetra Nyx: A Moment Planetside</x:v>
      </x:c>
      <x:c r="C35" s="15" t="str">
        <x:v>Défini</x:v>
      </x:c>
      <x:c r="D35" s="16" t="str">
        <x:v>Établi</x:v>
      </x:c>
      <x:c r="E35" s="16" t="str">
        <x:v>P1</x:v>
      </x:c>
      <x:c r="F35" s="9" t="str">
        <x:v>Rencontre personnelle de Vetra.</x:v>
      </x:c>
      <x:c r="G35" s="9" t="str">
        <x:v>Scène de repos avec branches relationnelles ; ne pas imposer une exclusivité non choisie.</x:v>
      </x:c>
      <x:c r="H35" s="9" t="str">
        <x:v>Scène de repos avec branches relationnelles ; ne pas imposer une exclusivité non choisie.</x:v>
      </x:c>
      <x:c r="I35" s="9" t="str">
        <x:v>Paysage et deux silhouettes assises.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mea/side_quests/vetra-planet ; rattacher les ressources et états cités à cet identifiant. Aucun fichier de jeu créé par ce catalogue.</x:v>
      </x:c>
      <x:c r="M35" s="9" t="str"/>
      <x:c r="N35" s="9" t="str">
        <x:v>Le livrable « Vetra Nyx: A Moment Planetside » possède une scène ou un scénario de contrôle ; ses règles proposées, ses conditions et ses retours visuels sont vérifiables séparément.</x:v>
      </x:c>
      <x:c r="O35" s="9" t="str"/>
      <x:c r="P35" s="9" t="str">
        <x:v>Vetra Nyx: A Moment Planetside</x:v>
      </x:c>
      <x:c r="Q35" s="9" t="str">
        <x:v>MEA-SRC-MISSIONS, MEA-SRC-ROMANCE</x:v>
      </x:c>
      <x:c r="R35" s="9" t="str">
        <x:v>https://masseffect.fandom.com/wiki/Missions_%28Mass_Effect%3A_Andromeda%29
https://masseffect.fandom.com/wiki/Romance_%28Mass_Effect%3A_Andromeda%29</x:v>
      </x:c>
      <x:c r="S35" s="9" t="str">
        <x:v>Spécification à réaliser. Les champs adaptation, gameplay, visual, animation, audio et implementation décrivent le fan game ; ils ne donnent pas des caractéristiques officielles de l’œuvre.</x:v>
      </x:c>
    </x:row>
    <x:row r="36" ht="68" customHeight="1">
      <x:c r="A36" s="19" t="str">
        <x:v>MEA-SQ-FAMILY</x:v>
      </x:c>
      <x:c r="B36" s="7" t="str">
        <x:v>Ryder Family Secrets</x:v>
      </x:c>
      <x:c r="C36" s="15" t="str">
        <x:v>Défini</x:v>
      </x:c>
      <x:c r="D36" s="17" t="str">
        <x:v>Établi</x:v>
      </x:c>
      <x:c r="E36" s="17" t="str">
        <x:v>P1</x:v>
      </x:c>
      <x:c r="F36" s="7" t="str">
        <x:v>Arc des souvenirs d’Alec.</x:v>
      </x:c>
      <x:c r="G36" s="7" t="str">
        <x:v>Déverrouiller mémoires par collecte ; séparer connaissance sur Ellen, Garson et le Bienfaiteur, sans inventer résolution de ce dernier.</x:v>
      </x:c>
      <x:c r="H36" s="7" t="str">
        <x:v>Déverrouiller mémoires par collecte ; séparer connaissance sur Ellen, Garson et le Bienfaiteur, sans inventer résolution de ce dernier.</x:v>
      </x:c>
      <x:c r="I36" s="7" t="str">
        <x:v>SAM Node et enregistrements familiaux.</x:v>
      </x:c>
      <x:c r="J36" s="7" t="str">
        <x:v>Nommer les variantes de scène et leurs positions finales ; saut de cinématique, réduction de mouvement et lecture complète appliquent le même état. SAM Node et enregistrements familiaux.</x:v>
      </x:c>
      <x:c r="K36" s="7" t="str">
        <x:v>Répliques originales par branche et sous-titres nominatifs ; supprimer les voix d’acteurs absents avant mixage et conserver les informations de danger en texte.</x:v>
      </x:c>
      <x:c r="L36" s="7" t="str">
        <x:v>Prévu : fiche de données mea/side_quests/family ; rattacher les ressources et états cités à cet identifiant. Aucun fichier de jeu créé par ce catalogue.</x:v>
      </x:c>
      <x:c r="M36" s="7" t="str"/>
      <x:c r="N36" s="7" t="str">
        <x:v>Collecte, lecture des logs, déblocage de mémoire et rencontre familiale sont des étapes distinctes ; identité d’Ellen n’apparaît pas avant révélation et aucune identité de Bienfaiteur n’est produite par défaut.</x:v>
      </x:c>
      <x:c r="O36" s="7" t="str"/>
      <x:c r="P36" s="7" t="str">
        <x:v>Ryder Family Secrets</x:v>
      </x:c>
      <x:c r="Q36" s="7" t="str">
        <x:v>MEA-SRC-FAMILY</x:v>
      </x:c>
      <x:c r="R36" s="7" t="str">
        <x:v>https://masseffect.fandom.com/wiki/Ryder_Family_Secrets</x:v>
      </x:c>
      <x:c r="S36" s="7" t="str">
        <x:v>Spécification à réaliser. Les champs adaptation, gameplay, visual, animation, audio et implementation décrivent le fan game ; ils ne donnent pas des caractéristiques officielles de l’œuvre.</x:v>
      </x:c>
    </x:row>
    <x:row r="37" ht="68" customHeight="1">
      <x:c r="A37" s="18" t="str">
        <x:v>MEA-SQ-ARKS</x:v>
      </x:c>
      <x:c r="B37" s="9" t="str">
        <x:v>Missing Arks</x:v>
      </x:c>
      <x:c r="C37" s="15" t="str">
        <x:v>Défini</x:v>
      </x:c>
      <x:c r="D37" s="16" t="str">
        <x:v>Établi</x:v>
      </x:c>
      <x:c r="E37" s="16" t="str">
        <x:v>P1</x:v>
      </x:c>
      <x:c r="F37" s="9" t="str">
        <x:v>Recherche des autres arches.</x:v>
      </x:c>
      <x:c r="G37" s="9" t="str">
        <x:v>Dossier maître reliant Leusinia, Natanus et Paarchero ; Keelah Si’yah demeure signal distinct sans mission de sauvetage livrée.</x:v>
      </x:c>
      <x:c r="H37" s="9" t="str">
        <x:v>Dossier maître reliant Leusinia, Natanus et Paarchero ; Keelah Si’yah demeure signal distinct sans mission de sauvetage livrée.</x:v>
      </x:c>
      <x:c r="I37" s="9" t="str">
        <x:v>Carte des arches et statuts connus.</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mea/side_quests/arks ; rattacher les ressources et états cités à cet identifiant. Aucun fichier de jeu créé par ce catalogue.</x:v>
      </x:c>
      <x:c r="M37" s="9" t="str"/>
      <x:c r="N37" s="9" t="str">
        <x:v>Le livrable « Missing Arks » possède une scène ou un scénario de contrôle ; ses règles proposées, ses conditions et ses retours visuels sont vérifiables séparément.</x:v>
      </x:c>
      <x:c r="O37" s="9" t="str"/>
      <x:c r="P37" s="9" t="str">
        <x:v>Missing Arks</x:v>
      </x:c>
      <x:c r="Q37" s="9" t="str">
        <x:v>MEA-SRC-MISSING-ARKS, MEA-SRC-EPILOGUE</x:v>
      </x:c>
      <x:c r="R37" s="9" t="str">
        <x:v>https://masseffect.fandom.com/wiki/Missing_Arks
https://masseffect.fandom.com/wiki/Epilogue%3A_Home_and_Away</x:v>
      </x:c>
      <x:c r="S37" s="9" t="str">
        <x:v>Spécification à réaliser. Les champs adaptation, gameplay, visual, animation, audio et implementation décrivent le fan game ; ils ne donnent pas des caractéristiques officielles de l’œuvre.</x:v>
      </x:c>
    </x:row>
    <x:row r="38" ht="68" customHeight="1">
      <x:c r="A38" s="19" t="str">
        <x:v>MEA-SQ-TURIAN-DEAD</x:v>
      </x:c>
      <x:c r="B38" s="7" t="str">
        <x:v>Turian Ark: Not Dead Yet</x:v>
      </x:c>
      <x:c r="C38" s="15" t="str">
        <x:v>Défini</x:v>
      </x:c>
      <x:c r="D38" s="17" t="str">
        <x:v>Établi</x:v>
      </x:c>
      <x:c r="E38" s="17" t="str">
        <x:v>P1</x:v>
      </x:c>
      <x:c r="F38" s="7" t="str">
        <x:v>Premières pistes de l’arche turienne.</x:v>
      </x:c>
      <x:c r="G38" s="7" t="str">
        <x:v>Contacts et traces de rescapés ; progression persistante entre Havarl et Nexus.</x:v>
      </x:c>
      <x:c r="H38" s="7" t="str">
        <x:v>Contacts et traces de rescapés ; progression persistante entre Havarl et Nexus.</x:v>
      </x:c>
      <x:c r="I38" s="7" t="str">
        <x:v>Balises de détresse et camp turien.</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mea/side_quests/turian-dead ; rattacher les ressources et états cités à cet identifiant. Aucun fichier de jeu créé par ce catalogue.</x:v>
      </x:c>
      <x:c r="M38" s="7" t="str"/>
      <x:c r="N38" s="7" t="str">
        <x:v>Le livrable « Turian Ark: Not Dead Yet » possède une scène ou un scénario de contrôle ; ses règles proposées, ses conditions et ses retours visuels sont vérifiables séparément.</x:v>
      </x:c>
      <x:c r="O38" s="7" t="str"/>
      <x:c r="P38" s="7" t="str">
        <x:v>Turian Ark: Not Dead Yet</x:v>
      </x:c>
      <x:c r="Q38" s="7" t="str">
        <x:v>MEA-SRC-MISSING-ARKS</x:v>
      </x:c>
      <x:c r="R38" s="7" t="str">
        <x:v>https://masseffect.fandom.com/wiki/Missing_Arks</x:v>
      </x:c>
      <x:c r="S38" s="7" t="str">
        <x:v>Spécification à réaliser. Les champs adaptation, gameplay, visual, animation, audio et implementation décrivent le fan game ; ils ne donnent pas des caractéristiques officielles de l’œuvre.</x:v>
      </x:c>
    </x:row>
    <x:row r="39" ht="68" customHeight="1">
      <x:c r="A39" s="18" t="str">
        <x:v>MEA-SQ-TURIAN-LOST</x:v>
      </x:c>
      <x:c r="B39" s="9" t="str">
        <x:v>Turian Ark: Lost But Not Forgotten</x:v>
      </x:c>
      <x:c r="C39" s="15" t="str">
        <x:v>Défini</x:v>
      </x:c>
      <x:c r="D39" s="16" t="str">
        <x:v>Établi</x:v>
      </x:c>
      <x:c r="E39" s="16" t="str">
        <x:v>P1</x:v>
      </x:c>
      <x:c r="F39" s="9" t="str">
        <x:v>Arc de Macen et Avitus.</x:v>
      </x:c>
      <x:c r="G39" s="9" t="str">
        <x:v>Explorer l’arche et découvrir le sort du Pionnier ; succession comme décision séparée du sauvetage.</x:v>
      </x:c>
      <x:c r="H39" s="9" t="str">
        <x:v>Explorer l’arche et découvrir le sort du Pionnier ; succession comme décision séparée du sauvetage.</x:v>
      </x:c>
      <x:c r="I39" s="9" t="str">
        <x:v>Couloirs endommagés et SAM turien.</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mea/side_quests/turian-lost ; rattacher les ressources et états cités à cet identifiant. Aucun fichier de jeu créé par ce catalogue.</x:v>
      </x:c>
      <x:c r="M39" s="9" t="str"/>
      <x:c r="N39" s="9" t="str">
        <x:v>Le livrable « Turian Ark: Lost But Not Forgotten » possède une scène ou un scénario de contrôle ; ses règles proposées, ses conditions et ses retours visuels sont vérifiables séparément.</x:v>
      </x:c>
      <x:c r="O39" s="9" t="str"/>
      <x:c r="P39" s="9" t="str">
        <x:v>Turian Ark: Lost But Not Forgotten</x:v>
      </x:c>
      <x:c r="Q39" s="9" t="str">
        <x:v>MEA-SRC-MISSING-ARKS</x:v>
      </x:c>
      <x:c r="R39" s="9" t="str">
        <x:v>https://masseffect.fandom.com/wiki/Missing_Arks</x:v>
      </x:c>
      <x:c r="S39" s="9" t="str">
        <x:v>Spécification à réaliser. Les champs adaptation, gameplay, visual, animation, audio et implementation décrivent le fan game ; ils ne donnent pas des caractéristiques officielles de l’œuvre.</x:v>
      </x:c>
    </x:row>
    <x:row r="40" ht="68" customHeight="1">
      <x:c r="A40" s="19" t="str">
        <x:v>MEA-SQ-GIL-POKER</x:v>
      </x:c>
      <x:c r="B40" s="7" t="str">
        <x:v>Gil Brodie: A Game of Poker</x:v>
      </x:c>
      <x:c r="C40" s="15" t="str">
        <x:v>Défini</x:v>
      </x:c>
      <x:c r="D40" s="17" t="str">
        <x:v>Établi</x:v>
      </x:c>
      <x:c r="E40" s="17" t="str">
        <x:v>P1</x:v>
      </x:c>
      <x:c r="F40" s="7" t="str">
        <x:v>Moment personnel avec Gil.</x:v>
      </x:c>
      <x:c r="G40" s="7" t="str">
        <x:v>Minijeu original facultatif avec option de résolution rapide ; résultat de partie et relation ne sont pas le même drapeau.</x:v>
      </x:c>
      <x:c r="H40" s="7" t="str">
        <x:v>Minijeu original facultatif avec option de résolution rapide ; résultat de partie et relation ne sont pas le même drapeau.</x:v>
      </x:c>
      <x:c r="I40" s="7" t="str">
        <x:v>Table de cartes et visages.</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mea/side_quests/gil-poker ; rattacher les ressources et états cités à cet identifiant. Aucun fichier de jeu créé par ce catalogue.</x:v>
      </x:c>
      <x:c r="M40" s="7" t="str"/>
      <x:c r="N40" s="7" t="str">
        <x:v>Le livrable « Gil Brodie: A Game of Poker » possède une scène ou un scénario de contrôle ; ses règles proposées, ses conditions et ses retours visuels sont vérifiables séparément.</x:v>
      </x:c>
      <x:c r="O40" s="7" t="str"/>
      <x:c r="P40" s="7" t="str">
        <x:v>Gil Brodie: A Game of Poker</x:v>
      </x:c>
      <x:c r="Q40" s="7" t="str">
        <x:v>MEA-SRC-MISSIONS</x:v>
      </x:c>
      <x:c r="R40" s="7" t="str">
        <x:v>https://masseffect.fandom.com/wiki/Missions_%28Mass_Effect%3A_Andromeda%29</x:v>
      </x:c>
      <x:c r="S40" s="7" t="str">
        <x:v>Spécification à réaliser. Les champs adaptation, gameplay, visual, animation, audio et implementation décrivent le fan game ; ils ne donnent pas des caractéristiques officielles de l’œuvre.</x:v>
      </x:c>
    </x:row>
    <x:row r="41" ht="68" customHeight="1">
      <x:c r="A41" s="18" t="str">
        <x:v>MEA-SQ-GIL-FRIEND</x:v>
      </x:c>
      <x:c r="B41" s="9" t="str">
        <x:v>Gil Brodie: The Friend</x:v>
      </x:c>
      <x:c r="C41" s="15" t="str">
        <x:v>Défini</x:v>
      </x:c>
      <x:c r="D41" s="16" t="str">
        <x:v>Établi</x:v>
      </x:c>
      <x:c r="E41" s="16" t="str">
        <x:v>P1</x:v>
      </x:c>
      <x:c r="F41" s="9" t="str">
        <x:v>Rencontre liée à Jill.</x:v>
      </x:c>
      <x:c r="G41" s="9" t="str">
        <x:v>Dialogue à plusieurs personnages ; choix de conseil sans sanction romantique inventée.</x:v>
      </x:c>
      <x:c r="H41" s="9" t="str">
        <x:v>Dialogue à plusieurs personnages ; choix de conseil sans sanction romantique inventée.</x:v>
      </x:c>
      <x:c r="I41" s="9" t="str">
        <x:v>Conversation à bord et messages.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mea/side_quests/gil-friend ; rattacher les ressources et états cités à cet identifiant. Aucun fichier de jeu créé par ce catalogue.</x:v>
      </x:c>
      <x:c r="M41" s="9" t="str"/>
      <x:c r="N41" s="9" t="str">
        <x:v>Le livrable « Gil Brodie: The Friend » possède une scène ou un scénario de contrôle ; ses règles proposées, ses conditions et ses retours visuels sont vérifiables séparément.</x:v>
      </x:c>
      <x:c r="O41" s="9" t="str"/>
      <x:c r="P41" s="9" t="str">
        <x:v>Gil Brodie: The Friend</x:v>
      </x:c>
      <x:c r="Q41" s="9" t="str">
        <x:v>MEA-SRC-MISSIONS</x:v>
      </x:c>
      <x:c r="R41" s="9" t="str">
        <x:v>https://masseffect.fandom.com/wiki/Missions_%28Mass_Effect%3A_Andromeda%29</x:v>
      </x:c>
      <x:c r="S41" s="9" t="str">
        <x:v>Spécification à réaliser. Les champs adaptation, gameplay, visual, animation, audio et implementation décrivent le fan game ; ils ne donnent pas des caractéristiques officielles de l’œuvre.</x:v>
      </x:c>
    </x:row>
    <x:row r="42" ht="68" customHeight="1">
      <x:c r="A42" s="19" t="str">
        <x:v>MEA-SQ-LEXI</x:v>
      </x:c>
      <x:c r="B42" s="7" t="str">
        <x:v>Lexi T’Perro: Bottom of a Bottle</x:v>
      </x:c>
      <x:c r="C42" s="15" t="str">
        <x:v>Défini</x:v>
      </x:c>
      <x:c r="D42" s="17" t="str">
        <x:v>Établi</x:v>
      </x:c>
      <x:c r="E42" s="17" t="str">
        <x:v>P1</x:v>
      </x:c>
      <x:c r="F42" s="7" t="str">
        <x:v>Étape personnelle de Lexi.</x:v>
      </x:c>
      <x:c r="G42" s="7" t="str">
        <x:v>Retrouver et écouter ; contraste entre médecin et personne, pas de combat ni loot d’alcool ajouté.</x:v>
      </x:c>
      <x:c r="H42" s="7" t="str">
        <x:v>Retrouver et écouter ; contraste entre médecin et personne, pas de combat ni loot d’alcool ajouté.</x:v>
      </x:c>
      <x:c r="I42" s="7" t="str">
        <x:v>Bar et éclairage doux.</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mea/side_quests/lexi ; rattacher les ressources et états cités à cet identifiant. Aucun fichier de jeu créé par ce catalogue.</x:v>
      </x:c>
      <x:c r="M42" s="7" t="str"/>
      <x:c r="N42" s="7" t="str">
        <x:v>Le livrable « Lexi T’Perro: Bottom of a Bottle » possède une scène ou un scénario de contrôle ; ses règles proposées, ses conditions et ses retours visuels sont vérifiables séparément.</x:v>
      </x:c>
      <x:c r="O42" s="7" t="str"/>
      <x:c r="P42" s="7" t="str">
        <x:v>Lexi T’Perro: Bottom of a Bottle</x:v>
      </x:c>
      <x:c r="Q42" s="7" t="str">
        <x:v>MEA-SRC-MISSIONS</x:v>
      </x:c>
      <x:c r="R42" s="7" t="str">
        <x:v>https://masseffect.fandom.com/wiki/Missions_%28Mass_Effect%3A_Andromeda%29</x:v>
      </x:c>
      <x:c r="S42" s="7" t="str">
        <x:v>Spécification à réaliser. Les champs adaptation, gameplay, visual, animation, audio et implementation décrivent le fan game ; ils ne donnent pas des caractéristiques officielles de l’œuvre.</x:v>
      </x:c>
    </x:row>
    <x:row r="43" ht="68" customHeight="1">
      <x:c r="A43" s="18" t="str">
        <x:v>MEA-SQ-SUVI</x:v>
      </x:c>
      <x:c r="B43" s="9" t="str">
        <x:v>Suvi Anwar: New Discoveries</x:v>
      </x:c>
      <x:c r="C43" s="15" t="str">
        <x:v>Défini</x:v>
      </x:c>
      <x:c r="D43" s="16" t="str">
        <x:v>Établi</x:v>
      </x:c>
      <x:c r="E43" s="16" t="str">
        <x:v>P1</x:v>
      </x:c>
      <x:c r="F43" s="9" t="str">
        <x:v>Étape personnelle de Suvi.</x:v>
      </x:c>
      <x:c r="G43" s="9" t="str">
        <x:v>Conversation de découverte et relation selon conditions ; journal ne transforme pas une discussion scientifique en romance automatique.</x:v>
      </x:c>
      <x:c r="H43" s="9" t="str">
        <x:v>Conversation de découverte et relation selon conditions ; journal ne transforme pas une discussion scientifique en romance automatique.</x:v>
      </x:c>
      <x:c r="I43" s="9" t="str">
        <x:v>Table de recherche et vue spatiale.</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mea/side_quests/suvi ; rattacher les ressources et états cités à cet identifiant. Aucun fichier de jeu créé par ce catalogue.</x:v>
      </x:c>
      <x:c r="M43" s="9" t="str"/>
      <x:c r="N43" s="9" t="str">
        <x:v>Le livrable « Suvi Anwar: New Discoveries » possède une scène ou un scénario de contrôle ; ses règles proposées, ses conditions et ses retours visuels sont vérifiables séparément.</x:v>
      </x:c>
      <x:c r="O43" s="9" t="str"/>
      <x:c r="P43" s="9" t="str">
        <x:v>Suvi Anwar: New Discoveries</x:v>
      </x:c>
      <x:c r="Q43" s="9" t="str">
        <x:v>MEA-SRC-MISSIONS</x:v>
      </x:c>
      <x:c r="R43" s="9" t="str">
        <x:v>https://masseffect.fandom.com/wiki/Missions_%28Mass_Effect%3A_Andromeda%29</x:v>
      </x:c>
      <x:c r="S43" s="9" t="str">
        <x:v>Spécification à réaliser. Les champs adaptation, gameplay, visual, animation, audio et implementation décrivent le fan game ; ils ne donnent pas des caractéristiques officielles de l’œuvre.</x:v>
      </x:c>
    </x:row>
    <x:row r="44" ht="68" customHeight="1">
      <x:c r="A44" s="19" t="str">
        <x:v>MEA-SQ-TRUTH</x:v>
      </x:c>
      <x:c r="B44" s="7" t="str">
        <x:v>Truth and Trespass</x:v>
      </x:c>
      <x:c r="C44" s="15" t="str">
        <x:v>Défini</x:v>
      </x:c>
      <x:c r="D44" s="17" t="str">
        <x:v>Établi</x:v>
      </x:c>
      <x:c r="E44" s="17" t="str">
        <x:v>P1</x:v>
      </x:c>
      <x:c r="F44" s="7" t="str">
        <x:v>Mission d’enquête liée au Tempest.</x:v>
      </x:c>
      <x:c r="G44" s="7" t="str">
        <x:v>Chaîne de messages et preuves, identité d’interlocuteur révélée au moment prévu ; conserver dossier consultable.</x:v>
      </x:c>
      <x:c r="H44" s="7" t="str">
        <x:v>Chaîne de messages et preuves, identité d’interlocuteur révélée au moment prévu ; conserver dossier consultable.</x:v>
      </x:c>
      <x:c r="I44" s="7" t="str">
        <x:v>Terminaux et transmission codée.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mea/side_quests/truth ; rattacher les ressources et états cités à cet identifiant. Aucun fichier de jeu créé par ce catalogue.</x:v>
      </x:c>
      <x:c r="M44" s="7" t="str"/>
      <x:c r="N44" s="7" t="str">
        <x:v>Le livrable « Truth and Trespass » possède une scène ou un scénario de contrôle ; ses règles proposées, ses conditions et ses retours visuels sont vérifiables séparément.</x:v>
      </x:c>
      <x:c r="O44" s="7" t="str"/>
      <x:c r="P44" s="7" t="str">
        <x:v>Truth and Trespass</x:v>
      </x:c>
      <x:c r="Q44" s="7" t="str">
        <x:v>MEA-SRC-MISSIONS</x:v>
      </x:c>
      <x:c r="R44" s="7" t="str">
        <x:v>https://masseffect.fandom.com/wiki/Missions_%28Mass_Effect%3A_Andromeda%29</x:v>
      </x:c>
      <x:c r="S44" s="7" t="str">
        <x:v>Spécification à réaliser. Les champs adaptation, gameplay, visual, animation, audio et implementation décrivent le fan game ; ils ne donnent pas des caractéristiques officielles de l’œuvre.</x:v>
      </x:c>
    </x:row>
    <x:row r="45" ht="68" customHeight="1">
      <x:c r="A45" s="18" t="str">
        <x:v>MEA-SQ-LITTLE-THINGS</x:v>
      </x:c>
      <x:c r="B45" s="9" t="str">
        <x:v>The Little Things That Matter</x:v>
      </x:c>
      <x:c r="C45" s="15" t="str">
        <x:v>Défini</x:v>
      </x:c>
      <x:c r="D45" s="16" t="str">
        <x:v>Établi</x:v>
      </x:c>
      <x:c r="E45" s="16" t="str">
        <x:v>P1</x:v>
      </x:c>
      <x:c r="F45" s="9" t="str">
        <x:v>Mission d’Addison.</x:v>
      </x:c>
      <x:c r="G45" s="9" t="str">
        <x:v>Suivre personnes et appels plutôt qu’un compteur abstrait ; entretien final tient compte des contacts réellement retrouvés.</x:v>
      </x:c>
      <x:c r="H45" s="9" t="str">
        <x:v>Suivre personnes et appels plutôt qu’un compteur abstrait ; entretien final tient compte des contacts réellement retrouvés.</x:v>
      </x:c>
      <x:c r="I45" s="9" t="str">
        <x:v>Bureaux de colonie et logs.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mea/side_quests/little-things ; rattacher les ressources et états cités à cet identifiant. Aucun fichier de jeu créé par ce catalogue.</x:v>
      </x:c>
      <x:c r="M45" s="9" t="str"/>
      <x:c r="N45" s="9" t="str">
        <x:v>Le livrable « The Little Things That Matter » possède une scène ou un scénario de contrôle ; ses règles proposées, ses conditions et ses retours visuels sont vérifiables séparément.</x:v>
      </x:c>
      <x:c r="O45" s="9" t="str"/>
      <x:c r="P45" s="9" t="str">
        <x:v>The Little Things That Matter</x:v>
      </x:c>
      <x:c r="Q45" s="9" t="str">
        <x:v>MEA-SRC-MISSIONS</x:v>
      </x:c>
      <x:c r="R45" s="9" t="str">
        <x:v>https://masseffect.fandom.com/wiki/Missions_%28Mass_Effect%3A_Andromeda%29</x:v>
      </x:c>
      <x:c r="S45" s="9" t="str">
        <x:v>Spécification à réaliser. Les champs adaptation, gameplay, visual, animation, audio et implementation décrivent le fan game ; ils ne donnent pas des caractéristiques officielles de l’œuvre.</x:v>
      </x:c>
    </x:row>
    <x:row r="46" ht="68" customHeight="1">
      <x:c r="A46" s="19" t="str">
        <x:v>MEA-SQ-DISSENSION</x:v>
      </x:c>
      <x:c r="B46" s="7" t="str">
        <x:v>Dissension in the Ranks</x:v>
      </x:c>
      <x:c r="C46" s="15" t="str">
        <x:v>Défini</x:v>
      </x:c>
      <x:c r="D46" s="17" t="str">
        <x:v>Établi</x:v>
      </x:c>
      <x:c r="E46" s="17" t="str">
        <x:v>P1</x:v>
      </x:c>
      <x:c r="F46" s="7" t="str">
        <x:v>Mission de renseignement kett.</x:v>
      </x:c>
      <x:c r="G46" s="7" t="str">
        <x:v>Recherche d’informations et proposition de coopération ; décision conservée pour assaut final si compatible.</x:v>
      </x:c>
      <x:c r="H46" s="7" t="str">
        <x:v>Recherche d’informations et proposition de coopération ; décision conservée pour assaut final si compatible.</x:v>
      </x:c>
      <x:c r="I46" s="7" t="str">
        <x:v>Canal kett et preuves de dissension.</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mea/side_quests/dissension ; rattacher les ressources et états cités à cet identifiant. Aucun fichier de jeu créé par ce catalogue.</x:v>
      </x:c>
      <x:c r="M46" s="7" t="str"/>
      <x:c r="N46" s="7" t="str">
        <x:v>Le livrable « Dissension in the Ranks » possède une scène ou un scénario de contrôle ; ses règles proposées, ses conditions et ses retours visuels sont vérifiables séparément.</x:v>
      </x:c>
      <x:c r="O46" s="7" t="str"/>
      <x:c r="P46" s="7" t="str">
        <x:v>Dissension in the Ranks</x:v>
      </x:c>
      <x:c r="Q46" s="7" t="str">
        <x:v>MEA-SRC-MISSIONS</x:v>
      </x:c>
      <x:c r="R46" s="7" t="str">
        <x:v>https://masseffect.fandom.com/wiki/Missions_%28Mass_Effect%3A_Andromeda%29</x:v>
      </x:c>
      <x:c r="S46" s="7" t="str">
        <x:v>Spécification à réaliser. Les champs adaptation, gameplay, visual, animation, audio et implementation décrivent le fan game ; ils ne donnent pas des caractéristiques officielles de l’œuvre.</x:v>
      </x:c>
    </x:row>
    <x:row r="47" ht="68" customHeight="1">
      <x:c r="A47" s="18" t="str">
        <x:v>MEA-SQ-KNOW-ENEMY</x:v>
      </x:c>
      <x:c r="B47" s="9" t="str">
        <x:v>Know Your Enemy</x:v>
      </x:c>
      <x:c r="C47" s="15" t="str">
        <x:v>Défini</x:v>
      </x:c>
      <x:c r="D47" s="16" t="str">
        <x:v>Établi</x:v>
      </x:c>
      <x:c r="E47" s="16" t="str">
        <x:v>P1</x:v>
      </x:c>
      <x:c r="F47" s="9" t="str">
        <x:v>Mission de renseignement.</x:v>
      </x:c>
      <x:c r="G47" s="9" t="str">
        <x:v>Scanner preuves et livrer une synthèse à Raelis ; éviter de traiter tout objet kett comme preuve suffisante.</x:v>
      </x:c>
      <x:c r="H47" s="9" t="str">
        <x:v>Scanner preuves et livrer une synthèse à Raelis ; éviter de traiter tout objet kett comme preuve suffisante.</x:v>
      </x:c>
      <x:c r="I47" s="9" t="str">
        <x:v>Laboratoire et traces kett.</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mea/side_quests/know-enemy ; rattacher les ressources et états cités à cet identifiant. Aucun fichier de jeu créé par ce catalogue.</x:v>
      </x:c>
      <x:c r="M47" s="9" t="str"/>
      <x:c r="N47" s="9" t="str">
        <x:v>Le livrable « Know Your Enemy » possède une scène ou un scénario de contrôle ; ses règles proposées, ses conditions et ses retours visuels sont vérifiables séparément.</x:v>
      </x:c>
      <x:c r="O47" s="9" t="str"/>
      <x:c r="P47" s="9" t="str">
        <x:v>Know Your Enemy</x:v>
      </x:c>
      <x:c r="Q47" s="9" t="str">
        <x:v>MEA-SRC-MISSIONS</x:v>
      </x:c>
      <x:c r="R47" s="9" t="str">
        <x:v>https://masseffect.fandom.com/wiki/Missions_%28Mass_Effect%3A_Andromeda%29</x:v>
      </x:c>
      <x:c r="S47" s="9" t="str">
        <x:v>Spécification à réaliser. Les champs adaptation, gameplay, visual, animation, audio et implementation décrivent le fan game ; ils ne donnent pas des caractéristiques officielles de l’œuvre.</x:v>
      </x:c>
    </x:row>
    <x:row r="48" ht="68" customHeight="1">
      <x:c r="A48" s="19" t="str">
        <x:v>MEA-SQ-MOVIE</x:v>
      </x:c>
      <x:c r="B48" s="7" t="str">
        <x:v>Movie Night — chaîne de préparation</x:v>
      </x:c>
      <x:c r="C48" s="15" t="str">
        <x:v>Défini</x:v>
      </x:c>
      <x:c r="D48" s="17" t="str">
        <x:v>Établi</x:v>
      </x:c>
      <x:c r="E48" s="17" t="str">
        <x:v>P1</x:v>
      </x:c>
      <x:c r="F48" s="7" t="str">
        <x:v>Suite de missions sociales du Tempest.</x:v>
      </x:c>
      <x:c r="G48" s="7" t="str">
        <x:v>Six sous-étapes nommées : Getting Started, Snacks, Better Snacks, The Right Setup, Raise a Glass, The Final Piece ; objets et donneurs distincts, soirée ouverte après validation complète.</x:v>
      </x:c>
      <x:c r="H48" s="7" t="str">
        <x:v>Six sous-étapes nommées : Getting Started, Snacks, Better Snacks, The Right Setup, Raise a Glass, The Final Piece ; objets et donneurs distincts, soirée ouverte après validation complète.</x:v>
      </x:c>
      <x:c r="I48" s="7" t="str">
        <x:v>Écran, sièges, snacks et boissons.</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mea/side_quests/movie ; rattacher les ressources et états cités à cet identifiant. Aucun fichier de jeu créé par ce catalogue.</x:v>
      </x:c>
      <x:c r="M48" s="7" t="str"/>
      <x:c r="N48" s="7" t="str">
        <x:v>Le livrable « Movie Night — chaîne de préparation » possède une scène ou un scénario de contrôle ; ses règles proposées, ses conditions et ses retours visuels sont vérifiables séparément.</x:v>
      </x:c>
      <x:c r="O48" s="7" t="str"/>
      <x:c r="P48" s="7" t="str">
        <x:v>Movie Night — chaîne de préparation</x:v>
      </x:c>
      <x:c r="Q48" s="7" t="str">
        <x:v>MEA-SRC-MOVIE</x:v>
      </x:c>
      <x:c r="R48" s="7" t="str">
        <x:v>https://masseffect.fandom.com/wiki/Movie_Night</x:v>
      </x:c>
      <x:c r="S48" s="7" t="str">
        <x:v>Spécification à réaliser. Les champs adaptation, gameplay, visual, animation, audio et implementation décrivent le fan game ; ils ne donnent pas des caractéristiques officielles de l’œuvre.</x:v>
      </x:c>
    </x:row>
    <x:row r="49" ht="68" customHeight="1">
      <x:c r="A49" s="18" t="str">
        <x:v>MEA-SQ-EOS-KETT</x:v>
      </x:c>
      <x:c r="B49" s="9" t="str">
        <x:v>Defeating the Kett</x:v>
      </x:c>
      <x:c r="C49" s="15" t="str">
        <x:v>Défini</x:v>
      </x:c>
      <x:c r="D49" s="16" t="str">
        <x:v>Établi</x:v>
      </x:c>
      <x:c r="E49" s="16" t="str">
        <x:v>P1</x:v>
      </x:c>
      <x:c r="F49" s="9" t="str">
        <x:v>Opération d’Eos.</x:v>
      </x:c>
      <x:c r="G49" s="9" t="str">
        <x:v>Assaut d’installation avec désactivation de défenses et commandement ; garantir plusieurs angles pour sprites sur plateformes.</x:v>
      </x:c>
      <x:c r="H49" s="9" t="str">
        <x:v>Assaut d’installation avec désactivation de défenses et commandement ; garantir plusieurs angles pour sprites sur plateformes.</x:v>
      </x:c>
      <x:c r="I49" s="9" t="str">
        <x:v>Base kett dans falaises.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mea/side_quests/eos-kett ; rattacher les ressources et états cités à cet identifiant. Aucun fichier de jeu créé par ce catalogue.</x:v>
      </x:c>
      <x:c r="M49" s="9" t="str"/>
      <x:c r="N49" s="9" t="str">
        <x:v>Le livrable « Defeating the Kett » possède une scène ou un scénario de contrôle ; ses règles proposées, ses conditions et ses retours visuels sont vérifiables séparément.</x:v>
      </x:c>
      <x:c r="O49" s="9" t="str"/>
      <x:c r="P49" s="9" t="str">
        <x:v>Defeating the Kett</x:v>
      </x:c>
      <x:c r="Q49" s="9" t="str">
        <x:v>MEA-SRC-EOS-PAGE</x:v>
      </x:c>
      <x:c r="R49" s="9" t="str">
        <x:v>https://masseffect.fandom.com/wiki/Eos</x:v>
      </x:c>
      <x:c r="S49" s="9" t="str">
        <x:v>Spécification à réaliser. Les champs adaptation, gameplay, visual, animation, audio et implementation décrivent le fan game ; ils ne donnent pas des caractéristiques officielles de l’œuvre.</x:v>
      </x:c>
    </x:row>
    <x:row r="50" ht="68" customHeight="1">
      <x:c r="A50" s="19" t="str">
        <x:v>MEA-SQ-EOS-IMPRESSION</x:v>
      </x:c>
      <x:c r="B50" s="7" t="str">
        <x:v>Making an Impression</x:v>
      </x:c>
      <x:c r="C50" s="15" t="str">
        <x:v>Défini</x:v>
      </x:c>
      <x:c r="D50" s="17" t="str">
        <x:v>Établi</x:v>
      </x:c>
      <x:c r="E50" s="17" t="str">
        <x:v>P1</x:v>
      </x:c>
      <x:c r="F50" s="7" t="str">
        <x:v>Mission de retour à Eos.</x:v>
      </x:c>
      <x:c r="G50" s="7" t="str">
        <x:v>Équipements scientifiques et rencontre d’Architecte ; choix locaux et combat géant ont états séparés.</x:v>
      </x:c>
      <x:c r="H50" s="7" t="str">
        <x:v>Équipements scientifiques et rencontre d’Architecte ; choix locaux et combat géant ont états séparés.</x:v>
      </x:c>
      <x:c r="I50" s="7" t="str">
        <x:v>Sondes sismiques et désert.</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mea/side_quests/eos-impression ; rattacher les ressources et états cités à cet identifiant. Aucun fichier de jeu créé par ce catalogue.</x:v>
      </x:c>
      <x:c r="M50" s="7" t="str"/>
      <x:c r="N50" s="7" t="str">
        <x:v>Le livrable « Making an Impression » possède une scène ou un scénario de contrôle ; ses règles proposées, ses conditions et ses retours visuels sont vérifiables séparément.</x:v>
      </x:c>
      <x:c r="O50" s="7" t="str"/>
      <x:c r="P50" s="7" t="str">
        <x:v>Making an Impression</x:v>
      </x:c>
      <x:c r="Q50" s="7" t="str">
        <x:v>MEA-SRC-EOS-PAGE</x:v>
      </x:c>
      <x:c r="R50" s="7" t="str">
        <x:v>https://masseffect.fandom.com/wiki/Eos</x:v>
      </x:c>
      <x:c r="S50" s="7" t="str">
        <x:v>Spécification à réaliser. Les champs adaptation, gameplay, visual, animation, audio et implementation décrivent le fan game ; ils ne donnent pas des caractéristiques officielles de l’œuvre.</x:v>
      </x:c>
    </x:row>
    <x:row r="51" ht="68" customHeight="1">
      <x:c r="A51" s="18" t="str">
        <x:v>MEA-SQ-EOS-BANE</x:v>
      </x:c>
      <x:c r="B51" s="9" t="str">
        <x:v>Kett’s Bane</x:v>
      </x:c>
      <x:c r="C51" s="15" t="str">
        <x:v>Défini</x:v>
      </x:c>
      <x:c r="D51" s="16" t="str">
        <x:v>Établi</x:v>
      </x:c>
      <x:c r="E51" s="16" t="str">
        <x:v>P1</x:v>
      </x:c>
      <x:c r="F51" s="9" t="str">
        <x:v>Mission d’Eos.</x:v>
      </x:c>
      <x:c r="G51" s="9" t="str">
        <x:v>Contact et infiltration ciblée ; l’information de route ne supprime pas tout combat sans règle annoncée.</x:v>
      </x:c>
      <x:c r="H51" s="9" t="str">
        <x:v>Contact et infiltration ciblée ; l’information de route ne supprime pas tout combat sans règle annoncée.</x:v>
      </x:c>
      <x:c r="I51" s="9" t="str">
        <x:v>Camp et entrée de base.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mea/side_quests/eos-bane ; rattacher les ressources et états cités à cet identifiant. Aucun fichier de jeu créé par ce catalogue.</x:v>
      </x:c>
      <x:c r="M51" s="9" t="str"/>
      <x:c r="N51" s="9" t="str">
        <x:v>Le livrable « Kett’s Bane » possède une scène ou un scénario de contrôle ; ses règles proposées, ses conditions et ses retours visuels sont vérifiables séparément.</x:v>
      </x:c>
      <x:c r="O51" s="9" t="str"/>
      <x:c r="P51" s="9" t="str">
        <x:v>Kett’s Bane</x:v>
      </x:c>
      <x:c r="Q51" s="9" t="str">
        <x:v>MEA-SRC-EOS-PAGE</x:v>
      </x:c>
      <x:c r="R51" s="9" t="str">
        <x:v>https://masseffect.fandom.com/wiki/Eos</x:v>
      </x:c>
      <x:c r="S51" s="9" t="str">
        <x:v>Spécification à réaliser. Les champs adaptation, gameplay, visual, animation, audio et implementation décrivent le fan game ; ils ne donnent pas des caractéristiques officielles de l’œuvre.</x:v>
      </x:c>
    </x:row>
    <x:row r="52" ht="68" customHeight="1">
      <x:c r="A52" s="19" t="str">
        <x:v>MEA-SQ-EOS-SHOCK</x:v>
      </x:c>
      <x:c r="B52" s="7" t="str">
        <x:v>Shock Treatment</x:v>
      </x:c>
      <x:c r="C52" s="15" t="str">
        <x:v>Défini</x:v>
      </x:c>
      <x:c r="D52" s="17" t="str">
        <x:v>Établi</x:v>
      </x:c>
      <x:c r="E52" s="17" t="str">
        <x:v>P1</x:v>
      </x:c>
      <x:c r="F52" s="7" t="str">
        <x:v>Mission d’Eos.</x:v>
      </x:c>
      <x:c r="G52" s="7" t="str">
        <x:v>Enquête de blessure et matériel ; scanner fournit indices lisibles, conclusion rattachée au bon dossier.</x:v>
      </x:c>
      <x:c r="H52" s="7" t="str">
        <x:v>Enquête de blessure et matériel ; scanner fournit indices lisibles, conclusion rattachée au bon dossier.</x:v>
      </x:c>
      <x:c r="I52" s="7" t="str">
        <x:v>Infirmerie d’avant-poste et installations électriques.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mea/side_quests/eos-shock ; rattacher les ressources et états cités à cet identifiant. Aucun fichier de jeu créé par ce catalogue.</x:v>
      </x:c>
      <x:c r="M52" s="7" t="str"/>
      <x:c r="N52" s="7" t="str">
        <x:v>Le livrable « Shock Treatment » possède une scène ou un scénario de contrôle ; ses règles proposées, ses conditions et ses retours visuels sont vérifiables séparément.</x:v>
      </x:c>
      <x:c r="O52" s="7" t="str"/>
      <x:c r="P52" s="7" t="str">
        <x:v>Shock Treatment</x:v>
      </x:c>
      <x:c r="Q52" s="7" t="str">
        <x:v>MEA-SRC-EOS-PAGE</x:v>
      </x:c>
      <x:c r="R52" s="7" t="str">
        <x:v>https://masseffect.fandom.com/wiki/Eos</x:v>
      </x:c>
      <x:c r="S52" s="7" t="str">
        <x:v>Spécification à réaliser. Les champs adaptation, gameplay, visual, animation, audio et implementation décrivent le fan game ; ils ne donnent pas des caractéristiques officielles de l’œuvre.</x:v>
      </x:c>
    </x:row>
    <x:row r="53" ht="68" customHeight="1">
      <x:c r="A53" s="18" t="str">
        <x:v>MEA-SQ-EOS-SECRET</x:v>
      </x:c>
      <x:c r="B53" s="9" t="str">
        <x:v>The Secret Project</x:v>
      </x:c>
      <x:c r="C53" s="15" t="str">
        <x:v>Défini</x:v>
      </x:c>
      <x:c r="D53" s="16" t="str">
        <x:v>Établi</x:v>
      </x:c>
      <x:c r="E53" s="16" t="str">
        <x:v>P1</x:v>
      </x:c>
      <x:c r="F53" s="9" t="str">
        <x:v>Mission d’Eos.</x:v>
      </x:c>
      <x:c r="G53" s="9" t="str">
        <x:v>Explorer le site et sécuriser le prototype ; secret ne devient pas arme universelle du groupe sans déblocage documenté.</x:v>
      </x:c>
      <x:c r="H53" s="9" t="str">
        <x:v>Explorer le site et sécuriser le prototype ; secret ne devient pas arme universelle du groupe sans déblocage documenté.</x:v>
      </x:c>
      <x:c r="I53" s="9" t="str">
        <x:v>Site de recherche abandonné.</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mea/side_quests/eos-secret ; rattacher les ressources et états cités à cet identifiant. Aucun fichier de jeu créé par ce catalogue.</x:v>
      </x:c>
      <x:c r="M53" s="9" t="str"/>
      <x:c r="N53" s="9" t="str">
        <x:v>Le livrable « The Secret Project » possède une scène ou un scénario de contrôle ; ses règles proposées, ses conditions et ses retours visuels sont vérifiables séparément.</x:v>
      </x:c>
      <x:c r="O53" s="9" t="str"/>
      <x:c r="P53" s="9" t="str">
        <x:v>The Secret Project</x:v>
      </x:c>
      <x:c r="Q53" s="9" t="str">
        <x:v>MEA-SRC-EOS-PAGE</x:v>
      </x:c>
      <x:c r="R53" s="9" t="str">
        <x:v>https://masseffect.fandom.com/wiki/Eos</x:v>
      </x:c>
      <x:c r="S53" s="9" t="str">
        <x:v>Spécification à réaliser. Les champs adaptation, gameplay, visual, animation, audio et implementation décrivent le fan game ; ils ne donnent pas des caractéristiques officielles de l’œuvre.</x:v>
      </x:c>
    </x:row>
    <x:row r="54" ht="68" customHeight="1">
      <x:c r="A54" s="19" t="str">
        <x:v>MEA-SQ-EOS-DANNY</x:v>
      </x:c>
      <x:c r="B54" s="7" t="str">
        <x:v>A Job for Danny Messier</x:v>
      </x:c>
      <x:c r="C54" s="15" t="str">
        <x:v>Défini</x:v>
      </x:c>
      <x:c r="D54" s="17" t="str">
        <x:v>Établi</x:v>
      </x:c>
      <x:c r="E54" s="17" t="str">
        <x:v>P1</x:v>
      </x:c>
      <x:c r="F54" s="7" t="str">
        <x:v>Mission d’Eos.</x:v>
      </x:c>
      <x:c r="G54" s="7" t="str">
        <x:v>Demande locale avec objet et retour ciblés ; signal de remise distinct du voyage de recherche.</x:v>
      </x:c>
      <x:c r="H54" s="7" t="str">
        <x:v>Demande locale avec objet et retour ciblés ; signal de remise distinct du voyage de recherche.</x:v>
      </x:c>
      <x:c r="I54" s="7" t="str">
        <x:v>Avant-poste et carte locale.</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mea/side_quests/eos-danny ; rattacher les ressources et états cités à cet identifiant. Aucun fichier de jeu créé par ce catalogue.</x:v>
      </x:c>
      <x:c r="M54" s="7" t="str"/>
      <x:c r="N54" s="7" t="str">
        <x:v>Le livrable « A Job for Danny Messier » possède une scène ou un scénario de contrôle ; ses règles proposées, ses conditions et ses retours visuels sont vérifiables séparément.</x:v>
      </x:c>
      <x:c r="O54" s="7" t="str"/>
      <x:c r="P54" s="7" t="str">
        <x:v>A Job for Danny Messier</x:v>
      </x:c>
      <x:c r="Q54" s="7" t="str">
        <x:v>MEA-SRC-EOS-PAGE</x:v>
      </x:c>
      <x:c r="R54" s="7" t="str">
        <x:v>https://masseffect.fandom.com/wiki/Eos</x:v>
      </x:c>
      <x:c r="S54" s="7" t="str">
        <x:v>Spécification à réaliser. Les champs adaptation, gameplay, visual, animation, audio et implementation décrivent le fan game ; ils ne donnent pas des caractéristiques officielles de l’œuvre.</x:v>
      </x:c>
    </x:row>
    <x:row r="55" ht="68" customHeight="1">
      <x:c r="A55" s="18" t="str">
        <x:v>MEA-SQ-EOS-ADDUP</x:v>
      </x:c>
      <x:c r="B55" s="9" t="str">
        <x:v>Doesn’t Add Up</x:v>
      </x:c>
      <x:c r="C55" s="15" t="str">
        <x:v>Défini</x:v>
      </x:c>
      <x:c r="D55" s="16" t="str">
        <x:v>Établi</x:v>
      </x:c>
      <x:c r="E55" s="16" t="str">
        <x:v>P1</x:v>
      </x:c>
      <x:c r="F55" s="9" t="str">
        <x:v>Mission d’Eos.</x:v>
      </x:c>
      <x:c r="G55" s="9" t="str">
        <x:v>Analyser anomalie via plusieurs éléments ; validation de scan atomique sans doublon de preuve.</x:v>
      </x:c>
      <x:c r="H55" s="9" t="str">
        <x:v>Analyser anomalie via plusieurs éléments ; validation de scan atomique sans doublon de preuve.</x:v>
      </x:c>
      <x:c r="I55" s="9" t="str">
        <x:v>Terminal et relevés scientifiques.</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mea/side_quests/eos-addup ; rattacher les ressources et états cités à cet identifiant. Aucun fichier de jeu créé par ce catalogue.</x:v>
      </x:c>
      <x:c r="M55" s="9" t="str"/>
      <x:c r="N55" s="9" t="str">
        <x:v>Le livrable « Doesn’t Add Up » possède une scène ou un scénario de contrôle ; ses règles proposées, ses conditions et ses retours visuels sont vérifiables séparément.</x:v>
      </x:c>
      <x:c r="O55" s="9" t="str"/>
      <x:c r="P55" s="9" t="str">
        <x:v>Doesn’t Add Up</x:v>
      </x:c>
      <x:c r="Q55" s="9" t="str">
        <x:v>MEA-SRC-EOS-PAGE</x:v>
      </x:c>
      <x:c r="R55" s="9" t="str">
        <x:v>https://masseffect.fandom.com/wiki/Eos</x:v>
      </x:c>
      <x:c r="S55" s="9" t="str">
        <x:v>Spécification à réaliser. Les champs adaptation, gameplay, visual, animation, audio et implementation décrivent le fan game ; ils ne donnent pas des caractéristiques officielles de l’œuvre.</x:v>
      </x:c>
    </x:row>
    <x:row r="56" ht="68" customHeight="1">
      <x:c r="A56" s="19" t="str">
        <x:v>MEA-SQ-EOS-PERSONNEL</x:v>
      </x:c>
      <x:c r="B56" s="7" t="str">
        <x:v>Something Personnel</x:v>
      </x:c>
      <x:c r="C56" s="15" t="str">
        <x:v>Défini</x:v>
      </x:c>
      <x:c r="D56" s="17" t="str">
        <x:v>Établi</x:v>
      </x:c>
      <x:c r="E56" s="17" t="str">
        <x:v>P1</x:v>
      </x:c>
      <x:c r="F56" s="7" t="str">
        <x:v>Mission d’Eos.</x:v>
      </x:c>
      <x:c r="G56" s="7" t="str">
        <x:v>Suivi de personnel par identifiants et messages ; objet de quête jamais vendu comme butin ordinaire.</x:v>
      </x:c>
      <x:c r="H56" s="7" t="str">
        <x:v>Suivi de personnel par identifiants et messages ; objet de quête jamais vendu comme butin ordinaire.</x:v>
      </x:c>
      <x:c r="I56" s="7" t="str">
        <x:v>Poste de colonie et dossier.</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mea/side_quests/eos-personnel ; rattacher les ressources et états cités à cet identifiant. Aucun fichier de jeu créé par ce catalogue.</x:v>
      </x:c>
      <x:c r="M56" s="7" t="str"/>
      <x:c r="N56" s="7" t="str">
        <x:v>Le livrable « Something Personnel » possède une scène ou un scénario de contrôle ; ses règles proposées, ses conditions et ses retours visuels sont vérifiables séparément.</x:v>
      </x:c>
      <x:c r="O56" s="7" t="str"/>
      <x:c r="P56" s="7" t="str">
        <x:v>Something Personnel</x:v>
      </x:c>
      <x:c r="Q56" s="7" t="str">
        <x:v>MEA-SRC-EOS-PAGE</x:v>
      </x:c>
      <x:c r="R56" s="7" t="str">
        <x:v>https://masseffect.fandom.com/wiki/Eos</x:v>
      </x:c>
      <x:c r="S56" s="7" t="str">
        <x:v>Spécification à réaliser. Les champs adaptation, gameplay, visual, animation, audio et implementation décrivent le fan game ; ils ne donnent pas des caractéristiques officielles de l’œuvre.</x:v>
      </x:c>
    </x:row>
    <x:row r="57" ht="68" customHeight="1">
      <x:c r="A57" s="18" t="str">
        <x:v>MEA-SQ-HAVARL-DYING</x:v>
      </x:c>
      <x:c r="B57" s="9" t="str">
        <x:v>A Dying Planet</x:v>
      </x:c>
      <x:c r="C57" s="15" t="str">
        <x:v>Défini</x:v>
      </x:c>
      <x:c r="D57" s="16" t="str">
        <x:v>Établi</x:v>
      </x:c>
      <x:c r="E57" s="16" t="str">
        <x:v>P1</x:v>
      </x:c>
      <x:c r="F57" s="9" t="str">
        <x:v>Arc de restauration de Havarl.</x:v>
      </x:c>
      <x:c r="G57" s="9" t="str">
        <x:v>Recherche de savoir, trajet de Mithrava, guide puis caveau ; restauration change écologie visuelle et accès de façon contrôlée.</x:v>
      </x:c>
      <x:c r="H57" s="9" t="str">
        <x:v>Recherche de savoir, trajet de Mithrava, guide puis caveau ; restauration change écologie visuelle et accès de façon contrôlée.</x:v>
      </x:c>
      <x:c r="I57" s="9" t="str">
        <x:v>Jungle envahie et ruines anciennes.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mea/side_quests/havarl-dying ; rattacher les ressources et états cités à cet identifiant. Aucun fichier de jeu créé par ce catalogue.</x:v>
      </x:c>
      <x:c r="M57" s="9" t="str"/>
      <x:c r="N57" s="9" t="str">
        <x:v>Le livrable « A Dying Planet » possède une scène ou un scénario de contrôle ; ses règles proposées, ses conditions et ses retours visuels sont vérifiables séparément.</x:v>
      </x:c>
      <x:c r="O57" s="9" t="str"/>
      <x:c r="P57" s="9" t="str">
        <x:v>A Dying Planet</x:v>
      </x:c>
      <x:c r="Q57" s="9" t="str">
        <x:v>MEA-SRC-HAVARL-PAGE</x:v>
      </x:c>
      <x:c r="R57" s="9" t="str">
        <x:v>https://masseffect.fandom.com/wiki/Havarl</x:v>
      </x:c>
      <x:c r="S57" s="9" t="str">
        <x:v>Spécification à réaliser. Les champs adaptation, gameplay, visual, animation, audio et implementation décrivent le fan game ; ils ne donnent pas des caractéristiques officielles de l’œuvre.</x:v>
      </x:c>
    </x:row>
    <x:row r="58" ht="68" customHeight="1">
      <x:c r="A58" s="19" t="str">
        <x:v>MEA-SQ-HAVARL-SISTER</x:v>
      </x:c>
      <x:c r="B58" s="7" t="str">
        <x:v>A Lost Sister</x:v>
      </x:c>
      <x:c r="C58" s="15" t="str">
        <x:v>Défini</x:v>
      </x:c>
      <x:c r="D58" s="17" t="str">
        <x:v>Établi</x:v>
      </x:c>
      <x:c r="E58" s="17" t="str">
        <x:v>P1</x:v>
      </x:c>
      <x:c r="F58" s="7" t="str">
        <x:v>Mission de Havarl.</x:v>
      </x:c>
      <x:c r="G58" s="7" t="str">
        <x:v>Recherche familiale et information de départ ; résultat présenté comme personne retrouvée/information obtenue, pas seulement objet livré.</x:v>
      </x:c>
      <x:c r="H58" s="7" t="str">
        <x:v>Recherche familiale et information de départ ; résultat présenté comme personne retrouvée/information obtenue, pas seulement objet livré.</x:v>
      </x:c>
      <x:c r="I58" s="7" t="str">
        <x:v>Sanctuaire et zone de jungle.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mea/side_quests/havarl-sister ; rattacher les ressources et états cités à cet identifiant. Aucun fichier de jeu créé par ce catalogue.</x:v>
      </x:c>
      <x:c r="M58" s="7" t="str"/>
      <x:c r="N58" s="7" t="str">
        <x:v>Le livrable « A Lost Sister » possède une scène ou un scénario de contrôle ; ses règles proposées, ses conditions et ses retours visuels sont vérifiables séparément.</x:v>
      </x:c>
      <x:c r="O58" s="7" t="str"/>
      <x:c r="P58" s="7" t="str">
        <x:v>A Lost Sister</x:v>
      </x:c>
      <x:c r="Q58" s="7" t="str">
        <x:v>MEA-SRC-HAVARL-PAGE</x:v>
      </x:c>
      <x:c r="R58" s="7" t="str">
        <x:v>https://masseffect.fandom.com/wiki/Havarl</x:v>
      </x:c>
      <x:c r="S58" s="7" t="str">
        <x:v>Spécification à réaliser. Les champs adaptation, gameplay, visual, animation, audio et implementation décrivent le fan game ; ils ne donnent pas des caractéristiques officielles de l’œuvre.</x:v>
      </x:c>
    </x:row>
    <x:row r="59" ht="68" customHeight="1">
      <x:c r="A59" s="18" t="str">
        <x:v>MEA-SQ-HAVARL-ALLIANCES</x:v>
      </x:c>
      <x:c r="B59" s="9" t="str">
        <x:v>Cross-Cultural Alliances</x:v>
      </x:c>
      <x:c r="C59" s="15" t="str">
        <x:v>Défini</x:v>
      </x:c>
      <x:c r="D59" s="16" t="str">
        <x:v>Établi</x:v>
      </x:c>
      <x:c r="E59" s="16" t="str">
        <x:v>P1</x:v>
      </x:c>
      <x:c r="F59" s="9" t="str">
        <x:v>Mission de Havarl.</x:v>
      </x:c>
      <x:c r="G59" s="9" t="str">
        <x:v>Collaboration entre chercheurs ; conditions d’accès après aide initiale et dialogue de confiance.</x:v>
      </x:c>
      <x:c r="H59" s="9" t="str">
        <x:v>Collaboration entre chercheurs ; conditions d’accès après aide initiale et dialogue de confiance.</x:v>
      </x:c>
      <x:c r="I59" s="9" t="str">
        <x:v>Poste scientifique partagé.</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mea/side_quests/havarl-alliances ; rattacher les ressources et états cités à cet identifiant. Aucun fichier de jeu créé par ce catalogue.</x:v>
      </x:c>
      <x:c r="M59" s="9" t="str"/>
      <x:c r="N59" s="9" t="str">
        <x:v>Le livrable « Cross-Cultural Alliances » possède une scène ou un scénario de contrôle ; ses règles proposées, ses conditions et ses retours visuels sont vérifiables séparément.</x:v>
      </x:c>
      <x:c r="O59" s="9" t="str"/>
      <x:c r="P59" s="9" t="str">
        <x:v>Cross-Cultural Alliances</x:v>
      </x:c>
      <x:c r="Q59" s="9" t="str">
        <x:v>MEA-SRC-HAVARL-PAGE</x:v>
      </x:c>
      <x:c r="R59" s="9" t="str">
        <x:v>https://masseffect.fandom.com/wiki/Havarl</x:v>
      </x:c>
      <x:c r="S59" s="9" t="str">
        <x:v>Spécification à réaliser. Les champs adaptation, gameplay, visual, animation, audio et implementation décrivent le fan game ; ils ne donnent pas des caractéristiques officielles de l’œuvre.</x:v>
      </x:c>
    </x:row>
    <x:row r="60" ht="68" customHeight="1">
      <x:c r="A60" s="19" t="str">
        <x:v>MEA-SQ-HAVARL-STARS</x:v>
      </x:c>
      <x:c r="B60" s="7" t="str">
        <x:v>Forgotten Stars</x:v>
      </x:c>
      <x:c r="C60" s="15" t="str">
        <x:v>Défini</x:v>
      </x:c>
      <x:c r="D60" s="17" t="str">
        <x:v>Établi</x:v>
      </x:c>
      <x:c r="E60" s="17" t="str">
        <x:v>P1</x:v>
      </x:c>
      <x:c r="F60" s="7" t="str">
        <x:v>Mission de Havarl.</x:v>
      </x:c>
      <x:c r="G60" s="7" t="str">
        <x:v>Exploration de mémoire et observation ; éléments scannables gardent titre scientifique propre.</x:v>
      </x:c>
      <x:c r="H60" s="7" t="str">
        <x:v>Exploration de mémoire et observation ; éléments scannables gardent titre scientifique propre.</x:v>
      </x:c>
      <x:c r="I60" s="7" t="str">
        <x:v>Données anciennes et ciel.</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mea/side_quests/havarl-stars ; rattacher les ressources et états cités à cet identifiant. Aucun fichier de jeu créé par ce catalogue.</x:v>
      </x:c>
      <x:c r="M60" s="7" t="str"/>
      <x:c r="N60" s="7" t="str">
        <x:v>Le livrable « Forgotten Stars » possède une scène ou un scénario de contrôle ; ses règles proposées, ses conditions et ses retours visuels sont vérifiables séparément.</x:v>
      </x:c>
      <x:c r="O60" s="7" t="str"/>
      <x:c r="P60" s="7" t="str">
        <x:v>Forgotten Stars</x:v>
      </x:c>
      <x:c r="Q60" s="7" t="str">
        <x:v>MEA-SRC-HAVARL-PAGE</x:v>
      </x:c>
      <x:c r="R60" s="7" t="str">
        <x:v>https://masseffect.fandom.com/wiki/Havarl</x:v>
      </x:c>
      <x:c r="S60" s="7" t="str">
        <x:v>Spécification à réaliser. Les champs adaptation, gameplay, visual, animation, audio et implementation décrivent le fan game ; ils ne donnent pas des caractéristiques officielles de l’œuvre.</x:v>
      </x:c>
    </x:row>
    <x:row r="61" ht="68" customHeight="1">
      <x:c r="A61" s="18" t="str">
        <x:v>MEA-SQ-HAVARL-OVERGROWN</x:v>
      </x:c>
      <x:c r="B61" s="9" t="str">
        <x:v>Overgrown</x:v>
      </x:c>
      <x:c r="C61" s="15" t="str">
        <x:v>Défini</x:v>
      </x:c>
      <x:c r="D61" s="16" t="str">
        <x:v>Établi</x:v>
      </x:c>
      <x:c r="E61" s="16" t="str">
        <x:v>P1</x:v>
      </x:c>
      <x:c r="F61" s="9" t="str">
        <x:v>Mission de Havarl.</x:v>
      </x:c>
      <x:c r="G61" s="9" t="str">
        <x:v>Analyser les marqueurs génétiques puis rechercher la faune mutée ; les trois pistes de créatures restent distinctes et chaque analyse est relisible dans le scanner.</x:v>
      </x:c>
      <x:c r="H61" s="9" t="str">
        <x:v>Analyser les marqueurs génétiques puis rechercher la faune mutée ; les trois pistes de créatures restent distinctes et chaque analyse est relisible dans le scanner.</x:v>
      </x:c>
      <x:c r="I61" s="9" t="str">
        <x:v>Archives génétiques, indices de tanières et créatures marquées.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mea/side_quests/havarl-overgrown ; rattacher les ressources et états cités à cet identifiant. Aucun fichier de jeu créé par ce catalogue.</x:v>
      </x:c>
      <x:c r="M61" s="9" t="str"/>
      <x:c r="N61" s="9" t="str">
        <x:v>Le livrable « Overgrown » possède une scène ou un scénario de contrôle ; ses règles proposées, ses conditions et ses retours visuels sont vérifiables séparément.</x:v>
      </x:c>
      <x:c r="O61" s="9" t="str"/>
      <x:c r="P61" s="9" t="str">
        <x:v>Overgrown</x:v>
      </x:c>
      <x:c r="Q61" s="9" t="str">
        <x:v>MEA-SRC-OVERGROWN</x:v>
      </x:c>
      <x:c r="R61" s="9" t="str">
        <x:v>https://masseffect.fandom.com/wiki/Overgrown</x:v>
      </x:c>
      <x:c r="S61" s="9" t="str">
        <x:v>Spécification à réaliser. Les champs adaptation, gameplay, visual, animation, audio et implementation décrivent le fan game ; ils ne donnent pas des caractéristiques officielles de l’œuvre.</x:v>
      </x:c>
    </x:row>
    <x:row r="62" ht="68" customHeight="1">
      <x:c r="A62" s="19" t="str">
        <x:v>MEA-SQ-VOELD-RESTORE</x:v>
      </x:c>
      <x:c r="B62" s="7" t="str">
        <x:v>Restoring a World</x:v>
      </x:c>
      <x:c r="C62" s="15" t="str">
        <x:v>Défini</x:v>
      </x:c>
      <x:c r="D62" s="17" t="str">
        <x:v>Établi</x:v>
      </x:c>
      <x:c r="E62" s="17" t="str">
        <x:v>P1</x:v>
      </x:c>
      <x:c r="F62" s="7" t="str">
        <x:v>Arc du caveau de Voeld.</x:v>
      </x:c>
      <x:c r="G62" s="7" t="str">
        <x:v>Monolithes, puzzle et course de purification ; distinguer amélioration du climat et disparition totale du froid non promise.</x:v>
      </x:c>
      <x:c r="H62" s="7" t="str">
        <x:v>Monolithes, puzzle et course de purification ; distinguer amélioration du climat et disparition totale du froid non promise.</x:v>
      </x:c>
      <x:c r="I62" s="7" t="str">
        <x:v>Glace et architecture reliquate.</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mea/side_quests/voeld-restore ; rattacher les ressources et états cités à cet identifiant. Aucun fichier de jeu créé par ce catalogue.</x:v>
      </x:c>
      <x:c r="M62" s="7" t="str"/>
      <x:c r="N62" s="7" t="str">
        <x:v>Le livrable « Restoring a World » possède une scène ou un scénario de contrôle ; ses règles proposées, ses conditions et ses retours visuels sont vérifiables séparément.</x:v>
      </x:c>
      <x:c r="O62" s="7" t="str"/>
      <x:c r="P62" s="7" t="str">
        <x:v>Restoring a World</x:v>
      </x:c>
      <x:c r="Q62" s="7" t="str">
        <x:v>MEA-SRC-VOELD-PAGE, MEA-SRC-HAZARD</x:v>
      </x:c>
      <x:c r="R62" s="7" t="str">
        <x:v>https://masseffect.fandom.com/wiki/Voeld
https://masseffect.fandom.com/wiki/Hazard</x:v>
      </x:c>
      <x:c r="S62" s="7" t="str">
        <x:v>Spécification à réaliser. Les champs adaptation, gameplay, visual, animation, audio et implementation décrivent le fan game ; ils ne donnent pas des caractéristiques officielles de l’œuvre.</x:v>
      </x:c>
    </x:row>
    <x:row r="63" ht="68" customHeight="1">
      <x:c r="A63" s="18" t="str">
        <x:v>MEA-SQ-VOELD-SETTLE</x:v>
      </x:c>
      <x:c r="B63" s="9" t="str">
        <x:v>Settling Voeld</x:v>
      </x:c>
      <x:c r="C63" s="15" t="str">
        <x:v>Défini</x:v>
      </x:c>
      <x:c r="D63" s="16" t="str">
        <x:v>Établi</x:v>
      </x:c>
      <x:c r="E63" s="16" t="str">
        <x:v>P1</x:v>
      </x:c>
      <x:c r="F63" s="9" t="str">
        <x:v>Fondation d’avant-poste.</x:v>
      </x:c>
      <x:c r="G63" s="9" t="str">
        <x:v>Liste de prérequis locaux visibles, validation avec site et ressources ; colonie n’apparaît qu’après décision.</x:v>
      </x:c>
      <x:c r="H63" s="9" t="str">
        <x:v>Liste de prérequis locaux visibles, validation avec site et ressources ; colonie n’apparaît qu’après décision.</x:v>
      </x:c>
      <x:c r="I63" s="9" t="str">
        <x:v>Habitat polaire et balise.</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mea/side_quests/voeld-settle ; rattacher les ressources et états cités à cet identifiant. Aucun fichier de jeu créé par ce catalogue.</x:v>
      </x:c>
      <x:c r="M63" s="9" t="str"/>
      <x:c r="N63" s="9" t="str">
        <x:v>Le livrable « Settling Voeld » possède une scène ou un scénario de contrôle ; ses règles proposées, ses conditions et ses retours visuels sont vérifiables séparément.</x:v>
      </x:c>
      <x:c r="O63" s="9" t="str"/>
      <x:c r="P63" s="9" t="str">
        <x:v>Settling Voeld</x:v>
      </x:c>
      <x:c r="Q63" s="9" t="str">
        <x:v>MEA-SRC-VOELD-PAGE</x:v>
      </x:c>
      <x:c r="R63" s="9" t="str">
        <x:v>https://masseffect.fandom.com/wiki/Voeld</x:v>
      </x:c>
      <x:c r="S63" s="9" t="str">
        <x:v>Spécification à réaliser. Les champs adaptation, gameplay, visual, animation, audio et implementation décrivent le fan game ; ils ne donnent pas des caractéristiques officielles de l’œuvre.</x:v>
      </x:c>
    </x:row>
    <x:row r="64" ht="68" customHeight="1">
      <x:c r="A64" s="19" t="str">
        <x:v>MEA-SQ-VOELD-HEART</x:v>
      </x:c>
      <x:c r="B64" s="7" t="str">
        <x:v>Remove the Heart</x:v>
      </x:c>
      <x:c r="C64" s="15" t="str">
        <x:v>Défini</x:v>
      </x:c>
      <x:c r="D64" s="17" t="str">
        <x:v>Établi</x:v>
      </x:c>
      <x:c r="E64" s="17" t="str">
        <x:v>P1</x:v>
      </x:c>
      <x:c r="F64" s="7" t="str">
        <x:v>Assaut d’installation kett.</x:v>
      </x:c>
      <x:c r="G64" s="7" t="str">
        <x:v>Approche, brèches et neutralisation du commandement ; libération n’efface pas tout ennemi aléatoire du monde par hypothèse.</x:v>
      </x:c>
      <x:c r="H64" s="7" t="str">
        <x:v>Approche, brèches et neutralisation du commandement ; libération n’efface pas tout ennemi aléatoire du monde par hypothèse.</x:v>
      </x:c>
      <x:c r="I64" s="7" t="str">
        <x:v>Base fortifiée sous neige.</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mea/side_quests/voeld-heart ; rattacher les ressources et états cités à cet identifiant. Aucun fichier de jeu créé par ce catalogue.</x:v>
      </x:c>
      <x:c r="M64" s="7" t="str"/>
      <x:c r="N64" s="7" t="str">
        <x:v>Le livrable « Remove the Heart » possède une scène ou un scénario de contrôle ; ses règles proposées, ses conditions et ses retours visuels sont vérifiables séparément.</x:v>
      </x:c>
      <x:c r="O64" s="7" t="str"/>
      <x:c r="P64" s="7" t="str">
        <x:v>Remove the Heart</x:v>
      </x:c>
      <x:c r="Q64" s="7" t="str">
        <x:v>MEA-SRC-VOELD-PAGE</x:v>
      </x:c>
      <x:c r="R64" s="7" t="str">
        <x:v>https://masseffect.fandom.com/wiki/Voeld</x:v>
      </x:c>
      <x:c r="S64" s="7" t="str">
        <x:v>Spécification à réaliser. Les champs adaptation, gameplay, visual, animation, audio et implementation décrivent le fan game ; ils ne donnent pas des caractéristiques officielles de l’œuvre.</x:v>
      </x:c>
    </x:row>
    <x:row r="65" ht="68" customHeight="1">
      <x:c r="A65" s="18" t="str">
        <x:v>MEA-SQ-VOELD-PAST</x:v>
      </x:c>
      <x:c r="B65" s="9" t="str">
        <x:v>Uncovering the Past</x:v>
      </x:c>
      <x:c r="C65" s="15" t="str">
        <x:v>Défini</x:v>
      </x:c>
      <x:c r="D65" s="16" t="str">
        <x:v>Établi</x:v>
      </x:c>
      <x:c r="E65" s="16" t="str">
        <x:v>P1</x:v>
      </x:c>
      <x:c r="F65" s="9" t="str">
        <x:v>Mission de ruines sous la glace.</x:v>
      </x:c>
      <x:c r="G65" s="9" t="str">
        <x:v>Découverte d’IA et décision de conservation/remise ; implications connues exposées sans attribuer conséquences futures non écrites.</x:v>
      </x:c>
      <x:c r="H65" s="9" t="str">
        <x:v>Découverte d’IA et décision de conservation/remise ; implications connues exposées sans attribuer conséquences futures non écrites.</x:v>
      </x:c>
      <x:c r="I65" s="9" t="str">
        <x:v>Caverne glacée et terminal ancien.</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mea/side_quests/voeld-past ; rattacher les ressources et états cités à cet identifiant. Aucun fichier de jeu créé par ce catalogue.</x:v>
      </x:c>
      <x:c r="M65" s="9" t="str"/>
      <x:c r="N65" s="9" t="str">
        <x:v>Le livrable « Uncovering the Past » possède une scène ou un scénario de contrôle ; ses règles proposées, ses conditions et ses retours visuels sont vérifiables séparément.</x:v>
      </x:c>
      <x:c r="O65" s="9" t="str"/>
      <x:c r="P65" s="9" t="str">
        <x:v>Uncovering the Past</x:v>
      </x:c>
      <x:c r="Q65" s="9" t="str">
        <x:v>MEA-SRC-VOELD-PAGE</x:v>
      </x:c>
      <x:c r="R65" s="9" t="str">
        <x:v>https://masseffect.fandom.com/wiki/Voeld</x:v>
      </x:c>
      <x:c r="S65" s="9" t="str">
        <x:v>Spécification à réaliser. Les champs adaptation, gameplay, visual, animation, audio et implementation décrivent le fan game ; ils ne donnent pas des caractéristiques officielles de l’œuvre.</x:v>
      </x:c>
    </x:row>
    <x:row r="66" ht="68" customHeight="1">
      <x:c r="A66" s="19" t="str">
        <x:v>MEA-SQ-VOELD-SCOUT</x:v>
      </x:c>
      <x:c r="B66" s="7" t="str">
        <x:v>The Lost Scout</x:v>
      </x:c>
      <x:c r="C66" s="15" t="str">
        <x:v>Défini</x:v>
      </x:c>
      <x:c r="D66" s="17" t="str">
        <x:v>Établi</x:v>
      </x:c>
      <x:c r="E66" s="17" t="str">
        <x:v>P1</x:v>
      </x:c>
      <x:c r="F66" s="7" t="str">
        <x:v>Mission de secours angara.</x:v>
      </x:c>
      <x:c r="G66" s="7" t="str">
        <x:v>Repérage par signaux, approche du lieu puis résolution ; un cadavre ne peut pas être traité comme PNJ vivant par fallback.</x:v>
      </x:c>
      <x:c r="H66" s="7" t="str">
        <x:v>Repérage par signaux, approche du lieu puis résolution ; un cadavre ne peut pas être traité comme PNJ vivant par fallback.</x:v>
      </x:c>
      <x:c r="I66" s="7" t="str">
        <x:v>Abri enneigé et traces.</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mea/side_quests/voeld-scout ; rattacher les ressources et états cités à cet identifiant. Aucun fichier de jeu créé par ce catalogue.</x:v>
      </x:c>
      <x:c r="M66" s="7" t="str"/>
      <x:c r="N66" s="7" t="str">
        <x:v>Le livrable « The Lost Scout » possède une scène ou un scénario de contrôle ; ses règles proposées, ses conditions et ses retours visuels sont vérifiables séparément.</x:v>
      </x:c>
      <x:c r="O66" s="7" t="str"/>
      <x:c r="P66" s="7" t="str">
        <x:v>The Lost Scout</x:v>
      </x:c>
      <x:c r="Q66" s="7" t="str">
        <x:v>MEA-SRC-VOELD-PAGE</x:v>
      </x:c>
      <x:c r="R66" s="7" t="str">
        <x:v>https://masseffect.fandom.com/wiki/Voeld</x:v>
      </x:c>
      <x:c r="S66" s="7" t="str">
        <x:v>Spécification à réaliser. Les champs adaptation, gameplay, visual, animation, audio et implementation décrivent le fan game ; ils ne donnent pas des caractéristiques officielles de l’œuvre.</x:v>
      </x:c>
    </x:row>
    <x:row r="67" ht="68" customHeight="1">
      <x:c r="A67" s="18" t="str">
        <x:v>MEA-SQ-VOELD-SONG</x:v>
      </x:c>
      <x:c r="B67" s="9" t="str">
        <x:v>The Lost Song</x:v>
      </x:c>
      <x:c r="C67" s="15" t="str">
        <x:v>Défini</x:v>
      </x:c>
      <x:c r="D67" s="16" t="str">
        <x:v>Établi</x:v>
      </x:c>
      <x:c r="E67" s="16" t="str">
        <x:v>P1</x:v>
      </x:c>
      <x:c r="F67" s="9" t="str">
        <x:v>Mission de faune et culture.</x:v>
      </x:c>
      <x:c r="G67" s="9" t="str">
        <x:v>Recherche, scans et conflit de pratique ; cibles animales distinguées des adversaires d’objectif.</x:v>
      </x:c>
      <x:c r="H67" s="9" t="str">
        <x:v>Recherche, scans et conflit de pratique ; cibles animales distinguées des adversaires d’objectif.</x:v>
      </x:c>
      <x:c r="I67" s="9" t="str">
        <x:v>Faune polaire et piste de chasse.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mea/side_quests/voeld-song ; rattacher les ressources et états cités à cet identifiant. Aucun fichier de jeu créé par ce catalogue.</x:v>
      </x:c>
      <x:c r="M67" s="9" t="str"/>
      <x:c r="N67" s="9" t="str">
        <x:v>Le livrable « The Lost Song » possède une scène ou un scénario de contrôle ; ses règles proposées, ses conditions et ses retours visuels sont vérifiables séparément.</x:v>
      </x:c>
      <x:c r="O67" s="9" t="str"/>
      <x:c r="P67" s="9" t="str">
        <x:v>The Lost Song</x:v>
      </x:c>
      <x:c r="Q67" s="9" t="str">
        <x:v>MEA-SRC-VOELD-PAGE</x:v>
      </x:c>
      <x:c r="R67" s="9" t="str">
        <x:v>https://masseffect.fandom.com/wiki/Voeld</x:v>
      </x:c>
      <x:c r="S67" s="9" t="str">
        <x:v>Spécification à réaliser. Les champs adaptation, gameplay, visual, animation, audio et implementation décrivent le fan game ; ils ne donnent pas des caractéristiques officielles de l’œuvre.</x:v>
      </x:c>
    </x:row>
    <x:row r="68" ht="68" customHeight="1">
      <x:c r="A68" s="19" t="str">
        <x:v>MEA-SQ-VOELD-VANISHED</x:v>
      </x:c>
      <x:c r="B68" s="7" t="str">
        <x:v>The Vanished</x:v>
      </x:c>
      <x:c r="C68" s="15" t="str">
        <x:v>Défini</x:v>
      </x:c>
      <x:c r="D68" s="17" t="str">
        <x:v>Établi</x:v>
      </x:c>
      <x:c r="E68" s="17" t="str">
        <x:v>P1</x:v>
      </x:c>
      <x:c r="F68" s="7" t="str">
        <x:v>Mission de personnes disparues.</x:v>
      </x:c>
      <x:c r="G68" s="7" t="str">
        <x:v>Chaîne d’indices nommés et journal de victimes ; pas de génération aléatoire rendant la solution introuvable.</x:v>
      </x:c>
      <x:c r="H68" s="7" t="str">
        <x:v>Chaîne d’indices nommés et journal de victimes ; pas de génération aléatoire rendant la solution introuvable.</x:v>
      </x:c>
      <x:c r="I68" s="7" t="str">
        <x:v>Traces, camp et communications.</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mea/side_quests/voeld-vanished ; rattacher les ressources et états cités à cet identifiant. Aucun fichier de jeu créé par ce catalogue.</x:v>
      </x:c>
      <x:c r="M68" s="7" t="str"/>
      <x:c r="N68" s="7" t="str">
        <x:v>Le livrable « The Vanished » possède une scène ou un scénario de contrôle ; ses règles proposées, ses conditions et ses retours visuels sont vérifiables séparément.</x:v>
      </x:c>
      <x:c r="O68" s="7" t="str"/>
      <x:c r="P68" s="7" t="str">
        <x:v>The Vanished</x:v>
      </x:c>
      <x:c r="Q68" s="7" t="str">
        <x:v>MEA-SRC-VOELD-PAGE</x:v>
      </x:c>
      <x:c r="R68" s="7" t="str">
        <x:v>https://masseffect.fandom.com/wiki/Voeld</x:v>
      </x:c>
      <x:c r="S68" s="7" t="str">
        <x:v>Spécification à réaliser. Les champs adaptation, gameplay, visual, animation, audio et implementation décrivent le fan game ; ils ne donnent pas des caractéristiques officielles de l’œuvre.</x:v>
      </x:c>
    </x:row>
    <x:row r="69" ht="68" customHeight="1">
      <x:c r="A69" s="18" t="str">
        <x:v>MEA-SQ-VOELD-MEDICAL</x:v>
      </x:c>
      <x:c r="B69" s="9" t="str">
        <x:v>Medical Caches</x:v>
      </x:c>
      <x:c r="C69" s="15" t="str">
        <x:v>Défini</x:v>
      </x:c>
      <x:c r="D69" s="16" t="str">
        <x:v>Établi</x:v>
      </x:c>
      <x:c r="E69" s="16" t="str">
        <x:v>P1</x:v>
      </x:c>
      <x:c r="F69" s="9" t="str">
        <x:v>Mission de ravitaillement.</x:v>
      </x:c>
      <x:c r="G69" s="9" t="str">
        <x:v>Caches avec validation unique puis remise ; accès conditionnés au terrain et aux contrôles locaux.</x:v>
      </x:c>
      <x:c r="H69" s="9" t="str">
        <x:v>Caches avec validation unique puis remise ; accès conditionnés au terrain et aux contrôles locaux.</x:v>
      </x:c>
      <x:c r="I69" s="9" t="str">
        <x:v>Caisse médicale sous neige.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mea/side_quests/voeld-medical ; rattacher les ressources et états cités à cet identifiant. Aucun fichier de jeu créé par ce catalogue.</x:v>
      </x:c>
      <x:c r="M69" s="9" t="str"/>
      <x:c r="N69" s="9" t="str">
        <x:v>Le livrable « Medical Caches » possède une scène ou un scénario de contrôle ; ses règles proposées, ses conditions et ses retours visuels sont vérifiables séparément.</x:v>
      </x:c>
      <x:c r="O69" s="9" t="str"/>
      <x:c r="P69" s="9" t="str">
        <x:v>Medical Caches</x:v>
      </x:c>
      <x:c r="Q69" s="9" t="str">
        <x:v>MEA-SRC-VOELD-PAGE</x:v>
      </x:c>
      <x:c r="R69" s="9" t="str">
        <x:v>https://masseffect.fandom.com/wiki/Voeld</x:v>
      </x:c>
      <x:c r="S69" s="9" t="str">
        <x:v>Spécification à réaliser. Les champs adaptation, gameplay, visual, animation, audio et implementation décrivent le fan game ; ils ne donnent pas des caractéristiques officielles de l’œuvre.</x:v>
      </x:c>
    </x:row>
    <x:row r="70" ht="68" customHeight="1">
      <x:c r="A70" s="19" t="str">
        <x:v>MEA-SQ-VOELD-BRIDGE</x:v>
      </x:c>
      <x:c r="B70" s="7" t="str">
        <x:v>Bridge Sabotage</x:v>
      </x:c>
      <x:c r="C70" s="15" t="str">
        <x:v>Défini</x:v>
      </x:c>
      <x:c r="D70" s="17" t="str">
        <x:v>Établi</x:v>
      </x:c>
      <x:c r="E70" s="17" t="str">
        <x:v>P1</x:v>
      </x:c>
      <x:c r="F70" s="7" t="str">
        <x:v>Mission de sabotage.</x:v>
      </x:c>
      <x:c r="G70" s="7" t="str">
        <x:v>Approche et interaction sur infrastructure ; le pont ne coupe pas l’unique route de retour après explosion.</x:v>
      </x:c>
      <x:c r="H70" s="7" t="str">
        <x:v>Approche et interaction sur infrastructure ; le pont ne coupe pas l’unique route de retour après explosion.</x:v>
      </x:c>
      <x:c r="I70" s="7" t="str">
        <x:v>Pont et charges.</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mea/side_quests/voeld-bridge ; rattacher les ressources et états cités à cet identifiant. Aucun fichier de jeu créé par ce catalogue.</x:v>
      </x:c>
      <x:c r="M70" s="7" t="str"/>
      <x:c r="N70" s="7" t="str">
        <x:v>Le livrable « Bridge Sabotage » possède une scène ou un scénario de contrôle ; ses règles proposées, ses conditions et ses retours visuels sont vérifiables séparément.</x:v>
      </x:c>
      <x:c r="O70" s="7" t="str"/>
      <x:c r="P70" s="7" t="str">
        <x:v>Bridge Sabotage</x:v>
      </x:c>
      <x:c r="Q70" s="7" t="str">
        <x:v>MEA-SRC-VOELD-PAGE</x:v>
      </x:c>
      <x:c r="R70" s="7" t="str">
        <x:v>https://masseffect.fandom.com/wiki/Voeld</x:v>
      </x:c>
      <x:c r="S70" s="7" t="str">
        <x:v>Spécification à réaliser. Les champs adaptation, gameplay, visual, animation, audio et implementation décrivent le fan game ; ils ne donnent pas des caractéristiques officielles de l’œuvre.</x:v>
      </x:c>
    </x:row>
    <x:row r="71" ht="68" customHeight="1">
      <x:c r="A71" s="18" t="str">
        <x:v>MEA-SQ-VOELD-INTERCEPT</x:v>
      </x:c>
      <x:c r="B71" s="9" t="str">
        <x:v>Intercepted</x:v>
      </x:c>
      <x:c r="C71" s="15" t="str">
        <x:v>Défini</x:v>
      </x:c>
      <x:c r="D71" s="16" t="str">
        <x:v>Établi</x:v>
      </x:c>
      <x:c r="E71" s="16" t="str">
        <x:v>P1</x:v>
      </x:c>
      <x:c r="F71" s="9" t="str">
        <x:v>Mission de renseignement.</x:v>
      </x:c>
      <x:c r="G71" s="9" t="str">
        <x:v>Décoder transmission puis visiter la destination ; conserver texte de piste et coordonnées accessibles.</x:v>
      </x:c>
      <x:c r="H71" s="9" t="str">
        <x:v>Décoder transmission puis visiter la destination ; conserver texte de piste et coordonnées accessibles.</x:v>
      </x:c>
      <x:c r="I71" s="9" t="str">
        <x:v>Radio et poste de liaison.</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mea/side_quests/voeld-intercept ; rattacher les ressources et états cités à cet identifiant. Aucun fichier de jeu créé par ce catalogue.</x:v>
      </x:c>
      <x:c r="M71" s="9" t="str"/>
      <x:c r="N71" s="9" t="str">
        <x:v>Le livrable « Intercepted » possède une scène ou un scénario de contrôle ; ses règles proposées, ses conditions et ses retours visuels sont vérifiables séparément.</x:v>
      </x:c>
      <x:c r="O71" s="9" t="str"/>
      <x:c r="P71" s="9" t="str">
        <x:v>Intercepted</x:v>
      </x:c>
      <x:c r="Q71" s="9" t="str">
        <x:v>MEA-SRC-VOELD-PAGE</x:v>
      </x:c>
      <x:c r="R71" s="9" t="str">
        <x:v>https://masseffect.fandom.com/wiki/Voeld</x:v>
      </x:c>
      <x:c r="S71" s="9" t="str">
        <x:v>Spécification à réaliser. Les champs adaptation, gameplay, visual, animation, audio et implementation décrivent le fan game ; ils ne donnent pas des caractéristiques officielles de l’œuvre.</x:v>
      </x:c>
    </x:row>
    <x:row r="72" ht="68" customHeight="1">
      <x:c r="A72" s="19" t="str">
        <x:v>MEA-SQ-VOELD-MISSING</x:v>
      </x:c>
      <x:c r="B72" s="7" t="str">
        <x:v>Missing Science Crew</x:v>
      </x:c>
      <x:c r="C72" s="15" t="str">
        <x:v>Défini</x:v>
      </x:c>
      <x:c r="D72" s="17" t="str">
        <x:v>Établi</x:v>
      </x:c>
      <x:c r="E72" s="17" t="str">
        <x:v>P1</x:v>
      </x:c>
      <x:c r="F72" s="7" t="str">
        <x:v>Mission de recherche.</x:v>
      </x:c>
      <x:c r="G72" s="7" t="str">
        <x:v>Suivre équipe et données ; marqueurs de chercheurs nommés plutôt que confondus avec ressources de scan.</x:v>
      </x:c>
      <x:c r="H72" s="7" t="str">
        <x:v>Suivre équipe et données ; marqueurs de chercheurs nommés plutôt que confondus avec ressources de scan.</x:v>
      </x:c>
      <x:c r="I72" s="7" t="str">
        <x:v>Matériel scientifique dans glace.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mea/side_quests/voeld-missing ; rattacher les ressources et états cités à cet identifiant. Aucun fichier de jeu créé par ce catalogue.</x:v>
      </x:c>
      <x:c r="M72" s="7" t="str"/>
      <x:c r="N72" s="7" t="str">
        <x:v>Le livrable « Missing Science Crew » possède une scène ou un scénario de contrôle ; ses règles proposées, ses conditions et ses retours visuels sont vérifiables séparément.</x:v>
      </x:c>
      <x:c r="O72" s="7" t="str"/>
      <x:c r="P72" s="7" t="str">
        <x:v>Missing Science Crew</x:v>
      </x:c>
      <x:c r="Q72" s="7" t="str">
        <x:v>MEA-SRC-VOELD-PAGE</x:v>
      </x:c>
      <x:c r="R72" s="7" t="str">
        <x:v>https://masseffect.fandom.com/wiki/Voeld</x:v>
      </x:c>
      <x:c r="S72" s="7" t="str">
        <x:v>Spécification à réaliser. Les champs adaptation, gameplay, visual, animation, audio et implementation décrivent le fan game ; ils ne donnent pas des caractéristiques officielles de l’œuvre.</x:v>
      </x:c>
    </x:row>
    <x:row r="73" ht="68" customHeight="1">
      <x:c r="A73" s="18" t="str">
        <x:v>MEA-SQ-VOELD-REFORM</x:v>
      </x:c>
      <x:c r="B73" s="9" t="str">
        <x:v>Reformation</x:v>
      </x:c>
      <x:c r="C73" s="15" t="str">
        <x:v>Défini</x:v>
      </x:c>
      <x:c r="D73" s="16" t="str">
        <x:v>Établi</x:v>
      </x:c>
      <x:c r="E73" s="16" t="str">
        <x:v>P1</x:v>
      </x:c>
      <x:c r="F73" s="9" t="str">
        <x:v>Mission de Voeld.</x:v>
      </x:c>
      <x:c r="G73" s="9" t="str">
        <x:v>Parcours d’enquête puis confrontation ; choix de réponse rattaché au groupe présent.</x:v>
      </x:c>
      <x:c r="H73" s="9" t="str">
        <x:v>Parcours d’enquête puis confrontation ; choix de réponse rattaché au groupe présent.</x:v>
      </x:c>
      <x:c r="I73" s="9" t="str">
        <x:v>Avant-poste angara et terminal.</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mea/side_quests/voeld-reform ; rattacher les ressources et états cités à cet identifiant. Aucun fichier de jeu créé par ce catalogue.</x:v>
      </x:c>
      <x:c r="M73" s="9" t="str"/>
      <x:c r="N73" s="9" t="str">
        <x:v>Le livrable « Reformation » possède une scène ou un scénario de contrôle ; ses règles proposées, ses conditions et ses retours visuels sont vérifiables séparément.</x:v>
      </x:c>
      <x:c r="O73" s="9" t="str"/>
      <x:c r="P73" s="9" t="str">
        <x:v>Reformation</x:v>
      </x:c>
      <x:c r="Q73" s="9" t="str">
        <x:v>MEA-SRC-VOELD-PAGE</x:v>
      </x:c>
      <x:c r="R73" s="9" t="str">
        <x:v>https://masseffect.fandom.com/wiki/Voeld</x:v>
      </x:c>
      <x:c r="S73" s="9" t="str">
        <x:v>Spécification à réaliser. Les champs adaptation, gameplay, visual, animation, audio et implementation décrivent le fan game ; ils ne donnent pas des caractéristiques officielles de l’œuvre.</x:v>
      </x:c>
    </x:row>
    <x:row r="74" ht="68" customHeight="1">
      <x:c r="A74" s="19" t="str">
        <x:v>MEA-SQ-VOELD-BEACON</x:v>
      </x:c>
      <x:c r="B74" s="7" t="str">
        <x:v>Strange Beacon</x:v>
      </x:c>
      <x:c r="C74" s="15" t="str">
        <x:v>Défini</x:v>
      </x:c>
      <x:c r="D74" s="17" t="str">
        <x:v>Établi</x:v>
      </x:c>
      <x:c r="E74" s="17" t="str">
        <x:v>P1</x:v>
      </x:c>
      <x:c r="F74" s="7" t="str">
        <x:v>Mission de signal.</x:v>
      </x:c>
      <x:c r="G74" s="7" t="str">
        <x:v>Triangulation avec scanner et confirmation du dispositif ; intensité doublée d’un indicateur textuel.</x:v>
      </x:c>
      <x:c r="H74" s="7" t="str">
        <x:v>Triangulation avec scanner et confirmation du dispositif ; intensité doublée d’un indicateur textuel.</x:v>
      </x:c>
      <x:c r="I74" s="7" t="str">
        <x:v>Balise sous la neige.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mea/side_quests/voeld-beacon ; rattacher les ressources et états cités à cet identifiant. Aucun fichier de jeu créé par ce catalogue.</x:v>
      </x:c>
      <x:c r="M74" s="7" t="str"/>
      <x:c r="N74" s="7" t="str">
        <x:v>Le livrable « Strange Beacon » possède une scène ou un scénario de contrôle ; ses règles proposées, ses conditions et ses retours visuels sont vérifiables séparément.</x:v>
      </x:c>
      <x:c r="O74" s="7" t="str"/>
      <x:c r="P74" s="7" t="str">
        <x:v>Strange Beacon</x:v>
      </x:c>
      <x:c r="Q74" s="7" t="str">
        <x:v>MEA-SRC-VOELD-PAGE</x:v>
      </x:c>
      <x:c r="R74" s="7" t="str">
        <x:v>https://masseffect.fandom.com/wiki/Voeld</x:v>
      </x:c>
      <x:c r="S74" s="7" t="str">
        <x:v>Spécification à réaliser. Les champs adaptation, gameplay, visual, animation, audio et implementation décrivent le fan game ; ils ne donnent pas des caractéristiques officielles de l’œuvre.</x:v>
      </x:c>
    </x:row>
    <x:row r="75" ht="68" customHeight="1">
      <x:c r="A75" s="18" t="str">
        <x:v>MEA-SQ-VOELD-TRAP</x:v>
      </x:c>
      <x:c r="B75" s="9" t="str">
        <x:v>Resistance Trap</x:v>
      </x:c>
      <x:c r="C75" s="15" t="str">
        <x:v>Défini</x:v>
      </x:c>
      <x:c r="D75" s="16" t="str">
        <x:v>Établi</x:v>
      </x:c>
      <x:c r="E75" s="16" t="str">
        <x:v>P1</x:v>
      </x:c>
      <x:c r="F75" s="9" t="str">
        <x:v>Mission de Voeld.</x:v>
      </x:c>
      <x:c r="G75" s="9" t="str">
        <x:v>Préparation d’une embuscade avec zone de danger lisible ; aucun allié ne stationne au point d’explosion annoncé.</x:v>
      </x:c>
      <x:c r="H75" s="9" t="str">
        <x:v>Préparation d’une embuscade avec zone de danger lisible ; aucun allié ne stationne au point d’explosion annoncé.</x:v>
      </x:c>
      <x:c r="I75" s="9" t="str">
        <x:v>Couvert de glace et dispositif piégé.</x:v>
      </x:c>
      <x:c r="J75" s="9" t="str">
        <x:v>Transitions de caméra et d’interface interruptibles ; aucun délai d’animation ne doit consommer une décision encore ouverte.</x:v>
      </x:c>
      <x:c r="K75" s="9" t="str">
        <x:v>Créer des bruitages et ambiances originaux adaptés au livrable ; sous-titrer les indices utiles et proposer un réglage indépendant des effets. Aucune extraction audio demandée.</x:v>
      </x:c>
      <x:c r="L75" s="9" t="str">
        <x:v>Prévu : fiche de données mea/side_quests/voeld-trap ; rattacher les ressources et états cités à cet identifiant. Aucun fichier de jeu créé par ce catalogue.</x:v>
      </x:c>
      <x:c r="M75" s="9" t="str"/>
      <x:c r="N75" s="9" t="str">
        <x:v>Le livrable « Resistance Trap » possède une scène ou un scénario de contrôle ; ses règles proposées, ses conditions et ses retours visuels sont vérifiables séparément.</x:v>
      </x:c>
      <x:c r="O75" s="9" t="str"/>
      <x:c r="P75" s="9" t="str">
        <x:v>Resistance Trap</x:v>
      </x:c>
      <x:c r="Q75" s="9" t="str">
        <x:v>MEA-SRC-VOELD-PAGE</x:v>
      </x:c>
      <x:c r="R75" s="9" t="str">
        <x:v>https://masseffect.fandom.com/wiki/Voeld</x:v>
      </x:c>
      <x:c r="S75" s="9" t="str">
        <x:v>Spécification à réaliser. Les champs adaptation, gameplay, visual, animation, audio et implementation décrivent le fan game ; ils ne donnent pas des caractéristiques officielles de l’œuvre.</x:v>
      </x:c>
    </x:row>
    <x:row r="76" ht="68" customHeight="1">
      <x:c r="A76" s="19" t="str">
        <x:v>MEA-SQ-KADARA-HEART</x:v>
      </x:c>
      <x:c r="B76" s="7" t="str">
        <x:v>Healing Kadara’s Heart</x:v>
      </x:c>
      <x:c r="C76" s="15" t="str">
        <x:v>Défini</x:v>
      </x:c>
      <x:c r="D76" s="17" t="str">
        <x:v>Établi</x:v>
      </x:c>
      <x:c r="E76" s="17" t="str">
        <x:v>P1</x:v>
      </x:c>
      <x:c r="F76" s="7" t="str">
        <x:v>Arc de restauration de Kadara.</x:v>
      </x:c>
      <x:c r="G76" s="7" t="str">
        <x:v>Monolithes et caveau reliquat ; rendre eaux toxiques et zones assainies identifiables avant déplacement.</x:v>
      </x:c>
      <x:c r="H76" s="7" t="str">
        <x:v>Monolithes et caveau reliquat ; rendre eaux toxiques et zones assainies identifiables avant déplacement.</x:v>
      </x:c>
      <x:c r="I76" s="7" t="str">
        <x:v>Bassins acides et réseau reliquat.</x:v>
      </x:c>
      <x:c r="J76" s="7" t="str">
        <x:v>Transitions de caméra et d’interface interruptibles ; aucun délai d’animation ne doit consommer une décision encore ouverte.</x:v>
      </x:c>
      <x:c r="K76" s="7" t="str">
        <x:v>Créer des bruitages et ambiances originaux adaptés au livrable ; sous-titrer les indices utiles et proposer un réglage indépendant des effets. Aucune extraction audio demandée.</x:v>
      </x:c>
      <x:c r="L76" s="7" t="str">
        <x:v>Prévu : fiche de données mea/side_quests/kadara-heart ; rattacher les ressources et états cités à cet identifiant. Aucun fichier de jeu créé par ce catalogue.</x:v>
      </x:c>
      <x:c r="M76" s="7" t="str"/>
      <x:c r="N76" s="7" t="str">
        <x:v>Le livrable « Healing Kadara’s Heart » possède une scène ou un scénario de contrôle ; ses règles proposées, ses conditions et ses retours visuels sont vérifiables séparément.</x:v>
      </x:c>
      <x:c r="O76" s="7" t="str"/>
      <x:c r="P76" s="7" t="str">
        <x:v>Healing Kadara’s Heart</x:v>
      </x:c>
      <x:c r="Q76" s="7" t="str">
        <x:v>MEA-SRC-KADARA-PAGE, MEA-SRC-HAZARD</x:v>
      </x:c>
      <x:c r="R76" s="7" t="str">
        <x:v>https://masseffect.fandom.com/wiki/Kadara
https://masseffect.fandom.com/wiki/Hazard</x:v>
      </x:c>
      <x:c r="S76" s="7" t="str">
        <x:v>Spécification à réaliser. Les champs adaptation, gameplay, visual, animation, audio et implementation décrivent le fan game ; ils ne donnent pas des caractéristiques officielles de l’œuvre.</x:v>
      </x:c>
    </x:row>
    <x:row r="77" ht="68" customHeight="1">
      <x:c r="A77" s="18" t="str">
        <x:v>MEA-SQ-KADARA-SETTLE</x:v>
      </x:c>
      <x:c r="B77" s="9" t="str">
        <x:v>Settling Kadara</x:v>
      </x:c>
      <x:c r="C77" s="15" t="str">
        <x:v>Défini</x:v>
      </x:c>
      <x:c r="D77" s="16" t="str">
        <x:v>Établi</x:v>
      </x:c>
      <x:c r="E77" s="16" t="str">
        <x:v>P1</x:v>
      </x:c>
      <x:c r="F77" s="9" t="str">
        <x:v>Fondation d’avant-poste.</x:v>
      </x:c>
      <x:c r="G77" s="9" t="str">
        <x:v>Résolution de critères de sécurité et de politique ; régime de Kadara reste cohérent après construction.</x:v>
      </x:c>
      <x:c r="H77" s="9" t="str">
        <x:v>Résolution de critères de sécurité et de politique ; régime de Kadara reste cohérent après construction.</x:v>
      </x:c>
      <x:c r="I77" s="9" t="str">
        <x:v>Site d’implantation dans badlands.</x:v>
      </x:c>
      <x:c r="J77" s="9" t="str">
        <x:v>Transitions de caméra et d’interface interruptibles ; aucun délai d’animation ne doit consommer une décision encore ouverte.</x:v>
      </x:c>
      <x:c r="K77" s="9" t="str">
        <x:v>Créer des bruitages et ambiances originaux adaptés au livrable ; sous-titrer les indices utiles et proposer un réglage indépendant des effets. Aucune extraction audio demandée.</x:v>
      </x:c>
      <x:c r="L77" s="9" t="str">
        <x:v>Prévu : fiche de données mea/side_quests/kadara-settle ; rattacher les ressources et états cités à cet identifiant. Aucun fichier de jeu créé par ce catalogue.</x:v>
      </x:c>
      <x:c r="M77" s="9" t="str"/>
      <x:c r="N77" s="9" t="str">
        <x:v>Le livrable « Settling Kadara » possède une scène ou un scénario de contrôle ; ses règles proposées, ses conditions et ses retours visuels sont vérifiables séparément.</x:v>
      </x:c>
      <x:c r="O77" s="9" t="str"/>
      <x:c r="P77" s="9" t="str">
        <x:v>Settling Kadara</x:v>
      </x:c>
      <x:c r="Q77" s="9" t="str">
        <x:v>MEA-SRC-KADARA-PAGE</x:v>
      </x:c>
      <x:c r="R77" s="9" t="str">
        <x:v>https://masseffect.fandom.com/wiki/Kadara</x:v>
      </x:c>
      <x:c r="S77" s="9" t="str">
        <x:v>Spécification à réaliser. Les champs adaptation, gameplay, visual, animation, audio et implementation décrivent le fan game ; ils ne donnent pas des caractéristiques officielles de l’œuvre.</x:v>
      </x:c>
    </x:row>
    <x:row r="78" ht="68" customHeight="1">
      <x:c r="A78" s="19" t="str">
        <x:v>MEA-SQ-HIGH-NOON</x:v>
      </x:c>
      <x:c r="B78" s="7" t="str">
        <x:v>High Noon</x:v>
      </x:c>
      <x:c r="C78" s="15" t="str">
        <x:v>Défini</x:v>
      </x:c>
      <x:c r="D78" s="17" t="str">
        <x:v>Établi</x:v>
      </x:c>
      <x:c r="E78" s="17" t="str">
        <x:v>P1</x:v>
      </x:c>
      <x:c r="F78" s="7" t="str">
        <x:v>Duel politique de Kadara.</x:v>
      </x:c>
      <x:c r="G78" s="7" t="str">
        <x:v>Scène avec Sloane/Reyes, interruption et issue de pouvoir ; l’accès ultérieur aux quêtes tient compte du dirigeant.</x:v>
      </x:c>
      <x:c r="H78" s="7" t="str">
        <x:v>Scène avec Sloane/Reyes, interruption et issue de pouvoir ; l’accès ultérieur aux quêtes tient compte du dirigeant.</x:v>
      </x:c>
      <x:c r="I78" s="7" t="str">
        <x:v>Grotte de rendez-vous et ligne de tir.</x:v>
      </x:c>
      <x:c r="J78" s="7" t="str">
        <x:v>Transitions de caméra et d’interface interruptibles ; aucun délai d’animation ne doit consommer une décision encore ouverte.</x:v>
      </x:c>
      <x:c r="K78" s="7" t="str">
        <x:v>Créer des bruitages et ambiances originaux adaptés au livrable ; sous-titrer les indices utiles et proposer un réglage indépendant des effets. Aucune extraction audio demandée.</x:v>
      </x:c>
      <x:c r="L78" s="7" t="str">
        <x:v>Prévu : fiche de données mea/side_quests/high-noon ; rattacher les ressources et états cités à cet identifiant. Aucun fichier de jeu créé par ce catalogue.</x:v>
      </x:c>
      <x:c r="M78" s="7" t="str"/>
      <x:c r="N78" s="7" t="str">
        <x:v>Le livrable « High Noon » possède une scène ou un scénario de contrôle ; ses règles proposées, ses conditions et ses retours visuels sont vérifiables séparément.</x:v>
      </x:c>
      <x:c r="O78" s="7" t="str"/>
      <x:c r="P78" s="7" t="str">
        <x:v>High Noon</x:v>
      </x:c>
      <x:c r="Q78" s="7" t="str">
        <x:v>MEA-SRC-HIGH-NOON</x:v>
      </x:c>
      <x:c r="R78" s="7" t="str">
        <x:v>https://masseffect.fandom.com/wiki/High_Noon</x:v>
      </x:c>
      <x:c r="S78" s="7" t="str">
        <x:v>Spécification à réaliser. Les champs adaptation, gameplay, visual, animation, audio et implementation décrivent le fan game ; ils ne donnent pas des caractéristiques officielles de l’œuvre.</x:v>
      </x:c>
    </x:row>
    <x:row r="79" ht="68" customHeight="1">
      <x:c r="A79" s="18" t="str">
        <x:v>MEA-SQ-KADARA-MURDER</x:v>
      </x:c>
      <x:c r="B79" s="9" t="str">
        <x:v>Murder in Kadara Port</x:v>
      </x:c>
      <x:c r="C79" s="15" t="str">
        <x:v>Défini</x:v>
      </x:c>
      <x:c r="D79" s="16" t="str">
        <x:v>Établi</x:v>
      </x:c>
      <x:c r="E79" s="16" t="str">
        <x:v>P1</x:v>
      </x:c>
      <x:c r="F79" s="9" t="str">
        <x:v>Enquête locale.</x:v>
      </x:c>
      <x:c r="G79" s="9" t="str">
        <x:v>Recueillir témoignages et indices, identifier adversaires ; solution liée au dossier plutôt qu’à un scan générique.</x:v>
      </x:c>
      <x:c r="H79" s="9" t="str">
        <x:v>Recueillir témoignages et indices, identifier adversaires ; solution liée au dossier plutôt qu’à un scan générique.</x:v>
      </x:c>
      <x:c r="I79" s="9" t="str">
        <x:v>Rue de port et traces médico-légales.</x:v>
      </x:c>
      <x:c r="J79" s="9" t="str">
        <x:v>Transitions de caméra et d’interface interruptibles ; aucun délai d’animation ne doit consommer une décision encore ouverte.</x:v>
      </x:c>
      <x:c r="K79" s="9" t="str">
        <x:v>Créer des bruitages et ambiances originaux adaptés au livrable ; sous-titrer les indices utiles et proposer un réglage indépendant des effets. Aucune extraction audio demandée.</x:v>
      </x:c>
      <x:c r="L79" s="9" t="str">
        <x:v>Prévu : fiche de données mea/side_quests/kadara-murder ; rattacher les ressources et états cités à cet identifiant. Aucun fichier de jeu créé par ce catalogue.</x:v>
      </x:c>
      <x:c r="M79" s="9" t="str"/>
      <x:c r="N79" s="9" t="str">
        <x:v>Le livrable « Murder in Kadara Port » possède une scène ou un scénario de contrôle ; ses règles proposées, ses conditions et ses retours visuels sont vérifiables séparément.</x:v>
      </x:c>
      <x:c r="O79" s="9" t="str"/>
      <x:c r="P79" s="9" t="str">
        <x:v>Murder in Kadara Port</x:v>
      </x:c>
      <x:c r="Q79" s="9" t="str">
        <x:v>MEA-SRC-KADARA-PAGE</x:v>
      </x:c>
      <x:c r="R79" s="9" t="str">
        <x:v>https://masseffect.fandom.com/wiki/Kadara</x:v>
      </x:c>
      <x:c r="S79" s="9" t="str">
        <x:v>Spécification à réaliser. Les champs adaptation, gameplay, visual, animation, audio et implementation décrivent le fan game ; ils ne donnent pas des caractéristiques officielles de l’œuvre.</x:v>
      </x:c>
    </x:row>
    <x:row r="80" ht="68" customHeight="1">
      <x:c r="A80" s="19" t="str">
        <x:v>MEA-SQ-KADARA-DIVIDED</x:v>
      </x:c>
      <x:c r="B80" s="7" t="str">
        <x:v>A People Divided</x:v>
      </x:c>
      <x:c r="C80" s="15" t="str">
        <x:v>Défini</x:v>
      </x:c>
      <x:c r="D80" s="17" t="str">
        <x:v>Établi</x:v>
      </x:c>
      <x:c r="E80" s="17" t="str">
        <x:v>P1</x:v>
      </x:c>
      <x:c r="F80" s="7" t="str">
        <x:v>Mission de Kadara.</x:v>
      </x:c>
      <x:c r="G80" s="7" t="str">
        <x:v>Poursuite d’enquête vers un groupe hostile ; la culpabilité de celui-ci ne s’étend pas à tous les angara.</x:v>
      </x:c>
      <x:c r="H80" s="7" t="str">
        <x:v>Poursuite d’enquête vers un groupe hostile ; la culpabilité de celui-ci ne s’étend pas à tous les angara.</x:v>
      </x:c>
      <x:c r="I80" s="7" t="str">
        <x:v>Cache et réunion clandestine.</x:v>
      </x:c>
      <x:c r="J80" s="7" t="str">
        <x:v>Transitions de caméra et d’interface interruptibles ; aucun délai d’animation ne doit consommer une décision encore ouverte.</x:v>
      </x:c>
      <x:c r="K80" s="7" t="str">
        <x:v>Créer des bruitages et ambiances originaux adaptés au livrable ; sous-titrer les indices utiles et proposer un réglage indépendant des effets. Aucune extraction audio demandée.</x:v>
      </x:c>
      <x:c r="L80" s="7" t="str">
        <x:v>Prévu : fiche de données mea/side_quests/kadara-divided ; rattacher les ressources et états cités à cet identifiant. Aucun fichier de jeu créé par ce catalogue.</x:v>
      </x:c>
      <x:c r="M80" s="7" t="str"/>
      <x:c r="N80" s="7" t="str">
        <x:v>Le livrable « A People Divided » possède une scène ou un scénario de contrôle ; ses règles proposées, ses conditions et ses retours visuels sont vérifiables séparément.</x:v>
      </x:c>
      <x:c r="O80" s="7" t="str"/>
      <x:c r="P80" s="7" t="str">
        <x:v>A People Divided</x:v>
      </x:c>
      <x:c r="Q80" s="7" t="str">
        <x:v>MEA-SRC-KADARA-PAGE</x:v>
      </x:c>
      <x:c r="R80" s="7" t="str">
        <x:v>https://masseffect.fandom.com/wiki/Kadara</x:v>
      </x:c>
      <x:c r="S80" s="7" t="str">
        <x:v>Spécification à réaliser. Les champs adaptation, gameplay, visual, animation, audio et implementation décrivent le fan game ; ils ne donnent pas des caractéristiques officielles de l’œuvre.</x:v>
      </x:c>
    </x:row>
    <x:row r="81" ht="68" customHeight="1">
      <x:c r="A81" s="18" t="str">
        <x:v>MEA-SQ-KADARA-MIND</x:v>
      </x:c>
      <x:c r="B81" s="9" t="str">
        <x:v>Mind Games</x:v>
      </x:c>
      <x:c r="C81" s="15" t="str">
        <x:v>Défini</x:v>
      </x:c>
      <x:c r="D81" s="16" t="str">
        <x:v>Établi</x:v>
      </x:c>
      <x:c r="E81" s="16" t="str">
        <x:v>P1</x:v>
      </x:c>
      <x:c r="F81" s="9" t="str">
        <x:v>Mission d’expérience locale.</x:v>
      </x:c>
      <x:c r="G81" s="9" t="str">
        <x:v>Enquête et réaction au dispositif ; information de consentement et résultats suivis sans modifier la personnalité du joueur arbitrairement.</x:v>
      </x:c>
      <x:c r="H81" s="9" t="str">
        <x:v>Enquête et réaction au dispositif ; information de consentement et résultats suivis sans modifier la personnalité du joueur arbitrairement.</x:v>
      </x:c>
      <x:c r="I81" s="9" t="str">
        <x:v>Expérience, sujets et console.</x:v>
      </x:c>
      <x:c r="J81" s="9" t="str">
        <x:v>Transitions de caméra et d’interface interruptibles ; aucun délai d’animation ne doit consommer une décision encore ouverte.</x:v>
      </x:c>
      <x:c r="K81" s="9" t="str">
        <x:v>Créer des bruitages et ambiances originaux adaptés au livrable ; sous-titrer les indices utiles et proposer un réglage indépendant des effets. Aucune extraction audio demandée.</x:v>
      </x:c>
      <x:c r="L81" s="9" t="str">
        <x:v>Prévu : fiche de données mea/side_quests/kadara-mind ; rattacher les ressources et états cités à cet identifiant. Aucun fichier de jeu créé par ce catalogue.</x:v>
      </x:c>
      <x:c r="M81" s="9" t="str"/>
      <x:c r="N81" s="9" t="str">
        <x:v>Le livrable « Mind Games » possède une scène ou un scénario de contrôle ; ses règles proposées, ses conditions et ses retours visuels sont vérifiables séparément.</x:v>
      </x:c>
      <x:c r="O81" s="9" t="str"/>
      <x:c r="P81" s="9" t="str">
        <x:v>Mind Games</x:v>
      </x:c>
      <x:c r="Q81" s="9" t="str">
        <x:v>MEA-SRC-KADARA-PAGE</x:v>
      </x:c>
      <x:c r="R81" s="9" t="str">
        <x:v>https://masseffect.fandom.com/wiki/Kadara</x:v>
      </x:c>
      <x:c r="S81" s="9" t="str">
        <x:v>Spécification à réaliser. Les champs adaptation, gameplay, visual, animation, audio et implementation décrivent le fan game ; ils ne donnent pas des caractéristiques officielles de l’œuvre.</x:v>
      </x:c>
    </x:row>
    <x:row r="82" ht="68" customHeight="1">
      <x:c r="A82" s="19" t="str">
        <x:v>MEA-SQ-KADARA-MEDICINE</x:v>
      </x:c>
      <x:c r="B82" s="7" t="str">
        <x:v>Modern Medicine</x:v>
      </x:c>
      <x:c r="C82" s="15" t="str">
        <x:v>Défini</x:v>
      </x:c>
      <x:c r="D82" s="17" t="str">
        <x:v>Établi</x:v>
      </x:c>
      <x:c r="E82" s="17" t="str">
        <x:v>P1</x:v>
      </x:c>
      <x:c r="F82" s="7" t="str">
        <x:v>Mission de recherche médicale.</x:v>
      </x:c>
      <x:c r="G82" s="7" t="str">
        <x:v>Collecter substance et décider de remise selon contexte ; inventaire garde l’objet de mission hors du commerce.</x:v>
      </x:c>
      <x:c r="H82" s="7" t="str">
        <x:v>Collecter substance et décider de remise selon contexte ; inventaire garde l’objet de mission hors du commerce.</x:v>
      </x:c>
      <x:c r="I82" s="7" t="str">
        <x:v>Laboratoire de fortune et échantillon.</x:v>
      </x:c>
      <x:c r="J82" s="7" t="str">
        <x:v>Transitions de caméra et d’interface interruptibles ; aucun délai d’animation ne doit consommer une décision encore ouverte.</x:v>
      </x:c>
      <x:c r="K82" s="7" t="str">
        <x:v>Créer des bruitages et ambiances originaux adaptés au livrable ; sous-titrer les indices utiles et proposer un réglage indépendant des effets. Aucune extraction audio demandée.</x:v>
      </x:c>
      <x:c r="L82" s="7" t="str">
        <x:v>Prévu : fiche de données mea/side_quests/kadara-medicine ; rattacher les ressources et états cités à cet identifiant. Aucun fichier de jeu créé par ce catalogue.</x:v>
      </x:c>
      <x:c r="M82" s="7" t="str"/>
      <x:c r="N82" s="7" t="str">
        <x:v>Le livrable « Modern Medicine » possède une scène ou un scénario de contrôle ; ses règles proposées, ses conditions et ses retours visuels sont vérifiables séparément.</x:v>
      </x:c>
      <x:c r="O82" s="7" t="str"/>
      <x:c r="P82" s="7" t="str">
        <x:v>Modern Medicine</x:v>
      </x:c>
      <x:c r="Q82" s="7" t="str">
        <x:v>MEA-SRC-KADARA-PAGE</x:v>
      </x:c>
      <x:c r="R82" s="7" t="str">
        <x:v>https://masseffect.fandom.com/wiki/Kadara</x:v>
      </x:c>
      <x:c r="S82" s="7" t="str">
        <x:v>Spécification à réaliser. Les champs adaptation, gameplay, visual, animation, audio et implementation décrivent le fan game ; ils ne donnent pas des caractéristiques officielles de l’œuvre.</x:v>
      </x:c>
    </x:row>
    <x:row r="83" ht="68" customHeight="1">
      <x:c r="A83" s="18" t="str">
        <x:v>MEA-SQ-KADARA-WATER</x:v>
      </x:c>
      <x:c r="B83" s="9" t="str">
        <x:v>Something in the Water</x:v>
      </x:c>
      <x:c r="C83" s="15" t="str">
        <x:v>Défini</x:v>
      </x:c>
      <x:c r="D83" s="16" t="str">
        <x:v>Établi</x:v>
      </x:c>
      <x:c r="E83" s="16" t="str">
        <x:v>P1</x:v>
      </x:c>
      <x:c r="F83" s="9" t="str">
        <x:v>Mission environnementale.</x:v>
      </x:c>
      <x:c r="G83" s="9" t="str">
        <x:v>Prélever échantillons sur lieux distincts ; scanner distingue eau à risque et eau sans objectif restant.</x:v>
      </x:c>
      <x:c r="H83" s="9" t="str">
        <x:v>Prélever échantillons sur lieux distincts ; scanner distingue eau à risque et eau sans objectif restant.</x:v>
      </x:c>
      <x:c r="I83" s="9" t="str">
        <x:v>Bassins et analyse de prélèvement.</x:v>
      </x:c>
      <x:c r="J83" s="9" t="str">
        <x:v>Transitions de caméra et d’interface interruptibles ; aucun délai d’animation ne doit consommer une décision encore ouverte.</x:v>
      </x:c>
      <x:c r="K83" s="9" t="str">
        <x:v>Créer des bruitages et ambiances originaux adaptés au livrable ; sous-titrer les indices utiles et proposer un réglage indépendant des effets. Aucune extraction audio demandée.</x:v>
      </x:c>
      <x:c r="L83" s="9" t="str">
        <x:v>Prévu : fiche de données mea/side_quests/kadara-water ; rattacher les ressources et états cités à cet identifiant. Aucun fichier de jeu créé par ce catalogue.</x:v>
      </x:c>
      <x:c r="M83" s="9" t="str"/>
      <x:c r="N83" s="9" t="str">
        <x:v>Le livrable « Something in the Water » possède une scène ou un scénario de contrôle ; ses règles proposées, ses conditions et ses retours visuels sont vérifiables séparément.</x:v>
      </x:c>
      <x:c r="O83" s="9" t="str"/>
      <x:c r="P83" s="9" t="str">
        <x:v>Something in the Water</x:v>
      </x:c>
      <x:c r="Q83" s="9" t="str">
        <x:v>MEA-SRC-KADARA-PAGE</x:v>
      </x:c>
      <x:c r="R83" s="9" t="str">
        <x:v>https://masseffect.fandom.com/wiki/Kadara</x:v>
      </x:c>
      <x:c r="S83" s="9" t="str">
        <x:v>Spécification à réaliser. Les champs adaptation, gameplay, visual, animation, audio et implementation décrivent le fan game ; ils ne donnent pas des caractéristiques officielles de l’œuvre.</x:v>
      </x:c>
    </x:row>
    <x:row r="84" ht="68" customHeight="1">
      <x:c r="A84" s="19" t="str">
        <x:v>MEA-SQ-KADARA-CARGO</x:v>
      </x:c>
      <x:c r="B84" s="7" t="str">
        <x:v>Precious Cargo</x:v>
      </x:c>
      <x:c r="C84" s="15" t="str">
        <x:v>Défini</x:v>
      </x:c>
      <x:c r="D84" s="17" t="str">
        <x:v>Établi</x:v>
      </x:c>
      <x:c r="E84" s="17" t="str">
        <x:v>P1</x:v>
      </x:c>
      <x:c r="F84" s="7" t="str">
        <x:v>Mission de cargaison.</x:v>
      </x:c>
      <x:c r="G84" s="7" t="str">
        <x:v>Recherche puis découverte liée au contenu ; retour et récompense ne se déclenchent pas à la seule prise d’une caisse quelconque.</x:v>
      </x:c>
      <x:c r="H84" s="7" t="str">
        <x:v>Recherche puis découverte liée au contenu ; retour et récompense ne se déclenchent pas à la seule prise d’une caisse quelconque.</x:v>
      </x:c>
      <x:c r="I84" s="7" t="str">
        <x:v>Épave, caisse et piste.</x:v>
      </x:c>
      <x:c r="J84" s="7" t="str">
        <x:v>Transitions de caméra et d’interface interruptibles ; aucun délai d’animation ne doit consommer une décision encore ouverte.</x:v>
      </x:c>
      <x:c r="K84" s="7" t="str">
        <x:v>Créer des bruitages et ambiances originaux adaptés au livrable ; sous-titrer les indices utiles et proposer un réglage indépendant des effets. Aucune extraction audio demandée.</x:v>
      </x:c>
      <x:c r="L84" s="7" t="str">
        <x:v>Prévu : fiche de données mea/side_quests/kadara-cargo ; rattacher les ressources et états cités à cet identifiant. Aucun fichier de jeu créé par ce catalogue.</x:v>
      </x:c>
      <x:c r="M84" s="7" t="str"/>
      <x:c r="N84" s="7" t="str">
        <x:v>Le livrable « Precious Cargo » possède une scène ou un scénario de contrôle ; ses règles proposées, ses conditions et ses retours visuels sont vérifiables séparément.</x:v>
      </x:c>
      <x:c r="O84" s="7" t="str"/>
      <x:c r="P84" s="7" t="str">
        <x:v>Precious Cargo</x:v>
      </x:c>
      <x:c r="Q84" s="7" t="str">
        <x:v>MEA-SRC-KADARA-PAGE</x:v>
      </x:c>
      <x:c r="R84" s="7" t="str">
        <x:v>https://masseffect.fandom.com/wiki/Kadara</x:v>
      </x:c>
      <x:c r="S84" s="7" t="str">
        <x:v>Spécification à réaliser. Les champs adaptation, gameplay, visual, animation, audio et implementation décrivent le fan game ; ils ne donnent pas des caractéristiques officielles de l’œuvre.</x:v>
      </x:c>
    </x:row>
    <x:row r="85" ht="68" customHeight="1">
      <x:c r="A85" s="18" t="str">
        <x:v>MEA-SQ-KADARA-NIGHT</x:v>
      </x:c>
      <x:c r="B85" s="9" t="str">
        <x:v>Night on the Town</x:v>
      </x:c>
      <x:c r="C85" s="15" t="str">
        <x:v>Défini</x:v>
      </x:c>
      <x:c r="D85" s="16" t="str">
        <x:v>Établi</x:v>
      </x:c>
      <x:c r="E85" s="16" t="str">
        <x:v>P1</x:v>
      </x:c>
      <x:c r="F85" s="9" t="str">
        <x:v>Scène sociale de Kadara.</x:v>
      </x:c>
      <x:c r="G85" s="9" t="str">
        <x:v>Rencontre selon relation avec Reyes ; conversations privées ne bloquent pas l’exploration après clôture.</x:v>
      </x:c>
      <x:c r="H85" s="9" t="str">
        <x:v>Rencontre selon relation avec Reyes ; conversations privées ne bloquent pas l’exploration après clôture.</x:v>
      </x:c>
      <x:c r="I85" s="9" t="str">
        <x:v>Bar et lumières du port.</x:v>
      </x:c>
      <x:c r="J85" s="9" t="str">
        <x:v>Transitions de caméra et d’interface interruptibles ; aucun délai d’animation ne doit consommer une décision encore ouverte.</x:v>
      </x:c>
      <x:c r="K85" s="9" t="str">
        <x:v>Créer des bruitages et ambiances originaux adaptés au livrable ; sous-titrer les indices utiles et proposer un réglage indépendant des effets. Aucune extraction audio demandée.</x:v>
      </x:c>
      <x:c r="L85" s="9" t="str">
        <x:v>Prévu : fiche de données mea/side_quests/kadara-night ; rattacher les ressources et états cités à cet identifiant. Aucun fichier de jeu créé par ce catalogue.</x:v>
      </x:c>
      <x:c r="M85" s="9" t="str"/>
      <x:c r="N85" s="9" t="str">
        <x:v>Le livrable « Night on the Town » possède une scène ou un scénario de contrôle ; ses règles proposées, ses conditions et ses retours visuels sont vérifiables séparément.</x:v>
      </x:c>
      <x:c r="O85" s="9" t="str"/>
      <x:c r="P85" s="9" t="str">
        <x:v>Night on the Town</x:v>
      </x:c>
      <x:c r="Q85" s="9" t="str">
        <x:v>MEA-SRC-KADARA-PAGE</x:v>
      </x:c>
      <x:c r="R85" s="9" t="str">
        <x:v>https://masseffect.fandom.com/wiki/Kadara</x:v>
      </x:c>
      <x:c r="S85" s="9" t="str">
        <x:v>Spécification à réaliser. Les champs adaptation, gameplay, visual, animation, audio et implementation décrivent le fan game ; ils ne donnent pas des caractéristiques officielles de l’œuvre.</x:v>
      </x:c>
    </x:row>
    <x:row r="86" ht="68" customHeight="1">
      <x:c r="A86" s="19" t="str">
        <x:v>MEA-SQ-KADARA-MIXED</x:v>
      </x:c>
      <x:c r="B86" s="7" t="str">
        <x:v>Mixed Messages</x:v>
      </x:c>
      <x:c r="C86" s="15" t="str">
        <x:v>Défini</x:v>
      </x:c>
      <x:c r="D86" s="17" t="str">
        <x:v>Établi</x:v>
      </x:c>
      <x:c r="E86" s="17" t="str">
        <x:v>P1</x:v>
      </x:c>
      <x:c r="F86" s="7" t="str">
        <x:v>Mission de Kadara.</x:v>
      </x:c>
      <x:c r="G86" s="7" t="str">
        <x:v>Fenêtre de disponibilité liée à la politique locale ; prévenir qu’une avancée de High Noon peut la fermer.</x:v>
      </x:c>
      <x:c r="H86" s="7" t="str">
        <x:v>Fenêtre de disponibilité liée à la politique locale ; prévenir qu’une avancée de High Noon peut la fermer.</x:v>
      </x:c>
      <x:c r="I86" s="7" t="str">
        <x:v>Message, interlocuteur et rue du port.</x:v>
      </x:c>
      <x:c r="J86" s="7" t="str">
        <x:v>Transitions de caméra et d’interface interruptibles ; aucun délai d’animation ne doit consommer une décision encore ouverte.</x:v>
      </x:c>
      <x:c r="K86" s="7" t="str">
        <x:v>Créer des bruitages et ambiances originaux adaptés au livrable ; sous-titrer les indices utiles et proposer un réglage indépendant des effets. Aucune extraction audio demandée.</x:v>
      </x:c>
      <x:c r="L86" s="7" t="str">
        <x:v>Prévu : fiche de données mea/side_quests/kadara-mixed ; rattacher les ressources et états cités à cet identifiant. Aucun fichier de jeu créé par ce catalogue.</x:v>
      </x:c>
      <x:c r="M86" s="7" t="str">
        <x:v>Conditions précises de régime à vérifier.</x:v>
      </x:c>
      <x:c r="N86" s="7" t="str">
        <x:v>Le livrable « Mixed Messages » possède une scène ou un scénario de contrôle ; ses règles proposées, ses conditions et ses retours visuels sont vérifiables séparément.</x:v>
      </x:c>
      <x:c r="O86" s="7" t="str"/>
      <x:c r="P86" s="7" t="str">
        <x:v>Mixed Messages</x:v>
      </x:c>
      <x:c r="Q86" s="7" t="str">
        <x:v>MEA-SRC-KADARA-PAGE, MEA-SRC-HIGH-NOON</x:v>
      </x:c>
      <x:c r="R86" s="7" t="str">
        <x:v>https://masseffect.fandom.com/wiki/Kadara
https://masseffect.fandom.com/wiki/High_Noon</x:v>
      </x:c>
      <x:c r="S86" s="7" t="str">
        <x:v>Spécification à réaliser. Les champs adaptation, gameplay, visual, animation, audio et implementation décrivent le fan game ; ils ne donnent pas des caractéristiques officielles de l’œuvre.</x:v>
      </x:c>
    </x:row>
    <x:row r="87" ht="68" customHeight="1">
      <x:c r="A87" s="18" t="str">
        <x:v>MEA-SQ-KADARA-BASE</x:v>
      </x:c>
      <x:c r="B87" s="9" t="str">
        <x:v>The Collective Base</x:v>
      </x:c>
      <x:c r="C87" s="15" t="str">
        <x:v>Défini</x:v>
      </x:c>
      <x:c r="D87" s="16" t="str">
        <x:v>Établi</x:v>
      </x:c>
      <x:c r="E87" s="16" t="str">
        <x:v>P1</x:v>
      </x:c>
      <x:c r="F87" s="9" t="str">
        <x:v>Mission liée au Collectif.</x:v>
      </x:c>
      <x:c r="G87" s="9" t="str">
        <x:v>Enquête d’accès puis choix local ; identité du groupe révélée dans le journal au moment approprié.</x:v>
      </x:c>
      <x:c r="H87" s="9" t="str">
        <x:v>Enquête d’accès puis choix local ; identité du groupe révélée dans le journal au moment approprié.</x:v>
      </x:c>
      <x:c r="I87" s="9" t="str">
        <x:v>Base cachée et signes de faction.</x:v>
      </x:c>
      <x:c r="J87" s="9" t="str">
        <x:v>Transitions de caméra et d’interface interruptibles ; aucun délai d’animation ne doit consommer une décision encore ouverte.</x:v>
      </x:c>
      <x:c r="K87" s="9" t="str">
        <x:v>Créer des bruitages et ambiances originaux adaptés au livrable ; sous-titrer les indices utiles et proposer un réglage indépendant des effets. Aucune extraction audio demandée.</x:v>
      </x:c>
      <x:c r="L87" s="9" t="str">
        <x:v>Prévu : fiche de données mea/side_quests/kadara-base ; rattacher les ressources et états cités à cet identifiant. Aucun fichier de jeu créé par ce catalogue.</x:v>
      </x:c>
      <x:c r="M87" s="9" t="str"/>
      <x:c r="N87" s="9" t="str">
        <x:v>Le livrable « The Collective Base » possède une scène ou un scénario de contrôle ; ses règles proposées, ses conditions et ses retours visuels sont vérifiables séparément.</x:v>
      </x:c>
      <x:c r="O87" s="9" t="str"/>
      <x:c r="P87" s="9" t="str">
        <x:v>The Collective Base</x:v>
      </x:c>
      <x:c r="Q87" s="9" t="str">
        <x:v>MEA-SRC-KADARA-PAGE</x:v>
      </x:c>
      <x:c r="R87" s="9" t="str">
        <x:v>https://masseffect.fandom.com/wiki/Kadara</x:v>
      </x:c>
      <x:c r="S87" s="9" t="str">
        <x:v>Spécification à réaliser. Les champs adaptation, gameplay, visual, animation, audio et implementation décrivent le fan game ; ils ne donnent pas des caractéristiques officielles de l’œuvre.</x:v>
      </x:c>
    </x:row>
    <x:row r="88" ht="68" customHeight="1">
      <x:c r="A88" s="19" t="str">
        <x:v>MEA-SQ-ELAADEN-CORE</x:v>
      </x:c>
      <x:c r="B88" s="7" t="str">
        <x:v>Search for the Stolen Remnant Drive Core</x:v>
      </x:c>
      <x:c r="C88" s="15" t="str">
        <x:v>Défini</x:v>
      </x:c>
      <x:c r="D88" s="17" t="str">
        <x:v>Établi</x:v>
      </x:c>
      <x:c r="E88" s="17" t="str">
        <x:v>P1</x:v>
      </x:c>
      <x:c r="F88" s="7" t="str">
        <x:v>Recherche du moteur reliquat.</x:v>
      </x:c>
      <x:c r="G88" s="7" t="str">
        <x:v>Trajet d’indices et récupération ; objet unique conservé jusqu’à décision de négociation avec Morda.</x:v>
      </x:c>
      <x:c r="H88" s="7" t="str">
        <x:v>Trajet d’indices et récupération ; objet unique conservé jusqu’à décision de négociation avec Morda.</x:v>
      </x:c>
      <x:c r="I88" s="7" t="str">
        <x:v>Cœur de moteur et conteneur de transport.</x:v>
      </x:c>
      <x:c r="J88" s="7" t="str">
        <x:v>Transitions de caméra et d’interface interruptibles ; aucun délai d’animation ne doit consommer une décision encore ouverte.</x:v>
      </x:c>
      <x:c r="K88" s="7" t="str">
        <x:v>Créer des bruitages et ambiances originaux adaptés au livrable ; sous-titrer les indices utiles et proposer un réglage indépendant des effets. Aucune extraction audio demandée.</x:v>
      </x:c>
      <x:c r="L88" s="7" t="str">
        <x:v>Prévu : fiche de données mea/side_quests/elaaden-core ; rattacher les ressources et états cités à cet identifiant. Aucun fichier de jeu créé par ce catalogue.</x:v>
      </x:c>
      <x:c r="M88" s="7" t="str"/>
      <x:c r="N88" s="7" t="str">
        <x:v>Le livrable « Search for the Stolen Remnant Drive Core » possède une scène ou un scénario de contrôle ; ses règles proposées, ses conditions et ses retours visuels sont vérifiables séparément.</x:v>
      </x:c>
      <x:c r="O88" s="7" t="str"/>
      <x:c r="P88" s="7" t="str">
        <x:v>Search for the Stolen Remnant Drive Core</x:v>
      </x:c>
      <x:c r="Q88" s="7" t="str">
        <x:v>MEA-SRC-ELAADEN-PAGE</x:v>
      </x:c>
      <x:c r="R88" s="7" t="str">
        <x:v>https://masseffect.fandom.com/wiki/Elaaden</x:v>
      </x:c>
      <x:c r="S88" s="7" t="str">
        <x:v>Spécification à réaliser. Les champs adaptation, gameplay, visual, animation, audio et implementation décrivent le fan game ; ils ne donnent pas des caractéristiques officielles de l’œuvre.</x:v>
      </x:c>
    </x:row>
    <x:row r="89" ht="68" customHeight="1">
      <x:c r="A89" s="18" t="str">
        <x:v>MEA-SQ-ELAADEN-DERELICT</x:v>
      </x:c>
      <x:c r="B89" s="9" t="str">
        <x:v>Investigate Remnant Derelict</x:v>
      </x:c>
      <x:c r="C89" s="15" t="str">
        <x:v>Défini</x:v>
      </x:c>
      <x:c r="D89" s="16" t="str">
        <x:v>Établi</x:v>
      </x:c>
      <x:c r="E89" s="16" t="str">
        <x:v>P1</x:v>
      </x:c>
      <x:c r="F89" s="9" t="str">
        <x:v>Exploration de l’épave d’Elaaden.</x:v>
      </x:c>
      <x:c r="G89" s="9" t="str">
        <x:v>Intérieur en niveaux avec chemins de sortie repérables ; scan du cœur ne vaut pas possession.</x:v>
      </x:c>
      <x:c r="H89" s="9" t="str">
        <x:v>Intérieur en niveaux avec chemins de sortie repérables ; scan du cœur ne vaut pas possession.</x:v>
      </x:c>
      <x:c r="I89" s="9" t="str">
        <x:v>Épave gigantesque et conduits.</x:v>
      </x:c>
      <x:c r="J89" s="9" t="str">
        <x:v>Transitions de caméra et d’interface interruptibles ; aucun délai d’animation ne doit consommer une décision encore ouverte.</x:v>
      </x:c>
      <x:c r="K89" s="9" t="str">
        <x:v>Créer des bruitages et ambiances originaux adaptés au livrable ; sous-titrer les indices utiles et proposer un réglage indépendant des effets. Aucune extraction audio demandée.</x:v>
      </x:c>
      <x:c r="L89" s="9" t="str">
        <x:v>Prévu : fiche de données mea/side_quests/elaaden-derelict ; rattacher les ressources et états cités à cet identifiant. Aucun fichier de jeu créé par ce catalogue.</x:v>
      </x:c>
      <x:c r="M89" s="9" t="str"/>
      <x:c r="N89" s="9" t="str">
        <x:v>Le livrable « Investigate Remnant Derelict » possède une scène ou un scénario de contrôle ; ses règles proposées, ses conditions et ses retours visuels sont vérifiables séparément.</x:v>
      </x:c>
      <x:c r="O89" s="9" t="str"/>
      <x:c r="P89" s="9" t="str">
        <x:v>Investigate Remnant Derelict</x:v>
      </x:c>
      <x:c r="Q89" s="9" t="str">
        <x:v>MEA-SRC-ELAADEN-PAGE</x:v>
      </x:c>
      <x:c r="R89" s="9" t="str">
        <x:v>https://masseffect.fandom.com/wiki/Elaaden</x:v>
      </x:c>
      <x:c r="S89" s="9" t="str">
        <x:v>Spécification à réaliser. Les champs adaptation, gameplay, visual, animation, audio et implementation décrivent le fan game ; ils ne donnent pas des caractéristiques officielles de l’œuvre.</x:v>
      </x:c>
    </x:row>
    <x:row r="90" ht="68" customHeight="1">
      <x:c r="A90" s="19" t="str">
        <x:v>MEA-SQ-ELAADEN-PARLAY</x:v>
      </x:c>
      <x:c r="B90" s="7" t="str">
        <x:v>Parlay with the Krogan</x:v>
      </x:c>
      <x:c r="C90" s="15" t="str">
        <x:v>Défini</x:v>
      </x:c>
      <x:c r="D90" s="17" t="str">
        <x:v>Établi</x:v>
      </x:c>
      <x:c r="E90" s="17" t="str">
        <x:v>P1</x:v>
      </x:c>
      <x:c r="F90" s="7" t="str">
        <x:v>Négociation locale.</x:v>
      </x:c>
      <x:c r="G90" s="7" t="str">
        <x:v>Accès au dirigeant et clarification des demandes ; refus conserve piste d’objectifs restants.</x:v>
      </x:c>
      <x:c r="H90" s="7" t="str">
        <x:v>Accès au dirigeant et clarification des demandes ; refus conserve piste d’objectifs restants.</x:v>
      </x:c>
      <x:c r="I90" s="7" t="str">
        <x:v>Salle de Morda à New Tuchanka.</x:v>
      </x:c>
      <x:c r="J90" s="7" t="str">
        <x:v>Transitions de caméra et d’interface interruptibles ; aucun délai d’animation ne doit consommer une décision encore ouverte.</x:v>
      </x:c>
      <x:c r="K90" s="7" t="str">
        <x:v>Créer des bruitages et ambiances originaux adaptés au livrable ; sous-titrer les indices utiles et proposer un réglage indépendant des effets. Aucune extraction audio demandée.</x:v>
      </x:c>
      <x:c r="L90" s="7" t="str">
        <x:v>Prévu : fiche de données mea/side_quests/elaaden-parlay ; rattacher les ressources et états cités à cet identifiant. Aucun fichier de jeu créé par ce catalogue.</x:v>
      </x:c>
      <x:c r="M90" s="7" t="str"/>
      <x:c r="N90" s="7" t="str">
        <x:v>Le livrable « Parlay with the Krogan » possède une scène ou un scénario de contrôle ; ses règles proposées, ses conditions et ses retours visuels sont vérifiables séparément.</x:v>
      </x:c>
      <x:c r="O90" s="7" t="str"/>
      <x:c r="P90" s="7" t="str">
        <x:v>Parlay with the Krogan</x:v>
      </x:c>
      <x:c r="Q90" s="7" t="str">
        <x:v>MEA-SRC-ELAADEN-PAGE</x:v>
      </x:c>
      <x:c r="R90" s="7" t="str">
        <x:v>https://masseffect.fandom.com/wiki/Elaaden</x:v>
      </x:c>
      <x:c r="S90" s="7" t="str">
        <x:v>Spécification à réaliser. Les champs adaptation, gameplay, visual, animation, audio et implementation décrivent le fan game ; ils ne donnent pas des caractéristiques officielles de l’œuvre.</x:v>
      </x:c>
    </x:row>
    <x:row r="91" ht="68" customHeight="1">
      <x:c r="A91" s="18" t="str">
        <x:v>MEA-SQ-ELAADEN-SETTLE</x:v>
      </x:c>
      <x:c r="B91" s="9" t="str">
        <x:v>Settling Elaaden</x:v>
      </x:c>
      <x:c r="C91" s="15" t="str">
        <x:v>Défini</x:v>
      </x:c>
      <x:c r="D91" s="16" t="str">
        <x:v>Établi</x:v>
      </x:c>
      <x:c r="E91" s="16" t="str">
        <x:v>P1</x:v>
      </x:c>
      <x:c r="F91" s="9" t="str">
        <x:v>Fondation d’avant-poste.</x:v>
      </x:c>
      <x:c r="G91" s="9" t="str">
        <x:v>Accord local et conditions environnementales visibles ; ne pas faire surgir une colonie si le moteur est gardé et accord manquant.</x:v>
      </x:c>
      <x:c r="H91" s="9" t="str">
        <x:v>Accord local et conditions environnementales visibles ; ne pas faire surgir une colonie si le moteur est gardé et accord manquant.</x:v>
      </x:c>
      <x:c r="I91" s="9" t="str">
        <x:v>Site désertique et balise.</x:v>
      </x:c>
      <x:c r="J91" s="9" t="str">
        <x:v>Transitions de caméra et d’interface interruptibles ; aucun délai d’animation ne doit consommer une décision encore ouverte.</x:v>
      </x:c>
      <x:c r="K91" s="9" t="str">
        <x:v>Créer des bruitages et ambiances originaux adaptés au livrable ; sous-titrer les indices utiles et proposer un réglage indépendant des effets. Aucune extraction audio demandée.</x:v>
      </x:c>
      <x:c r="L91" s="9" t="str">
        <x:v>Prévu : fiche de données mea/side_quests/elaaden-settle ; rattacher les ressources et états cités à cet identifiant. Aucun fichier de jeu créé par ce catalogue.</x:v>
      </x:c>
      <x:c r="M91" s="9" t="str"/>
      <x:c r="N91" s="9" t="str">
        <x:v>Le livrable « Settling Elaaden » possède une scène ou un scénario de contrôle ; ses règles proposées, ses conditions et ses retours visuels sont vérifiables séparément.</x:v>
      </x:c>
      <x:c r="O91" s="9" t="str"/>
      <x:c r="P91" s="9" t="str">
        <x:v>Settling Elaaden</x:v>
      </x:c>
      <x:c r="Q91" s="9" t="str">
        <x:v>MEA-SRC-ELAADEN-PAGE</x:v>
      </x:c>
      <x:c r="R91" s="9" t="str">
        <x:v>https://masseffect.fandom.com/wiki/Elaaden</x:v>
      </x:c>
      <x:c r="S91" s="9" t="str">
        <x:v>Spécification à réaliser. Les champs adaptation, gameplay, visual, animation, audio et implementation décrivent le fan game ; ils ne donnent pas des caractéristiques officielles de l’œuvre.</x:v>
      </x:c>
    </x:row>
    <x:row r="92" ht="68" customHeight="1">
      <x:c r="A92" s="19" t="str">
        <x:v>MEA-SQ-ELAADEN-TAME</x:v>
      </x:c>
      <x:c r="B92" s="7" t="str">
        <x:v>Taming a Desert</x:v>
      </x:c>
      <x:c r="C92" s="15" t="str">
        <x:v>Défini</x:v>
      </x:c>
      <x:c r="D92" s="17" t="str">
        <x:v>Établi</x:v>
      </x:c>
      <x:c r="E92" s="17" t="str">
        <x:v>P1</x:v>
      </x:c>
      <x:c r="F92" s="7" t="str">
        <x:v>Arc du caveau d’Elaaden.</x:v>
      </x:c>
      <x:c r="G92" s="7" t="str">
        <x:v>Monolithes et caveau, purification puis mise à jour de danger ; les zones sous abri restent visuellement distinctes.</x:v>
      </x:c>
      <x:c r="H92" s="7" t="str">
        <x:v>Monolithes et caveau, purification puis mise à jour de danger ; les zones sous abri restent visuellement distinctes.</x:v>
      </x:c>
      <x:c r="I92" s="7" t="str">
        <x:v>Dunes et piliers reliquats.</x:v>
      </x:c>
      <x:c r="J92" s="7" t="str">
        <x:v>Transitions de caméra et d’interface interruptibles ; aucun délai d’animation ne doit consommer une décision encore ouverte.</x:v>
      </x:c>
      <x:c r="K92" s="7" t="str">
        <x:v>Créer des bruitages et ambiances originaux adaptés au livrable ; sous-titrer les indices utiles et proposer un réglage indépendant des effets. Aucune extraction audio demandée.</x:v>
      </x:c>
      <x:c r="L92" s="7" t="str">
        <x:v>Prévu : fiche de données mea/side_quests/elaaden-tame ; rattacher les ressources et états cités à cet identifiant. Aucun fichier de jeu créé par ce catalogue.</x:v>
      </x:c>
      <x:c r="M92" s="7" t="str"/>
      <x:c r="N92" s="7" t="str">
        <x:v>Le livrable « Taming a Desert » possède une scène ou un scénario de contrôle ; ses règles proposées, ses conditions et ses retours visuels sont vérifiables séparément.</x:v>
      </x:c>
      <x:c r="O92" s="7" t="str"/>
      <x:c r="P92" s="7" t="str">
        <x:v>Taming a Desert</x:v>
      </x:c>
      <x:c r="Q92" s="7" t="str">
        <x:v>MEA-SRC-ELAADEN-PAGE, MEA-SRC-HAZARD</x:v>
      </x:c>
      <x:c r="R92" s="7" t="str">
        <x:v>https://masseffect.fandom.com/wiki/Elaaden
https://masseffect.fandom.com/wiki/Hazard</x:v>
      </x:c>
      <x:c r="S92" s="7" t="str">
        <x:v>Spécification à réaliser. Les champs adaptation, gameplay, visual, animation, audio et implementation décrivent le fan game ; ils ne donnent pas des caractéristiques officielles de l’œuvre.</x:v>
      </x:c>
    </x:row>
    <x:row r="93" ht="68" customHeight="1">
      <x:c r="A93" s="18" t="str">
        <x:v>MEA-SQ-ELAADEN-WATER</x:v>
      </x:c>
      <x:c r="B93" s="9" t="str">
        <x:v>Water Supply</x:v>
      </x:c>
      <x:c r="C93" s="15" t="str">
        <x:v>Défini</x:v>
      </x:c>
      <x:c r="D93" s="16" t="str">
        <x:v>Établi</x:v>
      </x:c>
      <x:c r="E93" s="16" t="str">
        <x:v>P1</x:v>
      </x:c>
      <x:c r="F93" s="9" t="str">
        <x:v>Mission sur la distribution d’eau.</x:v>
      </x:c>
      <x:c r="G93" s="9" t="str">
        <x:v>Enquête puis décision de contrôle ; l’eau comme ressource narrative reste distincte d’un consommable de survie inventé.</x:v>
      </x:c>
      <x:c r="H93" s="9" t="str">
        <x:v>Enquête puis décision de contrôle ; l’eau comme ressource narrative reste distincte d’un consommable de survie inventé.</x:v>
      </x:c>
      <x:c r="I93" s="9" t="str">
        <x:v>Réservoir, pompe et échange local.</x:v>
      </x:c>
      <x:c r="J93" s="9" t="str">
        <x:v>Transitions de caméra et d’interface interruptibles ; aucun délai d’animation ne doit consommer une décision encore ouverte.</x:v>
      </x:c>
      <x:c r="K93" s="9" t="str">
        <x:v>Créer des bruitages et ambiances originaux adaptés au livrable ; sous-titrer les indices utiles et proposer un réglage indépendant des effets. Aucune extraction audio demandée.</x:v>
      </x:c>
      <x:c r="L93" s="9" t="str">
        <x:v>Prévu : fiche de données mea/side_quests/elaaden-water ; rattacher les ressources et états cités à cet identifiant. Aucun fichier de jeu créé par ce catalogue.</x:v>
      </x:c>
      <x:c r="M93" s="9" t="str"/>
      <x:c r="N93" s="9" t="str">
        <x:v>Le livrable « Water Supply » possède une scène ou un scénario de contrôle ; ses règles proposées, ses conditions et ses retours visuels sont vérifiables séparément.</x:v>
      </x:c>
      <x:c r="O93" s="9" t="str"/>
      <x:c r="P93" s="9" t="str">
        <x:v>Water Supply</x:v>
      </x:c>
      <x:c r="Q93" s="9" t="str">
        <x:v>MEA-SRC-ELAADEN-PAGE</x:v>
      </x:c>
      <x:c r="R93" s="9" t="str">
        <x:v>https://masseffect.fandom.com/wiki/Elaaden</x:v>
      </x:c>
      <x:c r="S93" s="9" t="str">
        <x:v>Spécification à réaliser. Les champs adaptation, gameplay, visual, animation, audio et implementation décrivent le fan game ; ils ne donnent pas des caractéristiques officielles de l’œuvre.</x:v>
      </x:c>
    </x:row>
    <x:row r="94" ht="68" customHeight="1">
      <x:c r="A94" s="19" t="str">
        <x:v>MEA-SQ-ELAADEN-ARCH</x:v>
      </x:c>
      <x:c r="B94" s="7" t="str">
        <x:v>Architect on Elaaden</x:v>
      </x:c>
      <x:c r="C94" s="15" t="str">
        <x:v>Défini</x:v>
      </x:c>
      <x:c r="D94" s="17" t="str">
        <x:v>Établi</x:v>
      </x:c>
      <x:c r="E94" s="17" t="str">
        <x:v>P1</x:v>
      </x:c>
      <x:c r="F94" s="7" t="str">
        <x:v>Combat d’Architecte.</x:v>
      </x:c>
      <x:c r="G94" s="7" t="str">
        <x:v>Déclencher arène hors routes civiles, objectifs membres/noyau lisibles ; sauvegarder avant lancement proposé.</x:v>
      </x:c>
      <x:c r="H94" s="7" t="str">
        <x:v>Déclencher arène hors routes civiles, objectifs membres/noyau lisibles ; sauvegarder avant lancement proposé.</x:v>
      </x:c>
      <x:c r="I94" s="7" t="str">
        <x:v>Machine géante au-dessus des dunes.</x:v>
      </x:c>
      <x:c r="J94" s="7" t="str">
        <x:v>Transitions de caméra et d’interface interruptibles ; aucun délai d’animation ne doit consommer une décision encore ouverte.</x:v>
      </x:c>
      <x:c r="K94" s="7" t="str">
        <x:v>Créer des bruitages et ambiances originaux adaptés au livrable ; sous-titrer les indices utiles et proposer un réglage indépendant des effets. Aucune extraction audio demandée.</x:v>
      </x:c>
      <x:c r="L94" s="7" t="str">
        <x:v>Prévu : fiche de données mea/side_quests/elaaden-arch ; rattacher les ressources et états cités à cet identifiant. Aucun fichier de jeu créé par ce catalogue.</x:v>
      </x:c>
      <x:c r="M94" s="7" t="str"/>
      <x:c r="N94" s="7" t="str">
        <x:v>Le livrable « Architect on Elaaden » possède une scène ou un scénario de contrôle ; ses règles proposées, ses conditions et ses retours visuels sont vérifiables séparément.</x:v>
      </x:c>
      <x:c r="O94" s="7" t="str"/>
      <x:c r="P94" s="7" t="str">
        <x:v>Architect on Elaaden</x:v>
      </x:c>
      <x:c r="Q94" s="7" t="str">
        <x:v>MEA-SRC-ELAADEN-PAGE</x:v>
      </x:c>
      <x:c r="R94" s="7" t="str">
        <x:v>https://masseffect.fandom.com/wiki/Elaaden</x:v>
      </x:c>
      <x:c r="S94" s="7" t="str">
        <x:v>Spécification à réaliser. Les champs adaptation, gameplay, visual, animation, audio et implementation décrivent le fan game ; ils ne donnent pas des caractéristiques officielles de l’œuvre.</x:v>
      </x:c>
    </x:row>
    <x:row r="95" ht="68" customHeight="1">
      <x:c r="A95" s="18" t="str">
        <x:v>MEA-SQ-ELAADEN-FLOP</x:v>
      </x:c>
      <x:c r="B95" s="9" t="str">
        <x:v>The Flophouse</x:v>
      </x:c>
      <x:c r="C95" s="15" t="str">
        <x:v>Défini</x:v>
      </x:c>
      <x:c r="D95" s="16" t="str">
        <x:v>Établi</x:v>
      </x:c>
      <x:c r="E95" s="16" t="str">
        <x:v>P1</x:v>
      </x:c>
      <x:c r="F95" s="9" t="str">
        <x:v>Mission contre un repaire.</x:v>
      </x:c>
      <x:c r="G95" s="9" t="str">
        <x:v>Reconnaissance puis assaut à plusieurs entrées ; contrôler renforts et retours Nomad pour éviter réinitialisation abusive.</x:v>
      </x:c>
      <x:c r="H95" s="9" t="str">
        <x:v>Reconnaissance puis assaut à plusieurs entrées ; contrôler renforts et retours Nomad pour éviter réinitialisation abusive.</x:v>
      </x:c>
      <x:c r="I95" s="9" t="str">
        <x:v>Base de hors-la-loi et containers.</x:v>
      </x:c>
      <x:c r="J95" s="9" t="str">
        <x:v>Transitions de caméra et d’interface interruptibles ; aucun délai d’animation ne doit consommer une décision encore ouverte.</x:v>
      </x:c>
      <x:c r="K95" s="9" t="str">
        <x:v>Créer des bruitages et ambiances originaux adaptés au livrable ; sous-titrer les indices utiles et proposer un réglage indépendant des effets. Aucune extraction audio demandée.</x:v>
      </x:c>
      <x:c r="L95" s="9" t="str">
        <x:v>Prévu : fiche de données mea/side_quests/elaaden-flop ; rattacher les ressources et états cités à cet identifiant. Aucun fichier de jeu créé par ce catalogue.</x:v>
      </x:c>
      <x:c r="M95" s="9" t="str"/>
      <x:c r="N95" s="9" t="str">
        <x:v>Le livrable « The Flophouse » possède une scène ou un scénario de contrôle ; ses règles proposées, ses conditions et ses retours visuels sont vérifiables séparément.</x:v>
      </x:c>
      <x:c r="O95" s="9" t="str"/>
      <x:c r="P95" s="9" t="str">
        <x:v>The Flophouse</x:v>
      </x:c>
      <x:c r="Q95" s="9" t="str">
        <x:v>MEA-SRC-ELAADEN-PAGE</x:v>
      </x:c>
      <x:c r="R95" s="9" t="str">
        <x:v>https://masseffect.fandom.com/wiki/Elaaden</x:v>
      </x:c>
      <x:c r="S95" s="9" t="str">
        <x:v>Spécification à réaliser. Les champs adaptation, gameplay, visual, animation, audio et implementation décrivent le fan game ; ils ne donnent pas des caractéristiques officielles de l’œuvre.</x:v>
      </x:c>
    </x:row>
    <x:row r="96" ht="68" customHeight="1">
      <x:c r="A96" s="19" t="str">
        <x:v>MEA-SQ-ELAADEN-OKEER</x:v>
      </x:c>
      <x:c r="B96" s="7" t="str">
        <x:v>Save Dr. Okeer’s Krogan Research</x:v>
      </x:c>
      <x:c r="C96" s="15" t="str">
        <x:v>Défini</x:v>
      </x:c>
      <x:c r="D96" s="17" t="str">
        <x:v>Établi</x:v>
      </x:c>
      <x:c r="E96" s="17" t="str">
        <x:v>P1</x:v>
      </x:c>
      <x:c r="F96" s="7" t="str">
        <x:v>Mission de données d’Okeer.</x:v>
      </x:c>
      <x:c r="G96" s="7" t="str">
        <x:v>Récupérer archives avec provenance ; n’implique ni présence vivante d’Okeer ni rencontre avec Grunt.</x:v>
      </x:c>
      <x:c r="H96" s="7" t="str">
        <x:v>Récupérer archives avec provenance ; n’implique ni présence vivante d’Okeer ni rencontre avec Grunt.</x:v>
      </x:c>
      <x:c r="I96" s="7" t="str">
        <x:v>Support de recherche krogan.</x:v>
      </x:c>
      <x:c r="J96" s="7" t="str">
        <x:v>Transitions de caméra et d’interface interruptibles ; aucun délai d’animation ne doit consommer une décision encore ouverte.</x:v>
      </x:c>
      <x:c r="K96" s="7" t="str">
        <x:v>Créer des bruitages et ambiances originaux adaptés au livrable ; sous-titrer les indices utiles et proposer un réglage indépendant des effets. Aucune extraction audio demandée.</x:v>
      </x:c>
      <x:c r="L96" s="7" t="str">
        <x:v>Prévu : fiche de données mea/side_quests/elaaden-okeer ; rattacher les ressources et états cités à cet identifiant. Aucun fichier de jeu créé par ce catalogue.</x:v>
      </x:c>
      <x:c r="M96" s="7" t="str"/>
      <x:c r="N96" s="7" t="str">
        <x:v>Le livrable « Save Dr. Okeer’s Krogan Research » possède une scène ou un scénario de contrôle ; ses règles proposées, ses conditions et ses retours visuels sont vérifiables séparément.</x:v>
      </x:c>
      <x:c r="O96" s="7" t="str"/>
      <x:c r="P96" s="7" t="str">
        <x:v>Save Dr. Okeer’s Krogan Research</x:v>
      </x:c>
      <x:c r="Q96" s="7" t="str">
        <x:v>MEA-SRC-ELAADEN-PAGE</x:v>
      </x:c>
      <x:c r="R96" s="7" t="str">
        <x:v>https://masseffect.fandom.com/wiki/Elaaden</x:v>
      </x:c>
      <x:c r="S96" s="7" t="str">
        <x:v>Spécification à réaliser. Les champs adaptation, gameplay, visual, animation, audio et implementation décrivent le fan game ; ils ne donnent pas des caractéristiques officielles de l’œuvre.</x:v>
      </x:c>
    </x:row>
    <x:row r="97" ht="68" customHeight="1">
      <x:c r="A97" s="18" t="str">
        <x:v>MEA-SQ-ELAADEN-CONFLICT</x:v>
      </x:c>
      <x:c r="B97" s="9" t="str">
        <x:v>Conflict in the Colony</x:v>
      </x:c>
      <x:c r="C97" s="15" t="str">
        <x:v>Défini</x:v>
      </x:c>
      <x:c r="D97" s="16" t="str">
        <x:v>Établi</x:v>
      </x:c>
      <x:c r="E97" s="16" t="str">
        <x:v>P1</x:v>
      </x:c>
      <x:c r="F97" s="9" t="str">
        <x:v>Mission de New Tuchanka.</x:v>
      </x:c>
      <x:c r="G97" s="9" t="str">
        <x:v>Entretiens de conflit interne et preuves ; décision finale conservée distinctement de la relation globale Initiative/krogans.</x:v>
      </x:c>
      <x:c r="H97" s="9" t="str">
        <x:v>Entretiens de conflit interne et preuves ; décision finale conservée distinctement de la relation globale Initiative/krogans.</x:v>
      </x:c>
      <x:c r="I97" s="9" t="str">
        <x:v>Quartier de colonie et témoignages.</x:v>
      </x:c>
      <x:c r="J97" s="9" t="str">
        <x:v>Transitions de caméra et d’interface interruptibles ; aucun délai d’animation ne doit consommer une décision encore ouverte.</x:v>
      </x:c>
      <x:c r="K97" s="9" t="str">
        <x:v>Créer des bruitages et ambiances originaux adaptés au livrable ; sous-titrer les indices utiles et proposer un réglage indépendant des effets. Aucune extraction audio demandée.</x:v>
      </x:c>
      <x:c r="L97" s="9" t="str">
        <x:v>Prévu : fiche de données mea/side_quests/elaaden-conflict ; rattacher les ressources et états cités à cet identifiant. Aucun fichier de jeu créé par ce catalogue.</x:v>
      </x:c>
      <x:c r="M97" s="9" t="str"/>
      <x:c r="N97" s="9" t="str">
        <x:v>Le livrable « Conflict in the Colony » possède une scène ou un scénario de contrôle ; ses règles proposées, ses conditions et ses retours visuels sont vérifiables séparément.</x:v>
      </x:c>
      <x:c r="O97" s="9" t="str"/>
      <x:c r="P97" s="9" t="str">
        <x:v>Conflict in the Colony</x:v>
      </x:c>
      <x:c r="Q97" s="9" t="str">
        <x:v>MEA-SRC-ELAADEN-PAGE</x:v>
      </x:c>
      <x:c r="R97" s="9" t="str">
        <x:v>https://masseffect.fandom.com/wiki/Elaaden</x:v>
      </x:c>
      <x:c r="S97" s="9" t="str">
        <x:v>Spécification à réaliser. Les champs adaptation, gameplay, visual, animation, audio et implementation décrivent le fan game ; ils ne donnent pas des caractéristiques officielles de l’œuvre.</x:v>
      </x:c>
    </x:row>
    <x:row r="98" ht="68" customHeight="1">
      <x:c r="A98" s="19" t="str">
        <x:v>MEA-SQ-ELAADEN-LJETA</x:v>
      </x:c>
      <x:c r="B98" s="7" t="str">
        <x:v>The Search for Ljeta</x:v>
      </x:c>
      <x:c r="C98" s="15" t="str">
        <x:v>Défini</x:v>
      </x:c>
      <x:c r="D98" s="17" t="str">
        <x:v>Établi</x:v>
      </x:c>
      <x:c r="E98" s="17" t="str">
        <x:v>P1</x:v>
      </x:c>
      <x:c r="F98" s="7" t="str">
        <x:v>Mission de recherche personnelle.</x:v>
      </x:c>
      <x:c r="G98" s="7" t="str">
        <x:v>Suivi d’une personne par informations nommées ; issue sociale sans boss ajouté par convenance.</x:v>
      </x:c>
      <x:c r="H98" s="7" t="str">
        <x:v>Suivi d’une personne par informations nommées ; issue sociale sans boss ajouté par convenance.</x:v>
      </x:c>
      <x:c r="I98" s="7" t="str">
        <x:v>Camp et piste de voyage.</x:v>
      </x:c>
      <x:c r="J98" s="7" t="str">
        <x:v>Transitions de caméra et d’interface interruptibles ; aucun délai d’animation ne doit consommer une décision encore ouverte.</x:v>
      </x:c>
      <x:c r="K98" s="7" t="str">
        <x:v>Créer des bruitages et ambiances originaux adaptés au livrable ; sous-titrer les indices utiles et proposer un réglage indépendant des effets. Aucune extraction audio demandée.</x:v>
      </x:c>
      <x:c r="L98" s="7" t="str">
        <x:v>Prévu : fiche de données mea/side_quests/elaaden-ljeta ; rattacher les ressources et états cités à cet identifiant. Aucun fichier de jeu créé par ce catalogue.</x:v>
      </x:c>
      <x:c r="M98" s="7" t="str"/>
      <x:c r="N98" s="7" t="str">
        <x:v>Le livrable « The Search for Ljeta » possède une scène ou un scénario de contrôle ; ses règles proposées, ses conditions et ses retours visuels sont vérifiables séparément.</x:v>
      </x:c>
      <x:c r="O98" s="7" t="str"/>
      <x:c r="P98" s="7" t="str">
        <x:v>The Search for Ljeta</x:v>
      </x:c>
      <x:c r="Q98" s="7" t="str">
        <x:v>MEA-SRC-ELAADEN-PAGE</x:v>
      </x:c>
      <x:c r="R98" s="7" t="str">
        <x:v>https://masseffect.fandom.com/wiki/Elaaden</x:v>
      </x:c>
      <x:c r="S98" s="7" t="str">
        <x:v>Spécification à réaliser. Les champs adaptation, gameplay, visual, animation, audio et implementation décrivent le fan game ; ils ne donnent pas des caractéristiques officielles de l’œuvre.</x:v>
      </x:c>
    </x:row>
    <x:row r="99" ht="68" customHeight="1">
      <x:c r="A99" s="18" t="str">
        <x:v>MEA-SQ-ELAADEN-GRAY</x:v>
      </x:c>
      <x:c r="B99" s="9" t="str">
        <x:v>Gray Matter</x:v>
      </x:c>
      <x:c r="C99" s="15" t="str">
        <x:v>Défini</x:v>
      </x:c>
      <x:c r="D99" s="16" t="str">
        <x:v>Établi</x:v>
      </x:c>
      <x:c r="E99" s="16" t="str">
        <x:v>P1</x:v>
      </x:c>
      <x:c r="F99" s="9" t="str">
        <x:v>Mission d’Elaaden.</x:v>
      </x:c>
      <x:c r="G99" s="9" t="str">
        <x:v>Recherche de matériel et conversation technique ; scan confirme la bonne pièce avant récupération.</x:v>
      </x:c>
      <x:c r="H99" s="9" t="str">
        <x:v>Recherche de matériel et conversation technique ; scan confirme la bonne pièce avant récupération.</x:v>
      </x:c>
      <x:c r="I99" s="9" t="str">
        <x:v>Pièces et atelier improvisé.</x:v>
      </x:c>
      <x:c r="J99" s="9" t="str">
        <x:v>Transitions de caméra et d’interface interruptibles ; aucun délai d’animation ne doit consommer une décision encore ouverte.</x:v>
      </x:c>
      <x:c r="K99" s="9" t="str">
        <x:v>Créer des bruitages et ambiances originaux adaptés au livrable ; sous-titrer les indices utiles et proposer un réglage indépendant des effets. Aucune extraction audio demandée.</x:v>
      </x:c>
      <x:c r="L99" s="9" t="str">
        <x:v>Prévu : fiche de données mea/side_quests/elaaden-gray ; rattacher les ressources et états cités à cet identifiant. Aucun fichier de jeu créé par ce catalogue.</x:v>
      </x:c>
      <x:c r="M99" s="9" t="str"/>
      <x:c r="N99" s="9" t="str">
        <x:v>Le livrable « Gray Matter » possède une scène ou un scénario de contrôle ; ses règles proposées, ses conditions et ses retours visuels sont vérifiables séparément.</x:v>
      </x:c>
      <x:c r="O99" s="9" t="str"/>
      <x:c r="P99" s="9" t="str">
        <x:v>Gray Matter</x:v>
      </x:c>
      <x:c r="Q99" s="9" t="str">
        <x:v>MEA-SRC-ELAADEN-PAGE</x:v>
      </x:c>
      <x:c r="R99" s="9" t="str">
        <x:v>https://masseffect.fandom.com/wiki/Elaaden</x:v>
      </x:c>
      <x:c r="S99" s="9" t="str">
        <x:v>Spécification à réaliser. Les champs adaptation, gameplay, visual, animation, audio et implementation décrivent le fan game ; ils ne donnent pas des caractéristiques officielles de l’œuvre.</x:v>
      </x:c>
    </x:row>
    <x:row r="100" ht="68" customHeight="1">
      <x:c r="A100" s="19" t="str">
        <x:v>MEA-SQ-H047C-DUST</x:v>
      </x:c>
      <x:c r="B100" s="7" t="str">
        <x:v>From the Dust</x:v>
      </x:c>
      <x:c r="C100" s="15" t="str">
        <x:v>Défini</x:v>
      </x:c>
      <x:c r="D100" s="17" t="str">
        <x:v>Établi</x:v>
      </x:c>
      <x:c r="E100" s="17" t="str">
        <x:v>P1</x:v>
      </x:c>
      <x:c r="F100" s="7" t="str">
        <x:v>Mission sur H-047c.</x:v>
      </x:c>
      <x:c r="G100" s="7" t="str">
        <x:v>Conduite entre dômes et récupération dans sites pressurisés ; sortie Nomad impossible dans le vide hors transition sûre.</x:v>
      </x:c>
      <x:c r="H100" s="7" t="str">
        <x:v>Conduite entre dômes et récupération dans sites pressurisés ; sortie Nomad impossible dans le vide hors transition sûre.</x:v>
      </x:c>
      <x:c r="I100" s="7" t="str">
        <x:v>Dômes miniers et minerai.</x:v>
      </x:c>
      <x:c r="J100" s="7" t="str">
        <x:v>Transitions de caméra et d’interface interruptibles ; aucun délai d’animation ne doit consommer une décision encore ouverte.</x:v>
      </x:c>
      <x:c r="K100" s="7" t="str">
        <x:v>Créer des bruitages et ambiances originaux adaptés au livrable ; sous-titrer les indices utiles et proposer un réglage indépendant des effets. Aucune extraction audio demandée.</x:v>
      </x:c>
      <x:c r="L100" s="7" t="str">
        <x:v>Prévu : fiche de données mea/side_quests/h047c-dust ; rattacher les ressources et états cités à cet identifiant. Aucun fichier de jeu créé par ce catalogue.</x:v>
      </x:c>
      <x:c r="M100" s="7" t="str"/>
      <x:c r="N100" s="7" t="str">
        <x:v>Le livrable « From the Dust » possède une scène ou un scénario de contrôle ; ses règles proposées, ses conditions et ses retours visuels sont vérifiables séparément.</x:v>
      </x:c>
      <x:c r="O100" s="7" t="str"/>
      <x:c r="P100" s="7" t="str">
        <x:v>From the Dust</x:v>
      </x:c>
      <x:c r="Q100" s="7" t="str">
        <x:v>MEA-SRC-MISSIONS, MEA-SRC-HAZARD</x:v>
      </x:c>
      <x:c r="R100" s="7" t="str">
        <x:v>https://masseffect.fandom.com/wiki/Missions_%28Mass_Effect%3A_Andromeda%29
https://masseffect.fandom.com/wiki/Hazard</x:v>
      </x:c>
      <x:c r="S100" s="7" t="str">
        <x:v>Spécification à réaliser. Les champs adaptation, gameplay, visual, animation, audio et implementation décrivent le fan game ; ils ne donnent pas des caractéristiques officielles de l’œuvre.</x:v>
      </x:c>
    </x:row>
    <x:row r="101" ht="68" customHeight="1">
      <x:c r="A101" s="18" t="str">
        <x:v>MEA-SQ-H047C-TILLER</x:v>
      </x:c>
      <x:c r="B101" s="9" t="str">
        <x:v>The Remnant Tiller</x:v>
      </x:c>
      <x:c r="C101" s="15" t="str">
        <x:v>Défini</x:v>
      </x:c>
      <x:c r="D101" s="16" t="str">
        <x:v>Établi</x:v>
      </x:c>
      <x:c r="E101" s="16" t="str">
        <x:v>P1</x:v>
      </x:c>
      <x:c r="F101" s="9" t="str">
        <x:v>Mission reliquate sur H-047c.</x:v>
      </x:c>
      <x:c r="G101" s="9" t="str">
        <x:v>Caveau avec machines et accès interne ; sommet de plateforme et sol distincts pour sélection ATB.</x:v>
      </x:c>
      <x:c r="H101" s="9" t="str">
        <x:v>Caveau avec machines et accès interne ; sommet de plateforme et sol distincts pour sélection ATB.</x:v>
      </x:c>
      <x:c r="I101" s="9" t="str">
        <x:v>Foreuse reliquate et salle géométrique.</x:v>
      </x:c>
      <x:c r="J101" s="9" t="str">
        <x:v>Transitions de caméra et d’interface interruptibles ; aucun délai d’animation ne doit consommer une décision encore ouverte.</x:v>
      </x:c>
      <x:c r="K101" s="9" t="str">
        <x:v>Créer des bruitages et ambiances originaux adaptés au livrable ; sous-titrer les indices utiles et proposer un réglage indépendant des effets. Aucune extraction audio demandée.</x:v>
      </x:c>
      <x:c r="L101" s="9" t="str">
        <x:v>Prévu : fiche de données mea/side_quests/h047c-tiller ; rattacher les ressources et états cités à cet identifiant. Aucun fichier de jeu créé par ce catalogue.</x:v>
      </x:c>
      <x:c r="M101" s="9" t="str"/>
      <x:c r="N101" s="9" t="str">
        <x:v>Le livrable « The Remnant Tiller » possède une scène ou un scénario de contrôle ; ses règles proposées, ses conditions et ses retours visuels sont vérifiables séparément.</x:v>
      </x:c>
      <x:c r="O101" s="9" t="str"/>
      <x:c r="P101" s="9" t="str">
        <x:v>The Remnant Tiller</x:v>
      </x:c>
      <x:c r="Q101" s="9" t="str">
        <x:v>MEA-SRC-MISSIONS</x:v>
      </x:c>
      <x:c r="R101" s="9" t="str">
        <x:v>https://masseffect.fandom.com/wiki/Missions_%28Mass_Effect%3A_Andromeda%29</x:v>
      </x:c>
      <x:c r="S101" s="9" t="str">
        <x:v>Spécification à réaliser. Les champs adaptation, gameplay, visual, animation, audio et implementation décrivent le fan game ; ils ne donnent pas des caractéristiques officielles de l’œuvre.</x:v>
      </x:c>
    </x:row>
    <x:row r="102" ht="68" customHeight="1">
      <x:c r="A102" s="19" t="str">
        <x:v>MEA-SQ-AYA-HISTORY</x:v>
      </x:c>
      <x:c r="B102" s="7" t="str">
        <x:v>Forgotten History</x:v>
      </x:c>
      <x:c r="C102" s="15" t="str">
        <x:v>Défini</x:v>
      </x:c>
      <x:c r="D102" s="17" t="str">
        <x:v>Établi</x:v>
      </x:c>
      <x:c r="E102" s="17" t="str">
        <x:v>P1</x:v>
      </x:c>
      <x:c r="F102" s="7" t="str">
        <x:v>Mission d’archives sur Aya.</x:v>
      </x:c>
      <x:c r="G102" s="7" t="str">
        <x:v>Examiner objets culturels avec descriptions originales courtes ; aucune extraction de longs textes de codex.</x:v>
      </x:c>
      <x:c r="H102" s="7" t="str">
        <x:v>Examiner objets culturels avec descriptions originales courtes ; aucune extraction de longs textes de codex.</x:v>
      </x:c>
      <x:c r="I102" s="7" t="str">
        <x:v>Musée et vitrines.</x:v>
      </x:c>
      <x:c r="J102" s="7" t="str">
        <x:v>Transitions de caméra et d’interface interruptibles ; aucun délai d’animation ne doit consommer une décision encore ouverte.</x:v>
      </x:c>
      <x:c r="K102" s="7" t="str">
        <x:v>Créer des bruitages et ambiances originaux adaptés au livrable ; sous-titrer les indices utiles et proposer un réglage indépendant des effets. Aucune extraction audio demandée.</x:v>
      </x:c>
      <x:c r="L102" s="7" t="str">
        <x:v>Prévu : fiche de données mea/side_quests/aya-history ; rattacher les ressources et états cités à cet identifiant. Aucun fichier de jeu créé par ce catalogue.</x:v>
      </x:c>
      <x:c r="M102" s="7" t="str"/>
      <x:c r="N102" s="7" t="str">
        <x:v>Le livrable « Forgotten History » possède une scène ou un scénario de contrôle ; ses règles proposées, ses conditions et ses retours visuels sont vérifiables séparément.</x:v>
      </x:c>
      <x:c r="O102" s="7" t="str"/>
      <x:c r="P102" s="7" t="str">
        <x:v>Forgotten History</x:v>
      </x:c>
      <x:c r="Q102" s="7" t="str">
        <x:v>MEA-SRC-AYA-PAGE</x:v>
      </x:c>
      <x:c r="R102" s="7" t="str">
        <x:v>https://masseffect.fandom.com/wiki/Aya</x:v>
      </x:c>
      <x:c r="S102" s="7" t="str">
        <x:v>Spécification à réaliser. Les champs adaptation, gameplay, visual, animation, audio et implementation décrivent le fan game ; ils ne donnent pas des caractéristiques officielles de l’œuvre.</x:v>
      </x:c>
    </x:row>
    <x:row r="103" ht="68" customHeight="1">
      <x:c r="A103" s="18" t="str">
        <x:v>MEA-SQ-AYA-PAST</x:v>
      </x:c>
      <x:c r="B103" s="9" t="str">
        <x:v>Recovering the Past</x:v>
      </x:c>
      <x:c r="C103" s="15" t="str">
        <x:v>Défini</x:v>
      </x:c>
      <x:c r="D103" s="16" t="str">
        <x:v>Établi</x:v>
      </x:c>
      <x:c r="E103" s="16" t="str">
        <x:v>P1</x:v>
      </x:c>
      <x:c r="F103" s="9" t="str">
        <x:v>Mission d’exploration historique.</x:v>
      </x:c>
      <x:c r="G103" s="9" t="str">
        <x:v>Collecter preuves de passé local puis remise ; chaque objet porte une provenance et un destinataire.</x:v>
      </x:c>
      <x:c r="H103" s="9" t="str">
        <x:v>Collecter preuves de passé local puis remise ; chaque objet porte une provenance et un destinataire.</x:v>
      </x:c>
      <x:c r="I103" s="9" t="str">
        <x:v>Artefacts et témoignages angara.</x:v>
      </x:c>
      <x:c r="J103" s="9" t="str">
        <x:v>Transitions de caméra et d’interface interruptibles ; aucun délai d’animation ne doit consommer une décision encore ouverte.</x:v>
      </x:c>
      <x:c r="K103" s="9" t="str">
        <x:v>Créer des bruitages et ambiances originaux adaptés au livrable ; sous-titrer les indices utiles et proposer un réglage indépendant des effets. Aucune extraction audio demandée.</x:v>
      </x:c>
      <x:c r="L103" s="9" t="str">
        <x:v>Prévu : fiche de données mea/side_quests/aya-past ; rattacher les ressources et états cités à cet identifiant. Aucun fichier de jeu créé par ce catalogue.</x:v>
      </x:c>
      <x:c r="M103" s="9" t="str"/>
      <x:c r="N103" s="9" t="str">
        <x:v>Le livrable « Recovering the Past » possède une scène ou un scénario de contrôle ; ses règles proposées, ses conditions et ses retours visuels sont vérifiables séparément.</x:v>
      </x:c>
      <x:c r="O103" s="9" t="str"/>
      <x:c r="P103" s="9" t="str">
        <x:v>Recovering the Past</x:v>
      </x:c>
      <x:c r="Q103" s="9" t="str">
        <x:v>MEA-SRC-AYA-PAGE</x:v>
      </x:c>
      <x:c r="R103" s="9" t="str">
        <x:v>https://masseffect.fandom.com/wiki/Aya</x:v>
      </x:c>
      <x:c r="S103" s="9" t="str">
        <x:v>Spécification à réaliser. Les champs adaptation, gameplay, visual, animation, audio et implementation décrivent le fan game ; ils ne donnent pas des caractéristiques officielles de l’œuvre.</x:v>
      </x:c>
    </x:row>
    <x:row r="104" ht="68" customHeight="1">
      <x:c r="A104" s="19" t="str">
        <x:v>MEA-SQ-AYA-JOURNEYS</x:v>
      </x:c>
      <x:c r="B104" s="7" t="str">
        <x:v>Safe Journeys</x:v>
      </x:c>
      <x:c r="C104" s="15" t="str">
        <x:v>Défini</x:v>
      </x:c>
      <x:c r="D104" s="17" t="str">
        <x:v>Établi</x:v>
      </x:c>
      <x:c r="E104" s="17" t="str">
        <x:v>P1</x:v>
      </x:c>
      <x:c r="F104" s="7" t="str">
        <x:v>Mission de voyage angara.</x:v>
      </x:c>
      <x:c r="G104" s="7" t="str">
        <x:v>Suivre disparition ou route de voyage par balises ; distinguer objectif scanné et rapport remis.</x:v>
      </x:c>
      <x:c r="H104" s="7" t="str">
        <x:v>Suivre disparition ou route de voyage par balises ; distinguer objectif scanné et rapport remis.</x:v>
      </x:c>
      <x:c r="I104" s="7" t="str">
        <x:v>Carte, traces et camp.</x:v>
      </x:c>
      <x:c r="J104" s="7" t="str">
        <x:v>Transitions de caméra et d’interface interruptibles ; aucun délai d’animation ne doit consommer une décision encore ouverte.</x:v>
      </x:c>
      <x:c r="K104" s="7" t="str">
        <x:v>Créer des bruitages et ambiances originaux adaptés au livrable ; sous-titrer les indices utiles et proposer un réglage indépendant des effets. Aucune extraction audio demandée.</x:v>
      </x:c>
      <x:c r="L104" s="7" t="str">
        <x:v>Prévu : fiche de données mea/side_quests/aya-journeys ; rattacher les ressources et états cités à cet identifiant. Aucun fichier de jeu créé par ce catalogue.</x:v>
      </x:c>
      <x:c r="M104" s="7" t="str"/>
      <x:c r="N104" s="7" t="str">
        <x:v>Le livrable « Safe Journeys » possède une scène ou un scénario de contrôle ; ses règles proposées, ses conditions et ses retours visuels sont vérifiables séparément.</x:v>
      </x:c>
      <x:c r="O104" s="7" t="str"/>
      <x:c r="P104" s="7" t="str">
        <x:v>Safe Journeys</x:v>
      </x:c>
      <x:c r="Q104" s="7" t="str">
        <x:v>MEA-SRC-AYA-PAGE</x:v>
      </x:c>
      <x:c r="R104" s="7" t="str">
        <x:v>https://masseffect.fandom.com/wiki/Aya</x:v>
      </x:c>
      <x:c r="S104" s="7" t="str">
        <x:v>Spécification à réaliser. Les champs adaptation, gameplay, visual, animation, audio et implementation décrivent le fan game ; ils ne donnent pas des caractéristiques officielles de l’œuvre.</x:v>
      </x:c>
    </x:row>
    <x:row r="105" ht="68" customHeight="1">
      <x:c r="A105" s="18" t="str">
        <x:v>MEA-SQ-AYA-VESAAL</x:v>
      </x:c>
      <x:c r="B105" s="9" t="str">
        <x:v>The Vesaal</x:v>
      </x:c>
      <x:c r="C105" s="15" t="str">
        <x:v>Défini</x:v>
      </x:c>
      <x:c r="D105" s="16" t="str">
        <x:v>Établi</x:v>
      </x:c>
      <x:c r="E105" s="16" t="str">
        <x:v>P1</x:v>
      </x:c>
      <x:c r="F105" s="9" t="str">
        <x:v>Mission culturelle angara.</x:v>
      </x:c>
      <x:c r="G105" s="9" t="str">
        <x:v>Interroger les personnes concernées par l’équilibre des arrivées et départs sur Aya ; journal explicite cette règle locale sans inventer un artefact à rapporter.</x:v>
      </x:c>
      <x:c r="H105" s="9" t="str">
        <x:v>Interroger les personnes concernées par l’équilibre des arrivées et départs sur Aya ; journal explicite cette règle locale sans inventer un artefact à rapporter.</x:v>
      </x:c>
      <x:c r="I105" s="9" t="str">
        <x:v>Résidents d’Aya, interlocuteurs de l’Initiative et registre de population.</x:v>
      </x:c>
      <x:c r="J105" s="9" t="str">
        <x:v>Transitions de caméra et d’interface interruptibles ; aucun délai d’animation ne doit consommer une décision encore ouverte.</x:v>
      </x:c>
      <x:c r="K105" s="9" t="str">
        <x:v>Créer des bruitages et ambiances originaux adaptés au livrable ; sous-titrer les indices utiles et proposer un réglage indépendant des effets. Aucune extraction audio demandée.</x:v>
      </x:c>
      <x:c r="L105" s="9" t="str">
        <x:v>Prévu : fiche de données mea/side_quests/aya-vesaal ; rattacher les ressources et états cités à cet identifiant. Aucun fichier de jeu créé par ce catalogue.</x:v>
      </x:c>
      <x:c r="M105" s="9" t="str"/>
      <x:c r="N105" s="9" t="str">
        <x:v>Le livrable « The Vesaal » possède une scène ou un scénario de contrôle ; ses règles proposées, ses conditions et ses retours visuels sont vérifiables séparément.</x:v>
      </x:c>
      <x:c r="O105" s="9" t="str"/>
      <x:c r="P105" s="9" t="str">
        <x:v>The Vesaal</x:v>
      </x:c>
      <x:c r="Q105" s="9" t="str">
        <x:v>MEA-SRC-VESAAL</x:v>
      </x:c>
      <x:c r="R105" s="9" t="str">
        <x:v>https://masseffect.fandom.com/wiki/The_Vesaal</x:v>
      </x:c>
      <x:c r="S105" s="9" t="str">
        <x:v>Spécification à réaliser. Les champs adaptation, gameplay, visual, animation, audio et implementation décrivent le fan game ; ils ne donnent pas des caractéristiques officielles de l’œuvre.</x:v>
      </x:c>
    </x:row>
    <x:row r="106" ht="68" customHeight="1">
      <x:c r="A106" s="19" t="str">
        <x:v>MEA-SQ-AYA-TRADE</x:v>
      </x:c>
      <x:c r="B106" s="7" t="str">
        <x:v>Trading Favors</x:v>
      </x:c>
      <x:c r="C106" s="15" t="str">
        <x:v>Défini</x:v>
      </x:c>
      <x:c r="D106" s="17" t="str">
        <x:v>Établi</x:v>
      </x:c>
      <x:c r="E106" s="17" t="str">
        <x:v>P1</x:v>
      </x:c>
      <x:c r="F106" s="7" t="str">
        <x:v>Mission d’échange.</x:v>
      </x:c>
      <x:c r="G106" s="7" t="str">
        <x:v>Chaîne d’interlocuteurs sans multiplication de trajet obligatoire ; journal précise ce qui est donné et reçu à chaque étape.</x:v>
      </x:c>
      <x:c r="H106" s="7" t="str">
        <x:v>Chaîne d’interlocuteurs sans multiplication de trajet obligatoire ; journal précise ce qui est donné et reçu à chaque étape.</x:v>
      </x:c>
      <x:c r="I106" s="7" t="str">
        <x:v>Marché et petits objets d’échange.</x:v>
      </x:c>
      <x:c r="J106" s="7" t="str">
        <x:v>Transitions de caméra et d’interface interruptibles ; aucun délai d’animation ne doit consommer une décision encore ouverte.</x:v>
      </x:c>
      <x:c r="K106" s="7" t="str">
        <x:v>Créer des bruitages et ambiances originaux adaptés au livrable ; sous-titrer les indices utiles et proposer un réglage indépendant des effets. Aucune extraction audio demandée.</x:v>
      </x:c>
      <x:c r="L106" s="7" t="str">
        <x:v>Prévu : fiche de données mea/side_quests/aya-trade ; rattacher les ressources et états cités à cet identifiant. Aucun fichier de jeu créé par ce catalogue.</x:v>
      </x:c>
      <x:c r="M106" s="7" t="str"/>
      <x:c r="N106" s="7" t="str">
        <x:v>Le livrable « Trading Favors » possède une scène ou un scénario de contrôle ; ses règles proposées, ses conditions et ses retours visuels sont vérifiables séparément.</x:v>
      </x:c>
      <x:c r="O106" s="7" t="str"/>
      <x:c r="P106" s="7" t="str">
        <x:v>Trading Favors</x:v>
      </x:c>
      <x:c r="Q106" s="7" t="str">
        <x:v>MEA-SRC-AYA-PAGE</x:v>
      </x:c>
      <x:c r="R106" s="7" t="str">
        <x:v>https://masseffect.fandom.com/wiki/Aya</x:v>
      </x:c>
      <x:c r="S106" s="7" t="str">
        <x:v>Spécification à réaliser. Les champs adaptation, gameplay, visual, animation, audio et implementation décrivent le fan game ; ils ne donnent pas des caractéristiques officielles de l’œuvre.</x:v>
      </x:c>
    </x:row>
    <x:row r="107" ht="68" customHeight="1">
      <x:c r="A107" s="18" t="str">
        <x:v>MEA-SQ-NEXUS-MURDER</x:v>
      </x:c>
      <x:c r="B107" s="9" t="str">
        <x:v>First Murderer</x:v>
      </x:c>
      <x:c r="C107" s="15" t="str">
        <x:v>Défini</x:v>
      </x:c>
      <x:c r="D107" s="16" t="str">
        <x:v>Établi</x:v>
      </x:c>
      <x:c r="E107" s="16" t="str">
        <x:v>P1</x:v>
      </x:c>
      <x:c r="F107" s="9" t="str">
        <x:v>Enquête sur Nilken Rensus.</x:v>
      </x:c>
      <x:c r="G107" s="9" t="str">
        <x:v>Scène de prison, preuves d’Eos puis verdict ; séparer intention de tirer et auteur réel du décès dans l’interface d’enquête.</x:v>
      </x:c>
      <x:c r="H107" s="9" t="str">
        <x:v>Scène de prison, preuves d’Eos puis verdict ; séparer intention de tirer et auteur réel du décès dans l’interface d’enquête.</x:v>
      </x:c>
      <x:c r="I107" s="9" t="str">
        <x:v>Cellule, logs et théâtre des faits.</x:v>
      </x:c>
      <x:c r="J107" s="9" t="str">
        <x:v>Transitions de caméra et d’interface interruptibles ; aucun délai d’animation ne doit consommer une décision encore ouverte.</x:v>
      </x:c>
      <x:c r="K107" s="9" t="str">
        <x:v>Créer des bruitages et ambiances originaux adaptés au livrable ; sous-titrer les indices utiles et proposer un réglage indépendant des effets. Aucune extraction audio demandée.</x:v>
      </x:c>
      <x:c r="L107" s="9" t="str">
        <x:v>Prévu : fiche de données mea/side_quests/nexus-murder ; rattacher les ressources et états cités à cet identifiant. Aucun fichier de jeu créé par ce catalogue.</x:v>
      </x:c>
      <x:c r="M107" s="9" t="str"/>
      <x:c r="N107" s="9" t="str">
        <x:v>Le livrable « First Murderer » possède une scène ou un scénario de contrôle ; ses règles proposées, ses conditions et ses retours visuels sont vérifiables séparément.</x:v>
      </x:c>
      <x:c r="O107" s="9" t="str"/>
      <x:c r="P107" s="9" t="str">
        <x:v>First Murderer</x:v>
      </x:c>
      <x:c r="Q107" s="9" t="str">
        <x:v>MEA-SRC-MURDER</x:v>
      </x:c>
      <x:c r="R107" s="9" t="str">
        <x:v>https://masseffect.fandom.com/wiki/First_Murderer</x:v>
      </x:c>
      <x:c r="S107" s="9" t="str">
        <x:v>Spécification à réaliser. Les champs adaptation, gameplay, visual, animation, audio et implementation décrivent le fan game ; ils ne donnent pas des caractéristiques officielles de l’œuvre.</x:v>
      </x:c>
    </x:row>
    <x:row r="108" ht="68" customHeight="1">
      <x:c r="A108" s="19" t="str">
        <x:v>MEA-SQ-NEXUS-CONTAGION</x:v>
      </x:c>
      <x:c r="B108" s="7" t="str">
        <x:v>Contagion</x:v>
      </x:c>
      <x:c r="C108" s="15" t="str">
        <x:v>Défini</x:v>
      </x:c>
      <x:c r="D108" s="17" t="str">
        <x:v>Établi</x:v>
      </x:c>
      <x:c r="E108" s="17" t="str">
        <x:v>P1</x:v>
      </x:c>
      <x:c r="F108" s="7" t="str">
        <x:v>Mission d’urgence médicale.</x:v>
      </x:c>
      <x:c r="G108" s="7" t="str">
        <x:v>Suivre patient et déplacement avec dossier d’état ; aucune épidémie en simulation hors règles réellement choisies.</x:v>
      </x:c>
      <x:c r="H108" s="7" t="str">
        <x:v>Suivre patient et déplacement avec dossier d’état ; aucune épidémie en simulation hors règles réellement choisies.</x:v>
      </x:c>
      <x:c r="I108" s="7" t="str">
        <x:v>Infirmerie, navette et traces.</x:v>
      </x:c>
      <x:c r="J108" s="7" t="str">
        <x:v>Transitions de caméra et d’interface interruptibles ; aucun délai d’animation ne doit consommer une décision encore ouverte.</x:v>
      </x:c>
      <x:c r="K108" s="7" t="str">
        <x:v>Créer des bruitages et ambiances originaux adaptés au livrable ; sous-titrer les indices utiles et proposer un réglage indépendant des effets. Aucune extraction audio demandée.</x:v>
      </x:c>
      <x:c r="L108" s="7" t="str">
        <x:v>Prévu : fiche de données mea/side_quests/nexus-contagion ; rattacher les ressources et états cités à cet identifiant. Aucun fichier de jeu créé par ce catalogue.</x:v>
      </x:c>
      <x:c r="M108" s="7" t="str"/>
      <x:c r="N108" s="7" t="str">
        <x:v>Le livrable « Contagion » possède une scène ou un scénario de contrôle ; ses règles proposées, ses conditions et ses retours visuels sont vérifiables séparément.</x:v>
      </x:c>
      <x:c r="O108" s="7" t="str"/>
      <x:c r="P108" s="7" t="str">
        <x:v>Contagion</x:v>
      </x:c>
      <x:c r="Q108" s="7" t="str">
        <x:v>MEA-SRC-MISSIONS</x:v>
      </x:c>
      <x:c r="R108" s="7" t="str">
        <x:v>https://masseffect.fandom.com/wiki/Missions_%28Mass_Effect%3A_Andromeda%29</x:v>
      </x:c>
      <x:c r="S108" s="7" t="str">
        <x:v>Spécification à réaliser. Les champs adaptation, gameplay, visual, animation, audio et implementation décrivent le fan game ; ils ne donnent pas des caractéristiques officielles de l’œuvre.</x:v>
      </x:c>
    </x:row>
    <x:row r="109" ht="68" customHeight="1">
      <x:c r="A109" s="18" t="str">
        <x:v>MEA-SQ-NEXUS-DRAGONS</x:v>
      </x:c>
      <x:c r="B109" s="9" t="str">
        <x:v>Sleeping Dragons</x:v>
      </x:c>
      <x:c r="C109" s="15" t="str">
        <x:v>Défini</x:v>
      </x:c>
      <x:c r="D109" s="16" t="str">
        <x:v>Établi</x:v>
      </x:c>
      <x:c r="E109" s="16" t="str">
        <x:v>P1</x:v>
      </x:c>
      <x:c r="F109" s="9" t="str">
        <x:v>Conflit de cryostase.</x:v>
      </x:c>
      <x:c r="G109" s="9" t="str">
        <x:v>Entretien collectif et décision de réveil ; afficher personnes concernées sans transformer morale en score Paragon/Renegade.</x:v>
      </x:c>
      <x:c r="H109" s="9" t="str">
        <x:v>Entretien collectif et décision de réveil ; afficher personnes concernées sans transformer morale en score Paragon/Renegade.</x:v>
      </x:c>
      <x:c r="I109" s="9" t="str">
        <x:v>Zone de protestation et pods.</x:v>
      </x:c>
      <x:c r="J109" s="9" t="str">
        <x:v>Transitions de caméra et d’interface interruptibles ; aucun délai d’animation ne doit consommer une décision encore ouverte.</x:v>
      </x:c>
      <x:c r="K109" s="9" t="str">
        <x:v>Créer des bruitages et ambiances originaux adaptés au livrable ; sous-titrer les indices utiles et proposer un réglage indépendant des effets. Aucune extraction audio demandée.</x:v>
      </x:c>
      <x:c r="L109" s="9" t="str">
        <x:v>Prévu : fiche de données mea/side_quests/nexus-dragons ; rattacher les ressources et états cités à cet identifiant. Aucun fichier de jeu créé par ce catalogue.</x:v>
      </x:c>
      <x:c r="M109" s="9" t="str"/>
      <x:c r="N109" s="9" t="str">
        <x:v>Le livrable « Sleeping Dragons » possède une scène ou un scénario de contrôle ; ses règles proposées, ses conditions et ses retours visuels sont vérifiables séparément.</x:v>
      </x:c>
      <x:c r="O109" s="9" t="str"/>
      <x:c r="P109" s="9" t="str">
        <x:v>Sleeping Dragons</x:v>
      </x:c>
      <x:c r="Q109" s="9" t="str">
        <x:v>MEA-SRC-DRAGONS</x:v>
      </x:c>
      <x:c r="R109" s="9" t="str">
        <x:v>https://masseffect.fandom.com/wiki/Sleeping_Dragons</x:v>
      </x:c>
      <x:c r="S109" s="9" t="str">
        <x:v>Spécification à réaliser. Les champs adaptation, gameplay, visual, animation, audio et implementation décrivent le fan game ; ils ne donnent pas des caractéristiques officielles de l’œuvre.</x:v>
      </x:c>
    </x:row>
    <x:row r="110" ht="68" customHeight="1">
      <x:c r="A110" s="19" t="str">
        <x:v>MEA-SQ-NEXUS-SABOTAGE</x:v>
      </x:c>
      <x:c r="B110" s="7" t="str">
        <x:v>Station Sabotage</x:v>
      </x:c>
      <x:c r="C110" s="15" t="str">
        <x:v>Défini</x:v>
      </x:c>
      <x:c r="D110" s="17" t="str">
        <x:v>Établi</x:v>
      </x:c>
      <x:c r="E110" s="17" t="str">
        <x:v>P1</x:v>
      </x:c>
      <x:c r="F110" s="7" t="str">
        <x:v>Enquête technique du Nexus.</x:v>
      </x:c>
      <x:c r="G110" s="7" t="str">
        <x:v>Scanner composants puis interroger ; sélectionner preuves avant accusation pour éviter validation involontaire.</x:v>
      </x:c>
      <x:c r="H110" s="7" t="str">
        <x:v>Scanner composants puis interroger ; sélectionner preuves avant accusation pour éviter validation involontaire.</x:v>
      </x:c>
      <x:c r="I110" s="7" t="str">
        <x:v>Conduites, consoles et traces d’énergie.</x:v>
      </x:c>
      <x:c r="J110" s="7" t="str">
        <x:v>Transitions de caméra et d’interface interruptibles ; aucun délai d’animation ne doit consommer une décision encore ouverte.</x:v>
      </x:c>
      <x:c r="K110" s="7" t="str">
        <x:v>Créer des bruitages et ambiances originaux adaptés au livrable ; sous-titrer les indices utiles et proposer un réglage indépendant des effets. Aucune extraction audio demandée.</x:v>
      </x:c>
      <x:c r="L110" s="7" t="str">
        <x:v>Prévu : fiche de données mea/side_quests/nexus-sabotage ; rattacher les ressources et états cités à cet identifiant. Aucun fichier de jeu créé par ce catalogue.</x:v>
      </x:c>
      <x:c r="M110" s="7" t="str"/>
      <x:c r="N110" s="7" t="str">
        <x:v>Le livrable « Station Sabotage » possède une scène ou un scénario de contrôle ; ses règles proposées, ses conditions et ses retours visuels sont vérifiables séparément.</x:v>
      </x:c>
      <x:c r="O110" s="7" t="str"/>
      <x:c r="P110" s="7" t="str">
        <x:v>Station Sabotage</x:v>
      </x:c>
      <x:c r="Q110" s="7" t="str">
        <x:v>MEA-SRC-MISSIONS</x:v>
      </x:c>
      <x:c r="R110" s="7" t="str">
        <x:v>https://masseffect.fandom.com/wiki/Missions_%28Mass_Effect%3A_Andromeda%29</x:v>
      </x:c>
      <x:c r="S110" s="7" t="str">
        <x:v>Spécification à réaliser. Les champs adaptation, gameplay, visual, animation, audio et implementation décrivent le fan game ; ils ne donnent pas des caractéristiques officielles de l’œuvre.</x:v>
      </x:c>
    </x:row>
    <x:row r="111" ht="68" customHeight="1">
      <x:c r="A111" s="18" t="str">
        <x:v>MEA-SQ-NEXUS-FIREFIGHT</x:v>
      </x:c>
      <x:c r="B111" s="9" t="str">
        <x:v>The Firefighters</x:v>
      </x:c>
      <x:c r="C111" s="15" t="str">
        <x:v>Défini</x:v>
      </x:c>
      <x:c r="D111" s="16" t="str">
        <x:v>Établi</x:v>
      </x:c>
      <x:c r="E111" s="16" t="str">
        <x:v>P1</x:v>
      </x:c>
      <x:c r="F111" s="9" t="str">
        <x:v>Mission liée à SAM.</x:v>
      </x:c>
      <x:c r="G111" s="9" t="str">
        <x:v>Enquête d’opposition à l’IA, infiltration et résolution ; capacités désactivées affichées si scénario les retire.</x:v>
      </x:c>
      <x:c r="H111" s="9" t="str">
        <x:v>Enquête d’opposition à l’IA, infiltration et résolution ; capacités désactivées affichées si scénario les retire.</x:v>
      </x:c>
      <x:c r="I111" s="9" t="str">
        <x:v>Signal informatique et installation.</x:v>
      </x:c>
      <x:c r="J111" s="9" t="str">
        <x:v>Transitions de caméra et d’interface interruptibles ; aucun délai d’animation ne doit consommer une décision encore ouverte.</x:v>
      </x:c>
      <x:c r="K111" s="9" t="str">
        <x:v>Créer des bruitages et ambiances originaux adaptés au livrable ; sous-titrer les indices utiles et proposer un réglage indépendant des effets. Aucune extraction audio demandée.</x:v>
      </x:c>
      <x:c r="L111" s="9" t="str">
        <x:v>Prévu : fiche de données mea/side_quests/nexus-firefight ; rattacher les ressources et états cités à cet identifiant. Aucun fichier de jeu créé par ce catalogue.</x:v>
      </x:c>
      <x:c r="M111" s="9" t="str"/>
      <x:c r="N111" s="9" t="str">
        <x:v>Le livrable « The Firefighters » possède une scène ou un scénario de contrôle ; ses règles proposées, ses conditions et ses retours visuels sont vérifiables séparément.</x:v>
      </x:c>
      <x:c r="O111" s="9" t="str"/>
      <x:c r="P111" s="9" t="str">
        <x:v>The Firefighters</x:v>
      </x:c>
      <x:c r="Q111" s="9" t="str">
        <x:v>MEA-SRC-MISSIONS</x:v>
      </x:c>
      <x:c r="R111" s="9" t="str">
        <x:v>https://masseffect.fandom.com/wiki/Missions_%28Mass_Effect%3A_Andromeda%29</x:v>
      </x:c>
      <x:c r="S111" s="9" t="str">
        <x:v>Spécification à réaliser. Les champs adaptation, gameplay, visual, animation, audio et implementation décrivent le fan game ; ils ne donnent pas des caractéristiques officielles de l’œuvre.</x:v>
      </x:c>
    </x:row>
    <x:row r="112" ht="68" customHeight="1">
      <x:c r="A112" s="19" t="str">
        <x:v>MEA-SQ-NEXUS-FRONTIER</x:v>
      </x:c>
      <x:c r="B112" s="7" t="str">
        <x:v>Life on the Frontier</x:v>
      </x:c>
      <x:c r="C112" s="15" t="str">
        <x:v>Défini</x:v>
      </x:c>
      <x:c r="D112" s="17" t="str">
        <x:v>Établi</x:v>
      </x:c>
      <x:c r="E112" s="17" t="str">
        <x:v>P1</x:v>
      </x:c>
      <x:c r="F112" s="7" t="str">
        <x:v>Mission de disparitions et exilés.</x:v>
      </x:c>
      <x:c r="G112" s="7" t="str">
        <x:v>Comparer témoignages avec dossiers de personnel ; distinguer volontaires et victimes dans le journal.</x:v>
      </x:c>
      <x:c r="H112" s="7" t="str">
        <x:v>Comparer témoignages avec dossiers de personnel ; distinguer volontaires et victimes dans le journal.</x:v>
      </x:c>
      <x:c r="I112" s="7" t="str">
        <x:v>Bureaux, camps et communications.</x:v>
      </x:c>
      <x:c r="J112" s="7" t="str">
        <x:v>Transitions de caméra et d’interface interruptibles ; aucun délai d’animation ne doit consommer une décision encore ouverte.</x:v>
      </x:c>
      <x:c r="K112" s="7" t="str">
        <x:v>Créer des bruitages et ambiances originaux adaptés au livrable ; sous-titrer les indices utiles et proposer un réglage indépendant des effets. Aucune extraction audio demandée.</x:v>
      </x:c>
      <x:c r="L112" s="7" t="str">
        <x:v>Prévu : fiche de données mea/side_quests/nexus-frontier ; rattacher les ressources et états cités à cet identifiant. Aucun fichier de jeu créé par ce catalogue.</x:v>
      </x:c>
      <x:c r="M112" s="7" t="str"/>
      <x:c r="N112" s="7" t="str">
        <x:v>Le livrable « Life on the Frontier » possède une scène ou un scénario de contrôle ; ses règles proposées, ses conditions et ses retours visuels sont vérifiables séparément.</x:v>
      </x:c>
      <x:c r="O112" s="7" t="str"/>
      <x:c r="P112" s="7" t="str">
        <x:v>Life on the Frontier</x:v>
      </x:c>
      <x:c r="Q112" s="7" t="str">
        <x:v>MEA-SRC-MISSIONS</x:v>
      </x:c>
      <x:c r="R112" s="7" t="str">
        <x:v>https://masseffect.fandom.com/wiki/Missions_%28Mass_Effect%3A_Andromeda%29</x:v>
      </x:c>
      <x:c r="S112" s="7" t="str">
        <x:v>Spécification à réaliser. Les champs adaptation, gameplay, visual, animation, audio et implementation décrivent le fan game ; ils ne donnent pas des caractéristiques officielles de l’œuvre.</x:v>
      </x:c>
    </x:row>
    <x:row r="113" ht="68" customHeight="1">
      <x:c r="A113" s="18" t="str">
        <x:v>MEA-SQ-NEXUS-APEX</x:v>
      </x:c>
      <x:c r="B113" s="9" t="str">
        <x:v>Aid APEX</x:v>
      </x:c>
      <x:c r="C113" s="15" t="str">
        <x:v>Défini</x:v>
      </x:c>
      <x:c r="D113" s="16" t="str">
        <x:v>Établi</x:v>
      </x:c>
      <x:c r="E113" s="16" t="str">
        <x:v>P1</x:v>
      </x:c>
      <x:c r="F113" s="9" t="str">
        <x:v>Mission de soutien aux forces APEX.</x:v>
      </x:c>
      <x:c r="G113" s="9" t="str">
        <x:v>Présenter alternative d’équipes d’intervention ; ne pas forcer connexion multi pour progresser la campagne.</x:v>
      </x:c>
      <x:c r="H113" s="9" t="str">
        <x:v>Présenter alternative d’équipes d’intervention ; ne pas forcer connexion multi pour progresser la campagne.</x:v>
      </x:c>
      <x:c r="I113" s="9" t="str">
        <x:v>Table de missions et badges de groupe.</x:v>
      </x:c>
      <x:c r="J113" s="9" t="str">
        <x:v>Transitions de caméra et d’interface interruptibles ; aucun délai d’animation ne doit consommer une décision encore ouverte.</x:v>
      </x:c>
      <x:c r="K113" s="9" t="str">
        <x:v>Créer des bruitages et ambiances originaux adaptés au livrable ; sous-titrer les indices utiles et proposer un réglage indépendant des effets. Aucune extraction audio demandée.</x:v>
      </x:c>
      <x:c r="L113" s="9" t="str">
        <x:v>Prévu : fiche de données mea/side_quests/nexus-apex ; rattacher les ressources et états cités à cet identifiant. Aucun fichier de jeu créé par ce catalogue.</x:v>
      </x:c>
      <x:c r="M113" s="9" t="str"/>
      <x:c r="N113" s="9" t="str">
        <x:v>Le livrable « Aid APEX » possède une scène ou un scénario de contrôle ; ses règles proposées, ses conditions et ses retours visuels sont vérifiables séparément.</x:v>
      </x:c>
      <x:c r="O113" s="9" t="str"/>
      <x:c r="P113" s="9" t="str">
        <x:v>Aid APEX</x:v>
      </x:c>
      <x:c r="Q113" s="9" t="str">
        <x:v>MEA-SRC-MISSIONS, MEA-SRC-MP</x:v>
      </x:c>
      <x:c r="R113" s="9" t="str">
        <x:v>https://masseffect.fandom.com/wiki/Missions_%28Mass_Effect%3A_Andromeda%29
https://masseffect.fandom.com/wiki/Mass_Effect%3A_Andromeda_Multiplayer</x:v>
      </x:c>
      <x:c r="S113" s="9" t="str">
        <x:v>Spécification à réaliser. Les champs adaptation, gameplay, visual, animation, audio et implementation décrivent le fan game ; ils ne donnent pas des caractéristiques officielles de l’œuvre.</x:v>
      </x:c>
    </x:row>
    <x:row r="114" ht="68" customHeight="1">
      <x:c r="A114" s="19" t="str">
        <x:v>MEA-SQ-TEMPEST-PYJAK</x:v>
      </x:c>
      <x:c r="B114" s="7" t="str">
        <x:v>Monkeys in Space</x:v>
      </x:c>
      <x:c r="C114" s="15" t="str">
        <x:v>Défini</x:v>
      </x:c>
      <x:c r="D114" s="17" t="str">
        <x:v>Établi</x:v>
      </x:c>
      <x:c r="E114" s="17" t="str">
        <x:v>P1</x:v>
      </x:c>
      <x:c r="F114" s="7" t="str">
        <x:v>Mission de pyjak de l’édition Deluxe.</x:v>
      </x:c>
      <x:c r="G114" s="7" t="str">
        <x:v>Livraison et présence de l’animal à bord ; aucune stat de combat ou compagnon sélectionnable inventé.</x:v>
      </x:c>
      <x:c r="H114" s="7" t="str">
        <x:v>Livraison et présence de l’animal à bord ; aucune stat de combat ou compagnon sélectionnable inventé.</x:v>
      </x:c>
      <x:c r="I114" s="7" t="str">
        <x:v>Petit pyjak et caisse de transport.</x:v>
      </x:c>
      <x:c r="J114" s="7" t="str">
        <x:v>Transitions de caméra et d’interface interruptibles ; aucun délai d’animation ne doit consommer une décision encore ouverte.</x:v>
      </x:c>
      <x:c r="K114" s="7" t="str">
        <x:v>Créer des bruitages et ambiances originaux adaptés au livrable ; sous-titrer les indices utiles et proposer un réglage indépendant des effets. Aucune extraction audio demandée.</x:v>
      </x:c>
      <x:c r="L114" s="7" t="str">
        <x:v>Prévu : fiche de données mea/side_quests/tempest-pyjak ; rattacher les ressources et états cités à cet identifiant. Aucun fichier de jeu créé par ce catalogue.</x:v>
      </x:c>
      <x:c r="M114" s="7" t="str">
        <x:v>Deluxe / contenu correspondant.</x:v>
      </x:c>
      <x:c r="N114" s="7" t="str">
        <x:v>Le livrable « Monkeys in Space » possède une scène ou un scénario de contrôle ; ses règles proposées, ses conditions et ses retours visuels sont vérifiables séparément.</x:v>
      </x:c>
      <x:c r="O114" s="7" t="str"/>
      <x:c r="P114" s="7" t="str">
        <x:v>Monkeys in Space</x:v>
      </x:c>
      <x:c r="Q114" s="7" t="str">
        <x:v>MEA-SRC-EA-DELUXE, MEA-SRC-TEMPEST-PAGE</x:v>
      </x:c>
      <x:c r="R114" s="7" t="str">
        <x:v>https://store.steampowered.com/app/1238000/Mass_EffectAndromeda/
https://masseffect.fandom.com/wiki/Tempest</x:v>
      </x:c>
      <x:c r="S114" s="7" t="str">
        <x:v>Spécification à réaliser. Les champs adaptation, gameplay, visual, animation, audio et implementation décrivent le fan game ; ils ne donnent pas des caractéristiques officielles de l’œuvre.</x:v>
      </x:c>
    </x:row>
    <x:row r="115" ht="68" customHeight="1">
      <x:c r="A115" s="18" t="str">
        <x:v>MEA-SQ-TEMPEST-VISITOR</x:v>
      </x:c>
      <x:c r="B115" s="9" t="str">
        <x:v>The Visitor</x:v>
      </x:c>
      <x:c r="C115" s="15" t="str">
        <x:v>Défini</x:v>
      </x:c>
      <x:c r="D115" s="16" t="str">
        <x:v>Établi</x:v>
      </x:c>
      <x:c r="E115" s="16" t="str">
        <x:v>P1</x:v>
      </x:c>
      <x:c r="F115" s="9" t="str">
        <x:v>Mission de présence inattendue.</x:v>
      </x:c>
      <x:c r="G115" s="9" t="str">
        <x:v>Recherche dans le vaisseau et choix de traitement ; interaction ne bloque pas le chemin de l’équipage.</x:v>
      </x:c>
      <x:c r="H115" s="9" t="str">
        <x:v>Recherche dans le vaisseau et choix de traitement ; interaction ne bloque pas le chemin de l’équipage.</x:v>
      </x:c>
      <x:c r="I115" s="9" t="str">
        <x:v>Recoin du Tempest et créature.</x:v>
      </x:c>
      <x:c r="J115" s="9" t="str">
        <x:v>Transitions de caméra et d’interface interruptibles ; aucun délai d’animation ne doit consommer une décision encore ouverte.</x:v>
      </x:c>
      <x:c r="K115" s="9" t="str">
        <x:v>Créer des bruitages et ambiances originaux adaptés au livrable ; sous-titrer les indices utiles et proposer un réglage indépendant des effets. Aucune extraction audio demandée.</x:v>
      </x:c>
      <x:c r="L115" s="9" t="str">
        <x:v>Prévu : fiche de données mea/side_quests/tempest-visitor ; rattacher les ressources et états cités à cet identifiant. Aucun fichier de jeu créé par ce catalogue.</x:v>
      </x:c>
      <x:c r="M115" s="9" t="str"/>
      <x:c r="N115" s="9" t="str">
        <x:v>Le livrable « The Visitor » possède une scène ou un scénario de contrôle ; ses règles proposées, ses conditions et ses retours visuels sont vérifiables séparément.</x:v>
      </x:c>
      <x:c r="O115" s="9" t="str"/>
      <x:c r="P115" s="9" t="str">
        <x:v>The Visitor</x:v>
      </x:c>
      <x:c r="Q115" s="9" t="str">
        <x:v>MEA-SRC-TEMPEST-PAGE</x:v>
      </x:c>
      <x:c r="R115" s="9" t="str">
        <x:v>https://masseffect.fandom.com/wiki/Tempest</x:v>
      </x:c>
      <x:c r="S115" s="9" t="str">
        <x:v>Spécification à réaliser. Les champs adaptation, gameplay, visual, animation, audio et implementation décrivent le fan game ; ils ne donnent pas des caractéristiques officielles de l’œuvre.</x:v>
      </x:c>
    </x:row>
    <x:row r="116" ht="68" customHeight="1">
      <x:c r="A116" s="19" t="str">
        <x:v>MEA-SQ-TEMPEST-BAGGAGE</x:v>
      </x:c>
      <x:c r="B116" s="7" t="str">
        <x:v>Excess Baggage</x:v>
      </x:c>
      <x:c r="C116" s="15" t="str">
        <x:v>Défini</x:v>
      </x:c>
      <x:c r="D116" s="17" t="str">
        <x:v>Établi</x:v>
      </x:c>
      <x:c r="E116" s="17" t="str">
        <x:v>P1</x:v>
      </x:c>
      <x:c r="F116" s="7" t="str">
        <x:v>Mission du Tempest.</x:v>
      </x:c>
      <x:c r="G116" s="7" t="str">
        <x:v>Examiner fret et dialogue responsable ; validateur ne vend pas un objet requis au marchand.</x:v>
      </x:c>
      <x:c r="H116" s="7" t="str">
        <x:v>Examiner fret et dialogue responsable ; validateur ne vend pas un objet requis au marchand.</x:v>
      </x:c>
      <x:c r="I116" s="7" t="str">
        <x:v>Soute et cargaison.</x:v>
      </x:c>
      <x:c r="J116" s="7" t="str">
        <x:v>Transitions de caméra et d’interface interruptibles ; aucun délai d’animation ne doit consommer une décision encore ouverte.</x:v>
      </x:c>
      <x:c r="K116" s="7" t="str">
        <x:v>Créer des bruitages et ambiances originaux adaptés au livrable ; sous-titrer les indices utiles et proposer un réglage indépendant des effets. Aucune extraction audio demandée.</x:v>
      </x:c>
      <x:c r="L116" s="7" t="str">
        <x:v>Prévu : fiche de données mea/side_quests/tempest-baggage ; rattacher les ressources et états cités à cet identifiant. Aucun fichier de jeu créé par ce catalogue.</x:v>
      </x:c>
      <x:c r="M116" s="7" t="str"/>
      <x:c r="N116" s="7" t="str">
        <x:v>Le livrable « Excess Baggage » possède une scène ou un scénario de contrôle ; ses règles proposées, ses conditions et ses retours visuels sont vérifiables séparément.</x:v>
      </x:c>
      <x:c r="O116" s="7" t="str"/>
      <x:c r="P116" s="7" t="str">
        <x:v>Excess Baggage</x:v>
      </x:c>
      <x:c r="Q116" s="7" t="str">
        <x:v>MEA-SRC-TEMPEST-PAGE</x:v>
      </x:c>
      <x:c r="R116" s="7" t="str">
        <x:v>https://masseffect.fandom.com/wiki/Tempest</x:v>
      </x:c>
      <x:c r="S116" s="7" t="str">
        <x:v>Spécification à réaliser. Les champs adaptation, gameplay, visual, animation, audio et implementation décrivent le fan game ; ils ne donnent pas des caractéristiques officielles de l’œuvre.</x:v>
      </x:c>
    </x:row>
    <x:row r="117" ht="68" customHeight="1">
      <x:c r="A117" s="18" t="str">
        <x:v>MEA-SQ-TASK-NAMING</x:v>
      </x:c>
      <x:c r="B117" s="9" t="str">
        <x:v>Task: Naming the Dead</x:v>
      </x:c>
      <x:c r="C117" s="15" t="str">
        <x:v>Défini</x:v>
      </x:c>
      <x:c r="D117" s="16" t="str">
        <x:v>Établi</x:v>
      </x:c>
      <x:c r="E117" s="16" t="str">
        <x:v>P1</x:v>
      </x:c>
      <x:c r="F117" s="9" t="str">
        <x:v>Tâche d’Eos.</x:v>
      </x:c>
      <x:c r="G117" s="9" t="str">
        <x:v>Identifier les personnes par scan avec liste consultable ; ne pas les réduire à des ressources anonymes.</x:v>
      </x:c>
      <x:c r="H117" s="9" t="str">
        <x:v>Identifier les personnes par scan avec liste consultable ; ne pas les réduire à des ressources anonymes.</x:v>
      </x:c>
      <x:c r="I117" s="9" t="str">
        <x:v>Balise mémorielle et scanner.</x:v>
      </x:c>
      <x:c r="J117" s="9" t="str">
        <x:v>Transitions de caméra et d’interface interruptibles ; aucun délai d’animation ne doit consommer une décision encore ouverte.</x:v>
      </x:c>
      <x:c r="K117" s="9" t="str">
        <x:v>Créer des bruitages et ambiances originaux adaptés au livrable ; sous-titrer les indices utiles et proposer un réglage indépendant des effets. Aucune extraction audio demandée.</x:v>
      </x:c>
      <x:c r="L117" s="9" t="str">
        <x:v>Prévu : fiche de données mea/side_quests/task-naming ; rattacher les ressources et états cités à cet identifiant. Aucun fichier de jeu créé par ce catalogue.</x:v>
      </x:c>
      <x:c r="M117" s="9" t="str"/>
      <x:c r="N117" s="9" t="str">
        <x:v>Le livrable « Task: Naming the Dead » possède une scène ou un scénario de contrôle ; ses règles proposées, ses conditions et ses retours visuels sont vérifiables séparément.</x:v>
      </x:c>
      <x:c r="O117" s="9" t="str"/>
      <x:c r="P117" s="9" t="str">
        <x:v>Task: Naming the Dead</x:v>
      </x:c>
      <x:c r="Q117" s="9" t="str">
        <x:v>MEA-SRC-MISSIONS</x:v>
      </x:c>
      <x:c r="R117" s="9" t="str">
        <x:v>https://masseffect.fandom.com/wiki/Missions_%28Mass_Effect%3A_Andromeda%29</x:v>
      </x:c>
      <x:c r="S117" s="9" t="str">
        <x:v>Spécification à réaliser. Les champs adaptation, gameplay, visual, animation, audio et implementation décrivent le fan game ; ils ne donnent pas des caractéristiques officielles de l’œuvre.</x:v>
      </x:c>
    </x:row>
    <x:row r="118" ht="68" customHeight="1">
      <x:c r="A118" s="19" t="str">
        <x:v>MEA-SQ-TASK-GHOST</x:v>
      </x:c>
      <x:c r="B118" s="7" t="str">
        <x:v>Task: The Ghost of Promise</x:v>
      </x:c>
      <x:c r="C118" s="15" t="str">
        <x:v>Défini</x:v>
      </x:c>
      <x:c r="D118" s="17" t="str">
        <x:v>Établi</x:v>
      </x:c>
      <x:c r="E118" s="17" t="str">
        <x:v>P1</x:v>
      </x:c>
      <x:c r="F118" s="7" t="str">
        <x:v>Tâche d’Eos.</x:v>
      </x:c>
      <x:c r="G118" s="7" t="str">
        <x:v>Enregistrements dispersés suivis par identifiants ; replay d’un log n’incrémente pas une collecte.</x:v>
      </x:c>
      <x:c r="H118" s="7" t="str">
        <x:v>Enregistrements dispersés suivis par identifiants ; replay d’un log n’incrémente pas une collecte.</x:v>
      </x:c>
      <x:c r="I118" s="7" t="str">
        <x:v>Journaux de colonie et écran d’écoute.</x:v>
      </x:c>
      <x:c r="J118" s="7" t="str">
        <x:v>Transitions de caméra et d’interface interruptibles ; aucun délai d’animation ne doit consommer une décision encore ouverte.</x:v>
      </x:c>
      <x:c r="K118" s="7" t="str">
        <x:v>Créer des bruitages et ambiances originaux adaptés au livrable ; sous-titrer les indices utiles et proposer un réglage indépendant des effets. Aucune extraction audio demandée.</x:v>
      </x:c>
      <x:c r="L118" s="7" t="str">
        <x:v>Prévu : fiche de données mea/side_quests/task-ghost ; rattacher les ressources et états cités à cet identifiant. Aucun fichier de jeu créé par ce catalogue.</x:v>
      </x:c>
      <x:c r="M118" s="7" t="str"/>
      <x:c r="N118" s="7" t="str">
        <x:v>Le livrable « Task: The Ghost of Promise » possède une scène ou un scénario de contrôle ; ses règles proposées, ses conditions et ses retours visuels sont vérifiables séparément.</x:v>
      </x:c>
      <x:c r="O118" s="7" t="str"/>
      <x:c r="P118" s="7" t="str">
        <x:v>Task: The Ghost of Promise</x:v>
      </x:c>
      <x:c r="Q118" s="7" t="str">
        <x:v>MEA-SRC-MISSIONS</x:v>
      </x:c>
      <x:c r="R118" s="7" t="str">
        <x:v>https://masseffect.fandom.com/wiki/Missions_%28Mass_Effect%3A_Andromeda%29</x:v>
      </x:c>
      <x:c r="S118" s="7" t="str">
        <x:v>Spécification à réaliser. Les champs adaptation, gameplay, visual, animation, audio et implementation décrivent le fan game ; ils ne donnent pas des caractéristiques officielles de l’œuvre.</x:v>
      </x:c>
    </x:row>
    <x:row r="119" ht="68" customHeight="1">
      <x:c r="A119" s="18" t="str">
        <x:v>MEA-SQ-TASK-DRONE</x:v>
      </x:c>
      <x:c r="B119" s="9" t="str">
        <x:v>Task: Drone Recovery</x:v>
      </x:c>
      <x:c r="C119" s="15" t="str">
        <x:v>Défini</x:v>
      </x:c>
      <x:c r="D119" s="16" t="str">
        <x:v>Établi</x:v>
      </x:c>
      <x:c r="E119" s="16" t="str">
        <x:v>P1</x:v>
      </x:c>
      <x:c r="F119" s="9" t="str">
        <x:v>Tâche d’Eos.</x:v>
      </x:c>
      <x:c r="G119" s="9" t="str">
        <x:v>Repérer drones, sécuriser puis récupérer données ; distinguer carcasse décorative et objectif actif.</x:v>
      </x:c>
      <x:c r="H119" s="9" t="str">
        <x:v>Repérer drones, sécuriser puis récupérer données ; distinguer carcasse décorative et objectif actif.</x:v>
      </x:c>
      <x:c r="I119" s="9" t="str">
        <x:v>Drones au sol et halo de scan.</x:v>
      </x:c>
      <x:c r="J119" s="9" t="str">
        <x:v>Transitions de caméra et d’interface interruptibles ; aucun délai d’animation ne doit consommer une décision encore ouverte.</x:v>
      </x:c>
      <x:c r="K119" s="9" t="str">
        <x:v>Créer des bruitages et ambiances originaux adaptés au livrable ; sous-titrer les indices utiles et proposer un réglage indépendant des effets. Aucune extraction audio demandée.</x:v>
      </x:c>
      <x:c r="L119" s="9" t="str">
        <x:v>Prévu : fiche de données mea/side_quests/task-drone ; rattacher les ressources et états cités à cet identifiant. Aucun fichier de jeu créé par ce catalogue.</x:v>
      </x:c>
      <x:c r="M119" s="9" t="str"/>
      <x:c r="N119" s="9" t="str">
        <x:v>Le livrable « Task: Drone Recovery » possède une scène ou un scénario de contrôle ; ses règles proposées, ses conditions et ses retours visuels sont vérifiables séparément.</x:v>
      </x:c>
      <x:c r="O119" s="9" t="str"/>
      <x:c r="P119" s="9" t="str">
        <x:v>Task: Drone Recovery</x:v>
      </x:c>
      <x:c r="Q119" s="9" t="str">
        <x:v>MEA-SRC-MISSIONS</x:v>
      </x:c>
      <x:c r="R119" s="9" t="str">
        <x:v>https://masseffect.fandom.com/wiki/Missions_%28Mass_Effect%3A_Andromeda%29</x:v>
      </x:c>
      <x:c r="S119" s="9" t="str">
        <x:v>Spécification à réaliser. Les champs adaptation, gameplay, visual, animation, audio et implementation décrivent le fan game ; ils ne donnent pas des caractéristiques officielles de l’œuvre.</x:v>
      </x:c>
    </x:row>
    <x:row r="120" ht="68" customHeight="1">
      <x:c r="A120" s="19" t="str">
        <x:v>MEA-SQ-TASK-REMCORES</x:v>
      </x:c>
      <x:c r="B120" s="7" t="str">
        <x:v>Task: Remnant Data Cores</x:v>
      </x:c>
      <x:c r="C120" s="15" t="str">
        <x:v>Défini</x:v>
      </x:c>
      <x:c r="D120" s="17" t="str">
        <x:v>Établi</x:v>
      </x:c>
      <x:c r="E120" s="17" t="str">
        <x:v>P1</x:v>
      </x:c>
      <x:c r="F120" s="7" t="str">
        <x:v>Tâche de technologie reliquate.</x:v>
      </x:c>
      <x:c r="G120" s="7" t="str">
        <x:v>Objets rares suivis par lieu avec prévention de vente ; couverture explicitement non exhaustive des caches.</x:v>
      </x:c>
      <x:c r="H120" s="7" t="str">
        <x:v>Objets rares suivis par lieu avec prévention de vente ; couverture explicitement non exhaustive des caches.</x:v>
      </x:c>
      <x:c r="I120" s="7" t="str">
        <x:v>Noyaux reliquats et liste de collecte.</x:v>
      </x:c>
      <x:c r="J120" s="7" t="str">
        <x:v>Transitions de caméra et d’interface interruptibles ; aucun délai d’animation ne doit consommer une décision encore ouverte.</x:v>
      </x:c>
      <x:c r="K120" s="7" t="str">
        <x:v>Créer des bruitages et ambiances originaux adaptés au livrable ; sous-titrer les indices utiles et proposer un réglage indépendant des effets. Aucune extraction audio demandée.</x:v>
      </x:c>
      <x:c r="L120" s="7" t="str">
        <x:v>Prévu : fiche de données mea/side_quests/task-remcores ; rattacher les ressources et états cités à cet identifiant. Aucun fichier de jeu créé par ce catalogue.</x:v>
      </x:c>
      <x:c r="M120" s="7" t="str"/>
      <x:c r="N120" s="7" t="str">
        <x:v>Le livrable « Task: Remnant Data Cores » possède une scène ou un scénario de contrôle ; ses règles proposées, ses conditions et ses retours visuels sont vérifiables séparément.</x:v>
      </x:c>
      <x:c r="O120" s="7" t="str"/>
      <x:c r="P120" s="7" t="str">
        <x:v>Task: Remnant Data Cores</x:v>
      </x:c>
      <x:c r="Q120" s="7" t="str">
        <x:v>MEA-SRC-MISSIONS</x:v>
      </x:c>
      <x:c r="R120" s="7" t="str">
        <x:v>https://masseffect.fandom.com/wiki/Missions_%28Mass_Effect%3A_Andromeda%29</x:v>
      </x:c>
      <x:c r="S120" s="7" t="str">
        <x:v>Spécification à réaliser. Les champs adaptation, gameplay, visual, animation, audio et implementation décrivent le fan game ; ils ne donnent pas des caractéristiques officielles de l’œuvre.</x:v>
      </x:c>
    </x:row>
    <x:row r="121" ht="68" customHeight="1">
      <x:c r="A121" s="18" t="str">
        <x:v>MEA-SQ-TASK-SUPPLY</x:v>
      </x:c>
      <x:c r="B121" s="9" t="str">
        <x:v>Task: Supply Loss and Recovery</x:v>
      </x:c>
      <x:c r="C121" s="15" t="str">
        <x:v>Défini</x:v>
      </x:c>
      <x:c r="D121" s="16" t="str">
        <x:v>Établi</x:v>
      </x:c>
      <x:c r="E121" s="16" t="str">
        <x:v>P1</x:v>
      </x:c>
      <x:c r="F121" s="9" t="str">
        <x:v>Tâche d’Eos.</x:v>
      </x:c>
      <x:c r="G121" s="9" t="str">
        <x:v>Récupération de ravitaillement avec routes de retour et contrôle de volume ; pas de caisse dupliquée au chargement.</x:v>
      </x:c>
      <x:c r="H121" s="9" t="str">
        <x:v>Récupération de ravitaillement avec routes de retour et contrôle de volume ; pas de caisse dupliquée au chargement.</x:v>
      </x:c>
      <x:c r="I121" s="9" t="str">
        <x:v>Caisse Initiative et marque de destination.</x:v>
      </x:c>
      <x:c r="J121" s="9" t="str">
        <x:v>Transitions de caméra et d’interface interruptibles ; aucun délai d’animation ne doit consommer une décision encore ouverte.</x:v>
      </x:c>
      <x:c r="K121" s="9" t="str">
        <x:v>Créer des bruitages et ambiances originaux adaptés au livrable ; sous-titrer les indices utiles et proposer un réglage indépendant des effets. Aucune extraction audio demandée.</x:v>
      </x:c>
      <x:c r="L121" s="9" t="str">
        <x:v>Prévu : fiche de données mea/side_quests/task-supply ; rattacher les ressources et états cités à cet identifiant. Aucun fichier de jeu créé par ce catalogue.</x:v>
      </x:c>
      <x:c r="M121" s="9" t="str"/>
      <x:c r="N121" s="9" t="str">
        <x:v>Le livrable « Task: Supply Loss and Recovery » possède une scène ou un scénario de contrôle ; ses règles proposées, ses conditions et ses retours visuels sont vérifiables séparément.</x:v>
      </x:c>
      <x:c r="O121" s="9" t="str"/>
      <x:c r="P121" s="9" t="str">
        <x:v>Task: Supply Loss and Recovery</x:v>
      </x:c>
      <x:c r="Q121" s="9" t="str">
        <x:v>MEA-SRC-MISSIONS</x:v>
      </x:c>
      <x:c r="R121" s="9" t="str">
        <x:v>https://masseffect.fandom.com/wiki/Missions_%28Mass_Effect%3A_Andromeda%29</x:v>
      </x:c>
      <x:c r="S121" s="9" t="str">
        <x:v>Spécification à réaliser. Les champs adaptation, gameplay, visual, animation, audio et implementation décrivent le fan game ; ils ne donnent pas des caractéristiques officielles de l’œuvre.</x:v>
      </x:c>
    </x:row>
    <x:row r="122" ht="68" customHeight="1">
      <x:c r="A122" s="19" t="str">
        <x:v>MEA-SQ-TASK-ROEKAAR</x:v>
      </x:c>
      <x:c r="B122" s="7" t="str">
        <x:v>Task: Roekaar Manifestos</x:v>
      </x:c>
      <x:c r="C122" s="15" t="str">
        <x:v>Défini</x:v>
      </x:c>
      <x:c r="D122" s="17" t="str">
        <x:v>Établi</x:v>
      </x:c>
      <x:c r="E122" s="17" t="str">
        <x:v>P1</x:v>
      </x:c>
      <x:c r="F122" s="7" t="str">
        <x:v>Tâche de Havarl.</x:v>
      </x:c>
      <x:c r="G122" s="7" t="str">
        <x:v>Collecter documents et synthétiser brièvement ; ne pas copier manifestes intégraux ni uniformiser tous les angara.</x:v>
      </x:c>
      <x:c r="H122" s="7" t="str">
        <x:v>Collecter documents et synthétiser brièvement ; ne pas copier manifestes intégraux ni uniformiser tous les angara.</x:v>
      </x:c>
      <x:c r="I122" s="7" t="str">
        <x:v>Supports écrits et icône de dossier.</x:v>
      </x:c>
      <x:c r="J122" s="7" t="str">
        <x:v>Transitions de caméra et d’interface interruptibles ; aucun délai d’animation ne doit consommer une décision encore ouverte.</x:v>
      </x:c>
      <x:c r="K122" s="7" t="str">
        <x:v>Créer des bruitages et ambiances originaux adaptés au livrable ; sous-titrer les indices utiles et proposer un réglage indépendant des effets. Aucune extraction audio demandée.</x:v>
      </x:c>
      <x:c r="L122" s="7" t="str">
        <x:v>Prévu : fiche de données mea/side_quests/task-roekaar ; rattacher les ressources et états cités à cet identifiant. Aucun fichier de jeu créé par ce catalogue.</x:v>
      </x:c>
      <x:c r="M122" s="7" t="str"/>
      <x:c r="N122" s="7" t="str">
        <x:v>Le livrable « Task: Roekaar Manifestos » possède une scène ou un scénario de contrôle ; ses règles proposées, ses conditions et ses retours visuels sont vérifiables séparément.</x:v>
      </x:c>
      <x:c r="O122" s="7" t="str"/>
      <x:c r="P122" s="7" t="str">
        <x:v>Task: Roekaar Manifestos</x:v>
      </x:c>
      <x:c r="Q122" s="7" t="str">
        <x:v>MEA-SRC-MISSIONS</x:v>
      </x:c>
      <x:c r="R122" s="7" t="str">
        <x:v>https://masseffect.fandom.com/wiki/Missions_%28Mass_Effect%3A_Andromeda%29</x:v>
      </x:c>
      <x:c r="S122" s="7" t="str">
        <x:v>Spécification à réaliser. Les champs adaptation, gameplay, visual, animation, audio et implementation décrivent le fan game ; ils ne donnent pas des caractéristiques officielles de l’œuvre.</x:v>
      </x:c>
    </x:row>
    <x:row r="123" ht="68" customHeight="1">
      <x:c r="A123" s="18" t="str">
        <x:v>MEA-SQ-TASK-TURIAN</x:v>
      </x:c>
      <x:c r="B123" s="9" t="str">
        <x:v>Task: Turian Salvage</x:v>
      </x:c>
      <x:c r="C123" s="15" t="str">
        <x:v>Défini</x:v>
      </x:c>
      <x:c r="D123" s="16" t="str">
        <x:v>Établi</x:v>
      </x:c>
      <x:c r="E123" s="16" t="str">
        <x:v>P1</x:v>
      </x:c>
      <x:c r="F123" s="9" t="str">
        <x:v>Tâche de Havarl.</x:v>
      </x:c>
      <x:c r="G123" s="9" t="str">
        <x:v>Pièces de rescapés turiens à scan lisible sous végétation ; route indépendante du choix d’Avitus.</x:v>
      </x:c>
      <x:c r="H123" s="9" t="str">
        <x:v>Pièces de rescapés turiens à scan lisible sous végétation ; route indépendante du choix d’Avitus.</x:v>
      </x:c>
      <x:c r="I123" s="9" t="str">
        <x:v>Épaves et matériel turien.</x:v>
      </x:c>
      <x:c r="J123" s="9" t="str">
        <x:v>Transitions de caméra et d’interface interruptibles ; aucun délai d’animation ne doit consommer une décision encore ouverte.</x:v>
      </x:c>
      <x:c r="K123" s="9" t="str">
        <x:v>Créer des bruitages et ambiances originaux adaptés au livrable ; sous-titrer les indices utiles et proposer un réglage indépendant des effets. Aucune extraction audio demandée.</x:v>
      </x:c>
      <x:c r="L123" s="9" t="str">
        <x:v>Prévu : fiche de données mea/side_quests/task-turian ; rattacher les ressources et états cités à cet identifiant. Aucun fichier de jeu créé par ce catalogue.</x:v>
      </x:c>
      <x:c r="M123" s="9" t="str"/>
      <x:c r="N123" s="9" t="str">
        <x:v>Le livrable « Task: Turian Salvage » possède une scène ou un scénario de contrôle ; ses règles proposées, ses conditions et ses retours visuels sont vérifiables séparément.</x:v>
      </x:c>
      <x:c r="O123" s="9" t="str"/>
      <x:c r="P123" s="9" t="str">
        <x:v>Task: Turian Salvage</x:v>
      </x:c>
      <x:c r="Q123" s="9" t="str">
        <x:v>MEA-SRC-MISSIONS</x:v>
      </x:c>
      <x:c r="R123" s="9" t="str">
        <x:v>https://masseffect.fandom.com/wiki/Missions_%28Mass_Effect%3A_Andromeda%29</x:v>
      </x:c>
      <x:c r="S123" s="9" t="str">
        <x:v>Spécification à réaliser. Les champs adaptation, gameplay, visual, animation, audio et implementation décrivent le fan game ; ils ne donnent pas des caractéristiques officielles de l’œuvre.</x:v>
      </x:c>
    </x:row>
    <x:row r="124" ht="68" customHeight="1">
      <x:c r="A124" s="19" t="str">
        <x:v>MEA-SQ-TASK-UNEARTHED</x:v>
      </x:c>
      <x:c r="B124" s="7" t="str">
        <x:v>Task: Unearthed</x:v>
      </x:c>
      <x:c r="C124" s="15" t="str">
        <x:v>Défini</x:v>
      </x:c>
      <x:c r="D124" s="17" t="str">
        <x:v>Établi</x:v>
      </x:c>
      <x:c r="E124" s="17" t="str">
        <x:v>P1</x:v>
      </x:c>
      <x:c r="F124" s="7" t="str">
        <x:v>Tâche de Havarl.</x:v>
      </x:c>
      <x:c r="G124" s="7" t="str">
        <x:v>Repérer objets enfouis avec carte de proximité accessible ; terrain ne nécessite pas de pixel hunt.</x:v>
      </x:c>
      <x:c r="H124" s="7" t="str">
        <x:v>Repérer objets enfouis avec carte de proximité accessible ; terrain ne nécessite pas de pixel hunt.</x:v>
      </x:c>
      <x:c r="I124" s="7" t="str">
        <x:v>Sol de jungle et reliques.</x:v>
      </x:c>
      <x:c r="J124" s="7" t="str">
        <x:v>Transitions de caméra et d’interface interruptibles ; aucun délai d’animation ne doit consommer une décision encore ouverte.</x:v>
      </x:c>
      <x:c r="K124" s="7" t="str">
        <x:v>Créer des bruitages et ambiances originaux adaptés au livrable ; sous-titrer les indices utiles et proposer un réglage indépendant des effets. Aucune extraction audio demandée.</x:v>
      </x:c>
      <x:c r="L124" s="7" t="str">
        <x:v>Prévu : fiche de données mea/side_quests/task-unearthed ; rattacher les ressources et états cités à cet identifiant. Aucun fichier de jeu créé par ce catalogue.</x:v>
      </x:c>
      <x:c r="M124" s="7" t="str"/>
      <x:c r="N124" s="7" t="str">
        <x:v>Le livrable « Task: Unearthed » possède une scène ou un scénario de contrôle ; ses règles proposées, ses conditions et ses retours visuels sont vérifiables séparément.</x:v>
      </x:c>
      <x:c r="O124" s="7" t="str"/>
      <x:c r="P124" s="7" t="str">
        <x:v>Task: Unearthed</x:v>
      </x:c>
      <x:c r="Q124" s="7" t="str">
        <x:v>MEA-SRC-MISSIONS</x:v>
      </x:c>
      <x:c r="R124" s="7" t="str">
        <x:v>https://masseffect.fandom.com/wiki/Missions_%28Mass_Effect%3A_Andromeda%29</x:v>
      </x:c>
      <x:c r="S124" s="7" t="str">
        <x:v>Spécification à réaliser. Les champs adaptation, gameplay, visual, animation, audio et implementation décrivent le fan game ; ils ne donnent pas des caractéristiques officielles de l’œuvre.</x:v>
      </x:c>
    </x:row>
    <x:row r="125" ht="68" customHeight="1">
      <x:c r="A125" s="18" t="str">
        <x:v>MEA-SQ-TASK-WHITED</x:v>
      </x:c>
      <x:c r="B125" s="9" t="str">
        <x:v>Task: White Death</x:v>
      </x:c>
      <x:c r="C125" s="15" t="str">
        <x:v>Défini</x:v>
      </x:c>
      <x:c r="D125" s="16" t="str">
        <x:v>Établi</x:v>
      </x:c>
      <x:c r="E125" s="16" t="str">
        <x:v>P1</x:v>
      </x:c>
      <x:c r="F125" s="9" t="str">
        <x:v>Tâche de Voeld.</x:v>
      </x:c>
      <x:c r="G125" s="9" t="str">
        <x:v>Traquer une menace spécifique à partir d’indices ; météo ne masque pas sa signalisation d’arrivée.</x:v>
      </x:c>
      <x:c r="H125" s="9" t="str">
        <x:v>Traquer une menace spécifique à partir d’indices ; météo ne masque pas sa signalisation d’arrivée.</x:v>
      </x:c>
      <x:c r="I125" s="9" t="str">
        <x:v>Neige, traces et cible signalée.</x:v>
      </x:c>
      <x:c r="J125" s="9" t="str">
        <x:v>Transitions de caméra et d’interface interruptibles ; aucun délai d’animation ne doit consommer une décision encore ouverte.</x:v>
      </x:c>
      <x:c r="K125" s="9" t="str">
        <x:v>Créer des bruitages et ambiances originaux adaptés au livrable ; sous-titrer les indices utiles et proposer un réglage indépendant des effets. Aucune extraction audio demandée.</x:v>
      </x:c>
      <x:c r="L125" s="9" t="str">
        <x:v>Prévu : fiche de données mea/side_quests/task-whited ; rattacher les ressources et états cités à cet identifiant. Aucun fichier de jeu créé par ce catalogue.</x:v>
      </x:c>
      <x:c r="M125" s="9" t="str"/>
      <x:c r="N125" s="9" t="str">
        <x:v>Le livrable « Task: White Death » possède une scène ou un scénario de contrôle ; ses règles proposées, ses conditions et ses retours visuels sont vérifiables séparément.</x:v>
      </x:c>
      <x:c r="O125" s="9" t="str"/>
      <x:c r="P125" s="9" t="str">
        <x:v>Task: White Death</x:v>
      </x:c>
      <x:c r="Q125" s="9" t="str">
        <x:v>MEA-SRC-MISSIONS</x:v>
      </x:c>
      <x:c r="R125" s="9" t="str">
        <x:v>https://masseffect.fandom.com/wiki/Missions_%28Mass_Effect%3A_Andromeda%29</x:v>
      </x:c>
      <x:c r="S125" s="9" t="str">
        <x:v>Spécification à réaliser. Les champs adaptation, gameplay, visual, animation, audio et implementation décrivent le fan game ; ils ne donnent pas des caractéristiques officielles de l’œuvre.</x:v>
      </x:c>
    </x:row>
    <x:row r="126" ht="68" customHeight="1">
      <x:c r="A126" s="19" t="str">
        <x:v>MEA-SQ-TASK-NOMAD</x:v>
      </x:c>
      <x:c r="B126" s="7" t="str">
        <x:v>Task: Nomad Shield Crafting</x:v>
      </x:c>
      <x:c r="C126" s="15" t="str">
        <x:v>Défini</x:v>
      </x:c>
      <x:c r="D126" s="17" t="str">
        <x:v>Établi</x:v>
      </x:c>
      <x:c r="E126" s="17" t="str">
        <x:v>P1</x:v>
      </x:c>
      <x:c r="F126" s="7" t="str">
        <x:v>Tâche de fabrication.</x:v>
      </x:c>
      <x:c r="G126" s="7" t="str">
        <x:v>Recherche, matériaux et fabrication validés séparément ; améliorer véhicule ne modifie pas bouclier de Ryder.</x:v>
      </x:c>
      <x:c r="H126" s="7" t="str">
        <x:v>Recherche, matériaux et fabrication validés séparément ; améliorer véhicule ne modifie pas bouclier de Ryder.</x:v>
      </x:c>
      <x:c r="I126" s="7" t="str">
        <x:v>Atelier de véhicule et module.</x:v>
      </x:c>
      <x:c r="J126" s="7" t="str">
        <x:v>Transitions de caméra et d’interface interruptibles ; aucun délai d’animation ne doit consommer une décision encore ouverte.</x:v>
      </x:c>
      <x:c r="K126" s="7" t="str">
        <x:v>Créer des bruitages et ambiances originaux adaptés au livrable ; sous-titrer les indices utiles et proposer un réglage indépendant des effets. Aucune extraction audio demandée.</x:v>
      </x:c>
      <x:c r="L126" s="7" t="str">
        <x:v>Prévu : fiche de données mea/side_quests/task-nomad ; rattacher les ressources et états cités à cet identifiant. Aucun fichier de jeu créé par ce catalogue.</x:v>
      </x:c>
      <x:c r="M126" s="7" t="str"/>
      <x:c r="N126" s="7" t="str">
        <x:v>Le livrable « Task: Nomad Shield Crafting » possède une scène ou un scénario de contrôle ; ses règles proposées, ses conditions et ses retours visuels sont vérifiables séparément.</x:v>
      </x:c>
      <x:c r="O126" s="7" t="str"/>
      <x:c r="P126" s="7" t="str">
        <x:v>Task: Nomad Shield Crafting</x:v>
      </x:c>
      <x:c r="Q126" s="7" t="str">
        <x:v>MEA-SRC-MISSIONS</x:v>
      </x:c>
      <x:c r="R126" s="7" t="str">
        <x:v>https://masseffect.fandom.com/wiki/Missions_%28Mass_Effect%3A_Andromeda%29</x:v>
      </x:c>
      <x:c r="S126" s="7" t="str">
        <x:v>Spécification à réaliser. Les champs adaptation, gameplay, visual, animation, audio et implementation décrivent le fan game ; ils ne donnent pas des caractéristiques officielles de l’œuvre.</x:v>
      </x:c>
    </x:row>
    <x:row r="127" ht="68" customHeight="1">
      <x:c r="A127" s="18" t="str">
        <x:v>MEA-SQ-TASK-CLEAR</x:v>
      </x:c>
      <x:c r="B127" s="9" t="str">
        <x:v>Task: Clearing the Air</x:v>
      </x:c>
      <x:c r="C127" s="15" t="str">
        <x:v>Défini</x:v>
      </x:c>
      <x:c r="D127" s="16" t="str">
        <x:v>Établi</x:v>
      </x:c>
      <x:c r="E127" s="16" t="str">
        <x:v>P1</x:v>
      </x:c>
      <x:c r="F127" s="9" t="str">
        <x:v>Tâche de Voeld.</x:v>
      </x:c>
      <x:c r="G127" s="9" t="str">
        <x:v>Repérer dispositif adverse et le neutraliser ; retour d’état du réseau visible sans répéter l’opération.</x:v>
      </x:c>
      <x:c r="H127" s="9" t="str">
        <x:v>Repérer dispositif adverse et le neutraliser ; retour d’état du réseau visible sans répéter l’opération.</x:v>
      </x:c>
      <x:c r="I127" s="9" t="str">
        <x:v>Antenne et icône de signal.</x:v>
      </x:c>
      <x:c r="J127" s="9" t="str">
        <x:v>Transitions de caméra et d’interface interruptibles ; aucun délai d’animation ne doit consommer une décision encore ouverte.</x:v>
      </x:c>
      <x:c r="K127" s="9" t="str">
        <x:v>Créer des bruitages et ambiances originaux adaptés au livrable ; sous-titrer les indices utiles et proposer un réglage indépendant des effets. Aucune extraction audio demandée.</x:v>
      </x:c>
      <x:c r="L127" s="9" t="str">
        <x:v>Prévu : fiche de données mea/side_quests/task-clear ; rattacher les ressources et états cités à cet identifiant. Aucun fichier de jeu créé par ce catalogue.</x:v>
      </x:c>
      <x:c r="M127" s="9" t="str"/>
      <x:c r="N127" s="9" t="str">
        <x:v>Le livrable « Task: Clearing the Air » possède une scène ou un scénario de contrôle ; ses règles proposées, ses conditions et ses retours visuels sont vérifiables séparément.</x:v>
      </x:c>
      <x:c r="O127" s="9" t="str"/>
      <x:c r="P127" s="9" t="str">
        <x:v>Task: Clearing the Air</x:v>
      </x:c>
      <x:c r="Q127" s="9" t="str">
        <x:v>MEA-SRC-MISSIONS</x:v>
      </x:c>
      <x:c r="R127" s="9" t="str">
        <x:v>https://masseffect.fandom.com/wiki/Missions_%28Mass_Effect%3A_Andromeda%29</x:v>
      </x:c>
      <x:c r="S127" s="9" t="str">
        <x:v>Spécification à réaliser. Les champs adaptation, gameplay, visual, animation, audio et implementation décrivent le fan game ; ils ne donnent pas des caractéristiques officielles de l’œuvre.</x:v>
      </x:c>
    </x:row>
    <x:row r="128" ht="68" customHeight="1">
      <x:c r="A128" s="19" t="str">
        <x:v>MEA-SQ-TASK-EMBEZZLE</x:v>
      </x:c>
      <x:c r="B128" s="7" t="str">
        <x:v>Task: Investigating Embezzlement</x:v>
      </x:c>
      <x:c r="C128" s="15" t="str">
        <x:v>Défini</x:v>
      </x:c>
      <x:c r="D128" s="17" t="str">
        <x:v>Établi</x:v>
      </x:c>
      <x:c r="E128" s="17" t="str">
        <x:v>P1</x:v>
      </x:c>
      <x:c r="F128" s="7" t="str">
        <x:v>Tâche d’enquête Nexus.</x:v>
      </x:c>
      <x:c r="G128" s="7" t="str">
        <x:v>Comparer comptes et témoignages ; un achat du joueur ne compte pas comme preuve de détournement.</x:v>
      </x:c>
      <x:c r="H128" s="7" t="str">
        <x:v>Comparer comptes et témoignages ; un achat du joueur ne compte pas comme preuve de détournement.</x:v>
      </x:c>
      <x:c r="I128" s="7" t="str">
        <x:v>Registre et lignes surlignées.</x:v>
      </x:c>
      <x:c r="J128" s="7" t="str">
        <x:v>Transitions de caméra et d’interface interruptibles ; aucun délai d’animation ne doit consommer une décision encore ouverte.</x:v>
      </x:c>
      <x:c r="K128" s="7" t="str">
        <x:v>Créer des bruitages et ambiances originaux adaptés au livrable ; sous-titrer les indices utiles et proposer un réglage indépendant des effets. Aucune extraction audio demandée.</x:v>
      </x:c>
      <x:c r="L128" s="7" t="str">
        <x:v>Prévu : fiche de données mea/side_quests/task-embezzle ; rattacher les ressources et états cités à cet identifiant. Aucun fichier de jeu créé par ce catalogue.</x:v>
      </x:c>
      <x:c r="M128" s="7" t="str"/>
      <x:c r="N128" s="7" t="str">
        <x:v>Le livrable « Task: Investigating Embezzlement » possède une scène ou un scénario de contrôle ; ses règles proposées, ses conditions et ses retours visuels sont vérifiables séparément.</x:v>
      </x:c>
      <x:c r="O128" s="7" t="str"/>
      <x:c r="P128" s="7" t="str">
        <x:v>Task: Investigating Embezzlement</x:v>
      </x:c>
      <x:c r="Q128" s="7" t="str">
        <x:v>MEA-SRC-MISSIONS</x:v>
      </x:c>
      <x:c r="R128" s="7" t="str">
        <x:v>https://masseffect.fandom.com/wiki/Missions_%28Mass_Effect%3A_Andromeda%29</x:v>
      </x:c>
      <x:c r="S128" s="7" t="str">
        <x:v>Spécification à réaliser. Les champs adaptation, gameplay, visual, animation, audio et implementation décrivent le fan game ; ils ne donnent pas des caractéristiques officielles de l’œuvre.</x:v>
      </x:c>
    </x:row>
    <x:row r="129" ht="68" customHeight="1">
      <x:c r="A129" s="18" t="str">
        <x:v>MEA-SQ-TASK-ALIEN</x:v>
      </x:c>
      <x:c r="B129" s="9" t="str">
        <x:v>Task: Comparatively Alien</x:v>
      </x:c>
      <x:c r="C129" s="15" t="str">
        <x:v>Défini</x:v>
      </x:c>
      <x:c r="D129" s="16" t="str">
        <x:v>Établi</x:v>
      </x:c>
      <x:c r="E129" s="16" t="str">
        <x:v>P1</x:v>
      </x:c>
      <x:c r="F129" s="9" t="str">
        <x:v>Tâche de recherche.</x:v>
      </x:c>
      <x:c r="G129" s="9" t="str">
        <x:v>Scans de vie avec catégorie demandée et indicateur déjà étudié ; récompense de science indépendante de tuer le sujet.</x:v>
      </x:c>
      <x:c r="H129" s="9" t="str">
        <x:v>Scans de vie avec catégorie demandée et indicateur déjà étudié ; récompense de science indépendante de tuer le sujet.</x:v>
      </x:c>
      <x:c r="I129" s="9" t="str">
        <x:v>Scanner et silhouettes de faune.</x:v>
      </x:c>
      <x:c r="J129" s="9" t="str">
        <x:v>Transitions de caméra et d’interface interruptibles ; aucun délai d’animation ne doit consommer une décision encore ouverte.</x:v>
      </x:c>
      <x:c r="K129" s="9" t="str">
        <x:v>Créer des bruitages et ambiances originaux adaptés au livrable ; sous-titrer les indices utiles et proposer un réglage indépendant des effets. Aucune extraction audio demandée.</x:v>
      </x:c>
      <x:c r="L129" s="9" t="str">
        <x:v>Prévu : fiche de données mea/side_quests/task-alien ; rattacher les ressources et états cités à cet identifiant. Aucun fichier de jeu créé par ce catalogue.</x:v>
      </x:c>
      <x:c r="M129" s="9" t="str"/>
      <x:c r="N129" s="9" t="str">
        <x:v>Le livrable « Task: Comparatively Alien » possède une scène ou un scénario de contrôle ; ses règles proposées, ses conditions et ses retours visuels sont vérifiables séparément.</x:v>
      </x:c>
      <x:c r="O129" s="9" t="str"/>
      <x:c r="P129" s="9" t="str">
        <x:v>Task: Comparatively Alien</x:v>
      </x:c>
      <x:c r="Q129" s="9" t="str">
        <x:v>MEA-SRC-ALIEN-TASK</x:v>
      </x:c>
      <x:c r="R129" s="9" t="str">
        <x:v>https://masseffect.fandom.com/wiki/Task%3A_Comparatively_Alien</x:v>
      </x:c>
      <x:c r="S129" s="9" t="str">
        <x:v>Spécification à réaliser. Les champs adaptation, gameplay, visual, animation, audio et implementation décrivent le fan game ; ils ne donnent pas des caractéristiques officielles de l’œuvre.</x:v>
      </x:c>
    </x:row>
    <x:row r="130" ht="68" customHeight="1">
      <x:c r="A130" s="19" t="str">
        <x:v>MEA-SQ-TASK-FLOWER</x:v>
      </x:c>
      <x:c r="B130" s="7" t="str">
        <x:v>Task: A Flower for Kesh</x:v>
      </x:c>
      <x:c r="C130" s="15" t="str">
        <x:v>Défini</x:v>
      </x:c>
      <x:c r="D130" s="17" t="str">
        <x:v>Établi</x:v>
      </x:c>
      <x:c r="E130" s="17" t="str">
        <x:v>P1</x:v>
      </x:c>
      <x:c r="F130" s="7" t="str">
        <x:v>Tâche personnelle krogan.</x:v>
      </x:c>
      <x:c r="G130" s="7" t="str">
        <x:v>Objet unique avec destinataire affiché ; remise et conversation affective sans mécanisme de romance joueur ajouté.</x:v>
      </x:c>
      <x:c r="H130" s="7" t="str">
        <x:v>Objet unique avec destinataire affiché ; remise et conversation affective sans mécanisme de romance joueur ajouté.</x:v>
      </x:c>
      <x:c r="I130" s="7" t="str">
        <x:v>Fleur et portrait de Kesh.</x:v>
      </x:c>
      <x:c r="J130" s="7" t="str">
        <x:v>Transitions de caméra et d’interface interruptibles ; aucun délai d’animation ne doit consommer une décision encore ouverte.</x:v>
      </x:c>
      <x:c r="K130" s="7" t="str">
        <x:v>Créer des bruitages et ambiances originaux adaptés au livrable ; sous-titrer les indices utiles et proposer un réglage indépendant des effets. Aucune extraction audio demandée.</x:v>
      </x:c>
      <x:c r="L130" s="7" t="str">
        <x:v>Prévu : fiche de données mea/side_quests/task-flower ; rattacher les ressources et états cités à cet identifiant. Aucun fichier de jeu créé par ce catalogue.</x:v>
      </x:c>
      <x:c r="M130" s="7" t="str"/>
      <x:c r="N130" s="7" t="str">
        <x:v>Le livrable « Task: A Flower for Kesh » possède une scène ou un scénario de contrôle ; ses règles proposées, ses conditions et ses retours visuels sont vérifiables séparément.</x:v>
      </x:c>
      <x:c r="O130" s="7" t="str"/>
      <x:c r="P130" s="7" t="str">
        <x:v>Task: A Flower for Kesh</x:v>
      </x:c>
      <x:c r="Q130" s="7" t="str">
        <x:v>MEA-SRC-MISSIONS</x:v>
      </x:c>
      <x:c r="R130" s="7" t="str">
        <x:v>https://masseffect.fandom.com/wiki/Missions_%28Mass_Effect%3A_Andromeda%29</x:v>
      </x:c>
      <x:c r="S130" s="7" t="str">
        <x:v>Spécification à réaliser. Les champs adaptation, gameplay, visual, animation, audio et implementation décrivent le fan game ; ils ne donnent pas des caractéristiques officielles de l’œuvre.</x:v>
      </x:c>
    </x:row>
    <x:row r="131" ht="68" customHeight="1">
      <x:c r="A131" s="18" t="str">
        <x:v>MEA-SQ-TASK-DATATRAIL</x:v>
      </x:c>
      <x:c r="B131" s="9" t="str">
        <x:v>Task: Data Trail</x:v>
      </x:c>
      <x:c r="C131" s="15" t="str">
        <x:v>Défini</x:v>
      </x:c>
      <x:c r="D131" s="16" t="str">
        <x:v>Établi</x:v>
      </x:c>
      <x:c r="E131" s="16" t="str">
        <x:v>P1</x:v>
      </x:c>
      <x:c r="F131" s="9" t="str">
        <x:v>Tâche d’Eos.</x:v>
      </x:c>
      <x:c r="G131" s="9" t="str">
        <x:v>Suivre traces de données par étapes distinctes ; indices peuvent être relus hors zone dangereuse.</x:v>
      </x:c>
      <x:c r="H131" s="9" t="str">
        <x:v>Suivre traces de données par étapes distinctes ; indices peuvent être relus hors zone dangereuse.</x:v>
      </x:c>
      <x:c r="I131" s="9" t="str">
        <x:v>Flux orange et terminal.</x:v>
      </x:c>
      <x:c r="J131" s="9" t="str">
        <x:v>Transitions de caméra et d’interface interruptibles ; aucun délai d’animation ne doit consommer une décision encore ouverte.</x:v>
      </x:c>
      <x:c r="K131" s="9" t="str">
        <x:v>Créer des bruitages et ambiances originaux adaptés au livrable ; sous-titrer les indices utiles et proposer un réglage indépendant des effets. Aucune extraction audio demandée.</x:v>
      </x:c>
      <x:c r="L131" s="9" t="str">
        <x:v>Prévu : fiche de données mea/side_quests/task-datatrail ; rattacher les ressources et états cités à cet identifiant. Aucun fichier de jeu créé par ce catalogue.</x:v>
      </x:c>
      <x:c r="M131" s="9" t="str"/>
      <x:c r="N131" s="9" t="str">
        <x:v>Le livrable « Task: Data Trail » possède une scène ou un scénario de contrôle ; ses règles proposées, ses conditions et ses retours visuels sont vérifiables séparément.</x:v>
      </x:c>
      <x:c r="O131" s="9" t="str"/>
      <x:c r="P131" s="9" t="str">
        <x:v>Task: Data Trail</x:v>
      </x:c>
      <x:c r="Q131" s="9" t="str">
        <x:v>MEA-SRC-MISSIONS</x:v>
      </x:c>
      <x:c r="R131" s="9" t="str">
        <x:v>https://masseffect.fandom.com/wiki/Missions_%28Mass_Effect%3A_Andromeda%29</x:v>
      </x:c>
      <x:c r="S131" s="9" t="str">
        <x:v>Spécification à réaliser. Les champs adaptation, gameplay, visual, animation, audio et implementation décrivent le fan game ; ils ne donnent pas des caractéristiques officielles de l’œuvre.</x:v>
      </x:c>
    </x:row>
    <x:row r="132" ht="68" customHeight="1">
      <x:c r="A132" s="19" t="str">
        <x:v>MEA-SQ-TASK-LAWS</x:v>
      </x:c>
      <x:c r="B132" s="7" t="str">
        <x:v>Task: Laws and Customs</x:v>
      </x:c>
      <x:c r="C132" s="15" t="str">
        <x:v>Défini</x:v>
      </x:c>
      <x:c r="D132" s="17" t="str">
        <x:v>Établi</x:v>
      </x:c>
      <x:c r="E132" s="17" t="str">
        <x:v>P1</x:v>
      </x:c>
      <x:c r="F132" s="7" t="str">
        <x:v>Tâche d’Aya.</x:v>
      </x:c>
      <x:c r="G132" s="7" t="str">
        <x:v>Dialogue d’apprentissage culturel ; réponses de journal décrivent les usages sans règle universelle inventée.</x:v>
      </x:c>
      <x:c r="H132" s="7" t="str">
        <x:v>Dialogue d’apprentissage culturel ; réponses de journal décrivent les usages sans règle universelle inventée.</x:v>
      </x:c>
      <x:c r="I132" s="7" t="str">
        <x:v>Interlocuteur angara et carnet.</x:v>
      </x:c>
      <x:c r="J132" s="7" t="str">
        <x:v>Transitions de caméra et d’interface interruptibles ; aucun délai d’animation ne doit consommer une décision encore ouverte.</x:v>
      </x:c>
      <x:c r="K132" s="7" t="str">
        <x:v>Créer des bruitages et ambiances originaux adaptés au livrable ; sous-titrer les indices utiles et proposer un réglage indépendant des effets. Aucune extraction audio demandée.</x:v>
      </x:c>
      <x:c r="L132" s="7" t="str">
        <x:v>Prévu : fiche de données mea/side_quests/task-laws ; rattacher les ressources et états cités à cet identifiant. Aucun fichier de jeu créé par ce catalogue.</x:v>
      </x:c>
      <x:c r="M132" s="7" t="str"/>
      <x:c r="N132" s="7" t="str">
        <x:v>Le livrable « Task: Laws and Customs » possède une scène ou un scénario de contrôle ; ses règles proposées, ses conditions et ses retours visuels sont vérifiables séparément.</x:v>
      </x:c>
      <x:c r="O132" s="7" t="str"/>
      <x:c r="P132" s="7" t="str">
        <x:v>Task: Laws and Customs</x:v>
      </x:c>
      <x:c r="Q132" s="7" t="str">
        <x:v>MEA-SRC-MISSIONS</x:v>
      </x:c>
      <x:c r="R132" s="7" t="str">
        <x:v>https://masseffect.fandom.com/wiki/Missions_%28Mass_Effect%3A_Andromeda%29</x:v>
      </x:c>
      <x:c r="S132" s="7" t="str">
        <x:v>Spécification à réaliser. Les champs adaptation, gameplay, visual, animation, audio et implementation décrivent le fan game ; ils ne donnent pas des caractéristiques officielles de l’œuvre.</x:v>
      </x:c>
    </x:row>
    <x:row r="133" ht="68" customHeight="1">
      <x:c r="A133" s="18" t="str">
        <x:v>MEA-SQ-TASK-CUISINE</x:v>
      </x:c>
      <x:c r="B133" s="9" t="str">
        <x:v>Task: Local Cuisine</x:v>
      </x:c>
      <x:c r="C133" s="15" t="str">
        <x:v>Défini</x:v>
      </x:c>
      <x:c r="D133" s="16" t="str">
        <x:v>Établi</x:v>
      </x:c>
      <x:c r="E133" s="16" t="str">
        <x:v>P1</x:v>
      </x:c>
      <x:c r="F133" s="9" t="str">
        <x:v>Tâche d’Aya.</x:v>
      </x:c>
      <x:c r="G133" s="9" t="str">
        <x:v>Échange culinaire court ; nourriture reste objet culturel et non soin magique sans étiquette d’adaptation.</x:v>
      </x:c>
      <x:c r="H133" s="9" t="str">
        <x:v>Échange culinaire court ; nourriture reste objet culturel et non soin magique sans étiquette d’adaptation.</x:v>
      </x:c>
      <x:c r="I133" s="9" t="str">
        <x:v>Marché et plat local.</x:v>
      </x:c>
      <x:c r="J133" s="9" t="str">
        <x:v>Transitions de caméra et d’interface interruptibles ; aucun délai d’animation ne doit consommer une décision encore ouverte.</x:v>
      </x:c>
      <x:c r="K133" s="9" t="str">
        <x:v>Créer des bruitages et ambiances originaux adaptés au livrable ; sous-titrer les indices utiles et proposer un réglage indépendant des effets. Aucune extraction audio demandée.</x:v>
      </x:c>
      <x:c r="L133" s="9" t="str">
        <x:v>Prévu : fiche de données mea/side_quests/task-cuisine ; rattacher les ressources et états cités à cet identifiant. Aucun fichier de jeu créé par ce catalogue.</x:v>
      </x:c>
      <x:c r="M133" s="9" t="str"/>
      <x:c r="N133" s="9" t="str">
        <x:v>Le livrable « Task: Local Cuisine » possède une scène ou un scénario de contrôle ; ses règles proposées, ses conditions et ses retours visuels sont vérifiables séparément.</x:v>
      </x:c>
      <x:c r="O133" s="9" t="str"/>
      <x:c r="P133" s="9" t="str">
        <x:v>Task: Local Cuisine</x:v>
      </x:c>
      <x:c r="Q133" s="9" t="str">
        <x:v>MEA-SRC-MISSIONS</x:v>
      </x:c>
      <x:c r="R133" s="9" t="str">
        <x:v>https://masseffect.fandom.com/wiki/Missions_%28Mass_Effect%3A_Andromeda%29</x:v>
      </x:c>
      <x:c r="S133" s="9" t="str">
        <x:v>Spécification à réaliser. Les champs adaptation, gameplay, visual, animation, audio et implementation décrivent le fan game ; ils ne donnent pas des caractéristiques officielles de l’œuvre.</x:v>
      </x:c>
    </x:row>
    <x:row r="134" ht="68" customHeight="1">
      <x:c r="A134" s="19" t="str">
        <x:v>MEA-SQ-TASK-TEST</x:v>
      </x:c>
      <x:c r="B134" s="7" t="str">
        <x:v>Task: Test Subject</x:v>
      </x:c>
      <x:c r="C134" s="15" t="str">
        <x:v>Défini</x:v>
      </x:c>
      <x:c r="D134" s="17" t="str">
        <x:v>Établi</x:v>
      </x:c>
      <x:c r="E134" s="17" t="str">
        <x:v>P1</x:v>
      </x:c>
      <x:c r="F134" s="7" t="str">
        <x:v>Tâche d’Aya.</x:v>
      </x:c>
      <x:c r="G134" s="7" t="str">
        <x:v>Expérience avec consentement explicite de Ryder ; résultats de quête et statistiques proposées séparés.</x:v>
      </x:c>
      <x:c r="H134" s="7" t="str">
        <x:v>Expérience avec consentement explicite de Ryder ; résultats de quête et statistiques proposées séparés.</x:v>
      </x:c>
      <x:c r="I134" s="7" t="str">
        <x:v>Appareil scientifique et chaise.</x:v>
      </x:c>
      <x:c r="J134" s="7" t="str">
        <x:v>Transitions de caméra et d’interface interruptibles ; aucun délai d’animation ne doit consommer une décision encore ouverte.</x:v>
      </x:c>
      <x:c r="K134" s="7" t="str">
        <x:v>Créer des bruitages et ambiances originaux adaptés au livrable ; sous-titrer les indices utiles et proposer un réglage indépendant des effets. Aucune extraction audio demandée.</x:v>
      </x:c>
      <x:c r="L134" s="7" t="str">
        <x:v>Prévu : fiche de données mea/side_quests/task-test ; rattacher les ressources et états cités à cet identifiant. Aucun fichier de jeu créé par ce catalogue.</x:v>
      </x:c>
      <x:c r="M134" s="7" t="str"/>
      <x:c r="N134" s="7" t="str">
        <x:v>Le livrable « Task: Test Subject » possède une scène ou un scénario de contrôle ; ses règles proposées, ses conditions et ses retours visuels sont vérifiables séparément.</x:v>
      </x:c>
      <x:c r="O134" s="7" t="str"/>
      <x:c r="P134" s="7" t="str">
        <x:v>Task: Test Subject</x:v>
      </x:c>
      <x:c r="Q134" s="7" t="str">
        <x:v>MEA-SRC-MISSIONS</x:v>
      </x:c>
      <x:c r="R134" s="7" t="str">
        <x:v>https://masseffect.fandom.com/wiki/Missions_%28Mass_Effect%3A_Andromeda%29</x:v>
      </x:c>
      <x:c r="S134" s="7" t="str">
        <x:v>Spécification à réaliser. Les champs adaptation, gameplay, visual, animation, audio et implementation décrivent le fan game ; ils ne donnent pas des caractéristiques officielles de l’œuvre.</x:v>
      </x:c>
    </x:row>
    <x:row r="135" ht="68" customHeight="1">
      <x:c r="A135" s="18" t="str">
        <x:v>MEA-SQ-TASK-BOOST</x:v>
      </x:c>
      <x:c r="B135" s="9" t="str">
        <x:v>Task: Boosting the Signal</x:v>
      </x:c>
      <x:c r="C135" s="15" t="str">
        <x:v>Défini</x:v>
      </x:c>
      <x:c r="D135" s="16" t="str">
        <x:v>Établi</x:v>
      </x:c>
      <x:c r="E135" s="16" t="str">
        <x:v>P1</x:v>
      </x:c>
      <x:c r="F135" s="9" t="str">
        <x:v>Tâche de communications.</x:v>
      </x:c>
      <x:c r="G135" s="9" t="str">
        <x:v>Déposer équipements aux points prévus, chacun unique ; état réseau affiché à retour Nexus.</x:v>
      </x:c>
      <x:c r="H135" s="9" t="str">
        <x:v>Déposer équipements aux points prévus, chacun unique ; état réseau affiché à retour Nexus.</x:v>
      </x:c>
      <x:c r="I135" s="9" t="str">
        <x:v>Balise relais et signal.</x:v>
      </x:c>
      <x:c r="J135" s="9" t="str">
        <x:v>Transitions de caméra et d’interface interruptibles ; aucun délai d’animation ne doit consommer une décision encore ouverte.</x:v>
      </x:c>
      <x:c r="K135" s="9" t="str">
        <x:v>Créer des bruitages et ambiances originaux adaptés au livrable ; sous-titrer les indices utiles et proposer un réglage indépendant des effets. Aucune extraction audio demandée.</x:v>
      </x:c>
      <x:c r="L135" s="9" t="str">
        <x:v>Prévu : fiche de données mea/side_quests/task-boost ; rattacher les ressources et états cités à cet identifiant. Aucun fichier de jeu créé par ce catalogue.</x:v>
      </x:c>
      <x:c r="M135" s="9" t="str"/>
      <x:c r="N135" s="9" t="str">
        <x:v>Le livrable « Task: Boosting the Signal » possède une scène ou un scénario de contrôle ; ses règles proposées, ses conditions et ses retours visuels sont vérifiables séparément.</x:v>
      </x:c>
      <x:c r="O135" s="9" t="str"/>
      <x:c r="P135" s="9" t="str">
        <x:v>Task: Boosting the Signal</x:v>
      </x:c>
      <x:c r="Q135" s="9" t="str">
        <x:v>MEA-SRC-MISSIONS</x:v>
      </x:c>
      <x:c r="R135" s="9" t="str">
        <x:v>https://masseffect.fandom.com/wiki/Missions_%28Mass_Effect%3A_Andromeda%29</x:v>
      </x:c>
      <x:c r="S135" s="9" t="str">
        <x:v>Spécification à réaliser. Les champs adaptation, gameplay, visual, animation, audio et implementation décrivent le fan game ; ils ne donnent pas des caractéristiques officielles de l’œuvre.</x:v>
      </x:c>
    </x:row>
    <x:row r="136" ht="68" customHeight="1">
      <x:c r="A136" s="19" t="str">
        <x:v>MEA-SQ-TASK-OUTLAW</x:v>
      </x:c>
      <x:c r="B136" s="7" t="str">
        <x:v>Task: Outlaw Weapon Crafting</x:v>
      </x:c>
      <x:c r="C136" s="15" t="str">
        <x:v>Défini</x:v>
      </x:c>
      <x:c r="D136" s="17" t="str">
        <x:v>Établi</x:v>
      </x:c>
      <x:c r="E136" s="17" t="str">
        <x:v>P1</x:v>
      </x:c>
      <x:c r="F136" s="7" t="str">
        <x:v>Tâche de fabrication sur Kadara.</x:v>
      </x:c>
      <x:c r="G136" s="7" t="str">
        <x:v>Fabriquer l’objet demandé avec vraie recette ; disposer d’une arme différente du même type ne suffit pas.</x:v>
      </x:c>
      <x:c r="H136" s="7" t="str">
        <x:v>Fabriquer l’objet demandé avec vraie recette ; disposer d’une arme différente du même type ne suffit pas.</x:v>
      </x:c>
      <x:c r="I136" s="7" t="str">
        <x:v>Plan, matériaux et banc d’armes.</x:v>
      </x:c>
      <x:c r="J136" s="7" t="str">
        <x:v>Transitions de caméra et d’interface interruptibles ; aucun délai d’animation ne doit consommer une décision encore ouverte.</x:v>
      </x:c>
      <x:c r="K136" s="7" t="str">
        <x:v>Créer des bruitages et ambiances originaux adaptés au livrable ; sous-titrer les indices utiles et proposer un réglage indépendant des effets. Aucune extraction audio demandée.</x:v>
      </x:c>
      <x:c r="L136" s="7" t="str">
        <x:v>Prévu : fiche de données mea/side_quests/task-outlaw ; rattacher les ressources et états cités à cet identifiant. Aucun fichier de jeu créé par ce catalogue.</x:v>
      </x:c>
      <x:c r="M136" s="7" t="str"/>
      <x:c r="N136" s="7" t="str">
        <x:v>Le livrable « Task: Outlaw Weapon Crafting » possède une scène ou un scénario de contrôle ; ses règles proposées, ses conditions et ses retours visuels sont vérifiables séparément.</x:v>
      </x:c>
      <x:c r="O136" s="7" t="str"/>
      <x:c r="P136" s="7" t="str">
        <x:v>Task: Outlaw Weapon Crafting</x:v>
      </x:c>
      <x:c r="Q136" s="7" t="str">
        <x:v>MEA-SRC-MISSIONS</x:v>
      </x:c>
      <x:c r="R136" s="7" t="str">
        <x:v>https://masseffect.fandom.com/wiki/Missions_%28Mass_Effect%3A_Andromeda%29</x:v>
      </x:c>
      <x:c r="S136" s="7" t="str">
        <x:v>Spécification à réaliser. Les champs adaptation, gameplay, visual, animation, audio et implementation décrivent le fan game ; ils ne donnent pas des caractéristiques officielles de l’œuvre.</x:v>
      </x:c>
    </x:row>
  </x:sheetData>
  <x:conditionalFormatting sqref="D7:D136">
    <x:cfRule type="cellIs" dxfId="40" priority="1" operator="equal">
      <x:formula>"À vérifier"</x:formula>
    </x:cfRule>
    <x:cfRule type="cellIs" dxfId="41" priority="2" operator="equal">
      <x:formula>"Extrapolation"</x:formula>
    </x:cfRule>
  </x:conditionalFormatting>
  <x:conditionalFormatting sqref="C7:C136">
    <x:cfRule type="cellIs" dxfId="42" priority="3" operator="equal">
      <x:formula>"Validé"</x:formula>
    </x:cfRule>
  </x:conditionalFormatting>
  <x:conditionalFormatting sqref="E7:E136">
    <x:cfRule type="cellIs" dxfId="43" priority="4" operator="equal">
      <x:formula>"P0"</x:formula>
    </x:cfRule>
  </x:conditionalFormatting>
  <x:dataValidations count="3">
    <x:dataValidation type="list" sqref="C7:C136">
      <x:formula1>"Défini,Prototype,Intégré,Validé"</x:formula1>
    </x:dataValidation>
    <x:dataValidation type="list" sqref="D7:D136">
      <x:formula1>"Établi,À vérifier,Extrapolation,Coupé attesté,Concept abandonné,Allégation écartée"</x:formula1>
    </x:dataValidation>
    <x:dataValidation type="list" sqref="E7:E136">
      <x:formula1>"P0,P1,P2"</x:formula1>
    </x:dataValidation>
  </x:dataValidations>
  <x:pageMargins left="0.7" right="0.7" top="0.75" bottom="0.75" header="0.3" footer="0.3"/>
  <x:tableParts count="1">
    <x:tablePart xmlns:r="http://schemas.openxmlformats.org/officeDocument/2006/relationships" r:id="Rc84f23c6d14546da"/>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MEA-CHO-RYDER</x:v>
      </x:c>
      <x:c r="B7" s="9" t="str">
        <x:v>Choisir Sara ou Scott</x:v>
      </x:c>
      <x:c r="C7" s="15" t="str">
        <x:v>Défini</x:v>
      </x:c>
      <x:c r="D7" s="16" t="str">
        <x:v>Établi</x:v>
      </x:c>
      <x:c r="E7" s="16" t="str">
        <x:v>P1</x:v>
      </x:c>
      <x:c r="F7" s="9" t="str">
        <x:v>Un jumeau devient le personnage joué.</x:v>
      </x:c>
      <x:c r="G7" s="9" t="str">
        <x:v>Deux identités, personnalisation et jumeau non joué dérivés au départ ; aucun échange de noms lors du relais final.</x:v>
      </x:c>
      <x:c r="H7" s="9" t="str">
        <x:v>Deux identités, personnalisation et jumeau non joué dérivés au départ ; aucun échange de noms lors du relais final.</x:v>
      </x:c>
      <x:c r="I7" s="9" t="str">
        <x:v>Écran de création et portraits liés.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mea/choices/ryder ; rattacher les ressources et états cités à cet identifiant. Aucun fichier de jeu créé par ce catalogue.</x:v>
      </x:c>
      <x:c r="M7" s="9" t="str"/>
      <x:c r="N7" s="9" t="str">
        <x:v>Le livrable « Choisir Sara ou Scott » possède une scène ou un scénario de contrôle ; ses règles proposées, ses conditions et ses retours visuels sont vérifiables séparément.</x:v>
      </x:c>
      <x:c r="O7" s="9" t="str"/>
      <x:c r="P7" s="9" t="str">
        <x:v>Choisir Sara ou Scott</x:v>
      </x:c>
      <x:c r="Q7" s="9" t="str">
        <x:v>MEA-SRC-GUIDE</x:v>
      </x:c>
      <x:c r="R7" s="9" t="str">
        <x:v>https://masseffect.fandom.com/wiki/Mass_Effect%3A_Andromeda_Guide</x:v>
      </x:c>
      <x:c r="S7" s="9" t="str">
        <x:v>Spécification à réaliser. Les champs adaptation, gameplay, visual, animation, audio et implementation décrivent le fan game ; ils ne donnent pas des caractéristiques officielles de l’œuvre.</x:v>
      </x:c>
    </x:row>
    <x:row r="8" ht="68" customHeight="1">
      <x:c r="A8" s="19" t="str">
        <x:v>MEA-CHO-TONE</x:v>
      </x:c>
      <x:c r="B8" s="7" t="str">
        <x:v>Tons de dialogue de Ryder</x:v>
      </x:c>
      <x:c r="C8" s="15" t="str">
        <x:v>Défini</x:v>
      </x:c>
      <x:c r="D8" s="17" t="str">
        <x:v>Établi</x:v>
      </x:c>
      <x:c r="E8" s="17" t="str">
        <x:v>P1</x:v>
      </x:c>
      <x:c r="F8" s="7" t="str">
        <x:v>Les réponses utilisent plusieurs tons.</x:v>
      </x:c>
      <x:c r="G8" s="7" t="str">
        <x:v>Émotionnel, logique, décontracté et professionnel comme styles, pas axe Paragon/Renegade ; choix d’action séparé du ton.</x:v>
      </x:c>
      <x:c r="H8" s="7" t="str">
        <x:v>Émotionnel, logique, décontracté et professionnel comme styles, pas axe Paragon/Renegade ; choix d’action séparé du ton.</x:v>
      </x:c>
      <x:c r="I8" s="7" t="str">
        <x:v>Quatre symboles de réponse.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mea/choices/tone ; rattacher les ressources et états cités à cet identifiant. Aucun fichier de jeu créé par ce catalogue.</x:v>
      </x:c>
      <x:c r="M8" s="7" t="str"/>
      <x:c r="N8" s="7" t="str">
        <x:v>Le livrable « Tons de dialogue de Ryder » possède une scène ou un scénario de contrôle ; ses règles proposées, ses conditions et ses retours visuels sont vérifiables séparément.</x:v>
      </x:c>
      <x:c r="O8" s="7" t="str"/>
      <x:c r="P8" s="7" t="str">
        <x:v>Tons de dialogue de Ryder</x:v>
      </x:c>
      <x:c r="Q8" s="7" t="str">
        <x:v>MEA-SRC-GAME</x:v>
      </x:c>
      <x:c r="R8" s="7" t="str">
        <x:v>https://masseffect.fandom.com/wiki/Mass_Effect%3A_Andromeda</x:v>
      </x:c>
      <x:c r="S8" s="7" t="str">
        <x:v>Spécification à réaliser. Les champs adaptation, gameplay, visual, animation, audio et implementation décrivent le fan game ; ils ne donnent pas des caractéristiques officielles de l’œuvre.</x:v>
      </x:c>
    </x:row>
    <x:row r="9" ht="68" customHeight="1">
      <x:c r="A9" s="18" t="str">
        <x:v>MEA-CHO-EOS</x:v>
      </x:c>
      <x:c r="B9" s="9" t="str">
        <x:v>Avant-poste scientifique ou militaire</x:v>
      </x:c>
      <x:c r="C9" s="15" t="str">
        <x:v>Défini</x:v>
      </x:c>
      <x:c r="D9" s="16" t="str">
        <x:v>Établi</x:v>
      </x:c>
      <x:c r="E9" s="16" t="str">
        <x:v>P1</x:v>
      </x:c>
      <x:c r="F9" s="9" t="str">
        <x:v>Premier établissement offre un choix.</x:v>
      </x:c>
      <x:c r="G9" s="9" t="str">
        <x:v>Conserver fonction choisie, réactions et éléments d’avant-poste ; pas de bonus numérique de source non vérifié.</x:v>
      </x:c>
      <x:c r="H9" s="9" t="str">
        <x:v>Conserver fonction choisie, réactions et éléments d’avant-poste ; pas de bonus numérique de source non vérifié.</x:v>
      </x:c>
      <x:c r="I9" s="9" t="str">
        <x:v>Deux projets de Prodromos.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mea/choices/eos ; rattacher les ressources et états cités à cet identifiant. Aucun fichier de jeu créé par ce catalogue.</x:v>
      </x:c>
      <x:c r="M9" s="9" t="str"/>
      <x:c r="N9" s="9" t="str">
        <x:v>Le livrable « Avant-poste scientifique ou militaire » possède une scène ou un scénario de contrôle ; ses règles proposées, ses conditions et ses retours visuels sont vérifiables séparément.</x:v>
      </x:c>
      <x:c r="O9" s="9" t="str"/>
      <x:c r="P9" s="9" t="str">
        <x:v>Avant-poste scientifique ou militaire</x:v>
      </x:c>
      <x:c r="Q9" s="9" t="str">
        <x:v>MEA-SRC-GUIDE, MEA-SRC-EOS-PAGE</x:v>
      </x:c>
      <x:c r="R9" s="9" t="str">
        <x:v>https://masseffect.fandom.com/wiki/Mass_Effect%3A_Andromeda_Guide
https://masseffect.fandom.com/wiki/Eos</x:v>
      </x:c>
      <x:c r="S9" s="9" t="str">
        <x:v>Spécification à réaliser. Les champs adaptation, gameplay, visual, animation, audio et implementation décrivent le fan game ; ils ne donnent pas des caractéristiques officielles de l’œuvre.</x:v>
      </x:c>
    </x:row>
    <x:row r="10" ht="68" customHeight="1">
      <x:c r="A10" s="19" t="str">
        <x:v>MEA-CHO-MOSHAE</x:v>
      </x:c>
      <x:c r="B10" s="7" t="str">
        <x:v>Site d’exaltation et captifs</x:v>
      </x:c>
      <x:c r="C10" s="15" t="str">
        <x:v>Défini</x:v>
      </x:c>
      <x:c r="D10" s="17" t="str">
        <x:v>Établi</x:v>
      </x:c>
      <x:c r="E10" s="17" t="str">
        <x:v>P1</x:v>
      </x:c>
      <x:c r="F10" s="7" t="str">
        <x:v>La conclusion de Voeld propose une décision.</x:v>
      </x:c>
      <x:c r="G10" s="7" t="str">
        <x:v>Libération des captifs et destruction du site sont alternatives ; confirmer connaissance des conséquences sans inventer solution universelle sauvant tout.</x:v>
      </x:c>
      <x:c r="H10" s="7" t="str">
        <x:v>Libération des captifs et destruction du site sont alternatives ; confirmer connaissance des conséquences sans inventer solution universelle sauvant tout.</x:v>
      </x:c>
      <x:c r="I10" s="7" t="str">
        <x:v>Plan d’installation et portraits angara.</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mea/choices/moshae ; rattacher les ressources et états cités à cet identifiant. Aucun fichier de jeu créé par ce catalogue.</x:v>
      </x:c>
      <x:c r="M10" s="7" t="str"/>
      <x:c r="N10" s="7" t="str">
        <x:v>Le livrable « Site d’exaltation et captifs » possède une scène ou un scénario de contrôle ; ses règles proposées, ses conditions et ses retours visuels sont vérifiables séparément.</x:v>
      </x:c>
      <x:c r="O10" s="7" t="str"/>
      <x:c r="P10" s="7" t="str">
        <x:v>Site d’exaltation et captifs</x:v>
      </x:c>
      <x:c r="Q10" s="7" t="str">
        <x:v>MEA-SRC-TRAIL2</x:v>
      </x:c>
      <x:c r="R10" s="7" t="str">
        <x:v>https://masseffect.fandom.com/wiki/A_Trail_of_Hope_II</x:v>
      </x:c>
      <x:c r="S10" s="7" t="str">
        <x:v>Spécification à réaliser. Les champs adaptation, gameplay, visual, animation, audio et implementation décrivent le fan game ; ils ne donnent pas des caractéristiques officielles de l’œuvre.</x:v>
      </x:c>
    </x:row>
    <x:row r="11" ht="68" customHeight="1">
      <x:c r="A11" s="18" t="str">
        <x:v>MEA-CHO-CARDINAL</x:v>
      </x:c>
      <x:c r="B11" s="9" t="str">
        <x:v>Sort du Cardinal</x:v>
      </x:c>
      <x:c r="C11" s="15" t="str">
        <x:v>Défini</x:v>
      </x:c>
      <x:c r="D11" s="16" t="str">
        <x:v>Établi</x:v>
      </x:c>
      <x:c r="E11" s="16" t="str">
        <x:v>P1</x:v>
      </x:c>
      <x:c r="F11" s="9" t="str">
        <x:v>Une interruption suit le choix de site.</x:v>
      </x:c>
      <x:c r="G11" s="9" t="str">
        <x:v>Traiter sort du boss séparément de la décision sur prisonniers ; ne pas rouvrir une confrontation terminée après chargement.</x:v>
      </x:c>
      <x:c r="H11" s="9" t="str">
        <x:v>Traiter sort du boss séparément de la décision sur prisonniers ; ne pas rouvrir une confrontation terminée après chargement.</x:v>
      </x:c>
      <x:c r="I11" s="9" t="str">
        <x:v>Cardinal au sol et signal de réaction.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mea/choices/cardinal ; rattacher les ressources et états cités à cet identifiant. Aucun fichier de jeu créé par ce catalogue.</x:v>
      </x:c>
      <x:c r="M11" s="9" t="str"/>
      <x:c r="N11" s="9" t="str">
        <x:v>Le livrable « Sort du Cardinal » possède une scène ou un scénario de contrôle ; ses règles proposées, ses conditions et ses retours visuels sont vérifiables séparément.</x:v>
      </x:c>
      <x:c r="O11" s="9" t="str"/>
      <x:c r="P11" s="9" t="str">
        <x:v>Sort du Cardinal</x:v>
      </x:c>
      <x:c r="Q11" s="9" t="str">
        <x:v>MEA-SRC-TRAIL2</x:v>
      </x:c>
      <x:c r="R11" s="9" t="str">
        <x:v>https://masseffect.fandom.com/wiki/A_Trail_of_Hope_II</x:v>
      </x:c>
      <x:c r="S11" s="9" t="str">
        <x:v>Spécification à réaliser. Les champs adaptation, gameplay, visual, animation, audio et implementation décrivent le fan game ; ils ne donnent pas des caractéristiques officielles de l’œuvre.</x:v>
      </x:c>
    </x:row>
    <x:row r="12" ht="68" customHeight="1">
      <x:c r="A12" s="19" t="str">
        <x:v>MEA-CHO-RAEKA</x:v>
      </x:c>
      <x:c r="B12" s="7" t="str">
        <x:v>Raeka ou éclaireurs krogan</x:v>
      </x:c>
      <x:c r="C12" s="15" t="str">
        <x:v>Défini</x:v>
      </x:c>
      <x:c r="D12" s="17" t="str">
        <x:v>Établi</x:v>
      </x:c>
      <x:c r="E12" s="17" t="str">
        <x:v>P1</x:v>
      </x:c>
      <x:c r="F12" s="7" t="str">
        <x:v>La traque exige un choix de secours.</x:v>
      </x:c>
      <x:c r="G12" s="7" t="str">
        <x:v>Deux objectifs mutuellement engagés ; conserver personnages, réactions de Drack et succession galarienne dans états distincts.</x:v>
      </x:c>
      <x:c r="H12" s="7" t="str">
        <x:v>Deux objectifs mutuellement engagés ; conserver personnages, réactions de Drack et succession galarienne dans états distincts.</x:v>
      </x:c>
      <x:c r="I12" s="7" t="str">
        <x:v>Deux routes et communications urgentes.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mea/choices/raeka ; rattacher les ressources et états cités à cet identifiant. Aucun fichier de jeu créé par ce catalogue.</x:v>
      </x:c>
      <x:c r="M12" s="7" t="str"/>
      <x:c r="N12" s="7" t="str">
        <x:v>Le livrable « Raeka ou éclaireurs krogan » possède une scène ou un scénario de contrôle ; ses règles proposées, ses conditions et ses retours visuels sont vérifiables séparément.</x:v>
      </x:c>
      <x:c r="O12" s="7" t="str"/>
      <x:c r="P12" s="7" t="str">
        <x:v>Raeka ou éclaireurs krogan</x:v>
      </x:c>
      <x:c r="Q12" s="7" t="str">
        <x:v>MEA-SRC-ARCHON</x:v>
      </x:c>
      <x:c r="R12" s="7" t="str">
        <x:v>https://masseffect.fandom.com/wiki/Hunting_the_Archon</x:v>
      </x:c>
      <x:c r="S12" s="7" t="str">
        <x:v>Spécification à réaliser. Les champs adaptation, gameplay, visual, animation, audio et implementation décrivent le fan game ; ils ne donnent pas des caractéristiques officielles de l’œuvre.</x:v>
      </x:c>
    </x:row>
    <x:row r="13" ht="68" customHeight="1">
      <x:c r="A13" s="18" t="str">
        <x:v>MEA-CHO-SARISSA-TRUTH</x:v>
      </x:c>
      <x:c r="B13" s="9" t="str">
        <x:v>Révéler les actes de Sarissa</x:v>
      </x:c>
      <x:c r="C13" s="15" t="str">
        <x:v>Défini</x:v>
      </x:c>
      <x:c r="D13" s="16" t="str">
        <x:v>Établi</x:v>
      </x:c>
      <x:c r="E13" s="16" t="str">
        <x:v>P1</x:v>
      </x:c>
      <x:c r="F13" s="9" t="str">
        <x:v>Cora découvre un journal compromettant.</x:v>
      </x:c>
      <x:c r="G13" s="9" t="str">
        <x:v>Conserver révélation publique, réaction de Cora et décision de commandement séparément ; une preuve lue n’est pas automatiquement divulguée.</x:v>
      </x:c>
      <x:c r="H13" s="9" t="str">
        <x:v>Conserver révélation publique, réaction de Cora et décision de commandement séparément ; une preuve lue n’est pas automatiquement divulguée.</x:v>
      </x:c>
      <x:c r="I13" s="9" t="str">
        <x:v>Passerelle et enregistrement.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mea/choices/sarissa-truth ; rattacher les ressources et états cités à cet identifiant. Aucun fichier de jeu créé par ce catalogue.</x:v>
      </x:c>
      <x:c r="M13" s="9" t="str"/>
      <x:c r="N13" s="9" t="str">
        <x:v>Le livrable « Révéler les actes de Sarissa » possède une scène ou un scénario de contrôle ; ses règles proposées, ses conditions et ses retours visuels sont vérifiables séparément.</x:v>
      </x:c>
      <x:c r="O13" s="9" t="str"/>
      <x:c r="P13" s="9" t="str">
        <x:v>Révéler les actes de Sarissa</x:v>
      </x:c>
      <x:c r="Q13" s="9" t="str">
        <x:v>MEA-SRC-CORA-LOYAL</x:v>
      </x:c>
      <x:c r="R13" s="9" t="str">
        <x:v>https://masseffect.fandom.com/wiki/Cora_Harper%3A_At_Duty%27s_Edge</x:v>
      </x:c>
      <x:c r="S13" s="9" t="str">
        <x:v>Spécification à réaliser. Les champs adaptation, gameplay, visual, animation, audio et implementation décrivent le fan game ; ils ne donnent pas des caractéristiques officielles de l’œuvre.</x:v>
      </x:c>
    </x:row>
    <x:row r="14" ht="68" customHeight="1">
      <x:c r="A14" s="19" t="str">
        <x:v>MEA-CHO-SARISSA-ROLE</x:v>
      </x:c>
      <x:c r="B14" s="7" t="str">
        <x:v>Sarissa ou Vederia comme Pionnière</x:v>
      </x:c>
      <x:c r="C14" s="15" t="str">
        <x:v>Défini</x:v>
      </x:c>
      <x:c r="D14" s="17" t="str">
        <x:v>Établi</x:v>
      </x:c>
      <x:c r="E14" s="17" t="str">
        <x:v>P1</x:v>
      </x:c>
      <x:c r="F14" s="7" t="str">
        <x:v>Le rôle asari peut changer.</x:v>
      </x:c>
      <x:c r="G14" s="7" t="str">
        <x:v>Présenter successeure et maintien du commandement ; présence finale correspond à fonction confirmée, pas au seul choix de révélation.</x:v>
      </x:c>
      <x:c r="H14" s="7" t="str">
        <x:v>Présenter successeure et maintien du commandement ; présence finale correspond à fonction confirmée, pas au seul choix de révélation.</x:v>
      </x:c>
      <x:c r="I14" s="7" t="str">
        <x:v>Deux portraits de Pionnières.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mea/choices/sarissa-role ; rattacher les ressources et états cités à cet identifiant. Aucun fichier de jeu créé par ce catalogue.</x:v>
      </x:c>
      <x:c r="M14" s="7" t="str"/>
      <x:c r="N14" s="7" t="str">
        <x:v>Le livrable « Sarissa ou Vederia comme Pionnière » possède une scène ou un scénario de contrôle ; ses règles proposées, ses conditions et ses retours visuels sont vérifiables séparément.</x:v>
      </x:c>
      <x:c r="O14" s="7" t="str"/>
      <x:c r="P14" s="7" t="str">
        <x:v>Sarissa ou Vederia comme Pionnière</x:v>
      </x:c>
      <x:c r="Q14" s="7" t="str">
        <x:v>MEA-SRC-CORA-LOYAL</x:v>
      </x:c>
      <x:c r="R14" s="7" t="str">
        <x:v>https://masseffect.fandom.com/wiki/Cora_Harper%3A_At_Duty%27s_Edge</x:v>
      </x:c>
      <x:c r="S14" s="7" t="str">
        <x:v>Spécification à réaliser. Les champs adaptation, gameplay, visual, animation, audio et implementation décrivent le fan game ; ils ne donnent pas des caractéristiques officielles de l’œuvre.</x:v>
      </x:c>
    </x:row>
    <x:row r="15" ht="68" customHeight="1">
      <x:c r="A15" s="18" t="str">
        <x:v>MEA-CHO-AVITUS</x:v>
      </x:c>
      <x:c r="B15" s="9" t="str">
        <x:v>Convaincre Avitus de devenir Pionnier</x:v>
      </x:c>
      <x:c r="C15" s="15" t="str">
        <x:v>Défini</x:v>
      </x:c>
      <x:c r="D15" s="16" t="str">
        <x:v>Établi</x:v>
      </x:c>
      <x:c r="E15" s="16" t="str">
        <x:v>P1</x:v>
      </x:c>
      <x:c r="F15" s="9" t="str">
        <x:v>La succession turienne dépend du dialogue.</x:v>
      </x:c>
      <x:c r="G15" s="9" t="str">
        <x:v>Choix explicite après découverte de Macen ; refus laisse le poste vacant et affecte la préparation du secours final.</x:v>
      </x:c>
      <x:c r="H15" s="9" t="str">
        <x:v>Choix explicite après découverte de Macen ; refus laisse le poste vacant et affecte la préparation du secours final.</x:v>
      </x:c>
      <x:c r="I15" s="9" t="str">
        <x:v>SAM turien et portrait d’Avitus.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mea/choices/avitus ; rattacher les ressources et états cités à cet identifiant. Aucun fichier de jeu créé par ce catalogue.</x:v>
      </x:c>
      <x:c r="M15" s="9" t="str"/>
      <x:c r="N15" s="9" t="str">
        <x:v>Le livrable « Convaincre Avitus de devenir Pionnier » possède une scène ou un scénario de contrôle ; ses règles proposées, ses conditions et ses retours visuels sont vérifiables séparément.</x:v>
      </x:c>
      <x:c r="O15" s="9" t="str"/>
      <x:c r="P15" s="9" t="str">
        <x:v>Convaincre Avitus de devenir Pionnier</x:v>
      </x:c>
      <x:c r="Q15" s="9" t="str">
        <x:v>MEA-SRC-TURIAN-LOST</x:v>
      </x:c>
      <x:c r="R15" s="9" t="str">
        <x:v>https://masseffect.fandom.com/wiki/Turian_Ark%3A_Lost_But_Not_Forgotten</x:v>
      </x:c>
      <x:c r="S15" s="9" t="str">
        <x:v>Spécification à réaliser. Les champs adaptation, gameplay, visual, animation, audio et implementation décrivent le fan game ; ils ne donnent pas des caractéristiques officielles de l’œuvre.</x:v>
      </x:c>
    </x:row>
    <x:row r="16" ht="68" customHeight="1">
      <x:c r="A16" s="19" t="str">
        <x:v>MEA-CHO-AKKSUL</x:v>
      </x:c>
      <x:c r="B16" s="7" t="str">
        <x:v>Tirer ou faire confiance à Jaal</x:v>
      </x:c>
      <x:c r="C16" s="15" t="str">
        <x:v>Défini</x:v>
      </x:c>
      <x:c r="D16" s="17" t="str">
        <x:v>Établi</x:v>
      </x:c>
      <x:c r="E16" s="17" t="str">
        <x:v>P1</x:v>
      </x:c>
      <x:c r="F16" s="7" t="str">
        <x:v>La loyauté de Jaal propose une interruption.</x:v>
      </x:c>
      <x:c r="G16" s="7" t="str">
        <x:v>Fenêtre accessible et visée lisible ; absence de tir est un choix enregistré, pas un bouton ignoré sans effet.</x:v>
      </x:c>
      <x:c r="H16" s="7" t="str">
        <x:v>Fenêtre accessible et visée lisible ; absence de tir est un choix enregistré, pas un bouton ignoré sans effet.</x:v>
      </x:c>
      <x:c r="I16" s="7" t="str">
        <x:v>Jaal, Akksul et famille.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mea/choices/akksul ; rattacher les ressources et états cités à cet identifiant. Aucun fichier de jeu créé par ce catalogue.</x:v>
      </x:c>
      <x:c r="M16" s="7" t="str"/>
      <x:c r="N16" s="7" t="str">
        <x:v>Le livrable « Tirer ou faire confiance à Jaal » possède une scène ou un scénario de contrôle ; ses règles proposées, ses conditions et ses retours visuels sont vérifiables séparément.</x:v>
      </x:c>
      <x:c r="O16" s="7" t="str"/>
      <x:c r="P16" s="7" t="str">
        <x:v>Tirer ou faire confiance à Jaal</x:v>
      </x:c>
      <x:c r="Q16" s="7" t="str">
        <x:v>MEA-SRC-JAAL-LOYAL</x:v>
      </x:c>
      <x:c r="R16" s="7" t="str">
        <x:v>https://masseffect.fandom.com/wiki/Jaal_Ama_Darav%3A_Flesh_and_Blood</x:v>
      </x:c>
      <x:c r="S16" s="7" t="str">
        <x:v>Spécification à réaliser. Les champs adaptation, gameplay, visual, animation, audio et implementation décrivent le fan game ; ils ne donnent pas des caractéristiques officielles de l’œuvre.</x:v>
      </x:c>
    </x:row>
    <x:row r="17" ht="68" customHeight="1">
      <x:c r="A17" s="18" t="str">
        <x:v>MEA-CHO-KALINDA</x:v>
      </x:c>
      <x:c r="B17" s="9" t="str">
        <x:v>Sauver Kalinda ou récupérer l’appareil</x:v>
      </x:c>
      <x:c r="C17" s="15" t="str">
        <x:v>Défini</x:v>
      </x:c>
      <x:c r="D17" s="16" t="str">
        <x:v>Établi</x:v>
      </x:c>
      <x:c r="E17" s="16" t="str">
        <x:v>P1</x:v>
      </x:c>
      <x:c r="F17" s="9" t="str">
        <x:v>La mission de Peebee diverge.</x:v>
      </x:c>
      <x:c r="G17" s="9" t="str">
        <x:v>Tir fait chuter Kalinda et préserve l’objet ; laisser Peebee secourir perd l’appareil, avec retours propres à chaque branche.</x:v>
      </x:c>
      <x:c r="H17" s="9" t="str">
        <x:v>Tir fait chuter Kalinda et préserve l’objet ; laisser Peebee secourir perd l’appareil, avec retours propres à chaque branche.</x:v>
      </x:c>
      <x:c r="I17" s="9" t="str">
        <x:v>Deux points d’intérêt au-dessus de lave.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mea/choices/kalinda ; rattacher les ressources et états cités à cet identifiant. Aucun fichier de jeu créé par ce catalogue.</x:v>
      </x:c>
      <x:c r="M17" s="9" t="str"/>
      <x:c r="N17" s="9" t="str">
        <x:v>Le livrable « Sauver Kalinda ou récupérer l’appareil » possède une scène ou un scénario de contrôle ; ses règles proposées, ses conditions et ses retours visuels sont vérifiables séparément.</x:v>
      </x:c>
      <x:c r="O17" s="9" t="str"/>
      <x:c r="P17" s="9" t="str">
        <x:v>Sauver Kalinda ou récupérer l’appareil</x:v>
      </x:c>
      <x:c r="Q17" s="9" t="str">
        <x:v>MEA-SRC-PEEBEE-LOYAL</x:v>
      </x:c>
      <x:c r="R17" s="9" t="str">
        <x:v>https://masseffect.fandom.com/wiki/Peebee%3A_A_Mysterious_Remnant_Signal</x:v>
      </x:c>
      <x:c r="S17" s="9" t="str">
        <x:v>Spécification à réaliser. Les champs adaptation, gameplay, visual, animation, audio et implementation décrivent le fan game ; ils ne donnent pas des caractéristiques officielles de l’œuvre.</x:v>
      </x:c>
    </x:row>
    <x:row r="18" ht="68" customHeight="1">
      <x:c r="A18" s="19" t="str">
        <x:v>MEA-CHO-VERAND</x:v>
      </x:c>
      <x:c r="B18" s="7" t="str">
        <x:v>Libérer ou retenir Verand</x:v>
      </x:c>
      <x:c r="C18" s="15" t="str">
        <x:v>Défini</x:v>
      </x:c>
      <x:c r="D18" s="17" t="str">
        <x:v>Établi</x:v>
      </x:c>
      <x:c r="E18" s="17" t="str">
        <x:v>P1</x:v>
      </x:c>
      <x:c r="F18" s="7" t="str">
        <x:v>Le débrief de Liam comporte une décision.</x:v>
      </x:c>
      <x:c r="G18" s="7" t="str">
        <x:v>Enregistrer traitement de la rescapée et réaction de Liam ; ne pas casser une romance par une règle non attestée.</x:v>
      </x:c>
      <x:c r="H18" s="7" t="str">
        <x:v>Enregistrer traitement de la rescapée et réaction de Liam ; ne pas casser une romance par une règle non attestée.</x:v>
      </x:c>
      <x:c r="I18" s="7" t="str">
        <x:v>Tempest et communication aux sauveteurs.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mea/choices/verand ; rattacher les ressources et états cités à cet identifiant. Aucun fichier de jeu créé par ce catalogue.</x:v>
      </x:c>
      <x:c r="M18" s="7" t="str"/>
      <x:c r="N18" s="7" t="str">
        <x:v>Le livrable « Libérer ou retenir Verand » possède une scène ou un scénario de contrôle ; ses règles proposées, ses conditions et ses retours visuels sont vérifiables séparément.</x:v>
      </x:c>
      <x:c r="O18" s="7" t="str"/>
      <x:c r="P18" s="7" t="str">
        <x:v>Libérer ou retenir Verand</x:v>
      </x:c>
      <x:c r="Q18" s="7" t="str">
        <x:v>MEA-SRC-LIAM-LOYAL</x:v>
      </x:c>
      <x:c r="R18" s="7" t="str">
        <x:v>https://masseffect.fandom.com/wiki/Liam_Kosta%3A_All_In</x:v>
      </x:c>
      <x:c r="S18" s="7" t="str">
        <x:v>Spécification à réaliser. Les champs adaptation, gameplay, visual, animation, audio et implementation décrivent le fan game ; ils ne donnent pas des caractéristiques officielles de l’œuvre.</x:v>
      </x:c>
    </x:row>
    <x:row r="19" ht="68" customHeight="1">
      <x:c r="A19" s="18" t="str">
        <x:v>MEA-CHO-SID</x:v>
      </x:c>
      <x:c r="B19" s="9" t="str">
        <x:v>Options des caméras de Sid</x:v>
      </x:c>
      <x:c r="C19" s="15" t="str">
        <x:v>Défini</x:v>
      </x:c>
      <x:c r="D19" s="16" t="str">
        <x:v>Établi</x:v>
      </x:c>
      <x:c r="E19" s="16" t="str">
        <x:v>P1</x:v>
      </x:c>
      <x:c r="F19" s="9" t="str">
        <x:v>La mission de Vetra offre des interventions.</x:v>
      </x:c>
      <x:c r="G19" s="9" t="str">
        <x:v>Chaque salle mémorise sabotage choisi ; gaz, machine neutralisée ou explosion changent son danger réel, pas seulement le dialogue.</x:v>
      </x:c>
      <x:c r="H19" s="9" t="str">
        <x:v>Chaque salle mémorise sabotage choisi ; gaz, machine neutralisée ou explosion changent son danger réel, pas seulement le dialogue.</x:v>
      </x:c>
      <x:c r="I19" s="9" t="str">
        <x:v>Écrans de sécurité et aperçu de salle.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mea/choices/sid ; rattacher les ressources et états cités à cet identifiant. Aucun fichier de jeu créé par ce catalogue.</x:v>
      </x:c>
      <x:c r="M19" s="9" t="str"/>
      <x:c r="N19" s="9" t="str">
        <x:v>Le livrable « Options des caméras de Sid » possède une scène ou un scénario de contrôle ; ses règles proposées, ses conditions et ses retours visuels sont vérifiables séparément.</x:v>
      </x:c>
      <x:c r="O19" s="9" t="str"/>
      <x:c r="P19" s="9" t="str">
        <x:v>Options des caméras de Sid</x:v>
      </x:c>
      <x:c r="Q19" s="9" t="str">
        <x:v>MEA-SRC-VETRA-LOYAL</x:v>
      </x:c>
      <x:c r="R19" s="9" t="str">
        <x:v>https://masseffect.fandom.com/wiki/Vetra_Nyx%3A_Means_and_Ends</x:v>
      </x:c>
      <x:c r="S19" s="9" t="str">
        <x:v>Spécification à réaliser. Les champs adaptation, gameplay, visual, animation, audio et implementation décrivent le fan game ; ils ne donnent pas des caractéristiques officielles de l’œuvre.</x:v>
      </x:c>
    </x:row>
    <x:row r="20" ht="68" customHeight="1">
      <x:c r="A20" s="19" t="str">
        <x:v>MEA-CHO-AROANE</x:v>
      </x:c>
      <x:c r="B20" s="7" t="str">
        <x:v>Sort d’Aroane</x:v>
      </x:c>
      <x:c r="C20" s="15" t="str">
        <x:v>Défini</x:v>
      </x:c>
      <x:c r="D20" s="17" t="str">
        <x:v>Établi</x:v>
      </x:c>
      <x:c r="E20" s="17" t="str">
        <x:v>P1</x:v>
      </x:c>
      <x:c r="F20" s="7" t="str">
        <x:v>Drack confronte le responsable du vol.</x:v>
      </x:c>
      <x:c r="G20" s="7" t="str">
        <x:v>Mort ou conservation comme prisonnier ; ne pas inventer une grande conséquence ultérieure si source ne l’atteste pas.</x:v>
      </x:c>
      <x:c r="H20" s="7" t="str">
        <x:v>Mort ou conservation comme prisonnier ; ne pas inventer une grande conséquence ultérieure si source ne l’atteste pas.</x:v>
      </x:c>
      <x:c r="I20" s="7" t="str">
        <x:v>Quai du transport et face-à-face krogan.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mea/choices/aroane ; rattacher les ressources et états cités à cet identifiant. Aucun fichier de jeu créé par ce catalogue.</x:v>
      </x:c>
      <x:c r="M20" s="7" t="str"/>
      <x:c r="N20" s="7" t="str">
        <x:v>Le livrable « Sort d’Aroane » possède une scène ou un scénario de contrôle ; ses règles proposées, ses conditions et ses retours visuels sont vérifiables séparément.</x:v>
      </x:c>
      <x:c r="O20" s="7" t="str"/>
      <x:c r="P20" s="7" t="str">
        <x:v>Sort d’Aroane</x:v>
      </x:c>
      <x:c r="Q20" s="7" t="str">
        <x:v>MEA-SRC-DRACK-LOYAL</x:v>
      </x:c>
      <x:c r="R20" s="7" t="str">
        <x:v>https://masseffect.fandom.com/wiki/Nakmor_Drack%3A_A_Future_for_our_People</x:v>
      </x:c>
      <x:c r="S20" s="7" t="str">
        <x:v>Spécification à réaliser. Les champs adaptation, gameplay, visual, animation, audio et implementation décrivent le fan game ; ils ne donnent pas des caractéristiques officielles de l’œuvre.</x:v>
      </x:c>
    </x:row>
    <x:row r="21" ht="68" customHeight="1">
      <x:c r="A21" s="18" t="str">
        <x:v>MEA-CHO-SPENDER</x:v>
      </x:c>
      <x:c r="B21" s="9" t="str">
        <x:v>Prison ou exil pour Spender</x:v>
      </x:c>
      <x:c r="C21" s="15" t="str">
        <x:v>Défini</x:v>
      </x:c>
      <x:c r="D21" s="16" t="str">
        <x:v>Établi</x:v>
      </x:c>
      <x:c r="E21" s="16" t="str">
        <x:v>P1</x:v>
      </x:c>
      <x:c r="F21" s="9" t="str">
        <x:v>L’enquête de Drack mène à un verdict.</x:v>
      </x:c>
      <x:c r="G21" s="9" t="str">
        <x:v>Décision après examen des preuves ; état du PNJ, message de clôture et responsabilité discutée restent cohérents.</x:v>
      </x:c>
      <x:c r="H21" s="9" t="str">
        <x:v>Décision après examen des preuves ; état du PNJ, message de clôture et responsabilité discutée restent cohérents.</x:v>
      </x:c>
      <x:c r="I21" s="9" t="str">
        <x:v>Salle administrative du Nexus.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mea/choices/spender ; rattacher les ressources et états cités à cet identifiant. Aucun fichier de jeu créé par ce catalogue.</x:v>
      </x:c>
      <x:c r="M21" s="9" t="str"/>
      <x:c r="N21" s="9" t="str">
        <x:v>Le livrable « Prison ou exil pour Spender » possède une scène ou un scénario de contrôle ; ses règles proposées, ses conditions et ses retours visuels sont vérifiables séparément.</x:v>
      </x:c>
      <x:c r="O21" s="9" t="str"/>
      <x:c r="P21" s="9" t="str">
        <x:v>Prison ou exil pour Spender</x:v>
      </x:c>
      <x:c r="Q21" s="9" t="str">
        <x:v>MEA-SRC-DRACK-LOYAL</x:v>
      </x:c>
      <x:c r="R21" s="9" t="str">
        <x:v>https://masseffect.fandom.com/wiki/Nakmor_Drack%3A_A_Future_for_our_People</x:v>
      </x:c>
      <x:c r="S21" s="9" t="str">
        <x:v>Spécification à réaliser. Les champs adaptation, gameplay, visual, animation, audio et implementation décrivent le fan game ; ils ne donnent pas des caractéristiques officielles de l’œuvre.</x:v>
      </x:c>
    </x:row>
    <x:row r="22" ht="68" customHeight="1">
      <x:c r="A22" s="19" t="str">
        <x:v>MEA-CHO-CORE</x:v>
      </x:c>
      <x:c r="B22" s="7" t="str">
        <x:v>Moteur reliquat et accord krogan</x:v>
      </x:c>
      <x:c r="C22" s="15" t="str">
        <x:v>Défini</x:v>
      </x:c>
      <x:c r="D22" s="17" t="str">
        <x:v>Établi</x:v>
      </x:c>
      <x:c r="E22" s="17" t="str">
        <x:v>P1</x:v>
      </x:c>
      <x:c r="F22" s="7" t="str">
        <x:v>Le cœur volé intervient dans la négociation.</x:v>
      </x:c>
      <x:c r="G22" s="7" t="str">
        <x:v>Don, conservation et permission d’implantation suivis séparément ; aucun avant-poste fondé si accord manquant.</x:v>
      </x:c>
      <x:c r="H22" s="7" t="str">
        <x:v>Don, conservation et permission d’implantation suivis séparément ; aucun avant-poste fondé si accord manquant.</x:v>
      </x:c>
      <x:c r="I22" s="7" t="str">
        <x:v>Morda, cœur énergétique et carte d’Elaaden.</x:v>
      </x:c>
      <x:c r="J22" s="7" t="str">
        <x:v>Nommer les variantes de scène et leurs positions finales ; saut de cinématique, réduction de mouvement et lecture complète appliquent le même état. Morda, cœur énergétique et carte d’Elaaden.</x:v>
      </x:c>
      <x:c r="K22" s="7" t="str">
        <x:v>Répliques originales par branche et sous-titres nominatifs ; supprimer les voix d’acteurs absents avant mixage et conserver les informations de danger en texte.</x:v>
      </x:c>
      <x:c r="L22" s="7" t="str">
        <x:v>Prévu : fiche de données mea/choices/core ; rattacher les ressources et états cités à cet identifiant. Aucun fichier de jeu créé par ce catalogue.</x:v>
      </x:c>
      <x:c r="M22" s="7" t="str"/>
      <x:c r="N22" s="7" t="str">
        <x:v>Le moteur est possédé par un seul détenteur ; l’accord d’implantation requis est vérifié indépendamment de restauration/viabilité, aucune remise répétée ne produit plusieurs récompenses.</x:v>
      </x:c>
      <x:c r="O22" s="7" t="str"/>
      <x:c r="P22" s="7" t="str">
        <x:v>Moteur reliquat et accord krogan</x:v>
      </x:c>
      <x:c r="Q22" s="7" t="str">
        <x:v>MEA-SRC-ELAADEN-PAGE</x:v>
      </x:c>
      <x:c r="R22" s="7" t="str">
        <x:v>https://masseffect.fandom.com/wiki/Elaaden</x:v>
      </x:c>
      <x:c r="S22" s="7" t="str">
        <x:v>Spécification à réaliser. Les champs adaptation, gameplay, visual, animation, audio et implementation décrivent le fan game ; ils ne donnent pas des caractéristiques officielles de l’œuvre.</x:v>
      </x:c>
    </x:row>
    <x:row r="23" ht="68" customHeight="1">
      <x:c r="A23" s="18" t="str">
        <x:v>MEA-CHO-SLOANE-REYES</x:v>
      </x:c>
      <x:c r="B23" s="9" t="str">
        <x:v>High Noon — autorité de Kadara</x:v>
      </x:c>
      <x:c r="C23" s="15" t="str">
        <x:v>Défini</x:v>
      </x:c>
      <x:c r="D23" s="16" t="str">
        <x:v>Établi</x:v>
      </x:c>
      <x:c r="E23" s="16" t="str">
        <x:v>P1</x:v>
      </x:c>
      <x:c r="F23" s="9" t="str">
        <x:v>L’issue change le pouvoir local.</x:v>
      </x:c>
      <x:c r="G23" s="9" t="str">
        <x:v>Intervention, mort/survie et direction politique ont variables propres ; gardes, contacts et missions suivent l’autorité finale.</x:v>
      </x:c>
      <x:c r="H23" s="9" t="str">
        <x:v>Intervention, mort/survie et direction politique ont variables propres ; gardes, contacts et missions suivent l’autorité finale.</x:v>
      </x:c>
      <x:c r="I23" s="9" t="str">
        <x:v>Grotte et salle de gouvernement.</x:v>
      </x:c>
      <x:c r="J23" s="9" t="str">
        <x:v>Nommer les variantes de scène et leurs positions finales ; saut de cinématique, réduction de mouvement et lecture complète appliquent le même état. Grotte et salle de gouvernement.</x:v>
      </x:c>
      <x:c r="K23" s="9" t="str">
        <x:v>Répliques originales par branche et sous-titres nominatifs ; supprimer les voix d’acteurs absents avant mixage et conserver les informations de danger en texte.</x:v>
      </x:c>
      <x:c r="L23" s="9" t="str">
        <x:v>Prévu : fiche de données mea/choices/sloane-reyes ; rattacher les ressources et états cités à cet identifiant. Aucun fichier de jeu créé par ce catalogue.</x:v>
      </x:c>
      <x:c r="M23" s="9" t="str"/>
      <x:c r="N23" s="9" t="str">
        <x:v>Mise à jour atomique du dirigeant, des gardes et des fenêtres de mission ; le PNJ mort ne reste pas au trône, les interactions déjà terminées ne réapparaissent pas comme disponibles.</x:v>
      </x:c>
      <x:c r="O23" s="9" t="str"/>
      <x:c r="P23" s="9" t="str">
        <x:v>High Noon — autorité de Kadara</x:v>
      </x:c>
      <x:c r="Q23" s="9" t="str">
        <x:v>MEA-SRC-HIGH-NOON</x:v>
      </x:c>
      <x:c r="R23" s="9" t="str">
        <x:v>https://masseffect.fandom.com/wiki/High_Noon</x:v>
      </x:c>
      <x:c r="S23" s="9" t="str">
        <x:v>Spécification à réaliser. Les champs adaptation, gameplay, visual, animation, audio et implementation décrivent le fan game ; ils ne donnent pas des caractéristiques officielles de l’œuvre.</x:v>
      </x:c>
    </x:row>
    <x:row r="24" ht="68" customHeight="1">
      <x:c r="A24" s="19" t="str">
        <x:v>MEA-CHO-NILKEN</x:v>
      </x:c>
      <x:c r="B24" s="7" t="str">
        <x:v>Verdict de Nilken</x:v>
      </x:c>
      <x:c r="C24" s="15" t="str">
        <x:v>Défini</x:v>
      </x:c>
      <x:c r="D24" s="17" t="str">
        <x:v>Établi</x:v>
      </x:c>
      <x:c r="E24" s="17" t="str">
        <x:v>P1</x:v>
      </x:c>
      <x:c r="F24" s="7" t="str">
        <x:v>L’enquête distingue intention et décès.</x:v>
      </x:c>
      <x:c r="G24" s="7" t="str">
        <x:v>Présenter preuves avant libération ou exil ; le mot innocent ne réécrit pas les témoignages déjà acquis.</x:v>
      </x:c>
      <x:c r="H24" s="7" t="str">
        <x:v>Présenter preuves avant libération ou exil ; le mot innocent ne réécrit pas les témoignages déjà acquis.</x:v>
      </x:c>
      <x:c r="I24" s="7" t="str">
        <x:v>Dossier comparatif et cellule.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mea/choices/nilken ; rattacher les ressources et états cités à cet identifiant. Aucun fichier de jeu créé par ce catalogue.</x:v>
      </x:c>
      <x:c r="M24" s="7" t="str"/>
      <x:c r="N24" s="7" t="str">
        <x:v>Le livrable « Verdict de Nilken » possède une scène ou un scénario de contrôle ; ses règles proposées, ses conditions et ses retours visuels sont vérifiables séparément.</x:v>
      </x:c>
      <x:c r="O24" s="7" t="str"/>
      <x:c r="P24" s="7" t="str">
        <x:v>Verdict de Nilken</x:v>
      </x:c>
      <x:c r="Q24" s="7" t="str">
        <x:v>MEA-SRC-MURDER</x:v>
      </x:c>
      <x:c r="R24" s="7" t="str">
        <x:v>https://masseffect.fandom.com/wiki/First_Murderer</x:v>
      </x:c>
      <x:c r="S24" s="7" t="str">
        <x:v>Spécification à réaliser. Les champs adaptation, gameplay, visual, animation, audio et implementation décrivent le fan game ; ils ne donnent pas des caractéristiques officielles de l’œuvre.</x:v>
      </x:c>
    </x:row>
    <x:row r="25" ht="68" customHeight="1">
      <x:c r="A25" s="18" t="str">
        <x:v>MEA-CHO-CRYO</x:v>
      </x:c>
      <x:c r="B25" s="9" t="str">
        <x:v>Réveil des proches en cryostase</x:v>
      </x:c>
      <x:c r="C25" s="15" t="str">
        <x:v>Défini</x:v>
      </x:c>
      <x:c r="D25" s="16" t="str">
        <x:v>Établi</x:v>
      </x:c>
      <x:c r="E25" s="16" t="str">
        <x:v>P1</x:v>
      </x:c>
      <x:c r="F25" s="9" t="str">
        <x:v>Sleeping Dragons pose une demande collective.</x:v>
      </x:c>
      <x:c r="G25" s="9" t="str">
        <x:v>Décision de gestion de population avec réponse aux familles ; ne pas ajouter un chronomètre de mort des proches absent de l’œuvre.</x:v>
      </x:c>
      <x:c r="H25" s="9" t="str">
        <x:v>Décision de gestion de population avec réponse aux familles ; ne pas ajouter un chronomètre de mort des proches absent de l’œuvre.</x:v>
      </x:c>
      <x:c r="I25" s="9" t="str">
        <x:v>Protestataires et registre de pods.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mea/choices/cryo ; rattacher les ressources et états cités à cet identifiant. Aucun fichier de jeu créé par ce catalogue.</x:v>
      </x:c>
      <x:c r="M25" s="9" t="str"/>
      <x:c r="N25" s="9" t="str">
        <x:v>Le livrable « Réveil des proches en cryostase » possède une scène ou un scénario de contrôle ; ses règles proposées, ses conditions et ses retours visuels sont vérifiables séparément.</x:v>
      </x:c>
      <x:c r="O25" s="9" t="str"/>
      <x:c r="P25" s="9" t="str">
        <x:v>Réveil des proches en cryostase</x:v>
      </x:c>
      <x:c r="Q25" s="9" t="str">
        <x:v>MEA-SRC-DRAGONS</x:v>
      </x:c>
      <x:c r="R25" s="9" t="str">
        <x:v>https://masseffect.fandom.com/wiki/Sleeping_Dragons</x:v>
      </x:c>
      <x:c r="S25" s="9" t="str">
        <x:v>Spécification à réaliser. Les champs adaptation, gameplay, visual, animation, audio et implementation décrivent le fan game ; ils ne donnent pas des caractéristiques officielles de l’œuvre.</x:v>
      </x:c>
    </x:row>
    <x:row r="26" ht="68" customHeight="1">
      <x:c r="A26" s="19" t="str">
        <x:v>MEA-CHO-AI-LIFE</x:v>
      </x:c>
      <x:c r="B26" s="7" t="str">
        <x:v>Détruire ou conserver l’IA ancienne</x:v>
      </x:c>
      <x:c r="C26" s="15" t="str">
        <x:v>Défini</x:v>
      </x:c>
      <x:c r="D26" s="17" t="str">
        <x:v>Établi</x:v>
      </x:c>
      <x:c r="E26" s="17" t="str">
        <x:v>P1</x:v>
      </x:c>
      <x:c r="F26" s="7" t="str">
        <x:v>L’IA retient un prisonnier.</x:v>
      </x:c>
      <x:c r="G26" s="7" t="str">
        <x:v>Deux résolutions cohérentes de l’otage ; confirmation avec informations connues, pas d’option cachée sauvant tout par rechargement de dialogue.</x:v>
      </x:c>
      <x:c r="H26" s="7" t="str">
        <x:v>Deux résolutions cohérentes de l’otage ; confirmation avec informations connues, pas d’option cachée sauvant tout par rechargement de dialogue.</x:v>
      </x:c>
      <x:c r="I26" s="7" t="str">
        <x:v>Otage, console ancienne et ligne de menace.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mea/choices/ai-life ; rattacher les ressources et états cités à cet identifiant. Aucun fichier de jeu créé par ce catalogue.</x:v>
      </x:c>
      <x:c r="M26" s="7" t="str"/>
      <x:c r="N26" s="7" t="str">
        <x:v>Le livrable « Détruire ou conserver l’IA ancienne » possède une scène ou un scénario de contrôle ; ses règles proposées, ses conditions et ses retours visuels sont vérifiables séparément.</x:v>
      </x:c>
      <x:c r="O26" s="7" t="str"/>
      <x:c r="P26" s="7" t="str">
        <x:v>Détruire ou conserver l’IA ancienne</x:v>
      </x:c>
      <x:c r="Q26" s="7" t="str">
        <x:v>MEA-SRC-ANCIENT-AI</x:v>
      </x:c>
      <x:c r="R26" s="7" t="str">
        <x:v>https://masseffect.fandom.com/wiki/Uncovering_the_Past</x:v>
      </x:c>
      <x:c r="S26" s="7" t="str">
        <x:v>Spécification à réaliser. Les champs adaptation, gameplay, visual, animation, audio et implementation décrivent le fan game ; ils ne donnent pas des caractéristiques officielles de l’œuvre.</x:v>
      </x:c>
    </x:row>
    <x:row r="27" ht="68" customHeight="1">
      <x:c r="A27" s="18" t="str">
        <x:v>MEA-CHO-AI-OWNER</x:v>
      </x:c>
      <x:c r="B27" s="9" t="str">
        <x:v>Confier l’IA aux angara ou à SAM</x:v>
      </x:c>
      <x:c r="C27" s="15" t="str">
        <x:v>Défini</x:v>
      </x:c>
      <x:c r="D27" s="16" t="str">
        <x:v>Établi</x:v>
      </x:c>
      <x:c r="E27" s="16" t="str">
        <x:v>P1</x:v>
      </x:c>
      <x:c r="F27" s="9" t="str">
        <x:v>Le destinataire est choisi si l’IA survit.</x:v>
      </x:c>
      <x:c r="G27" s="9" t="str">
        <x:v>Présence future au bon hub et éventuel soutien final ; aucun double exemplaire dans SAM Node et Aya.</x:v>
      </x:c>
      <x:c r="H27" s="9" t="str">
        <x:v>Présence future au bon hub et éventuel soutien final ; aucun double exemplaire dans SAM Node et Aya.</x:v>
      </x:c>
      <x:c r="I27" s="9" t="str">
        <x:v>Deux destinations d’archive.</x:v>
      </x:c>
      <x:c r="J27" s="9" t="str">
        <x:v>Nommer les variantes de scène et leurs positions finales ; saut de cinématique, réduction de mouvement et lecture complète appliquent le même état. Deux destinations d’archive.</x:v>
      </x:c>
      <x:c r="K27" s="9" t="str">
        <x:v>Répliques originales par branche et sous-titres nominatifs ; supprimer les voix d’acteurs absents avant mixage et conserver les informations de danger en texte.</x:v>
      </x:c>
      <x:c r="L27" s="9" t="str">
        <x:v>Prévu : fiche de données mea/choices/ai-owner ; rattacher les ressources et états cités à cet identifiant. Aucun fichier de jeu créé par ce catalogue.</x:v>
      </x:c>
      <x:c r="M27" s="9" t="str">
        <x:v>IA conservée.</x:v>
      </x:c>
      <x:c r="N27" s="9" t="str">
        <x:v>Après décision, une seule instance de l’IA existe au hub choisi ; son soutien final correspond à sa remise aux angara, la survie de l’otage suit la décision précédente sans possibilité de double issue.</x:v>
      </x:c>
      <x:c r="O27" s="9" t="str"/>
      <x:c r="P27" s="9" t="str">
        <x:v>Confier l’IA aux angara ou à SAM</x:v>
      </x:c>
      <x:c r="Q27" s="9" t="str">
        <x:v>MEA-SRC-ANCIENT-AI</x:v>
      </x:c>
      <x:c r="R27" s="9" t="str">
        <x:v>https://masseffect.fandom.com/wiki/Uncovering_the_Past</x:v>
      </x:c>
      <x:c r="S27" s="9" t="str">
        <x:v>Spécification à réaliser. Les champs adaptation, gameplay, visual, animation, audio et implementation décrivent le fan game ; ils ne donnent pas des caractéristiques officielles de l’œuvre.</x:v>
      </x:c>
    </x:row>
    <x:row r="28" ht="68" customHeight="1">
      <x:c r="A28" s="19" t="str">
        <x:v>MEA-CHO-PRIMUS</x:v>
      </x:c>
      <x:c r="B28" s="7" t="str">
        <x:v>Accepter l’aide proposée par la Primus</x:v>
      </x:c>
      <x:c r="C28" s="15" t="str">
        <x:v>Défini</x:v>
      </x:c>
      <x:c r="D28" s="17" t="str">
        <x:v>Établi</x:v>
      </x:c>
      <x:c r="E28" s="17" t="str">
        <x:v>P1</x:v>
      </x:c>
      <x:c r="F28" s="7" t="str">
        <x:v>Un accord kett peut être discuté.</x:v>
      </x:c>
      <x:c r="G28" s="7" t="str">
        <x:v>Enregistrer proposition, accord et utilisation séparés ; aucun changement universel de faction kett en alliés.</x:v>
      </x:c>
      <x:c r="H28" s="7" t="str">
        <x:v>Enregistrer proposition, accord et utilisation séparés ; aucun changement universel de faction kett en alliés.</x:v>
      </x:c>
      <x:c r="I28" s="7" t="str">
        <x:v>Communication kett et code d’accès.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mea/choices/primus ; rattacher les ressources et états cités à cet identifiant. Aucun fichier de jeu créé par ce catalogue.</x:v>
      </x:c>
      <x:c r="M28" s="7" t="str"/>
      <x:c r="N28" s="7" t="str">
        <x:v>Le livrable « Accepter l’aide proposée par la Primus » possède une scène ou un scénario de contrôle ; ses règles proposées, ses conditions et ses retours visuels sont vérifiables séparément.</x:v>
      </x:c>
      <x:c r="O28" s="7" t="str"/>
      <x:c r="P28" s="7" t="str">
        <x:v>Accepter l’aide proposée par la Primus</x:v>
      </x:c>
      <x:c r="Q28" s="7" t="str">
        <x:v>MEA-SRC-MISSIONS</x:v>
      </x:c>
      <x:c r="R28" s="7" t="str">
        <x:v>https://masseffect.fandom.com/wiki/Missions_%28Mass_Effect%3A_Andromeda%29</x:v>
      </x:c>
      <x:c r="S28" s="7" t="str">
        <x:v>Spécification à réaliser. Les champs adaptation, gameplay, visual, animation, audio et implementation décrivent le fan game ; ils ne donnent pas des caractéristiques officielles de l’œuvre.</x:v>
      </x:c>
    </x:row>
    <x:row r="29" ht="82" customHeight="1">
      <x:c r="A29" s="18" t="str">
        <x:v>MEA-CHO-DUNN</x:v>
      </x:c>
      <x:c r="B29" s="9" t="str">
        <x:v>Secours de l’Hyperion par les Pionniers</x:v>
      </x:c>
      <x:c r="C29" s="15" t="str">
        <x:v>Défini</x:v>
      </x:c>
      <x:c r="D29" s="16" t="str">
        <x:v>Établi</x:v>
      </x:c>
      <x:c r="E29" s="16" t="str">
        <x:v>P1</x:v>
      </x:c>
      <x:c r="F29" s="9" t="str">
        <x:v>Le final dépend des Pionniers disponibles.</x:v>
      </x:c>
      <x:c r="G29" s="9" t="str">
        <x:v>Matrice des quatre fonctions, Avitus et variantes asari/galarienne ; chaque secours vérifie personnages effectifs avant animation.</x:v>
      </x:c>
      <x:c r="H29" s="9" t="str">
        <x:v>Matrice des quatre fonctions, Avitus et variantes asari/galarienne ; chaque secours vérifie personnages effectifs avant animation.</x:v>
      </x:c>
      <x:c r="I29" s="9" t="str">
        <x:v>Hyperion en descente et communications.</x:v>
      </x:c>
      <x:c r="J29" s="9" t="str">
        <x:v>Nommer les variantes de scène et leurs positions finales ; saut de cinématique, réduction de mouvement et lecture complète appliquent le même état. Hyperion en descente et communications.</x:v>
      </x:c>
      <x:c r="K29" s="9" t="str">
        <x:v>Répliques originales par branche et sous-titres nominatifs ; supprimer les voix d’acteurs absents avant mixage et conserver les informations de danger en texte.</x:v>
      </x:c>
      <x:c r="L29" s="9" t="str">
        <x:v>Prévu : fiche de données mea/choices/dunn ; rattacher les ressources et états cités à cet identifiant. Aucun fichier de jeu créé par ce catalogue.</x:v>
      </x:c>
      <x:c r="M29" s="9" t="str"/>
      <x:c r="N29" s="9" t="str">
        <x:v>Tester les quatre fonctions de Pionnier avec variantes asari/galarienne, Avitus présent et absent ; une fonction vide ne déclenche pas une communication de secours. L’état de Dunn est identique dans cinématique et Port Meridian.</x:v>
      </x:c>
      <x:c r="O29" s="9" t="str"/>
      <x:c r="P29" s="9" t="str">
        <x:v>Secours de l’Hyperion par les Pionniers</x:v>
      </x:c>
      <x:c r="Q29" s="9" t="str">
        <x:v>MEA-SRC-DUNN, MEA-SRC-TURIAN-LOST, MEA-SRC-MERIDIAN</x:v>
      </x:c>
      <x:c r="R29" s="9" t="str">
        <x:v>https://masseffect.fandom.com/wiki/Nozomi_Dunn
https://masseffect.fandom.com/wiki/Turian_Ark%3A_Lost_But_Not_Forgotten
https://masseffect.fandom.com/wiki/Meridian%3A_The_Way_Home</x:v>
      </x:c>
      <x:c r="S29" s="9" t="str">
        <x:v>Spécification à réaliser. Les champs adaptation, gameplay, visual, animation, audio et implementation décrivent le fan game ; ils ne donnent pas des caractéristiques officielles de l’œuvre.</x:v>
      </x:c>
    </x:row>
    <x:row r="30" ht="68" customHeight="1">
      <x:c r="A30" s="19" t="str">
        <x:v>MEA-CHO-AMBASSADOR</x:v>
      </x:c>
      <x:c r="B30" s="7" t="str">
        <x:v>Choix de l’ambassadeur de Heleus</x:v>
      </x:c>
      <x:c r="C30" s="15" t="str">
        <x:v>Défini</x:v>
      </x:c>
      <x:c r="D30" s="17" t="str">
        <x:v>Établi</x:v>
      </x:c>
      <x:c r="E30" s="17" t="str">
        <x:v>P1</x:v>
      </x:c>
      <x:c r="F30" s="7" t="str">
        <x:v>L’épilogue propose une nomination.</x:v>
      </x:c>
      <x:c r="G30" s="7" t="str">
        <x:v>Liste des candidats réellement disponibles ; rôle diplomatique enregistré sans promettre une suite politique non développée.</x:v>
      </x:c>
      <x:c r="H30" s="7" t="str">
        <x:v>Liste des candidats réellement disponibles ; rôle diplomatique enregistré sans promettre une suite politique non développée.</x:v>
      </x:c>
      <x:c r="I30" s="7" t="str">
        <x:v>Dirigeants réunis à Port Meridian.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mea/choices/ambassador ; rattacher les ressources et états cités à cet identifiant. Aucun fichier de jeu créé par ce catalogue.</x:v>
      </x:c>
      <x:c r="M30" s="7" t="str"/>
      <x:c r="N30" s="7" t="str">
        <x:v>Le livrable « Choix de l’ambassadeur de Heleus » possède une scène ou un scénario de contrôle ; ses règles proposées, ses conditions et ses retours visuels sont vérifiables séparément.</x:v>
      </x:c>
      <x:c r="O30" s="7" t="str"/>
      <x:c r="P30" s="7" t="str">
        <x:v>Choix de l’ambassadeur de Heleus</x:v>
      </x:c>
      <x:c r="Q30" s="7" t="str">
        <x:v>MEA-SRC-EPILOGUE</x:v>
      </x:c>
      <x:c r="R30" s="7" t="str">
        <x:v>https://masseffect.fandom.com/wiki/Epilogue%3A_Home_and_Away</x:v>
      </x:c>
      <x:c r="S30" s="7" t="str">
        <x:v>Spécification à réaliser. Les champs adaptation, gameplay, visual, animation, audio et implementation décrivent le fan game ; ils ne donnent pas des caractéristiques officielles de l’œuvre.</x:v>
      </x:c>
    </x:row>
    <x:row r="31" ht="68" customHeight="1">
      <x:c r="A31" s="18" t="str">
        <x:v>MEA-CHO-ELLEN</x:v>
      </x:c>
      <x:c r="B31" s="9" t="str">
        <x:v>Partager les secrets familiaux</x:v>
      </x:c>
      <x:c r="C31" s="15" t="str">
        <x:v>Défini</x:v>
      </x:c>
      <x:c r="D31" s="16" t="str">
        <x:v>Établi</x:v>
      </x:c>
      <x:c r="E31" s="16" t="str">
        <x:v>P1</x:v>
      </x:c>
      <x:c r="F31" s="9" t="str">
        <x:v>La chaîne dévoile la vérité sur Ellen.</x:v>
      </x:c>
      <x:c r="G31" s="9" t="str">
        <x:v>États de mémoire, logs et rencontre du jumeau séparés ; connaissance n’est pas transmise avant accès à la dernière scène.</x:v>
      </x:c>
      <x:c r="H31" s="9" t="str">
        <x:v>États de mémoire, logs et rencontre du jumeau séparés ; connaissance n’est pas transmise avant accès à la dernière scène.</x:v>
      </x:c>
      <x:c r="I31" s="9" t="str">
        <x:v>Pod et deux Ryder.</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mea/choices/ellen ; rattacher les ressources et états cités à cet identifiant. Aucun fichier de jeu créé par ce catalogue.</x:v>
      </x:c>
      <x:c r="M31" s="9" t="str">
        <x:v>Arc de famille complété au moment admis.</x:v>
      </x:c>
      <x:c r="N31" s="9" t="str">
        <x:v>Le livrable « Partager les secrets familiaux » possède une scène ou un scénario de contrôle ; ses règles proposées, ses conditions et ses retours visuels sont vérifiables séparément.</x:v>
      </x:c>
      <x:c r="O31" s="9" t="str"/>
      <x:c r="P31" s="9" t="str">
        <x:v>Partager les secrets familiaux</x:v>
      </x:c>
      <x:c r="Q31" s="9" t="str">
        <x:v>MEA-SRC-FAMILY</x:v>
      </x:c>
      <x:c r="R31" s="9" t="str">
        <x:v>https://masseffect.fandom.com/wiki/Ryder_Family_Secrets</x:v>
      </x:c>
      <x:c r="S31" s="9" t="str">
        <x:v>Spécification à réaliser. Les champs adaptation, gameplay, visual, animation, audio et implementation décrivent le fan game ; ils ne donnent pas des caractéristiques officielles de l’œuvre.</x:v>
      </x:c>
    </x:row>
    <x:row r="32" ht="68" customHeight="1">
      <x:c r="A32" s="19" t="str">
        <x:v>MEA-CHO-ROMANCE</x:v>
      </x:c>
      <x:c r="B32" s="7" t="str">
        <x:v>Relations de Ryder</x:v>
      </x:c>
      <x:c r="C32" s="15" t="str">
        <x:v>Défini</x:v>
      </x:c>
      <x:c r="D32" s="17" t="str">
        <x:v>Établi</x:v>
      </x:c>
      <x:c r="E32" s="17" t="str">
        <x:v>P1</x:v>
      </x:c>
      <x:c r="F32" s="7" t="str">
        <x:v>Plusieurs partenaires ont des conditions propres.</x:v>
      </x:c>
      <x:c r="G32" s="7" t="str">
        <x:v>Fiches de relation par partenaire, sexe du Ryder, patch et exclusivité ; signaler engagement explicite et distinguer flirt d’amitié.</x:v>
      </x:c>
      <x:c r="H32" s="7" t="str">
        <x:v>Fiches de relation par partenaire, sexe du Ryder, patch et exclusivité ; signaler engagement explicite et distinguer flirt d’amitié.</x:v>
      </x:c>
      <x:c r="I32" s="7" t="str">
        <x:v>Portrait et historique de rencontre.</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mea/choices/romance ; rattacher les ressources et états cités à cet identifiant. Aucun fichier de jeu créé par ce catalogue.</x:v>
      </x:c>
      <x:c r="M32" s="7" t="str">
        <x:v>Jaal/Scott possible à partir du correctif 1.08.</x:v>
      </x:c>
      <x:c r="N32" s="7" t="str">
        <x:v>Le livrable « Relations de Ryder » possède une scène ou un scénario de contrôle ; ses règles proposées, ses conditions et ses retours visuels sont vérifiables séparément.</x:v>
      </x:c>
      <x:c r="O32" s="7" t="str"/>
      <x:c r="P32" s="7" t="str">
        <x:v>Relations de Ryder</x:v>
      </x:c>
      <x:c r="Q32" s="7" t="str">
        <x:v>MEA-SRC-ROMANCE, MEA-SRC-BW-108</x:v>
      </x:c>
      <x:c r="R32" s="7" t="str">
        <x:v>https://masseffect.fandom.com/wiki/Romance_%28Mass_Effect%3A_Andromeda%29
https://blog.bioware.com/2017/06/06/mass-effect-andromeda-patch-1-08-notes/</x:v>
      </x:c>
      <x:c r="S32" s="7" t="str">
        <x:v>Spécification à réaliser. Les champs adaptation, gameplay, visual, animation, audio et implementation décrivent le fan game ; ils ne donnent pas des caractéristiques officielles de l’œuvre.</x:v>
      </x:c>
    </x:row>
    <x:row r="33" ht="68" customHeight="1">
      <x:c r="A33" s="18" t="str">
        <x:v>MEA-CHO-RESTORE</x:v>
      </x:c>
      <x:c r="B33" s="9" t="str">
        <x:v>Restauration et implantation</x:v>
      </x:c>
      <x:c r="C33" s="15" t="str">
        <x:v>Défini</x:v>
      </x:c>
      <x:c r="D33" s="16" t="str">
        <x:v>Établi</x:v>
      </x:c>
      <x:c r="E33" s="16" t="str">
        <x:v>P1</x:v>
      </x:c>
      <x:c r="F33" s="9" t="str">
        <x:v>Caveau et avant-poste sont distincts.</x:v>
      </x:c>
      <x:c r="G33" s="9" t="str">
        <x:v>Un monde restauré reste à négocier/implanter ; pas de validation automatique de toutes ses tâches ni suppression de tous dangers.</x:v>
      </x:c>
      <x:c r="H33" s="9" t="str">
        <x:v>Un monde restauré reste à négocier/implanter ; pas de validation automatique de toutes ses tâches ni suppression de tous dangers.</x:v>
      </x:c>
      <x:c r="I33" s="9" t="str">
        <x:v>Deux états sur carte planétaire.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mea/choices/restore ; rattacher les ressources et états cités à cet identifiant. Aucun fichier de jeu créé par ce catalogue.</x:v>
      </x:c>
      <x:c r="M33" s="9" t="str"/>
      <x:c r="N33" s="9" t="str">
        <x:v>Le livrable « Restauration et implantation » possède une scène ou un scénario de contrôle ; ses règles proposées, ses conditions et ses retours visuels sont vérifiables séparément.</x:v>
      </x:c>
      <x:c r="O33" s="9" t="str"/>
      <x:c r="P33" s="9" t="str">
        <x:v>Restauration et implantation</x:v>
      </x:c>
      <x:c r="Q33" s="9" t="str">
        <x:v>MEA-SRC-VAULT, MEA-SRC-MISSIONS</x:v>
      </x:c>
      <x:c r="R33" s="9" t="str">
        <x:v>https://masseffect.fandom.com/wiki/Vault
https://masseffect.fandom.com/wiki/Missions_%28Mass_Effect%3A_Andromeda%29</x:v>
      </x:c>
      <x:c r="S33" s="9" t="str">
        <x:v>Spécification à réaliser. Les champs adaptation, gameplay, visual, animation, audio et implementation décrivent le fan game ; ils ne donnent pas des caractéristiques officielles de l’œuvre.</x:v>
      </x:c>
    </x:row>
  </x:sheetData>
  <x:conditionalFormatting sqref="D7:D33">
    <x:cfRule type="cellIs" dxfId="44" priority="1" operator="equal">
      <x:formula>"À vérifier"</x:formula>
    </x:cfRule>
    <x:cfRule type="cellIs" dxfId="45" priority="2" operator="equal">
      <x:formula>"Extrapolation"</x:formula>
    </x:cfRule>
  </x:conditionalFormatting>
  <x:conditionalFormatting sqref="C7:C33">
    <x:cfRule type="cellIs" dxfId="46" priority="3" operator="equal">
      <x:formula>"Validé"</x:formula>
    </x:cfRule>
  </x:conditionalFormatting>
  <x:conditionalFormatting sqref="E7:E33">
    <x:cfRule type="cellIs" dxfId="47"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ee0bc67f08ce428d"/>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MEA-DIA-SAM</x:v>
      </x:c>
      <x:c r="B7" s="9" t="str">
        <x:v>Conseils et analyses de SAM</x:v>
      </x:c>
      <x:c r="C7" s="15" t="str">
        <x:v>Défini</x:v>
      </x:c>
      <x:c r="D7" s="16" t="str">
        <x:v>Extrapolation</x:v>
      </x:c>
      <x:c r="E7" s="16" t="str">
        <x:v>P1</x:v>
      </x:c>
      <x:c r="F7" s="9" t="str">
        <x:v>Livrable original proposé : Conseils et analyses de SAM.</x:v>
      </x:c>
      <x:c r="G7" s="9" t="str">
        <x:v>Répliques originales courtes selon découverte ; espacer alertes de danger déjà connus et afficher source d’information.</x:v>
      </x:c>
      <x:c r="H7" s="9" t="str">
        <x:v>Répliques originales courtes selon découverte ; espacer alertes de danger déjà connus et afficher source d’information.</x:v>
      </x:c>
      <x:c r="I7" s="9" t="str">
        <x:v>Sous-titres avec nom SAM.</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mea/dialogues/sam ; rattacher les ressources et états cités à cet identifiant. Aucun fichier de jeu créé par ce catalogue.</x:v>
      </x:c>
      <x:c r="M7" s="9" t="str"/>
      <x:c r="N7" s="9" t="str">
        <x:v>Le livrable « Conseils et analyses de SAM » possède une scène ou un scénario de contrôle ; ses règles proposées, ses conditions et ses retours visuels sont vérifiables séparément.</x:v>
      </x:c>
      <x:c r="O7" s="9" t="str">
        <x:v>MEA-NPC-SAM</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MEA-DIA-LEADERS</x:v>
      </x:c>
      <x:c r="B8" s="7" t="str">
        <x:v>Entretiens de direction du Nexus</x:v>
      </x:c>
      <x:c r="C8" s="15" t="str">
        <x:v>Défini</x:v>
      </x:c>
      <x:c r="D8" s="17" t="str">
        <x:v>Extrapolation</x:v>
      </x:c>
      <x:c r="E8" s="17" t="str">
        <x:v>P1</x:v>
      </x:c>
      <x:c r="F8" s="7" t="str">
        <x:v>Livrable original proposé : Entretiens de direction du Nexus.</x:v>
      </x:c>
      <x:c r="G8" s="7" t="str">
        <x:v>Chaque responsable a son domaine, ses preuves et décisions ; dialogue de rapport distinct d’une autorisation politique.</x:v>
      </x:c>
      <x:c r="H8" s="7" t="str">
        <x:v>Chaque responsable a son domaine, ses preuves et décisions ; dialogue de rapport distinct d’une autorisation politique.</x:v>
      </x:c>
      <x:c r="I8" s="7" t="str">
        <x:v>Quatre portraits et bureaux.</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mea/dialogues/leaders ; rattacher les ressources et états cités à cet identifiant. Aucun fichier de jeu créé par ce catalogue.</x:v>
      </x:c>
      <x:c r="M8" s="7" t="str"/>
      <x:c r="N8" s="7" t="str">
        <x:v>Le livrable « Entretiens de direction du Nexus » possède une scène ou un scénario de contrôle ; ses règles proposées, ses conditions et ses retours visuels sont vérifiables séparément.</x:v>
      </x:c>
      <x:c r="O8" s="7" t="str">
        <x:v>MEA-NPC-TANN, MEA-NPC-ADDISON, MEA-NPC-KANDROS, MEA-NPC-KESH</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MEA-DIA-FIRST-CONTACT</x:v>
      </x:c>
      <x:c r="B9" s="9" t="str">
        <x:v>Premier contact angara</x:v>
      </x:c>
      <x:c r="C9" s="15" t="str">
        <x:v>Défini</x:v>
      </x:c>
      <x:c r="D9" s="16" t="str">
        <x:v>Extrapolation</x:v>
      </x:c>
      <x:c r="E9" s="16" t="str">
        <x:v>P1</x:v>
      </x:c>
      <x:c r="F9" s="9" t="str">
        <x:v>Livrable original proposé : Premier contact angara.</x:v>
      </x:c>
      <x:c r="G9" s="9" t="str">
        <x:v>Restrictions, curiosité et négociation progressives ; pas d’exposition de toute la culture au premier entretien.</x:v>
      </x:c>
      <x:c r="H9" s="9" t="str">
        <x:v>Restrictions, curiosité et négociation progressives ; pas d’exposition de toute la culture au premier entretien.</x:v>
      </x:c>
      <x:c r="I9" s="9" t="str">
        <x:v>Aya et cadrages d’interlocuteurs.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mea/dialogues/first-contact ; rattacher les ressources et états cités à cet identifiant. Aucun fichier de jeu créé par ce catalogue.</x:v>
      </x:c>
      <x:c r="M9" s="9" t="str"/>
      <x:c r="N9" s="9" t="str">
        <x:v>Le livrable « Premier contact angara » possède une scène ou un scénario de contrôle ; ses règles proposées, ses conditions et ses retours visuels sont vérifiables séparément.</x:v>
      </x:c>
      <x:c r="O9" s="9" t="str">
        <x:v>MEA-MQ-AYA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MEA-DIA-MOSHAE</x:v>
      </x:c>
      <x:c r="B10" s="7" t="str">
        <x:v>Débrief du secours de la Moshae</x:v>
      </x:c>
      <x:c r="C10" s="15" t="str">
        <x:v>Défini</x:v>
      </x:c>
      <x:c r="D10" s="17" t="str">
        <x:v>Extrapolation</x:v>
      </x:c>
      <x:c r="E10" s="17" t="str">
        <x:v>P1</x:v>
      </x:c>
      <x:c r="F10" s="7" t="str">
        <x:v>Livrable original proposé : Débrief du secours de la Moshae.</x:v>
      </x:c>
      <x:c r="G10" s="7" t="str">
        <x:v>Écrire réactions selon site/captifs/Cardinal ; la colère éventuelle reste compatible avec suite de mission, sans softlock d’autorisation.</x:v>
      </x:c>
      <x:c r="H10" s="7" t="str">
        <x:v>Écrire réactions selon site/captifs/Cardinal ; la colère éventuelle reste compatible avec suite de mission, sans softlock d’autorisation.</x:v>
      </x:c>
      <x:c r="I10" s="7" t="str">
        <x:v>Moshae et Evfra après secours.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mea/dialogues/moshae ; rattacher les ressources et états cités à cet identifiant. Aucun fichier de jeu créé par ce catalogue.</x:v>
      </x:c>
      <x:c r="M10" s="7" t="str"/>
      <x:c r="N10" s="7" t="str">
        <x:v>Le livrable « Débrief du secours de la Moshae » possède une scène ou un scénario de contrôle ; ses règles proposées, ses conditions et ses retours visuels sont vérifiables séparément.</x:v>
      </x:c>
      <x:c r="O10" s="7" t="str">
        <x:v>MEA-CHO-MOSHAE, MEA-CHO-CARDINAL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MEA-DIA-CORA</x:v>
      </x:c>
      <x:c r="B11" s="9" t="str">
        <x:v>Cora face à Sarissa</x:v>
      </x:c>
      <x:c r="C11" s="15" t="str">
        <x:v>Défini</x:v>
      </x:c>
      <x:c r="D11" s="16" t="str">
        <x:v>Extrapolation</x:v>
      </x:c>
      <x:c r="E11" s="16" t="str">
        <x:v>P1</x:v>
      </x:c>
      <x:c r="F11" s="9" t="str">
        <x:v>Livrable original proposé : Cora face à Sarissa.</x:v>
      </x:c>
      <x:c r="G11" s="9" t="str">
        <x:v>Échange sur confiance et devoir après découverte du journal ; révélation publique et nomination séparées dans roue de dialogue.</x:v>
      </x:c>
      <x:c r="H11" s="9" t="str">
        <x:v>Échange sur confiance et devoir après découverte du journal ; révélation publique et nomination séparées dans roue de dialogue.</x:v>
      </x:c>
      <x:c r="I11" s="9" t="str">
        <x:v>Passerelle Leusinia et portraits.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mea/dialogues/cora ; rattacher les ressources et états cités à cet identifiant. Aucun fichier de jeu créé par ce catalogue.</x:v>
      </x:c>
      <x:c r="M11" s="9" t="str"/>
      <x:c r="N11" s="9" t="str">
        <x:v>Le livrable « Cora face à Sarissa » possède une scène ou un scénario de contrôle ; ses règles proposées, ses conditions et ses retours visuels sont vérifiables séparément.</x:v>
      </x:c>
      <x:c r="O11" s="9" t="str">
        <x:v>MEA-CHO-SARISSA-TRUTH, MEA-CHO-SARISSA-ROLE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MEA-DIA-JAAL</x:v>
      </x:c>
      <x:c r="B12" s="7" t="str">
        <x:v>Jaal et sa famille</x:v>
      </x:c>
      <x:c r="C12" s="15" t="str">
        <x:v>Défini</x:v>
      </x:c>
      <x:c r="D12" s="17" t="str">
        <x:v>Extrapolation</x:v>
      </x:c>
      <x:c r="E12" s="17" t="str">
        <x:v>P1</x:v>
      </x:c>
      <x:c r="F12" s="7" t="str">
        <x:v>Livrable original proposé : Jaal et sa famille.</x:v>
      </x:c>
      <x:c r="G12" s="7" t="str">
        <x:v>Identifier chaque locuteur et point de vue ; silence de Ryder au moment de confiance doit être reconnu comme action.</x:v>
      </x:c>
      <x:c r="H12" s="7" t="str">
        <x:v>Identifier chaque locuteur et point de vue ; silence de Ryder au moment de confiance doit être reconnu comme action.</x:v>
      </x:c>
      <x:c r="I12" s="7" t="str">
        <x:v>Village angara et groupe familial.</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mea/dialogues/jaal ; rattacher les ressources et états cités à cet identifiant. Aucun fichier de jeu créé par ce catalogue.</x:v>
      </x:c>
      <x:c r="M12" s="7" t="str"/>
      <x:c r="N12" s="7" t="str">
        <x:v>Le livrable « Jaal et sa famille » possède une scène ou un scénario de contrôle ; ses règles proposées, ses conditions et ses retours visuels sont vérifiables séparément.</x:v>
      </x:c>
      <x:c r="O12" s="7" t="str">
        <x:v>MEA-CHO-AKKSUL</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MEA-DIA-DRACK</x:v>
      </x:c>
      <x:c r="B13" s="9" t="str">
        <x:v>Drack, avenir et Spender</x:v>
      </x:c>
      <x:c r="C13" s="15" t="str">
        <x:v>Défini</x:v>
      </x:c>
      <x:c r="D13" s="16" t="str">
        <x:v>Extrapolation</x:v>
      </x:c>
      <x:c r="E13" s="16" t="str">
        <x:v>P1</x:v>
      </x:c>
      <x:c r="F13" s="9" t="str">
        <x:v>Livrable original proposé : Drack, avenir et Spender.</x:v>
      </x:c>
      <x:c r="G13" s="9" t="str">
        <x:v>Différencier rancœur institutionnelle, graines et protection de Vorn ; accusation finale appuyée par dossier réellement obtenu.</x:v>
      </x:c>
      <x:c r="H13" s="9" t="str">
        <x:v>Différencier rancœur institutionnelle, graines et protection de Vorn ; accusation finale appuyée par dossier réellement obtenu.</x:v>
      </x:c>
      <x:c r="I13" s="9" t="str">
        <x:v>Serre puis bureau Nexus.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mea/dialogues/drack ; rattacher les ressources et états cités à cet identifiant. Aucun fichier de jeu créé par ce catalogue.</x:v>
      </x:c>
      <x:c r="M13" s="9" t="str"/>
      <x:c r="N13" s="9" t="str">
        <x:v>Le livrable « Drack, avenir et Spender » possède une scène ou un scénario de contrôle ; ses règles proposées, ses conditions et ses retours visuels sont vérifiables séparément.</x:v>
      </x:c>
      <x:c r="O13" s="9" t="str">
        <x:v>MEA-SQ-DRACK-FUTURE, MEA-CHO-SPENDER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MEA-DIA-VETRA</x:v>
      </x:c>
      <x:c r="B14" s="7" t="str">
        <x:v>Vetra et Sid après le piège</x:v>
      </x:c>
      <x:c r="C14" s="15" t="str">
        <x:v>Défini</x:v>
      </x:c>
      <x:c r="D14" s="17" t="str">
        <x:v>Extrapolation</x:v>
      </x:c>
      <x:c r="E14" s="17" t="str">
        <x:v>P1</x:v>
      </x:c>
      <x:c r="F14" s="7" t="str">
        <x:v>Livrable original proposé : Vetra et Sid après le piège.</x:v>
      </x:c>
      <x:c r="G14" s="7" t="str">
        <x:v>Réactions selon aides de Sid et choix de protection ; relation sororale n’est pas un simple niveau de loyauté.</x:v>
      </x:c>
      <x:c r="H14" s="7" t="str">
        <x:v>Réactions selon aides de Sid et choix de protection ; relation sororale n’est pas un simple niveau de loyauté.</x:v>
      </x:c>
      <x:c r="I14" s="7" t="str">
        <x:v>Communication privée et cabine turienne.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mea/dialogues/vetra ; rattacher les ressources et états cités à cet identifiant. Aucun fichier de jeu créé par ce catalogue.</x:v>
      </x:c>
      <x:c r="M14" s="7" t="str"/>
      <x:c r="N14" s="7" t="str">
        <x:v>Le livrable « Vetra et Sid après le piège » possède une scène ou un scénario de contrôle ; ses règles proposées, ses conditions et ses retours visuels sont vérifiables séparément.</x:v>
      </x:c>
      <x:c r="O14" s="7" t="str">
        <x:v>MEA-SQ-VETRA-MEANS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MEA-DIA-PEEBEE</x:v>
      </x:c>
      <x:c r="B15" s="9" t="str">
        <x:v>Peebee après Kalinda</x:v>
      </x:c>
      <x:c r="C15" s="15" t="str">
        <x:v>Défini</x:v>
      </x:c>
      <x:c r="D15" s="16" t="str">
        <x:v>Extrapolation</x:v>
      </x:c>
      <x:c r="E15" s="16" t="str">
        <x:v>P1</x:v>
      </x:c>
      <x:c r="F15" s="9" t="str">
        <x:v>Livrable original proposé : Peebee après Kalinda.</x:v>
      </x:c>
      <x:c r="G15" s="9" t="str">
        <x:v>Deux conversations selon perte ou survie, gratitude et doute distincts ; éviter même ligne de regret dans les deux branches.</x:v>
      </x:c>
      <x:c r="H15" s="9" t="str">
        <x:v>Deux conversations selon perte ou survie, gratitude et doute distincts ; éviter même ligne de regret dans les deux branches.</x:v>
      </x:c>
      <x:c r="I15" s="9" t="str">
        <x:v>Capsule et objet retrouvé ou absent.</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mea/dialogues/peebee ; rattacher les ressources et états cités à cet identifiant. Aucun fichier de jeu créé par ce catalogue.</x:v>
      </x:c>
      <x:c r="M15" s="9" t="str"/>
      <x:c r="N15" s="9" t="str">
        <x:v>Le livrable « Peebee après Kalinda » possède une scène ou un scénario de contrôle ; ses règles proposées, ses conditions et ses retours visuels sont vérifiables séparément.</x:v>
      </x:c>
      <x:c r="O15" s="9" t="str">
        <x:v>MEA-CHO-KALINDA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MEA-DIA-LIAM</x:v>
      </x:c>
      <x:c r="B16" s="7" t="str">
        <x:v>Liam et responsabilité de l’échange</x:v>
      </x:c>
      <x:c r="C16" s="15" t="str">
        <x:v>Défini</x:v>
      </x:c>
      <x:c r="D16" s="17" t="str">
        <x:v>Extrapolation</x:v>
      </x:c>
      <x:c r="E16" s="17" t="str">
        <x:v>P1</x:v>
      </x:c>
      <x:c r="F16" s="7" t="str">
        <x:v>Livrable original proposé : Liam et responsabilité de l’échange.</x:v>
      </x:c>
      <x:c r="G16" s="7" t="str">
        <x:v>Débrief distingue initiative risquée, contact secouru et décision de détention ; options de ton ne changent pas les faits.</x:v>
      </x:c>
      <x:c r="H16" s="7" t="str">
        <x:v>Débrief distingue initiative risquée, contact secouru et décision de détention ; options de ton ne changent pas les faits.</x:v>
      </x:c>
      <x:c r="I16" s="7" t="str">
        <x:v>Tempest après vaisseau de Calot.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mea/dialogues/liam ; rattacher les ressources et états cités à cet identifiant. Aucun fichier de jeu créé par ce catalogue.</x:v>
      </x:c>
      <x:c r="M16" s="7" t="str"/>
      <x:c r="N16" s="7" t="str">
        <x:v>Le livrable « Liam et responsabilité de l’échange » possède une scène ou un scénario de contrôle ; ses règles proposées, ses conditions et ses retours visuels sont vérifiables séparément.</x:v>
      </x:c>
      <x:c r="O16" s="7" t="str">
        <x:v>MEA-CHO-VERAND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MEA-DIA-FAMILY</x:v>
      </x:c>
      <x:c r="B17" s="9" t="str">
        <x:v>Ryder et souvenirs familiaux</x:v>
      </x:c>
      <x:c r="C17" s="15" t="str">
        <x:v>Défini</x:v>
      </x:c>
      <x:c r="D17" s="16" t="str">
        <x:v>Extrapolation</x:v>
      </x:c>
      <x:c r="E17" s="16" t="str">
        <x:v>P1</x:v>
      </x:c>
      <x:c r="F17" s="9" t="str">
        <x:v>Livrable original proposé : Ryder et souvenirs familiaux.</x:v>
      </x:c>
      <x:c r="G17" s="9" t="str">
        <x:v>Répliques de découverte accessibles après mémoire complète, logs et rencontre du jumeau ; aucune identité de Bienfaiteur inventée.</x:v>
      </x:c>
      <x:c r="H17" s="9" t="str">
        <x:v>Répliques de découverte accessibles après mémoire complète, logs et rencontre du jumeau ; aucune identité de Bienfaiteur inventée.</x:v>
      </x:c>
      <x:c r="I17" s="9" t="str">
        <x:v>SAM Node et pod familial.</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mea/dialogues/family ; rattacher les ressources et états cités à cet identifiant. Aucun fichier de jeu créé par ce catalogue.</x:v>
      </x:c>
      <x:c r="M17" s="9" t="str"/>
      <x:c r="N17" s="9" t="str">
        <x:v>Le livrable « Ryder et souvenirs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MEA-DIA-EPILOGUE</x:v>
      </x:c>
      <x:c r="B18" s="7" t="str">
        <x:v>Retrouvailles et nomination finale</x:v>
      </x:c>
      <x:c r="C18" s="15" t="str">
        <x:v>Défini</x:v>
      </x:c>
      <x:c r="D18" s="17" t="str">
        <x:v>Extrapolation</x:v>
      </x:c>
      <x:c r="E18" s="17" t="str">
        <x:v>P1</x:v>
      </x:c>
      <x:c r="F18" s="7" t="str">
        <x:v>Livrable original proposé : Retrouvailles et nomination finale.</x:v>
      </x:c>
      <x:c r="G18" s="7" t="str">
        <x:v>Interlocuteurs selon survie et fonctions ; marquer conversations requises avant départ tout en gardant rencontres facultatives.</x:v>
      </x:c>
      <x:c r="H18" s="7" t="str">
        <x:v>Interlocuteurs selon survie et fonctions ; marquer conversations requises avant départ tout en gardant rencontres facultatives.</x:v>
      </x:c>
      <x:c r="I18" s="7" t="str">
        <x:v>Port Meridian et fête.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mea/dialogues/epilogue ; rattacher les ressources et états cités à cet identifiant. Aucun fichier de jeu créé par ce catalogue.</x:v>
      </x:c>
      <x:c r="M18" s="7" t="str"/>
      <x:c r="N18" s="7" t="str">
        <x:v>Le livrable « Retrouvailles et nomination finale » possède une scène ou un scénario de contrôle ; ses règles proposées, ses conditions et ses retours visuels sont vérifiables séparément.</x:v>
      </x:c>
      <x:c r="O18" s="7" t="str">
        <x:v>MEA-MQ-EPILOGUE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6d6bb1f72c214391"/>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MEA-CIN-WAKE</x:v>
      </x:c>
      <x:c r="B7" s="9" t="str">
        <x:v>Réveil de Ryder</x:v>
      </x:c>
      <x:c r="C7" s="15" t="str">
        <x:v>Défini</x:v>
      </x:c>
      <x:c r="D7" s="16" t="str">
        <x:v>Extrapolation</x:v>
      </x:c>
      <x:c r="E7" s="16" t="str">
        <x:v>P1</x:v>
      </x:c>
      <x:c r="F7" s="9" t="str">
        <x:v>Livrable original proposé : Réveil de Ryder.</x:v>
      </x:c>
      <x:c r="G7" s="9" t="str">
        <x:v>Découper réveil, rencontre et alerte de l’arche ; skip conserve personnalisation et flags du tutoriel.</x:v>
      </x:c>
      <x:c r="H7" s="9" t="str">
        <x:v>Découper réveil, rencontre et alerte de l’arche ; skip conserve personnalisation et flags du tutoriel.</x:v>
      </x:c>
      <x:c r="I7" s="9" t="str">
        <x:v>Cryostase et visage de Ryder.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mea/cinematics/wake ; rattacher les ressources et états cités à cet identifiant. Aucun fichier de jeu créé par ce catalogue.</x:v>
      </x:c>
      <x:c r="M7" s="9" t="str"/>
      <x:c r="N7" s="9" t="str">
        <x:v>Le livrable « Réveil de Ryder » possède une scène ou un scénario de contrôle ; ses règles proposées, ses conditions et ses retours visuels sont vérifiables séparément.</x:v>
      </x:c>
      <x:c r="O7" s="9" t="str">
        <x:v>MEA-MQ-HYPERION</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MEA-CIN-ALEC</x:v>
      </x:c>
      <x:c r="B8" s="7" t="str">
        <x:v>Transmission du rôle de Pionnier</x:v>
      </x:c>
      <x:c r="C8" s="15" t="str">
        <x:v>Défini</x:v>
      </x:c>
      <x:c r="D8" s="17" t="str">
        <x:v>Extrapolation</x:v>
      </x:c>
      <x:c r="E8" s="17" t="str">
        <x:v>P1</x:v>
      </x:c>
      <x:c r="F8" s="7" t="str">
        <x:v>Livrable original proposé : Transmission du rôle de Pionnier.</x:v>
      </x:c>
      <x:c r="G8" s="7" t="str">
        <x:v>Scène de Habitat 7 avec échange vital et conséquence finale ; input de joueur ne doit pas prétendre sauver Alec par un QTE inventé.</x:v>
      </x:c>
      <x:c r="H8" s="7" t="str">
        <x:v>Scène de Habitat 7 avec échange vital et conséquence finale ; input de joueur ne doit pas prétendre sauver Alec par un QTE inventé.</x:v>
      </x:c>
      <x:c r="I8" s="7" t="str">
        <x:v>Casques, orage et main tendue.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mea/cinematics/alec ; rattacher les ressources et états cités à cet identifiant. Aucun fichier de jeu créé par ce catalogue.</x:v>
      </x:c>
      <x:c r="M8" s="7" t="str"/>
      <x:c r="N8" s="7" t="str">
        <x:v>Le livrable « Transmission du rôle de Pionnier » possède une scène ou un scénario de contrôle ; ses règles proposées, ses conditions et ses retours visuels sont vérifiables séparément.</x:v>
      </x:c>
      <x:c r="O8" s="7" t="str">
        <x:v>MEA-MQ-PLANETSIDE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MEA-CIN-FIRST-VAULT</x:v>
      </x:c>
      <x:c r="B9" s="9" t="str">
        <x:v>Première purification d’Eos</x:v>
      </x:c>
      <x:c r="C9" s="15" t="str">
        <x:v>Défini</x:v>
      </x:c>
      <x:c r="D9" s="16" t="str">
        <x:v>Extrapolation</x:v>
      </x:c>
      <x:c r="E9" s="16" t="str">
        <x:v>P1</x:v>
      </x:c>
      <x:c r="F9" s="9" t="str">
        <x:v>Livrable original proposé : Première purification d’Eos.</x:v>
      </x:c>
      <x:c r="G9" s="9" t="str">
        <x:v>Activation, découverte d’échelle puis fuite ; caméra de contrôle revient sur axe de sortie et non derrière un obstacle.</x:v>
      </x:c>
      <x:c r="H9" s="9" t="str">
        <x:v>Activation, découverte d’échelle puis fuite ; caméra de contrôle revient sur axe de sortie et non derrière un obstacle.</x:v>
      </x:c>
      <x:c r="I9" s="9" t="str">
        <x:v>Lumière turquoise et grande salle.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mea/cinematics/first-vault ; rattacher les ressources et états cités à cet identifiant. Aucun fichier de jeu créé par ce catalogue.</x:v>
      </x:c>
      <x:c r="M9" s="9" t="str"/>
      <x:c r="N9" s="9" t="str">
        <x:v>Le livrable « Première purification d’Eos » possède une scène ou un scénario de contrôle ; ses règles proposées, ses conditions et ses retours visuels sont vérifiables séparément.</x:v>
      </x:c>
      <x:c r="O9" s="9" t="str">
        <x:v>MEA-MQ-EOS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MEA-CIN-AYA</x:v>
      </x:c>
      <x:c r="B10" s="7" t="str">
        <x:v>Arrivée sur Aya</x:v>
      </x:c>
      <x:c r="C10" s="15" t="str">
        <x:v>Défini</x:v>
      </x:c>
      <x:c r="D10" s="17" t="str">
        <x:v>Extrapolation</x:v>
      </x:c>
      <x:c r="E10" s="17" t="str">
        <x:v>P1</x:v>
      </x:c>
      <x:c r="F10" s="7" t="str">
        <x:v>Livrable original proposé : Arrivée sur Aya.</x:v>
      </x:c>
      <x:c r="G10" s="7" t="str">
        <x:v>Dévoiler cascade, ville et accueil prudent ; les zones restreintes sont montrées avant reprise de déplacement.</x:v>
      </x:c>
      <x:c r="H10" s="7" t="str">
        <x:v>Dévoiler cascade, ville et accueil prudent ; les zones restreintes sont montrées avant reprise de déplacement.</x:v>
      </x:c>
      <x:c r="I10" s="7" t="str">
        <x:v>Tempest et terrasse angara.</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mea/cinematics/aya ; rattacher les ressources et états cités à cet identifiant. Aucun fichier de jeu créé par ce catalogue.</x:v>
      </x:c>
      <x:c r="M10" s="7" t="str"/>
      <x:c r="N10" s="7" t="str">
        <x:v>Le livrable « Arrivée sur Aya » possède une scène ou un scénario de contrôle ; ses règles proposées, ses conditions et ses retours visuels sont vérifiables séparément.</x:v>
      </x:c>
      <x:c r="O10" s="7" t="str">
        <x:v>MEA-MQ-AYA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MEA-CIN-EXALTATION</x:v>
      </x:c>
      <x:c r="B11" s="9" t="str">
        <x:v>Révélation de l’exaltation</x:v>
      </x:c>
      <x:c r="C11" s="15" t="str">
        <x:v>Défini</x:v>
      </x:c>
      <x:c r="D11" s="16" t="str">
        <x:v>Extrapolation</x:v>
      </x:c>
      <x:c r="E11" s="16" t="str">
        <x:v>P1</x:v>
      </x:c>
      <x:c r="F11" s="9" t="str">
        <x:v>Livrable original proposé : Révélation de l’exaltation.</x:v>
      </x:c>
      <x:c r="G11" s="9" t="str">
        <x:v>Insister sur découverte et réaction d’équipe avec imagerie contenue ; connaissances de codex écrites une fois après scène.</x:v>
      </x:c>
      <x:c r="H11" s="9" t="str">
        <x:v>Insister sur découverte et réaction d’équipe avec imagerie contenue ; connaissances de codex écrites une fois après scène.</x:v>
      </x:c>
      <x:c r="I11" s="9" t="str">
        <x:v>Capsules et ombres kett.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mea/cinematics/exaltation ; rattacher les ressources et états cités à cet identifiant. Aucun fichier de jeu créé par ce catalogue.</x:v>
      </x:c>
      <x:c r="M11" s="9" t="str"/>
      <x:c r="N11" s="9" t="str">
        <x:v>Le livrable « Révélation de l’exaltation » possède une scène ou un scénario de contrôle ; ses règles proposées, ses conditions et ses retours visuels sont vérifiables séparément.</x:v>
      </x:c>
      <x:c r="O11" s="9" t="str">
        <x:v>MEA-MQ-MOSHAE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MEA-CIN-ARCHON</x:v>
      </x:c>
      <x:c r="B12" s="7" t="str">
        <x:v>Piège de l’Archonte</x:v>
      </x:c>
      <x:c r="C12" s="15" t="str">
        <x:v>Défini</x:v>
      </x:c>
      <x:c r="D12" s="17" t="str">
        <x:v>Extrapolation</x:v>
      </x:c>
      <x:c r="E12" s="17" t="str">
        <x:v>P1</x:v>
      </x:c>
      <x:c r="F12" s="7" t="str">
        <x:v>Livrable original proposé : Piège de l’Archonte.</x:v>
      </x:c>
      <x:c r="G12" s="7" t="str">
        <x:v>États de capture, SAM et sortie cohérents après skip ; effets de perte de contrôle annoncés comme narration.</x:v>
      </x:c>
      <x:c r="H12" s="7" t="str">
        <x:v>États de capture, SAM et sortie cohérents après skip ; effets de perte de contrôle annoncés comme narration.</x:v>
      </x:c>
      <x:c r="I12" s="7" t="str">
        <x:v>Laboratoire kett et Ryder immobilisé.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mea/cinematics/archon ; rattacher les ressources et états cités à cet identifiant. Aucun fichier de jeu créé par ce catalogue.</x:v>
      </x:c>
      <x:c r="M12" s="7" t="str"/>
      <x:c r="N12" s="7" t="str">
        <x:v>Le livrable « Piège de l’Archonte » possède une scène ou un scénario de contrôle ; ses règles proposées, ses conditions et ses retours visuels sont vérifiables séparément.</x:v>
      </x:c>
      <x:c r="O12" s="7" t="str">
        <x:v>MEA-MQ-ARCHON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MEA-CIN-GRAVITY</x:v>
      </x:c>
      <x:c r="B13" s="9" t="str">
        <x:v>Gravité du vaisseau de Liam</x:v>
      </x:c>
      <x:c r="C13" s="15" t="str">
        <x:v>Défini</x:v>
      </x:c>
      <x:c r="D13" s="16" t="str">
        <x:v>Extrapolation</x:v>
      </x:c>
      <x:c r="E13" s="16" t="str">
        <x:v>P1</x:v>
      </x:c>
      <x:c r="F13" s="9" t="str">
        <x:v>Livrable original proposé : Gravité du vaisseau de Liam.</x:v>
      </x:c>
      <x:c r="G13" s="9" t="str">
        <x:v>Rotation cinématique puis carte dans nouvel axe ; alternative à faible mouvement par fondu vers état stable.</x:v>
      </x:c>
      <x:c r="H13" s="9" t="str">
        <x:v>Rotation cinématique puis carte dans nouvel axe ; alternative à faible mouvement par fondu vers état stable.</x:v>
      </x:c>
      <x:c r="I13" s="9" t="str">
        <x:v>Containers, murs et grues réorientés.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mea/cinematics/gravity ; rattacher les ressources et états cités à cet identifiant. Aucun fichier de jeu créé par ce catalogue.</x:v>
      </x:c>
      <x:c r="M13" s="9" t="str"/>
      <x:c r="N13" s="9" t="str">
        <x:v>Le livrable « Gravité du vaisseau de Liam » possède une scène ou un scénario de contrôle ; ses règles proposées, ses conditions et ses retours visuels sont vérifiables séparément.</x:v>
      </x:c>
      <x:c r="O13" s="9" t="str">
        <x:v>MEA-SQ-LIAM-ALLIN</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MEA-CIN-KALINDA</x:v>
      </x:c>
      <x:c r="B14" s="7" t="str">
        <x:v>Choix au-dessus de lave</x:v>
      </x:c>
      <x:c r="C14" s="15" t="str">
        <x:v>Défini</x:v>
      </x:c>
      <x:c r="D14" s="17" t="str">
        <x:v>Extrapolation</x:v>
      </x:c>
      <x:c r="E14" s="17" t="str">
        <x:v>P1</x:v>
      </x:c>
      <x:c r="F14" s="7" t="str">
        <x:v>Livrable original proposé : Choix au-dessus de lave.</x:v>
      </x:c>
      <x:c r="G14" s="7" t="str">
        <x:v>Cadre montrant appareil et Kalinda avant interruption ; mode non chronométré conserve même décision et même résultat.</x:v>
      </x:c>
      <x:c r="H14" s="7" t="str">
        <x:v>Cadre montrant appareil et Kalinda avant interruption ; mode non chronométré conserve même décision et même résultat.</x:v>
      </x:c>
      <x:c r="I14" s="7" t="str">
        <x:v>Plateforme instable et lave.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mea/cinematics/kalinda ; rattacher les ressources et états cités à cet identifiant. Aucun fichier de jeu créé par ce catalogue.</x:v>
      </x:c>
      <x:c r="M14" s="7" t="str"/>
      <x:c r="N14" s="7" t="str">
        <x:v>Le livrable « Choix au-dessus de lave » possède une scène ou un scénario de contrôle ; ses règles proposées, ses conditions et ses retours visuels sont vérifiables séparément.</x:v>
      </x:c>
      <x:c r="O14" s="7" t="str">
        <x:v>MEA-CHO-KALINDA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MEA-CIN-TWIN</x:v>
      </x:c>
      <x:c r="B15" s="9" t="str">
        <x:v>Relais du jumeau Ryder</x:v>
      </x:c>
      <x:c r="C15" s="15" t="str">
        <x:v>Défini</x:v>
      </x:c>
      <x:c r="D15" s="16" t="str">
        <x:v>Extrapolation</x:v>
      </x:c>
      <x:c r="E15" s="16" t="str">
        <x:v>P1</x:v>
      </x:c>
      <x:c r="F15" s="9" t="str">
        <x:v>Livrable original proposé : Relais du jumeau Ryder.</x:v>
      </x:c>
      <x:c r="G15" s="9" t="str">
        <x:v>Changement temporaire de personnage jouable signalé ; interface et équipement propres puis restitution au bon Ryder.</x:v>
      </x:c>
      <x:c r="H15" s="9" t="str">
        <x:v>Changement temporaire de personnage jouable signalé ; interface et équipement propres puis restitution au bon Ryder.</x:v>
      </x:c>
      <x:c r="I15" s="9" t="str">
        <x:v>Hyperion attaqué et deuxième portrait.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mea/cinematics/twin ; rattacher les ressources et états cités à cet identifiant. Aucun fichier de jeu créé par ce catalogue.</x:v>
      </x:c>
      <x:c r="M15" s="9" t="str"/>
      <x:c r="N15" s="9" t="str">
        <x:v>Le livrable « Relais du jumeau Ryder » possède une scène ou un scénario de contrôle ; ses règles proposées, ses conditions et ses retours visuels sont vérifiables séparément.</x:v>
      </x:c>
      <x:c r="O15" s="9" t="str">
        <x:v>MEA-MQ-MERIDIAN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MEA-CIN-HYPERION</x:v>
      </x:c>
      <x:c r="B16" s="7" t="str">
        <x:v>Atterrissage de l’Hyperion</x:v>
      </x:c>
      <x:c r="C16" s="15" t="str">
        <x:v>Défini</x:v>
      </x:c>
      <x:c r="D16" s="17" t="str">
        <x:v>Extrapolation</x:v>
      </x:c>
      <x:c r="E16" s="17" t="str">
        <x:v>P1</x:v>
      </x:c>
      <x:c r="F16" s="7" t="str">
        <x:v>Livrable original proposé : Atterrissage de l’Hyperion.</x:v>
      </x:c>
      <x:c r="G16" s="7" t="str">
        <x:v>Montage des Pionniers disponibles puis branche Dunn ; ne pas montrer une aide absente pour recycler un plan.</x:v>
      </x:c>
      <x:c r="H16" s="7" t="str">
        <x:v>Montage des Pionniers disponibles puis branche Dunn ; ne pas montrer une aide absente pour recycler un plan.</x:v>
      </x:c>
      <x:c r="I16" s="7" t="str">
        <x:v>Arche en descente et communications.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mea/cinematics/hyperion ; rattacher les ressources et états cités à cet identifiant. Aucun fichier de jeu créé par ce catalogue.</x:v>
      </x:c>
      <x:c r="M16" s="7" t="str"/>
      <x:c r="N16" s="7" t="str">
        <x:v>Le livrable « Atterrissage de l’Hyperion » possède une scène ou un scénario de contrôle ; ses règles proposées, ses conditions et ses retours visuels sont vérifiables séparément.</x:v>
      </x:c>
      <x:c r="O16" s="7" t="str">
        <x:v>MEA-CHO-DUNN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MEA-CIN-FINAL</x:v>
      </x:c>
      <x:c r="B17" s="9" t="str">
        <x:v>Libération du réseau de Méridiane</x:v>
      </x:c>
      <x:c r="C17" s="15" t="str">
        <x:v>Défini</x:v>
      </x:c>
      <x:c r="D17" s="16" t="str">
        <x:v>Extrapolation</x:v>
      </x:c>
      <x:c r="E17" s="16" t="str">
        <x:v>P1</x:v>
      </x:c>
      <x:c r="F17" s="9" t="str">
        <x:v>Livrable original proposé : Libération du réseau de Méridiane.</x:v>
      </x:c>
      <x:c r="G17" s="9" t="str">
        <x:v>Dernier relais, rupture du contrôle et retour du groupe ; victoire par objectifs, pas simple barre de vie de l’Archonte.</x:v>
      </x:c>
      <x:c r="H17" s="9" t="str">
        <x:v>Dernier relais, rupture du contrôle et retour du groupe ; victoire par objectifs, pas simple barre de vie de l’Archonte.</x:v>
      </x:c>
      <x:c r="I17" s="9" t="str">
        <x:v>Machine géante et lumière du réseau.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mea/cinematics/final ; rattacher les ressources et états cités à cet identifiant. Aucun fichier de jeu créé par ce catalogue.</x:v>
      </x:c>
      <x:c r="M17" s="9" t="str"/>
      <x:c r="N17" s="9" t="str">
        <x:v>Le livrable « Libération du réseau de Méridiane » possède une scène ou un scénario de contrôle ; ses règles proposées, ses conditions et ses retours visuels sont vérifiables séparément.</x:v>
      </x:c>
      <x:c r="O17" s="9" t="str">
        <x:v>MEA-ENM-ARCHON-FINAL</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MEA-CIN-HOME</x:v>
      </x:c>
      <x:c r="B18" s="7" t="str">
        <x:v>Port Meridian et avenir ouvert</x:v>
      </x:c>
      <x:c r="C18" s="15" t="str">
        <x:v>Défini</x:v>
      </x:c>
      <x:c r="D18" s="17" t="str">
        <x:v>Extrapolation</x:v>
      </x:c>
      <x:c r="E18" s="17" t="str">
        <x:v>P1</x:v>
      </x:c>
      <x:c r="F18" s="7" t="str">
        <x:v>Livrable original proposé : Port Meridian et avenir ouvert.</x:v>
      </x:c>
      <x:c r="G18" s="7" t="str">
        <x:v>Scène d’équipage avec ambassadeur, jumeau et signal quarien aux étapes requises ; aucun teaser transformé en mission développée.</x:v>
      </x:c>
      <x:c r="H18" s="7" t="str">
        <x:v>Scène d’équipage avec ambassadeur, jumeau et signal quarien aux étapes requises ; aucun teaser transformé en mission développée.</x:v>
      </x:c>
      <x:c r="I18" s="7" t="str">
        <x:v>Nature, arche posée et fête.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mea/cinematics/home ; rattacher les ressources et états cités à cet identifiant. Aucun fichier de jeu créé par ce catalogue.</x:v>
      </x:c>
      <x:c r="M18" s="7" t="str"/>
      <x:c r="N18" s="7" t="str">
        <x:v>Le livrable « Port Meridian et avenir ouvert » possède une scène ou un scénario de contrôle ; ses règles proposées, ses conditions et ses retours visuels sont vérifiables séparément.</x:v>
      </x:c>
      <x:c r="O18" s="7" t="str">
        <x:v>MEA-MQ-EPILOGUE, MEA-PRP-QUARIAN-SIGNAL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92f080d907f34152"/>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MEA-WPN-AVENGER</x:v>
      </x:c>
      <x:c r="B7" s="9" t="str">
        <x:v>Avenger</x:v>
      </x:c>
      <x:c r="C7" s="15" t="str">
        <x:v>Prototype</x:v>
      </x:c>
      <x:c r="D7" s="16" t="str">
        <x:v>Établi</x:v>
      </x:c>
      <x:c r="E7" s="16" t="str">
        <x:v>P1</x:v>
      </x:c>
      <x:c r="F7" s="9" t="str">
        <x:v>Fusil d’assaut.</x:v>
      </x:c>
      <x:c r="G7" s="9" t="str">
        <x:v>Rafale de référence et reprise courte proposées ; poids/temps affichés avant équipement.</x:v>
      </x:c>
      <x:c r="H7" s="9" t="str">
        <x:v>Rafale de référence et reprise courte proposées ; poids/temps affichés avant équipement.</x:v>
      </x:c>
      <x:c r="I7" s="9" t="str">
        <x:v>Silhouette militaire compacte.</x:v>
      </x:c>
      <x:c r="J7" s="9" t="str">
        <x:v>Pose de visée adaptée à cette carcasse, départ de tir ou frappe, recul/contact puis reprise ; point d’origine lié à la main et non au centre du sprite.</x:v>
      </x:c>
      <x:c r="K7" s="9" t="str">
        <x:v>Créer signature originale du mécanisme et de son impact ; mix séparant arme du joueur et armes adverses de même famille.</x:v>
      </x:c>
      <x:c r="L7" s="9" t="str">
        <x:v>Prototype Chroniques : src/universe-equipment.js, src/chronicles.js, src/combat.js. Identifiant runtime MEA-WPN-AVENGER ; contexte d’œuvre/segment et sélection de scène obligatoires.</x:v>
      </x:c>
      <x:c r="M7" s="9" t="str">
        <x:v>Solo ; les valeurs, versions de rang et adaptations multijoueurs sont des données séparées.</x:v>
      </x:c>
      <x:c r="N7" s="9" t="str">
        <x:v>Avenger : aperçu de portée, coût et ressource correspond à la résolution ; vérifier obstacle, cible mobile, rechargement/refroidissement et annulation avant tir.</x:v>
      </x:c>
      <x:c r="O7" s="9" t="str"/>
      <x:c r="P7" s="9" t="str">
        <x:v>Avenger</x:v>
      </x:c>
      <x:c r="Q7" s="9" t="str">
        <x:v>MEA-SRC-WEAPONS</x:v>
      </x:c>
      <x:c r="R7" s="9" t="str">
        <x:v>https://masseffect.fandom.com/wiki/Weapons_%28Mass_Effect%3A_Andromeda%29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MEA-WPN-CYCLONE</x:v>
      </x:c>
      <x:c r="B8" s="7" t="str">
        <x:v>Cyclone</x:v>
      </x:c>
      <x:c r="C8" s="15" t="str">
        <x:v>Prototype</x:v>
      </x:c>
      <x:c r="D8" s="17" t="str">
        <x:v>Établi</x:v>
      </x:c>
      <x:c r="E8" s="17" t="str">
        <x:v>P1</x:v>
      </x:c>
      <x:c r="F8" s="7" t="str">
        <x:v>Fusil d’assaut.</x:v>
      </x:c>
      <x:c r="G8" s="7" t="str">
        <x:v>Montée en régime puis suppression ; une pause de déplacement réduit stabilité dans l’adaptation.</x:v>
      </x:c>
      <x:c r="H8" s="7" t="str">
        <x:v>Montée en régime puis suppression ; une pause de déplacement réduit stabilité dans l’adaptation.</x:v>
      </x:c>
      <x:c r="I8" s="7" t="str">
        <x:v>Gros fusil à rotation.</x:v>
      </x:c>
      <x:c r="J8" s="7" t="str">
        <x:v>Pose de visée adaptée à cette carcasse, départ de tir ou frappe, recul/contact puis reprise ; point d’origine lié à la main et non au centre du sprite.</x:v>
      </x:c>
      <x:c r="K8" s="7" t="str">
        <x:v>Créer signature originale du mécanisme et de son impact ; mix séparant arme du joueur et armes adverses de même famille.</x:v>
      </x:c>
      <x:c r="L8" s="7" t="str">
        <x:v>Prototype Chroniques : src/universe-equipment.js, src/chronicles.js, src/combat.js. Identifiant runtime MEA-WPN-CYCLONE ; contexte d’œuvre/segment et sélection de scène obligatoires.</x:v>
      </x:c>
      <x:c r="M8" s="7" t="str">
        <x:v>Solo ; les valeurs, versions de rang et adaptations multijoueurs sont des données séparées.</x:v>
      </x:c>
      <x:c r="N8" s="7" t="str">
        <x:v>Cyclone : aperçu de portée, coût et ressource correspond à la résolution ; vérifier obstacle, cible mobile, rechargement/refroidissement et annulation avant tir.</x:v>
      </x:c>
      <x:c r="O8" s="7" t="str"/>
      <x:c r="P8" s="7" t="str">
        <x:v>Cyclone</x:v>
      </x:c>
      <x:c r="Q8" s="7" t="str">
        <x:v>MEA-SRC-WEAPONS</x:v>
      </x:c>
      <x:c r="R8" s="7" t="str">
        <x:v>https://masseffect.fandom.com/wiki/Weapons_%28Mass_Effect%3A_Andromeda%29</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MEA-WPN-MATTOCK</x:v>
      </x:c>
      <x:c r="B9" s="9" t="str">
        <x:v>Mattock</x:v>
      </x:c>
      <x:c r="C9" s="15" t="str">
        <x:v>Prototype</x:v>
      </x:c>
      <x:c r="D9" s="16" t="str">
        <x:v>Établi</x:v>
      </x:c>
      <x:c r="E9" s="16" t="str">
        <x:v>P1</x:v>
      </x:c>
      <x:c r="F9" s="9" t="str">
        <x:v>Fusil semi-automatique.</x:v>
      </x:c>
      <x:c r="G9" s="9" t="str">
        <x:v>Tirs posés à coût par coup ; conserver possibilité de changer de cible entre coups.</x:v>
      </x:c>
      <x:c r="H9" s="9" t="str">
        <x:v>Tirs posés à coût par coup ; conserver possibilité de changer de cible entre coups.</x:v>
      </x:c>
      <x:c r="I9" s="9" t="str">
        <x:v>Longue crosse et canon.</x:v>
      </x:c>
      <x:c r="J9" s="9" t="str">
        <x:v>Pose de visée adaptée à cette carcasse, départ de tir ou frappe, recul/contact puis reprise ; point d’origine lié à la main et non au centre du sprite.</x:v>
      </x:c>
      <x:c r="K9" s="9" t="str">
        <x:v>Créer signature originale du mécanisme et de son impact ; mix séparant arme du joueur et armes adverses de même famille.</x:v>
      </x:c>
      <x:c r="L9" s="9" t="str">
        <x:v>Prototype Chroniques : src/universe-equipment.js, src/chronicles.js, src/combat.js. Identifiant runtime MEA-WPN-MATTOCK ; contexte d’œuvre/segment et sélection de scène obligatoires.</x:v>
      </x:c>
      <x:c r="M9" s="9" t="str">
        <x:v>Solo ; les valeurs, versions de rang et adaptations multijoueurs sont des données séparées.</x:v>
      </x:c>
      <x:c r="N9" s="9" t="str">
        <x:v>Mattock : aperçu de portée, coût et ressource correspond à la résolution ; vérifier obstacle, cible mobile, rechargement/refroidissement et annulation avant tir.</x:v>
      </x:c>
      <x:c r="O9" s="9" t="str"/>
      <x:c r="P9" s="9" t="str">
        <x:v>Mattock</x:v>
      </x:c>
      <x:c r="Q9" s="9" t="str">
        <x:v>MEA-SRC-WEAPONS</x:v>
      </x:c>
      <x:c r="R9" s="9" t="str">
        <x:v>https://masseffect.fandom.com/wiki/Weapons_%28Mass_Effect%3A_Andromeda%29</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MEA-WPN-REVENANT</x:v>
      </x:c>
      <x:c r="B10" s="7" t="str">
        <x:v>Revenant</x:v>
      </x:c>
      <x:c r="C10" s="15" t="str">
        <x:v>Prototype</x:v>
      </x:c>
      <x:c r="D10" s="17" t="str">
        <x:v>Établi</x:v>
      </x:c>
      <x:c r="E10" s="17" t="str">
        <x:v>P1</x:v>
      </x:c>
      <x:c r="F10" s="7" t="str">
        <x:v>Fusil d’assaut lourd.</x:v>
      </x:c>
      <x:c r="G10" s="7" t="str">
        <x:v>Rafale prolongée engageant la position ; réserver une fenêtre d’interruption et de repli.</x:v>
      </x:c>
      <x:c r="H10" s="7" t="str">
        <x:v>Rafale prolongée engageant la position ; réserver une fenêtre d’interruption et de repli.</x:v>
      </x:c>
      <x:c r="I10" s="7" t="str">
        <x:v>Large carcasse et chargeur.</x:v>
      </x:c>
      <x:c r="J10" s="7" t="str">
        <x:v>Pose de visée adaptée à cette carcasse, départ de tir ou frappe, recul/contact puis reprise ; point d’origine lié à la main et non au centre du sprite.</x:v>
      </x:c>
      <x:c r="K10" s="7" t="str">
        <x:v>Créer signature originale du mécanisme et de son impact ; mix séparant arme du joueur et armes adverses de même famille.</x:v>
      </x:c>
      <x:c r="L10" s="7" t="str">
        <x:v>Prototype Chroniques : src/universe-equipment.js, src/chronicles.js, src/combat.js. Identifiant runtime MEA-WPN-REVENANT ; contexte d’œuvre/segment et sélection de scène obligatoires.</x:v>
      </x:c>
      <x:c r="M10" s="7" t="str">
        <x:v>Solo ; les valeurs, versions de rang et adaptations multijoueurs sont des données séparées.</x:v>
      </x:c>
      <x:c r="N10" s="7" t="str">
        <x:v>Revenant : aperçu de portée, coût et ressource correspond à la résolution ; vérifier obstacle, cible mobile, rechargement/refroidissement et annulation avant tir.</x:v>
      </x:c>
      <x:c r="O10" s="7" t="str"/>
      <x:c r="P10" s="7" t="str">
        <x:v>Revenant</x:v>
      </x:c>
      <x:c r="Q10" s="7" t="str">
        <x:v>MEA-SRC-WEAPONS</x:v>
      </x:c>
      <x:c r="R10" s="7" t="str">
        <x:v>https://masseffect.fandom.com/wiki/Weapons_%28Mass_Effect%3A_Andromeda%29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MEA-WPN-VALKYRIE</x:v>
      </x:c>
      <x:c r="B11" s="9" t="str">
        <x:v>Valkyrie</x:v>
      </x:c>
      <x:c r="C11" s="15" t="str">
        <x:v>Prototype</x:v>
      </x:c>
      <x:c r="D11" s="16" t="str">
        <x:v>Établi</x:v>
      </x:c>
      <x:c r="E11" s="16" t="str">
        <x:v>P1</x:v>
      </x:c>
      <x:c r="F11" s="9" t="str">
        <x:v>Fusil d’assaut.</x:v>
      </x:c>
      <x:c r="G11" s="9" t="str">
        <x:v>Salve en deux temps, événements de dégâts distincts mais coût ATB unique annoncé.</x:v>
      </x:c>
      <x:c r="H11" s="9" t="str">
        <x:v>Salve en deux temps, événements de dégâts distincts mais coût ATB unique annoncé.</x:v>
      </x:c>
      <x:c r="I11" s="9" t="str">
        <x:v>Fusil militaire N7.</x:v>
      </x:c>
      <x:c r="J11" s="9" t="str">
        <x:v>Pose de visée adaptée à cette carcasse, départ de tir ou frappe, recul/contact puis reprise ; point d’origine lié à la main et non au centre du sprite.</x:v>
      </x:c>
      <x:c r="K11" s="9" t="str">
        <x:v>Créer signature originale du mécanisme et de son impact ; mix séparant arme du joueur et armes adverses de même famille.</x:v>
      </x:c>
      <x:c r="L11" s="9" t="str">
        <x:v>Prototype Chroniques : src/universe-equipment.js, src/chronicles.js, src/combat.js. Identifiant runtime MEA-WPN-VALKYRIE ; contexte d’œuvre/segment et sélection de scène obligatoires.</x:v>
      </x:c>
      <x:c r="M11" s="9" t="str">
        <x:v>Solo ; les valeurs, versions de rang et adaptations multijoueurs sont des données séparées.</x:v>
      </x:c>
      <x:c r="N11" s="9" t="str">
        <x:v>Valkyrie : aperçu de portée, coût et ressource correspond à la résolution ; vérifier obstacle, cible mobile, rechargement/refroidissement et annulation avant tir.</x:v>
      </x:c>
      <x:c r="O11" s="9" t="str"/>
      <x:c r="P11" s="9" t="str">
        <x:v>Valkyrie</x:v>
      </x:c>
      <x:c r="Q11" s="9" t="str">
        <x:v>MEA-SRC-WEAPONS</x:v>
      </x:c>
      <x:c r="R11" s="9" t="str">
        <x:v>https://masseffect.fandom.com/wiki/Weapons_%28Mass_Effect%3A_Andromeda%29</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96" customHeight="1">
      <x:c r="A12" s="19" t="str">
        <x:v>MEA-WPN-SWEEPER</x:v>
      </x:c>
      <x:c r="B12" s="7" t="str">
        <x:v>Sweeper</x:v>
      </x:c>
      <x:c r="C12" s="15" t="str">
        <x:v>Prototype</x:v>
      </x:c>
      <x:c r="D12" s="17" t="str">
        <x:v>Établi</x:v>
      </x:c>
      <x:c r="E12" s="17" t="str">
        <x:v>P1</x:v>
      </x:c>
      <x:c r="F12" s="7" t="str">
        <x:v>Fusil reliquat.</x:v>
      </x:c>
      <x:c r="G12" s="7" t="str">
        <x:v>Cycle énergétique et surchauffe proposés ; affichage de chaleur distinct de clips thermiques.</x:v>
      </x:c>
      <x:c r="H12" s="7" t="str">
        <x:v>Cycle énergétique et surchauffe proposés ; affichage de chaleur distinct de clips thermiques.</x:v>
      </x:c>
      <x:c r="I12" s="7" t="str">
        <x:v>Surface noire et lumière reliquate.</x:v>
      </x:c>
      <x:c r="J12" s="7" t="str">
        <x:v>Pose de visée adaptée à cette carcasse, départ de tir ou frappe, recul/contact puis reprise ; point d’origine lié à la main et non au centre du sprite.</x:v>
      </x:c>
      <x:c r="K12" s="7" t="str">
        <x:v>Créer signature originale du mécanisme et de son impact ; mix séparant arme du joueur et armes adverses de même famille.</x:v>
      </x:c>
      <x:c r="L12" s="7" t="str">
        <x:v>Prototype partiel MEA-WPN-SWEEPER dans src/universe-weapon-profiles.js, src/universe-equipment.js et src/combat.js : salve énergétique à chaleur. Sélection et restauration contrôlées dans l’atelier de cette œuvre ; aucune acquisition ni mission originale reconstituée.</x:v>
      </x:c>
      <x:c r="M12" s="7" t="str">
        <x:v>Solo ; les valeurs, versions de rang et adaptations multijoueurs sont des données séparées.</x:v>
      </x:c>
      <x:c r="N12" s="7" t="str">
        <x:v>Sweeper : aperçu de portée, coût et ressource correspond à la résolution ; vérifier obstacle, cible mobile, rechargement/refroidissement et annulation avant tir.</x:v>
      </x:c>
      <x:c r="O12" s="7" t="str"/>
      <x:c r="P12" s="7" t="str">
        <x:v>Sweeper</x:v>
      </x:c>
      <x:c r="Q12" s="7" t="str">
        <x:v>MEA-SRC-SWEEPER</x:v>
      </x:c>
      <x:c r="R12" s="7" t="str">
        <x:v>https://masseffect.fandom.com/wiki/Sweeper</x:v>
      </x:c>
      <x:c r="S12" s="7"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13" ht="96" customHeight="1">
      <x:c r="A13" s="18" t="str">
        <x:v>MEA-WPN-PAW</x:v>
      </x:c>
      <x:c r="B13" s="9" t="str">
        <x:v>P.A.W.</x:v>
      </x:c>
      <x:c r="C13" s="15" t="str">
        <x:v>Prototype</x:v>
      </x:c>
      <x:c r="D13" s="16" t="str">
        <x:v>Établi</x:v>
      </x:c>
      <x:c r="E13" s="16" t="str">
        <x:v>P1</x:v>
      </x:c>
      <x:c r="F13" s="9" t="str">
        <x:v>Arme à rayon.</x:v>
      </x:c>
      <x:c r="G13" s="9" t="str">
        <x:v>Canalisation sur cible visible ; interruption arrête consommation au même instant que le rayon.</x:v>
      </x:c>
      <x:c r="H13" s="9" t="str">
        <x:v>Canalisation sur cible visible ; interruption arrête consommation au même instant que le rayon.</x:v>
      </x:c>
      <x:c r="I13" s="9" t="str">
        <x:v>Rayon continu et cœur énergétique.</x:v>
      </x:c>
      <x:c r="J13" s="9" t="str">
        <x:v>Pose de visée adaptée à cette carcasse, départ de tir ou frappe, recul/contact puis reprise ; point d’origine lié à la main et non au centre du sprite.</x:v>
      </x:c>
      <x:c r="K13" s="9" t="str">
        <x:v>Créer signature originale du mécanisme et de son impact ; mix séparant arme du joueur et armes adverses de même famille.</x:v>
      </x:c>
      <x:c r="L13" s="9" t="str">
        <x:v>Prototype partiel MEA-WPN-PAW dans src/universe-weapon-profiles.js, src/universe-equipment.js et src/combat.js : rayon canalisé à chaleur. Sélection et restauration contrôlées dans l’atelier de cette œuvre ; aucune acquisition ni mission originale reconstituée.</x:v>
      </x:c>
      <x:c r="M13" s="9" t="str">
        <x:v>Solo ; les valeurs, versions de rang et adaptations multijoueurs sont des données séparées.</x:v>
      </x:c>
      <x:c r="N13" s="9" t="str">
        <x:v>P.A.W. : aperçu de portée, coût et ressource correspond à la résolution ; vérifier obstacle, cible mobile, rechargement/refroidissement et annulation avant tir.</x:v>
      </x:c>
      <x:c r="O13" s="9" t="str"/>
      <x:c r="P13" s="9" t="str">
        <x:v>P.A.W.</x:v>
      </x:c>
      <x:c r="Q13" s="9" t="str">
        <x:v>MEA-SRC-WEAPONS</x:v>
      </x:c>
      <x:c r="R13" s="9" t="str">
        <x:v>https://masseffect.fandom.com/wiki/Weapons_%28Mass_Effect%3A_Andromeda%29</x:v>
      </x:c>
      <x:c r="S13" s="9"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14" ht="68" customHeight="1">
      <x:c r="A14" s="19" t="str">
        <x:v>MEA-WPN-THOKIN</x:v>
      </x:c>
      <x:c r="B14" s="7" t="str">
        <x:v>Thokin</x:v>
      </x:c>
      <x:c r="C14" s="15" t="str">
        <x:v>Défini</x:v>
      </x:c>
      <x:c r="D14" s="17" t="str">
        <x:v>Établi</x:v>
      </x:c>
      <x:c r="E14" s="17" t="str">
        <x:v>P1</x:v>
      </x:c>
      <x:c r="F14" s="7" t="str">
        <x:v>Fusil kett.</x:v>
      </x:c>
      <x:c r="G14" s="7" t="str">
        <x:v>Projectile énergétique à suivi limité proposé ; aperçu indique possibilité de contourner couvert bas, pas mur plein.</x:v>
      </x:c>
      <x:c r="H14" s="7" t="str">
        <x:v>Projectile énergétique à suivi limité proposé ; aperçu indique possibilité de contourner couvert bas, pas mur plein.</x:v>
      </x:c>
      <x:c r="I14" s="7" t="str">
        <x:v>Arme organique et chambre lumineuse.</x:v>
      </x:c>
      <x:c r="J14" s="7" t="str">
        <x:v>Pose de visée adaptée à cette carcasse, départ de tir ou frappe, recul/contact puis reprise ; point d’origine lié à la main et non au centre du sprite.</x:v>
      </x:c>
      <x:c r="K14" s="7" t="str">
        <x:v>Créer signature originale du mécanisme et de son impact ; mix séparant arme du joueur et armes adverses de même famille.</x:v>
      </x:c>
      <x:c r="L14" s="7" t="str">
        <x:v>Prévu : fiche de données mea/weapons/thokin ; rattacher les ressources et états cités à cet identifiant. Aucun fichier de jeu créé par ce catalogue.</x:v>
      </x:c>
      <x:c r="M14" s="7" t="str">
        <x:v>Solo ; les valeurs, versions de rang et adaptations multijoueurs sont des données séparées.</x:v>
      </x:c>
      <x:c r="N14" s="7" t="str">
        <x:v>Thokin : aperçu de portée, coût et ressource correspond à la résolution ; vérifier obstacle, cible mobile, rechargement/refroidissement et annulation avant tir.</x:v>
      </x:c>
      <x:c r="O14" s="7" t="str"/>
      <x:c r="P14" s="7" t="str">
        <x:v>Thokin</x:v>
      </x:c>
      <x:c r="Q14" s="7" t="str">
        <x:v>MEA-SRC-WEAPONS</x:v>
      </x:c>
      <x:c r="R14" s="7" t="str">
        <x:v>https://masseffect.fandom.com/wiki/Weapons_%28Mass_Effect%3A_Andromeda%29</x:v>
      </x:c>
      <x:c r="S14" s="7" t="str">
        <x:v>Spécification à réaliser. Les champs adaptation, gameplay, visual, animation, audio et implementation décrivent le fan game ; ils ne donnent pas des caractéristiques officielles de l’œuvre.</x:v>
      </x:c>
    </x:row>
    <x:row r="15" ht="68" customHeight="1">
      <x:c r="A15" s="18" t="str">
        <x:v>MEA-WPN-ZALKIN</x:v>
      </x:c>
      <x:c r="B15" s="9" t="str">
        <x:v>Zalkin</x:v>
      </x:c>
      <x:c r="C15" s="15" t="str">
        <x:v>Défini</x:v>
      </x:c>
      <x:c r="D15" s="16" t="str">
        <x:v>Établi</x:v>
      </x:c>
      <x:c r="E15" s="16" t="str">
        <x:v>P1</x:v>
      </x:c>
      <x:c r="F15" s="9" t="str">
        <x:v>Fusil kett.</x:v>
      </x:c>
      <x:c r="G15" s="9" t="str">
        <x:v>Salve lourde à dispersion proposée ; distinguer projectile et flash de protection ennemie.</x:v>
      </x:c>
      <x:c r="H15" s="9" t="str">
        <x:v>Salve lourde à dispersion proposée ; distinguer projectile et flash de protection ennemie.</x:v>
      </x:c>
      <x:c r="I15" s="9" t="str">
        <x:v>Carcasse osseuse angulaire.</x:v>
      </x:c>
      <x:c r="J15" s="9" t="str">
        <x:v>Pose de visée adaptée à cette carcasse, départ de tir ou frappe, recul/contact puis reprise ; point d’origine lié à la main et non au centre du sprite.</x:v>
      </x:c>
      <x:c r="K15" s="9" t="str">
        <x:v>Créer signature originale du mécanisme et de son impact ; mix séparant arme du joueur et armes adverses de même famille.</x:v>
      </x:c>
      <x:c r="L15" s="9" t="str">
        <x:v>Prévu : fiche de données mea/weapons/zalkin ; rattacher les ressources et états cités à cet identifiant. Aucun fichier de jeu créé par ce catalogue.</x:v>
      </x:c>
      <x:c r="M15" s="9" t="str">
        <x:v>Solo ; les valeurs, versions de rang et adaptations multijoueurs sont des données séparées.</x:v>
      </x:c>
      <x:c r="N15" s="9" t="str">
        <x:v>Zalkin : aperçu de portée, coût et ressource correspond à la résolution ; vérifier obstacle, cible mobile, rechargement/refroidissement et annulation avant tir.</x:v>
      </x:c>
      <x:c r="O15" s="9" t="str"/>
      <x:c r="P15" s="9" t="str">
        <x:v>Zalkin</x:v>
      </x:c>
      <x:c r="Q15" s="9" t="str">
        <x:v>MEA-SRC-WEAPONS</x:v>
      </x:c>
      <x:c r="R15" s="9" t="str">
        <x:v>https://masseffect.fandom.com/wiki/Weapons_%28Mass_Effect%3A_Andromeda%29</x:v>
      </x:c>
      <x:c r="S15" s="9" t="str">
        <x:v>Spécification à réaliser. Les champs adaptation, gameplay, visual, animation, audio et implementation décrivent le fan game ; ils ne donnent pas des caractéristiques officielles de l’œuvre.</x:v>
      </x:c>
    </x:row>
    <x:row r="16" ht="68" customHeight="1">
      <x:c r="A16" s="19" t="str">
        <x:v>MEA-WPN-SONED</x:v>
      </x:c>
      <x:c r="B16" s="7" t="str">
        <x:v>Soned</x:v>
      </x:c>
      <x:c r="C16" s="15" t="str">
        <x:v>Défini</x:v>
      </x:c>
      <x:c r="D16" s="17" t="str">
        <x:v>Établi</x:v>
      </x:c>
      <x:c r="E16" s="17" t="str">
        <x:v>P1</x:v>
      </x:c>
      <x:c r="F16" s="7" t="str">
        <x:v>Fusil kett lourd.</x:v>
      </x:c>
      <x:c r="G16" s="7" t="str">
        <x:v>Temps d’installation puis gros volume de tir ; récupération rend le porteur vulnérable si isolé.</x:v>
      </x:c>
      <x:c r="H16" s="7" t="str">
        <x:v>Temps d’installation puis gros volume de tir ; récupération rend le porteur vulnérable si isolé.</x:v>
      </x:c>
      <x:c r="I16" s="7" t="str">
        <x:v>Grande arme lourde organique.</x:v>
      </x:c>
      <x:c r="J16" s="7" t="str">
        <x:v>Pose de visée adaptée à cette carcasse, départ de tir ou frappe, recul/contact puis reprise ; point d’origine lié à la main et non au centre du sprite.</x:v>
      </x:c>
      <x:c r="K16" s="7" t="str">
        <x:v>Créer signature originale du mécanisme et de son impact ; mix séparant arme du joueur et armes adverses de même famille.</x:v>
      </x:c>
      <x:c r="L16" s="7" t="str">
        <x:v>Prévu : fiche de données mea/weapons/soned ; rattacher les ressources et états cités à cet identifiant. Aucun fichier de jeu créé par ce catalogue.</x:v>
      </x:c>
      <x:c r="M16" s="7" t="str">
        <x:v>Solo ; les valeurs, versions de rang et adaptations multijoueurs sont des données séparées.</x:v>
      </x:c>
      <x:c r="N16" s="7" t="str">
        <x:v>Soned : aperçu de portée, coût et ressource correspond à la résolution ; vérifier obstacle, cible mobile, rechargement/refroidissement et annulation avant tir.</x:v>
      </x:c>
      <x:c r="O16" s="7" t="str"/>
      <x:c r="P16" s="7" t="str">
        <x:v>Soned</x:v>
      </x:c>
      <x:c r="Q16" s="7" t="str">
        <x:v>MEA-SRC-WEAPONS</x:v>
      </x:c>
      <x:c r="R16" s="7" t="str">
        <x:v>https://masseffect.fandom.com/wiki/Weapons_%28Mass_Effect%3A_Andromeda%29</x:v>
      </x:c>
      <x:c r="S16" s="7" t="str">
        <x:v>Spécification à réaliser. Les champs adaptation, gameplay, visual, animation, audio et implementation décrivent le fan game ; ils ne donnent pas des caractéristiques officielles de l’œuvre.</x:v>
      </x:c>
    </x:row>
    <x:row r="17" ht="68" customHeight="1">
      <x:c r="A17" s="18" t="str">
        <x:v>MEA-WPN-PIONEER</x:v>
      </x:c>
      <x:c r="B17" s="9" t="str">
        <x:v>Pathfinder Pioneer</x:v>
      </x:c>
      <x:c r="C17" s="15" t="str">
        <x:v>Défini</x:v>
      </x:c>
      <x:c r="D17" s="16" t="str">
        <x:v>Établi</x:v>
      </x:c>
      <x:c r="E17" s="16" t="str">
        <x:v>P1</x:v>
      </x:c>
      <x:c r="F17" s="9" t="str">
        <x:v>Arme du pack Pathfinder Elite.</x:v>
      </x:c>
      <x:c r="G17" s="9" t="str">
        <x:v>Profil de fusil de début distinct sans rendre le pack indispensable à un build ; manifeste d’édition contrôle accès.</x:v>
      </x:c>
      <x:c r="H17" s="9" t="str">
        <x:v>Profil de fusil de début distinct sans rendre le pack indispensable à un build ; manifeste d’édition contrôle accès.</x:v>
      </x:c>
      <x:c r="I17" s="9" t="str">
        <x:v>Fusil de Pionnier.</x:v>
      </x:c>
      <x:c r="J17" s="9" t="str">
        <x:v>Pose de visée adaptée à cette carcasse, départ de tir ou frappe, recul/contact puis reprise ; point d’origine lié à la main et non au centre du sprite.</x:v>
      </x:c>
      <x:c r="K17" s="9" t="str">
        <x:v>Créer signature originale du mécanisme et de son impact ; mix séparant arme du joueur et armes adverses de même famille.</x:v>
      </x:c>
      <x:c r="L17" s="9" t="str">
        <x:v>Prévu : fiche de données mea/weapons/pioneer ; rattacher les ressources et états cités à cet identifiant. Aucun fichier de jeu créé par ce catalogue.</x:v>
      </x:c>
      <x:c r="M17" s="9" t="str">
        <x:v>Pack Pathfinder Elite / édition compatible ; vérifier la voie d’acquisition.</x:v>
      </x:c>
      <x:c r="N17" s="9" t="str">
        <x:v>Pathfinder Pioneer : aperçu de portée, coût et ressource correspond à la résolution ; vérifier obstacle, cible mobile, rechargement/refroidissement et annulation avant tir.</x:v>
      </x:c>
      <x:c r="O17" s="9" t="str"/>
      <x:c r="P17" s="9" t="str">
        <x:v>Pathfinder Pioneer</x:v>
      </x:c>
      <x:c r="Q17" s="9" t="str">
        <x:v>MEA-SRC-WEAPONS</x:v>
      </x:c>
      <x:c r="R17" s="9" t="str">
        <x:v>https://masseffect.fandom.com/wiki/Weapons_%28Mass_Effect%3A_Andromeda%29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MEA-WPN-PREDATOR</x:v>
      </x:c>
      <x:c r="B18" s="7" t="str">
        <x:v>Predator</x:v>
      </x:c>
      <x:c r="C18" s="15" t="str">
        <x:v>Prototype</x:v>
      </x:c>
      <x:c r="D18" s="17" t="str">
        <x:v>Établi</x:v>
      </x:c>
      <x:c r="E18" s="17" t="str">
        <x:v>P1</x:v>
      </x:c>
      <x:c r="F18" s="7" t="str">
        <x:v>Pistolet.</x:v>
      </x:c>
      <x:c r="G18" s="7" t="str">
        <x:v>Arme légère d’exploration ; faible coût de préparation proposé, utile après déplacement.</x:v>
      </x:c>
      <x:c r="H18" s="7" t="str">
        <x:v>Arme légère d’exploration ; faible coût de préparation proposé, utile après déplacement.</x:v>
      </x:c>
      <x:c r="I18" s="7" t="str">
        <x:v>Pistolet compact.</x:v>
      </x:c>
      <x:c r="J18" s="7" t="str">
        <x:v>Pose de visée adaptée à cette carcasse, départ de tir ou frappe, recul/contact puis reprise ; point d’origine lié à la main et non au centre du sprite.</x:v>
      </x:c>
      <x:c r="K18" s="7" t="str">
        <x:v>Créer signature originale du mécanisme et de son impact ; mix séparant arme du joueur et armes adverses de même famille.</x:v>
      </x:c>
      <x:c r="L18" s="7" t="str">
        <x:v>Prototype Chroniques : src/universe-equipment.js, src/chronicles.js, src/combat.js. Identifiant runtime MEA-WPN-PREDATOR ; contexte d’œuvre/segment et sélection de scène obligatoires.</x:v>
      </x:c>
      <x:c r="M18" s="7" t="str">
        <x:v>Solo ; les valeurs, versions de rang et adaptations multijoueurs sont des données séparées.</x:v>
      </x:c>
      <x:c r="N18" s="7" t="str">
        <x:v>Predator : aperçu de portée, coût et ressource correspond à la résolution ; vérifier obstacle, cible mobile, rechargement/refroidissement et annulation avant tir.</x:v>
      </x:c>
      <x:c r="O18" s="7" t="str"/>
      <x:c r="P18" s="7" t="str">
        <x:v>Predator</x:v>
      </x:c>
      <x:c r="Q18" s="7" t="str">
        <x:v>MEA-SRC-WEAPONS</x:v>
      </x:c>
      <x:c r="R18" s="7" t="str">
        <x:v>https://masseffect.fandom.com/wiki/Weapons_%28Mass_Effect%3A_Andromeda%29</x:v>
      </x:c>
      <x:c r="S1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9" ht="68" customHeight="1">
      <x:c r="A19" s="18" t="str">
        <x:v>MEA-WPN-CARNIFEX</x:v>
      </x:c>
      <x:c r="B19" s="9" t="str">
        <x:v>Carnifex</x:v>
      </x:c>
      <x:c r="C19" s="15" t="str">
        <x:v>Prototype</x:v>
      </x:c>
      <x:c r="D19" s="16" t="str">
        <x:v>Établi</x:v>
      </x:c>
      <x:c r="E19" s="16" t="str">
        <x:v>P1</x:v>
      </x:c>
      <x:c r="F19" s="9" t="str">
        <x:v>Pistolet lourd.</x:v>
      </x:c>
      <x:c r="G19" s="9" t="str">
        <x:v>Gros impact ponctuel et faible réserve proposée ; rôle d’achèvement sur cible exposée.</x:v>
      </x:c>
      <x:c r="H19" s="9" t="str">
        <x:v>Gros impact ponctuel et faible réserve proposée ; rôle d’achèvement sur cible exposée.</x:v>
      </x:c>
      <x:c r="I19" s="9" t="str">
        <x:v>Grande carcasse métallique.</x:v>
      </x:c>
      <x:c r="J19" s="9" t="str">
        <x:v>Pose de visée adaptée à cette carcasse, départ de tir ou frappe, recul/contact puis reprise ; point d’origine lié à la main et non au centre du sprite.</x:v>
      </x:c>
      <x:c r="K19" s="9" t="str">
        <x:v>Créer signature originale du mécanisme et de son impact ; mix séparant arme du joueur et armes adverses de même famille.</x:v>
      </x:c>
      <x:c r="L19" s="9" t="str">
        <x:v>Prototype Chroniques : src/universe-equipment.js, src/chronicles.js, src/combat.js. Identifiant runtime MEA-WPN-CARNIFEX ; contexte d’œuvre/segment et sélection de scène obligatoires.</x:v>
      </x:c>
      <x:c r="M19" s="9" t="str">
        <x:v>Solo ; les valeurs, versions de rang et adaptations multijoueurs sont des données séparées.</x:v>
      </x:c>
      <x:c r="N19" s="9" t="str">
        <x:v>Carnifex : aperçu de portée, coût et ressource correspond à la résolution ; vérifier obstacle, cible mobile, rechargement/refroidissement et annulation avant tir.</x:v>
      </x:c>
      <x:c r="O19" s="9" t="str"/>
      <x:c r="P19" s="9" t="str">
        <x:v>Carnifex</x:v>
      </x:c>
      <x:c r="Q19" s="9" t="str">
        <x:v>MEA-SRC-WEAPONS</x:v>
      </x:c>
      <x:c r="R19" s="9" t="str">
        <x:v>https://masseffect.fandom.com/wiki/Weapons_%28Mass_Effect%3A_Andromeda%29</x:v>
      </x:c>
      <x:c r="S1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0" ht="68" customHeight="1">
      <x:c r="A20" s="19" t="str">
        <x:v>MEA-WPN-PHALANX</x:v>
      </x:c>
      <x:c r="B20" s="7" t="str">
        <x:v>Phalanx</x:v>
      </x:c>
      <x:c r="C20" s="15" t="str">
        <x:v>Prototype</x:v>
      </x:c>
      <x:c r="D20" s="17" t="str">
        <x:v>Établi</x:v>
      </x:c>
      <x:c r="E20" s="17" t="str">
        <x:v>P1</x:v>
      </x:c>
      <x:c r="F20" s="7" t="str">
        <x:v>Pistolet.</x:v>
      </x:c>
      <x:c r="G20" s="7" t="str">
        <x:v>Précision de milieu de gamme proposée ; retours de recul lisibles à petite échelle.</x:v>
      </x:c>
      <x:c r="H20" s="7" t="str">
        <x:v>Précision de milieu de gamme proposée ; retours de recul lisibles à petite échelle.</x:v>
      </x:c>
      <x:c r="I20" s="7" t="str">
        <x:v>Pistolet militaire stable.</x:v>
      </x:c>
      <x:c r="J20" s="7" t="str">
        <x:v>Pose de visée adaptée à cette carcasse, départ de tir ou frappe, recul/contact puis reprise ; point d’origine lié à la main et non au centre du sprite.</x:v>
      </x:c>
      <x:c r="K20" s="7" t="str">
        <x:v>Créer signature originale du mécanisme et de son impact ; mix séparant arme du joueur et armes adverses de même famille.</x:v>
      </x:c>
      <x:c r="L20" s="7" t="str">
        <x:v>Prototype Chroniques : src/universe-equipment.js, src/chronicles.js, src/combat.js. Identifiant runtime MEA-WPN-PHALANX ; contexte d’œuvre/segment et sélection de scène obligatoires.</x:v>
      </x:c>
      <x:c r="M20" s="7" t="str">
        <x:v>Solo ; les valeurs, versions de rang et adaptations multijoueurs sont des données séparées.</x:v>
      </x:c>
      <x:c r="N20" s="7" t="str">
        <x:v>Phalanx : aperçu de portée, coût et ressource correspond à la résolution ; vérifier obstacle, cible mobile, rechargement/refroidissement et annulation avant tir.</x:v>
      </x:c>
      <x:c r="O20" s="7" t="str"/>
      <x:c r="P20" s="7" t="str">
        <x:v>Phalanx</x:v>
      </x:c>
      <x:c r="Q20" s="7" t="str">
        <x:v>MEA-SRC-WEAPONS</x:v>
      </x:c>
      <x:c r="R20" s="7" t="str">
        <x:v>https://masseffect.fandom.com/wiki/Weapons_%28Mass_Effect%3A_Andromeda%29</x:v>
      </x:c>
      <x:c r="S2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1" ht="68" customHeight="1">
      <x:c r="A21" s="18" t="str">
        <x:v>MEA-WPN-EAGLE</x:v>
      </x:c>
      <x:c r="B21" s="9" t="str">
        <x:v>Eagle</x:v>
      </x:c>
      <x:c r="C21" s="15" t="str">
        <x:v>Prototype</x:v>
      </x:c>
      <x:c r="D21" s="16" t="str">
        <x:v>Établi</x:v>
      </x:c>
      <x:c r="E21" s="16" t="str">
        <x:v>P1</x:v>
      </x:c>
      <x:c r="F21" s="9" t="str">
        <x:v>Pistolet automatique.</x:v>
      </x:c>
      <x:c r="G21" s="9" t="str">
        <x:v>Courte rafale à cadence élevée ; consommation par projectile sans doubler un proc de pouvoir.</x:v>
      </x:c>
      <x:c r="H21" s="9" t="str">
        <x:v>Courte rafale à cadence élevée ; consommation par projectile sans doubler un proc de pouvoir.</x:v>
      </x:c>
      <x:c r="I21" s="9" t="str">
        <x:v>Pistolet N7.</x:v>
      </x:c>
      <x:c r="J21" s="9" t="str">
        <x:v>Pose de visée adaptée à cette carcasse, départ de tir ou frappe, recul/contact puis reprise ; point d’origine lié à la main et non au centre du sprite.</x:v>
      </x:c>
      <x:c r="K21" s="9" t="str">
        <x:v>Créer signature originale du mécanisme et de son impact ; mix séparant arme du joueur et armes adverses de même famille.</x:v>
      </x:c>
      <x:c r="L21" s="9" t="str">
        <x:v>Prototype Chroniques : src/universe-equipment.js, src/chronicles.js, src/combat.js. Identifiant runtime MEA-WPN-EAGLE ; contexte d’œuvre/segment et sélection de scène obligatoires.</x:v>
      </x:c>
      <x:c r="M21" s="9" t="str">
        <x:v>Solo ; les valeurs, versions de rang et adaptations multijoueurs sont des données séparées.</x:v>
      </x:c>
      <x:c r="N21" s="9" t="str">
        <x:v>Eagle : aperçu de portée, coût et ressource correspond à la résolution ; vérifier obstacle, cible mobile, rechargement/refroidissement et annulation avant tir.</x:v>
      </x:c>
      <x:c r="O21" s="9" t="str"/>
      <x:c r="P21" s="9" t="str">
        <x:v>Eagle</x:v>
      </x:c>
      <x:c r="Q21" s="9" t="str">
        <x:v>MEA-SRC-WEAPONS</x:v>
      </x:c>
      <x:c r="R21" s="9" t="str">
        <x:v>https://masseffect.fandom.com/wiki/Weapons_%28Mass_Effect%3A_Andromeda%29</x:v>
      </x:c>
      <x:c r="S2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2" ht="68" customHeight="1">
      <x:c r="A22" s="19" t="str">
        <x:v>MEA-WPN-EQUALIZER</x:v>
      </x:c>
      <x:c r="B22" s="7" t="str">
        <x:v>Equalizer</x:v>
      </x:c>
      <x:c r="C22" s="15" t="str">
        <x:v>Défini</x:v>
      </x:c>
      <x:c r="D22" s="17" t="str">
        <x:v>Établi</x:v>
      </x:c>
      <x:c r="E22" s="17" t="str">
        <x:v>P1</x:v>
      </x:c>
      <x:c r="F22" s="7" t="str">
        <x:v>Pistolet reliquat.</x:v>
      </x:c>
      <x:c r="G22" s="7" t="str">
        <x:v>Débit énergétique de proximité et chaleur ; éviter mélange avec courbe de refroidissement du Sweeper.</x:v>
      </x:c>
      <x:c r="H22" s="7" t="str">
        <x:v>Débit énergétique de proximité et chaleur ; éviter mélange avec courbe de refroidissement du Sweeper.</x:v>
      </x:c>
      <x:c r="I22" s="7" t="str">
        <x:v>Arme noire et lumineux turquoise.</x:v>
      </x:c>
      <x:c r="J22" s="7" t="str">
        <x:v>Pose de visée adaptée à cette carcasse, départ de tir ou frappe, recul/contact puis reprise ; point d’origine lié à la main et non au centre du sprite.</x:v>
      </x:c>
      <x:c r="K22" s="7" t="str">
        <x:v>Créer signature originale du mécanisme et de son impact ; mix séparant arme du joueur et armes adverses de même famille.</x:v>
      </x:c>
      <x:c r="L22" s="7" t="str">
        <x:v>Prévu : fiche de données mea/weapons/equalizer ; rattacher les ressources et états cités à cet identifiant. Aucun fichier de jeu créé par ce catalogue.</x:v>
      </x:c>
      <x:c r="M22" s="7" t="str">
        <x:v>Solo ; les valeurs, versions de rang et adaptations multijoueurs sont des données séparées.</x:v>
      </x:c>
      <x:c r="N22" s="7" t="str">
        <x:v>Equalizer : aperçu de portée, coût et ressource correspond à la résolution ; vérifier obstacle, cible mobile, rechargement/refroidissement et annulation avant tir.</x:v>
      </x:c>
      <x:c r="O22" s="7" t="str"/>
      <x:c r="P22" s="7" t="str">
        <x:v>Equalizer</x:v>
      </x:c>
      <x:c r="Q22" s="7" t="str">
        <x:v>MEA-SRC-WEAPONS</x:v>
      </x:c>
      <x:c r="R22" s="7" t="str">
        <x:v>https://masseffect.fandom.com/wiki/Weapons_%28Mass_Effect%3A_Andromeda%29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MEA-WPN-CHARGER</x:v>
      </x:c>
      <x:c r="B23" s="9" t="str">
        <x:v>Charger</x:v>
      </x:c>
      <x:c r="C23" s="15" t="str">
        <x:v>Prototype</x:v>
      </x:c>
      <x:c r="D23" s="16" t="str">
        <x:v>Établi</x:v>
      </x:c>
      <x:c r="E23" s="16" t="str">
        <x:v>P1</x:v>
      </x:c>
      <x:c r="F23" s="9" t="str">
        <x:v>Pistolet automatique.</x:v>
      </x:c>
      <x:c r="G23" s="9" t="str">
        <x:v>Suppression légère avec dérive progressive ; cadence originale du fan game réglable.</x:v>
      </x:c>
      <x:c r="H23" s="9" t="str">
        <x:v>Suppression légère avec dérive progressive ; cadence originale du fan game réglable.</x:v>
      </x:c>
      <x:c r="I23" s="9" t="str">
        <x:v>Arme compacte à chargeur.</x:v>
      </x:c>
      <x:c r="J23" s="9" t="str">
        <x:v>Pose de visée adaptée à cette carcasse, départ de tir ou frappe, recul/contact puis reprise ; point d’origine lié à la main et non au centre du sprite.</x:v>
      </x:c>
      <x:c r="K23" s="9" t="str">
        <x:v>Créer signature originale du mécanisme et de son impact ; mix séparant arme du joueur et armes adverses de même famille.</x:v>
      </x:c>
      <x:c r="L23" s="9" t="str">
        <x:v>Prototype Chroniques : src/universe-equipment.js, src/chronicles.js, src/combat.js. Identifiant runtime MEA-WPN-CHARGER ; contexte d’œuvre/segment et sélection de scène obligatoires.</x:v>
      </x:c>
      <x:c r="M23" s="9" t="str">
        <x:v>Solo ; les valeurs, versions de rang et adaptations multijoueurs sont des données séparées.</x:v>
      </x:c>
      <x:c r="N23" s="9" t="str">
        <x:v>Charger : aperçu de portée, coût et ressource correspond à la résolution ; vérifier obstacle, cible mobile, rechargement/refroidissement et annulation avant tir.</x:v>
      </x:c>
      <x:c r="O23" s="9" t="str"/>
      <x:c r="P23" s="9" t="str">
        <x:v>Charger</x:v>
      </x:c>
      <x:c r="Q23" s="9" t="str">
        <x:v>MEA-SRC-WEAPONS</x:v>
      </x:c>
      <x:c r="R23" s="9" t="str">
        <x:v>https://masseffect.fandom.com/wiki/Weapons_%28Mass_Effect%3A_Andromeda%29</x:v>
      </x:c>
      <x:c r="S2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4" ht="68" customHeight="1">
      <x:c r="A24" s="19" t="str">
        <x:v>MEA-WPN-HORNET</x:v>
      </x:c>
      <x:c r="B24" s="7" t="str">
        <x:v>Hornet</x:v>
      </x:c>
      <x:c r="C24" s="15" t="str">
        <x:v>Prototype</x:v>
      </x:c>
      <x:c r="D24" s="17" t="str">
        <x:v>Établi</x:v>
      </x:c>
      <x:c r="E24" s="17" t="str">
        <x:v>P1</x:v>
      </x:c>
      <x:c r="F24" s="7" t="str">
        <x:v>Arme automatique classée pistolet.</x:v>
      </x:c>
      <x:c r="G24" s="7" t="str">
        <x:v>Salve courte à reprise ; afficher catégorie de MEA au lieu d’importer un slot SMG séparé de la trilogie.</x:v>
      </x:c>
      <x:c r="H24" s="7" t="str">
        <x:v>Salve courte à reprise ; afficher catégorie de MEA au lieu d’importer un slot SMG séparé de la trilogie.</x:v>
      </x:c>
      <x:c r="I24" s="7" t="str">
        <x:v>Petit boîtier militaire.</x:v>
      </x:c>
      <x:c r="J24" s="7" t="str">
        <x:v>Pose de visée adaptée à cette carcasse, départ de tir ou frappe, recul/contact puis reprise ; point d’origine lié à la main et non au centre du sprite.</x:v>
      </x:c>
      <x:c r="K24" s="7" t="str">
        <x:v>Créer signature originale du mécanisme et de son impact ; mix séparant arme du joueur et armes adverses de même famille.</x:v>
      </x:c>
      <x:c r="L24" s="7" t="str">
        <x:v>Prototype Chroniques : src/universe-equipment.js, src/chronicles.js, src/combat.js. Identifiant runtime MEA-WPN-HORNET ; contexte d’œuvre/segment et sélection de scène obligatoires.</x:v>
      </x:c>
      <x:c r="M24" s="7" t="str">
        <x:v>Solo ; les valeurs, versions de rang et adaptations multijoueurs sont des données séparées.</x:v>
      </x:c>
      <x:c r="N24" s="7" t="str">
        <x:v>Hornet : aperçu de portée, coût et ressource correspond à la résolution ; vérifier obstacle, cible mobile, rechargement/refroidissement et annulation avant tir.</x:v>
      </x:c>
      <x:c r="O24" s="7" t="str"/>
      <x:c r="P24" s="7" t="str">
        <x:v>Hornet</x:v>
      </x:c>
      <x:c r="Q24" s="7" t="str">
        <x:v>MEA-SRC-WEAPONS</x:v>
      </x:c>
      <x:c r="R24" s="7" t="str">
        <x:v>https://masseffect.fandom.com/wiki/Weapons_%28Mass_Effect%3A_Andromeda%29</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96" customHeight="1">
      <x:c r="A25" s="18" t="str">
        <x:v>MEA-WPN-SCORPION</x:v>
      </x:c>
      <x:c r="B25" s="9" t="str">
        <x:v>Scorpion</x:v>
      </x:c>
      <x:c r="C25" s="15" t="str">
        <x:v>Prototype</x:v>
      </x:c>
      <x:c r="D25" s="16" t="str">
        <x:v>Établi</x:v>
      </x:c>
      <x:c r="E25" s="16" t="str">
        <x:v>P1</x:v>
      </x:c>
      <x:c r="F25" s="9" t="str">
        <x:v>Pistolet explosif.</x:v>
      </x:c>
      <x:c r="G25" s="9" t="str">
        <x:v>Charge adhésive et détonation retardée ; zone suit le porteur jusqu’à explosion selon règle affichée.</x:v>
      </x:c>
      <x:c r="H25" s="9" t="str">
        <x:v>Charge adhésive et détonation retardée ; zone suit le porteur jusqu’à explosion selon règle affichée.</x:v>
      </x:c>
      <x:c r="I25" s="9" t="str">
        <x:v>Projectile collant lumineux.</x:v>
      </x:c>
      <x:c r="J25" s="9" t="str">
        <x:v>Pose de visée adaptée à cette carcasse, départ de tir ou frappe, recul/contact puis reprise ; point d’origine lié à la main et non au centre du sprite.</x:v>
      </x:c>
      <x:c r="K25" s="9" t="str">
        <x:v>Créer signature originale du mécanisme et de son impact ; mix séparant arme du joueur et armes adverses de même famille.</x:v>
      </x:c>
      <x:c r="L25" s="9" t="str">
        <x:v>Prototype partiel MEA-WPN-SCORPION dans src/universe-weapon-profiles.js, src/universe-equipment.js et src/combat.js : explosion différée sur le groupe ATB. Sélection et restauration contrôlées dans l’atelier de cette œuvre ; aucune acquisition ni mission originale reconstituée.</x:v>
      </x:c>
      <x:c r="M25" s="9" t="str">
        <x:v>Solo ; les valeurs, versions de rang et adaptations multijoueurs sont des données séparées.</x:v>
      </x:c>
      <x:c r="N25" s="9" t="str">
        <x:v>Scorpion : aperçu de portée, coût et ressource correspond à la résolution ; vérifier obstacle, cible mobile, rechargement/refroidissement et annulation avant tir.</x:v>
      </x:c>
      <x:c r="O25" s="9" t="str"/>
      <x:c r="P25" s="9" t="str">
        <x:v>Scorpion</x:v>
      </x:c>
      <x:c r="Q25" s="9" t="str">
        <x:v>MEA-SRC-WEAPONS</x:v>
      </x:c>
      <x:c r="R25" s="9" t="str">
        <x:v>https://masseffect.fandom.com/wiki/Weapons_%28Mass_Effect%3A_Andromeda%29</x:v>
      </x:c>
      <x:c r="S25" s="9"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26" ht="68" customHeight="1">
      <x:c r="A26" s="19" t="str">
        <x:v>MEA-WPN-SIDEWINDER</x:v>
      </x:c>
      <x:c r="B26" s="7" t="str">
        <x:v>Sidewinder</x:v>
      </x:c>
      <x:c r="C26" s="15" t="str">
        <x:v>Prototype</x:v>
      </x:c>
      <x:c r="D26" s="17" t="str">
        <x:v>Établi</x:v>
      </x:c>
      <x:c r="E26" s="17" t="str">
        <x:v>P1</x:v>
      </x:c>
      <x:c r="F26" s="7" t="str">
        <x:v>Pistolet de type revolver.</x:v>
      </x:c>
      <x:c r="G26" s="7" t="str">
        <x:v>Tirs mesurés et recharge exposée ; silhouette de barillet préservée aux rotations.</x:v>
      </x:c>
      <x:c r="H26" s="7" t="str">
        <x:v>Tirs mesurés et recharge exposée ; silhouette de barillet préservée aux rotations.</x:v>
      </x:c>
      <x:c r="I26" s="7" t="str">
        <x:v>Revolver futuriste.</x:v>
      </x:c>
      <x:c r="J26" s="7" t="str">
        <x:v>Pose de visée adaptée à cette carcasse, départ de tir ou frappe, recul/contact puis reprise ; point d’origine lié à la main et non au centre du sprite.</x:v>
      </x:c>
      <x:c r="K26" s="7" t="str">
        <x:v>Créer signature originale du mécanisme et de son impact ; mix séparant arme du joueur et armes adverses de même famille.</x:v>
      </x:c>
      <x:c r="L26" s="7" t="str">
        <x:v>Prototype Chroniques : src/universe-equipment.js, src/chronicles.js, src/combat.js. Identifiant runtime MEA-WPN-SIDEWINDER ; contexte d’œuvre/segment et sélection de scène obligatoires.</x:v>
      </x:c>
      <x:c r="M26" s="7" t="str">
        <x:v>Solo ; les valeurs, versions de rang et adaptations multijoueurs sont des données séparées.</x:v>
      </x:c>
      <x:c r="N26" s="7" t="str">
        <x:v>Sidewinder : aperçu de portée, coût et ressource correspond à la résolution ; vérifier obstacle, cible mobile, rechargement/refroidissement et annulation avant tir.</x:v>
      </x:c>
      <x:c r="O26" s="7" t="str"/>
      <x:c r="P26" s="7" t="str">
        <x:v>Sidewinder</x:v>
      </x:c>
      <x:c r="Q26" s="7" t="str">
        <x:v>MEA-SRC-WEAPONS</x:v>
      </x:c>
      <x:c r="R26" s="7" t="str">
        <x:v>https://masseffect.fandom.com/wiki/Weapons_%28Mass_Effect%3A_Andromeda%29</x:v>
      </x:c>
      <x:c r="S2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7" ht="68" customHeight="1">
      <x:c r="A27" s="18" t="str">
        <x:v>MEA-WPN-TALON</x:v>
      </x:c>
      <x:c r="B27" s="9" t="str">
        <x:v>Talon</x:v>
      </x:c>
      <x:c r="C27" s="15" t="str">
        <x:v>Prototype</x:v>
      </x:c>
      <x:c r="D27" s="16" t="str">
        <x:v>Établi</x:v>
      </x:c>
      <x:c r="E27" s="16" t="str">
        <x:v>P1</x:v>
      </x:c>
      <x:c r="F27" s="9" t="str">
        <x:v>Pistolet à dispersion.</x:v>
      </x:c>
      <x:c r="G27" s="9" t="str">
        <x:v>Cône de proximité avec aperçu des cibles touchées ; pas de précision garantie à distance.</x:v>
      </x:c>
      <x:c r="H27" s="9" t="str">
        <x:v>Cône de proximité avec aperçu des cibles touchées ; pas de précision garantie à distance.</x:v>
      </x:c>
      <x:c r="I27" s="9" t="str">
        <x:v>Gros canon court.</x:v>
      </x:c>
      <x:c r="J27" s="9" t="str">
        <x:v>Pose de visée adaptée à cette carcasse, départ de tir ou frappe, recul/contact puis reprise ; point d’origine lié à la main et non au centre du sprite.</x:v>
      </x:c>
      <x:c r="K27" s="9" t="str">
        <x:v>Créer signature originale du mécanisme et de son impact ; mix séparant arme du joueur et armes adverses de même famille.</x:v>
      </x:c>
      <x:c r="L27" s="9" t="str">
        <x:v>Prototype Chroniques : src/universe-equipment.js, src/chronicles.js, src/combat.js. Identifiant runtime MEA-WPN-TALON ; contexte d’œuvre/segment et sélection de scène obligatoires.</x:v>
      </x:c>
      <x:c r="M27" s="9" t="str">
        <x:v>Solo ; les valeurs, versions de rang et adaptations multijoueurs sont des données séparées.</x:v>
      </x:c>
      <x:c r="N27" s="9" t="str">
        <x:v>Talon : aperçu de portée, coût et ressource correspond à la résolution ; vérifier obstacle, cible mobile, rechargement/refroidissement et annulation avant tir.</x:v>
      </x:c>
      <x:c r="O27" s="9" t="str"/>
      <x:c r="P27" s="9" t="str">
        <x:v>Talon</x:v>
      </x:c>
      <x:c r="Q27" s="9" t="str">
        <x:v>MEA-SRC-WEAPONS</x:v>
      </x:c>
      <x:c r="R27" s="9" t="str">
        <x:v>https://masseffect.fandom.com/wiki/Weapons_%28Mass_Effect%3A_Andromeda%29</x:v>
      </x:c>
      <x:c r="S2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8" ht="68" customHeight="1">
      <x:c r="A28" s="19" t="str">
        <x:v>MEA-WPN-KATANA</x:v>
      </x:c>
      <x:c r="B28" s="7" t="str">
        <x:v>Katana</x:v>
      </x:c>
      <x:c r="C28" s="15" t="str">
        <x:v>Prototype</x:v>
      </x:c>
      <x:c r="D28" s="17" t="str">
        <x:v>Établi</x:v>
      </x:c>
      <x:c r="E28" s="17" t="str">
        <x:v>P1</x:v>
      </x:c>
      <x:c r="F28" s="7" t="str">
        <x:v>Fusil à pompe.</x:v>
      </x:c>
      <x:c r="G28" s="7" t="str">
        <x:v>Cône court de référence ; largeur affichée au sol avant commande.</x:v>
      </x:c>
      <x:c r="H28" s="7" t="str">
        <x:v>Cône court de référence ; largeur affichée au sol avant commande.</x:v>
      </x:c>
      <x:c r="I28" s="7" t="str">
        <x:v>Fusil militaire classique.</x:v>
      </x:c>
      <x:c r="J28" s="7" t="str">
        <x:v>Pose de visée adaptée à cette carcasse, départ de tir ou frappe, recul/contact puis reprise ; point d’origine lié à la main et non au centre du sprite.</x:v>
      </x:c>
      <x:c r="K28" s="7" t="str">
        <x:v>Créer signature originale du mécanisme et de son impact ; mix séparant arme du joueur et armes adverses de même famille.</x:v>
      </x:c>
      <x:c r="L28" s="7" t="str">
        <x:v>Prototype Chroniques : src/universe-equipment.js, src/chronicles.js, src/combat.js. Identifiant runtime MEA-WPN-KATANA ; contexte d’œuvre/segment et sélection de scène obligatoires.</x:v>
      </x:c>
      <x:c r="M28" s="7" t="str">
        <x:v>Solo ; les valeurs, versions de rang et adaptations multijoueurs sont des données séparées.</x:v>
      </x:c>
      <x:c r="N28" s="7" t="str">
        <x:v>Katana : aperçu de portée, coût et ressource correspond à la résolution ; vérifier obstacle, cible mobile, rechargement/refroidissement et annulation avant tir.</x:v>
      </x:c>
      <x:c r="O28" s="7" t="str"/>
      <x:c r="P28" s="7" t="str">
        <x:v>Katana</x:v>
      </x:c>
      <x:c r="Q28" s="7" t="str">
        <x:v>MEA-SRC-WEAPONS</x:v>
      </x:c>
      <x:c r="R28" s="7" t="str">
        <x:v>https://masseffect.fandom.com/wiki/Weapons_%28Mass_Effect%3A_Andromeda%29</x:v>
      </x:c>
      <x:c r="S2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9" ht="68" customHeight="1">
      <x:c r="A29" s="18" t="str">
        <x:v>MEA-WPN-RUZAD</x:v>
      </x:c>
      <x:c r="B29" s="9" t="str">
        <x:v>Ruzad</x:v>
      </x:c>
      <x:c r="C29" s="15" t="str">
        <x:v>Prototype</x:v>
      </x:c>
      <x:c r="D29" s="16" t="str">
        <x:v>Établi</x:v>
      </x:c>
      <x:c r="E29" s="16" t="str">
        <x:v>P1</x:v>
      </x:c>
      <x:c r="F29" s="9" t="str">
        <x:v>Fusil krogan.</x:v>
      </x:c>
      <x:c r="G29" s="9" t="str">
        <x:v>Grosse impulsion à courte portée et préparation lourde ; armement de Drack cité sans rendre son inventaire éditable.</x:v>
      </x:c>
      <x:c r="H29" s="9" t="str">
        <x:v>Grosse impulsion à courte portée et préparation lourde ; armement de Drack cité sans rendre son inventaire éditable.</x:v>
      </x:c>
      <x:c r="I29" s="9" t="str">
        <x:v>Carcasse krogan massive.</x:v>
      </x:c>
      <x:c r="J29" s="9" t="str">
        <x:v>Pose de visée adaptée à cette carcasse, départ de tir ou frappe, recul/contact puis reprise ; point d’origine lié à la main et non au centre du sprite.</x:v>
      </x:c>
      <x:c r="K29" s="9" t="str">
        <x:v>Créer signature originale du mécanisme et de son impact ; mix séparant arme du joueur et armes adverses de même famille.</x:v>
      </x:c>
      <x:c r="L29" s="9" t="str">
        <x:v>Prototype Chroniques : src/universe-equipment.js, src/chronicles.js, src/combat.js. Identifiant runtime MEA-WPN-RUZAD ; contexte d’œuvre/segment et sélection de scène obligatoires.</x:v>
      </x:c>
      <x:c r="M29" s="9" t="str">
        <x:v>Solo ; les valeurs, versions de rang et adaptations multijoueurs sont des données séparées.</x:v>
      </x:c>
      <x:c r="N29" s="9" t="str">
        <x:v>Ruzad : aperçu de portée, coût et ressource correspond à la résolution ; vérifier obstacle, cible mobile, rechargement/refroidissement et annulation avant tir.</x:v>
      </x:c>
      <x:c r="O29" s="9" t="str"/>
      <x:c r="P29" s="9" t="str">
        <x:v>Ruzad</x:v>
      </x:c>
      <x:c r="Q29" s="9" t="str">
        <x:v>MEA-SRC-WEAPONS</x:v>
      </x:c>
      <x:c r="R29" s="9" t="str">
        <x:v>https://masseffect.fandom.com/wiki/Weapons_%28Mass_Effect%3A_Andromeda%29</x:v>
      </x:c>
      <x:c r="S2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0" ht="68" customHeight="1">
      <x:c r="A30" s="19" t="str">
        <x:v>MEA-WPN-HESH</x:v>
      </x:c>
      <x:c r="B30" s="7" t="str">
        <x:v>Hesh</x:v>
      </x:c>
      <x:c r="C30" s="15" t="str">
        <x:v>Défini</x:v>
      </x:c>
      <x:c r="D30" s="17" t="str">
        <x:v>Établi</x:v>
      </x:c>
      <x:c r="E30" s="17" t="str">
        <x:v>P1</x:v>
      </x:c>
      <x:c r="F30" s="7" t="str">
        <x:v>Fusil kett.</x:v>
      </x:c>
      <x:c r="G30" s="7" t="str">
        <x:v>Rafales de proximité proposées ; recul et angle de cible définissent les risques d’approche.</x:v>
      </x:c>
      <x:c r="H30" s="7" t="str">
        <x:v>Rafales de proximité proposées ; recul et angle de cible définissent les risques d’approche.</x:v>
      </x:c>
      <x:c r="I30" s="7" t="str">
        <x:v>Arme organique courte.</x:v>
      </x:c>
      <x:c r="J30" s="7" t="str">
        <x:v>Pose de visée adaptée à cette carcasse, départ de tir ou frappe, recul/contact puis reprise ; point d’origine lié à la main et non au centre du sprite.</x:v>
      </x:c>
      <x:c r="K30" s="7" t="str">
        <x:v>Créer signature originale du mécanisme et de son impact ; mix séparant arme du joueur et armes adverses de même famille.</x:v>
      </x:c>
      <x:c r="L30" s="7" t="str">
        <x:v>Prévu : fiche de données mea/weapons/hesh ; rattacher les ressources et états cités à cet identifiant. Aucun fichier de jeu créé par ce catalogue.</x:v>
      </x:c>
      <x:c r="M30" s="7" t="str">
        <x:v>Solo ; les valeurs, versions de rang et adaptations multijoueurs sont des données séparées.</x:v>
      </x:c>
      <x:c r="N30" s="7" t="str">
        <x:v>Hesh : aperçu de portée, coût et ressource correspond à la résolution ; vérifier obstacle, cible mobile, rechargement/refroidissement et annulation avant tir.</x:v>
      </x:c>
      <x:c r="O30" s="7" t="str"/>
      <x:c r="P30" s="7" t="str">
        <x:v>Hesh</x:v>
      </x:c>
      <x:c r="Q30" s="7" t="str">
        <x:v>MEA-SRC-WEAPONS</x:v>
      </x:c>
      <x:c r="R30" s="7" t="str">
        <x:v>https://masseffect.fandom.com/wiki/Weapons_%28Mass_Effect%3A_Andromeda%29</x:v>
      </x:c>
      <x:c r="S30" s="7" t="str">
        <x:v>Spécification à réaliser. Les champs adaptation, gameplay, visual, animation, audio et implementation décrivent le fan game ; ils ne donnent pas des caractéristiques officielles de l’œuvre.</x:v>
      </x:c>
    </x:row>
    <x:row r="31" ht="68" customHeight="1">
      <x:c r="A31" s="18" t="str">
        <x:v>MEA-WPN-DHAN</x:v>
      </x:c>
      <x:c r="B31" s="9" t="str">
        <x:v>Dhan</x:v>
      </x:c>
      <x:c r="C31" s="15" t="str">
        <x:v>Défini</x:v>
      </x:c>
      <x:c r="D31" s="16" t="str">
        <x:v>Établi</x:v>
      </x:c>
      <x:c r="E31" s="16" t="str">
        <x:v>P1</x:v>
      </x:c>
      <x:c r="F31" s="9" t="str">
        <x:v>Fusil angara.</x:v>
      </x:c>
      <x:c r="G31" s="9" t="str">
        <x:v>Salve dense à projectile visible ; effet d’étourdissement proposé dépend de résistance de cible.</x:v>
      </x:c>
      <x:c r="H31" s="9" t="str">
        <x:v>Salve dense à projectile visible ; effet d’étourdissement proposé dépend de résistance de cible.</x:v>
      </x:c>
      <x:c r="I31" s="9" t="str">
        <x:v>Forme angara et projectiles d’énergie.</x:v>
      </x:c>
      <x:c r="J31" s="9" t="str">
        <x:v>Pose de visée adaptée à cette carcasse, départ de tir ou frappe, recul/contact puis reprise ; point d’origine lié à la main et non au centre du sprite.</x:v>
      </x:c>
      <x:c r="K31" s="9" t="str">
        <x:v>Créer signature originale du mécanisme et de son impact ; mix séparant arme du joueur et armes adverses de même famille.</x:v>
      </x:c>
      <x:c r="L31" s="9" t="str">
        <x:v>Prévu : fiche de données mea/weapons/dhan ; rattacher les ressources et états cités à cet identifiant. Aucun fichier de jeu créé par ce catalogue.</x:v>
      </x:c>
      <x:c r="M31" s="9" t="str">
        <x:v>Solo ; les valeurs, versions de rang et adaptations multijoueurs sont des données séparées.</x:v>
      </x:c>
      <x:c r="N31" s="9" t="str">
        <x:v>Dhan : aperçu de portée, coût et ressource correspond à la résolution ; vérifier obstacle, cible mobile, rechargement/refroidissement et annulation avant tir.</x:v>
      </x:c>
      <x:c r="O31" s="9" t="str"/>
      <x:c r="P31" s="9" t="str">
        <x:v>Dhan</x:v>
      </x:c>
      <x:c r="Q31" s="9" t="str">
        <x:v>MEA-SRC-WEAPONS</x:v>
      </x:c>
      <x:c r="R31" s="9" t="str">
        <x:v>https://masseffect.fandom.com/wiki/Weapons_%28Mass_Effect%3A_Andromeda%29</x:v>
      </x:c>
      <x:c r="S31" s="9" t="str">
        <x:v>Spécification à réaliser. Les champs adaptation, gameplay, visual, animation, audio et implementation décrivent le fan game ; ils ne donnent pas des caractéristiques officielles de l’œuvre.</x:v>
      </x:c>
    </x:row>
    <x:row r="32" ht="68" customHeight="1">
      <x:c r="A32" s="19" t="str">
        <x:v>MEA-WPN-DISCIPLE</x:v>
      </x:c>
      <x:c r="B32" s="7" t="str">
        <x:v>Disciple</x:v>
      </x:c>
      <x:c r="C32" s="15" t="str">
        <x:v>Prototype</x:v>
      </x:c>
      <x:c r="D32" s="17" t="str">
        <x:v>Établi</x:v>
      </x:c>
      <x:c r="E32" s="17" t="str">
        <x:v>P1</x:v>
      </x:c>
      <x:c r="F32" s="7" t="str">
        <x:v>Fusil asari.</x:v>
      </x:c>
      <x:c r="G32" s="7" t="str">
        <x:v>Arme légère de contrôle proposée ; déplacement puis tir s’enchaînent avec coût transparent.</x:v>
      </x:c>
      <x:c r="H32" s="7" t="str">
        <x:v>Arme légère de contrôle proposée ; déplacement puis tir s’enchaînent avec coût transparent.</x:v>
      </x:c>
      <x:c r="I32" s="7" t="str">
        <x:v>Courbes asari.</x:v>
      </x:c>
      <x:c r="J32" s="7" t="str">
        <x:v>Pose de visée adaptée à cette carcasse, départ de tir ou frappe, recul/contact puis reprise ; point d’origine lié à la main et non au centre du sprite.</x:v>
      </x:c>
      <x:c r="K32" s="7" t="str">
        <x:v>Créer signature originale du mécanisme et de son impact ; mix séparant arme du joueur et armes adverses de même famille.</x:v>
      </x:c>
      <x:c r="L32" s="7" t="str">
        <x:v>Prototype Chroniques : src/universe-equipment.js, src/chronicles.js, src/combat.js. Identifiant runtime MEA-WPN-DISCIPLE ; contexte d’œuvre/segment et sélection de scène obligatoires.</x:v>
      </x:c>
      <x:c r="M32" s="7" t="str">
        <x:v>Solo ; les valeurs, versions de rang et adaptations multijoueurs sont des données séparées.</x:v>
      </x:c>
      <x:c r="N32" s="7" t="str">
        <x:v>Disciple : aperçu de portée, coût et ressource correspond à la résolution ; vérifier obstacle, cible mobile, rechargement/refroidissement et annulation avant tir.</x:v>
      </x:c>
      <x:c r="O32" s="7" t="str"/>
      <x:c r="P32" s="7" t="str">
        <x:v>Disciple</x:v>
      </x:c>
      <x:c r="Q32" s="7" t="str">
        <x:v>MEA-SRC-WEAPONS</x:v>
      </x:c>
      <x:c r="R32" s="7" t="str">
        <x:v>https://masseffect.fandom.com/wiki/Weapons_%28Mass_Effect%3A_Andromeda%29</x:v>
      </x:c>
      <x:c r="S3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3" ht="110" customHeight="1">
      <x:c r="A33" s="18" t="str">
        <x:v>MEA-WPN-REEGAR</x:v>
      </x:c>
      <x:c r="B33" s="9" t="str">
        <x:v>Reegar Carbine</x:v>
      </x:c>
      <x:c r="C33" s="15" t="str">
        <x:v>Prototype</x:v>
      </x:c>
      <x:c r="D33" s="16" t="str">
        <x:v>Établi</x:v>
      </x:c>
      <x:c r="E33" s="16" t="str">
        <x:v>P1</x:v>
      </x:c>
      <x:c r="F33" s="9" t="str">
        <x:v>Fusil électrique.</x:v>
      </x:c>
      <x:c r="G33" s="9" t="str">
        <x:v>Jet court continu, ressource consommée pendant canalisation ; arc visuel ne peut traverser mur opaque.</x:v>
      </x:c>
      <x:c r="H33" s="9" t="str">
        <x:v>Jet court continu, ressource consommée pendant canalisation ; arc visuel ne peut traverser mur opaque.</x:v>
      </x:c>
      <x:c r="I33" s="9" t="str">
        <x:v>Électricité et petit canon.</x:v>
      </x:c>
      <x:c r="J33" s="9" t="str">
        <x:v>Pose de visée adaptée à cette carcasse, départ de tir ou frappe, recul/contact puis reprise ; point d’origine lié à la main et non au centre du sprite.</x:v>
      </x:c>
      <x:c r="K33" s="9" t="str">
        <x:v>Créer signature originale du mécanisme et de son impact ; mix séparant arme du joueur et armes adverses de même famille.</x:v>
      </x:c>
      <x:c r="L33" s="9" t="str">
        <x:v>Prototype partiel MEA-WPN-REEGAR dans src/universe-weapon-profiles.js, src/universe-equipment.js et src/combat.js : jet canalisé consommant les munitions par impulsion. Sélection et restauration contrôlées dans l’atelier de cette œuvre ; aucune acquisition ni mission originale reconstituée.</x:v>
      </x:c>
      <x:c r="M33" s="9" t="str">
        <x:v>Solo ; les valeurs, versions de rang et adaptations multijoueurs sont des données séparées.</x:v>
      </x:c>
      <x:c r="N33" s="9" t="str">
        <x:v>Reegar Carbine : aperçu de portée, coût et ressource correspond à la résolution ; vérifier obstacle, cible mobile, rechargement/refroidissement et annulation avant tir.</x:v>
      </x:c>
      <x:c r="O33" s="9" t="str"/>
      <x:c r="P33" s="9" t="str">
        <x:v>Reegar Carbine</x:v>
      </x:c>
      <x:c r="Q33" s="9" t="str">
        <x:v>MEA-SRC-WEAPONS</x:v>
      </x:c>
      <x:c r="R33" s="9" t="str">
        <x:v>https://masseffect.fandom.com/wiki/Weapons_%28Mass_Effect%3A_Andromeda%29</x:v>
      </x:c>
      <x:c r="S33" s="9"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34" ht="68" customHeight="1">
      <x:c r="A34" s="19" t="str">
        <x:v>MEA-WPN-SCATTERSHOT</x:v>
      </x:c>
      <x:c r="B34" s="7" t="str">
        <x:v>Scattershot</x:v>
      </x:c>
      <x:c r="C34" s="15" t="str">
        <x:v>Défini</x:v>
      </x:c>
      <x:c r="D34" s="17" t="str">
        <x:v>Établi</x:v>
      </x:c>
      <x:c r="E34" s="17" t="str">
        <x:v>P1</x:v>
      </x:c>
      <x:c r="F34" s="7" t="str">
        <x:v>Fusil reliquat.</x:v>
      </x:c>
      <x:c r="G34" s="7" t="str">
        <x:v>Salve d’énergie et chaleur ; cône de dispersion lisible malgré multitude de projectiles.</x:v>
      </x:c>
      <x:c r="H34" s="7" t="str">
        <x:v>Salve d’énergie et chaleur ; cône de dispersion lisible malgré multitude de projectiles.</x:v>
      </x:c>
      <x:c r="I34" s="7" t="str">
        <x:v>Géométrie reliquate et lueurs.</x:v>
      </x:c>
      <x:c r="J34" s="7" t="str">
        <x:v>Pose de visée adaptée à cette carcasse, départ de tir ou frappe, recul/contact puis reprise ; point d’origine lié à la main et non au centre du sprite.</x:v>
      </x:c>
      <x:c r="K34" s="7" t="str">
        <x:v>Créer signature originale du mécanisme et de son impact ; mix séparant arme du joueur et armes adverses de même famille.</x:v>
      </x:c>
      <x:c r="L34" s="7" t="str">
        <x:v>Prévu : fiche de données mea/weapons/scattershot ; rattacher les ressources et états cités à cet identifiant. Aucun fichier de jeu créé par ce catalogue.</x:v>
      </x:c>
      <x:c r="M34" s="7" t="str">
        <x:v>Solo ; les valeurs, versions de rang et adaptations multijoueurs sont des données séparées.</x:v>
      </x:c>
      <x:c r="N34" s="7" t="str">
        <x:v>Scattershot : aperçu de portée, coût et ressource correspond à la résolution ; vérifier obstacle, cible mobile, rechargement/refroidissement et annulation avant tir.</x:v>
      </x:c>
      <x:c r="O34" s="7" t="str"/>
      <x:c r="P34" s="7" t="str">
        <x:v>Scattershot</x:v>
      </x:c>
      <x:c r="Q34" s="7" t="str">
        <x:v>MEA-SRC-WEAPONS</x:v>
      </x:c>
      <x:c r="R34" s="7" t="str">
        <x:v>https://masseffect.fandom.com/wiki/Weapons_%28Mass_Effect%3A_Andromeda%29</x:v>
      </x:c>
      <x:c r="S34" s="7" t="str">
        <x:v>Spécification à réaliser. Les champs adaptation, gameplay, visual, animation, audio et implementation décrivent le fan game ; ils ne donnent pas des caractéristiques officielles de l’œuvre.</x:v>
      </x:c>
    </x:row>
    <x:row r="35" ht="68" customHeight="1">
      <x:c r="A35" s="18" t="str">
        <x:v>MEA-WPN-PIRANHA</x:v>
      </x:c>
      <x:c r="B35" s="9" t="str">
        <x:v>N7 Piranha</x:v>
      </x:c>
      <x:c r="C35" s="15" t="str">
        <x:v>Prototype</x:v>
      </x:c>
      <x:c r="D35" s="16" t="str">
        <x:v>Établi</x:v>
      </x:c>
      <x:c r="E35" s="16" t="str">
        <x:v>P1</x:v>
      </x:c>
      <x:c r="F35" s="9" t="str">
        <x:v>Fusil à pompe.</x:v>
      </x:c>
      <x:c r="G35" s="9" t="str">
        <x:v>Rafale rapide de contact ; le porteur choisit durée d’engagement dans menu ATB proposé.</x:v>
      </x:c>
      <x:c r="H35" s="9" t="str">
        <x:v>Rafale rapide de contact ; le porteur choisit durée d’engagement dans menu ATB proposé.</x:v>
      </x:c>
      <x:c r="I35" s="9" t="str">
        <x:v>Arme N7 compacte.</x:v>
      </x:c>
      <x:c r="J35" s="9" t="str">
        <x:v>Pose de visée adaptée à cette carcasse, départ de tir ou frappe, recul/contact puis reprise ; point d’origine lié à la main et non au centre du sprite.</x:v>
      </x:c>
      <x:c r="K35" s="9" t="str">
        <x:v>Créer signature originale du mécanisme et de son impact ; mix séparant arme du joueur et armes adverses de même famille.</x:v>
      </x:c>
      <x:c r="L35" s="9" t="str">
        <x:v>Prototype Chroniques : src/universe-equipment.js, src/chronicles.js, src/combat.js. Identifiant runtime MEA-WPN-PIRANHA ; contexte d’œuvre/segment et sélection de scène obligatoires.</x:v>
      </x:c>
      <x:c r="M35" s="9" t="str">
        <x:v>Solo ; les valeurs, versions de rang et adaptations multijoueurs sont des données séparées.</x:v>
      </x:c>
      <x:c r="N35" s="9" t="str">
        <x:v>N7 Piranha : aperçu de portée, coût et ressource correspond à la résolution ; vérifier obstacle, cible mobile, rechargement/refroidissement et annulation avant tir.</x:v>
      </x:c>
      <x:c r="O35" s="9" t="str"/>
      <x:c r="P35" s="9" t="str">
        <x:v>N7 Piranha</x:v>
      </x:c>
      <x:c r="Q35" s="9" t="str">
        <x:v>MEA-SRC-WEAPONS</x:v>
      </x:c>
      <x:c r="R35" s="9" t="str">
        <x:v>https://masseffect.fandom.com/wiki/Weapons_%28Mass_Effect%3A_Andromeda%29</x:v>
      </x:c>
      <x:c r="S3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6" ht="68" customHeight="1">
      <x:c r="A36" s="19" t="str">
        <x:v>MEA-WPN-VENOM</x:v>
      </x:c>
      <x:c r="B36" s="7" t="str">
        <x:v>Venom</x:v>
      </x:c>
      <x:c r="C36" s="15" t="str">
        <x:v>Défini</x:v>
      </x:c>
      <x:c r="D36" s="17" t="str">
        <x:v>Établi</x:v>
      </x:c>
      <x:c r="E36" s="17" t="str">
        <x:v>P1</x:v>
      </x:c>
      <x:c r="F36" s="7" t="str">
        <x:v>Fusil à projectiles explosifs.</x:v>
      </x:c>
      <x:c r="G36" s="7" t="str">
        <x:v>Mode de charge proposé avec parabole ; avertir des surfaces qui changent rebond ou zone.</x:v>
      </x:c>
      <x:c r="H36" s="7" t="str">
        <x:v>Mode de charge proposé avec parabole ; avertir des surfaces qui changent rebond ou zone.</x:v>
      </x:c>
      <x:c r="I36" s="7" t="str">
        <x:v>Lanceur à canon large.</x:v>
      </x:c>
      <x:c r="J36" s="7" t="str">
        <x:v>Pose de visée adaptée à cette carcasse, départ de tir ou frappe, recul/contact puis reprise ; point d’origine lié à la main et non au centre du sprite.</x:v>
      </x:c>
      <x:c r="K36" s="7" t="str">
        <x:v>Créer signature originale du mécanisme et de son impact ; mix séparant arme du joueur et armes adverses de même famille.</x:v>
      </x:c>
      <x:c r="L36" s="7" t="str">
        <x:v>Prévu : fiche de données mea/weapons/venom ; rattacher les ressources et états cités à cet identifiant. Aucun fichier de jeu créé par ce catalogue.</x:v>
      </x:c>
      <x:c r="M36" s="7" t="str">
        <x:v>Solo ; les valeurs, versions de rang et adaptations multijoueurs sont des données séparées.</x:v>
      </x:c>
      <x:c r="N36" s="7" t="str">
        <x:v>Venom : aperçu de portée, coût et ressource correspond à la résolution ; vérifier obstacle, cible mobile, rechargement/refroidissement et annulation avant tir.</x:v>
      </x:c>
      <x:c r="O36" s="7" t="str"/>
      <x:c r="P36" s="7" t="str">
        <x:v>Venom</x:v>
      </x:c>
      <x:c r="Q36" s="7" t="str">
        <x:v>MEA-SRC-WEAPONS</x:v>
      </x:c>
      <x:c r="R36" s="7" t="str">
        <x:v>https://masseffect.fandom.com/wiki/Weapons_%28Mass_Effect%3A_Andromeda%29</x:v>
      </x:c>
      <x:c r="S36" s="7" t="str">
        <x:v>Spécification à réaliser. Les champs adaptation, gameplay, visual, animation, audio et implementation décrivent le fan game ; ils ne donnent pas des caractéristiques officielles de l’œuvre.</x:v>
      </x:c>
    </x:row>
    <x:row r="37" ht="68" customHeight="1">
      <x:c r="A37" s="18" t="str">
        <x:v>MEA-WPN-DEEP-IMPACT</x:v>
      </x:c>
      <x:c r="B37" s="9" t="str">
        <x:v>Pathfinder Deep Impact</x:v>
      </x:c>
      <x:c r="C37" s="15" t="str">
        <x:v>Défini</x:v>
      </x:c>
      <x:c r="D37" s="16" t="str">
        <x:v>Établi</x:v>
      </x:c>
      <x:c r="E37" s="16" t="str">
        <x:v>P1</x:v>
      </x:c>
      <x:c r="F37" s="9" t="str">
        <x:v>Arme du pack Pathfinder Elite.</x:v>
      </x:c>
      <x:c r="G37" s="9" t="str">
        <x:v>Profil d’impact court défini comme équipement additionnel ; aucune quête principale ne l’exige.</x:v>
      </x:c>
      <x:c r="H37" s="9" t="str">
        <x:v>Profil d’impact court défini comme équipement additionnel ; aucune quête principale ne l’exige.</x:v>
      </x:c>
      <x:c r="I37" s="9" t="str">
        <x:v>Fusil de Pionnier.</x:v>
      </x:c>
      <x:c r="J37" s="9" t="str">
        <x:v>Pose de visée adaptée à cette carcasse, départ de tir ou frappe, recul/contact puis reprise ; point d’origine lié à la main et non au centre du sprite.</x:v>
      </x:c>
      <x:c r="K37" s="9" t="str">
        <x:v>Créer signature originale du mécanisme et de son impact ; mix séparant arme du joueur et armes adverses de même famille.</x:v>
      </x:c>
      <x:c r="L37" s="9" t="str">
        <x:v>Prévu : fiche de données mea/weapons/deep-impact ; rattacher les ressources et états cités à cet identifiant. Aucun fichier de jeu créé par ce catalogue.</x:v>
      </x:c>
      <x:c r="M37" s="9" t="str">
        <x:v>Pack Pathfinder Elite / édition compatible ; vérifier la voie d’acquisition.</x:v>
      </x:c>
      <x:c r="N37" s="9" t="str">
        <x:v>Pathfinder Deep Impact : aperçu de portée, coût et ressource correspond à la résolution ; vérifier obstacle, cible mobile, rechargement/refroidissement et annulation avant tir.</x:v>
      </x:c>
      <x:c r="O37" s="9" t="str"/>
      <x:c r="P37" s="9" t="str">
        <x:v>Pathfinder Deep Impact</x:v>
      </x:c>
      <x:c r="Q37" s="9" t="str">
        <x:v>MEA-SRC-WEAPONS</x:v>
      </x:c>
      <x:c r="R37" s="9" t="str">
        <x:v>https://masseffect.fandom.com/wiki/Weapons_%28Mass_Effect%3A_Andromeda%29</x:v>
      </x:c>
      <x:c r="S37" s="9" t="str">
        <x:v>Spécification à réaliser. Les champs adaptation, gameplay, visual, animation, audio et implementation décrivent le fan game ; ils ne donnent pas des caractéristiques officielles de l’œuvre.</x:v>
      </x:c>
    </x:row>
    <x:row r="38" ht="68" customHeight="1">
      <x:c r="A38" s="19" t="str">
        <x:v>MEA-WPN-MANTIS</x:v>
      </x:c>
      <x:c r="B38" s="7" t="str">
        <x:v>Mantis</x:v>
      </x:c>
      <x:c r="C38" s="15" t="str">
        <x:v>Prototype</x:v>
      </x:c>
      <x:c r="D38" s="17" t="str">
        <x:v>Établi</x:v>
      </x:c>
      <x:c r="E38" s="17" t="str">
        <x:v>P1</x:v>
      </x:c>
      <x:c r="F38" s="7" t="str">
        <x:v>Fusil de précision.</x:v>
      </x:c>
      <x:c r="G38" s="7" t="str">
        <x:v>Tir préparé sur ligne dégagée ; maintenir visée coûte une action clairement bornée.</x:v>
      </x:c>
      <x:c r="H38" s="7" t="str">
        <x:v>Tir préparé sur ligne dégagée ; maintenir visée coûte une action clairement bornée.</x:v>
      </x:c>
      <x:c r="I38" s="7" t="str">
        <x:v>Long canon et lunette.</x:v>
      </x:c>
      <x:c r="J38" s="7" t="str">
        <x:v>Pose de visée adaptée à cette carcasse, départ de tir ou frappe, recul/contact puis reprise ; point d’origine lié à la main et non au centre du sprite.</x:v>
      </x:c>
      <x:c r="K38" s="7" t="str">
        <x:v>Créer signature originale du mécanisme et de son impact ; mix séparant arme du joueur et armes adverses de même famille.</x:v>
      </x:c>
      <x:c r="L38" s="7" t="str">
        <x:v>Prototype Chroniques : src/universe-equipment.js, src/chronicles.js, src/combat.js. Identifiant runtime MEA-WPN-MANTIS ; contexte d’œuvre/segment et sélection de scène obligatoires.</x:v>
      </x:c>
      <x:c r="M38" s="7" t="str">
        <x:v>Solo ; les valeurs, versions de rang et adaptations multijoueurs sont des données séparées.</x:v>
      </x:c>
      <x:c r="N38" s="7" t="str">
        <x:v>Mantis : aperçu de portée, coût et ressource correspond à la résolution ; vérifier obstacle, cible mobile, rechargement/refroidissement et annulation avant tir.</x:v>
      </x:c>
      <x:c r="O38" s="7" t="str"/>
      <x:c r="P38" s="7" t="str">
        <x:v>Mantis</x:v>
      </x:c>
      <x:c r="Q38" s="7" t="str">
        <x:v>MEA-SRC-WEAPONS</x:v>
      </x:c>
      <x:c r="R38" s="7" t="str">
        <x:v>https://masseffect.fandom.com/wiki/Weapons_%28Mass_Effect%3A_Andromeda%29</x:v>
      </x:c>
      <x:c r="S3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9" ht="68" customHeight="1">
      <x:c r="A39" s="18" t="str">
        <x:v>MEA-WPN-VIPER</x:v>
      </x:c>
      <x:c r="B39" s="9" t="str">
        <x:v>Viper</x:v>
      </x:c>
      <x:c r="C39" s="15" t="str">
        <x:v>Prototype</x:v>
      </x:c>
      <x:c r="D39" s="16" t="str">
        <x:v>Établi</x:v>
      </x:c>
      <x:c r="E39" s="16" t="str">
        <x:v>P1</x:v>
      </x:c>
      <x:c r="F39" s="9" t="str">
        <x:v>Fusil de précision.</x:v>
      </x:c>
      <x:c r="G39" s="9" t="str">
        <x:v>Suite de tirs avec retargeting après chaque impact ; conserver la lisibilité face à ennemis volants.</x:v>
      </x:c>
      <x:c r="H39" s="9" t="str">
        <x:v>Suite de tirs avec retargeting après chaque impact ; conserver la lisibilité face à ennemis volants.</x:v>
      </x:c>
      <x:c r="I39" s="9" t="str">
        <x:v>Arme fine semi-automatique.</x:v>
      </x:c>
      <x:c r="J39" s="9" t="str">
        <x:v>Pose de visée adaptée à cette carcasse, départ de tir ou frappe, recul/contact puis reprise ; point d’origine lié à la main et non au centre du sprite.</x:v>
      </x:c>
      <x:c r="K39" s="9" t="str">
        <x:v>Créer signature originale du mécanisme et de son impact ; mix séparant arme du joueur et armes adverses de même famille.</x:v>
      </x:c>
      <x:c r="L39" s="9" t="str">
        <x:v>Prototype Chroniques : src/universe-equipment.js, src/chronicles.js, src/combat.js. Identifiant runtime MEA-WPN-VIPER ; contexte d’œuvre/segment et sélection de scène obligatoires.</x:v>
      </x:c>
      <x:c r="M39" s="9" t="str">
        <x:v>Solo ; les valeurs, versions de rang et adaptations multijoueurs sont des données séparées.</x:v>
      </x:c>
      <x:c r="N39" s="9" t="str">
        <x:v>Viper : aperçu de portée, coût et ressource correspond à la résolution ; vérifier obstacle, cible mobile, rechargement/refroidissement et annulation avant tir.</x:v>
      </x:c>
      <x:c r="O39" s="9" t="str"/>
      <x:c r="P39" s="9" t="str">
        <x:v>Viper</x:v>
      </x:c>
      <x:c r="Q39" s="9" t="str">
        <x:v>MEA-SRC-WEAPONS</x:v>
      </x:c>
      <x:c r="R39" s="9" t="str">
        <x:v>https://masseffect.fandom.com/wiki/Weapons_%28Mass_Effect%3A_Andromeda%29</x:v>
      </x:c>
      <x:c r="S3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0" ht="68" customHeight="1">
      <x:c r="A40" s="19" t="str">
        <x:v>MEA-WPN-BLACK-WIDOW</x:v>
      </x:c>
      <x:c r="B40" s="7" t="str">
        <x:v>Black Widow</x:v>
      </x:c>
      <x:c r="C40" s="15" t="str">
        <x:v>Prototype</x:v>
      </x:c>
      <x:c r="D40" s="17" t="str">
        <x:v>Établi</x:v>
      </x:c>
      <x:c r="E40" s="17" t="str">
        <x:v>P1</x:v>
      </x:c>
      <x:c r="F40" s="7" t="str">
        <x:v>Fusil lourd de précision.</x:v>
      </x:c>
      <x:c r="G40" s="7" t="str">
        <x:v>Petite série puissante proposée ; pénétration limitée aux matériaux déclarés traversables.</x:v>
      </x:c>
      <x:c r="H40" s="7" t="str">
        <x:v>Petite série puissante proposée ; pénétration limitée aux matériaux déclarés traversables.</x:v>
      </x:c>
      <x:c r="I40" s="7" t="str">
        <x:v>Grand fusil sombre.</x:v>
      </x:c>
      <x:c r="J40" s="7" t="str">
        <x:v>Pose de visée adaptée à cette carcasse, départ de tir ou frappe, recul/contact puis reprise ; point d’origine lié à la main et non au centre du sprite.</x:v>
      </x:c>
      <x:c r="K40" s="7" t="str">
        <x:v>Créer signature originale du mécanisme et de son impact ; mix séparant arme du joueur et armes adverses de même famille.</x:v>
      </x:c>
      <x:c r="L40" s="7" t="str">
        <x:v>Prototype Chroniques : src/universe-equipment.js, src/chronicles.js, src/combat.js. Identifiant runtime MEA-WPN-BLACK-WIDOW ; contexte d’œuvre/segment et sélection de scène obligatoires.</x:v>
      </x:c>
      <x:c r="M40" s="7" t="str">
        <x:v>Solo ; les valeurs, versions de rang et adaptations multijoueurs sont des données séparées.</x:v>
      </x:c>
      <x:c r="N40" s="7" t="str">
        <x:v>Black Widow : aperçu de portée, coût et ressource correspond à la résolution ; vérifier obstacle, cible mobile, rechargement/refroidissement et annulation avant tir.</x:v>
      </x:c>
      <x:c r="O40" s="7" t="str"/>
      <x:c r="P40" s="7" t="str">
        <x:v>Black Widow</x:v>
      </x:c>
      <x:c r="Q40" s="7" t="str">
        <x:v>MEA-SRC-WEAPONS</x:v>
      </x:c>
      <x:c r="R40" s="7" t="str">
        <x:v>https://masseffect.fandom.com/wiki/Weapons_%28Mass_Effect%3A_Andromeda%29</x:v>
      </x:c>
      <x:c r="S4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1" ht="68" customHeight="1">
      <x:c r="A41" s="18" t="str">
        <x:v>MEA-WPN-INDRA</x:v>
      </x:c>
      <x:c r="B41" s="9" t="str">
        <x:v>Indra</x:v>
      </x:c>
      <x:c r="C41" s="15" t="str">
        <x:v>Prototype</x:v>
      </x:c>
      <x:c r="D41" s="16" t="str">
        <x:v>Établi</x:v>
      </x:c>
      <x:c r="E41" s="16" t="str">
        <x:v>P1</x:v>
      </x:c>
      <x:c r="F41" s="9" t="str">
        <x:v>Fusil automatique de précision.</x:v>
      </x:c>
      <x:c r="G41" s="9" t="str">
        <x:v>Canal court avec dispersion graduelle ; couvert ou attaque reçue perturbe la stabilité proposée.</x:v>
      </x:c>
      <x:c r="H41" s="9" t="str">
        <x:v>Canal court avec dispersion graduelle ; couvert ou attaque reçue perturbe la stabilité proposée.</x:v>
      </x:c>
      <x:c r="I41" s="9" t="str">
        <x:v>Fusil long automatique.</x:v>
      </x:c>
      <x:c r="J41" s="9" t="str">
        <x:v>Pose de visée adaptée à cette carcasse, départ de tir ou frappe, recul/contact puis reprise ; point d’origine lié à la main et non au centre du sprite.</x:v>
      </x:c>
      <x:c r="K41" s="9" t="str">
        <x:v>Créer signature originale du mécanisme et de son impact ; mix séparant arme du joueur et armes adverses de même famille.</x:v>
      </x:c>
      <x:c r="L41" s="9" t="str">
        <x:v>Prototype Chroniques : src/universe-equipment.js, src/chronicles.js, src/combat.js. Identifiant runtime MEA-WPN-INDRA ; contexte d’œuvre/segment et sélection de scène obligatoires.</x:v>
      </x:c>
      <x:c r="M41" s="9" t="str">
        <x:v>Solo ; les valeurs, versions de rang et adaptations multijoueurs sont des données séparées.</x:v>
      </x:c>
      <x:c r="N41" s="9" t="str">
        <x:v>Indra : aperçu de portée, coût et ressource correspond à la résolution ; vérifier obstacle, cible mobile, rechargement/refroidissement et annulation avant tir.</x:v>
      </x:c>
      <x:c r="O41" s="9" t="str"/>
      <x:c r="P41" s="9" t="str">
        <x:v>Indra</x:v>
      </x:c>
      <x:c r="Q41" s="9" t="str">
        <x:v>MEA-SRC-WEAPONS</x:v>
      </x:c>
      <x:c r="R41" s="9" t="str">
        <x:v>https://masseffect.fandom.com/wiki/Weapons_%28Mass_Effect%3A_Andromeda%29</x:v>
      </x:c>
      <x:c r="S4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2" ht="68" customHeight="1">
      <x:c r="A42" s="19" t="str">
        <x:v>MEA-WPN-ISHARAY</x:v>
      </x:c>
      <x:c r="B42" s="7" t="str">
        <x:v>Isharay</x:v>
      </x:c>
      <x:c r="C42" s="15" t="str">
        <x:v>Défini</x:v>
      </x:c>
      <x:c r="D42" s="17" t="str">
        <x:v>Établi</x:v>
      </x:c>
      <x:c r="E42" s="17" t="str">
        <x:v>P1</x:v>
      </x:c>
      <x:c r="F42" s="7" t="str">
        <x:v>Fusil angara de précision.</x:v>
      </x:c>
      <x:c r="G42" s="7" t="str">
        <x:v>Gros coup puis longue reprise ; prévisualiser changement d’angle adverse avant confirmer l’engagement.</x:v>
      </x:c>
      <x:c r="H42" s="7" t="str">
        <x:v>Gros coup puis longue reprise ; prévisualiser changement d’angle adverse avant confirmer l’engagement.</x:v>
      </x:c>
      <x:c r="I42" s="7" t="str">
        <x:v>Arme angara lourde.</x:v>
      </x:c>
      <x:c r="J42" s="7" t="str">
        <x:v>Pose de visée adaptée à cette carcasse, départ de tir ou frappe, recul/contact puis reprise ; point d’origine lié à la main et non au centre du sprite.</x:v>
      </x:c>
      <x:c r="K42" s="7" t="str">
        <x:v>Créer signature originale du mécanisme et de son impact ; mix séparant arme du joueur et armes adverses de même famille.</x:v>
      </x:c>
      <x:c r="L42" s="7" t="str">
        <x:v>Prévu : fiche de données mea/weapons/isharay ; rattacher les ressources et états cités à cet identifiant. Aucun fichier de jeu créé par ce catalogue.</x:v>
      </x:c>
      <x:c r="M42" s="7" t="str">
        <x:v>Solo ; les valeurs, versions de rang et adaptations multijoueurs sont des données séparées.</x:v>
      </x:c>
      <x:c r="N42" s="7" t="str">
        <x:v>Isharay : aperçu de portée, coût et ressource correspond à la résolution ; vérifier obstacle, cible mobile, rechargement/refroidissement et annulation avant tir.</x:v>
      </x:c>
      <x:c r="O42" s="7" t="str"/>
      <x:c r="P42" s="7" t="str">
        <x:v>Isharay</x:v>
      </x:c>
      <x:c r="Q42" s="7" t="str">
        <x:v>MEA-SRC-WEAPONS</x:v>
      </x:c>
      <x:c r="R42" s="7" t="str">
        <x:v>https://masseffect.fandom.com/wiki/Weapons_%28Mass_Effect%3A_Andromeda%29</x:v>
      </x:c>
      <x:c r="S42" s="7" t="str">
        <x:v>Spécification à réaliser. Les champs adaptation, gameplay, visual, animation, audio et implementation décrivent le fan game ; ils ne donnent pas des caractéristiques officielles de l’œuvre.</x:v>
      </x:c>
    </x:row>
    <x:row r="43" ht="68" customHeight="1">
      <x:c r="A43" s="18" t="str">
        <x:v>MEA-WPN-LANAT</x:v>
      </x:c>
      <x:c r="B43" s="9" t="str">
        <x:v>Lanat</x:v>
      </x:c>
      <x:c r="C43" s="15" t="str">
        <x:v>Défini</x:v>
      </x:c>
      <x:c r="D43" s="16" t="str">
        <x:v>Établi</x:v>
      </x:c>
      <x:c r="E43" s="16" t="str">
        <x:v>P1</x:v>
      </x:c>
      <x:c r="F43" s="9" t="str">
        <x:v>Fusil angara de précision.</x:v>
      </x:c>
      <x:c r="G43" s="9" t="str">
        <x:v>Charge contrôlée puis projectile ; tir partiel et complet distingués dans file d’action.</x:v>
      </x:c>
      <x:c r="H43" s="9" t="str">
        <x:v>Charge contrôlée puis projectile ; tir partiel et complet distingués dans file d’action.</x:v>
      </x:c>
      <x:c r="I43" s="9" t="str">
        <x:v>Chambre d’énergie et long fût.</x:v>
      </x:c>
      <x:c r="J43" s="9" t="str">
        <x:v>Pose de visée adaptée à cette carcasse, départ de tir ou frappe, recul/contact puis reprise ; point d’origine lié à la main et non au centre du sprite.</x:v>
      </x:c>
      <x:c r="K43" s="9" t="str">
        <x:v>Créer signature originale du mécanisme et de son impact ; mix séparant arme du joueur et armes adverses de même famille.</x:v>
      </x:c>
      <x:c r="L43" s="9" t="str">
        <x:v>Prévu : fiche de données mea/weapons/lanat ; rattacher les ressources et états cités à cet identifiant. Aucun fichier de jeu créé par ce catalogue.</x:v>
      </x:c>
      <x:c r="M43" s="9" t="str">
        <x:v>Solo ; les valeurs, versions de rang et adaptations multijoueurs sont des données séparées.</x:v>
      </x:c>
      <x:c r="N43" s="9" t="str">
        <x:v>Lanat : aperçu de portée, coût et ressource correspond à la résolution ; vérifier obstacle, cible mobile, rechargement/refroidissement et annulation avant tir.</x:v>
      </x:c>
      <x:c r="O43" s="9" t="str"/>
      <x:c r="P43" s="9" t="str">
        <x:v>Lanat</x:v>
      </x:c>
      <x:c r="Q43" s="9" t="str">
        <x:v>MEA-SRC-WEAPONS</x:v>
      </x:c>
      <x:c r="R43" s="9" t="str">
        <x:v>https://masseffect.fandom.com/wiki/Weapons_%28Mass_Effect%3A_Andromeda%29</x:v>
      </x:c>
      <x:c r="S43" s="9" t="str">
        <x:v>Spécification à réaliser. Les champs adaptation, gameplay, visual, animation, audio et implementation décrivent le fan game ; ils ne donnent pas des caractéristiques officielles de l’œuvre.</x:v>
      </x:c>
    </x:row>
    <x:row r="44" ht="68" customHeight="1">
      <x:c r="A44" s="19" t="str">
        <x:v>MEA-WPN-INFERNO</x:v>
      </x:c>
      <x:c r="B44" s="7" t="str">
        <x:v>Inferno</x:v>
      </x:c>
      <x:c r="C44" s="15" t="str">
        <x:v>Défini</x:v>
      </x:c>
      <x:c r="D44" s="17" t="str">
        <x:v>Établi</x:v>
      </x:c>
      <x:c r="E44" s="17" t="str">
        <x:v>P1</x:v>
      </x:c>
      <x:c r="F44" s="7" t="str">
        <x:v>Fusil kett de précision.</x:v>
      </x:c>
      <x:c r="G44" s="7" t="str">
        <x:v>Tir énergétique et refroidissement proposés ; signal visuel propre évite confusion avec incendie de compétence.</x:v>
      </x:c>
      <x:c r="H44" s="7" t="str">
        <x:v>Tir énergétique et refroidissement proposés ; signal visuel propre évite confusion avec incendie de compétence.</x:v>
      </x:c>
      <x:c r="I44" s="7" t="str">
        <x:v>Arme kett et lueur rouge.</x:v>
      </x:c>
      <x:c r="J44" s="7" t="str">
        <x:v>Pose de visée adaptée à cette carcasse, départ de tir ou frappe, recul/contact puis reprise ; point d’origine lié à la main et non au centre du sprite.</x:v>
      </x:c>
      <x:c r="K44" s="7" t="str">
        <x:v>Créer signature originale du mécanisme et de son impact ; mix séparant arme du joueur et armes adverses de même famille.</x:v>
      </x:c>
      <x:c r="L44" s="7" t="str">
        <x:v>Prévu : fiche de données mea/weapons/inferno ; rattacher les ressources et états cités à cet identifiant. Aucun fichier de jeu créé par ce catalogue.</x:v>
      </x:c>
      <x:c r="M44" s="7" t="str">
        <x:v>Solo ; les valeurs, versions de rang et adaptations multijoueurs sont des données séparées.</x:v>
      </x:c>
      <x:c r="N44" s="7" t="str">
        <x:v>Inferno : aperçu de portée, coût et ressource correspond à la résolution ; vérifier obstacle, cible mobile, rechargement/refroidissement et annulation avant tir.</x:v>
      </x:c>
      <x:c r="O44" s="7" t="str"/>
      <x:c r="P44" s="7" t="str">
        <x:v>Inferno</x:v>
      </x:c>
      <x:c r="Q44" s="7" t="str">
        <x:v>MEA-SRC-WEAPONS</x:v>
      </x:c>
      <x:c r="R44" s="7" t="str">
        <x:v>https://masseffect.fandom.com/wiki/Weapons_%28Mass_Effect%3A_Andromeda%29</x:v>
      </x:c>
      <x:c r="S44" s="7" t="str">
        <x:v>Spécification à réaliser. Les champs adaptation, gameplay, visual, animation, audio et implementation décrivent le fan game ; ils ne donnent pas des caractéristiques officielles de l’œuvre.</x:v>
      </x:c>
    </x:row>
    <x:row r="45" ht="68" customHeight="1">
      <x:c r="A45" s="18" t="str">
        <x:v>MEA-WPN-VANQUISHER</x:v>
      </x:c>
      <x:c r="B45" s="9" t="str">
        <x:v>Vanquisher</x:v>
      </x:c>
      <x:c r="C45" s="15" t="str">
        <x:v>Prototype</x:v>
      </x:c>
      <x:c r="D45" s="16" t="str">
        <x:v>Établi</x:v>
      </x:c>
      <x:c r="E45" s="16" t="str">
        <x:v>P1</x:v>
      </x:c>
      <x:c r="F45" s="9" t="str">
        <x:v>Fusil de précision.</x:v>
      </x:c>
      <x:c r="G45" s="9" t="str">
        <x:v>Tir répété et cadence de repositionnement ; spécialisation proposée sans affirmer classement canon.</x:v>
      </x:c>
      <x:c r="H45" s="9" t="str">
        <x:v>Tir répété et cadence de repositionnement ; spécialisation proposée sans affirmer classement canon.</x:v>
      </x:c>
      <x:c r="I45" s="9" t="str">
        <x:v>Carcasse de sniper tactique.</x:v>
      </x:c>
      <x:c r="J45" s="9" t="str">
        <x:v>Pose de visée adaptée à cette carcasse, départ de tir ou frappe, recul/contact puis reprise ; point d’origine lié à la main et non au centre du sprite.</x:v>
      </x:c>
      <x:c r="K45" s="9" t="str">
        <x:v>Créer signature originale du mécanisme et de son impact ; mix séparant arme du joueur et armes adverses de même famille.</x:v>
      </x:c>
      <x:c r="L45" s="9" t="str">
        <x:v>Prototype Chroniques : src/universe-equipment.js, src/chronicles.js, src/combat.js. Identifiant runtime MEA-WPN-VANQUISHER ; contexte d’œuvre/segment et sélection de scène obligatoires.</x:v>
      </x:c>
      <x:c r="M45" s="9" t="str">
        <x:v>Solo ; les valeurs, versions de rang et adaptations multijoueurs sont des données séparées.</x:v>
      </x:c>
      <x:c r="N45" s="9" t="str">
        <x:v>Vanquisher : aperçu de portée, coût et ressource correspond à la résolution ; vérifier obstacle, cible mobile, rechargement/refroidissement et annulation avant tir.</x:v>
      </x:c>
      <x:c r="O45" s="9" t="str"/>
      <x:c r="P45" s="9" t="str">
        <x:v>Vanquisher</x:v>
      </x:c>
      <x:c r="Q45" s="9" t="str">
        <x:v>MEA-SRC-WEAPONS</x:v>
      </x:c>
      <x:c r="R45" s="9" t="str">
        <x:v>https://masseffect.fandom.com/wiki/Weapons_%28Mass_Effect%3A_Andromeda%29</x:v>
      </x:c>
      <x:c r="S4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6" ht="68" customHeight="1">
      <x:c r="A46" s="19" t="str">
        <x:v>MEA-WPN-WATCHMAN</x:v>
      </x:c>
      <x:c r="B46" s="7" t="str">
        <x:v>Pathfinder Watchman</x:v>
      </x:c>
      <x:c r="C46" s="15" t="str">
        <x:v>Défini</x:v>
      </x:c>
      <x:c r="D46" s="17" t="str">
        <x:v>Établi</x:v>
      </x:c>
      <x:c r="E46" s="17" t="str">
        <x:v>P1</x:v>
      </x:c>
      <x:c r="F46" s="7" t="str">
        <x:v>Arme du pack Pathfinder Elite.</x:v>
      </x:c>
      <x:c r="G46" s="7" t="str">
        <x:v>Option de sniper additionnelle avec entrée d’inventaire propre ; accès conditionné au manifeste d’édition.</x:v>
      </x:c>
      <x:c r="H46" s="7" t="str">
        <x:v>Option de sniper additionnelle avec entrée d’inventaire propre ; accès conditionné au manifeste d’édition.</x:v>
      </x:c>
      <x:c r="I46" s="7" t="str">
        <x:v>Fusil de Pionnier.</x:v>
      </x:c>
      <x:c r="J46" s="7" t="str">
        <x:v>Pose de visée adaptée à cette carcasse, départ de tir ou frappe, recul/contact puis reprise ; point d’origine lié à la main et non au centre du sprite.</x:v>
      </x:c>
      <x:c r="K46" s="7" t="str">
        <x:v>Créer signature originale du mécanisme et de son impact ; mix séparant arme du joueur et armes adverses de même famille.</x:v>
      </x:c>
      <x:c r="L46" s="7" t="str">
        <x:v>Prévu : fiche de données mea/weapons/watchman ; rattacher les ressources et états cités à cet identifiant. Aucun fichier de jeu créé par ce catalogue.</x:v>
      </x:c>
      <x:c r="M46" s="7" t="str">
        <x:v>Pack Pathfinder Elite / édition compatible ; vérifier la voie d’acquisition.</x:v>
      </x:c>
      <x:c r="N46" s="7" t="str">
        <x:v>Pathfinder Watchman : aperçu de portée, coût et ressource correspond à la résolution ; vérifier obstacle, cible mobile, rechargement/refroidissement et annulation avant tir.</x:v>
      </x:c>
      <x:c r="O46" s="7" t="str"/>
      <x:c r="P46" s="7" t="str">
        <x:v>Pathfinder Watchman</x:v>
      </x:c>
      <x:c r="Q46" s="7" t="str">
        <x:v>MEA-SRC-WEAPONS</x:v>
      </x:c>
      <x:c r="R46" s="7" t="str">
        <x:v>https://masseffect.fandom.com/wiki/Weapons_%28Mass_Effect%3A_Andromeda%29</x:v>
      </x:c>
      <x:c r="S46" s="7" t="str">
        <x:v>Spécification à réaliser. Les champs adaptation, gameplay, visual, animation, audio et implementation décrivent le fan game ; ils ne donnent pas des caractéristiques officielles de l’œuvre.</x:v>
      </x:c>
    </x:row>
    <x:row r="47" ht="68" customHeight="1">
      <x:c r="A47" s="18" t="str">
        <x:v>MEA-WPN-OMNIBLADE</x:v>
      </x:c>
      <x:c r="B47" s="9" t="str">
        <x:v>Omni-Blade</x:v>
      </x:c>
      <x:c r="C47" s="15" t="str">
        <x:v>Défini</x:v>
      </x:c>
      <x:c r="D47" s="16" t="str">
        <x:v>Établi</x:v>
      </x:c>
      <x:c r="E47" s="16" t="str">
        <x:v>P1</x:v>
      </x:c>
      <x:c r="F47" s="9" t="str">
        <x:v>Arme de mêlée.</x:v>
      </x:c>
      <x:c r="G47" s="9" t="str">
        <x:v>Fente courte avec cible et cellule de retour réservées ; contact exige portée réelle au sol.</x:v>
      </x:c>
      <x:c r="H47" s="9" t="str">
        <x:v>Fente courte avec cible et cellule de retour réservées ; contact exige portée réelle au sol.</x:v>
      </x:c>
      <x:c r="I47" s="9" t="str">
        <x:v>Lame orange sur avant-bras.</x:v>
      </x:c>
      <x:c r="J47" s="9" t="str">
        <x:v>Pose de visée adaptée à cette carcasse, départ de tir ou frappe, recul/contact puis reprise ; point d’origine lié à la main et non au centre du sprite.</x:v>
      </x:c>
      <x:c r="K47" s="9" t="str">
        <x:v>Créer signature originale du mécanisme et de son impact ; mix séparant arme du joueur et armes adverses de même famille.</x:v>
      </x:c>
      <x:c r="L47" s="9" t="str">
        <x:v>Prévu : fiche de données mea/weapons/omniblade ; rattacher les ressources et états cités à cet identifiant. Aucun fichier de jeu créé par ce catalogue.</x:v>
      </x:c>
      <x:c r="M47" s="9" t="str">
        <x:v>Solo ; les valeurs, versions de rang et adaptations multijoueurs sont des données séparées.</x:v>
      </x:c>
      <x:c r="N47" s="9" t="str">
        <x:v>Omni-Blade : aperçu de portée, coût et ressource correspond à la résolution ; vérifier obstacle, cible mobile, rechargement/refroidissement et annulation avant tir.</x:v>
      </x:c>
      <x:c r="O47" s="9" t="str"/>
      <x:c r="P47" s="9" t="str">
        <x:v>Omni-Blade</x:v>
      </x:c>
      <x:c r="Q47" s="9" t="str">
        <x:v>MEA-SRC-MELEE</x:v>
      </x:c>
      <x:c r="R47" s="9" t="str">
        <x:v>https://masseffect.fandom.com/wiki/Melee_Weapons</x:v>
      </x:c>
      <x:c r="S47" s="9" t="str">
        <x:v>Spécification à réaliser. Les champs adaptation, gameplay, visual, animation, audio et implementation décrivent le fan game ; ils ne donnent pas des caractéristiques officielles de l’œuvre.</x:v>
      </x:c>
    </x:row>
    <x:row r="48" ht="68" customHeight="1">
      <x:c r="A48" s="19" t="str">
        <x:v>MEA-WPN-ASARI-SWORD</x:v>
      </x:c>
      <x:c r="B48" s="7" t="str">
        <x:v>Asari Sword</x:v>
      </x:c>
      <x:c r="C48" s="15" t="str">
        <x:v>Défini</x:v>
      </x:c>
      <x:c r="D48" s="17" t="str">
        <x:v>Établi</x:v>
      </x:c>
      <x:c r="E48" s="17" t="str">
        <x:v>P1</x:v>
      </x:c>
      <x:c r="F48" s="7" t="str">
        <x:v>Arme de mêlée.</x:v>
      </x:c>
      <x:c r="G48" s="7" t="str">
        <x:v>Approche biotique et frappe proposée ; vérifier la place d’arrivée avant mouvement pour éviter traverser des murs.</x:v>
      </x:c>
      <x:c r="H48" s="7" t="str">
        <x:v>Approche biotique et frappe proposée ; vérifier la place d’arrivée avant mouvement pour éviter traverser des murs.</x:v>
      </x:c>
      <x:c r="I48" s="7" t="str">
        <x:v>Lame fine et traînée bleue.</x:v>
      </x:c>
      <x:c r="J48" s="7" t="str">
        <x:v>Pose de visée adaptée à cette carcasse, départ de tir ou frappe, recul/contact puis reprise ; point d’origine lié à la main et non au centre du sprite.</x:v>
      </x:c>
      <x:c r="K48" s="7" t="str">
        <x:v>Créer signature originale du mécanisme et de son impact ; mix séparant arme du joueur et armes adverses de même famille.</x:v>
      </x:c>
      <x:c r="L48" s="7" t="str">
        <x:v>Prévu : fiche de données mea/weapons/asari-sword ; rattacher les ressources et états cités à cet identifiant. Aucun fichier de jeu créé par ce catalogue.</x:v>
      </x:c>
      <x:c r="M48" s="7" t="str">
        <x:v>Solo ; les valeurs, versions de rang et adaptations multijoueurs sont des données séparées.</x:v>
      </x:c>
      <x:c r="N48" s="7" t="str">
        <x:v>Asari Sword : aperçu de portée, coût et ressource correspond à la résolution ; vérifier obstacle, cible mobile, rechargement/refroidissement et annulation avant tir.</x:v>
      </x:c>
      <x:c r="O48" s="7" t="str"/>
      <x:c r="P48" s="7" t="str">
        <x:v>Asari Sword</x:v>
      </x:c>
      <x:c r="Q48" s="7" t="str">
        <x:v>MEA-SRC-MELEE</x:v>
      </x:c>
      <x:c r="R48" s="7" t="str">
        <x:v>https://masseffect.fandom.com/wiki/Melee_Weapons</x:v>
      </x:c>
      <x:c r="S48" s="7" t="str">
        <x:v>Spécification à réaliser. Les champs adaptation, gameplay, visual, animation, audio et implementation décrivent le fan game ; ils ne donnent pas des caractéristiques officielles de l’œuvre.</x:v>
      </x:c>
    </x:row>
    <x:row r="49" ht="68" customHeight="1">
      <x:c r="A49" s="18" t="str">
        <x:v>MEA-WPN-KROGAN-HAMMER</x:v>
      </x:c>
      <x:c r="B49" s="9" t="str">
        <x:v>Krogan Hammer</x:v>
      </x:c>
      <x:c r="C49" s="15" t="str">
        <x:v>Défini</x:v>
      </x:c>
      <x:c r="D49" s="16" t="str">
        <x:v>Établi</x:v>
      </x:c>
      <x:c r="E49" s="16" t="str">
        <x:v>P1</x:v>
      </x:c>
      <x:c r="F49" s="9" t="str">
        <x:v>Arme de mêlée.</x:v>
      </x:c>
      <x:c r="G49" s="9" t="str">
        <x:v>Frappe lourde à zone courte, préparation longue et choc au sol ; grandes silhouettes ne modifient pas rayon de dégâts.</x:v>
      </x:c>
      <x:c r="H49" s="9" t="str">
        <x:v>Frappe lourde à zone courte, préparation longue et choc au sol ; grandes silhouettes ne modifient pas rayon de dégâts.</x:v>
      </x:c>
      <x:c r="I49" s="9" t="str">
        <x:v>Marteau massif.</x:v>
      </x:c>
      <x:c r="J49" s="9" t="str">
        <x:v>Pose de visée adaptée à cette carcasse, départ de tir ou frappe, recul/contact puis reprise ; point d’origine lié à la main et non au centre du sprite.</x:v>
      </x:c>
      <x:c r="K49" s="9" t="str">
        <x:v>Créer signature originale du mécanisme et de son impact ; mix séparant arme du joueur et armes adverses de même famille.</x:v>
      </x:c>
      <x:c r="L49" s="9" t="str">
        <x:v>Prévu : fiche de données mea/weapons/krogan-hammer ; rattacher les ressources et états cités à cet identifiant. Aucun fichier de jeu créé par ce catalogue.</x:v>
      </x:c>
      <x:c r="M49" s="9" t="str">
        <x:v>Solo ; les valeurs, versions de rang et adaptations multijoueurs sont des données séparées.</x:v>
      </x:c>
      <x:c r="N49" s="9" t="str">
        <x:v>Krogan Hammer : aperçu de portée, coût et ressource correspond à la résolution ; vérifier obstacle, cible mobile, rechargement/refroidissement et annulation avant tir.</x:v>
      </x:c>
      <x:c r="O49" s="9" t="str"/>
      <x:c r="P49" s="9" t="str">
        <x:v>Krogan Hammer</x:v>
      </x:c>
      <x:c r="Q49" s="9" t="str">
        <x:v>MEA-SRC-MELEE</x:v>
      </x:c>
      <x:c r="R49" s="9" t="str">
        <x:v>https://masseffect.fandom.com/wiki/Melee_Weapons</x:v>
      </x:c>
      <x:c r="S49" s="9" t="str">
        <x:v>Spécification à réaliser. Les champs adaptation, gameplay, visual, animation, audio et implementation décrivent le fan game ; ils ne donnent pas des caractéristiques officielles de l’œuvre.</x:v>
      </x:c>
    </x:row>
    <x:row r="50" ht="68" customHeight="1">
      <x:c r="A50" s="19" t="str">
        <x:v>MEA-WPN-FIRAAN</x:v>
      </x:c>
      <x:c r="B50" s="7" t="str">
        <x:v>Angaran Firaan</x:v>
      </x:c>
      <x:c r="C50" s="15" t="str">
        <x:v>Défini</x:v>
      </x:c>
      <x:c r="D50" s="17" t="str">
        <x:v>Établi</x:v>
      </x:c>
      <x:c r="E50" s="17" t="str">
        <x:v>P1</x:v>
      </x:c>
      <x:c r="F50" s="7" t="str">
        <x:v>Arme de mêlée angara.</x:v>
      </x:c>
      <x:c r="G50" s="7" t="str">
        <x:v>Combo court directionnel ; chaque coup a cible réservée et retour interruptible.</x:v>
      </x:c>
      <x:c r="H50" s="7" t="str">
        <x:v>Combo court directionnel ; chaque coup a cible réservée et retour interruptible.</x:v>
      </x:c>
      <x:c r="I50" s="7" t="str">
        <x:v>Lame angara.</x:v>
      </x:c>
      <x:c r="J50" s="7" t="str">
        <x:v>Pose de visée adaptée à cette carcasse, départ de tir ou frappe, recul/contact puis reprise ; point d’origine lié à la main et non au centre du sprite.</x:v>
      </x:c>
      <x:c r="K50" s="7" t="str">
        <x:v>Créer signature originale du mécanisme et de son impact ; mix séparant arme du joueur et armes adverses de même famille.</x:v>
      </x:c>
      <x:c r="L50" s="7" t="str">
        <x:v>Prévu : fiche de données mea/weapons/firaan ; rattacher les ressources et états cités à cet identifiant. Aucun fichier de jeu créé par ce catalogue.</x:v>
      </x:c>
      <x:c r="M50" s="7" t="str">
        <x:v>Solo ; les valeurs, versions de rang et adaptations multijoueurs sont des données séparées.</x:v>
      </x:c>
      <x:c r="N50" s="7" t="str">
        <x:v>Angaran Firaan : aperçu de portée, coût et ressource correspond à la résolution ; vérifier obstacle, cible mobile, rechargement/refroidissement et annulation avant tir.</x:v>
      </x:c>
      <x:c r="O50" s="7" t="str"/>
      <x:c r="P50" s="7" t="str">
        <x:v>Angaran Firaan</x:v>
      </x:c>
      <x:c r="Q50" s="7" t="str">
        <x:v>MEA-SRC-MELEE</x:v>
      </x:c>
      <x:c r="R50" s="7" t="str">
        <x:v>https://masseffect.fandom.com/wiki/Melee_Weapons</x:v>
      </x:c>
      <x:c r="S50" s="7" t="str">
        <x:v>Spécification à réaliser. Les champs adaptation, gameplay, visual, animation, audio et implementation décrivent le fan game ; ils ne donnent pas des caractéristiques officielles de l’œuvre.</x:v>
      </x:c>
    </x:row>
    <x:row r="51" ht="68" customHeight="1">
      <x:c r="A51" s="18" t="str">
        <x:v>MEA-WPN-CARFALON</x:v>
      </x:c>
      <x:c r="B51" s="9" t="str">
        <x:v>Kett Carfalon</x:v>
      </x:c>
      <x:c r="C51" s="15" t="str">
        <x:v>Défini</x:v>
      </x:c>
      <x:c r="D51" s="16" t="str">
        <x:v>Établi</x:v>
      </x:c>
      <x:c r="E51" s="16" t="str">
        <x:v>P1</x:v>
      </x:c>
      <x:c r="F51" s="9" t="str">
        <x:v>Arme de mêlée kett.</x:v>
      </x:c>
      <x:c r="G51" s="9" t="str">
        <x:v>Entaille puissante et mouvement de reprise ; effets de soin éventuels seulement si définis dans recette du fan game.</x:v>
      </x:c>
      <x:c r="H51" s="9" t="str">
        <x:v>Entaille puissante et mouvement de reprise ; effets de soin éventuels seulement si définis dans recette du fan game.</x:v>
      </x:c>
      <x:c r="I51" s="9" t="str">
        <x:v>Grande lame organique.</x:v>
      </x:c>
      <x:c r="J51" s="9" t="str">
        <x:v>Pose de visée adaptée à cette carcasse, départ de tir ou frappe, recul/contact puis reprise ; point d’origine lié à la main et non au centre du sprite.</x:v>
      </x:c>
      <x:c r="K51" s="9" t="str">
        <x:v>Créer signature originale du mécanisme et de son impact ; mix séparant arme du joueur et armes adverses de même famille.</x:v>
      </x:c>
      <x:c r="L51" s="9" t="str">
        <x:v>Prévu : fiche de données mea/weapons/carfalon ; rattacher les ressources et états cités à cet identifiant. Aucun fichier de jeu créé par ce catalogue.</x:v>
      </x:c>
      <x:c r="M51" s="9" t="str">
        <x:v>Solo ; les valeurs, versions de rang et adaptations multijoueurs sont des données séparées.</x:v>
      </x:c>
      <x:c r="N51" s="9" t="str">
        <x:v>Kett Carfalon : aperçu de portée, coût et ressource correspond à la résolution ; vérifier obstacle, cible mobile, rechargement/refroidissement et annulation avant tir.</x:v>
      </x:c>
      <x:c r="O51" s="9" t="str"/>
      <x:c r="P51" s="9" t="str">
        <x:v>Kett Carfalon</x:v>
      </x:c>
      <x:c r="Q51" s="9" t="str">
        <x:v>MEA-SRC-MELEE</x:v>
      </x:c>
      <x:c r="R51" s="9" t="str">
        <x:v>https://masseffect.fandom.com/wiki/Melee_Weapons</x:v>
      </x:c>
      <x:c r="S51" s="9" t="str">
        <x:v>Spécification à réaliser. Les champs adaptation, gameplay, visual, animation, audio et implementation décrivent le fan game ; ils ne donnent pas des caractéristiques officielles de l’œuvre.</x:v>
      </x:c>
    </x:row>
    <x:row r="52" ht="68" customHeight="1">
      <x:c r="A52" s="19" t="str">
        <x:v>MEA-WPN-VAKARSH</x:v>
      </x:c>
      <x:c r="B52" s="7" t="str">
        <x:v>Kett Vakarsh</x:v>
      </x:c>
      <x:c r="C52" s="15" t="str">
        <x:v>Défini</x:v>
      </x:c>
      <x:c r="D52" s="17" t="str">
        <x:v>Établi</x:v>
      </x:c>
      <x:c r="E52" s="17" t="str">
        <x:v>P1</x:v>
      </x:c>
      <x:c r="F52" s="7" t="str">
        <x:v>Arme de mêlée kett.</x:v>
      </x:c>
      <x:c r="G52" s="7" t="str">
        <x:v>Frappe rapide de contact ; silhouette distincte de Carfalon malgré technologie commune.</x:v>
      </x:c>
      <x:c r="H52" s="7" t="str">
        <x:v>Frappe rapide de contact ; silhouette distincte de Carfalon malgré technologie commune.</x:v>
      </x:c>
      <x:c r="I52" s="7" t="str">
        <x:v>Lame osseuse plus compacte.</x:v>
      </x:c>
      <x:c r="J52" s="7" t="str">
        <x:v>Pose de visée adaptée à cette carcasse, départ de tir ou frappe, recul/contact puis reprise ; point d’origine lié à la main et non au centre du sprite.</x:v>
      </x:c>
      <x:c r="K52" s="7" t="str">
        <x:v>Créer signature originale du mécanisme et de son impact ; mix séparant arme du joueur et armes adverses de même famille.</x:v>
      </x:c>
      <x:c r="L52" s="7" t="str">
        <x:v>Prévu : fiche de données mea/weapons/vakarsh ; rattacher les ressources et états cités à cet identifiant. Aucun fichier de jeu créé par ce catalogue.</x:v>
      </x:c>
      <x:c r="M52" s="7" t="str">
        <x:v>Solo ; les valeurs, versions de rang et adaptations multijoueurs sont des données séparées.</x:v>
      </x:c>
      <x:c r="N52" s="7" t="str">
        <x:v>Kett Vakarsh : aperçu de portée, coût et ressource correspond à la résolution ; vérifier obstacle, cible mobile, rechargement/refroidissement et annulation avant tir.</x:v>
      </x:c>
      <x:c r="O52" s="7" t="str"/>
      <x:c r="P52" s="7" t="str">
        <x:v>Kett Vakarsh</x:v>
      </x:c>
      <x:c r="Q52" s="7" t="str">
        <x:v>MEA-SRC-MELEE</x:v>
      </x:c>
      <x:c r="R52" s="7" t="str">
        <x:v>https://masseffect.fandom.com/wiki/Melee_Weapons</x:v>
      </x:c>
      <x:c r="S52" s="7" t="str">
        <x:v>Spécification à réaliser. Les champs adaptation, gameplay, visual, animation, audio et implementation décrivent le fan game ; ils ne donnent pas des caractéristiques officielles de l’œuvre.</x:v>
      </x:c>
    </x:row>
    <x:row r="53" ht="68" customHeight="1">
      <x:c r="A53" s="18" t="str">
        <x:v>MEA-WPN-CRYO-GAUNTLET</x:v>
      </x:c>
      <x:c r="B53" s="9" t="str">
        <x:v>Remnant Cryo-Gauntlet</x:v>
      </x:c>
      <x:c r="C53" s="15" t="str">
        <x:v>Défini</x:v>
      </x:c>
      <x:c r="D53" s="16" t="str">
        <x:v>Établi</x:v>
      </x:c>
      <x:c r="E53" s="16" t="str">
        <x:v>P1</x:v>
      </x:c>
      <x:c r="F53" s="9" t="str">
        <x:v>Arme de mêlée reliquate.</x:v>
      </x:c>
      <x:c r="G53" s="9" t="str">
        <x:v>Coup de givre puis recul ; ralentissement proposé visible et résistance des boss expliquée.</x:v>
      </x:c>
      <x:c r="H53" s="9" t="str">
        <x:v>Coup de givre puis recul ; ralentissement proposé visible et résistance des boss expliquée.</x:v>
      </x:c>
      <x:c r="I53" s="9" t="str">
        <x:v>Gantelet noir et givre.</x:v>
      </x:c>
      <x:c r="J53" s="9" t="str">
        <x:v>Pose de visée adaptée à cette carcasse, départ de tir ou frappe, recul/contact puis reprise ; point d’origine lié à la main et non au centre du sprite.</x:v>
      </x:c>
      <x:c r="K53" s="9" t="str">
        <x:v>Créer signature originale du mécanisme et de son impact ; mix séparant arme du joueur et armes adverses de même famille.</x:v>
      </x:c>
      <x:c r="L53" s="9" t="str">
        <x:v>Prévu : fiche de données mea/weapons/cryo-gauntlet ; rattacher les ressources et états cités à cet identifiant. Aucun fichier de jeu créé par ce catalogue.</x:v>
      </x:c>
      <x:c r="M53" s="9" t="str">
        <x:v>Solo ; les valeurs, versions de rang et adaptations multijoueurs sont des données séparées.</x:v>
      </x:c>
      <x:c r="N53" s="9" t="str">
        <x:v>Remnant Cryo-Gauntlet : aperçu de portée, coût et ressource correspond à la résolution ; vérifier obstacle, cible mobile, rechargement/refroidissement et annulation avant tir.</x:v>
      </x:c>
      <x:c r="O53" s="9" t="str"/>
      <x:c r="P53" s="9" t="str">
        <x:v>Remnant Cryo-Gauntlet</x:v>
      </x:c>
      <x:c r="Q53" s="9" t="str">
        <x:v>MEA-SRC-MELEE</x:v>
      </x:c>
      <x:c r="R53" s="9" t="str">
        <x:v>https://masseffect.fandom.com/wiki/Melee_Weapons</x:v>
      </x:c>
      <x:c r="S53" s="9" t="str">
        <x:v>Spécification à réaliser. Les champs adaptation, gameplay, visual, animation, audio et implementation décrivent le fan game ; ils ne donnent pas des caractéristiques officielles de l’œuvre.</x:v>
      </x:c>
    </x:row>
    <x:row r="54" ht="68" customHeight="1">
      <x:c r="A54" s="19" t="str">
        <x:v>MEA-WPN-BIOTIC-AMP</x:v>
      </x:c>
      <x:c r="B54" s="7" t="str">
        <x:v>Biotic Amplifier</x:v>
      </x:c>
      <x:c r="C54" s="15" t="str">
        <x:v>Défini</x:v>
      </x:c>
      <x:c r="D54" s="17" t="str">
        <x:v>Établi</x:v>
      </x:c>
      <x:c r="E54" s="17" t="str">
        <x:v>P1</x:v>
      </x:c>
      <x:c r="F54" s="7" t="str">
        <x:v>Arme de mêlée biotique.</x:v>
      </x:c>
      <x:c r="G54" s="7" t="str">
        <x:v>Impulsion rapprochée, dépense et résistance clairement affichées ; ne devient pas compétence active supplémentaire gratuite.</x:v>
      </x:c>
      <x:c r="H54" s="7" t="str">
        <x:v>Impulsion rapprochée, dépense et résistance clairement affichées ; ne devient pas compétence active supplémentaire gratuite.</x:v>
      </x:c>
      <x:c r="I54" s="7" t="str">
        <x:v>Poing et halo biotique.</x:v>
      </x:c>
      <x:c r="J54" s="7" t="str">
        <x:v>Pose de visée adaptée à cette carcasse, départ de tir ou frappe, recul/contact puis reprise ; point d’origine lié à la main et non au centre du sprite.</x:v>
      </x:c>
      <x:c r="K54" s="7" t="str">
        <x:v>Créer signature originale du mécanisme et de son impact ; mix séparant arme du joueur et armes adverses de même famille.</x:v>
      </x:c>
      <x:c r="L54" s="7" t="str">
        <x:v>Prévu : fiche de données mea/weapons/biotic-amp ; rattacher les ressources et états cités à cet identifiant. Aucun fichier de jeu créé par ce catalogue.</x:v>
      </x:c>
      <x:c r="M54" s="7" t="str">
        <x:v>Solo ; les valeurs, versions de rang et adaptations multijoueurs sont des données séparées.</x:v>
      </x:c>
      <x:c r="N54" s="7" t="str">
        <x:v>Biotic Amplifier : aperçu de portée, coût et ressource correspond à la résolution ; vérifier obstacle, cible mobile, rechargement/refroidissement et annulation avant tir.</x:v>
      </x:c>
      <x:c r="O54" s="7" t="str"/>
      <x:c r="P54" s="7" t="str">
        <x:v>Biotic Amplifier</x:v>
      </x:c>
      <x:c r="Q54" s="7" t="str">
        <x:v>MEA-SRC-MELEE</x:v>
      </x:c>
      <x:c r="R54" s="7" t="str">
        <x:v>https://masseffect.fandom.com/wiki/Melee_Weapons</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56" priority="1" operator="equal">
      <x:formula>"À vérifier"</x:formula>
    </x:cfRule>
    <x:cfRule type="cellIs" dxfId="57" priority="2" operator="equal">
      <x:formula>"Extrapolation"</x:formula>
    </x:cfRule>
  </x:conditionalFormatting>
  <x:conditionalFormatting sqref="C7:C54">
    <x:cfRule type="cellIs" dxfId="58" priority="3" operator="equal">
      <x:formula>"Validé"</x:formula>
    </x:cfRule>
  </x:conditionalFormatting>
  <x:conditionalFormatting sqref="E7:E54">
    <x:cfRule type="cellIs" dxfId="59"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3e29aafa4f7642d4"/>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4"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MEA-EQP-INITIATIVE</x:v>
      </x:c>
      <x:c r="B7" s="9" t="str">
        <x:v>Initiative Armor</x:v>
      </x:c>
      <x:c r="C7" s="15" t="str">
        <x:v>Prototype</x:v>
      </x:c>
      <x:c r="D7" s="16" t="str">
        <x:v>Établi</x:v>
      </x:c>
      <x:c r="E7" s="16" t="str">
        <x:v>P1</x:v>
      </x:c>
      <x:c r="F7" s="9" t="str">
        <x:v>Famille d’armure humaine.</x:v>
      </x:c>
      <x:c r="G7" s="9" t="str">
        <x:v>Pièces par emplacement, silhouette de départ et bonus proposés ; comparaison avant remplacement.</x:v>
      </x:c>
      <x:c r="H7" s="9" t="str">
        <x:v>Pièces par emplacement, silhouette de départ et bonus proposés ; comparaison avant remplacement.</x:v>
      </x:c>
      <x:c r="I7" s="9" t="str">
        <x:v>Blanc et gris d’expédition.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MEA-EQP-INITIATIVE ; contexte d’œuvre/segment et sélection de scène obligatoires.</x:v>
      </x:c>
      <x:c r="M7" s="9" t="str"/>
      <x:c r="N7" s="9" t="str">
        <x:v>Le livrable « Initiative Armor » possède une scène ou un scénario de contrôle ; ses règles proposées, ses conditions et ses retours visuels sont vérifiables séparément.</x:v>
      </x:c>
      <x:c r="O7" s="9" t="str"/>
      <x:c r="P7" s="9" t="str">
        <x:v>Initiative Armor</x:v>
      </x:c>
      <x:c r="Q7" s="9" t="str">
        <x:v>MEA-SRC-ARMOR</x:v>
      </x:c>
      <x:c r="R7" s="9" t="str">
        <x:v>https://masseffect.fandom.com/wiki/Armor_%28Mass_Effect%3A_Andromeda%29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MEA-EQP-PATHFINDER</x:v>
      </x:c>
      <x:c r="B8" s="7" t="str">
        <x:v>Pathfinder Armor</x:v>
      </x:c>
      <x:c r="C8" s="15" t="str">
        <x:v>Prototype</x:v>
      </x:c>
      <x:c r="D8" s="17" t="str">
        <x:v>Établi</x:v>
      </x:c>
      <x:c r="E8" s="17" t="str">
        <x:v>P1</x:v>
      </x:c>
      <x:c r="F8" s="7" t="str">
        <x:v>Armure en quatre pièces.</x:v>
      </x:c>
      <x:c r="G8" s="7" t="str">
        <x:v>Casque, torse, bras et jambes suivis séparément ; couleur n’altère pas la recette ou les effets.</x:v>
      </x:c>
      <x:c r="H8" s="7" t="str">
        <x:v>Casque, torse, bras et jambes suivis séparément ; couleur n’altère pas la recette ou les effets.</x:v>
      </x:c>
      <x:c r="I8" s="7" t="str">
        <x:v>Armure du Pionnier et insigne.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MEA-EQP-PATHFINDER ; contexte d’œuvre/segment et sélection de scène obligatoires.</x:v>
      </x:c>
      <x:c r="M8" s="7" t="str"/>
      <x:c r="N8" s="7" t="str">
        <x:v>Le livrable « Pathfinder Armor » possède une scène ou un scénario de contrôle ; ses règles proposées, ses conditions et ses retours visuels sont vérifiables séparément.</x:v>
      </x:c>
      <x:c r="O8" s="7" t="str"/>
      <x:c r="P8" s="7" t="str">
        <x:v>Pathfinder Armor</x:v>
      </x:c>
      <x:c r="Q8" s="7" t="str">
        <x:v>MEA-SRC-PATH-ARMOR</x:v>
      </x:c>
      <x:c r="R8" s="7" t="str">
        <x:v>https://masseffect.fandom.com/wiki/Pathfinder_Armor</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MEA-EQP-N7</x:v>
      </x:c>
      <x:c r="B9" s="9" t="str">
        <x:v>N7 Armor</x:v>
      </x:c>
      <x:c r="C9" s="15" t="str">
        <x:v>Prototype</x:v>
      </x:c>
      <x:c r="D9" s="16" t="str">
        <x:v>Établi</x:v>
      </x:c>
      <x:c r="E9" s="16" t="str">
        <x:v>P1</x:v>
      </x:c>
      <x:c r="F9" s="9" t="str">
        <x:v>Armure N7.</x:v>
      </x:c>
      <x:c r="G9" s="9" t="str">
        <x:v>Preset visuel iconique, pièces et effets proposés dans arbre de fabrication ; aucune présence de Shepard induite.</x:v>
      </x:c>
      <x:c r="H9" s="9" t="str">
        <x:v>Preset visuel iconique, pièces et effets proposés dans arbre de fabrication ; aucune présence de Shepard induite.</x:v>
      </x:c>
      <x:c r="I9" s="9" t="str">
        <x:v>Noir, rouge et marquage N7.</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Chroniques : src/universe-equipment.js, src/chronicles.js, src/combat.js. Identifiant runtime MEA-EQP-N7 ; contexte d’œuvre/segment et sélection de scène obligatoires.</x:v>
      </x:c>
      <x:c r="M9" s="9" t="str"/>
      <x:c r="N9" s="9" t="str">
        <x:v>Le livrable « N7 Armor » possède une scène ou un scénario de contrôle ; ses règles proposées, ses conditions et ses retours visuels sont vérifiables séparément.</x:v>
      </x:c>
      <x:c r="O9" s="9" t="str"/>
      <x:c r="P9" s="9" t="str">
        <x:v>N7 Armor</x:v>
      </x:c>
      <x:c r="Q9" s="9" t="str">
        <x:v>MEA-SRC-N7-ARMOR</x:v>
      </x:c>
      <x:c r="R9" s="9" t="str">
        <x:v>https://masseffect.fandom.com/wiki/N7_Armor</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MEA-EQP-HYPERGUARDIAN</x:v>
      </x:c>
      <x:c r="B10" s="7" t="str">
        <x:v>Hyperguardian Armor</x:v>
      </x:c>
      <x:c r="C10" s="15" t="str">
        <x:v>Prototype</x:v>
      </x:c>
      <x:c r="D10" s="17" t="str">
        <x:v>Établi</x:v>
      </x:c>
      <x:c r="E10" s="17" t="str">
        <x:v>P1</x:v>
      </x:c>
      <x:c r="F10" s="7" t="str">
        <x:v>Famille d’armure.</x:v>
      </x:c>
      <x:c r="G10" s="7" t="str">
        <x:v>Profil de défense lourde proposé ; épaules larges mais collision identique au gabarit de Ryder.</x:v>
      </x:c>
      <x:c r="H10" s="7" t="str">
        <x:v>Profil de défense lourde proposé ; épaules larges mais collision identique au gabarit de Ryder.</x:v>
      </x:c>
      <x:c r="I10" s="7" t="str">
        <x:v>Plaques épaisses et casque robuste.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MEA-EQP-HYPERGUARDIAN ; contexte d’œuvre/segment et sélection de scène obligatoires.</x:v>
      </x:c>
      <x:c r="M10" s="7" t="str"/>
      <x:c r="N10" s="7" t="str">
        <x:v>Le livrable « Hyperguardian Armor » possède une scène ou un scénario de contrôle ; ses règles proposées, ses conditions et ses retours visuels sont vérifiables séparément.</x:v>
      </x:c>
      <x:c r="O10" s="7" t="str"/>
      <x:c r="P10" s="7" t="str">
        <x:v>Hyperguardian Armor</x:v>
      </x:c>
      <x:c r="Q10" s="7" t="str">
        <x:v>MEA-SRC-ARMOR</x:v>
      </x:c>
      <x:c r="R10" s="7" t="str">
        <x:v>https://masseffect.fandom.com/wiki/Armor_%28Mass_Effect%3A_Andromeda%29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MEA-EQP-MAVERICK</x:v>
      </x:c>
      <x:c r="B11" s="9" t="str">
        <x:v>Maverick Armor</x:v>
      </x:c>
      <x:c r="C11" s="15" t="str">
        <x:v>Prototype</x:v>
      </x:c>
      <x:c r="D11" s="16" t="str">
        <x:v>Établi</x:v>
      </x:c>
      <x:c r="E11" s="16" t="str">
        <x:v>P1</x:v>
      </x:c>
      <x:c r="F11" s="9" t="str">
        <x:v>Famille d’armure.</x:v>
      </x:c>
      <x:c r="G11" s="9" t="str">
        <x:v>Profil de précision proposé avec silhouette légère ; effets visibles pièce par pièce.</x:v>
      </x:c>
      <x:c r="H11" s="9" t="str">
        <x:v>Profil de précision proposé avec silhouette légère ; effets visibles pièce par pièce.</x:v>
      </x:c>
      <x:c r="I11" s="9" t="str">
        <x:v>Tenue de tireur et visière.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MEA-EQP-MAVERICK ; contexte d’œuvre/segment et sélection de scène obligatoires.</x:v>
      </x:c>
      <x:c r="M11" s="9" t="str"/>
      <x:c r="N11" s="9" t="str">
        <x:v>Le livrable « Maverick Armor » possède une scène ou un scénario de contrôle ; ses règles proposées, ses conditions et ses retours visuels sont vérifiables séparément.</x:v>
      </x:c>
      <x:c r="O11" s="9" t="str"/>
      <x:c r="P11" s="9" t="str">
        <x:v>Maverick Armor</x:v>
      </x:c>
      <x:c r="Q11" s="9" t="str">
        <x:v>MEA-SRC-ARMOR</x:v>
      </x:c>
      <x:c r="R11" s="9" t="str">
        <x:v>https://masseffect.fandom.com/wiki/Armor_%28Mass_Effect%3A_Andromeda%29</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MEA-EQP-ANGARAN</x:v>
      </x:c>
      <x:c r="B12" s="7" t="str">
        <x:v>Angaran Armor</x:v>
      </x:c>
      <x:c r="C12" s="15" t="str">
        <x:v>Prototype</x:v>
      </x:c>
      <x:c r="D12" s="17" t="str">
        <x:v>Établi</x:v>
      </x:c>
      <x:c r="E12" s="17" t="str">
        <x:v>P1</x:v>
      </x:c>
      <x:c r="F12" s="7" t="str">
        <x:v>Armure de technologie Heleus.</x:v>
      </x:c>
      <x:c r="G12" s="7" t="str">
        <x:v>Préserver langage textile/plaques angara ; apparence de Ryder reste distincte d’un corps angara.</x:v>
      </x:c>
      <x:c r="H12" s="7" t="str">
        <x:v>Préserver langage textile/plaques angara ; apparence de Ryder reste distincte d’un corps angara.</x:v>
      </x:c>
      <x:c r="I12" s="7" t="str">
        <x:v>Violet, textiles et plaques locales.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Chroniques : src/universe-equipment.js, src/chronicles.js, src/combat.js. Identifiant runtime MEA-EQP-ANGARAN ; contexte d’œuvre/segment et sélection de scène obligatoires.</x:v>
      </x:c>
      <x:c r="M12" s="7" t="str"/>
      <x:c r="N12" s="7" t="str">
        <x:v>Le livrable « Angaran Armor » possède une scène ou un scénario de contrôle ; ses règles proposées, ses conditions et ses retours visuels sont vérifiables séparément.</x:v>
      </x:c>
      <x:c r="O12" s="7" t="str"/>
      <x:c r="P12" s="7" t="str">
        <x:v>Angaran Armor</x:v>
      </x:c>
      <x:c r="Q12" s="7" t="str">
        <x:v>MEA-SRC-ANGARA-ARMOR</x:v>
      </x:c>
      <x:c r="R12" s="7" t="str">
        <x:v>https://masseffect.fandom.com/wiki/Angaran_Armor</x:v>
      </x:c>
      <x:c r="S1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3" ht="68" customHeight="1">
      <x:c r="A13" s="18" t="str">
        <x:v>MEA-EQP-KETT</x:v>
      </x:c>
      <x:c r="B13" s="9" t="str">
        <x:v>Kett Armor</x:v>
      </x:c>
      <x:c r="C13" s="15" t="str">
        <x:v>Prototype</x:v>
      </x:c>
      <x:c r="D13" s="16" t="str">
        <x:v>Établi</x:v>
      </x:c>
      <x:c r="E13" s="16" t="str">
        <x:v>P1</x:v>
      </x:c>
      <x:c r="F13" s="9" t="str">
        <x:v>Famille de technologie kett.</x:v>
      </x:c>
      <x:c r="G13" s="9" t="str">
        <x:v>Variantes Integrator/Fusion/Unity à enregistrer par pièce et rang ; ne pas confondre nom Fusion et mod de fusion.</x:v>
      </x:c>
      <x:c r="H13" s="9" t="str">
        <x:v>Variantes Integrator/Fusion/Unity à enregistrer par pièce et rang ; ne pas confondre nom Fusion et mod de fusion.</x:v>
      </x:c>
      <x:c r="I13" s="9" t="str">
        <x:v>Plaques osseuses intégrées à tenue humaine.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MEA-EQP-KETT ; contexte d’œuvre/segment et sélection de scène obligatoires.</x:v>
      </x:c>
      <x:c r="M13" s="9" t="str"/>
      <x:c r="N13" s="9" t="str">
        <x:v>Le livrable « Kett Armor » possède une scène ou un scénario de contrôle ; ses règles proposées, ses conditions et ses retours visuels sont vérifiables séparément.</x:v>
      </x:c>
      <x:c r="O13" s="9" t="str"/>
      <x:c r="P13" s="9" t="str">
        <x:v>Kett Armor</x:v>
      </x:c>
      <x:c r="Q13" s="9" t="str">
        <x:v>MEA-SRC-KETT-ARMOR</x:v>
      </x:c>
      <x:c r="R13" s="9" t="str">
        <x:v>https://masseffect.fandom.com/wiki/Kett_Armor</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MEA-EQP-REMNANT</x:v>
      </x:c>
      <x:c r="B14" s="7" t="str">
        <x:v>Remnant Armor</x:v>
      </x:c>
      <x:c r="C14" s="15" t="str">
        <x:v>Défini</x:v>
      </x:c>
      <x:c r="D14" s="17" t="str">
        <x:v>Établi</x:v>
      </x:c>
      <x:c r="E14" s="17" t="str">
        <x:v>P1</x:v>
      </x:c>
      <x:c r="F14" s="7" t="str">
        <x:v>Armure reliquate.</x:v>
      </x:c>
      <x:c r="G14" s="7" t="str">
        <x:v>Géométrie noire et lumière modérée ; effets de protection proposés séparés de l’apparence robotique.</x:v>
      </x:c>
      <x:c r="H14" s="7" t="str">
        <x:v>Géométrie noire et lumière modérée ; effets de protection proposés séparés de l’apparence robotique.</x:v>
      </x:c>
      <x:c r="I14" s="7" t="str">
        <x:v>Segments noirs et accents turquoise.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mea/equipment/remnant ; rattacher les ressources et états cités à cet identifiant. Aucun fichier de jeu créé par ce catalogue.</x:v>
      </x:c>
      <x:c r="M14" s="7" t="str"/>
      <x:c r="N14" s="7" t="str">
        <x:v>Le livrable « Remnant Armor » possède une scène ou un scénario de contrôle ; ses règles proposées, ses conditions et ses retours visuels sont vérifiables séparément.</x:v>
      </x:c>
      <x:c r="O14" s="7" t="str"/>
      <x:c r="P14" s="7" t="str">
        <x:v>Remnant Armor</x:v>
      </x:c>
      <x:c r="Q14" s="7" t="str">
        <x:v>MEA-SRC-REM-ARMOR</x:v>
      </x:c>
      <x:c r="R14" s="7" t="str">
        <x:v>https://masseffect.fandom.com/wiki/Remnant_Armor</x:v>
      </x:c>
      <x:c r="S14" s="7" t="str">
        <x:v>Spécification à réaliser. Les champs adaptation, gameplay, visual, animation, audio et implementation décrivent le fan game ; ils ne donnent pas des caractéristiques officielles de l’œuvre.</x:v>
      </x:c>
    </x:row>
    <x:row r="15" ht="68" customHeight="1">
      <x:c r="A15" s="18" t="str">
        <x:v>MEA-EQP-HELEUS</x:v>
      </x:c>
      <x:c r="B15" s="9" t="str">
        <x:v>Heleus Armor</x:v>
      </x:c>
      <x:c r="C15" s="15" t="str">
        <x:v>Prototype</x:v>
      </x:c>
      <x:c r="D15" s="16" t="str">
        <x:v>Établi</x:v>
      </x:c>
      <x:c r="E15" s="16" t="str">
        <x:v>P1</x:v>
      </x:c>
      <x:c r="F15" s="9" t="str">
        <x:v>Famille d’armure.</x:v>
      </x:c>
      <x:c r="G15" s="9" t="str">
        <x:v>Combinaison visuelle des technologies avec recette explicite ; aucune origine supplémentaire inventée dans codex.</x:v>
      </x:c>
      <x:c r="H15" s="9" t="str">
        <x:v>Combinaison visuelle des technologies avec recette explicite ; aucune origine supplémentaire inventée dans codex.</x:v>
      </x:c>
      <x:c r="I15" s="9" t="str">
        <x:v>Matériaux mixtes et détails locaux.</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Chroniques : src/universe-equipment.js, src/chronicles.js, src/combat.js. Identifiant runtime MEA-EQP-HELEUS ; contexte d’œuvre/segment et sélection de scène obligatoires.</x:v>
      </x:c>
      <x:c r="M15" s="9" t="str"/>
      <x:c r="N15" s="9" t="str">
        <x:v>Le livrable « Heleus Armor » possède une scène ou un scénario de contrôle ; ses règles proposées, ses conditions et ses retours visuels sont vérifiables séparément.</x:v>
      </x:c>
      <x:c r="O15" s="9" t="str"/>
      <x:c r="P15" s="9" t="str">
        <x:v>Heleus Armor</x:v>
      </x:c>
      <x:c r="Q15" s="9" t="str">
        <x:v>MEA-SRC-HELEUS-ARMOR</x:v>
      </x:c>
      <x:c r="R15" s="9" t="str">
        <x:v>https://masseffect.fandom.com/wiki/Heleus_Armor</x:v>
      </x:c>
      <x:c r="S1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6" ht="68" customHeight="1">
      <x:c r="A16" s="19" t="str">
        <x:v>MEA-EQP-SCAVENGER</x:v>
      </x:c>
      <x:c r="B16" s="7" t="str">
        <x:v>Scavenger Armor</x:v>
      </x:c>
      <x:c r="C16" s="15" t="str">
        <x:v>Défini</x:v>
      </x:c>
      <x:c r="D16" s="17" t="str">
        <x:v>Établi</x:v>
      </x:c>
      <x:c r="E16" s="17" t="str">
        <x:v>P1</x:v>
      </x:c>
      <x:c r="F16" s="7" t="str">
        <x:v>Armure de l’édition Deluxe.</x:v>
      </x:c>
      <x:c r="G16" s="7" t="str">
        <x:v>Preset additionnel avec compatibilités propres ; pas de slot de fusion ajouté silencieusement.</x:v>
      </x:c>
      <x:c r="H16" s="7" t="str">
        <x:v>Preset additionnel avec compatibilités propres ; pas de slot de fusion ajouté silencieusement.</x:v>
      </x:c>
      <x:c r="I16" s="7" t="str">
        <x:v>Armure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mea/equipment/scavenger ; rattacher les ressources et états cités à cet identifiant. Aucun fichier de jeu créé par ce catalogue.</x:v>
      </x:c>
      <x:c r="M16" s="7" t="str">
        <x:v>Édition compatible.</x:v>
      </x:c>
      <x:c r="N16" s="7" t="str">
        <x:v>Le livrable « Scavenger Armor » possède une scène ou un scénario de contrôle ; ses règles proposées, ses conditions et ses retours visuels sont vérifiables séparément.</x:v>
      </x:c>
      <x:c r="O16" s="7" t="str"/>
      <x:c r="P16" s="7" t="str">
        <x:v>Scavenger Armor</x:v>
      </x:c>
      <x:c r="Q16" s="7" t="str">
        <x:v>MEA-SRC-SCAV-ARMOR, MEA-SRC-EA-DELUXE</x:v>
      </x:c>
      <x:c r="R16" s="7" t="str">
        <x:v>https://masseffect.fandom.com/wiki/Scavenger_Armor
https://store.steampowered.com/app/1238000/Mass_EffectAndromeda/</x:v>
      </x:c>
      <x:c r="S16" s="7" t="str">
        <x:v>Spécification à réaliser. Les champs adaptation, gameplay, visual, animation, audio et implementation décrivent le fan game ; ils ne donnent pas des caractéristiques officielles de l’œuvre.</x:v>
      </x:c>
    </x:row>
    <x:row r="17" ht="68" customHeight="1">
      <x:c r="A17" s="18" t="str">
        <x:v>MEA-EQP-DEEP-SPACE</x:v>
      </x:c>
      <x:c r="B17" s="9" t="str">
        <x:v>Deep Space Explorer Armor</x:v>
      </x:c>
      <x:c r="C17" s="15" t="str">
        <x:v>Défini</x:v>
      </x:c>
      <x:c r="D17" s="16" t="str">
        <x:v>Établi</x:v>
      </x:c>
      <x:c r="E17" s="16" t="str">
        <x:v>P1</x:v>
      </x:c>
      <x:c r="F17" s="9" t="str">
        <x:v>Armure de l’édition Deluxe.</x:v>
      </x:c>
      <x:c r="G17" s="9" t="str">
        <x:v>Tenue d’exploration additionnelle ; séparer bonus proposés et skins du Nomad.</x:v>
      </x:c>
      <x:c r="H17" s="9" t="str">
        <x:v>Tenue d’exploration additionnelle ; séparer bonus proposés et skins du Nomad.</x:v>
      </x:c>
      <x:c r="I17" s="9" t="str">
        <x:v>Tenue de grande expédition.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mea/equipment/deep-space ; rattacher les ressources et états cités à cet identifiant. Aucun fichier de jeu créé par ce catalogue.</x:v>
      </x:c>
      <x:c r="M17" s="9" t="str">
        <x:v>Édition compatible.</x:v>
      </x:c>
      <x:c r="N17" s="9" t="str">
        <x:v>Le livrable « Deep Space Explorer Armor » possède une scène ou un scénario de contrôle ; ses règles proposées, ses conditions et ses retours visuels sont vérifiables séparément.</x:v>
      </x:c>
      <x:c r="O17" s="9" t="str"/>
      <x:c r="P17" s="9" t="str">
        <x:v>Deep Space Explorer Armor</x:v>
      </x:c>
      <x:c r="Q17" s="9" t="str">
        <x:v>MEA-SRC-EA-DELUXE, MEA-SRC-ARMOR</x:v>
      </x:c>
      <x:c r="R17" s="9" t="str">
        <x:v>https://store.steampowered.com/app/1238000/Mass_EffectAndromeda/
https://masseffect.fandom.com/wiki/Armor_%28Mass_Effect%3A_Andromeda%29</x:v>
      </x:c>
      <x:c r="S17" s="9" t="str">
        <x:v>Spécification à réaliser. Les champs adaptation, gameplay, visual, animation, audio et implementation décrivent le fan game ; ils ne donnent pas des caractéristiques officielles de l’œuvre.</x:v>
      </x:c>
    </x:row>
    <x:row r="18" ht="68" customHeight="1">
      <x:c r="A18" s="19" t="str">
        <x:v>MEA-EQP-AUGMENT</x:v>
      </x:c>
      <x:c r="B18" s="7" t="str">
        <x:v>Augmentations de fabrication</x:v>
      </x:c>
      <x:c r="C18" s="15" t="str">
        <x:v>Défini</x:v>
      </x:c>
      <x:c r="D18" s="17" t="str">
        <x:v>Établi</x:v>
      </x:c>
      <x:c r="E18" s="17" t="str">
        <x:v>P1</x:v>
      </x:c>
      <x:c r="F18" s="7" t="str">
        <x:v>Modifications intégrées lors de fabrication.</x:v>
      </x:c>
      <x:c r="G18" s="7" t="str">
        <x:v>Choisir lors de création, aperçu global et restauration lors de démontage selon règle versionnée ; ne pas confondre avec mod installé ensuite.</x:v>
      </x:c>
      <x:c r="H18" s="7" t="str">
        <x:v>Choisir lors de création, aperçu global et restauration lors de démontage selon règle versionnée ; ne pas confondre avec mod installé ensuite.</x:v>
      </x:c>
      <x:c r="I18" s="7" t="str">
        <x:v>Emplacements de recette et icônes d’effet.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mea/equipment/augment ; rattacher les ressources et états cités à cet identifiant. Aucun fichier de jeu créé par ce catalogue.</x:v>
      </x:c>
      <x:c r="M18" s="7" t="str"/>
      <x:c r="N18" s="7" t="str">
        <x:v>Le livrable « Augmentations de fabrication » possède une scène ou un scénario de contrôle ; ses règles proposées, ses conditions et ses retours visuels sont vérifiables séparément.</x:v>
      </x:c>
      <x:c r="O18" s="7" t="str"/>
      <x:c r="P18" s="7" t="str">
        <x:v>Augmentations de fabrication</x:v>
      </x:c>
      <x:c r="Q18" s="7" t="str">
        <x:v>MEA-SRC-RESEARCH, MEA-SRC-ARMOR</x:v>
      </x:c>
      <x:c r="R18" s="7" t="str">
        <x:v>https://masseffect.fandom.com/wiki/Research_Center_%28Mass_Effect%3A_Andromeda%29
https://masseffect.fandom.com/wiki/Armor_%28Mass_Effect%3A_Andromeda%29</x:v>
      </x:c>
      <x:c r="S18" s="7" t="str">
        <x:v>Spécification à réaliser. Les champs adaptation, gameplay, visual, animation, audio et implementation décrivent le fan game ; ils ne donnent pas des caractéristiques officielles de l’œuvre.</x:v>
      </x:c>
    </x:row>
    <x:row r="19" ht="68" customHeight="1">
      <x:c r="A19" s="18" t="str">
        <x:v>MEA-EQP-FUSION</x:v>
      </x:c>
      <x:c r="B19" s="9" t="str">
        <x:v>Mods de fusion</x:v>
      </x:c>
      <x:c r="C19" s="15" t="str">
        <x:v>Défini</x:v>
      </x:c>
      <x:c r="D19" s="16" t="str">
        <x:v>Établi</x:v>
      </x:c>
      <x:c r="E19" s="16" t="str">
        <x:v>P1</x:v>
      </x:c>
      <x:c r="F19" s="9" t="str">
        <x:v>Modifications d’armure spécifiques.</x:v>
      </x:c>
      <x:c r="G19" s="9" t="str">
        <x:v>Torse compatible seulement ; avantage et pénalité tous deux visibles, vérifier exceptions d’armures additionnelles.</x:v>
      </x:c>
      <x:c r="H19" s="9" t="str">
        <x:v>Torse compatible seulement ; avantage et pénalité tous deux visibles, vérifier exceptions d’armures additionnelles.</x:v>
      </x:c>
      <x:c r="I19" s="9" t="str">
        <x:v>Noyau au torse et deux lignes d’effet.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mea/equipment/fusion ; rattacher les ressources et états cités à cet identifiant. Aucun fichier de jeu créé par ce catalogue.</x:v>
      </x:c>
      <x:c r="M19" s="9" t="str"/>
      <x:c r="N19" s="9" t="str">
        <x:v>Le livrable « Mods de fusion » possède une scène ou un scénario de contrôle ; ses règles proposées, ses conditions et ses retours visuels sont vérifiables séparément.</x:v>
      </x:c>
      <x:c r="O19" s="9" t="str"/>
      <x:c r="P19" s="9" t="str">
        <x:v>Mods de fusion</x:v>
      </x:c>
      <x:c r="Q19" s="9" t="str">
        <x:v>MEA-SRC-ARMOR</x:v>
      </x:c>
      <x:c r="R19" s="9" t="str">
        <x:v>https://masseffect.fandom.com/wiki/Armor_%28Mass_Effect%3A_Andromeda%29</x:v>
      </x:c>
      <x:c r="S19" s="9" t="str">
        <x:v>Spécification à réaliser. Les champs adaptation, gameplay, visual, animation, audio et implementation décrivent le fan game ; ils ne donnent pas des caractéristiques officielles de l’œuvre.</x:v>
      </x:c>
    </x:row>
    <x:row r="20" ht="68" customHeight="1">
      <x:c r="A20" s="19" t="str">
        <x:v>MEA-EQP-WEAPON-MODS</x:v>
      </x:c>
      <x:c r="B20" s="7" t="str">
        <x:v>Mods d’armes</x:v>
      </x:c>
      <x:c r="C20" s="15" t="str">
        <x:v>Défini</x:v>
      </x:c>
      <x:c r="D20" s="17" t="str">
        <x:v>Établi</x:v>
      </x:c>
      <x:c r="E20" s="17" t="str">
        <x:v>P1</x:v>
      </x:c>
      <x:c r="F20" s="7" t="str">
        <x:v>Modifications équipables.</x:v>
      </x:c>
      <x:c r="G20" s="7" t="str">
        <x:v>Compatibilité par famille et emplacement ; comparaison conserve le cumul réel de toutes les pièces.</x:v>
      </x:c>
      <x:c r="H20" s="7" t="str">
        <x:v>Compatibilité par famille et emplacement ; comparaison conserve le cumul réel de toutes les pièces.</x:v>
      </x:c>
      <x:c r="I20" s="7" t="str">
        <x:v>Slots autour d’une arme.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mea/equipment/weapon-mods ; rattacher les ressources et états cités à cet identifiant. Aucun fichier de jeu créé par ce catalogue.</x:v>
      </x:c>
      <x:c r="M20" s="7" t="str"/>
      <x:c r="N20" s="7" t="str">
        <x:v>Le livrable « Mods d’armes » possède une scène ou un scénario de contrôle ; ses règles proposées, ses conditions et ses retours visuels sont vérifiables séparément.</x:v>
      </x:c>
      <x:c r="O20" s="7" t="str"/>
      <x:c r="P20" s="7" t="str">
        <x:v>Mods d’armes</x:v>
      </x:c>
      <x:c r="Q20" s="7" t="str">
        <x:v>MEA-SRC-WEAPONS, MEA-SRC-LOADOUT</x:v>
      </x:c>
      <x:c r="R20" s="7" t="str">
        <x:v>https://masseffect.fandom.com/wiki/Weapons_%28Mass_Effect%3A_Andromeda%29
https://masseffect.fandom.com/wiki/Loadout</x:v>
      </x:c>
      <x:c r="S20" s="7" t="str">
        <x:v>Spécification à réaliser. Les champs adaptation, gameplay, visual, animation, audio et implementation décrivent le fan game ; ils ne donnent pas des caractéristiques officielles de l’œuvre.</x:v>
      </x:c>
    </x:row>
    <x:row r="21" ht="68" customHeight="1">
      <x:c r="A21" s="18" t="str">
        <x:v>MEA-EQP-WEIGHT</x:v>
      </x:c>
      <x:c r="B21" s="9" t="str">
        <x:v>Masse du loadout</x:v>
      </x:c>
      <x:c r="C21" s="15" t="str">
        <x:v>Défini</x:v>
      </x:c>
      <x:c r="D21" s="16" t="str">
        <x:v>Établi</x:v>
      </x:c>
      <x:c r="E21" s="16" t="str">
        <x:v>P1</x:v>
      </x:c>
      <x:c r="F21" s="9" t="str">
        <x:v>L’équipement affecte le profil de jeu.</x:v>
      </x:c>
      <x:c r="G21" s="9" t="str">
        <x:v>Calcul de récupération proposé affiché avant départ ; exclusion des armes de compagnon non personnalisables.</x:v>
      </x:c>
      <x:c r="H21" s="9" t="str">
        <x:v>Calcul de récupération proposé affiché avant départ ; exclusion des armes de compagnon non personnalisables.</x:v>
      </x:c>
      <x:c r="I21" s="9" t="str">
        <x:v>Jauge de masse et cadence des compétences.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mea/equipment/weight ; rattacher les ressources et états cités à cet identifiant. Aucun fichier de jeu créé par ce catalogue.</x:v>
      </x:c>
      <x:c r="M21" s="9" t="str"/>
      <x:c r="N21" s="9" t="str">
        <x:v>Le livrable « Masse du loadout » possède une scène ou un scénario de contrôle ; ses règles proposées, ses conditions et ses retours visuels sont vérifiables séparément.</x:v>
      </x:c>
      <x:c r="O21" s="9" t="str"/>
      <x:c r="P21" s="9" t="str">
        <x:v>Masse du loadout</x:v>
      </x:c>
      <x:c r="Q21" s="9" t="str">
        <x:v>MEA-SRC-LOADOUT, MEA-SRC-COMBAT</x:v>
      </x:c>
      <x:c r="R21" s="9" t="str">
        <x:v>https://masseffect.fandom.com/wiki/Loadout
https://masseffect.fandom.com/wiki/Combat_%28Mass_Effect%3A_Andromeda%29</x:v>
      </x:c>
      <x:c r="S21" s="9" t="str">
        <x:v>Spécification à réaliser. Les champs adaptation, gameplay, visual, animation, audio et implementation décrivent le fan game ; ils ne donnent pas des caractéristiques officielles de l’œuvre.</x:v>
      </x:c>
    </x:row>
    <x:row r="22" ht="68" customHeight="1">
      <x:c r="A22" s="19" t="str">
        <x:v>MEA-EQP-AMMO-FIRE</x:v>
      </x:c>
      <x:c r="B22" s="7" t="str">
        <x:v>Munitions incendiaires — consommable</x:v>
      </x:c>
      <x:c r="C22" s="15" t="str">
        <x:v>Défini</x:v>
      </x:c>
      <x:c r="D22" s="17" t="str">
        <x:v>Établi</x:v>
      </x:c>
      <x:c r="E22" s="17" t="str">
        <x:v>P1</x:v>
      </x:c>
      <x:c r="F22" s="7" t="str">
        <x:v>MEA utilise des consommables de munitions.</x:v>
      </x:c>
      <x:c r="G22" s="7" t="str">
        <x:v>Activation sur arme compatible avec réserve et durée proposées ; aucune compétence Ammo importée automatiquement de ME3.</x:v>
      </x:c>
      <x:c r="H22" s="7" t="str">
        <x:v>Activation sur arme compatible avec réserve et durée proposées ; aucune compétence Ammo importée automatiquement de ME3.</x:v>
      </x:c>
      <x:c r="I22" s="7" t="str">
        <x:v>Chargeur orange et compteur de consommable.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mea/equipment/ammo-fire ; rattacher les ressources et états cités à cet identifiant. Aucun fichier de jeu créé par ce catalogue.</x:v>
      </x:c>
      <x:c r="M22" s="7" t="str"/>
      <x:c r="N22" s="7" t="str">
        <x:v>Le livrable « Munitions incendiaires — consommable » possède une scène ou un scénario de contrôle ; ses règles proposées, ses conditions et ses retours visuels sont vérifiables séparément.</x:v>
      </x:c>
      <x:c r="O22" s="7" t="str"/>
      <x:c r="P22" s="7" t="str">
        <x:v>Munitions incendiaires — consommable</x:v>
      </x:c>
      <x:c r="Q22" s="7" t="str">
        <x:v>MEA-SRC-COMBAT</x:v>
      </x:c>
      <x:c r="R22" s="7" t="str">
        <x:v>https://masseffect.fandom.com/wiki/Combat_%28Mass_Effect%3A_Andromeda%29</x:v>
      </x:c>
      <x:c r="S22" s="7" t="str">
        <x:v>Spécification à réaliser. Les champs adaptation, gameplay, visual, animation, audio et implementation décrivent le fan game ; ils ne donnent pas des caractéristiques officielles de l’œuvre.</x:v>
      </x:c>
    </x:row>
    <x:row r="23" ht="68" customHeight="1">
      <x:c r="A23" s="18" t="str">
        <x:v>MEA-EQP-AMMO-CRYO</x:v>
      </x:c>
      <x:c r="B23" s="9" t="str">
        <x:v>Munitions cryogéniques — consommable</x:v>
      </x:c>
      <x:c r="C23" s="15" t="str">
        <x:v>Défini</x:v>
      </x:c>
      <x:c r="D23" s="16" t="str">
        <x:v>Établi</x:v>
      </x:c>
      <x:c r="E23" s="16" t="str">
        <x:v>P1</x:v>
      </x:c>
      <x:c r="F23" s="9" t="str">
        <x:v>Type de consommable.</x:v>
      </x:c>
      <x:c r="G23" s="9" t="str">
        <x:v>Ralentissement proposé progressif, expiration et remplacement d’un autre mode visibles.</x:v>
      </x:c>
      <x:c r="H23" s="9" t="str">
        <x:v>Ralentissement proposé progressif, expiration et remplacement d’un autre mode visibles.</x:v>
      </x:c>
      <x:c r="I23" s="9" t="str">
        <x:v>Chargeur blanc et motif de givre.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mea/equipment/ammo-cryo ; rattacher les ressources et états cités à cet identifiant. Aucun fichier de jeu créé par ce catalogue.</x:v>
      </x:c>
      <x:c r="M23" s="9" t="str"/>
      <x:c r="N23" s="9" t="str">
        <x:v>Le livrable « Munitions cryogéniques — consommable » possède une scène ou un scénario de contrôle ; ses règles proposées, ses conditions et ses retours visuels sont vérifiables séparément.</x:v>
      </x:c>
      <x:c r="O23" s="9" t="str"/>
      <x:c r="P23" s="9" t="str">
        <x:v>Munitions cryogéniques — consommable</x:v>
      </x:c>
      <x:c r="Q23" s="9" t="str">
        <x:v>MEA-SRC-COMBAT</x:v>
      </x:c>
      <x:c r="R23" s="9" t="str">
        <x:v>https://masseffect.fandom.com/wiki/Combat_%28Mass_Effect%3A_Andromeda%29</x:v>
      </x:c>
      <x:c r="S23" s="9" t="str">
        <x:v>Spécification à réaliser. Les champs adaptation, gameplay, visual, animation, audio et implementation décrivent le fan game ; ils ne donnent pas des caractéristiques officielles de l’œuvre.</x:v>
      </x:c>
    </x:row>
    <x:row r="24" ht="68" customHeight="1">
      <x:c r="A24" s="19" t="str">
        <x:v>MEA-EQP-AMMO-DISRUPT</x:v>
      </x:c>
      <x:c r="B24" s="7" t="str">
        <x:v>Munitions disruptives — consommable</x:v>
      </x:c>
      <x:c r="C24" s="15" t="str">
        <x:v>Défini</x:v>
      </x:c>
      <x:c r="D24" s="17" t="str">
        <x:v>Établi</x:v>
      </x:c>
      <x:c r="E24" s="17" t="str">
        <x:v>P1</x:v>
      </x:c>
      <x:c r="F24" s="7" t="str">
        <x:v>Type de consommable.</x:v>
      </x:c>
      <x:c r="G24" s="7" t="str">
        <x:v>Effet sur protections techniques selon table proposée ; stock séparé des cellules de compétence.</x:v>
      </x:c>
      <x:c r="H24" s="7" t="str">
        <x:v>Effet sur protections techniques selon table proposée ; stock séparé des cellules de compétence.</x:v>
      </x:c>
      <x:c r="I24" s="7" t="str">
        <x:v>Chargeur bleu et éclairs.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mea/equipment/ammo-disrupt ; rattacher les ressources et états cités à cet identifiant. Aucun fichier de jeu créé par ce catalogue.</x:v>
      </x:c>
      <x:c r="M24" s="7" t="str"/>
      <x:c r="N24" s="7" t="str">
        <x:v>Le livrable « Munitions disruptives — consommable » possède une scène ou un scénario de contrôle ; ses règles proposées, ses conditions et ses retours visuels sont vérifiables séparément.</x:v>
      </x:c>
      <x:c r="O24" s="7" t="str"/>
      <x:c r="P24" s="7" t="str">
        <x:v>Munitions disruptives — consommable</x:v>
      </x:c>
      <x:c r="Q24" s="7" t="str">
        <x:v>MEA-SRC-COMBAT</x:v>
      </x:c>
      <x:c r="R24" s="7" t="str">
        <x:v>https://masseffect.fandom.com/wiki/Combat_%28Mass_Effect%3A_Andromeda%29</x:v>
      </x:c>
      <x:c r="S24" s="7" t="str">
        <x:v>Spécification à réaliser. Les champs adaptation, gameplay, visual, animation, audio et implementation décrivent le fan game ; ils ne donnent pas des caractéristiques officielles de l’œuvre.</x:v>
      </x:c>
    </x:row>
    <x:row r="25" ht="68" customHeight="1">
      <x:c r="A25" s="18" t="str">
        <x:v>MEA-EQP-SHIELD-CAP</x:v>
      </x:c>
      <x:c r="B25" s="9" t="str">
        <x:v>Shield Capacitor</x:v>
      </x:c>
      <x:c r="C25" s="15" t="str">
        <x:v>Défini</x:v>
      </x:c>
      <x:c r="D25" s="16" t="str">
        <x:v>Établi</x:v>
      </x:c>
      <x:c r="E25" s="16" t="str">
        <x:v>P1</x:v>
      </x:c>
      <x:c r="F25" s="9" t="str">
        <x:v>Consommable de protection.</x:v>
      </x:c>
      <x:c r="G25" s="9" t="str">
        <x:v>Commande de secours avec ressource débitée une fois ; pas d’application si écran de dialogue retire le combat.</x:v>
      </x:c>
      <x:c r="H25" s="9" t="str">
        <x:v>Commande de secours avec ressource débitée une fois ; pas d’application si écran de dialogue retire le combat.</x:v>
      </x:c>
      <x:c r="I25" s="9" t="str">
        <x:v>Icône de bouclier et pulse.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mea/equipment/shield-cap ; rattacher les ressources et états cités à cet identifiant. Aucun fichier de jeu créé par ce catalogue.</x:v>
      </x:c>
      <x:c r="M25" s="9" t="str"/>
      <x:c r="N25" s="9" t="str">
        <x:v>Le livrable « Shield Capacitor » possède une scène ou un scénario de contrôle ; ses règles proposées, ses conditions et ses retours visuels sont vérifiables séparément.</x:v>
      </x:c>
      <x:c r="O25" s="9" t="str"/>
      <x:c r="P25" s="9" t="str">
        <x:v>Shield Capacitor</x:v>
      </x:c>
      <x:c r="Q25" s="9" t="str">
        <x:v>MEA-SRC-COMBAT</x:v>
      </x:c>
      <x:c r="R25" s="9" t="str">
        <x:v>https://masseffect.fandom.com/wiki/Combat_%28Mass_Effect%3A_Andromeda%29</x:v>
      </x:c>
      <x:c r="S25" s="9" t="str">
        <x:v>Spécification à réaliser. Les champs adaptation, gameplay, visual, animation, audio et implementation décrivent le fan game ; ils ne donnent pas des caractéristiques officielles de l’œuvre.</x:v>
      </x:c>
    </x:row>
    <x:row r="26" ht="68" customHeight="1">
      <x:c r="A26" s="19" t="str">
        <x:v>MEA-EQP-POWER-CELLS</x:v>
      </x:c>
      <x:c r="B26" s="7" t="str">
        <x:v>Cellules de pouvoirs</x:v>
      </x:c>
      <x:c r="C26" s="15" t="str">
        <x:v>Défini</x:v>
      </x:c>
      <x:c r="D26" s="17" t="str">
        <x:v>Établi</x:v>
      </x:c>
      <x:c r="E26" s="17" t="str">
        <x:v>P1</x:v>
      </x:c>
      <x:c r="F26" s="7" t="str">
        <x:v>Certaines compétences ont une réserve limitée.</x:v>
      </x:c>
      <x:c r="G26" s="7" t="str">
        <x:v>Stock par compétence à afficher avant ordre ; ramassage réparti sans remplir arbitrairement toutes les charges.</x:v>
      </x:c>
      <x:c r="H26" s="7" t="str">
        <x:v>Stock par compétence à afficher avant ordre ; ramassage réparti sans remplir arbitrairement toutes les charges.</x:v>
      </x:c>
      <x:c r="I26" s="7" t="str">
        <x:v>Petites cellules et compteur d’icône.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mea/equipment/power-cells ; rattacher les ressources et états cités à cet identifiant. Aucun fichier de jeu créé par ce catalogue.</x:v>
      </x:c>
      <x:c r="M26" s="7" t="str"/>
      <x:c r="N26" s="7" t="str">
        <x:v>Le livrable « Cellules de pouvoirs » possède une scène ou un scénario de contrôle ; ses règles proposées, ses conditions et ses retours visuels sont vérifiables séparément.</x:v>
      </x:c>
      <x:c r="O26" s="7" t="str"/>
      <x:c r="P26" s="7" t="str">
        <x:v>Cellules de pouvoirs</x:v>
      </x:c>
      <x:c r="Q26" s="7" t="str">
        <x:v>MEA-SRC-OMNI-GRENADE, MEA-SRC-SKILLS</x:v>
      </x:c>
      <x:c r="R26" s="7" t="str">
        <x:v>https://masseffect.fandom.com/wiki/Omni_Grenade
https://masseffect.fandom.com/wiki/Skills</x:v>
      </x:c>
      <x:c r="S26" s="7" t="str">
        <x:v>Spécification à réaliser. Les champs adaptation, gameplay, visual, animation, audio et implementation décrivent le fan game ; ils ne donnent pas des caractéristiques officielles de l’œuvre.</x:v>
      </x:c>
    </x:row>
    <x:row r="27" ht="68" customHeight="1">
      <x:c r="A27" s="18" t="str">
        <x:v>MEA-EQP-NOMAD-UPGRADES</x:v>
      </x:c>
      <x:c r="B27" s="9" t="str">
        <x:v>Améliorations du Nomad</x:v>
      </x:c>
      <x:c r="C27" s="15" t="str">
        <x:v>Défini</x:v>
      </x:c>
      <x:c r="D27" s="16" t="str">
        <x:v>Établi</x:v>
      </x:c>
      <x:c r="E27" s="16" t="str">
        <x:v>P1</x:v>
      </x:c>
      <x:c r="F27" s="9" t="str">
        <x:v>Le véhicule peut être amélioré.</x:v>
      </x:c>
      <x:c r="G27" s="9" t="str">
        <x:v>Recettes et effets de véhicule séparés de Ryder ; changements de bouclier/propulsion visibles sur fiche Nomad.</x:v>
      </x:c>
      <x:c r="H27" s="9" t="str">
        <x:v>Recettes et effets de véhicule séparés de Ryder ; changements de bouclier/propulsion visibles sur fiche Nomad.</x:v>
      </x:c>
      <x:c r="I27" s="9" t="str">
        <x:v>Châssis à six roues et modules.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mea/equipment/nomad-upgrades ; rattacher les ressources et états cités à cet identifiant. Aucun fichier de jeu créé par ce catalogue.</x:v>
      </x:c>
      <x:c r="M27" s="9" t="str"/>
      <x:c r="N27" s="9" t="str">
        <x:v>Le livrable « Améliorations du Nomad » possède une scène ou un scénario de contrôle ; ses règles proposées, ses conditions et ses retours visuels sont vérifiables séparément.</x:v>
      </x:c>
      <x:c r="O27" s="9" t="str"/>
      <x:c r="P27" s="9" t="str">
        <x:v>Améliorations du Nomad</x:v>
      </x:c>
      <x:c r="Q27" s="9" t="str">
        <x:v>MEA-SRC-MISSIONS, MEA-SRC-MANUAL</x:v>
      </x:c>
      <x:c r="R27" s="9" t="str">
        <x:v>https://masseffect.fandom.com/wiki/Missions_%28Mass_Effect%3A_Andromeda%29
https://eaassets-a.akamaihd.net/eahelp/manuals/mass-effect-andromeda-pc-en.pdf</x:v>
      </x:c>
      <x:c r="S27" s="9" t="str">
        <x:v>Spécification à réaliser. Les champs adaptation, gameplay, visual, animation, audio et implementation décrivent le fan game ; ils ne donnent pas des caractéristiques officielles de l’œuvre.</x:v>
      </x:c>
    </x:row>
    <x:row r="28" ht="68" customHeight="1">
      <x:c r="A28" s="19" t="str">
        <x:v>MEA-EQP-NOMAD-SKINS</x:v>
      </x:c>
      <x:c r="B28" s="7" t="str">
        <x:v>Apparences du Nomad</x:v>
      </x:c>
      <x:c r="C28" s="15" t="str">
        <x:v>Défini</x:v>
      </x:c>
      <x:c r="D28" s="17" t="str">
        <x:v>Établi</x:v>
      </x:c>
      <x:c r="E28" s="17" t="str">
        <x:v>P1</x:v>
      </x:c>
      <x:c r="F28" s="7" t="str">
        <x:v>Des skins additionnels existent.</x:v>
      </x:c>
      <x:c r="G28" s="7" t="str">
        <x:v>Palette et peinture sans statistiques implicites ; conditions Deluxe ou autre contenu indiquées.</x:v>
      </x:c>
      <x:c r="H28" s="7" t="str">
        <x:v>Palette et peinture sans statistiques implicites ; conditions Deluxe ou autre contenu indiquées.</x:v>
      </x:c>
      <x:c r="I28" s="7" t="str">
        <x:v>Nomad avec motifs sélectionnables.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mea/equipment/nomad-skins ; rattacher les ressources et états cités à cet identifiant. Aucun fichier de jeu créé par ce catalogue.</x:v>
      </x:c>
      <x:c r="M28" s="7" t="str">
        <x:v>Selon édition et contenu.</x:v>
      </x:c>
      <x:c r="N28" s="7" t="str">
        <x:v>Le livrable « Apparences du Nomad » possède une scène ou un scénario de contrôle ; ses règles proposées, ses conditions et ses retours visuels sont vérifiables séparément.</x:v>
      </x:c>
      <x:c r="O28" s="7" t="str"/>
      <x:c r="P28" s="7" t="str">
        <x:v>Apparences du Nomad</x:v>
      </x:c>
      <x:c r="Q28" s="7" t="str">
        <x:v>MEA-SRC-EA-DELUXE, MEA-SRC-BW-106</x:v>
      </x:c>
      <x:c r="R28" s="7" t="str">
        <x:v>https://store.steampowered.com/app/1238000/Mass_EffectAndromeda/
https://blog.bioware.com/2017/05/09/mass-effect-andromeda-patch-1-06-notes/</x:v>
      </x:c>
      <x:c r="S28" s="7"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cae7b38e431147fd"/>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MEA-POW-CONCUSSIVE</x:v>
      </x:c>
      <x:c r="B7" s="9" t="str">
        <x:v>Concussive Shot</x:v>
      </x:c>
      <x:c r="C7" s="15" t="str">
        <x:v>Prototype</x:v>
      </x:c>
      <x:c r="D7" s="16" t="str">
        <x:v>Établi</x:v>
      </x:c>
      <x:c r="E7" s="16" t="str">
        <x:v>P1</x:v>
      </x:c>
      <x:c r="F7" s="9" t="str">
        <x:v>Compétence de MEA — Combat.</x:v>
      </x:c>
      <x:c r="G7" s="9" t="str">
        <x:v>Tir de déséquilibre à cible ; résistance lourde réduit déplacement sans effacer le retour d’impact.</x:v>
      </x:c>
      <x:c r="H7" s="9" t="str">
        <x:v>Tir de déséquilibre à cible ; résistance lourde réduit déplacement sans effacer le retour d’impact.</x:v>
      </x:c>
      <x:c r="I7" s="9" t="str">
        <x:v>Projectile blanc et recul.</x:v>
      </x:c>
      <x:c r="J7" s="9" t="str">
        <x:v>Aucune animation d’activation pour les passifs ; pour une action, pose anticipée, effet à événement unique et reprise compatible avec saut/sol.</x:v>
      </x:c>
      <x:c r="K7" s="9" t="str">
        <x:v>Signature originale par famille ; signal de disponibilité distinct du signal d’impact, équivalents visuels pour les informations utiles.</x:v>
      </x:c>
      <x:c r="L7" s="9" t="str">
        <x:v>Prototype partiel : liaison MEA-POW-CONCUSSIVE dans src/universe-powers.js, exposition par src/universe-actors.js, action native dans src/combat.js. Les acteurs, scènes et préparations autorisés sont explicitement listés par getUniversePowerUsage().</x:v>
      </x:c>
      <x:c r="M7" s="9" t="str">
        <x:v>Combat</x:v>
      </x:c>
      <x:c r="N7" s="9" t="str">
        <x:v>Concussive Shot : contrôler cible, protections, portée, coût, interruption et fin d’effet ; un passif n’apparaît jamais comme action sélectionnable et un pouvoir d’allié n’entre pas dans le build de Ryder par erreur.</x:v>
      </x:c>
      <x:c r="O7" s="9" t="str"/>
      <x:c r="P7" s="9" t="str">
        <x:v>Concussive Shot</x:v>
      </x:c>
      <x:c r="Q7" s="9" t="str">
        <x:v>MEA-SRC-SKILLS</x:v>
      </x:c>
      <x:c r="R7" s="9" t="str">
        <x:v>https://masseffect.fandom.com/wiki/Skills</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68" customHeight="1">
      <x:c r="A8" s="19" t="str">
        <x:v>MEA-POW-OMNI-GRENADE</x:v>
      </x:c>
      <x:c r="B8" s="7" t="str">
        <x:v>Omni Grenade</x:v>
      </x:c>
      <x:c r="C8" s="15" t="str">
        <x:v>Défini</x:v>
      </x:c>
      <x:c r="D8" s="17" t="str">
        <x:v>Établi</x:v>
      </x:c>
      <x:c r="E8" s="17" t="str">
        <x:v>P1</x:v>
      </x:c>
      <x:c r="F8" s="7" t="str">
        <x:v>Compétence de MEA — Combat.</x:v>
      </x:c>
      <x:c r="G8" s="7" t="str">
        <x:v>Grenade à réserve et fusée proposées ; option de maintien remplacée par sélection explicite du délai pour accessibilité ATB.</x:v>
      </x:c>
      <x:c r="H8" s="7" t="str">
        <x:v>Grenade à réserve et fusée proposées ; option de maintien remplacée par sélection explicite du délai pour accessibilité ATB.</x:v>
      </x:c>
      <x:c r="I8" s="7" t="str">
        <x:v>Arc et cercle d’explosion.</x:v>
      </x:c>
      <x:c r="J8" s="7" t="str">
        <x:v>Aucune animation d’activation pour les passifs ; pour une action, pose anticipée, effet à événement unique et reprise compatible avec saut/sol.</x:v>
      </x:c>
      <x:c r="K8" s="7" t="str">
        <x:v>Signature originale par famille ; signal de disponibilité distinct du signal d’impact, équivalents visuels pour les informations utiles.</x:v>
      </x:c>
      <x:c r="L8" s="7" t="str">
        <x:v>Prévu : fiche de données mea/powers/omni-grenade ; rattacher les ressources et états cités à cet identifiant. Aucun fichier de jeu créé par ce catalogue.</x:v>
      </x:c>
      <x:c r="M8" s="7" t="str">
        <x:v>Combat</x:v>
      </x:c>
      <x:c r="N8" s="7" t="str">
        <x:v>Omni Grenade : contrôler cible, protections, portée, coût, interruption et fin d’effet ; un passif n’apparaît jamais comme action sélectionnable et un pouvoir d’allié n’entre pas dans le build de Ryder par erreur.</x:v>
      </x:c>
      <x:c r="O8" s="7" t="str"/>
      <x:c r="P8" s="7" t="str">
        <x:v>Omni Grenade</x:v>
      </x:c>
      <x:c r="Q8" s="7" t="str">
        <x:v>MEA-SRC-OMNI-GRENADE</x:v>
      </x:c>
      <x:c r="R8" s="7" t="str">
        <x:v>https://masseffect.fandom.com/wiki/Omni_Grenade</x:v>
      </x:c>
      <x:c r="S8" s="7" t="str">
        <x:v>Spécification à réaliser. Les champs adaptation, gameplay, visual, animation, audio et implementation décrivent le fan game ; ils ne donnent pas des caractéristiques officielles de l’œuvre.</x:v>
      </x:c>
    </x:row>
    <x:row r="9" ht="68" customHeight="1">
      <x:c r="A9" s="18" t="str">
        <x:v>MEA-POW-TRIP-MINE</x:v>
      </x:c>
      <x:c r="B9" s="9" t="str">
        <x:v>Trip Mine</x:v>
      </x:c>
      <x:c r="C9" s="15" t="str">
        <x:v>Défini</x:v>
      </x:c>
      <x:c r="D9" s="16" t="str">
        <x:v>Établi</x:v>
      </x:c>
      <x:c r="E9" s="16" t="str">
        <x:v>P1</x:v>
      </x:c>
      <x:c r="F9" s="9" t="str">
        <x:v>Compétence de MEA — Combat.</x:v>
      </x:c>
      <x:c r="G9" s="9" t="str">
        <x:v>Poser deux points de détection compatibles ; segment de déclenchement visible, explosion à rayon séparé.</x:v>
      </x:c>
      <x:c r="H9" s="9" t="str">
        <x:v>Poser deux points de détection compatibles ; segment de déclenchement visible, explosion à rayon séparé.</x:v>
      </x:c>
      <x:c r="I9" s="9" t="str">
        <x:v>Ligne laser et petite mine.</x:v>
      </x:c>
      <x:c r="J9" s="9" t="str">
        <x:v>Aucune animation d’activation pour les passifs ; pour une action, pose anticipée, effet à événement unique et reprise compatible avec saut/sol.</x:v>
      </x:c>
      <x:c r="K9" s="9" t="str">
        <x:v>Signature originale par famille ; signal de disponibilité distinct du signal d’impact, équivalents visuels pour les informations utiles.</x:v>
      </x:c>
      <x:c r="L9" s="9" t="str">
        <x:v>Prévu : fiche de données mea/powers/trip-mine ; rattacher les ressources et états cités à cet identifiant. Aucun fichier de jeu créé par ce catalogue.</x:v>
      </x:c>
      <x:c r="M9" s="9" t="str">
        <x:v>Combat</x:v>
      </x:c>
      <x:c r="N9" s="9" t="str">
        <x:v>Trip Mine : contrôler cible, protections, portée, coût, interruption et fin d’effet ; un passif n’apparaît jamais comme action sélectionnable et un pouvoir d’allié n’entre pas dans le build de Ryder par erreur.</x:v>
      </x:c>
      <x:c r="O9" s="9" t="str"/>
      <x:c r="P9" s="9" t="str">
        <x:v>Trip Mine</x:v>
      </x:c>
      <x:c r="Q9" s="9" t="str">
        <x:v>MEA-SRC-SKILLS</x:v>
      </x:c>
      <x:c r="R9" s="9" t="str">
        <x:v>https://masseffect.fandom.com/wiki/Skills</x:v>
      </x:c>
      <x:c r="S9" s="9" t="str">
        <x:v>Spécification à réaliser. Les champs adaptation, gameplay, visual, animation, audio et implementation décrivent le fan game ; ils ne donnent pas des caractéristiques officielles de l’œuvre.</x:v>
      </x:c>
    </x:row>
    <x:row r="10" ht="68" customHeight="1">
      <x:c r="A10" s="19" t="str">
        <x:v>MEA-POW-TURBOCHARGE</x:v>
      </x:c>
      <x:c r="B10" s="7" t="str">
        <x:v>Turbocharge</x:v>
      </x:c>
      <x:c r="C10" s="15" t="str">
        <x:v>Défini</x:v>
      </x:c>
      <x:c r="D10" s="17" t="str">
        <x:v>Établi</x:v>
      </x:c>
      <x:c r="E10" s="17" t="str">
        <x:v>P1</x:v>
      </x:c>
      <x:c r="F10" s="7" t="str">
        <x:v>Compétence de MEA — Combat.</x:v>
      </x:c>
      <x:c r="G10" s="7" t="str">
        <x:v>Fenêtre de tir renforcée proposée ; aperçu affiche effet sur arme équipée et consommation accrue éventuelle.</x:v>
      </x:c>
      <x:c r="H10" s="7" t="str">
        <x:v>Fenêtre de tir renforcée proposée ; aperçu affiche effet sur arme équipée et consommation accrue éventuelle.</x:v>
      </x:c>
      <x:c r="I10" s="7" t="str">
        <x:v>Arme surlignée et jauge de durée.</x:v>
      </x:c>
      <x:c r="J10" s="7" t="str">
        <x:v>Aucune animation d’activation pour les passifs ; pour une action, pose anticipée, effet à événement unique et reprise compatible avec saut/sol.</x:v>
      </x:c>
      <x:c r="K10" s="7" t="str">
        <x:v>Signature originale par famille ; signal de disponibilité distinct du signal d’impact, équivalents visuels pour les informations utiles.</x:v>
      </x:c>
      <x:c r="L10" s="7" t="str">
        <x:v>Prévu : fiche de données mea/powers/turbocharge ; rattacher les ressources et états cités à cet identifiant. Aucun fichier de jeu créé par ce catalogue.</x:v>
      </x:c>
      <x:c r="M10" s="7" t="str">
        <x:v>Combat</x:v>
      </x:c>
      <x:c r="N10" s="7" t="str">
        <x:v>Turbocharge : contrôler cible, protections, portée, coût, interruption et fin d’effet ; un passif n’apparaît jamais comme action sélectionnable et un pouvoir d’allié n’entre pas dans le build de Ryder par erreur.</x:v>
      </x:c>
      <x:c r="O10" s="7" t="str"/>
      <x:c r="P10" s="7" t="str">
        <x:v>Turbocharge</x:v>
      </x:c>
      <x:c r="Q10" s="7" t="str">
        <x:v>MEA-SRC-SKILLS</x:v>
      </x:c>
      <x:c r="R10" s="7" t="str">
        <x:v>https://masseffect.fandom.com/wiki/Skills</x:v>
      </x:c>
      <x:c r="S10" s="7" t="str">
        <x:v>Spécification à réaliser. Les champs adaptation, gameplay, visual, animation, audio et implementation décrivent le fan game ; ils ne donnent pas des caractéristiques officielles de l’œuvre.</x:v>
      </x:c>
    </x:row>
    <x:row r="11" ht="68" customHeight="1">
      <x:c r="A11" s="18" t="str">
        <x:v>MEA-POW-BARRICADE</x:v>
      </x:c>
      <x:c r="B11" s="9" t="str">
        <x:v>Barricade</x:v>
      </x:c>
      <x:c r="C11" s="15" t="str">
        <x:v>Défini</x:v>
      </x:c>
      <x:c r="D11" s="16" t="str">
        <x:v>Établi</x:v>
      </x:c>
      <x:c r="E11" s="16" t="str">
        <x:v>P1</x:v>
      </x:c>
      <x:c r="F11" s="9" t="str">
        <x:v>Compétence de MEA — Combat.</x:v>
      </x:c>
      <x:c r="G11" s="9" t="str">
        <x:v>Couvert déployable orienté avant pose ; interdire placement qui enferme un allié ou bloque unique sortie.</x:v>
      </x:c>
      <x:c r="H11" s="9" t="str">
        <x:v>Couvert déployable orienté avant pose ; interdire placement qui enferme un allié ou bloque unique sortie.</x:v>
      </x:c>
      <x:c r="I11" s="9" t="str">
        <x:v>Plaque holographique basse.</x:v>
      </x:c>
      <x:c r="J11" s="9" t="str">
        <x:v>Aucune animation d’activation pour les passifs ; pour une action, pose anticipée, effet à événement unique et reprise compatible avec saut/sol.</x:v>
      </x:c>
      <x:c r="K11" s="9" t="str">
        <x:v>Signature originale par famille ; signal de disponibilité distinct du signal d’impact, équivalents visuels pour les informations utiles.</x:v>
      </x:c>
      <x:c r="L11" s="9" t="str">
        <x:v>Prévu : fiche de données mea/powers/barricade ; rattacher les ressources et états cités à cet identifiant. Aucun fichier de jeu créé par ce catalogue.</x:v>
      </x:c>
      <x:c r="M11" s="9" t="str">
        <x:v>Combat</x:v>
      </x:c>
      <x:c r="N11" s="9" t="str">
        <x:v>Barricade : contrôler cible, protections, portée, coût, interruption et fin d’effet ; un passif n’apparaît jamais comme action sélectionnable et un pouvoir d’allié n’entre pas dans le build de Ryder par erreur.</x:v>
      </x:c>
      <x:c r="O11" s="9" t="str"/>
      <x:c r="P11" s="9" t="str">
        <x:v>Barricade</x:v>
      </x:c>
      <x:c r="Q11" s="9" t="str">
        <x:v>MEA-SRC-BARRICADE</x:v>
      </x:c>
      <x:c r="R11" s="9" t="str">
        <x:v>https://masseffect.fandom.com/wiki/Barricade_%28skill%29</x:v>
      </x:c>
      <x:c r="S11" s="9" t="str">
        <x:v>Spécification à réaliser. Les champs adaptation, gameplay, visual, animation, audio et implementation décrivent le fan game ; ils ne donnent pas des caractéristiques officielles de l’œuvre.</x:v>
      </x:c>
    </x:row>
    <x:row r="12" ht="68" customHeight="1">
      <x:c r="A12" s="19" t="str">
        <x:v>MEA-POW-FLAK</x:v>
      </x:c>
      <x:c r="B12" s="7" t="str">
        <x:v>Flak Cannon</x:v>
      </x:c>
      <x:c r="C12" s="15" t="str">
        <x:v>Défini</x:v>
      </x:c>
      <x:c r="D12" s="17" t="str">
        <x:v>Établi</x:v>
      </x:c>
      <x:c r="E12" s="17" t="str">
        <x:v>P1</x:v>
      </x:c>
      <x:c r="F12" s="7" t="str">
        <x:v>Compétence de MEA — Combat.</x:v>
      </x:c>
      <x:c r="G12" s="7" t="str">
        <x:v>Cône de fragments à charge limitée ; cibles et résistance d’armure prévisualisées.</x:v>
      </x:c>
      <x:c r="H12" s="7" t="str">
        <x:v>Cône de fragments à charge limitée ; cibles et résistance d’armure prévisualisées.</x:v>
      </x:c>
      <x:c r="I12" s="7" t="str">
        <x:v>Éclats orange en éventail.</x:v>
      </x:c>
      <x:c r="J12" s="7" t="str">
        <x:v>Aucune animation d’activation pour les passifs ; pour une action, pose anticipée, effet à événement unique et reprise compatible avec saut/sol.</x:v>
      </x:c>
      <x:c r="K12" s="7" t="str">
        <x:v>Signature originale par famille ; signal de disponibilité distinct du signal d’impact, équivalents visuels pour les informations utiles.</x:v>
      </x:c>
      <x:c r="L12" s="7" t="str">
        <x:v>Prévu : fiche de données mea/powers/flak ; rattacher les ressources et états cités à cet identifiant. Aucun fichier de jeu créé par ce catalogue.</x:v>
      </x:c>
      <x:c r="M12" s="7" t="str">
        <x:v>Combat</x:v>
      </x:c>
      <x:c r="N12" s="7" t="str">
        <x:v>Flak Cannon : contrôler cible, protections, portée, coût, interruption et fin d’effet ; un passif n’apparaît jamais comme action sélectionnable et un pouvoir d’allié n’entre pas dans le build de Ryder par erreur.</x:v>
      </x:c>
      <x:c r="O12" s="7" t="str"/>
      <x:c r="P12" s="7" t="str">
        <x:v>Flak Cannon</x:v>
      </x:c>
      <x:c r="Q12" s="7" t="str">
        <x:v>MEA-SRC-FLAK</x:v>
      </x:c>
      <x:c r="R12" s="7" t="str">
        <x:v>https://masseffect.fandom.com/wiki/Flak_Cannon</x:v>
      </x:c>
      <x:c r="S12" s="7" t="str">
        <x:v>Spécification à réaliser. Les champs adaptation, gameplay, visual, animation, audio et implementation décrivent le fan game ; ils ne donnent pas des caractéristiques officielles de l’œuvre.</x:v>
      </x:c>
    </x:row>
    <x:row r="13" ht="68" customHeight="1">
      <x:c r="A13" s="18" t="str">
        <x:v>MEA-POW-PISTOLS</x:v>
      </x:c>
      <x:c r="B13" s="9" t="str">
        <x:v>Pistols</x:v>
      </x:c>
      <x:c r="C13" s="15" t="str">
        <x:v>Défini</x:v>
      </x:c>
      <x:c r="D13" s="16" t="str">
        <x:v>Établi</x:v>
      </x:c>
      <x:c r="E13" s="16" t="str">
        <x:v>P1</x:v>
      </x:c>
      <x:c r="F13" s="9" t="str">
        <x:v>Compétence de MEA — Passif combat.</x:v>
      </x:c>
      <x:c r="G13" s="9" t="str">
        <x:v>Améliorer famille pistolets dans l’arbre proposé ; affecte aussi armes automatiques classées pistolets, sans slot SMG ajouté.</x:v>
      </x:c>
      <x:c r="H13" s="9" t="str">
        <x:v>Améliorer famille pistolets dans l’arbre proposé ; affecte aussi armes automatiques classées pistolets, sans slot SMG ajouté.</x:v>
      </x:c>
      <x:c r="I13" s="9" t="str">
        <x:v>Icône d’arme courte.</x:v>
      </x:c>
      <x:c r="J13" s="9" t="str">
        <x:v>Aucune animation d’activation pour les passifs ; pour une action, pose anticipée, effet à événement unique et reprise compatible avec saut/sol.</x:v>
      </x:c>
      <x:c r="K13" s="9" t="str">
        <x:v>Signature originale par famille ; signal de disponibilité distinct du signal d’impact, équivalents visuels pour les informations utiles.</x:v>
      </x:c>
      <x:c r="L13" s="9" t="str">
        <x:v>Prévu : fiche de données mea/powers/pistols ; rattacher les ressources et états cités à cet identifiant. Aucun fichier de jeu créé par ce catalogue.</x:v>
      </x:c>
      <x:c r="M13" s="9" t="str">
        <x:v>Passif combat</x:v>
      </x:c>
      <x:c r="N13" s="9" t="str">
        <x:v>Pistols : contrôler cible, protections, portée, coût, interruption et fin d’effet ; un passif n’apparaît jamais comme action sélectionnable et un pouvoir d’allié n’entre pas dans le build de Ryder par erreur.</x:v>
      </x:c>
      <x:c r="O13" s="9" t="str"/>
      <x:c r="P13" s="9" t="str">
        <x:v>Pistols</x:v>
      </x:c>
      <x:c r="Q13" s="9" t="str">
        <x:v>MEA-SRC-SKILLS</x:v>
      </x:c>
      <x:c r="R13" s="9" t="str">
        <x:v>https://masseffect.fandom.com/wiki/Skills</x:v>
      </x:c>
      <x:c r="S13" s="9" t="str">
        <x:v>Spécification à réaliser. Les champs adaptation, gameplay, visual, animation, audio et implementation décrivent le fan game ; ils ne donnent pas des caractéristiques officielles de l’œuvre.</x:v>
      </x:c>
    </x:row>
    <x:row r="14" ht="68" customHeight="1">
      <x:c r="A14" s="19" t="str">
        <x:v>MEA-POW-ASSAULT-RIFLES</x:v>
      </x:c>
      <x:c r="B14" s="7" t="str">
        <x:v>Assault Rifles</x:v>
      </x:c>
      <x:c r="C14" s="15" t="str">
        <x:v>Défini</x:v>
      </x:c>
      <x:c r="D14" s="17" t="str">
        <x:v>Établi</x:v>
      </x:c>
      <x:c r="E14" s="17" t="str">
        <x:v>P1</x:v>
      </x:c>
      <x:c r="F14" s="7" t="str">
        <x:v>Compétence de MEA — Passif combat.</x:v>
      </x:c>
      <x:c r="G14" s="7" t="str">
        <x:v>Bonus de stabilité/efficacité proposés ; récapitulatif du gain actif sur arme tenue.</x:v>
      </x:c>
      <x:c r="H14" s="7" t="str">
        <x:v>Bonus de stabilité/efficacité proposés ; récapitulatif du gain actif sur arme tenue.</x:v>
      </x:c>
      <x:c r="I14" s="7" t="str">
        <x:v>Icône de fusil.</x:v>
      </x:c>
      <x:c r="J14" s="7" t="str">
        <x:v>Aucune animation d’activation pour les passifs ; pour une action, pose anticipée, effet à événement unique et reprise compatible avec saut/sol.</x:v>
      </x:c>
      <x:c r="K14" s="7" t="str">
        <x:v>Signature originale par famille ; signal de disponibilité distinct du signal d’impact, équivalents visuels pour les informations utiles.</x:v>
      </x:c>
      <x:c r="L14" s="7" t="str">
        <x:v>Prévu : fiche de données mea/powers/assault-rifles ; rattacher les ressources et états cités à cet identifiant. Aucun fichier de jeu créé par ce catalogue.</x:v>
      </x:c>
      <x:c r="M14" s="7" t="str">
        <x:v>Passif combat</x:v>
      </x:c>
      <x:c r="N14" s="7" t="str">
        <x:v>Assault Rifles : contrôler cible, protections, portée, coût, interruption et fin d’effet ; un passif n’apparaît jamais comme action sélectionnable et un pouvoir d’allié n’entre pas dans le build de Ryder par erreur.</x:v>
      </x:c>
      <x:c r="O14" s="7" t="str"/>
      <x:c r="P14" s="7" t="str">
        <x:v>Assault Rifles</x:v>
      </x:c>
      <x:c r="Q14" s="7" t="str">
        <x:v>MEA-SRC-SKILLS</x:v>
      </x:c>
      <x:c r="R14" s="7" t="str">
        <x:v>https://masseffect.fandom.com/wiki/Skills</x:v>
      </x:c>
      <x:c r="S14" s="7" t="str">
        <x:v>Spécification à réaliser. Les champs adaptation, gameplay, visual, animation, audio et implementation décrivent le fan game ; ils ne donnent pas des caractéristiques officielles de l’œuvre.</x:v>
      </x:c>
    </x:row>
    <x:row r="15" ht="68" customHeight="1">
      <x:c r="A15" s="18" t="str">
        <x:v>MEA-POW-SHOTGUNS</x:v>
      </x:c>
      <x:c r="B15" s="9" t="str">
        <x:v>Shotguns</x:v>
      </x:c>
      <x:c r="C15" s="15" t="str">
        <x:v>Défini</x:v>
      </x:c>
      <x:c r="D15" s="16" t="str">
        <x:v>Établi</x:v>
      </x:c>
      <x:c r="E15" s="16" t="str">
        <x:v>P1</x:v>
      </x:c>
      <x:c r="F15" s="9" t="str">
        <x:v>Compétence de MEA — Passif combat.</x:v>
      </x:c>
      <x:c r="G15" s="9" t="str">
        <x:v>Réglage de dispersion et de reprise proposé ; ne modifie pas visuellement le cône sans mettre à jour l’aperçu.</x:v>
      </x:c>
      <x:c r="H15" s="9" t="str">
        <x:v>Réglage de dispersion et de reprise proposé ; ne modifie pas visuellement le cône sans mettre à jour l’aperçu.</x:v>
      </x:c>
      <x:c r="I15" s="9" t="str">
        <x:v>Cône court.</x:v>
      </x:c>
      <x:c r="J15" s="9" t="str">
        <x:v>Aucune animation d’activation pour les passifs ; pour une action, pose anticipée, effet à événement unique et reprise compatible avec saut/sol.</x:v>
      </x:c>
      <x:c r="K15" s="9" t="str">
        <x:v>Signature originale par famille ; signal de disponibilité distinct du signal d’impact, équivalents visuels pour les informations utiles.</x:v>
      </x:c>
      <x:c r="L15" s="9" t="str">
        <x:v>Prévu : fiche de données mea/powers/shotguns ; rattacher les ressources et états cités à cet identifiant. Aucun fichier de jeu créé par ce catalogue.</x:v>
      </x:c>
      <x:c r="M15" s="9" t="str">
        <x:v>Passif combat</x:v>
      </x:c>
      <x:c r="N15" s="9" t="str">
        <x:v>Shotguns : contrôler cible, protections, portée, coût, interruption et fin d’effet ; un passif n’apparaît jamais comme action sélectionnable et un pouvoir d’allié n’entre pas dans le build de Ryder par erreur.</x:v>
      </x:c>
      <x:c r="O15" s="9" t="str"/>
      <x:c r="P15" s="9" t="str">
        <x:v>Shotguns</x:v>
      </x:c>
      <x:c r="Q15" s="9" t="str">
        <x:v>MEA-SRC-SKILLS</x:v>
      </x:c>
      <x:c r="R15" s="9" t="str">
        <x:v>https://masseffect.fandom.com/wiki/Skills</x:v>
      </x:c>
      <x:c r="S15" s="9" t="str">
        <x:v>Spécification à réaliser. Les champs adaptation, gameplay, visual, animation, audio et implementation décrivent le fan game ; ils ne donnent pas des caractéristiques officielles de l’œuvre.</x:v>
      </x:c>
    </x:row>
    <x:row r="16" ht="68" customHeight="1">
      <x:c r="A16" s="19" t="str">
        <x:v>MEA-POW-SNIPERS</x:v>
      </x:c>
      <x:c r="B16" s="7" t="str">
        <x:v>Sniper Rifles</x:v>
      </x:c>
      <x:c r="C16" s="15" t="str">
        <x:v>Défini</x:v>
      </x:c>
      <x:c r="D16" s="17" t="str">
        <x:v>Établi</x:v>
      </x:c>
      <x:c r="E16" s="17" t="str">
        <x:v>P1</x:v>
      </x:c>
      <x:c r="F16" s="7" t="str">
        <x:v>Compétence de MEA — Passif combat.</x:v>
      </x:c>
      <x:c r="G16" s="7" t="str">
        <x:v>Bonus de visée proposés, temps d’engagement visible ; aucune pénétration de mur universelle gratuite.</x:v>
      </x:c>
      <x:c r="H16" s="7" t="str">
        <x:v>Bonus de visée proposés, temps d’engagement visible ; aucune pénétration de mur universelle gratuite.</x:v>
      </x:c>
      <x:c r="I16" s="7" t="str">
        <x:v>Lunette et ligne de visée.</x:v>
      </x:c>
      <x:c r="J16" s="7" t="str">
        <x:v>Aucune animation d’activation pour les passifs ; pour une action, pose anticipée, effet à événement unique et reprise compatible avec saut/sol.</x:v>
      </x:c>
      <x:c r="K16" s="7" t="str">
        <x:v>Signature originale par famille ; signal de disponibilité distinct du signal d’impact, équivalents visuels pour les informations utiles.</x:v>
      </x:c>
      <x:c r="L16" s="7" t="str">
        <x:v>Prévu : fiche de données mea/powers/snipers ; rattacher les ressources et états cités à cet identifiant. Aucun fichier de jeu créé par ce catalogue.</x:v>
      </x:c>
      <x:c r="M16" s="7" t="str">
        <x:v>Passif combat</x:v>
      </x:c>
      <x:c r="N16" s="7" t="str">
        <x:v>Sniper Rifles : contrôler cible, protections, portée, coût, interruption et fin d’effet ; un passif n’apparaît jamais comme action sélectionnable et un pouvoir d’allié n’entre pas dans le build de Ryder par erreur.</x:v>
      </x:c>
      <x:c r="O16" s="7" t="str"/>
      <x:c r="P16" s="7" t="str">
        <x:v>Sniper Rifles</x:v>
      </x:c>
      <x:c r="Q16" s="7" t="str">
        <x:v>MEA-SRC-SKILLS</x:v>
      </x:c>
      <x:c r="R16" s="7" t="str">
        <x:v>https://masseffect.fandom.com/wiki/Skills</x:v>
      </x:c>
      <x:c r="S16" s="7" t="str">
        <x:v>Spécification à réaliser. Les champs adaptation, gameplay, visual, animation, audio et implementation décrivent le fan game ; ils ne donnent pas des caractéristiques officielles de l’œuvre.</x:v>
      </x:c>
    </x:row>
    <x:row r="17" ht="68" customHeight="1">
      <x:c r="A17" s="18" t="str">
        <x:v>MEA-POW-FITNESS</x:v>
      </x:c>
      <x:c r="B17" s="9" t="str">
        <x:v>Combat Fitness</x:v>
      </x:c>
      <x:c r="C17" s="15" t="str">
        <x:v>Défini</x:v>
      </x:c>
      <x:c r="D17" s="16" t="str">
        <x:v>Établi</x:v>
      </x:c>
      <x:c r="E17" s="16" t="str">
        <x:v>P1</x:v>
      </x:c>
      <x:c r="F17" s="9" t="str">
        <x:v>Compétence de MEA — Passif combat.</x:v>
      </x:c>
      <x:c r="G17" s="9" t="str">
        <x:v>Capacités corporelles et emplacements de loadout proposés ; migration recalcule maxima sans guérir gratuitement en boucle.</x:v>
      </x:c>
      <x:c r="H17" s="9" t="str">
        <x:v>Capacités corporelles et emplacements de loadout proposés ; migration recalcule maxima sans guérir gratuitement en boucle.</x:v>
      </x:c>
      <x:c r="I17" s="9" t="str">
        <x:v>Silhouette et emplacements d’armes.</x:v>
      </x:c>
      <x:c r="J17" s="9" t="str">
        <x:v>Aucune animation d’activation pour les passifs ; pour une action, pose anticipée, effet à événement unique et reprise compatible avec saut/sol.</x:v>
      </x:c>
      <x:c r="K17" s="9" t="str">
        <x:v>Signature originale par famille ; signal de disponibilité distinct du signal d’impact, équivalents visuels pour les informations utiles.</x:v>
      </x:c>
      <x:c r="L17" s="9" t="str">
        <x:v>Prévu : fiche de données mea/powers/fitness ; rattacher les ressources et états cités à cet identifiant. Aucun fichier de jeu créé par ce catalogue.</x:v>
      </x:c>
      <x:c r="M17" s="9" t="str">
        <x:v>Passif combat</x:v>
      </x:c>
      <x:c r="N17" s="9" t="str">
        <x:v>Combat Fitness : contrôler cible, protections, portée, coût, interruption et fin d’effet ; un passif n’apparaît jamais comme action sélectionnable et un pouvoir d’allié n’entre pas dans le build de Ryder par erreur.</x:v>
      </x:c>
      <x:c r="O17" s="9" t="str"/>
      <x:c r="P17" s="9" t="str">
        <x:v>Combat Fitness</x:v>
      </x:c>
      <x:c r="Q17" s="9" t="str">
        <x:v>MEA-SRC-SKILLS</x:v>
      </x:c>
      <x:c r="R17" s="9" t="str">
        <x:v>https://masseffect.fandom.com/wiki/Skills</x:v>
      </x:c>
      <x:c r="S17" s="9" t="str">
        <x:v>Spécification à réaliser. Les champs adaptation, gameplay, visual, animation, audio et implementation décrivent le fan game ; ils ne donnent pas des caractéristiques officielles de l’œuvre.</x:v>
      </x:c>
    </x:row>
    <x:row r="18" ht="68" customHeight="1">
      <x:c r="A18" s="19" t="str">
        <x:v>MEA-POW-COMBAT-TOOLS</x:v>
      </x:c>
      <x:c r="B18" s="7" t="str">
        <x:v>Combat Tools</x:v>
      </x:c>
      <x:c r="C18" s="15" t="str">
        <x:v>Défini</x:v>
      </x:c>
      <x:c r="D18" s="17" t="str">
        <x:v>Établi</x:v>
      </x:c>
      <x:c r="E18" s="17" t="str">
        <x:v>P1</x:v>
      </x:c>
      <x:c r="F18" s="7" t="str">
        <x:v>Compétence de MEA — Passif combat.</x:v>
      </x:c>
      <x:c r="G18" s="7" t="str">
        <x:v>Effets de mêlée et consommables selon choix d’arbre ; séparer gain passif de charge active.</x:v>
      </x:c>
      <x:c r="H18" s="7" t="str">
        <x:v>Effets de mêlée et consommables selon choix d’arbre ; séparer gain passif de charge active.</x:v>
      </x:c>
      <x:c r="I18" s="7" t="str">
        <x:v>Omni-outil et arme de contact.</x:v>
      </x:c>
      <x:c r="J18" s="7" t="str">
        <x:v>Aucune animation d’activation pour les passifs ; pour une action, pose anticipée, effet à événement unique et reprise compatible avec saut/sol.</x:v>
      </x:c>
      <x:c r="K18" s="7" t="str">
        <x:v>Signature originale par famille ; signal de disponibilité distinct du signal d’impact, équivalents visuels pour les informations utiles.</x:v>
      </x:c>
      <x:c r="L18" s="7" t="str">
        <x:v>Prévu : fiche de données mea/powers/combat-tools ; rattacher les ressources et états cités à cet identifiant. Aucun fichier de jeu créé par ce catalogue.</x:v>
      </x:c>
      <x:c r="M18" s="7" t="str">
        <x:v>Passif combat</x:v>
      </x:c>
      <x:c r="N18" s="7" t="str">
        <x:v>Combat Tools : contrôler cible, protections, portée, coût, interruption et fin d’effet ; un passif n’apparaît jamais comme action sélectionnable et un pouvoir d’allié n’entre pas dans le build de Ryder par erreur.</x:v>
      </x:c>
      <x:c r="O18" s="7" t="str"/>
      <x:c r="P18" s="7" t="str">
        <x:v>Combat Tools</x:v>
      </x:c>
      <x:c r="Q18" s="7" t="str">
        <x:v>MEA-SRC-TOOLS</x:v>
      </x:c>
      <x:c r="R18" s="7" t="str">
        <x:v>https://masseffect.fandom.com/wiki/Combat_Tools</x:v>
      </x:c>
      <x:c r="S18" s="7" t="str">
        <x:v>Spécification à réaliser. Les champs adaptation, gameplay, visual, animation, audio et implementation décrivent le fan game ; ils ne donnent pas des caractéristiques officielles de l’œuvre.</x:v>
      </x:c>
    </x:row>
    <x:row r="19" ht="96" customHeight="1">
      <x:c r="A19" s="18" t="str">
        <x:v>MEA-POW-THROW</x:v>
      </x:c>
      <x:c r="B19" s="9" t="str">
        <x:v>Throw</x:v>
      </x:c>
      <x:c r="C19" s="15" t="str">
        <x:v>Prototype</x:v>
      </x:c>
      <x:c r="D19" s="16" t="str">
        <x:v>Établi</x:v>
      </x:c>
      <x:c r="E19" s="16" t="str">
        <x:v>P1</x:v>
      </x:c>
      <x:c r="F19" s="9" t="str">
        <x:v>Compétence de MEA — Biotique.</x:v>
      </x:c>
      <x:c r="G19" s="9" t="str">
        <x:v>Impulsion selon axe choisi ; destination valide affichée et arrêt au premier mur plein.</x:v>
      </x:c>
      <x:c r="H19" s="9" t="str">
        <x:v>Impulsion selon axe choisi ; destination valide affichée et arrêt au premier mur plein.</x:v>
      </x:c>
      <x:c r="I19" s="9" t="str">
        <x:v>Trait bleu et flèche de recul.</x:v>
      </x:c>
      <x:c r="J19" s="9" t="str">
        <x:v>Aucune animation d’activation pour les passifs ; pour une action, pose anticipée, effet à événement unique et reprise compatible avec saut/sol.</x:v>
      </x:c>
      <x:c r="K19" s="9" t="str">
        <x:v>Signature originale par famille ; signal de disponibilité distinct du signal d’impact, équivalents visuels pour les informations utiles.</x:v>
      </x:c>
      <x:c r="L19" s="9" t="str">
        <x:v>Prototype partiel : liaison MEA-POW-THROW dans src/universe-powers.js, exposition par src/universe-actors.js, action native dans src/combat.js. Les acteurs, scènes et préparations autorisés sont explicitement listés par getUniversePowerUsage().</x:v>
      </x:c>
      <x:c r="M19" s="9" t="str">
        <x:v>Biotique</x:v>
      </x:c>
      <x:c r="N19" s="9" t="str">
        <x:v>Throw : contrôler cible, protections, portée, coût, interruption et fin d’effet ; un passif n’apparaît jamais comme action sélectionnable et un pouvoir d’allié n’entre pas dans le build de Ryder par erreur.</x:v>
      </x:c>
      <x:c r="O19" s="9" t="str"/>
      <x:c r="P19" s="9" t="str">
        <x:v>Throw</x:v>
      </x:c>
      <x:c r="Q19" s="9" t="str">
        <x:v>MEA-SRC-SKILLS</x:v>
      </x:c>
      <x:c r="R19" s="9" t="str">
        <x:v>https://masseffect.fandom.com/wiki/Skills</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96" customHeight="1">
      <x:c r="A20" s="19" t="str">
        <x:v>MEA-POW-PULL</x:v>
      </x:c>
      <x:c r="B20" s="7" t="str">
        <x:v>Pull</x:v>
      </x:c>
      <x:c r="C20" s="15" t="str">
        <x:v>Prototype</x:v>
      </x:c>
      <x:c r="D20" s="17" t="str">
        <x:v>Établi</x:v>
      </x:c>
      <x:c r="E20" s="17" t="str">
        <x:v>P1</x:v>
      </x:c>
      <x:c r="F20" s="7" t="str">
        <x:v>Compétence de MEA — Biotique.</x:v>
      </x:c>
      <x:c r="G20" s="7" t="str">
        <x:v>Soulever cible vulnérable puis conserver pour combo selon règle proposée ; cible blindée explique résistance.</x:v>
      </x:c>
      <x:c r="H20" s="7" t="str">
        <x:v>Soulever cible vulnérable puis conserver pour combo selon règle proposée ; cible blindée explique résistance.</x:v>
      </x:c>
      <x:c r="I20" s="7" t="str">
        <x:v>Halo de lévitation.</x:v>
      </x:c>
      <x:c r="J20" s="7" t="str">
        <x:v>Aucune animation d’activation pour les passifs ; pour une action, pose anticipée, effet à événement unique et reprise compatible avec saut/sol.</x:v>
      </x:c>
      <x:c r="K20" s="7" t="str">
        <x:v>Signature originale par famille ; signal de disponibilité distinct du signal d’impact, équivalents visuels pour les informations utiles.</x:v>
      </x:c>
      <x:c r="L20" s="7" t="str">
        <x:v>Prototype partiel : liaison MEA-POW-PULL dans src/universe-powers.js, exposition par src/universe-actors.js, action native dans src/combat.js. Les acteurs, scènes et préparations autorisés sont explicitement listés par getUniversePowerUsage().</x:v>
      </x:c>
      <x:c r="M20" s="7" t="str">
        <x:v>Biotique</x:v>
      </x:c>
      <x:c r="N20" s="7" t="str">
        <x:v>Pull : contrôler cible, protections, portée, coût, interruption et fin d’effet ; un passif n’apparaît jamais comme action sélectionnable et un pouvoir d’allié n’entre pas dans le build de Ryder par erreur.</x:v>
      </x:c>
      <x:c r="O20" s="7" t="str"/>
      <x:c r="P20" s="7" t="str">
        <x:v>Pull</x:v>
      </x:c>
      <x:c r="Q20" s="7" t="str">
        <x:v>MEA-SRC-SKILLS</x:v>
      </x:c>
      <x:c r="R20" s="7" t="str">
        <x:v>https://masseffect.fandom.com/wiki/Skills</x:v>
      </x:c>
      <x:c r="S2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1" ht="68" customHeight="1">
      <x:c r="A21" s="18" t="str">
        <x:v>MEA-POW-CHARGE</x:v>
      </x:c>
      <x:c r="B21" s="9" t="str">
        <x:v>Charge</x:v>
      </x:c>
      <x:c r="C21" s="15" t="str">
        <x:v>Défini</x:v>
      </x:c>
      <x:c r="D21" s="16" t="str">
        <x:v>Établi</x:v>
      </x:c>
      <x:c r="E21" s="16" t="str">
        <x:v>P1</x:v>
      </x:c>
      <x:c r="F21" s="9" t="str">
        <x:v>Compétence de MEA — Biotique.</x:v>
      </x:c>
      <x:c r="G21" s="9" t="str">
        <x:v>Approche rapide vers cible avec place d’atterrissage réservée ; échec de chemin ne consomme pas l’action.</x:v>
      </x:c>
      <x:c r="H21" s="9" t="str">
        <x:v>Approche rapide vers cible avec place d’atterrissage réservée ; échec de chemin ne consomme pas l’action.</x:v>
      </x:c>
      <x:c r="I21" s="9" t="str">
        <x:v>Traînée bleue et onde de contact.</x:v>
      </x:c>
      <x:c r="J21" s="9" t="str">
        <x:v>Aucune animation d’activation pour les passifs ; pour une action, pose anticipée, effet à événement unique et reprise compatible avec saut/sol.</x:v>
      </x:c>
      <x:c r="K21" s="9" t="str">
        <x:v>Signature originale par famille ; signal de disponibilité distinct du signal d’impact, équivalents visuels pour les informations utiles.</x:v>
      </x:c>
      <x:c r="L21" s="9" t="str">
        <x:v>Prévu : fiche de données mea/powers/charge ; rattacher les ressources et états cités à cet identifiant. Aucun fichier de jeu créé par ce catalogue.</x:v>
      </x:c>
      <x:c r="M21" s="9" t="str">
        <x:v>Biotique</x:v>
      </x:c>
      <x:c r="N21" s="9" t="str">
        <x:v>Charge : contrôler cible, protections, portée, coût, interruption et fin d’effet ; un passif n’apparaît jamais comme action sélectionnable et un pouvoir d’allié n’entre pas dans le build de Ryder par erreur.</x:v>
      </x:c>
      <x:c r="O21" s="9" t="str"/>
      <x:c r="P21" s="9" t="str">
        <x:v>Charge</x:v>
      </x:c>
      <x:c r="Q21" s="9" t="str">
        <x:v>MEA-SRC-SKILLS</x:v>
      </x:c>
      <x:c r="R21" s="9" t="str">
        <x:v>https://masseffect.fandom.com/wiki/Skills</x:v>
      </x:c>
      <x:c r="S21" s="9" t="str">
        <x:v>Spécification à réaliser. Les champs adaptation, gameplay, visual, animation, audio et implementation décrivent le fan game ; ils ne donnent pas des caractéristiques officielles de l’œuvre.</x:v>
      </x:c>
    </x:row>
    <x:row r="22" ht="68" customHeight="1">
      <x:c r="A22" s="19" t="str">
        <x:v>MEA-POW-NOVA</x:v>
      </x:c>
      <x:c r="B22" s="7" t="str">
        <x:v>Nova</x:v>
      </x:c>
      <x:c r="C22" s="15" t="str">
        <x:v>Défini</x:v>
      </x:c>
      <x:c r="D22" s="17" t="str">
        <x:v>Établi</x:v>
      </x:c>
      <x:c r="E22" s="17" t="str">
        <x:v>P1</x:v>
      </x:c>
      <x:c r="F22" s="7" t="str">
        <x:v>Compétence de MEA — Biotique.</x:v>
      </x:c>
      <x:c r="G22" s="7" t="str">
        <x:v>Onde de proximité, coût de protection proposé visible ; phase aérienne n’invente pas invulnérabilité permanente.</x:v>
      </x:c>
      <x:c r="H22" s="7" t="str">
        <x:v>Onde de proximité, coût de protection proposé visible ; phase aérienne n’invente pas invulnérabilité permanente.</x:v>
      </x:c>
      <x:c r="I22" s="7" t="str">
        <x:v>Cercle de choc au sol.</x:v>
      </x:c>
      <x:c r="J22" s="7" t="str">
        <x:v>Aucune animation d’activation pour les passifs ; pour une action, pose anticipée, effet à événement unique et reprise compatible avec saut/sol.</x:v>
      </x:c>
      <x:c r="K22" s="7" t="str">
        <x:v>Signature originale par famille ; signal de disponibilité distinct du signal d’impact, équivalents visuels pour les informations utiles.</x:v>
      </x:c>
      <x:c r="L22" s="7" t="str">
        <x:v>Prévu : fiche de données mea/powers/nova ; rattacher les ressources et états cités à cet identifiant. Aucun fichier de jeu créé par ce catalogue.</x:v>
      </x:c>
      <x:c r="M22" s="7" t="str">
        <x:v>Biotique</x:v>
      </x:c>
      <x:c r="N22" s="7" t="str">
        <x:v>Nova : contrôler cible, protections, portée, coût, interruption et fin d’effet ; un passif n’apparaît jamais comme action sélectionnable et un pouvoir d’allié n’entre pas dans le build de Ryder par erreur.</x:v>
      </x:c>
      <x:c r="O22" s="7" t="str"/>
      <x:c r="P22" s="7" t="str">
        <x:v>Nova</x:v>
      </x:c>
      <x:c r="Q22" s="7" t="str">
        <x:v>MEA-SRC-SKILLS</x:v>
      </x:c>
      <x:c r="R22" s="7" t="str">
        <x:v>https://masseffect.fandom.com/wiki/Skills</x:v>
      </x:c>
      <x:c r="S22" s="7" t="str">
        <x:v>Spécification à réaliser. Les champs adaptation, gameplay, visual, animation, audio et implementation décrivent le fan game ; ils ne donnent pas des caractéristiques officielles de l’œuvre.</x:v>
      </x:c>
    </x:row>
    <x:row r="23" ht="96" customHeight="1">
      <x:c r="A23" s="18" t="str">
        <x:v>MEA-POW-SHOCKWAVE</x:v>
      </x:c>
      <x:c r="B23" s="9" t="str">
        <x:v>Shockwave</x:v>
      </x:c>
      <x:c r="C23" s="15" t="str">
        <x:v>Prototype</x:v>
      </x:c>
      <x:c r="D23" s="16" t="str">
        <x:v>Établi</x:v>
      </x:c>
      <x:c r="E23" s="16" t="str">
        <x:v>P1</x:v>
      </x:c>
      <x:c r="F23" s="9" t="str">
        <x:v>Compétence de MEA — Biotique.</x:v>
      </x:c>
      <x:c r="G23" s="9" t="str">
        <x:v>Succession de bandes de contrôle ; franchit couvert bas autorisé, stoppe au mur complet.</x:v>
      </x:c>
      <x:c r="H23" s="9" t="str">
        <x:v>Succession de bandes de contrôle ; franchit couvert bas autorisé, stoppe au mur complet.</x:v>
      </x:c>
      <x:c r="I23" s="9" t="str">
        <x:v>Vagues bleues en ligne.</x:v>
      </x:c>
      <x:c r="J23" s="9" t="str">
        <x:v>Aucune animation d’activation pour les passifs ; pour une action, pose anticipée, effet à événement unique et reprise compatible avec saut/sol.</x:v>
      </x:c>
      <x:c r="K23" s="9" t="str">
        <x:v>Signature originale par famille ; signal de disponibilité distinct du signal d’impact, équivalents visuels pour les informations utiles.</x:v>
      </x:c>
      <x:c r="L23" s="9" t="str">
        <x:v>Prototype partiel : liaison MEA-POW-SHOCKWAVE dans src/universe-powers.js, exposition par src/universe-actors.js, action native dans src/combat.js. Les acteurs, scènes et préparations autorisés sont explicitement listés par getUniversePowerUsage().</x:v>
      </x:c>
      <x:c r="M23" s="9" t="str">
        <x:v>Biotique</x:v>
      </x:c>
      <x:c r="N23" s="9" t="str">
        <x:v>Shockwave : contrôler cible, protections, portée, coût, interruption et fin d’effet ; un passif n’apparaît jamais comme action sélectionnable et un pouvoir d’allié n’entre pas dans le build de Ryder par erreur.</x:v>
      </x:c>
      <x:c r="O23" s="9" t="str"/>
      <x:c r="P23" s="9" t="str">
        <x:v>Shockwave</x:v>
      </x:c>
      <x:c r="Q23" s="9" t="str">
        <x:v>MEA-SRC-SKILLS</x:v>
      </x:c>
      <x:c r="R23" s="9" t="str">
        <x:v>https://masseffect.fandom.com/wiki/Skills</x:v>
      </x:c>
      <x:c r="S2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4" ht="68" customHeight="1">
      <x:c r="A24" s="19" t="str">
        <x:v>MEA-POW-ANNIHILATION</x:v>
      </x:c>
      <x:c r="B24" s="7" t="str">
        <x:v>Annihilation</x:v>
      </x:c>
      <x:c r="C24" s="15" t="str">
        <x:v>Défini</x:v>
      </x:c>
      <x:c r="D24" s="17" t="str">
        <x:v>Établi</x:v>
      </x:c>
      <x:c r="E24" s="17" t="str">
        <x:v>P1</x:v>
      </x:c>
      <x:c r="F24" s="7" t="str">
        <x:v>Compétence de MEA — Biotique.</x:v>
      </x:c>
      <x:c r="G24" s="7" t="str">
        <x:v>Aura portée par Ryder avec rayon et coût d’entretien proposés ; danger pour ennemis n’obstrue pas sélection d’allié.</x:v>
      </x:c>
      <x:c r="H24" s="7" t="str">
        <x:v>Aura portée par Ryder avec rayon et coût d’entretien proposés ; danger pour ennemis n’obstrue pas sélection d’allié.</x:v>
      </x:c>
      <x:c r="I24" s="7" t="str">
        <x:v>Anneau violet mobile.</x:v>
      </x:c>
      <x:c r="J24" s="7" t="str">
        <x:v>Aucune animation d’activation pour les passifs ; pour une action, pose anticipée, effet à événement unique et reprise compatible avec saut/sol.</x:v>
      </x:c>
      <x:c r="K24" s="7" t="str">
        <x:v>Signature originale par famille ; signal de disponibilité distinct du signal d’impact, équivalents visuels pour les informations utiles.</x:v>
      </x:c>
      <x:c r="L24" s="7" t="str">
        <x:v>Prévu : fiche de données mea/powers/annihilation ; rattacher les ressources et états cités à cet identifiant. Aucun fichier de jeu créé par ce catalogue.</x:v>
      </x:c>
      <x:c r="M24" s="7" t="str">
        <x:v>Biotique</x:v>
      </x:c>
      <x:c r="N24" s="7" t="str">
        <x:v>Annihilation : contrôler cible, protections, portée, coût, interruption et fin d’effet ; un passif n’apparaît jamais comme action sélectionnable et un pouvoir d’allié n’entre pas dans le build de Ryder par erreur.</x:v>
      </x:c>
      <x:c r="O24" s="7" t="str"/>
      <x:c r="P24" s="7" t="str">
        <x:v>Annihilation</x:v>
      </x:c>
      <x:c r="Q24" s="7" t="str">
        <x:v>MEA-SRC-SKILLS</x:v>
      </x:c>
      <x:c r="R24" s="7" t="str">
        <x:v>https://masseffect.fandom.com/wiki/Skills</x:v>
      </x:c>
      <x:c r="S24" s="7" t="str">
        <x:v>Spécification à réaliser. Les champs adaptation, gameplay, visual, animation, audio et implementation décrivent le fan game ; ils ne donnent pas des caractéristiques officielles de l’œuvre.</x:v>
      </x:c>
    </x:row>
    <x:row r="25" ht="68" customHeight="1">
      <x:c r="A25" s="18" t="str">
        <x:v>MEA-POW-BACKLASH</x:v>
      </x:c>
      <x:c r="B25" s="9" t="str">
        <x:v>Backlash</x:v>
      </x:c>
      <x:c r="C25" s="15" t="str">
        <x:v>Défini</x:v>
      </x:c>
      <x:c r="D25" s="16" t="str">
        <x:v>Établi</x:v>
      </x:c>
      <x:c r="E25" s="16" t="str">
        <x:v>P1</x:v>
      </x:c>
      <x:c r="F25" s="9" t="str">
        <x:v>Compétence de MEA — Biotique.</x:v>
      </x:c>
      <x:c r="G25" s="9" t="str">
        <x:v>Bouclier orienté réfléchissant selon règle proposée ; ne renvoie pas attaque de zone ou saisie sans compatibilité explicite.</x:v>
      </x:c>
      <x:c r="H25" s="9" t="str">
        <x:v>Bouclier orienté réfléchissant selon règle proposée ; ne renvoie pas attaque de zone ou saisie sans compatibilité explicite.</x:v>
      </x:c>
      <x:c r="I25" s="9" t="str">
        <x:v>Écran biotique frontal.</x:v>
      </x:c>
      <x:c r="J25" s="9" t="str">
        <x:v>Aucune animation d’activation pour les passifs ; pour une action, pose anticipée, effet à événement unique et reprise compatible avec saut/sol.</x:v>
      </x:c>
      <x:c r="K25" s="9" t="str">
        <x:v>Signature originale par famille ; signal de disponibilité distinct du signal d’impact, équivalents visuels pour les informations utiles.</x:v>
      </x:c>
      <x:c r="L25" s="9" t="str">
        <x:v>Prévu : fiche de données mea/powers/backlash ; rattacher les ressources et états cités à cet identifiant. Aucun fichier de jeu créé par ce catalogue.</x:v>
      </x:c>
      <x:c r="M25" s="9" t="str">
        <x:v>Biotique</x:v>
      </x:c>
      <x:c r="N25" s="9" t="str">
        <x:v>Backlash : contrôler cible, protections, portée, coût, interruption et fin d’effet ; un passif n’apparaît jamais comme action sélectionnable et un pouvoir d’allié n’entre pas dans le build de Ryder par erreur.</x:v>
      </x:c>
      <x:c r="O25" s="9" t="str"/>
      <x:c r="P25" s="9" t="str">
        <x:v>Backlash</x:v>
      </x:c>
      <x:c r="Q25" s="9" t="str">
        <x:v>MEA-SRC-SKILLS</x:v>
      </x:c>
      <x:c r="R25" s="9" t="str">
        <x:v>https://masseffect.fandom.com/wiki/Skills</x:v>
      </x:c>
      <x:c r="S25" s="9" t="str">
        <x:v>Spécification à réaliser. Les champs adaptation, gameplay, visual, animation, audio et implementation décrivent le fan game ; ils ne donnent pas des caractéristiques officielles de l’œuvre.</x:v>
      </x:c>
    </x:row>
    <x:row r="26" ht="68" customHeight="1">
      <x:c r="A26" s="19" t="str">
        <x:v>MEA-POW-SINGULARITY</x:v>
      </x:c>
      <x:c r="B26" s="7" t="str">
        <x:v>Singularity</x:v>
      </x:c>
      <x:c r="C26" s="15" t="str">
        <x:v>Défini</x:v>
      </x:c>
      <x:c r="D26" s="17" t="str">
        <x:v>Établi</x:v>
      </x:c>
      <x:c r="E26" s="17" t="str">
        <x:v>P1</x:v>
      </x:c>
      <x:c r="F26" s="7" t="str">
        <x:v>Compétence de MEA — Biotique.</x:v>
      </x:c>
      <x:c r="G26" s="7" t="str">
        <x:v>Zone de suspension à centre fixe ; bornes du contrôle et des protections résistantes visibles.</x:v>
      </x:c>
      <x:c r="H26" s="7" t="str">
        <x:v>Zone de suspension à centre fixe ; bornes du contrôle et des protections résistantes visibles.</x:v>
      </x:c>
      <x:c r="I26" s="7" t="str">
        <x:v>Noyau sombre et anneaux.</x:v>
      </x:c>
      <x:c r="J26" s="7" t="str">
        <x:v>Aucune animation d’activation pour les passifs ; pour une action, pose anticipée, effet à événement unique et reprise compatible avec saut/sol.</x:v>
      </x:c>
      <x:c r="K26" s="7" t="str">
        <x:v>Signature originale par famille ; signal de disponibilité distinct du signal d’impact, équivalents visuels pour les informations utiles.</x:v>
      </x:c>
      <x:c r="L26" s="7" t="str">
        <x:v>Prévu : fiche de données mea/powers/singularity ; rattacher les ressources et états cités à cet identifiant. Aucun fichier de jeu créé par ce catalogue.</x:v>
      </x:c>
      <x:c r="M26" s="7" t="str">
        <x:v>Biotique</x:v>
      </x:c>
      <x:c r="N26" s="7" t="str">
        <x:v>Singularity : contrôler cible, protections, portée, coût, interruption et fin d’effet ; un passif n’apparaît jamais comme action sélectionnable et un pouvoir d’allié n’entre pas dans le build de Ryder par erreur.</x:v>
      </x:c>
      <x:c r="O26" s="7" t="str"/>
      <x:c r="P26" s="7" t="str">
        <x:v>Singularity</x:v>
      </x:c>
      <x:c r="Q26" s="7" t="str">
        <x:v>MEA-SRC-SKILLS</x:v>
      </x:c>
      <x:c r="R26" s="7" t="str">
        <x:v>https://masseffect.fandom.com/wiki/Skills</x:v>
      </x:c>
      <x:c r="S26" s="7" t="str">
        <x:v>Spécification à réaliser. Les champs adaptation, gameplay, visual, animation, audio et implementation décrivent le fan game ; ils ne donnent pas des caractéristiques officielles de l’œuvre.</x:v>
      </x:c>
    </x:row>
    <x:row r="27" ht="68" customHeight="1">
      <x:c r="A27" s="18" t="str">
        <x:v>MEA-POW-LANCE</x:v>
      </x:c>
      <x:c r="B27" s="9" t="str">
        <x:v>Lance</x:v>
      </x:c>
      <x:c r="C27" s="15" t="str">
        <x:v>Défini</x:v>
      </x:c>
      <x:c r="D27" s="16" t="str">
        <x:v>Établi</x:v>
      </x:c>
      <x:c r="E27" s="16" t="str">
        <x:v>P1</x:v>
      </x:c>
      <x:c r="F27" s="9" t="str">
        <x:v>Compétence de MEA — Biotique.</x:v>
      </x:c>
      <x:c r="G27" s="9" t="str">
        <x:v>Projectile rapide de détonation proposée ; choisir cible amorcée et coût avant résolution.</x:v>
      </x:c>
      <x:c r="H27" s="9" t="str">
        <x:v>Projectile rapide de détonation proposée ; choisir cible amorcée et coût avant résolution.</x:v>
      </x:c>
      <x:c r="I27" s="9" t="str">
        <x:v>Trait violet fin.</x:v>
      </x:c>
      <x:c r="J27" s="9" t="str">
        <x:v>Aucune animation d’activation pour les passifs ; pour une action, pose anticipée, effet à événement unique et reprise compatible avec saut/sol.</x:v>
      </x:c>
      <x:c r="K27" s="9" t="str">
        <x:v>Signature originale par famille ; signal de disponibilité distinct du signal d’impact, équivalents visuels pour les informations utiles.</x:v>
      </x:c>
      <x:c r="L27" s="9" t="str">
        <x:v>Prévu : fiche de données mea/powers/lance ; rattacher les ressources et états cités à cet identifiant. Aucun fichier de jeu créé par ce catalogue.</x:v>
      </x:c>
      <x:c r="M27" s="9" t="str">
        <x:v>Biotique</x:v>
      </x:c>
      <x:c r="N27" s="9" t="str">
        <x:v>Lance : contrôler cible, protections, portée, coût, interruption et fin d’effet ; un passif n’apparaît jamais comme action sélectionnable et un pouvoir d’allié n’entre pas dans le build de Ryder par erreur.</x:v>
      </x:c>
      <x:c r="O27" s="9" t="str"/>
      <x:c r="P27" s="9" t="str">
        <x:v>Lance</x:v>
      </x:c>
      <x:c r="Q27" s="9" t="str">
        <x:v>MEA-SRC-SKILLS</x:v>
      </x:c>
      <x:c r="R27" s="9" t="str">
        <x:v>https://masseffect.fandom.com/wiki/Skills</x:v>
      </x:c>
      <x:c r="S27" s="9" t="str">
        <x:v>Spécification à réaliser. Les champs adaptation, gameplay, visual, animation, audio et implementation décrivent le fan game ; ils ne donnent pas des caractéristiques officielles de l’œuvre.</x:v>
      </x:c>
    </x:row>
    <x:row r="28" ht="68" customHeight="1">
      <x:c r="A28" s="19" t="str">
        <x:v>MEA-POW-BARRIER</x:v>
      </x:c>
      <x:c r="B28" s="7" t="str">
        <x:v>Barrier</x:v>
      </x:c>
      <x:c r="C28" s="15" t="str">
        <x:v>Défini</x:v>
      </x:c>
      <x:c r="D28" s="17" t="str">
        <x:v>Établi</x:v>
      </x:c>
      <x:c r="E28" s="17" t="str">
        <x:v>P1</x:v>
      </x:c>
      <x:c r="F28" s="7" t="str">
        <x:v>Compétence de MEA — Passif biotique.</x:v>
      </x:c>
      <x:c r="G28" s="7" t="str">
        <x:v>Améliorations de protection dans l’arbre ; ne pas créer un bouton actif nommé Barrier importé de ME3.</x:v>
      </x:c>
      <x:c r="H28" s="7" t="str">
        <x:v>Améliorations de protection dans l’arbre ; ne pas créer un bouton actif nommé Barrier importé de ME3.</x:v>
      </x:c>
      <x:c r="I28" s="7" t="str">
        <x:v>Contour de bouclier biotique.</x:v>
      </x:c>
      <x:c r="J28" s="7" t="str">
        <x:v>Aucune animation d’activation pour les passifs ; pour une action, pose anticipée, effet à événement unique et reprise compatible avec saut/sol.</x:v>
      </x:c>
      <x:c r="K28" s="7" t="str">
        <x:v>Signature originale par famille ; signal de disponibilité distinct du signal d’impact, équivalents visuels pour les informations utiles.</x:v>
      </x:c>
      <x:c r="L28" s="7" t="str">
        <x:v>Prévu : fiche de données mea/powers/barrier ; rattacher les ressources et états cités à cet identifiant. Aucun fichier de jeu créé par ce catalogue.</x:v>
      </x:c>
      <x:c r="M28" s="7" t="str">
        <x:v>Passif biotique</x:v>
      </x:c>
      <x:c r="N28" s="7" t="str">
        <x:v>Barrier : contrôler cible, protections, portée, coût, interruption et fin d’effet ; un passif n’apparaît jamais comme action sélectionnable et un pouvoir d’allié n’entre pas dans le build de Ryder par erreur.</x:v>
      </x:c>
      <x:c r="O28" s="7" t="str"/>
      <x:c r="P28" s="7" t="str">
        <x:v>Barrier</x:v>
      </x:c>
      <x:c r="Q28" s="7" t="str">
        <x:v>MEA-SRC-SKILLS</x:v>
      </x:c>
      <x:c r="R28" s="7" t="str">
        <x:v>https://masseffect.fandom.com/wiki/Skills</x:v>
      </x:c>
      <x:c r="S28" s="7" t="str">
        <x:v>Spécification à réaliser. Les champs adaptation, gameplay, visual, animation, audio et implementation décrivent le fan game ; ils ne donnent pas des caractéristiques officielles de l’œuvre.</x:v>
      </x:c>
    </x:row>
    <x:row r="29" ht="68" customHeight="1">
      <x:c r="A29" s="18" t="str">
        <x:v>MEA-POW-CONTAINMENT</x:v>
      </x:c>
      <x:c r="B29" s="9" t="str">
        <x:v>Containment</x:v>
      </x:c>
      <x:c r="C29" s="15" t="str">
        <x:v>Défini</x:v>
      </x:c>
      <x:c r="D29" s="16" t="str">
        <x:v>Établi</x:v>
      </x:c>
      <x:c r="E29" s="16" t="str">
        <x:v>P1</x:v>
      </x:c>
      <x:c r="F29" s="9" t="str">
        <x:v>Compétence de MEA — Passif biotique.</x:v>
      </x:c>
      <x:c r="G29" s="9" t="str">
        <x:v>Durée/contrôle proposés sur effets compatibles ; aperçu de durée recalculé selon rang.</x:v>
      </x:c>
      <x:c r="H29" s="9" t="str">
        <x:v>Durée/contrôle proposés sur effets compatibles ; aperçu de durée recalculé selon rang.</x:v>
      </x:c>
      <x:c r="I29" s="9" t="str">
        <x:v>Icône de confinement.</x:v>
      </x:c>
      <x:c r="J29" s="9" t="str">
        <x:v>Aucune animation d’activation pour les passifs ; pour une action, pose anticipée, effet à événement unique et reprise compatible avec saut/sol.</x:v>
      </x:c>
      <x:c r="K29" s="9" t="str">
        <x:v>Signature originale par famille ; signal de disponibilité distinct du signal d’impact, équivalents visuels pour les informations utiles.</x:v>
      </x:c>
      <x:c r="L29" s="9" t="str">
        <x:v>Prévu : fiche de données mea/powers/containment ; rattacher les ressources et états cités à cet identifiant. Aucun fichier de jeu créé par ce catalogue.</x:v>
      </x:c>
      <x:c r="M29" s="9" t="str">
        <x:v>Passif biotique</x:v>
      </x:c>
      <x:c r="N29" s="9" t="str">
        <x:v>Containment : contrôler cible, protections, portée, coût, interruption et fin d’effet ; un passif n’apparaît jamais comme action sélectionnable et un pouvoir d’allié n’entre pas dans le build de Ryder par erreur.</x:v>
      </x:c>
      <x:c r="O29" s="9" t="str"/>
      <x:c r="P29" s="9" t="str">
        <x:v>Containment</x:v>
      </x:c>
      <x:c r="Q29" s="9" t="str">
        <x:v>MEA-SRC-SKILLS</x:v>
      </x:c>
      <x:c r="R29" s="9" t="str">
        <x:v>https://masseffect.fandom.com/wiki/Skills</x:v>
      </x:c>
      <x:c r="S29" s="9" t="str">
        <x:v>Spécification à réaliser. Les champs adaptation, gameplay, visual, animation, audio et implementation décrivent le fan game ; ils ne donnent pas des caractéristiques officielles de l’œuvre.</x:v>
      </x:c>
    </x:row>
    <x:row r="30" ht="68" customHeight="1">
      <x:c r="A30" s="19" t="str">
        <x:v>MEA-POW-OFFENSIVE-BIOTICS</x:v>
      </x:c>
      <x:c r="B30" s="7" t="str">
        <x:v>Offensive Biotics</x:v>
      </x:c>
      <x:c r="C30" s="15" t="str">
        <x:v>Défini</x:v>
      </x:c>
      <x:c r="D30" s="17" t="str">
        <x:v>Établi</x:v>
      </x:c>
      <x:c r="E30" s="17" t="str">
        <x:v>P1</x:v>
      </x:c>
      <x:c r="F30" s="7" t="str">
        <x:v>Compétence de MEA — Passif biotique.</x:v>
      </x:c>
      <x:c r="G30" s="7" t="str">
        <x:v>Effets offensifs proposés séparés des dégâts d’arme ; pas de double multiplication aux combos.</x:v>
      </x:c>
      <x:c r="H30" s="7" t="str">
        <x:v>Effets offensifs proposés séparés des dégâts d’arme ; pas de double multiplication aux combos.</x:v>
      </x:c>
      <x:c r="I30" s="7" t="str">
        <x:v>Emblème biotique et récapitulatif.</x:v>
      </x:c>
      <x:c r="J30" s="7" t="str">
        <x:v>Aucune animation d’activation pour les passifs ; pour une action, pose anticipée, effet à événement unique et reprise compatible avec saut/sol.</x:v>
      </x:c>
      <x:c r="K30" s="7" t="str">
        <x:v>Signature originale par famille ; signal de disponibilité distinct du signal d’impact, équivalents visuels pour les informations utiles.</x:v>
      </x:c>
      <x:c r="L30" s="7" t="str">
        <x:v>Prévu : fiche de données mea/powers/offensive-biotics ; rattacher les ressources et états cités à cet identifiant. Aucun fichier de jeu créé par ce catalogue.</x:v>
      </x:c>
      <x:c r="M30" s="7" t="str">
        <x:v>Passif biotique</x:v>
      </x:c>
      <x:c r="N30" s="7" t="str">
        <x:v>Offensive Biotics : contrôler cible, protections, portée, coût, interruption et fin d’effet ; un passif n’apparaît jamais comme action sélectionnable et un pouvoir d’allié n’entre pas dans le build de Ryder par erreur.</x:v>
      </x:c>
      <x:c r="O30" s="7" t="str"/>
      <x:c r="P30" s="7" t="str">
        <x:v>Offensive Biotics</x:v>
      </x:c>
      <x:c r="Q30" s="7" t="str">
        <x:v>MEA-SRC-SKILLS</x:v>
      </x:c>
      <x:c r="R30" s="7" t="str">
        <x:v>https://masseffect.fandom.com/wiki/Skills</x:v>
      </x:c>
      <x:c r="S30" s="7" t="str">
        <x:v>Spécification à réaliser. Les champs adaptation, gameplay, visual, animation, audio et implementation décrivent le fan game ; ils ne donnent pas des caractéristiques officielles de l’œuvre.</x:v>
      </x:c>
    </x:row>
    <x:row r="31" ht="96" customHeight="1">
      <x:c r="A31" s="18" t="str">
        <x:v>MEA-POW-OVERLOAD</x:v>
      </x:c>
      <x:c r="B31" s="9" t="str">
        <x:v>Overload</x:v>
      </x:c>
      <x:c r="C31" s="15" t="str">
        <x:v>Prototype</x:v>
      </x:c>
      <x:c r="D31" s="16" t="str">
        <x:v>Établi</x:v>
      </x:c>
      <x:c r="E31" s="16" t="str">
        <x:v>P1</x:v>
      </x:c>
      <x:c r="F31" s="9" t="str">
        <x:v>Compétence de MEA — Tech.</x:v>
      </x:c>
      <x:c r="G31" s="9" t="str">
        <x:v>Impulsion électrique ou chaîne proposée ; ordre des cibles secondaires affiché, barrière et bouclier non confondus.</x:v>
      </x:c>
      <x:c r="H31" s="9" t="str">
        <x:v>Impulsion électrique ou chaîne proposée ; ordre des cibles secondaires affiché, barrière et bouclier non confondus.</x:v>
      </x:c>
      <x:c r="I31" s="9" t="str">
        <x:v>Arc bleu-orange.</x:v>
      </x:c>
      <x:c r="J31" s="9" t="str">
        <x:v>Aucune animation d’activation pour les passifs ; pour une action, pose anticipée, effet à événement unique et reprise compatible avec saut/sol.</x:v>
      </x:c>
      <x:c r="K31" s="9" t="str">
        <x:v>Signature originale par famille ; signal de disponibilité distinct du signal d’impact, équivalents visuels pour les informations utiles.</x:v>
      </x:c>
      <x:c r="L31" s="9" t="str">
        <x:v>Prototype partiel : liaison MEA-POW-OVERLOAD dans src/universe-powers.js, exposition par src/universe-actors.js, action native dans src/combat.js. Les acteurs, scènes et préparations autorisés sont explicitement listés par getUniversePowerUsage().</x:v>
      </x:c>
      <x:c r="M31" s="9" t="str">
        <x:v>Tech</x:v>
      </x:c>
      <x:c r="N31" s="9" t="str">
        <x:v>Overload : contrôler cible, protections, portée, coût, interruption et fin d’effet ; un passif n’apparaît jamais comme action sélectionnable et un pouvoir d’allié n’entre pas dans le build de Ryder par erreur.</x:v>
      </x:c>
      <x:c r="O31" s="9" t="str"/>
      <x:c r="P31" s="9" t="str">
        <x:v>Overload</x:v>
      </x:c>
      <x:c r="Q31" s="9" t="str">
        <x:v>MEA-SRC-SKILLS</x:v>
      </x:c>
      <x:c r="R31" s="9" t="str">
        <x:v>https://masseffect.fandom.com/wiki/Skills</x:v>
      </x:c>
      <x:c r="S3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2" ht="96" customHeight="1">
      <x:c r="A32" s="19" t="str">
        <x:v>MEA-POW-INCINERATE</x:v>
      </x:c>
      <x:c r="B32" s="7" t="str">
        <x:v>Incinerate</x:v>
      </x:c>
      <x:c r="C32" s="15" t="str">
        <x:v>Prototype</x:v>
      </x:c>
      <x:c r="D32" s="17" t="str">
        <x:v>Établi</x:v>
      </x:c>
      <x:c r="E32" s="17" t="str">
        <x:v>P1</x:v>
      </x:c>
      <x:c r="F32" s="7" t="str">
        <x:v>Compétence de MEA — Tech.</x:v>
      </x:c>
      <x:c r="G32" s="7" t="str">
        <x:v>Projectile incendiaire et état de combustion ; cibles immunes gardent leurs protections lisibles.</x:v>
      </x:c>
      <x:c r="H32" s="7" t="str">
        <x:v>Projectile incendiaire et état de combustion ; cibles immunes gardent leurs protections lisibles.</x:v>
      </x:c>
      <x:c r="I32" s="7" t="str">
        <x:v>Projectile orange et flamme résiduelle.</x:v>
      </x:c>
      <x:c r="J32" s="7" t="str">
        <x:v>Aucune animation d’activation pour les passifs ; pour une action, pose anticipée, effet à événement unique et reprise compatible avec saut/sol.</x:v>
      </x:c>
      <x:c r="K32" s="7" t="str">
        <x:v>Signature originale par famille ; signal de disponibilité distinct du signal d’impact, équivalents visuels pour les informations utiles.</x:v>
      </x:c>
      <x:c r="L32" s="7" t="str">
        <x:v>Prototype partiel : liaison MEA-POW-INCINERATE dans src/universe-powers.js, exposition par src/universe-actors.js, action native dans src/combat.js. Les acteurs, scènes et préparations autorisés sont explicitement listés par getUniversePowerUsage().</x:v>
      </x:c>
      <x:c r="M32" s="7" t="str">
        <x:v>Tech</x:v>
      </x:c>
      <x:c r="N32" s="7" t="str">
        <x:v>Incinerate : contrôler cible, protections, portée, coût, interruption et fin d’effet ; un passif n’apparaît jamais comme action sélectionnable et un pouvoir d’allié n’entre pas dans le build de Ryder par erreur.</x:v>
      </x:c>
      <x:c r="O32" s="7" t="str"/>
      <x:c r="P32" s="7" t="str">
        <x:v>Incinerate</x:v>
      </x:c>
      <x:c r="Q32" s="7" t="str">
        <x:v>MEA-SRC-SKILLS</x:v>
      </x:c>
      <x:c r="R32" s="7" t="str">
        <x:v>https://masseffect.fandom.com/wiki/Skills</x:v>
      </x:c>
      <x:c r="S3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3" ht="68" customHeight="1">
      <x:c r="A33" s="18" t="str">
        <x:v>MEA-POW-ASSAULT-TURRET</x:v>
      </x:c>
      <x:c r="B33" s="9" t="str">
        <x:v>Assault Turret</x:v>
      </x:c>
      <x:c r="C33" s="15" t="str">
        <x:v>Défini</x:v>
      </x:c>
      <x:c r="D33" s="16" t="str">
        <x:v>Établi</x:v>
      </x:c>
      <x:c r="E33" s="16" t="str">
        <x:v>P1</x:v>
      </x:c>
      <x:c r="F33" s="9" t="str">
        <x:v>Compétence de MEA — Tech.</x:v>
      </x:c>
      <x:c r="G33" s="9" t="str">
        <x:v>Construction sur sol admis, ligne de tir et durée ; une nouvelle pose respecte limite active annoncée.</x:v>
      </x:c>
      <x:c r="H33" s="9" t="str">
        <x:v>Construction sur sol admis, ligne de tir et durée ; une nouvelle pose respecte limite active annoncée.</x:v>
      </x:c>
      <x:c r="I33" s="9" t="str">
        <x:v>Tourelle compacte et cône.</x:v>
      </x:c>
      <x:c r="J33" s="9" t="str">
        <x:v>Aucune animation d’activation pour les passifs ; pour une action, pose anticipée, effet à événement unique et reprise compatible avec saut/sol.</x:v>
      </x:c>
      <x:c r="K33" s="9" t="str">
        <x:v>Signature originale par famille ; signal de disponibilité distinct du signal d’impact, équivalents visuels pour les informations utiles.</x:v>
      </x:c>
      <x:c r="L33" s="9" t="str">
        <x:v>Prévu : fiche de données mea/powers/assault-turret ; rattacher les ressources et états cités à cet identifiant. Aucun fichier de jeu créé par ce catalogue.</x:v>
      </x:c>
      <x:c r="M33" s="9" t="str">
        <x:v>Tech</x:v>
      </x:c>
      <x:c r="N33" s="9" t="str">
        <x:v>Assault Turret : contrôler cible, protections, portée, coût, interruption et fin d’effet ; un passif n’apparaît jamais comme action sélectionnable et un pouvoir d’allié n’entre pas dans le build de Ryder par erreur.</x:v>
      </x:c>
      <x:c r="O33" s="9" t="str"/>
      <x:c r="P33" s="9" t="str">
        <x:v>Assault Turret</x:v>
      </x:c>
      <x:c r="Q33" s="9" t="str">
        <x:v>MEA-SRC-TURRET</x:v>
      </x:c>
      <x:c r="R33" s="9" t="str">
        <x:v>https://masseffect.fandom.com/wiki/Assault_Turret_%28skill%29</x:v>
      </x:c>
      <x:c r="S33" s="9" t="str">
        <x:v>Spécification à réaliser. Les champs adaptation, gameplay, visual, animation, audio et implementation décrivent le fan game ; ils ne donnent pas des caractéristiques officielles de l’œuvre.</x:v>
      </x:c>
    </x:row>
    <x:row r="34" ht="68" customHeight="1">
      <x:c r="A34" s="19" t="str">
        <x:v>MEA-POW-CRYO-BEAM</x:v>
      </x:c>
      <x:c r="B34" s="7" t="str">
        <x:v>Cryo Beam</x:v>
      </x:c>
      <x:c r="C34" s="15" t="str">
        <x:v>Défini</x:v>
      </x:c>
      <x:c r="D34" s="17" t="str">
        <x:v>Établi</x:v>
      </x:c>
      <x:c r="E34" s="17" t="str">
        <x:v>P1</x:v>
      </x:c>
      <x:c r="F34" s="7" t="str">
        <x:v>Compétence de MEA — Tech.</x:v>
      </x:c>
      <x:c r="G34" s="7" t="str">
        <x:v>Canal de refroidissement progressif ; interrompre stoppe rayon et consommation au même événement.</x:v>
      </x:c>
      <x:c r="H34" s="7" t="str">
        <x:v>Canal de refroidissement progressif ; interrompre stoppe rayon et consommation au même événement.</x:v>
      </x:c>
      <x:c r="I34" s="7" t="str">
        <x:v>Rayon blanc et givre.</x:v>
      </x:c>
      <x:c r="J34" s="7" t="str">
        <x:v>Aucune animation d’activation pour les passifs ; pour une action, pose anticipée, effet à événement unique et reprise compatible avec saut/sol.</x:v>
      </x:c>
      <x:c r="K34" s="7" t="str">
        <x:v>Signature originale par famille ; signal de disponibilité distinct du signal d’impact, équivalents visuels pour les informations utiles.</x:v>
      </x:c>
      <x:c r="L34" s="7" t="str">
        <x:v>Prévu : fiche de données mea/powers/cryo-beam ; rattacher les ressources et états cités à cet identifiant. Aucun fichier de jeu créé par ce catalogue.</x:v>
      </x:c>
      <x:c r="M34" s="7" t="str">
        <x:v>Tech</x:v>
      </x:c>
      <x:c r="N34" s="7" t="str">
        <x:v>Cryo Beam : contrôler cible, protections, portée, coût, interruption et fin d’effet ; un passif n’apparaît jamais comme action sélectionnable et un pouvoir d’allié n’entre pas dans le build de Ryder par erreur.</x:v>
      </x:c>
      <x:c r="O34" s="7" t="str"/>
      <x:c r="P34" s="7" t="str">
        <x:v>Cryo Beam</x:v>
      </x:c>
      <x:c r="Q34" s="7" t="str">
        <x:v>MEA-SRC-SKILLS</x:v>
      </x:c>
      <x:c r="R34" s="7" t="str">
        <x:v>https://masseffect.fandom.com/wiki/Skills</x:v>
      </x:c>
      <x:c r="S34" s="7" t="str">
        <x:v>Spécification à réaliser. Les champs adaptation, gameplay, visual, animation, audio et implementation décrivent le fan game ; ils ne donnent pas des caractéristiques officielles de l’œuvre.</x:v>
      </x:c>
    </x:row>
    <x:row r="35" ht="96" customHeight="1">
      <x:c r="A35" s="18" t="str">
        <x:v>MEA-POW-ENERGY-DRAIN</x:v>
      </x:c>
      <x:c r="B35" s="9" t="str">
        <x:v>Energy Drain</x:v>
      </x:c>
      <x:c r="C35" s="15" t="str">
        <x:v>Prototype</x:v>
      </x:c>
      <x:c r="D35" s="16" t="str">
        <x:v>Établi</x:v>
      </x:c>
      <x:c r="E35" s="16" t="str">
        <x:v>P1</x:v>
      </x:c>
      <x:c r="F35" s="9" t="str">
        <x:v>Compétence de MEA — Tech.</x:v>
      </x:c>
      <x:c r="G35" s="9" t="str">
        <x:v>Drain sur cible compatible et gain de protection proposé ; pas de soin arbitraire sur créature sans énergie admissible.</x:v>
      </x:c>
      <x:c r="H35" s="9" t="str">
        <x:v>Drain sur cible compatible et gain de protection proposé ; pas de soin arbitraire sur créature sans énergie admissible.</x:v>
      </x:c>
      <x:c r="I35" s="9" t="str">
        <x:v>Lien électrique vers Ryder.</x:v>
      </x:c>
      <x:c r="J35" s="9" t="str">
        <x:v>Aucune animation d’activation pour les passifs ; pour une action, pose anticipée, effet à événement unique et reprise compatible avec saut/sol.</x:v>
      </x:c>
      <x:c r="K35" s="9" t="str">
        <x:v>Signature originale par famille ; signal de disponibilité distinct du signal d’impact, équivalents visuels pour les informations utiles.</x:v>
      </x:c>
      <x:c r="L35" s="9" t="str">
        <x:v>Prototype partiel : liaison MEA-POW-ENERGY-DRAIN dans src/universe-powers.js, exposition par src/universe-actors.js, action native dans src/combat.js. Les acteurs, scènes et préparations autorisés sont explicitement listés par getUniversePowerUsage().</x:v>
      </x:c>
      <x:c r="M35" s="9" t="str">
        <x:v>Tech</x:v>
      </x:c>
      <x:c r="N35" s="9" t="str">
        <x:v>Energy Drain : contrôler cible, protections, portée, coût, interruption et fin d’effet ; un passif n’apparaît jamais comme action sélectionnable et un pouvoir d’allié n’entre pas dans le build de Ryder par erreur.</x:v>
      </x:c>
      <x:c r="O35" s="9" t="str"/>
      <x:c r="P35" s="9" t="str">
        <x:v>Energy Drain</x:v>
      </x:c>
      <x:c r="Q35" s="9" t="str">
        <x:v>MEA-SRC-SKILLS</x:v>
      </x:c>
      <x:c r="R35" s="9" t="str">
        <x:v>https://masseffect.fandom.com/wiki/Skills</x:v>
      </x:c>
      <x:c r="S3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6" ht="68" customHeight="1">
      <x:c r="A36" s="19" t="str">
        <x:v>MEA-POW-TACTICAL-CLOAK</x:v>
      </x:c>
      <x:c r="B36" s="7" t="str">
        <x:v>Tactical Cloak</x:v>
      </x:c>
      <x:c r="C36" s="15" t="str">
        <x:v>Défini</x:v>
      </x:c>
      <x:c r="D36" s="17" t="str">
        <x:v>Établi</x:v>
      </x:c>
      <x:c r="E36" s="17" t="str">
        <x:v>P1</x:v>
      </x:c>
      <x:c r="F36" s="7" t="str">
        <x:v>Compétence de MEA — Tech.</x:v>
      </x:c>
      <x:c r="G36" s="7" t="str">
        <x:v>Camouflage réduit sélection puis se rompt sur action offensive ; attaque déjà résolue ne disparaît pas rétroactivement.</x:v>
      </x:c>
      <x:c r="H36" s="7" t="str">
        <x:v>Camouflage réduit sélection puis se rompt sur action offensive ; attaque déjà résolue ne disparaît pas rétroactivement.</x:v>
      </x:c>
      <x:c r="I36" s="7" t="str">
        <x:v>Réfraction et contour accessible.</x:v>
      </x:c>
      <x:c r="J36" s="7" t="str">
        <x:v>Aucune animation d’activation pour les passifs ; pour une action, pose anticipée, effet à événement unique et reprise compatible avec saut/sol.</x:v>
      </x:c>
      <x:c r="K36" s="7" t="str">
        <x:v>Signature originale par famille ; signal de disponibilité distinct du signal d’impact, équivalents visuels pour les informations utiles.</x:v>
      </x:c>
      <x:c r="L36" s="7" t="str">
        <x:v>Prévu : fiche de données mea/powers/tactical-cloak ; rattacher les ressources et états cités à cet identifiant. Aucun fichier de jeu créé par ce catalogue.</x:v>
      </x:c>
      <x:c r="M36" s="7" t="str">
        <x:v>Tech</x:v>
      </x:c>
      <x:c r="N36" s="7" t="str">
        <x:v>Tactical Cloak : contrôler cible, protections, portée, coût, interruption et fin d’effet ; un passif n’apparaît jamais comme action sélectionnable et un pouvoir d’allié n’entre pas dans le build de Ryder par erreur.</x:v>
      </x:c>
      <x:c r="O36" s="7" t="str"/>
      <x:c r="P36" s="7" t="str">
        <x:v>Tactical Cloak</x:v>
      </x:c>
      <x:c r="Q36" s="7" t="str">
        <x:v>MEA-SRC-SKILLS</x:v>
      </x:c>
      <x:c r="R36" s="7" t="str">
        <x:v>https://masseffect.fandom.com/wiki/Skills</x:v>
      </x:c>
      <x:c r="S36" s="7" t="str">
        <x:v>Spécification à réaliser. Les champs adaptation, gameplay, visual, animation, audio et implementation décrivent le fan game ; ils ne donnent pas des caractéristiques officielles de l’œuvre.</x:v>
      </x:c>
    </x:row>
    <x:row r="37" ht="68" customHeight="1">
      <x:c r="A37" s="18" t="str">
        <x:v>MEA-POW-FLAMETHROWER</x:v>
      </x:c>
      <x:c r="B37" s="9" t="str">
        <x:v>Flamethrower</x:v>
      </x:c>
      <x:c r="C37" s="15" t="str">
        <x:v>Défini</x:v>
      </x:c>
      <x:c r="D37" s="16" t="str">
        <x:v>Établi</x:v>
      </x:c>
      <x:c r="E37" s="16" t="str">
        <x:v>P1</x:v>
      </x:c>
      <x:c r="F37" s="9" t="str">
        <x:v>Compétence de MEA — Tech.</x:v>
      </x:c>
      <x:c r="G37" s="9" t="str">
        <x:v>Cône continu de feu ; rotation limitée pendant canalisation et durée visible.</x:v>
      </x:c>
      <x:c r="H37" s="9" t="str">
        <x:v>Cône continu de feu ; rotation limitée pendant canalisation et durée visible.</x:v>
      </x:c>
      <x:c r="I37" s="9" t="str">
        <x:v>Jet orange court.</x:v>
      </x:c>
      <x:c r="J37" s="9" t="str">
        <x:v>Aucune animation d’activation pour les passifs ; pour une action, pose anticipée, effet à événement unique et reprise compatible avec saut/sol.</x:v>
      </x:c>
      <x:c r="K37" s="9" t="str">
        <x:v>Signature originale par famille ; signal de disponibilité distinct du signal d’impact, équivalents visuels pour les informations utiles.</x:v>
      </x:c>
      <x:c r="L37" s="9" t="str">
        <x:v>Prévu : fiche de données mea/powers/flamethrower ; rattacher les ressources et états cités à cet identifiant. Aucun fichier de jeu créé par ce catalogue.</x:v>
      </x:c>
      <x:c r="M37" s="9" t="str">
        <x:v>Tech</x:v>
      </x:c>
      <x:c r="N37" s="9" t="str">
        <x:v>Flamethrower : contrôler cible, protections, portée, coût, interruption et fin d’effet ; un passif n’apparaît jamais comme action sélectionnable et un pouvoir d’allié n’entre pas dans le build de Ryder par erreur.</x:v>
      </x:c>
      <x:c r="O37" s="9" t="str"/>
      <x:c r="P37" s="9" t="str">
        <x:v>Flamethrower</x:v>
      </x:c>
      <x:c r="Q37" s="9" t="str">
        <x:v>MEA-SRC-SKILLS</x:v>
      </x:c>
      <x:c r="R37" s="9" t="str">
        <x:v>https://masseffect.fandom.com/wiki/Skills</x:v>
      </x:c>
      <x:c r="S37" s="9" t="str">
        <x:v>Spécification à réaliser. Les champs adaptation, gameplay, visual, animation, audio et implementation décrivent le fan game ; ils ne donnent pas des caractéristiques officielles de l’œuvre.</x:v>
      </x:c>
    </x:row>
    <x:row r="38" ht="68" customHeight="1">
      <x:c r="A38" s="19" t="str">
        <x:v>MEA-POW-INVASION</x:v>
      </x:c>
      <x:c r="B38" s="7" t="str">
        <x:v>Invasion</x:v>
      </x:c>
      <x:c r="C38" s="15" t="str">
        <x:v>Défini</x:v>
      </x:c>
      <x:c r="D38" s="17" t="str">
        <x:v>Établi</x:v>
      </x:c>
      <x:c r="E38" s="17" t="str">
        <x:v>P1</x:v>
      </x:c>
      <x:c r="F38" s="7" t="str">
        <x:v>Compétence de MEA — Tech.</x:v>
      </x:c>
      <x:c r="G38" s="7" t="str">
        <x:v>Dégradation technique transmissible selon règle proposée ; chaînes limitées et origine de statut visible.</x:v>
      </x:c>
      <x:c r="H38" s="7" t="str">
        <x:v>Dégradation technique transmissible selon règle proposée ; chaînes limitées et origine de statut visible.</x:v>
      </x:c>
      <x:c r="I38" s="7" t="str">
        <x:v>Nuage de particules et liens orange.</x:v>
      </x:c>
      <x:c r="J38" s="7" t="str">
        <x:v>Aucune animation d’activation pour les passifs ; pour une action, pose anticipée, effet à événement unique et reprise compatible avec saut/sol.</x:v>
      </x:c>
      <x:c r="K38" s="7" t="str">
        <x:v>Signature originale par famille ; signal de disponibilité distinct du signal d’impact, équivalents visuels pour les informations utiles.</x:v>
      </x:c>
      <x:c r="L38" s="7" t="str">
        <x:v>Prévu : fiche de données mea/powers/invasion ; rattacher les ressources et états cités à cet identifiant. Aucun fichier de jeu créé par ce catalogue.</x:v>
      </x:c>
      <x:c r="M38" s="7" t="str">
        <x:v>Tech</x:v>
      </x:c>
      <x:c r="N38" s="7" t="str">
        <x:v>Invasion : contrôler cible, protections, portée, coût, interruption et fin d’effet ; un passif n’apparaît jamais comme action sélectionnable et un pouvoir d’allié n’entre pas dans le build de Ryder par erreur.</x:v>
      </x:c>
      <x:c r="O38" s="7" t="str"/>
      <x:c r="P38" s="7" t="str">
        <x:v>Invasion</x:v>
      </x:c>
      <x:c r="Q38" s="7" t="str">
        <x:v>MEA-SRC-SKILLS</x:v>
      </x:c>
      <x:c r="R38" s="7" t="str">
        <x:v>https://masseffect.fandom.com/wiki/Skills</x:v>
      </x:c>
      <x:c r="S38" s="7" t="str">
        <x:v>Spécification à réaliser. Les champs adaptation, gameplay, visual, animation, audio et implementation décrivent le fan game ; ils ne donnent pas des caractéristiques officielles de l’œuvre.</x:v>
      </x:c>
    </x:row>
    <x:row r="39" ht="68" customHeight="1">
      <x:c r="A39" s="18" t="str">
        <x:v>MEA-POW-REMNANT-VI</x:v>
      </x:c>
      <x:c r="B39" s="9" t="str">
        <x:v>Remnant VI</x:v>
      </x:c>
      <x:c r="C39" s="15" t="str">
        <x:v>Défini</x:v>
      </x:c>
      <x:c r="D39" s="16" t="str">
        <x:v>Établi</x:v>
      </x:c>
      <x:c r="E39" s="16" t="str">
        <x:v>P1</x:v>
      </x:c>
      <x:c r="F39" s="9" t="str">
        <x:v>Compétence de MEA — Tech.</x:v>
      </x:c>
      <x:c r="G39" s="9" t="str">
        <x:v>Observer allié commandable après déblocage ; unité invoquée ne remplace pas un équipier dans le roster.</x:v>
      </x:c>
      <x:c r="H39" s="9" t="str">
        <x:v>Observer allié commandable après déblocage ; unité invoquée ne remplace pas un équipier dans le roster.</x:v>
      </x:c>
      <x:c r="I39" s="9" t="str">
        <x:v>Petit Observer de faction alliée.</x:v>
      </x:c>
      <x:c r="J39" s="9" t="str">
        <x:v>Aucune animation d’activation pour les passifs ; pour une action, pose anticipée, effet à événement unique et reprise compatible avec saut/sol.</x:v>
      </x:c>
      <x:c r="K39" s="9" t="str">
        <x:v>Signature originale par famille ; signal de disponibilité distinct du signal d’impact, équivalents visuels pour les informations utiles.</x:v>
      </x:c>
      <x:c r="L39" s="9" t="str">
        <x:v>Prévu : fiche de données mea/powers/remnant-vi ; rattacher les ressources et états cités à cet identifiant. Aucun fichier de jeu créé par ce catalogue.</x:v>
      </x:c>
      <x:c r="M39" s="9" t="str">
        <x:v>Tech</x:v>
      </x:c>
      <x:c r="N39" s="9" t="str">
        <x:v>Remnant VI : contrôler cible, protections, portée, coût, interruption et fin d’effet ; un passif n’apparaît jamais comme action sélectionnable et un pouvoir d’allié n’entre pas dans le build de Ryder par erreur.</x:v>
      </x:c>
      <x:c r="O39" s="9" t="str"/>
      <x:c r="P39" s="9" t="str">
        <x:v>Remnant VI</x:v>
      </x:c>
      <x:c r="Q39" s="9" t="str">
        <x:v>MEA-SRC-SKILLS</x:v>
      </x:c>
      <x:c r="R39" s="9" t="str">
        <x:v>https://masseffect.fandom.com/wiki/Skills</x:v>
      </x:c>
      <x:c r="S39" s="9" t="str">
        <x:v>Spécification à réaliser. Les champs adaptation, gameplay, visual, animation, audio et implementation décrivent le fan game ; ils ne donnent pas des caractéristiques officielles de l’œuvre.</x:v>
      </x:c>
    </x:row>
    <x:row r="40" ht="68" customHeight="1">
      <x:c r="A40" s="19" t="str">
        <x:v>MEA-POW-AUXILIARY</x:v>
      </x:c>
      <x:c r="B40" s="7" t="str">
        <x:v>Auxiliary Systems</x:v>
      </x:c>
      <x:c r="C40" s="15" t="str">
        <x:v>Défini</x:v>
      </x:c>
      <x:c r="D40" s="17" t="str">
        <x:v>Établi</x:v>
      </x:c>
      <x:c r="E40" s="17" t="str">
        <x:v>P1</x:v>
      </x:c>
      <x:c r="F40" s="7" t="str">
        <x:v>Compétence de MEA — Passif tech.</x:v>
      </x:c>
      <x:c r="G40" s="7" t="str">
        <x:v>Soutien aux compétences tech compatibles ; pas d’application silencieuse aux armes ou pouvoirs biotiques.</x:v>
      </x:c>
      <x:c r="H40" s="7" t="str">
        <x:v>Soutien aux compétences tech compatibles ; pas d’application silencieuse aux armes ou pouvoirs biotiques.</x:v>
      </x:c>
      <x:c r="I40" s="7" t="str">
        <x:v>Circuit et symboles de systèmes.</x:v>
      </x:c>
      <x:c r="J40" s="7" t="str">
        <x:v>Aucune animation d’activation pour les passifs ; pour une action, pose anticipée, effet à événement unique et reprise compatible avec saut/sol.</x:v>
      </x:c>
      <x:c r="K40" s="7" t="str">
        <x:v>Signature originale par famille ; signal de disponibilité distinct du signal d’impact, équivalents visuels pour les informations utiles.</x:v>
      </x:c>
      <x:c r="L40" s="7" t="str">
        <x:v>Prévu : fiche de données mea/powers/auxiliary ; rattacher les ressources et états cités à cet identifiant. Aucun fichier de jeu créé par ce catalogue.</x:v>
      </x:c>
      <x:c r="M40" s="7" t="str">
        <x:v>Passif tech</x:v>
      </x:c>
      <x:c r="N40" s="7" t="str">
        <x:v>Auxiliary Systems : contrôler cible, protections, portée, coût, interruption et fin d’effet ; un passif n’apparaît jamais comme action sélectionnable et un pouvoir d’allié n’entre pas dans le build de Ryder par erreur.</x:v>
      </x:c>
      <x:c r="O40" s="7" t="str"/>
      <x:c r="P40" s="7" t="str">
        <x:v>Auxiliary Systems</x:v>
      </x:c>
      <x:c r="Q40" s="7" t="str">
        <x:v>MEA-SRC-AUX</x:v>
      </x:c>
      <x:c r="R40" s="7" t="str">
        <x:v>https://masseffect.fandom.com/wiki/Auxiliary_Systems</x:v>
      </x:c>
      <x:c r="S40" s="7" t="str">
        <x:v>Spécification à réaliser. Les champs adaptation, gameplay, visual, animation, audio et implementation décrivent le fan game ; ils ne donnent pas des caractéristiques officielles de l’œuvre.</x:v>
      </x:c>
    </x:row>
    <x:row r="41" ht="68" customHeight="1">
      <x:c r="A41" s="18" t="str">
        <x:v>MEA-POW-OFFENSIVE-TECH</x:v>
      </x:c>
      <x:c r="B41" s="9" t="str">
        <x:v>Offensive Tech</x:v>
      </x:c>
      <x:c r="C41" s="15" t="str">
        <x:v>Défini</x:v>
      </x:c>
      <x:c r="D41" s="16" t="str">
        <x:v>Établi</x:v>
      </x:c>
      <x:c r="E41" s="16" t="str">
        <x:v>P1</x:v>
      </x:c>
      <x:c r="F41" s="9" t="str">
        <x:v>Compétence de MEA — Passif tech.</x:v>
      </x:c>
      <x:c r="G41" s="9" t="str">
        <x:v>Renforcer dégâts et interactions tech proposés ; comparer effet de base et combo sans double comptage.</x:v>
      </x:c>
      <x:c r="H41" s="9" t="str">
        <x:v>Renforcer dégâts et interactions tech proposés ; comparer effet de base et combo sans double comptage.</x:v>
      </x:c>
      <x:c r="I41" s="9" t="str">
        <x:v>Circuit offensif.</x:v>
      </x:c>
      <x:c r="J41" s="9" t="str">
        <x:v>Aucune animation d’activation pour les passifs ; pour une action, pose anticipée, effet à événement unique et reprise compatible avec saut/sol.</x:v>
      </x:c>
      <x:c r="K41" s="9" t="str">
        <x:v>Signature originale par famille ; signal de disponibilité distinct du signal d’impact, équivalents visuels pour les informations utiles.</x:v>
      </x:c>
      <x:c r="L41" s="9" t="str">
        <x:v>Prévu : fiche de données mea/powers/offensive-tech ; rattacher les ressources et états cités à cet identifiant. Aucun fichier de jeu créé par ce catalogue.</x:v>
      </x:c>
      <x:c r="M41" s="9" t="str">
        <x:v>Passif tech</x:v>
      </x:c>
      <x:c r="N41" s="9" t="str">
        <x:v>Offensive Tech : contrôler cible, protections, portée, coût, interruption et fin d’effet ; un passif n’apparaît jamais comme action sélectionnable et un pouvoir d’allié n’entre pas dans le build de Ryder par erreur.</x:v>
      </x:c>
      <x:c r="O41" s="9" t="str"/>
      <x:c r="P41" s="9" t="str">
        <x:v>Offensive Tech</x:v>
      </x:c>
      <x:c r="Q41" s="9" t="str">
        <x:v>MEA-SRC-SKILLS</x:v>
      </x:c>
      <x:c r="R41" s="9" t="str">
        <x:v>https://masseffect.fandom.com/wiki/Skills</x:v>
      </x:c>
      <x:c r="S41" s="9" t="str">
        <x:v>Spécification à réaliser. Les champs adaptation, gameplay, visual, animation, audio et implementation décrivent le fan game ; ils ne donnent pas des caractéristiques officielles de l’œuvre.</x:v>
      </x:c>
    </x:row>
    <x:row r="42" ht="68" customHeight="1">
      <x:c r="A42" s="19" t="str">
        <x:v>MEA-POW-TEAM-SUPPORT</x:v>
      </x:c>
      <x:c r="B42" s="7" t="str">
        <x:v>Team Support</x:v>
      </x:c>
      <x:c r="C42" s="15" t="str">
        <x:v>Défini</x:v>
      </x:c>
      <x:c r="D42" s="17" t="str">
        <x:v>Établi</x:v>
      </x:c>
      <x:c r="E42" s="17" t="str">
        <x:v>P1</x:v>
      </x:c>
      <x:c r="F42" s="7" t="str">
        <x:v>Compétence de MEA — Passif tech.</x:v>
      </x:c>
      <x:c r="G42" s="7" t="str">
        <x:v>Soutien à l’équipe selon portée et déclencheur proposés ; buffs de groupe ont durée et source affichées.</x:v>
      </x:c>
      <x:c r="H42" s="7" t="str">
        <x:v>Soutien à l’équipe selon portée et déclencheur proposés ; buffs de groupe ont durée et source affichées.</x:v>
      </x:c>
      <x:c r="I42" s="7" t="str">
        <x:v>Trois portraits reliés.</x:v>
      </x:c>
      <x:c r="J42" s="7" t="str">
        <x:v>Aucune animation d’activation pour les passifs ; pour une action, pose anticipée, effet à événement unique et reprise compatible avec saut/sol.</x:v>
      </x:c>
      <x:c r="K42" s="7" t="str">
        <x:v>Signature originale par famille ; signal de disponibilité distinct du signal d’impact, équivalents visuels pour les informations utiles.</x:v>
      </x:c>
      <x:c r="L42" s="7" t="str">
        <x:v>Prévu : fiche de données mea/powers/team-support ; rattacher les ressources et états cités à cet identifiant. Aucun fichier de jeu créé par ce catalogue.</x:v>
      </x:c>
      <x:c r="M42" s="7" t="str">
        <x:v>Passif tech</x:v>
      </x:c>
      <x:c r="N42" s="7" t="str">
        <x:v>Team Support : contrôler cible, protections, portée, coût, interruption et fin d’effet ; un passif n’apparaît jamais comme action sélectionnable et un pouvoir d’allié n’entre pas dans le build de Ryder par erreur.</x:v>
      </x:c>
      <x:c r="O42" s="7" t="str"/>
      <x:c r="P42" s="7" t="str">
        <x:v>Team Support</x:v>
      </x:c>
      <x:c r="Q42" s="7" t="str">
        <x:v>MEA-SRC-SUPPORT</x:v>
      </x:c>
      <x:c r="R42" s="7" t="str">
        <x:v>https://masseffect.fandom.com/wiki/Team_Support_%28skill%29</x:v>
      </x:c>
      <x:c r="S42" s="7" t="str">
        <x:v>Spécification à réaliser. Les champs adaptation, gameplay, visual, animation, audio et implementation décrivent le fan game ; ils ne donnent pas des caractéristiques officielles de l’œuvre.</x:v>
      </x:c>
    </x:row>
    <x:row r="43" ht="96" customHeight="1">
      <x:c r="A43" s="18" t="str">
        <x:v>MEA-POW-SHIELD-BOOST</x:v>
      </x:c>
      <x:c r="B43" s="9" t="str">
        <x:v>Shield Boost</x:v>
      </x:c>
      <x:c r="C43" s="15" t="str">
        <x:v>Prototype</x:v>
      </x:c>
      <x:c r="D43" s="16" t="str">
        <x:v>Établi</x:v>
      </x:c>
      <x:c r="E43" s="16" t="str">
        <x:v>P1</x:v>
      </x:c>
      <x:c r="F43" s="9" t="str">
        <x:v>Compétence de MEA — Allié Cora.</x:v>
      </x:c>
      <x:c r="G43" s="9" t="str">
        <x:v>Secours de protection avec cible et rayon proposés ; le gain ne relève pas un mort sans règle médicale dédiée.</x:v>
      </x:c>
      <x:c r="H43" s="9" t="str">
        <x:v>Secours de protection avec cible et rayon proposés ; le gain ne relève pas un mort sans règle médicale dédiée.</x:v>
      </x:c>
      <x:c r="I43" s="9" t="str">
        <x:v>Pulse bleu autour des alliés.</x:v>
      </x:c>
      <x:c r="J43" s="9" t="str">
        <x:v>Aucune animation d’activation pour les passifs ; pour une action, pose anticipée, effet à événement unique et reprise compatible avec saut/sol.</x:v>
      </x:c>
      <x:c r="K43" s="9" t="str">
        <x:v>Signature originale par famille ; signal de disponibilité distinct du signal d’impact, équivalents visuels pour les informations utiles.</x:v>
      </x:c>
      <x:c r="L43" s="9" t="str">
        <x:v>Prototype partiel de pouvoir : liaison MEA-POW-SHIELD-BOOST → shieldBoost dans src/universe-powers.js ; action native dans src/combat.js. Exposé par les profils/préparations autorisés dans mea-equipment-workshop, avec provenance et restrictions de la fiche conservées.</x:v>
      </x:c>
      <x:c r="M43" s="9" t="str">
        <x:v>Allié Cora</x:v>
      </x:c>
      <x:c r="N43" s="9" t="str">
        <x:v>Shield Boost : contrôler cible, protections, portée, coût, interruption et fin d’effet ; un passif n’apparaît jamais comme action sélectionnable et un pouvoir d’allié n’entre pas dans le build de Ryder par erreur.</x:v>
      </x:c>
      <x:c r="O43" s="9" t="str"/>
      <x:c r="P43" s="9" t="str">
        <x:v>Shield Boost</x:v>
      </x:c>
      <x:c r="Q43" s="9" t="str">
        <x:v>MEA-SRC-SKILLS</x:v>
      </x:c>
      <x:c r="R43" s="9" t="str">
        <x:v>https://masseffect.fandom.com/wiki/Skills</x:v>
      </x:c>
      <x:c r="S43" s="9" t="str">
        <x:v>Les champs adaptation, gameplay, visual, animation, audio et implementation décrivent le fan game ; ils ne donnent pas des caractéristiques officielles de l’œuvre. Action de soutien de groupe : restaure les boucliers des alliés admissibles sans rendre de santé ni de charges de grenades. Montants, durée, recharge et portée de groupe sont des réglages ATB ; aucun arbre complet ni rang d’origine certifié.</x:v>
      </x:c>
    </x:row>
    <x:row r="44" ht="68" customHeight="1">
      <x:c r="A44" s="19" t="str">
        <x:v>MEA-POW-HAVOC</x:v>
      </x:c>
      <x:c r="B44" s="7" t="str">
        <x:v>Havoc Strike</x:v>
      </x:c>
      <x:c r="C44" s="15" t="str">
        <x:v>Défini</x:v>
      </x:c>
      <x:c r="D44" s="17" t="str">
        <x:v>Établi</x:v>
      </x:c>
      <x:c r="E44" s="17" t="str">
        <x:v>P1</x:v>
      </x:c>
      <x:c r="F44" s="7" t="str">
        <x:v>Compétence de MEA — Allié Liam.</x:v>
      </x:c>
      <x:c r="G44" s="7" t="str">
        <x:v>Bond offensif vers cellule réservée puis retour au contrôle ; point de départ ne constitue pas téléportation libre.</x:v>
      </x:c>
      <x:c r="H44" s="7" t="str">
        <x:v>Bond offensif vers cellule réservée puis retour au contrôle ; point de départ ne constitue pas téléportation libre.</x:v>
      </x:c>
      <x:c r="I44" s="7" t="str">
        <x:v>Impulsion de saut et impact.</x:v>
      </x:c>
      <x:c r="J44" s="7" t="str">
        <x:v>Aucune animation d’activation pour les passifs ; pour une action, pose anticipée, effet à événement unique et reprise compatible avec saut/sol.</x:v>
      </x:c>
      <x:c r="K44" s="7" t="str">
        <x:v>Signature originale par famille ; signal de disponibilité distinct du signal d’impact, équivalents visuels pour les informations utiles.</x:v>
      </x:c>
      <x:c r="L44" s="7" t="str">
        <x:v>Prévu : fiche de données mea/powers/havoc ; rattacher les ressources et états cités à cet identifiant. Aucun fichier de jeu créé par ce catalogue.</x:v>
      </x:c>
      <x:c r="M44" s="7" t="str">
        <x:v>Allié Liam</x:v>
      </x:c>
      <x:c r="N44" s="7" t="str">
        <x:v>Havoc Strike : contrôler cible, protections, portée, coût, interruption et fin d’effet ; un passif n’apparaît jamais comme action sélectionnable et un pouvoir d’allié n’entre pas dans le build de Ryder par erreur.</x:v>
      </x:c>
      <x:c r="O44" s="7" t="str"/>
      <x:c r="P44" s="7" t="str">
        <x:v>Havoc Strike</x:v>
      </x:c>
      <x:c r="Q44" s="7" t="str">
        <x:v>MEA-SRC-SKILLS</x:v>
      </x:c>
      <x:c r="R44" s="7" t="str">
        <x:v>https://masseffect.fandom.com/wiki/Skills</x:v>
      </x:c>
      <x:c r="S44" s="7" t="str">
        <x:v>Spécification à réaliser. Les champs adaptation, gameplay, visual, animation, audio et implementation décrivent le fan game ; ils ne donnent pas des caractéristiques officielles de l’œuvre.</x:v>
      </x:c>
    </x:row>
    <x:row r="45" ht="82" customHeight="1">
      <x:c r="A45" s="18" t="str">
        <x:v>MEA-POW-FRAG</x:v>
      </x:c>
      <x:c r="B45" s="9" t="str">
        <x:v>Frag Grenade</x:v>
      </x:c>
      <x:c r="C45" s="15" t="str">
        <x:v>Prototype</x:v>
      </x:c>
      <x:c r="D45" s="16" t="str">
        <x:v>Établi</x:v>
      </x:c>
      <x:c r="E45" s="16" t="str">
        <x:v>P1</x:v>
      </x:c>
      <x:c r="F45" s="9" t="str">
        <x:v>Compétence de MEA — Allié Liam.</x:v>
      </x:c>
      <x:c r="G45" s="9" t="str">
        <x:v>Grenade propre au compagnon ; réserve et compétences de Ryder distinctes dans données.</x:v>
      </x:c>
      <x:c r="H45" s="9" t="str">
        <x:v>Grenade propre au compagnon ; réserve et compétences de Ryder distinctes dans données.</x:v>
      </x:c>
      <x:c r="I45" s="9" t="str">
        <x:v>Grenade et arc de lancer.</x:v>
      </x:c>
      <x:c r="J45" s="9" t="str">
        <x:v>Aucune animation d’activation pour les passifs ; pour une action, pose anticipée, effet à événement unique et reprise compatible avec saut/sol.</x:v>
      </x:c>
      <x:c r="K45" s="9" t="str">
        <x:v>Signature originale par famille ; signal de disponibilité distinct du signal d’impact, équivalents visuels pour les informations utiles.</x:v>
      </x:c>
      <x:c r="L45" s="9" t="str">
        <x:v>Prototype partiel de pouvoir : liaison MEA-POW-FRAG → fragGrenade dans src/universe-powers.js ; action native dans src/combat.js. Exposé par les profils/préparations autorisés dans mea-equipment-workshop, avec provenance et restrictions de la fiche conservées.</x:v>
      </x:c>
      <x:c r="M45" s="9" t="str">
        <x:v>Allié Liam</x:v>
      </x:c>
      <x:c r="N45" s="9" t="str">
        <x:v>Frag Grenade : contrôler cible, protections, portée, coût, interruption et fin d’effet ; un passif n’apparaît jamais comme action sélectionnable et un pouvoir d’allié n’entre pas dans le build de Ryder par erreur.</x:v>
      </x:c>
      <x:c r="O45" s="9" t="str"/>
      <x:c r="P45" s="9" t="str">
        <x:v>Frag Grenade</x:v>
      </x:c>
      <x:c r="Q45" s="9" t="str">
        <x:v>MEA-SRC-SKILLS</x:v>
      </x:c>
      <x:c r="R45" s="9" t="str">
        <x:v>https://masseffect.fandom.com/wiki/Skills</x:v>
      </x:c>
      <x:c r="S45"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46" ht="68" customHeight="1">
      <x:c r="A46" s="19" t="str">
        <x:v>MEA-POW-AVENGER-STRIKE</x:v>
      </x:c>
      <x:c r="B46" s="7" t="str">
        <x:v>Avenger Strike</x:v>
      </x:c>
      <x:c r="C46" s="15" t="str">
        <x:v>Défini</x:v>
      </x:c>
      <x:c r="D46" s="17" t="str">
        <x:v>Établi</x:v>
      </x:c>
      <x:c r="E46" s="17" t="str">
        <x:v>P1</x:v>
      </x:c>
      <x:c r="F46" s="7" t="str">
        <x:v>Compétence de MEA — Allié Jaal.</x:v>
      </x:c>
      <x:c r="G46" s="7" t="str">
        <x:v>Approche furtive de frappe et repli ; chemin et cible valides avant coût, retour évite fosse et couvert.</x:v>
      </x:c>
      <x:c r="H46" s="7" t="str">
        <x:v>Approche furtive de frappe et repli ; chemin et cible valides avant coût, retour évite fosse et couvert.</x:v>
      </x:c>
      <x:c r="I46" s="7" t="str">
        <x:v>Voile bref et lame de contact.</x:v>
      </x:c>
      <x:c r="J46" s="7" t="str">
        <x:v>Aucune animation d’activation pour les passifs ; pour une action, pose anticipée, effet à événement unique et reprise compatible avec saut/sol.</x:v>
      </x:c>
      <x:c r="K46" s="7" t="str">
        <x:v>Signature originale par famille ; signal de disponibilité distinct du signal d’impact, équivalents visuels pour les informations utiles.</x:v>
      </x:c>
      <x:c r="L46" s="7" t="str">
        <x:v>Prévu : fiche de données mea/powers/avenger-strike ; rattacher les ressources et états cités à cet identifiant. Aucun fichier de jeu créé par ce catalogue.</x:v>
      </x:c>
      <x:c r="M46" s="7" t="str">
        <x:v>Allié Jaal</x:v>
      </x:c>
      <x:c r="N46" s="7" t="str">
        <x:v>Avenger Strike : contrôler cible, protections, portée, coût, interruption et fin d’effet ; un passif n’apparaît jamais comme action sélectionnable et un pouvoir d’allié n’entre pas dans le build de Ryder par erreur.</x:v>
      </x:c>
      <x:c r="O46" s="7" t="str"/>
      <x:c r="P46" s="7" t="str">
        <x:v>Avenger Strike</x:v>
      </x:c>
      <x:c r="Q46" s="7" t="str">
        <x:v>MEA-SRC-SKILLS</x:v>
      </x:c>
      <x:c r="R46" s="7" t="str">
        <x:v>https://masseffect.fandom.com/wiki/Skills</x:v>
      </x:c>
      <x:c r="S46" s="7" t="str">
        <x:v>Spécification à réaliser. Les champs adaptation, gameplay, visual, animation, audio et implementation décrivent le fan game ; ils ne donnent pas des caractéristiques officielles de l’œuvre.</x:v>
      </x:c>
    </x:row>
    <x:row r="47" ht="96" customHeight="1">
      <x:c r="A47" s="18" t="str">
        <x:v>MEA-POW-STICKY</x:v>
      </x:c>
      <x:c r="B47" s="9" t="str">
        <x:v>Sticky Grenade</x:v>
      </x:c>
      <x:c r="C47" s="15" t="str">
        <x:v>Prototype</x:v>
      </x:c>
      <x:c r="D47" s="16" t="str">
        <x:v>Établi</x:v>
      </x:c>
      <x:c r="E47" s="16" t="str">
        <x:v>P1</x:v>
      </x:c>
      <x:c r="F47" s="9" t="str">
        <x:v>Compétence de MEA — Allié Jaal.</x:v>
      </x:c>
      <x:c r="G47" s="9" t="str">
        <x:v>Charge adhésive à délai visible ; ne pas confondre avec évolution d’Omni Grenade de Ryder.</x:v>
      </x:c>
      <x:c r="H47" s="9" t="str">
        <x:v>Charge adhésive à délai visible ; ne pas confondre avec évolution d’Omni Grenade de Ryder.</x:v>
      </x:c>
      <x:c r="I47" s="9" t="str">
        <x:v>Charge fixée et signal de durée.</x:v>
      </x:c>
      <x:c r="J47" s="9" t="str">
        <x:v>Aucune animation d’activation pour les passifs ; pour une action, pose anticipée, effet à événement unique et reprise compatible avec saut/sol.</x:v>
      </x:c>
      <x:c r="K47" s="9" t="str">
        <x:v>Signature originale par famille ; signal de disponibilité distinct du signal d’impact, équivalents visuels pour les informations utiles.</x:v>
      </x:c>
      <x:c r="L47" s="9" t="str">
        <x:v>Prototype partiel de pouvoir : liaison MEA-POW-STICKY → stickyGrenade dans src/universe-powers.js ; action native dans src/combat.js. Exposé par les profils/préparations autorisés dans mea-equipment-workshop, avec provenance et restrictions de la fiche conservées.</x:v>
      </x:c>
      <x:c r="M47" s="9" t="str">
        <x:v>Allié Jaal</x:v>
      </x:c>
      <x:c r="N47" s="9" t="str">
        <x:v>Sticky Grenade : contrôler cible, protections, portée, coût, interruption et fin d’effet ; un passif n’apparaît jamais comme action sélectionnable et un pouvoir d’allié n’entre pas dans le build de Ryder par erreur.</x:v>
      </x:c>
      <x:c r="O47" s="9" t="str"/>
      <x:c r="P47" s="9" t="str">
        <x:v>Sticky Grenade</x:v>
      </x:c>
      <x:c r="Q47" s="9" t="str">
        <x:v>MEA-SRC-SKILLS</x:v>
      </x:c>
      <x:c r="R47" s="9" t="str">
        <x:v>https://masseffect.fandom.com/wiki/Skills</x:v>
      </x:c>
      <x:c r="S47"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48" ht="68" customHeight="1">
      <x:c r="A48" s="19" t="str">
        <x:v>MEA-POW-POWER-ARMOR</x:v>
      </x:c>
      <x:c r="B48" s="7" t="str">
        <x:v>Power Armor</x:v>
      </x:c>
      <x:c r="C48" s="15" t="str">
        <x:v>Défini</x:v>
      </x:c>
      <x:c r="D48" s="17" t="str">
        <x:v>Établi</x:v>
      </x:c>
      <x:c r="E48" s="17" t="str">
        <x:v>P1</x:v>
      </x:c>
      <x:c r="F48" s="7" t="str">
        <x:v>Compétence de MEA — Allié Vetra.</x:v>
      </x:c>
      <x:c r="G48" s="7" t="str">
        <x:v>Défense personnelle renforcée proposée, purge et récupération lisibles ; ne rend pas Ryder équipé du même pouvoir.</x:v>
      </x:c>
      <x:c r="H48" s="7" t="str">
        <x:v>Défense personnelle renforcée proposée, purge et récupération lisibles ; ne rend pas Ryder équipé du même pouvoir.</x:v>
      </x:c>
      <x:c r="I48" s="7" t="str">
        <x:v>Plaques lumineuses sur Vetra.</x:v>
      </x:c>
      <x:c r="J48" s="7" t="str">
        <x:v>Aucune animation d’activation pour les passifs ; pour une action, pose anticipée, effet à événement unique et reprise compatible avec saut/sol.</x:v>
      </x:c>
      <x:c r="K48" s="7" t="str">
        <x:v>Signature originale par famille ; signal de disponibilité distinct du signal d’impact, équivalents visuels pour les informations utiles.</x:v>
      </x:c>
      <x:c r="L48" s="7" t="str">
        <x:v>Prévu : fiche de données mea/powers/power-armor ; rattacher les ressources et états cités à cet identifiant. Aucun fichier de jeu créé par ce catalogue.</x:v>
      </x:c>
      <x:c r="M48" s="7" t="str">
        <x:v>Allié Vetra</x:v>
      </x:c>
      <x:c r="N48" s="7" t="str">
        <x:v>Power Armor : contrôler cible, protections, portée, coût, interruption et fin d’effet ; un passif n’apparaît jamais comme action sélectionnable et un pouvoir d’allié n’entre pas dans le build de Ryder par erreur.</x:v>
      </x:c>
      <x:c r="O48" s="7" t="str"/>
      <x:c r="P48" s="7" t="str">
        <x:v>Power Armor</x:v>
      </x:c>
      <x:c r="Q48" s="7" t="str">
        <x:v>MEA-SRC-SKILLS</x:v>
      </x:c>
      <x:c r="R48" s="7" t="str">
        <x:v>https://masseffect.fandom.com/wiki/Skills</x:v>
      </x:c>
      <x:c r="S48" s="7" t="str">
        <x:v>Spécification à réaliser. Les champs adaptation, gameplay, visual, animation, audio et implementation décrivent le fan game ; ils ne donnent pas des caractéristiques officielles de l’œuvre.</x:v>
      </x:c>
    </x:row>
    <x:row r="49" ht="68" customHeight="1">
      <x:c r="A49" s="18" t="str">
        <x:v>MEA-POW-BLOOD-RAGE</x:v>
      </x:c>
      <x:c r="B49" s="9" t="str">
        <x:v>Blood Rage</x:v>
      </x:c>
      <x:c r="C49" s="15" t="str">
        <x:v>Défini</x:v>
      </x:c>
      <x:c r="D49" s="16" t="str">
        <x:v>Établi</x:v>
      </x:c>
      <x:c r="E49" s="16" t="str">
        <x:v>P1</x:v>
      </x:c>
      <x:c r="F49" s="9" t="str">
        <x:v>Compétence de MEA — Allié Drack.</x:v>
      </x:c>
      <x:c r="G49" s="9" t="str">
        <x:v>Fenêtre offensive de mêlée et résistance proposée ; le risque et la fin de rage sont signalés avant épuisement.</x:v>
      </x:c>
      <x:c r="H49" s="9" t="str">
        <x:v>Fenêtre offensive de mêlée et résistance proposée ; le risque et la fin de rage sont signalés avant épuisement.</x:v>
      </x:c>
      <x:c r="I49" s="9" t="str">
        <x:v>Halo rouge et posture krogan.</x:v>
      </x:c>
      <x:c r="J49" s="9" t="str">
        <x:v>Aucune animation d’activation pour les passifs ; pour une action, pose anticipée, effet à événement unique et reprise compatible avec saut/sol.</x:v>
      </x:c>
      <x:c r="K49" s="9" t="str">
        <x:v>Signature originale par famille ; signal de disponibilité distinct du signal d’impact, équivalents visuels pour les informations utiles.</x:v>
      </x:c>
      <x:c r="L49" s="9" t="str">
        <x:v>Prévu : fiche de données mea/powers/blood-rage ; rattacher les ressources et états cités à cet identifiant. Aucun fichier de jeu créé par ce catalogue.</x:v>
      </x:c>
      <x:c r="M49" s="9" t="str">
        <x:v>Allié Drack</x:v>
      </x:c>
      <x:c r="N49" s="9" t="str">
        <x:v>Blood Rage : contrôler cible, protections, portée, coût, interruption et fin d’effet ; un passif n’apparaît jamais comme action sélectionnable et un pouvoir d’allié n’entre pas dans le build de Ryder par erreur.</x:v>
      </x:c>
      <x:c r="O49" s="9" t="str"/>
      <x:c r="P49" s="9" t="str">
        <x:v>Blood Rage</x:v>
      </x:c>
      <x:c r="Q49" s="9" t="str">
        <x:v>MEA-SRC-SKILLS</x:v>
      </x:c>
      <x:c r="R49" s="9" t="str">
        <x:v>https://masseffect.fandom.com/wiki/Skills</x:v>
      </x:c>
      <x:c r="S49" s="9" t="str">
        <x:v>Spécification à réaliser. Les champs adaptation, gameplay, visual, animation, audio et implementation décrivent le fan game ; ils ne donnent pas des caractéristiques officielles de l’œuvre.</x:v>
      </x:c>
    </x:row>
  </x:sheetData>
  <x:conditionalFormatting sqref="D7:D49">
    <x:cfRule type="cellIs" dxfId="64" priority="1" operator="equal">
      <x:formula>"À vérifier"</x:formula>
    </x:cfRule>
    <x:cfRule type="cellIs" dxfId="65" priority="2" operator="equal">
      <x:formula>"Extrapolation"</x:formula>
    </x:cfRule>
  </x:conditionalFormatting>
  <x:conditionalFormatting sqref="C7:C49">
    <x:cfRule type="cellIs" dxfId="66" priority="3" operator="equal">
      <x:formula>"Validé"</x:formula>
    </x:cfRule>
  </x:conditionalFormatting>
  <x:conditionalFormatting sqref="E7:E49">
    <x:cfRule type="cellIs" dxfId="67" priority="4" operator="equal">
      <x:formula>"P0"</x:formula>
    </x:cfRule>
  </x:conditionalFormatting>
  <x:dataValidations count="3">
    <x:dataValidation type="list" sqref="C7:C49">
      <x:formula1>"Défini,Prototype,Intégré,Validé"</x:formula1>
    </x:dataValidation>
    <x:dataValidation type="list" sqref="D7:D49">
      <x:formula1>"Établi,À vérifier,Extrapolation,Coupé attesté,Concept abandonné,Allégation écartée"</x:formula1>
    </x:dataValidation>
    <x:dataValidation type="list" sqref="E7:E49">
      <x:formula1>"P0,P1,P2"</x:formula1>
    </x:dataValidation>
  </x:dataValidations>
  <x:pageMargins left="0.7" right="0.7" top="0.75" bottom="0.75" header="0.3" footer="0.3"/>
  <x:tableParts count="1">
    <x:tablePart xmlns:r="http://schemas.openxmlformats.org/officeDocument/2006/relationships" r:id="R1e131995fad14d0c"/>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MEA-AMV-CORA-SHIELD</x:v>
      </x:c>
      <x:c r="B7" s="9" t="str">
        <x:v>Cora — assaut protégé</x:v>
      </x:c>
      <x:c r="C7" s="15" t="str">
        <x:v>Défini</x:v>
      </x:c>
      <x:c r="D7" s="16" t="str">
        <x:v>Extrapolation</x:v>
      </x:c>
      <x:c r="E7" s="16" t="str">
        <x:v>P1</x:v>
      </x:c>
      <x:c r="F7" s="9" t="str">
        <x:v>Livrable original proposé : Cora — assaut protégé.</x:v>
      </x:c>
      <x:c r="G7" s="9" t="str">
        <x:v>Charge ouvre un angle puis Shield Boost prépare le repli ; réserver arrivée et annoncer alliés dans rayon du secours.</x:v>
      </x:c>
      <x:c r="H7" s="9" t="str">
        <x:v>Charge ouvre un angle puis Shield Boost prépare le repli ; réserver arrivée et annoncer alliés dans rayon du secours.</x:v>
      </x:c>
      <x:c r="I7" s="9" t="str">
        <x:v>Traînée bleue puis pulse de protection.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mea/ally_moves/cora-shield ; rattacher les ressources et états cités à cet identifiant. Aucun fichier de jeu créé par ce catalogue.</x:v>
      </x:c>
      <x:c r="M7" s="9" t="str"/>
      <x:c r="N7" s="9" t="str">
        <x:v>Le livrable « Cora — assaut protégé » possède une scène ou un scénario de contrôle ; ses règles proposées, ses conditions et ses retours visuels sont vérifiables séparément.</x:v>
      </x:c>
      <x:c r="O7" s="9" t="str">
        <x:v>MEA-CHR-CORA, MEA-POW-SHIELD-BOOST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MEA-AMV-LIAM-DRACK</x:v>
      </x:c>
      <x:c r="B8" s="7" t="str">
        <x:v>Liam + Drack — brèche rapprochée</x:v>
      </x:c>
      <x:c r="C8" s="15" t="str">
        <x:v>Défini</x:v>
      </x:c>
      <x:c r="D8" s="17" t="str">
        <x:v>Extrapolation</x:v>
      </x:c>
      <x:c r="E8" s="17" t="str">
        <x:v>P1</x:v>
      </x:c>
      <x:c r="F8" s="7" t="str">
        <x:v>Livrable original proposé : Liam + Drack — brèche rapprochée.</x:v>
      </x:c>
      <x:c r="G8" s="7" t="str">
        <x:v>Havoc Strike décale un groupe compatible, Drack engage Flak Cannon ; aucun saut de Liam dans cône déjà réservé de son allié.</x:v>
      </x:c>
      <x:c r="H8" s="7" t="str">
        <x:v>Havoc Strike décale un groupe compatible, Drack engage Flak Cannon ; aucun saut de Liam dans cône déjà réservé de son allié.</x:v>
      </x:c>
      <x:c r="I8" s="7" t="str">
        <x:v>Bond humain puis tir krogan.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mea/ally_moves/liam-drack ; rattacher les ressources et états cités à cet identifiant. Aucun fichier de jeu créé par ce catalogue.</x:v>
      </x:c>
      <x:c r="M8" s="7" t="str"/>
      <x:c r="N8" s="7" t="str">
        <x:v>Le livrable « Liam + Drack — brèche rapprochée » possède une scène ou un scénario de contrôle ; ses règles proposées, ses conditions et ses retours visuels sont vérifiables séparément.</x:v>
      </x:c>
      <x:c r="O8" s="7" t="str">
        <x:v>MEA-CHR-LIAM, MEA-CHR-DRACK, MEA-POW-HAVOC, MEA-POW-FLAK</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MEA-AMV-VETRA-CORA</x:v>
      </x:c>
      <x:c r="B9" s="9" t="str">
        <x:v>Vetra + Cora — couloir d’assaut</x:v>
      </x:c>
      <x:c r="C9" s="15" t="str">
        <x:v>Défini</x:v>
      </x:c>
      <x:c r="D9" s="16" t="str">
        <x:v>Extrapolation</x:v>
      </x:c>
      <x:c r="E9" s="16" t="str">
        <x:v>P1</x:v>
      </x:c>
      <x:c r="F9" s="9" t="str">
        <x:v>Livrable original proposé : Vetra + Cora — couloir d’assaut.</x:v>
      </x:c>
      <x:c r="G9" s="9" t="str">
        <x:v>Power Armor stabilise Vetra pendant Turbocharge, Cora protège la progression ; portée de soutien visible avant départ.</x:v>
      </x:c>
      <x:c r="H9" s="9" t="str">
        <x:v>Power Armor stabilise Vetra pendant Turbocharge, Cora protège la progression ; portée de soutien visible avant départ.</x:v>
      </x:c>
      <x:c r="I9" s="9" t="str">
        <x:v>Armure renforcée et arc biotique.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mea/ally_moves/vetra-cora ; rattacher les ressources et états cités à cet identifiant. Aucun fichier de jeu créé par ce catalogue.</x:v>
      </x:c>
      <x:c r="M9" s="9" t="str"/>
      <x:c r="N9" s="9" t="str">
        <x:v>Le livrable « Vetra + Cora — couloir d’assaut » possède une scène ou un scénario de contrôle ; ses règles proposées, ses conditions et ses retours visuels sont vérifiables séparément.</x:v>
      </x:c>
      <x:c r="O9" s="9" t="str">
        <x:v>MEA-CHR-VETRA, MEA-CHR-CORA, MEA-POW-POWER-ARMOR</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MEA-AMV-JAAL-PEEBEE</x:v>
      </x:c>
      <x:c r="B10" s="7" t="str">
        <x:v>Jaal + Peebee — cible préparée</x:v>
      </x:c>
      <x:c r="C10" s="15" t="str">
        <x:v>Défini</x:v>
      </x:c>
      <x:c r="D10" s="17" t="str">
        <x:v>Extrapolation</x:v>
      </x:c>
      <x:c r="E10" s="17" t="str">
        <x:v>P1</x:v>
      </x:c>
      <x:c r="F10" s="7" t="str">
        <x:v>Livrable original proposé : Jaal + Peebee — cible préparée.</x:v>
      </x:c>
      <x:c r="G10" s="7" t="str">
        <x:v>Invasion affaiblit le groupe, Jaal place une charge puis se replie ; ordre des explosions et états d’amorce montrés dans la file.</x:v>
      </x:c>
      <x:c r="H10" s="7" t="str">
        <x:v>Invasion affaiblit le groupe, Jaal place une charge puis se replie ; ordre des explosions et états d’amorce montrés dans la file.</x:v>
      </x:c>
      <x:c r="I10" s="7" t="str">
        <x:v>Particules tech puis charge adhésive.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mea/ally_moves/jaal-peebee ; rattacher les ressources et états cités à cet identifiant. Aucun fichier de jeu créé par ce catalogue.</x:v>
      </x:c>
      <x:c r="M10" s="7" t="str"/>
      <x:c r="N10" s="7" t="str">
        <x:v>Le livrable « Jaal + Peebee — cible préparée » possède une scène ou un scénario de contrôle ; ses règles proposées, ses conditions et ses retours visuels sont vérifiables séparément.</x:v>
      </x:c>
      <x:c r="O10" s="7" t="str">
        <x:v>MEA-CHR-JAAL, MEA-CHR-PEEBEE, MEA-POW-INVASION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MEA-AMV-CORA-PEEBEE</x:v>
      </x:c>
      <x:c r="B11" s="9" t="str">
        <x:v>Cora + Peebee — contrôle biotique</x:v>
      </x:c>
      <x:c r="C11" s="15" t="str">
        <x:v>Défini</x:v>
      </x:c>
      <x:c r="D11" s="16" t="str">
        <x:v>Extrapolation</x:v>
      </x:c>
      <x:c r="E11" s="16" t="str">
        <x:v>P1</x:v>
      </x:c>
      <x:c r="F11" s="9" t="str">
        <x:v>Livrable original proposé : Cora + Peebee — contrôle biotique.</x:v>
      </x:c>
      <x:c r="G11" s="9" t="str">
        <x:v>Pull sur cible vulnérable puis Nova à proximité ; Cora ne traverse pas un mur pour atteindre une cible en hauteur.</x:v>
      </x:c>
      <x:c r="H11" s="9" t="str">
        <x:v>Pull sur cible vulnérable puis Nova à proximité ; Cora ne traverse pas un mur pour atteindre une cible en hauteur.</x:v>
      </x:c>
      <x:c r="I11" s="9" t="str">
        <x:v>Cible suspendue et onde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mea/ally_moves/cora-peebee ; rattacher les ressources et états cités à cet identifiant. Aucun fichier de jeu créé par ce catalogue.</x:v>
      </x:c>
      <x:c r="M11" s="9" t="str"/>
      <x:c r="N11" s="9" t="str">
        <x:v>Le livrable « Cora + Peebee — contrôle biotique » possède une scène ou un scénario de contrôle ; ses règles proposées, ses conditions et ses retours visuels sont vérifiables séparément.</x:v>
      </x:c>
      <x:c r="O11" s="9" t="str">
        <x:v>MEA-CHR-CORA, MEA-CHR-PEEBEE, MEA-POW-PULL, MEA-POW-NOVA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MEA-AMV-VETRA-JAAL</x:v>
      </x:c>
      <x:c r="B12" s="7" t="str">
        <x:v>Vetra + Jaal — croisement des tirs</x:v>
      </x:c>
      <x:c r="C12" s="15" t="str">
        <x:v>Défini</x:v>
      </x:c>
      <x:c r="D12" s="17" t="str">
        <x:v>Extrapolation</x:v>
      </x:c>
      <x:c r="E12" s="17" t="str">
        <x:v>P1</x:v>
      </x:c>
      <x:c r="F12" s="7" t="str">
        <x:v>Livrable original proposé : Vetra + Jaal — croisement des tirs.</x:v>
      </x:c>
      <x:c r="G12" s="7" t="str">
        <x:v>Vetra fixe une cible protégée, Jaal choisit un angle d’Energy Drain ; les tirs alliés ne bloquent pas artificiellement leurs propres lignes.</x:v>
      </x:c>
      <x:c r="H12" s="7" t="str">
        <x:v>Vetra fixe une cible protégée, Jaal choisit un angle d’Energy Drain ; les tirs alliés ne bloquent pas artificiellement leurs propres lignes.</x:v>
      </x:c>
      <x:c r="I12" s="7" t="str">
        <x:v>Deux axes et arc de drain.</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mea/ally_moves/vetra-jaal ; rattacher les ressources et états cités à cet identifiant. Aucun fichier de jeu créé par ce catalogue.</x:v>
      </x:c>
      <x:c r="M12" s="7" t="str"/>
      <x:c r="N12" s="7" t="str">
        <x:v>Le livrable « Vetra + Jaal — croisement des tirs » possède une scène ou un scénario de contrôle ; ses règles proposées, ses conditions et ses retours visuels sont vérifiables séparément.</x:v>
      </x:c>
      <x:c r="O12" s="7" t="str">
        <x:v>MEA-CHR-VETRA, MEA-CHR-JAAL, MEA-POW-ENERGY-DRAIN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MEA-AMV-DRACK-FIRE</x:v>
      </x:c>
      <x:c r="B13" s="9" t="str">
        <x:v>Drack — brûler puis engager</x:v>
      </x:c>
      <x:c r="C13" s="15" t="str">
        <x:v>Défini</x:v>
      </x:c>
      <x:c r="D13" s="16" t="str">
        <x:v>Extrapolation</x:v>
      </x:c>
      <x:c r="E13" s="16" t="str">
        <x:v>P1</x:v>
      </x:c>
      <x:c r="F13" s="9" t="str">
        <x:v>Livrable original proposé : Drack — brûler puis engager.</x:v>
      </x:c>
      <x:c r="G13" s="9" t="str">
        <x:v>Incinerate prépare une cible cuirassée, Blood Rage ouvre la mêlée ; durée de rage annoncée pour choisir retour avant épuisement.</x:v>
      </x:c>
      <x:c r="H13" s="9" t="str">
        <x:v>Incinerate prépare une cible cuirassée, Blood Rage ouvre la mêlée ; durée de rage annoncée pour choisir retour avant épuisement.</x:v>
      </x:c>
      <x:c r="I13" s="9" t="str">
        <x:v>Projectile orange puis posture krogan.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mea/ally_moves/drack-fire ; rattacher les ressources et états cités à cet identifiant. Aucun fichier de jeu créé par ce catalogue.</x:v>
      </x:c>
      <x:c r="M13" s="9" t="str"/>
      <x:c r="N13" s="9" t="str">
        <x:v>Le livrable « Drack — brûler puis engager » possède une scène ou un scénario de contrôle ; ses règles proposées, ses conditions et ses retours visuels sont vérifiables séparément.</x:v>
      </x:c>
      <x:c r="O13" s="9" t="str">
        <x:v>MEA-CHR-DRACK, MEA-POW-BLOOD-RAGE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MEA-AMV-LIAM-TECH</x:v>
      </x:c>
      <x:c r="B14" s="7" t="str">
        <x:v>Liam — interruption de machine</x:v>
      </x:c>
      <x:c r="C14" s="15" t="str">
        <x:v>Défini</x:v>
      </x:c>
      <x:c r="D14" s="17" t="str">
        <x:v>Extrapolation</x:v>
      </x:c>
      <x:c r="E14" s="17" t="str">
        <x:v>P1</x:v>
      </x:c>
      <x:c r="F14" s="7" t="str">
        <x:v>Livrable original proposé : Liam — interruption de machine.</x:v>
      </x:c>
      <x:c r="G14" s="7" t="str">
        <x:v>Overload sur tourelle compatible puis progression vers couvert ; empêcher un ordre de contact si la machine reste hors portée réelle.</x:v>
      </x:c>
      <x:c r="H14" s="7" t="str">
        <x:v>Overload sur tourelle compatible puis progression vers couvert ; empêcher un ordre de contact si la machine reste hors portée réelle.</x:v>
      </x:c>
      <x:c r="I14" s="7" t="str">
        <x:v>Arc électrique et chemin d’assaut.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mea/ally_moves/liam-tech ; rattacher les ressources et états cités à cet identifiant. Aucun fichier de jeu créé par ce catalogue.</x:v>
      </x:c>
      <x:c r="M14" s="7" t="str"/>
      <x:c r="N14" s="7" t="str">
        <x:v>Le livrable « Liam — interruption de machine » possède une scène ou un scénario de contrôle ; ses règles proposées, ses conditions et ses retours visuels sont vérifiables séparément.</x:v>
      </x:c>
      <x:c r="O14" s="7" t="str">
        <x:v>MEA-CHR-LIAM, MEA-POW-OVERLOAD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MEA-AMV-PEEBEE-REMNANT</x:v>
      </x:c>
      <x:c r="B15" s="9" t="str">
        <x:v>Peebee — assistance de Poc</x:v>
      </x:c>
      <x:c r="C15" s="15" t="str">
        <x:v>Défini</x:v>
      </x:c>
      <x:c r="D15" s="16" t="str">
        <x:v>Extrapolation</x:v>
      </x:c>
      <x:c r="E15" s="16" t="str">
        <x:v>P1</x:v>
      </x:c>
      <x:c r="F15" s="9" t="str">
        <x:v>Livrable original proposé : Peebee — assistance de Poc.</x:v>
      </x:c>
      <x:c r="G15" s="9" t="str">
        <x:v>Distinguer robot narratif et Remnant VI invoqué ; commande technique passe par bon objet, ne double pas gratuitement un familier.</x:v>
      </x:c>
      <x:c r="H15" s="9" t="str">
        <x:v>Distinguer robot narratif et Remnant VI invoqué ; commande technique passe par bon objet, ne double pas gratuitement un familier.</x:v>
      </x:c>
      <x:c r="I15" s="9" t="str">
        <x:v>Petit robot et marque d’allié.</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mea/ally_moves/peebee-remnant ; rattacher les ressources et états cités à cet identifiant. Aucun fichier de jeu créé par ce catalogue.</x:v>
      </x:c>
      <x:c r="M15" s="9" t="str"/>
      <x:c r="N15" s="9" t="str">
        <x:v>Le livrable « Peebee — assistance de Poc » possède une scène ou un scénario de contrôle ; ses règles proposées, ses conditions et ses retours visuels sont vérifiables séparément.</x:v>
      </x:c>
      <x:c r="O15" s="9" t="str">
        <x:v>MEA-CHR-PEEBEE, MEA-POW-REMNANT-VI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MEA-AMV-JAAL-REPOSITION</x:v>
      </x:c>
      <x:c r="B16" s="7" t="str">
        <x:v>Jaal — frappe et retour</x:v>
      </x:c>
      <x:c r="C16" s="15" t="str">
        <x:v>Défini</x:v>
      </x:c>
      <x:c r="D16" s="17" t="str">
        <x:v>Extrapolation</x:v>
      </x:c>
      <x:c r="E16" s="17" t="str">
        <x:v>P1</x:v>
      </x:c>
      <x:c r="F16" s="7" t="str">
        <x:v>Livrable original proposé : Jaal — frappe et retour.</x:v>
      </x:c>
      <x:c r="G16" s="7" t="str">
        <x:v>Avenger Strike réserve point de retrait avant attaque ; si point occupé, choisir alternative proche visible ou annuler proprement.</x:v>
      </x:c>
      <x:c r="H16" s="7" t="str">
        <x:v>Avenger Strike réserve point de retrait avant attaque ; si point occupé, choisir alternative proche visible ou annuler proprement.</x:v>
      </x:c>
      <x:c r="I16" s="7" t="str">
        <x:v>Voile, frappe et trajectoire retour.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mea/ally_moves/jaal-reposition ; rattacher les ressources et états cités à cet identifiant. Aucun fichier de jeu créé par ce catalogue.</x:v>
      </x:c>
      <x:c r="M16" s="7" t="str"/>
      <x:c r="N16" s="7" t="str">
        <x:v>Le livrable « Jaal — frappe et retour » possède une scène ou un scénario de contrôle ; ses règles proposées, ses conditions et ses retours visuels sont vérifiables séparément.</x:v>
      </x:c>
      <x:c r="O16" s="7" t="str">
        <x:v>MEA-CHR-JAAL, MEA-POW-AVENGER-STRIKE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MEA-AMV-RYDER-COMBO</x:v>
      </x:c>
      <x:c r="B17" s="9" t="str">
        <x:v>Ryder — amorce/détonation avec favori</x:v>
      </x:c>
      <x:c r="C17" s="15" t="str">
        <x:v>Défini</x:v>
      </x:c>
      <x:c r="D17" s="16" t="str">
        <x:v>Extrapolation</x:v>
      </x:c>
      <x:c r="E17" s="16" t="str">
        <x:v>P1</x:v>
      </x:c>
      <x:c r="F17" s="9" t="str">
        <x:v>Livrable original proposé : Ryder — amorce/détonation avec favori.</x:v>
      </x:c>
      <x:c r="G17" s="9" t="str">
        <x:v>Préparer avec compétence compatible, changer de favori seulement selon récupération annoncée ; aucune remise à zéro de cooldown en boucle.</x:v>
      </x:c>
      <x:c r="H17" s="9" t="str">
        <x:v>Préparer avec compétence compatible, changer de favori seulement selon récupération annoncée ; aucune remise à zéro de cooldown en boucle.</x:v>
      </x:c>
      <x:c r="I17" s="9" t="str">
        <x:v>Trois slots et icône d’amorce.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mea/ally_moves/ryder-combo ; rattacher les ressources et états cités à cet identifiant. Aucun fichier de jeu créé par ce catalogue.</x:v>
      </x:c>
      <x:c r="M17" s="9" t="str"/>
      <x:c r="N17" s="9" t="str">
        <x:v>Le livrable « Ryder — amorce/détonation avec favori » possède une scène ou un scénario de contrôle ; ses règles proposées, ses conditions et ses retours visuels sont vérifiables séparément.</x:v>
      </x:c>
      <x:c r="O17" s="9" t="str">
        <x:v>MEA-CHR-RYDER, MEA-SYS-FAVORITES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MEA-AMV-REVIVE</x:v>
      </x:c>
      <x:c r="B18" s="7" t="str">
        <x:v>Secours au sol avec saut d’approche</x:v>
      </x:c>
      <x:c r="C18" s="15" t="str">
        <x:v>Défini</x:v>
      </x:c>
      <x:c r="D18" s="17" t="str">
        <x:v>Extrapolation</x:v>
      </x:c>
      <x:c r="E18" s="17" t="str">
        <x:v>P1</x:v>
      </x:c>
      <x:c r="F18" s="7" t="str">
        <x:v>Livrable original proposé : Secours au sol avec saut d’approche.</x:v>
      </x:c>
      <x:c r="G18" s="7" t="str">
        <x:v>Choisir allié puis réserver route et cellule de soin ; un saut ne permet pas de traverser un plafond pour secourir.</x:v>
      </x:c>
      <x:c r="H18" s="7" t="str">
        <x:v>Choisir allié puis réserver route et cellule de soin ; un saut ne permet pas de traverser un plafond pour secourir.</x:v>
      </x:c>
      <x:c r="I18" s="7" t="str">
        <x:v>Chemin, point médical et portrait.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mea/ally_moves/revive ; rattacher les ressources et états cités à cet identifiant. Aucun fichier de jeu créé par ce catalogue.</x:v>
      </x:c>
      <x:c r="M18" s="7" t="str"/>
      <x:c r="N18" s="7" t="str">
        <x:v>Le livrable « Secours au sol avec saut d’approche » possède une scène ou un scénario de contrôle ; ses règles proposées, ses conditions et ses retours visuels sont vérifiables séparément.</x:v>
      </x:c>
      <x:c r="O18" s="7" t="str">
        <x:v>MEA-SYS-VERTICAL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68" priority="1" operator="equal">
      <x:formula>"À vérifier"</x:formula>
    </x:cfRule>
    <x:cfRule type="cellIs" dxfId="69" priority="2" operator="equal">
      <x:formula>"Extrapolation"</x:formula>
    </x:cfRule>
  </x:conditionalFormatting>
  <x:conditionalFormatting sqref="C7:C18">
    <x:cfRule type="cellIs" dxfId="70" priority="3" operator="equal">
      <x:formula>"Validé"</x:formula>
    </x:cfRule>
  </x:conditionalFormatting>
  <x:conditionalFormatting sqref="E7:E18">
    <x:cfRule type="cellIs" dxfId="7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d56b6d3ef33247a8"/>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MEA-EMV-CHOSEN</x:v>
      </x:c>
      <x:c r="B7" s="9" t="str">
        <x:v>Séquence adverse — Kett Chosen</x:v>
      </x:c>
      <x:c r="C7" s="15" t="str">
        <x:v>Défini</x:v>
      </x:c>
      <x:c r="D7" s="16" t="str">
        <x:v>Extrapolation</x:v>
      </x:c>
      <x:c r="E7" s="16" t="str">
        <x:v>P1</x:v>
      </x:c>
      <x:c r="F7" s="9" t="str">
        <x:v>Livrable original proposé : Séquence adverse — Kett Chosen.</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Départ, trajet ou canalisation, contact puis retour ; le pivot au sol et l’altitude visuelle restent cohérents avec les zones annoncées.</x:v>
      </x:c>
      <x:c r="K7" s="9" t="str">
        <x:v>Déclenchement au premier événement de cycle uniquement ; pause ATB et reprise ne rejouent pas le signal de menace sans nouvelle attaque.</x:v>
      </x:c>
      <x:c r="L7" s="9" t="str">
        <x:v>Prévu : fiche de données mea/enemy_moves/chosen ; rattacher les ressources et états cités à cet identifiant. Aucun fichier de jeu créé par ce catalogue.</x:v>
      </x:c>
      <x:c r="M7" s="9" t="str">
        <x:v>Campagne / multi selon rencontre.</x:v>
      </x:c>
      <x:c r="N7" s="9" t="str">
        <x:v>Le cycle de Kett Chosen réserve ses cibles et emplacements avant résolution ; interruption, cible morte et changement de scène ne laissent ni projectile ni renfort orphelin.</x:v>
      </x:c>
      <x:c r="O7" s="9" t="str">
        <x:v>MEA-ENM-CHOSEN</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MEA-EMV-ANOINTED</x:v>
      </x:c>
      <x:c r="B8" s="7" t="str">
        <x:v>Séquence adverse — Kett Anointed</x:v>
      </x:c>
      <x:c r="C8" s="15" t="str">
        <x:v>Défini</x:v>
      </x:c>
      <x:c r="D8" s="17" t="str">
        <x:v>Extrapolation</x:v>
      </x:c>
      <x:c r="E8" s="17" t="str">
        <x:v>P1</x:v>
      </x:c>
      <x:c r="F8" s="7" t="str">
        <x:v>Livrable original proposé : Séquence adverse — Kett Anointed.</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Départ, trajet ou canalisation, contact puis retour ; le pivot au sol et l’altitude visuelle restent cohérents avec les zones annoncées.</x:v>
      </x:c>
      <x:c r="K8" s="7" t="str">
        <x:v>Déclenchement au premier événement de cycle uniquement ; pause ATB et reprise ne rejouent pas le signal de menace sans nouvelle attaque.</x:v>
      </x:c>
      <x:c r="L8" s="7" t="str">
        <x:v>Prévu : fiche de données mea/enemy_moves/anointed ; rattacher les ressources et états cités à cet identifiant. Aucun fichier de jeu créé par ce catalogue.</x:v>
      </x:c>
      <x:c r="M8" s="7" t="str">
        <x:v>Campagne / multi selon rencontre.</x:v>
      </x:c>
      <x:c r="N8" s="7" t="str">
        <x:v>Le cycle de Kett Anointed réserve ses cibles et emplacements avant résolution ; interruption, cible morte et changement de scène ne laissent ni projectile ni renfort orphelin.</x:v>
      </x:c>
      <x:c r="O8" s="7" t="str">
        <x:v>MEA-ENM-ANOINTED</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MEA-EMV-DESTINED</x:v>
      </x:c>
      <x:c r="B9" s="9" t="str">
        <x:v>Séquence adverse — Kett Destined</x:v>
      </x:c>
      <x:c r="C9" s="15" t="str">
        <x:v>Défini</x:v>
      </x:c>
      <x:c r="D9" s="16" t="str">
        <x:v>Extrapolation</x:v>
      </x:c>
      <x:c r="E9" s="16" t="str">
        <x:v>P1</x:v>
      </x:c>
      <x:c r="F9" s="9" t="str">
        <x:v>Livrable original proposé : Séquence adverse — Kett Destined.</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Départ, trajet ou canalisation, contact puis retour ; le pivot au sol et l’altitude visuelle restent cohérents avec les zones annoncées.</x:v>
      </x:c>
      <x:c r="K9" s="9" t="str">
        <x:v>Déclenchement au premier événement de cycle uniquement ; pause ATB et reprise ne rejouent pas le signal de menace sans nouvelle attaque.</x:v>
      </x:c>
      <x:c r="L9" s="9" t="str">
        <x:v>Prévu : fiche de données mea/enemy_moves/destined ; rattacher les ressources et états cités à cet identifiant. Aucun fichier de jeu créé par ce catalogue.</x:v>
      </x:c>
      <x:c r="M9" s="9" t="str">
        <x:v>Campagne / multi selon rencontre.</x:v>
      </x:c>
      <x:c r="N9" s="9" t="str">
        <x:v>Le cycle de Kett Destined réserve ses cibles et emplacements avant résolution ; interruption, cible morte et changement de scène ne laissent ni projectile ni renfort orphelin.</x:v>
      </x:c>
      <x:c r="O9" s="9" t="str">
        <x:v>MEA-ENM-DESTINED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MEA-EMV-WRAITH</x:v>
      </x:c>
      <x:c r="B10" s="7" t="str">
        <x:v>Séquence adverse — Kett Wraith</x:v>
      </x:c>
      <x:c r="C10" s="15" t="str">
        <x:v>Défini</x:v>
      </x:c>
      <x:c r="D10" s="17" t="str">
        <x:v>Extrapolation</x:v>
      </x:c>
      <x:c r="E10" s="17" t="str">
        <x:v>P1</x:v>
      </x:c>
      <x:c r="F10" s="7" t="str">
        <x:v>Livrable original proposé : Séquence adverse — Kett Wraith.</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Départ, trajet ou canalisation, contact puis retour ; le pivot au sol et l’altitude visuelle restent cohérents avec les zones annoncées.</x:v>
      </x:c>
      <x:c r="K10" s="7" t="str">
        <x:v>Déclenchement au premier événement de cycle uniquement ; pause ATB et reprise ne rejouent pas le signal de menace sans nouvelle attaque.</x:v>
      </x:c>
      <x:c r="L10" s="7" t="str">
        <x:v>Prévu : fiche de données mea/enemy_moves/wraith ; rattacher les ressources et états cités à cet identifiant. Aucun fichier de jeu créé par ce catalogue.</x:v>
      </x:c>
      <x:c r="M10" s="7" t="str">
        <x:v>Campagne / multi selon rencontre.</x:v>
      </x:c>
      <x:c r="N10" s="7" t="str">
        <x:v>Le cycle de Kett Wraith réserve ses cibles et emplacements avant résolution ; interruption, cible morte et changement de scène ne laissent ni projectile ni renfort orphelin.</x:v>
      </x:c>
      <x:c r="O10" s="7" t="str">
        <x:v>MEA-ENM-WRAITH</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MEA-EMV-FIEND</x:v>
      </x:c>
      <x:c r="B11" s="9" t="str">
        <x:v>Séquence adverse — Kett Fiend</x:v>
      </x:c>
      <x:c r="C11" s="15" t="str">
        <x:v>Défini</x:v>
      </x:c>
      <x:c r="D11" s="16" t="str">
        <x:v>Extrapolation</x:v>
      </x:c>
      <x:c r="E11" s="16" t="str">
        <x:v>P1</x:v>
      </x:c>
      <x:c r="F11" s="9" t="str">
        <x:v>Livrable original proposé : Séquence adverse — Kett Fiend.</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Départ, trajet ou canalisation, contact puis retour ; le pivot au sol et l’altitude visuelle restent cohérents avec les zones annoncées.</x:v>
      </x:c>
      <x:c r="K11" s="9" t="str">
        <x:v>Déclenchement au premier événement de cycle uniquement ; pause ATB et reprise ne rejouent pas le signal de menace sans nouvelle attaque.</x:v>
      </x:c>
      <x:c r="L11" s="9" t="str">
        <x:v>Prévu : fiche de données mea/enemy_moves/fiend ; rattacher les ressources et états cités à cet identifiant. Aucun fichier de jeu créé par ce catalogue.</x:v>
      </x:c>
      <x:c r="M11" s="9" t="str">
        <x:v>Campagne / multi selon rencontre.</x:v>
      </x:c>
      <x:c r="N11" s="9" t="str">
        <x:v>Le cycle de Kett Fiend réserve ses cibles et emplacements avant résolution ; interruption, cible morte et changement de scène ne laissent ni projectile ni renfort orphelin.</x:v>
      </x:c>
      <x:c r="O11" s="9" t="str">
        <x:v>MEA-ENM-FIEND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MEA-EMV-ASCENDANT</x:v>
      </x:c>
      <x:c r="B12" s="7" t="str">
        <x:v>Séquence adverse — Ascendant</x:v>
      </x:c>
      <x:c r="C12" s="15" t="str">
        <x:v>Défini</x:v>
      </x:c>
      <x:c r="D12" s="17" t="str">
        <x:v>Extrapolation</x:v>
      </x:c>
      <x:c r="E12" s="17" t="str">
        <x:v>P1</x:v>
      </x:c>
      <x:c r="F12" s="7" t="str">
        <x:v>Livrable original proposé : Séquence adverse — Ascendant.</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Départ, trajet ou canalisation, contact puis retour ; le pivot au sol et l’altitude visuelle restent cohérents avec les zones annoncées.</x:v>
      </x:c>
      <x:c r="K12" s="7" t="str">
        <x:v>Déclenchement au premier événement de cycle uniquement ; pause ATB et reprise ne rejouent pas le signal de menace sans nouvelle attaque.</x:v>
      </x:c>
      <x:c r="L12" s="7" t="str">
        <x:v>Prévu : fiche de données mea/enemy_moves/ascendant ; rattacher les ressources et états cités à cet identifiant. Aucun fichier de jeu créé par ce catalogue.</x:v>
      </x:c>
      <x:c r="M12" s="7" t="str">
        <x:v>Campagne / multi selon rencontre.</x:v>
      </x:c>
      <x:c r="N12" s="7" t="str">
        <x:v>Le cycle de Ascendant réserve ses cibles et emplacements avant résolution ; interruption, cible morte et changement de scène ne laissent ni projectile ni renfort orphelin.</x:v>
      </x:c>
      <x:c r="O12" s="7" t="str">
        <x:v>MEA-ENM-ASCENDANT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MEA-EMV-CARDINAL</x:v>
      </x:c>
      <x:c r="B13" s="9" t="str">
        <x:v>Séquence adverse — Le Cardinal</x:v>
      </x:c>
      <x:c r="C13" s="15" t="str">
        <x:v>Défini</x:v>
      </x:c>
      <x:c r="D13" s="16" t="str">
        <x:v>Extrapolation</x:v>
      </x:c>
      <x:c r="E13" s="16" t="str">
        <x:v>P1</x:v>
      </x:c>
      <x:c r="F13" s="9" t="str">
        <x:v>Livrable original proposé : Séquence adverse — Le Cardinal.</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Départ, trajet ou canalisation, contact puis retour ; le pivot au sol et l’altitude visuelle restent cohérents avec les zones annoncées.</x:v>
      </x:c>
      <x:c r="K13" s="9" t="str">
        <x:v>Déclenchement au premier événement de cycle uniquement ; pause ATB et reprise ne rejouent pas le signal de menace sans nouvelle attaque.</x:v>
      </x:c>
      <x:c r="L13" s="9" t="str">
        <x:v>Prévu : fiche de données mea/enemy_moves/cardinal ; rattacher les ressources et états cités à cet identifiant. Aucun fichier de jeu créé par ce catalogue.</x:v>
      </x:c>
      <x:c r="M13" s="9" t="str">
        <x:v>A Trail of Hope II.</x:v>
      </x:c>
      <x:c r="N13" s="9" t="str">
        <x:v>Le cycle de Le Cardinal réserve ses cibles et emplacements avant résolution ; interruption, cible morte et changement de scène ne laissent ni projectile ni renfort orphelin.</x:v>
      </x:c>
      <x:c r="O13" s="9" t="str">
        <x:v>MEA-ENM-CARDINAL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MEA-EMV-INVICTOR</x:v>
      </x:c>
      <x:c r="B14" s="7" t="str">
        <x:v>Séquence adverse — Invictor</x:v>
      </x:c>
      <x:c r="C14" s="15" t="str">
        <x:v>Défini</x:v>
      </x:c>
      <x:c r="D14" s="17" t="str">
        <x:v>Extrapolation</x:v>
      </x:c>
      <x:c r="E14" s="17" t="str">
        <x:v>P1</x:v>
      </x:c>
      <x:c r="F14" s="7" t="str">
        <x:v>Livrable original proposé : Séquence adverse — Invictor.</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Départ, trajet ou canalisation, contact puis retour ; le pivot au sol et l’altitude visuelle restent cohérents avec les zones annoncées.</x:v>
      </x:c>
      <x:c r="K14" s="7" t="str">
        <x:v>Déclenchement au premier événement de cycle uniquement ; pause ATB et reprise ne rejouent pas le signal de menace sans nouvelle attaque.</x:v>
      </x:c>
      <x:c r="L14" s="7" t="str">
        <x:v>Prévu : fiche de données mea/enemy_moves/invictor ; rattacher les ressources et états cités à cet identifiant. Aucun fichier de jeu créé par ce catalogue.</x:v>
      </x:c>
      <x:c r="M14" s="7" t="str">
        <x:v>Defeating the Kett.</x:v>
      </x:c>
      <x:c r="N14" s="7" t="str">
        <x:v>Le cycle de Invictor réserve ses cibles et emplacements avant résolution ; interruption, cible morte et changement de scène ne laissent ni projectile ni renfort orphelin.</x:v>
      </x:c>
      <x:c r="O14" s="7" t="str">
        <x:v>MEA-ENM-INVICTOR</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MEA-EMV-ARCHON-SWORD</x:v>
      </x:c>
      <x:c r="B15" s="9" t="str">
        <x:v>Séquence adverse — Archon’s Sword</x:v>
      </x:c>
      <x:c r="C15" s="15" t="str">
        <x:v>Défini</x:v>
      </x:c>
      <x:c r="D15" s="16" t="str">
        <x:v>Extrapolation</x:v>
      </x:c>
      <x:c r="E15" s="16" t="str">
        <x:v>P1</x:v>
      </x:c>
      <x:c r="F15" s="9" t="str">
        <x:v>Livrable original proposé : Séquence adverse — Archon’s Sword.</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Départ, trajet ou canalisation, contact puis retour ; le pivot au sol et l’altitude visuelle restent cohérents avec les zones annoncées.</x:v>
      </x:c>
      <x:c r="K15" s="9" t="str">
        <x:v>Déclenchement au premier événement de cycle uniquement ; pause ATB et reprise ne rejouent pas le signal de menace sans nouvelle attaque.</x:v>
      </x:c>
      <x:c r="L15" s="9" t="str">
        <x:v>Prévu : fiche de données mea/enemy_moves/archon-sword ; rattacher les ressources et états cités à cet identifiant. Aucun fichier de jeu créé par ce catalogue.</x:v>
      </x:c>
      <x:c r="M15" s="9" t="str">
        <x:v>Rencontre de campagne.</x:v>
      </x:c>
      <x:c r="N15" s="9" t="str">
        <x:v>Le cycle de Archon’s Sword réserve ses cibles et emplacements avant résolution ; interruption, cible morte et changement de scène ne laissent ni projectile ni renfort orphelin.</x:v>
      </x:c>
      <x:c r="O15" s="9" t="str">
        <x:v>MEA-ENM-ARCHON-SWORD</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MEA-EMV-VALIANT</x:v>
      </x:c>
      <x:c r="B16" s="7" t="str">
        <x:v>Séquence adverse — Valiant</x:v>
      </x:c>
      <x:c r="C16" s="15" t="str">
        <x:v>Défini</x:v>
      </x:c>
      <x:c r="D16" s="17" t="str">
        <x:v>Extrapolation</x:v>
      </x:c>
      <x:c r="E16" s="17" t="str">
        <x:v>P1</x:v>
      </x:c>
      <x:c r="F16" s="7" t="str">
        <x:v>Livrable original proposé : Séquence adverse — Valiant.</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Départ, trajet ou canalisation, contact puis retour ; le pivot au sol et l’altitude visuelle restent cohérents avec les zones annoncées.</x:v>
      </x:c>
      <x:c r="K16" s="7" t="str">
        <x:v>Déclenchement au premier événement de cycle uniquement ; pause ATB et reprise ne rejouent pas le signal de menace sans nouvelle attaque.</x:v>
      </x:c>
      <x:c r="L16" s="7" t="str">
        <x:v>Prévu : fiche de données mea/enemy_moves/valiant ; rattacher les ressources et états cités à cet identifiant. Aucun fichier de jeu créé par ce catalogue.</x:v>
      </x:c>
      <x:c r="M16" s="7" t="str">
        <x:v>Rencontre liée à l’arche asari.</x:v>
      </x:c>
      <x:c r="N16" s="7" t="str">
        <x:v>Le cycle de Valiant réserve ses cibles et emplacements avant résolution ; interruption, cible morte et changement de scène ne laissent ni projectile ni renfort orphelin.</x:v>
      </x:c>
      <x:c r="O16" s="7" t="str">
        <x:v>MEA-ENM-VALIANT</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MEA-EMV-BEHEMOTH</x:v>
      </x:c>
      <x:c r="B17" s="9" t="str">
        <x:v>Séquence adverse — Behemoth</x:v>
      </x:c>
      <x:c r="C17" s="15" t="str">
        <x:v>Défini</x:v>
      </x:c>
      <x:c r="D17" s="16" t="str">
        <x:v>Extrapolation</x:v>
      </x:c>
      <x:c r="E17" s="16" t="str">
        <x:v>P1</x:v>
      </x:c>
      <x:c r="F17" s="9" t="str">
        <x:v>Livrable original proposé : Séquence adverse — Behemoth.</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Départ, trajet ou canalisation, contact puis retour ; le pivot au sol et l’altitude visuelle restent cohérents avec les zones annoncées.</x:v>
      </x:c>
      <x:c r="K17" s="9" t="str">
        <x:v>Déclenchement au premier événement de cycle uniquement ; pause ATB et reprise ne rejouent pas le signal de menace sans nouvelle attaque.</x:v>
      </x:c>
      <x:c r="L17" s="9" t="str">
        <x:v>Prévu : fiche de données mea/enemy_moves/behemoth ; rattacher les ressources et états cités à cet identifiant. Aucun fichier de jeu créé par ce catalogue.</x:v>
      </x:c>
      <x:c r="M17" s="9" t="str">
        <x:v>Rencontres de campagne / multi selon profil.</x:v>
      </x:c>
      <x:c r="N17" s="9" t="str">
        <x:v>Le cycle de Behemoth réserve ses cibles et emplacements avant résolution ; interruption, cible morte et changement de scène ne laissent ni projectile ni renfort orphelin.</x:v>
      </x:c>
      <x:c r="O17" s="9" t="str">
        <x:v>MEA-ENM-BEHEMOTH</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MEA-EMV-SCIENTIST</x:v>
      </x:c>
      <x:c r="B18" s="7" t="str">
        <x:v>Séquence adverse — Scientifique kett</x:v>
      </x:c>
      <x:c r="C18" s="15" t="str">
        <x:v>Défini</x:v>
      </x:c>
      <x:c r="D18" s="17" t="str">
        <x:v>Extrapolation</x:v>
      </x:c>
      <x:c r="E18" s="17" t="str">
        <x:v>P1</x:v>
      </x:c>
      <x:c r="F18" s="7" t="str">
        <x:v>Livrable original proposé : Séquence adverse — Scientifique kett.</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Départ, trajet ou canalisation, contact puis retour ; le pivot au sol et l’altitude visuelle restent cohérents avec les zones annoncées.</x:v>
      </x:c>
      <x:c r="K18" s="7" t="str">
        <x:v>Déclenchement au premier événement de cycle uniquement ; pause ATB et reprise ne rejouent pas le signal de menace sans nouvelle attaque.</x:v>
      </x:c>
      <x:c r="L18" s="7" t="str">
        <x:v>Prévu : fiche de données mea/enemy_moves/scientist ; rattacher les ressources et états cités à cet identifiant. Aucun fichier de jeu créé par ce catalogue.</x:v>
      </x:c>
      <x:c r="M18" s="7" t="str">
        <x:v>Identité de rencontre à confirmer avant combat automatique.</x:v>
      </x:c>
      <x:c r="N18" s="7" t="str">
        <x:v>Le cycle de Scientifique kett réserve ses cibles et emplacements avant résolution ; interruption, cible morte et changement de scène ne laissent ni projectile ni renfort orphelin.</x:v>
      </x:c>
      <x:c r="O18" s="7" t="str">
        <x:v>MEA-ENM-SCIENTIST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MEA-EMV-KETT-TURRET</x:v>
      </x:c>
      <x:c r="B19" s="9" t="str">
        <x:v>Séquence adverse — Tourelle kett</x:v>
      </x:c>
      <x:c r="C19" s="15" t="str">
        <x:v>Défini</x:v>
      </x:c>
      <x:c r="D19" s="16" t="str">
        <x:v>Extrapolation</x:v>
      </x:c>
      <x:c r="E19" s="16" t="str">
        <x:v>P1</x:v>
      </x:c>
      <x:c r="F19" s="9" t="str">
        <x:v>Livrable original proposé : Séquence adverse — Tourelle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Départ, trajet ou canalisation, contact puis retour ; le pivot au sol et l’altitude visuelle restent cohérents avec les zones annoncées.</x:v>
      </x:c>
      <x:c r="K19" s="9" t="str">
        <x:v>Déclenchement au premier événement de cycle uniquement ; pause ATB et reprise ne rejouent pas le signal de menace sans nouvelle attaque.</x:v>
      </x:c>
      <x:c r="L19" s="9" t="str">
        <x:v>Prévu : fiche de données mea/enemy_moves/kett-turret ; rattacher les ressources et états cités à cet identifiant. Aucun fichier de jeu créé par ce catalogue.</x:v>
      </x:c>
      <x:c r="M19" s="9" t="str">
        <x:v>Rencontres kett.</x:v>
      </x:c>
      <x:c r="N19" s="9" t="str">
        <x:v>Le cycle de Tourelle kett réserve ses cibles et emplacements avant résolution ; interruption, cible morte et changement de scène ne laissent ni projectile ni renfort orphelin.</x:v>
      </x:c>
      <x:c r="O19" s="9" t="str">
        <x:v>MEA-ENM-KETT-TURRET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MEA-EMV-RAIDER</x:v>
      </x:c>
      <x:c r="B20" s="7" t="str">
        <x:v>Séquence adverse — Raider hors-la-loi</x:v>
      </x:c>
      <x:c r="C20" s="15" t="str">
        <x:v>Défini</x:v>
      </x:c>
      <x:c r="D20" s="17" t="str">
        <x:v>Extrapolation</x:v>
      </x:c>
      <x:c r="E20" s="17" t="str">
        <x:v>P1</x:v>
      </x:c>
      <x:c r="F20" s="7" t="str">
        <x:v>Livrable original proposé : Séquence adverse — Raider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Départ, trajet ou canalisation, contact puis retour ; le pivot au sol et l’altitude visuelle restent cohérents avec les zones annoncées.</x:v>
      </x:c>
      <x:c r="K20" s="7" t="str">
        <x:v>Déclenchement au premier événement de cycle uniquement ; pause ATB et reprise ne rejouent pas le signal de menace sans nouvelle attaque.</x:v>
      </x:c>
      <x:c r="L20" s="7" t="str">
        <x:v>Prévu : fiche de données mea/enemy_moves/raider ; rattacher les ressources et états cités à cet identifiant. Aucun fichier de jeu créé par ce catalogue.</x:v>
      </x:c>
      <x:c r="M20" s="7" t="str">
        <x:v>Campagne / multi selon rencontre.</x:v>
      </x:c>
      <x:c r="N20" s="7" t="str">
        <x:v>Le cycle de Raider hors-la-loi réserve ses cibles et emplacements avant résolution ; interruption, cible morte et changement de scène ne laissent ni projectile ni renfort orphelin.</x:v>
      </x:c>
      <x:c r="O20" s="7" t="str">
        <x:v>MEA-ENM-RAIDER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MEA-EMV-BERSERKER</x:v>
      </x:c>
      <x:c r="B21" s="9" t="str">
        <x:v>Séquence adverse — Berserker hors-la-loi</x:v>
      </x:c>
      <x:c r="C21" s="15" t="str">
        <x:v>Défini</x:v>
      </x:c>
      <x:c r="D21" s="16" t="str">
        <x:v>Extrapolation</x:v>
      </x:c>
      <x:c r="E21" s="16" t="str">
        <x:v>P1</x:v>
      </x:c>
      <x:c r="F21" s="9" t="str">
        <x:v>Livrable original proposé : Séquence adverse — Berserker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Départ, trajet ou canalisation, contact puis retour ; le pivot au sol et l’altitude visuelle restent cohérents avec les zones annoncées.</x:v>
      </x:c>
      <x:c r="K21" s="9" t="str">
        <x:v>Déclenchement au premier événement de cycle uniquement ; pause ATB et reprise ne rejouent pas le signal de menace sans nouvelle attaque.</x:v>
      </x:c>
      <x:c r="L21" s="9" t="str">
        <x:v>Prévu : fiche de données mea/enemy_moves/berserker ; rattacher les ressources et états cités à cet identifiant. Aucun fichier de jeu créé par ce catalogue.</x:v>
      </x:c>
      <x:c r="M21" s="9" t="str">
        <x:v>Campagne / multi selon rencontre.</x:v>
      </x:c>
      <x:c r="N21" s="9" t="str">
        <x:v>Le cycle de Berserker hors-la-loi réserve ses cibles et emplacements avant résolution ; interruption, cible morte et changement de scène ne laissent ni projectile ni renfort orphelin.</x:v>
      </x:c>
      <x:c r="O21" s="9" t="str">
        <x:v>MEA-ENM-BERSERKER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MEA-EMV-AGENT</x:v>
      </x:c>
      <x:c r="B22" s="7" t="str">
        <x:v>Séquence adverse — Agent hors-la-loi</x:v>
      </x:c>
      <x:c r="C22" s="15" t="str">
        <x:v>Défini</x:v>
      </x:c>
      <x:c r="D22" s="17" t="str">
        <x:v>Extrapolation</x:v>
      </x:c>
      <x:c r="E22" s="17" t="str">
        <x:v>P1</x:v>
      </x:c>
      <x:c r="F22" s="7" t="str">
        <x:v>Livrable original proposé : Séquence adverse — Agent hors-la-loi.</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Départ, trajet ou canalisation, contact puis retour ; le pivot au sol et l’altitude visuelle restent cohérents avec les zones annoncées.</x:v>
      </x:c>
      <x:c r="K22" s="7" t="str">
        <x:v>Déclenchement au premier événement de cycle uniquement ; pause ATB et reprise ne rejouent pas le signal de menace sans nouvelle attaque.</x:v>
      </x:c>
      <x:c r="L22" s="7" t="str">
        <x:v>Prévu : fiche de données mea/enemy_moves/agent ; rattacher les ressources et états cités à cet identifiant. Aucun fichier de jeu créé par ce catalogue.</x:v>
      </x:c>
      <x:c r="M22" s="7" t="str">
        <x:v>Campagne / multi selon rencontre.</x:v>
      </x:c>
      <x:c r="N22" s="7" t="str">
        <x:v>Le cycle de Agent hors-la-loi réserve ses cibles et emplacements avant résolution ; interruption, cible morte et changement de scène ne laissent ni projectile ni renfort orphelin.</x:v>
      </x:c>
      <x:c r="O22" s="7" t="str">
        <x:v>MEA-ENM-AGENT</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MEA-EMV-ANARCHIST</x:v>
      </x:c>
      <x:c r="B23" s="9" t="str">
        <x:v>Séquence adverse — Anarchist</x:v>
      </x:c>
      <x:c r="C23" s="15" t="str">
        <x:v>Défini</x:v>
      </x:c>
      <x:c r="D23" s="16" t="str">
        <x:v>Extrapolation</x:v>
      </x:c>
      <x:c r="E23" s="16" t="str">
        <x:v>P1</x:v>
      </x:c>
      <x:c r="F23" s="9" t="str">
        <x:v>Livrable original proposé : Séquence adverse — Anarchist.</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Départ, trajet ou canalisation, contact puis retour ; le pivot au sol et l’altitude visuelle restent cohérents avec les zones annoncées.</x:v>
      </x:c>
      <x:c r="K23" s="9" t="str">
        <x:v>Déclenchement au premier événement de cycle uniquement ; pause ATB et reprise ne rejouent pas le signal de menace sans nouvelle attaque.</x:v>
      </x:c>
      <x:c r="L23" s="9" t="str">
        <x:v>Prévu : fiche de données mea/enemy_moves/anarchist ; rattacher les ressources et états cités à cet identifiant. Aucun fichier de jeu créé par ce catalogue.</x:v>
      </x:c>
      <x:c r="M23" s="9" t="str">
        <x:v>Campagne / multi selon rencontre.</x:v>
      </x:c>
      <x:c r="N23" s="9" t="str">
        <x:v>Le cycle de Anarchist réserve ses cibles et emplacements avant résolution ; interruption, cible morte et changement de scène ne laissent ni projectile ni renfort orphelin.</x:v>
      </x:c>
      <x:c r="O23" s="9" t="str">
        <x:v>MEA-ENM-ANARCHIST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MEA-EMV-HYDRA</x:v>
      </x:c>
      <x:c r="B24" s="7" t="str">
        <x:v>Séquence adverse — Hydra</x:v>
      </x:c>
      <x:c r="C24" s="15" t="str">
        <x:v>Défini</x:v>
      </x:c>
      <x:c r="D24" s="17" t="str">
        <x:v>Extrapolation</x:v>
      </x:c>
      <x:c r="E24" s="17" t="str">
        <x:v>P1</x:v>
      </x:c>
      <x:c r="F24" s="7" t="str">
        <x:v>Livrable original proposé : Séquence adverse — Hydra.</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Départ, trajet ou canalisation, contact puis retour ; le pivot au sol et l’altitude visuelle restent cohérents avec les zones annoncées.</x:v>
      </x:c>
      <x:c r="K24" s="7" t="str">
        <x:v>Déclenchement au premier événement de cycle uniquement ; pause ATB et reprise ne rejouent pas le signal de menace sans nouvelle attaque.</x:v>
      </x:c>
      <x:c r="L24" s="7" t="str">
        <x:v>Prévu : fiche de données mea/enemy_moves/hydra ; rattacher les ressources et états cités à cet identifiant. Aucun fichier de jeu créé par ce catalogue.</x:v>
      </x:c>
      <x:c r="M24" s="7" t="str">
        <x:v>Campagne / multi selon rencontre.</x:v>
      </x:c>
      <x:c r="N24" s="7" t="str">
        <x:v>Le cycle de Hydra réserve ses cibles et emplacements avant résolution ; interruption, cible morte et changement de scène ne laissent ni projectile ni renfort orphelin.</x:v>
      </x:c>
      <x:c r="O24" s="7" t="str">
        <x:v>MEA-ENM-HYDRA</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MEA-EMV-PARIAH</x:v>
      </x:c>
      <x:c r="B25" s="9" t="str">
        <x:v>Séquence adverse — Pariah</x:v>
      </x:c>
      <x:c r="C25" s="15" t="str">
        <x:v>Défini</x:v>
      </x:c>
      <x:c r="D25" s="16" t="str">
        <x:v>Extrapolation</x:v>
      </x:c>
      <x:c r="E25" s="16" t="str">
        <x:v>P1</x:v>
      </x:c>
      <x:c r="F25" s="9" t="str">
        <x:v>Livrable original proposé : Séquence adverse — Pariah.</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Départ, trajet ou canalisation, contact puis retour ; le pivot au sol et l’altitude visuelle restent cohérents avec les zones annoncées.</x:v>
      </x:c>
      <x:c r="K25" s="9" t="str">
        <x:v>Déclenchement au premier événement de cycle uniquement ; pause ATB et reprise ne rejouent pas le signal de menace sans nouvelle attaque.</x:v>
      </x:c>
      <x:c r="L25" s="9" t="str">
        <x:v>Prévu : fiche de données mea/enemy_moves/pariah ; rattacher les ressources et états cités à cet identifiant. Aucun fichier de jeu créé par ce catalogue.</x:v>
      </x:c>
      <x:c r="M25" s="9" t="str">
        <x:v>Campagne / multi selon rencontre.</x:v>
      </x:c>
      <x:c r="N25" s="9" t="str">
        <x:v>Le cycle de Pariah réserve ses cibles et emplacements avant résolution ; interruption, cible morte et changement de scène ne laissent ni projectile ni renfort orphelin.</x:v>
      </x:c>
      <x:c r="O25" s="9" t="str">
        <x:v>MEA-ENM-PARIAH</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MEA-EMV-SABOTEUR</x:v>
      </x:c>
      <x:c r="B26" s="7" t="str">
        <x:v>Séquence adverse — Saboteur</x:v>
      </x:c>
      <x:c r="C26" s="15" t="str">
        <x:v>Défini</x:v>
      </x:c>
      <x:c r="D26" s="17" t="str">
        <x:v>Extrapolation</x:v>
      </x:c>
      <x:c r="E26" s="17" t="str">
        <x:v>P1</x:v>
      </x:c>
      <x:c r="F26" s="7" t="str">
        <x:v>Livrable original proposé : Séquence adverse — Saboteur.</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Départ, trajet ou canalisation, contact puis retour ; le pivot au sol et l’altitude visuelle restent cohérents avec les zones annoncées.</x:v>
      </x:c>
      <x:c r="K26" s="7" t="str">
        <x:v>Déclenchement au premier événement de cycle uniquement ; pause ATB et reprise ne rejouent pas le signal de menace sans nouvelle attaque.</x:v>
      </x:c>
      <x:c r="L26" s="7" t="str">
        <x:v>Prévu : fiche de données mea/enemy_moves/saboteur ; rattacher les ressources et états cités à cet identifiant. Aucun fichier de jeu créé par ce catalogue.</x:v>
      </x:c>
      <x:c r="M26" s="7" t="str">
        <x:v>Campagne / multi selon rencontre.</x:v>
      </x:c>
      <x:c r="N26" s="7" t="str">
        <x:v>Le cycle de Saboteur réserve ses cibles et emplacements avant résolution ; interruption, cible morte et changement de scène ne laissent ni projectile ni renfort orphelin.</x:v>
      </x:c>
      <x:c r="O26" s="7" t="str">
        <x:v>MEA-ENM-SABOTEUR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MEA-EMV-SHARPSHOOTER</x:v>
      </x:c>
      <x:c r="B27" s="9" t="str">
        <x:v>Séquence adverse — Sharpshooter</x:v>
      </x:c>
      <x:c r="C27" s="15" t="str">
        <x:v>Défini</x:v>
      </x:c>
      <x:c r="D27" s="16" t="str">
        <x:v>Extrapolation</x:v>
      </x:c>
      <x:c r="E27" s="16" t="str">
        <x:v>P1</x:v>
      </x:c>
      <x:c r="F27" s="9" t="str">
        <x:v>Livrable original proposé : Séquence adverse — Sharpshooter.</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Départ, trajet ou canalisation, contact puis retour ; le pivot au sol et l’altitude visuelle restent cohérents avec les zones annoncées.</x:v>
      </x:c>
      <x:c r="K27" s="9" t="str">
        <x:v>Déclenchement au premier événement de cycle uniquement ; pause ATB et reprise ne rejouent pas le signal de menace sans nouvelle attaque.</x:v>
      </x:c>
      <x:c r="L27" s="9" t="str">
        <x:v>Prévu : fiche de données mea/enemy_moves/sharpshooter ; rattacher les ressources et états cités à cet identifiant. Aucun fichier de jeu créé par ce catalogue.</x:v>
      </x:c>
      <x:c r="M27" s="9" t="str">
        <x:v>Campagne / multi selon rencontre.</x:v>
      </x:c>
      <x:c r="N27" s="9" t="str">
        <x:v>Le cycle de Sharpshooter réserve ses cibles et emplacements avant résolution ; interruption, cible morte et changement de scène ne laissent ni projectile ni renfort orphelin.</x:v>
      </x:c>
      <x:c r="O27" s="9" t="str">
        <x:v>MEA-ENM-SHARPSHOOTER</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MEA-EMV-OUTLAW-TURRET</x:v>
      </x:c>
      <x:c r="B28" s="7" t="str">
        <x:v>Séquence adverse — Tourelle de hors-la-loi</x:v>
      </x:c>
      <x:c r="C28" s="15" t="str">
        <x:v>Défini</x:v>
      </x:c>
      <x:c r="D28" s="17" t="str">
        <x:v>Extrapolation</x:v>
      </x:c>
      <x:c r="E28" s="17" t="str">
        <x:v>P1</x:v>
      </x:c>
      <x:c r="F28" s="7" t="str">
        <x:v>Livrable original proposé : Séquence adverse — Tourelle de hors-la-loi.</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Départ, trajet ou canalisation, contact puis retour ; le pivot au sol et l’altitude visuelle restent cohérents avec les zones annoncées.</x:v>
      </x:c>
      <x:c r="K28" s="7" t="str">
        <x:v>Déclenchement au premier événement de cycle uniquement ; pause ATB et reprise ne rejouent pas le signal de menace sans nouvelle attaque.</x:v>
      </x:c>
      <x:c r="L28" s="7" t="str">
        <x:v>Prévu : fiche de données mea/enemy_moves/outlaw-turret ; rattacher les ressources et états cités à cet identifiant. Aucun fichier de jeu créé par ce catalogue.</x:v>
      </x:c>
      <x:c r="M28" s="7" t="str">
        <x:v>Campagne / multi selon rencontre.</x:v>
      </x:c>
      <x:c r="N28" s="7" t="str">
        <x:v>Le cycle de Tourelle de hors-la-loi réserve ses cibles et emplacements avant résolution ; interruption, cible morte et changement de scène ne laissent ni projectile ni renfort orphelin.</x:v>
      </x:c>
      <x:c r="O28" s="7" t="str">
        <x:v>MEA-ENM-OUTLAW-TURRET</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MEA-EMV-ADHI-TRAINED</x:v>
      </x:c>
      <x:c r="B29" s="9" t="str">
        <x:v>Séquence adverse — Adhi dressé</x:v>
      </x:c>
      <x:c r="C29" s="15" t="str">
        <x:v>Défini</x:v>
      </x:c>
      <x:c r="D29" s="16" t="str">
        <x:v>Extrapolation</x:v>
      </x:c>
      <x:c r="E29" s="16" t="str">
        <x:v>P1</x:v>
      </x:c>
      <x:c r="F29" s="9" t="str">
        <x:v>Livrable original proposé : Séquence adverse — Adhi dressé.</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Départ, trajet ou canalisation, contact puis retour ; le pivot au sol et l’altitude visuelle restent cohérents avec les zones annoncées.</x:v>
      </x:c>
      <x:c r="K29" s="9" t="str">
        <x:v>Déclenchement au premier événement de cycle uniquement ; pause ATB et reprise ne rejouent pas le signal de menace sans nouvelle attaque.</x:v>
      </x:c>
      <x:c r="L29" s="9" t="str">
        <x:v>Prévu : fiche de données mea/enemy_moves/adhi-trained ; rattacher les ressources et états cités à cet identifiant. Aucun fichier de jeu créé par ce catalogue.</x:v>
      </x:c>
      <x:c r="M29" s="9" t="str">
        <x:v>Faction de la rencontre distincte de faune sauvage.</x:v>
      </x:c>
      <x:c r="N29" s="9" t="str">
        <x:v>Le cycle de Adhi dressé réserve ses cibles et emplacements avant résolution ; interruption, cible morte et changement de scène ne laissent ni projectile ni renfort orphelin.</x:v>
      </x:c>
      <x:c r="O29" s="9" t="str">
        <x:v>MEA-ENM-ADHI-TRAINED</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MEA-EMV-ASSEMBLER</x:v>
      </x:c>
      <x:c r="B30" s="7" t="str">
        <x:v>Séquence adverse — Assembler</x:v>
      </x:c>
      <x:c r="C30" s="15" t="str">
        <x:v>Défini</x:v>
      </x:c>
      <x:c r="D30" s="17" t="str">
        <x:v>Extrapolation</x:v>
      </x:c>
      <x:c r="E30" s="17" t="str">
        <x:v>P1</x:v>
      </x:c>
      <x:c r="F30" s="7" t="str">
        <x:v>Livrable original proposé : Séquence adverse — Assembler.</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Départ, trajet ou canalisation, contact puis retour ; le pivot au sol et l’altitude visuelle restent cohérents avec les zones annoncées.</x:v>
      </x:c>
      <x:c r="K30" s="7" t="str">
        <x:v>Déclenchement au premier événement de cycle uniquement ; pause ATB et reprise ne rejouent pas le signal de menace sans nouvelle attaque.</x:v>
      </x:c>
      <x:c r="L30" s="7" t="str">
        <x:v>Prévu : fiche de données mea/enemy_moves/assembler ; rattacher les ressources et états cités à cet identifiant. Aucun fichier de jeu créé par ce catalogue.</x:v>
      </x:c>
      <x:c r="M30" s="7" t="str">
        <x:v>Sites reliquats.</x:v>
      </x:c>
      <x:c r="N30" s="7" t="str">
        <x:v>Le cycle de Assembler réserve ses cibles et emplacements avant résolution ; interruption, cible morte et changement de scène ne laissent ni projectile ni renfort orphelin.</x:v>
      </x:c>
      <x:c r="O30" s="7" t="str">
        <x:v>MEA-ENM-ASSEMBLER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MEA-EMV-BREACHER</x:v>
      </x:c>
      <x:c r="B31" s="9" t="str">
        <x:v>Séquence adverse — Breacher</x:v>
      </x:c>
      <x:c r="C31" s="15" t="str">
        <x:v>Défini</x:v>
      </x:c>
      <x:c r="D31" s="16" t="str">
        <x:v>Extrapolation</x:v>
      </x:c>
      <x:c r="E31" s="16" t="str">
        <x:v>P1</x:v>
      </x:c>
      <x:c r="F31" s="9" t="str">
        <x:v>Livrable original proposé : Séquence adverse — Breacher.</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Départ, trajet ou canalisation, contact puis retour ; le pivot au sol et l’altitude visuelle restent cohérents avec les zones annoncées.</x:v>
      </x:c>
      <x:c r="K31" s="9" t="str">
        <x:v>Déclenchement au premier événement de cycle uniquement ; pause ATB et reprise ne rejouent pas le signal de menace sans nouvelle attaque.</x:v>
      </x:c>
      <x:c r="L31" s="9" t="str">
        <x:v>Prévu : fiche de données mea/enemy_moves/breacher ; rattacher les ressources et états cités à cet identifiant. Aucun fichier de jeu créé par ce catalogue.</x:v>
      </x:c>
      <x:c r="M31" s="9" t="str">
        <x:v>Sites reliquats.</x:v>
      </x:c>
      <x:c r="N31" s="9" t="str">
        <x:v>Le cycle de Breacher réserve ses cibles et emplacements avant résolution ; interruption, cible morte et changement de scène ne laissent ni projectile ni renfort orphelin.</x:v>
      </x:c>
      <x:c r="O31" s="9" t="str">
        <x:v>MEA-ENM-BREACHER</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MEA-EMV-CREEPER</x:v>
      </x:c>
      <x:c r="B32" s="7" t="str">
        <x:v>Séquence adverse — Creeper</x:v>
      </x:c>
      <x:c r="C32" s="15" t="str">
        <x:v>Défini</x:v>
      </x:c>
      <x:c r="D32" s="17" t="str">
        <x:v>Extrapolation</x:v>
      </x:c>
      <x:c r="E32" s="17" t="str">
        <x:v>P1</x:v>
      </x:c>
      <x:c r="F32" s="7" t="str">
        <x:v>Livrable original proposé : Séquence adverse — Creeper.</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Départ, trajet ou canalisation, contact puis retour ; le pivot au sol et l’altitude visuelle restent cohérents avec les zones annoncées.</x:v>
      </x:c>
      <x:c r="K32" s="7" t="str">
        <x:v>Déclenchement au premier événement de cycle uniquement ; pause ATB et reprise ne rejouent pas le signal de menace sans nouvelle attaque.</x:v>
      </x:c>
      <x:c r="L32" s="7" t="str">
        <x:v>Prévu : fiche de données mea/enemy_moves/creeper ; rattacher les ressources et états cités à cet identifiant. Aucun fichier de jeu créé par ce catalogue.</x:v>
      </x:c>
      <x:c r="M32" s="7" t="str">
        <x:v>Sites reliquats.</x:v>
      </x:c>
      <x:c r="N32" s="7" t="str">
        <x:v>Le cycle de Creeper réserve ses cibles et emplacements avant résolution ; interruption, cible morte et changement de scène ne laissent ni projectile ni renfort orphelin.</x:v>
      </x:c>
      <x:c r="O32" s="7" t="str">
        <x:v>MEA-ENM-CREEPER</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MEA-EMV-DESTROYER</x:v>
      </x:c>
      <x:c r="B33" s="9" t="str">
        <x:v>Séquence adverse — Destroyer</x:v>
      </x:c>
      <x:c r="C33" s="15" t="str">
        <x:v>Défini</x:v>
      </x:c>
      <x:c r="D33" s="16" t="str">
        <x:v>Extrapolation</x:v>
      </x:c>
      <x:c r="E33" s="16" t="str">
        <x:v>P1</x:v>
      </x:c>
      <x:c r="F33" s="9" t="str">
        <x:v>Livrable original proposé : Séquence adverse — Destroyer.</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Départ, trajet ou canalisation, contact puis retour ; le pivot au sol et l’altitude visuelle restent cohérents avec les zones annoncées.</x:v>
      </x:c>
      <x:c r="K33" s="9" t="str">
        <x:v>Déclenchement au premier événement de cycle uniquement ; pause ATB et reprise ne rejouent pas le signal de menace sans nouvelle attaque.</x:v>
      </x:c>
      <x:c r="L33" s="9" t="str">
        <x:v>Prévu : fiche de données mea/enemy_moves/destroyer ; rattacher les ressources et états cités à cet identifiant. Aucun fichier de jeu créé par ce catalogue.</x:v>
      </x:c>
      <x:c r="M33" s="9" t="str">
        <x:v>Sites reliquats.</x:v>
      </x:c>
      <x:c r="N33" s="9" t="str">
        <x:v>Le cycle de Destroyer réserve ses cibles et emplacements avant résolution ; interruption, cible morte et changement de scène ne laissent ni projectile ni renfort orphelin.</x:v>
      </x:c>
      <x:c r="O33" s="9" t="str">
        <x:v>MEA-ENM-DESTROYER</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MEA-EMV-NULLIFIER</x:v>
      </x:c>
      <x:c r="B34" s="7" t="str">
        <x:v>Séquence adverse — Nullifier</x:v>
      </x:c>
      <x:c r="C34" s="15" t="str">
        <x:v>Défini</x:v>
      </x:c>
      <x:c r="D34" s="17" t="str">
        <x:v>Extrapolation</x:v>
      </x:c>
      <x:c r="E34" s="17" t="str">
        <x:v>P1</x:v>
      </x:c>
      <x:c r="F34" s="7" t="str">
        <x:v>Livrable original proposé : Séquence adverse — Nullifier.</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Départ, trajet ou canalisation, contact puis retour ; le pivot au sol et l’altitude visuelle restent cohérents avec les zones annoncées.</x:v>
      </x:c>
      <x:c r="K34" s="7" t="str">
        <x:v>Déclenchement au premier événement de cycle uniquement ; pause ATB et reprise ne rejouent pas le signal de menace sans nouvelle attaque.</x:v>
      </x:c>
      <x:c r="L34" s="7" t="str">
        <x:v>Prévu : fiche de données mea/enemy_moves/nullifier ; rattacher les ressources et états cités à cet identifiant. Aucun fichier de jeu créé par ce catalogue.</x:v>
      </x:c>
      <x:c r="M34" s="7" t="str">
        <x:v>Sites reliquats.</x:v>
      </x:c>
      <x:c r="N34" s="7" t="str">
        <x:v>Le cycle de Nullifier réserve ses cibles et emplacements avant résolution ; interruption, cible morte et changement de scène ne laissent ni projectile ni renfort orphelin.</x:v>
      </x:c>
      <x:c r="O34" s="7" t="str">
        <x:v>MEA-ENM-NULLIFIER</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MEA-EMV-OBSERVER</x:v>
      </x:c>
      <x:c r="B35" s="9" t="str">
        <x:v>Séquence adverse — Observer</x:v>
      </x:c>
      <x:c r="C35" s="15" t="str">
        <x:v>Défini</x:v>
      </x:c>
      <x:c r="D35" s="16" t="str">
        <x:v>Extrapolation</x:v>
      </x:c>
      <x:c r="E35" s="16" t="str">
        <x:v>P1</x:v>
      </x:c>
      <x:c r="F35" s="9" t="str">
        <x:v>Livrable original proposé : Séquence adverse — Observer.</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Départ, trajet ou canalisation, contact puis retour ; le pivot au sol et l’altitude visuelle restent cohérents avec les zones annoncées.</x:v>
      </x:c>
      <x:c r="K35" s="9" t="str">
        <x:v>Déclenchement au premier événement de cycle uniquement ; pause ATB et reprise ne rejouent pas le signal de menace sans nouvelle attaque.</x:v>
      </x:c>
      <x:c r="L35" s="9" t="str">
        <x:v>Prévu : fiche de données mea/enemy_moves/observer ; rattacher les ressources et états cités à cet identifiant. Aucun fichier de jeu créé par ce catalogue.</x:v>
      </x:c>
      <x:c r="M35" s="9" t="str">
        <x:v>Hostile ou allié selon console / mission.</x:v>
      </x:c>
      <x:c r="N35" s="9" t="str">
        <x:v>Le cycle de Observer réserve ses cibles et emplacements avant résolution ; interruption, cible morte et changement de scène ne laissent ni projectile ni renfort orphelin.</x:v>
      </x:c>
      <x:c r="O35" s="9" t="str">
        <x:v>MEA-ENM-OBSERVER</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MEA-EMV-REM-TURRET</x:v>
      </x:c>
      <x:c r="B36" s="7" t="str">
        <x:v>Séquence adverse — Tourelle reliquate</x:v>
      </x:c>
      <x:c r="C36" s="15" t="str">
        <x:v>Défini</x:v>
      </x:c>
      <x:c r="D36" s="17" t="str">
        <x:v>Extrapolation</x:v>
      </x:c>
      <x:c r="E36" s="17" t="str">
        <x:v>P1</x:v>
      </x:c>
      <x:c r="F36" s="7" t="str">
        <x:v>Livrable original proposé : Séquence adverse — Tourelle reliquate.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Départ, trajet ou canalisation, contact puis retour ; le pivot au sol et l’altitude visuelle restent cohérents avec les zones annoncées.</x:v>
      </x:c>
      <x:c r="K36" s="7" t="str">
        <x:v>Déclenchement au premier événement de cycle uniquement ; pause ATB et reprise ne rejouent pas le signal de menace sans nouvelle attaque.</x:v>
      </x:c>
      <x:c r="L36" s="7" t="str">
        <x:v>Prévu : fiche de données mea/enemy_moves/rem-turret ; rattacher les ressources et états cités à cet identifiant. Aucun fichier de jeu créé par ce catalogue.</x:v>
      </x:c>
      <x:c r="M36" s="7" t="str">
        <x:v>Sites reliquats.</x:v>
      </x:c>
      <x:c r="N36" s="7" t="str">
        <x:v>Le cycle de Tourelle reliquate réserve ses cibles et emplacements avant résolution ; interruption, cible morte et changement de scène ne laissent ni projectile ni renfort orphelin.</x:v>
      </x:c>
      <x:c r="O36" s="7" t="str">
        <x:v>MEA-ENM-REM-TURRET</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MEA-EMV-ARCHITECT</x:v>
      </x:c>
      <x:c r="B37" s="9" t="str">
        <x:v>Séquence adverse — Architecte reliquat</x:v>
      </x:c>
      <x:c r="C37" s="15" t="str">
        <x:v>Défini</x:v>
      </x:c>
      <x:c r="D37" s="16" t="str">
        <x:v>Extrapolation</x:v>
      </x:c>
      <x:c r="E37" s="16" t="str">
        <x:v>P1</x:v>
      </x:c>
      <x:c r="F37" s="9" t="str">
        <x:v>Livrable original proposé : Séquence adverse — Architecte reliquat.</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Départ, trajet ou canalisation, contact puis retour ; le pivot au sol et l’altitude visuelle restent cohérents avec les zones annoncées.</x:v>
      </x:c>
      <x:c r="K37" s="9" t="str">
        <x:v>Déclenchement au premier événement de cycle uniquement ; pause ATB et reprise ne rejouent pas le signal de menace sans nouvelle attaque.</x:v>
      </x:c>
      <x:c r="L37" s="9" t="str">
        <x:v>Prévu : fiche de données mea/enemy_moves/architect ; rattacher les ressources et états cités à cet identifiant. Aucun fichier de jeu créé par ce catalogue.</x:v>
      </x:c>
      <x:c r="M37" s="9" t="str">
        <x:v>Rencontres Eos/Voeld/Kadara/Elaaden à parametrer séparément.</x:v>
      </x:c>
      <x:c r="N37" s="9" t="str">
        <x:v>Le cycle de Architecte reliquat réserve ses cibles et emplacements avant résolution ; interruption, cible morte et changement de scène ne laissent ni projectile ni renfort orphelin.</x:v>
      </x:c>
      <x:c r="O37" s="9" t="str">
        <x:v>MEA-ENM-ARCHITECT</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MEA-EMV-PROGENITOR</x:v>
      </x:c>
      <x:c r="B38" s="7" t="str">
        <x:v>Séquence adverse — Progenitor</x:v>
      </x:c>
      <x:c r="C38" s="15" t="str">
        <x:v>Défini</x:v>
      </x:c>
      <x:c r="D38" s="17" t="str">
        <x:v>Extrapolation</x:v>
      </x:c>
      <x:c r="E38" s="17" t="str">
        <x:v>P1</x:v>
      </x:c>
      <x:c r="F38" s="7" t="str">
        <x:v>Livrable original proposé : Séquence adverse — Progenitor.</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Départ, trajet ou canalisation, contact puis retour ; le pivot au sol et l’altitude visuelle restent cohérents avec les zones annoncées.</x:v>
      </x:c>
      <x:c r="K38" s="7" t="str">
        <x:v>Déclenchement au premier événement de cycle uniquement ; pause ATB et reprise ne rejouent pas le signal de menace sans nouvelle attaque.</x:v>
      </x:c>
      <x:c r="L38" s="7" t="str">
        <x:v>Prévu : fiche de données mea/enemy_moves/progenitor ; rattacher les ressources et états cités à cet identifiant. Aucun fichier de jeu créé par ce catalogue.</x:v>
      </x:c>
      <x:c r="M38" s="7" t="str">
        <x:v>The Remnant Tiller.</x:v>
      </x:c>
      <x:c r="N38" s="7" t="str">
        <x:v>Le cycle de Progenitor réserve ses cibles et emplacements avant résolution ; interruption, cible morte et changement de scène ne laissent ni projectile ni renfort orphelin.</x:v>
      </x:c>
      <x:c r="O38" s="7" t="str">
        <x:v>MEA-ENM-PROGENITOR</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MEA-EMV-ARCHON-FINAL</x:v>
      </x:c>
      <x:c r="B39" s="9" t="str">
        <x:v>Séquence adverse — Archonte et réseau de Méridiane</x:v>
      </x:c>
      <x:c r="C39" s="15" t="str">
        <x:v>Défini</x:v>
      </x:c>
      <x:c r="D39" s="16" t="str">
        <x:v>Extrapolation</x:v>
      </x:c>
      <x:c r="E39" s="16" t="str">
        <x:v>P1</x:v>
      </x:c>
      <x:c r="F39" s="9" t="str">
        <x:v>Livrable original proposé : Séquence adverse — Archonte et réseau de Méridiane.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Départ, trajet ou canalisation, contact puis retour ; le pivot au sol et l’altitude visuelle restent cohérents avec les zones annoncées.</x:v>
      </x:c>
      <x:c r="K39" s="9" t="str">
        <x:v>Déclenchement au premier événement de cycle uniquement ; pause ATB et reprise ne rejouent pas le signal de menace sans nouvelle attaque.</x:v>
      </x:c>
      <x:c r="L39" s="9" t="str">
        <x:v>Prévu : fiche de données mea/enemy_moves/archon-final ; rattacher les ressources et états cités à cet identifiant. Aucun fichier de jeu créé par ce catalogue.</x:v>
      </x:c>
      <x:c r="M39" s="9" t="str">
        <x:v>Final solo uniquement.</x:v>
      </x:c>
      <x:c r="N39" s="9" t="str">
        <x:v>Le cycle de Archonte et réseau de Méridiane réserve ses cibles et emplacements avant résolution ; interruption, cible morte et changement de scène ne laissent ni projectile ni renfort orphelin.</x:v>
      </x:c>
      <x:c r="O39" s="9" t="str">
        <x:v>MEA-ENM-ARCHON-FINAL</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MEA-EMV-CALOT</x:v>
      </x:c>
      <x:c r="B40" s="7" t="str">
        <x:v>Séquence adverse — Calot Gurting</x:v>
      </x:c>
      <x:c r="C40" s="15" t="str">
        <x:v>Défini</x:v>
      </x:c>
      <x:c r="D40" s="17" t="str">
        <x:v>Extrapolation</x:v>
      </x:c>
      <x:c r="E40" s="17" t="str">
        <x:v>P1</x:v>
      </x:c>
      <x:c r="F40" s="7" t="str">
        <x:v>Livrable original proposé : Séquence adverse — Calot Gurting.</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Départ, trajet ou canalisation, contact puis retour ; le pivot au sol et l’altitude visuelle restent cohérents avec les zones annoncées.</x:v>
      </x:c>
      <x:c r="K40" s="7" t="str">
        <x:v>Déclenchement au premier événement de cycle uniquement ; pause ATB et reprise ne rejouent pas le signal de menace sans nouvelle attaque.</x:v>
      </x:c>
      <x:c r="L40" s="7" t="str">
        <x:v>Prévu : fiche de données mea/enemy_moves/calot ; rattacher les ressources et états cités à cet identifiant. Aucun fichier de jeu créé par ce catalogue.</x:v>
      </x:c>
      <x:c r="M40" s="7" t="str">
        <x:v>Liam: All In.</x:v>
      </x:c>
      <x:c r="N40" s="7" t="str">
        <x:v>Le cycle de Calot Gurting réserve ses cibles et emplacements avant résolution ; interruption, cible morte et changement de scène ne laissent ni projectile ni renfort orphelin.</x:v>
      </x:c>
      <x:c r="O40" s="7" t="str">
        <x:v>MEA-ENM-CALOT</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MEA-EMV-MERIWEATHER</x:v>
      </x:c>
      <x:c r="B41" s="9" t="str">
        <x:v>Séquence adverse — Meriweather</x:v>
      </x:c>
      <x:c r="C41" s="15" t="str">
        <x:v>Défini</x:v>
      </x:c>
      <x:c r="D41" s="16" t="str">
        <x:v>Extrapolation</x:v>
      </x:c>
      <x:c r="E41" s="16" t="str">
        <x:v>P1</x:v>
      </x:c>
      <x:c r="F41" s="9" t="str">
        <x:v>Livrable original proposé : Séquence adverse — Meriweather.</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Départ, trajet ou canalisation, contact puis retour ; le pivot au sol et l’altitude visuelle restent cohérents avec les zones annoncées.</x:v>
      </x:c>
      <x:c r="K41" s="9" t="str">
        <x:v>Déclenchement au premier événement de cycle uniquement ; pause ATB et reprise ne rejouent pas le signal de menace sans nouvelle attaque.</x:v>
      </x:c>
      <x:c r="L41" s="9" t="str">
        <x:v>Prévu : fiche de données mea/enemy_moves/meriweather ; rattacher les ressources et états cités à cet identifiant. Aucun fichier de jeu créé par ce catalogue.</x:v>
      </x:c>
      <x:c r="M41" s="9" t="str">
        <x:v>Vetra: Means and Ends.</x:v>
      </x:c>
      <x:c r="N41" s="9" t="str">
        <x:v>Le cycle de Meriweather réserve ses cibles et emplacements avant résolution ; interruption, cible morte et changement de scène ne laissent ni projectile ni renfort orphelin.</x:v>
      </x:c>
      <x:c r="O41" s="9" t="str">
        <x:v>MEA-ENM-MERIWEATHER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MEA-EMV-ADHI-WILD</x:v>
      </x:c>
      <x:c r="B42" s="7" t="str">
        <x:v>Séquence adverse — Adhi sauvage</x:v>
      </x:c>
      <x:c r="C42" s="15" t="str">
        <x:v>Défini</x:v>
      </x:c>
      <x:c r="D42" s="17" t="str">
        <x:v>Extrapolation</x:v>
      </x:c>
      <x:c r="E42" s="17" t="str">
        <x:v>P1</x:v>
      </x:c>
      <x:c r="F42" s="7" t="str">
        <x:v>Livrable original proposé : Séquence adverse — Adhi sauvage.</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Départ, trajet ou canalisation, contact puis retour ; le pivot au sol et l’altitude visuelle restent cohérents avec les zones annoncées.</x:v>
      </x:c>
      <x:c r="K42" s="7" t="str">
        <x:v>Déclenchement au premier événement de cycle uniquement ; pause ATB et reprise ne rejouent pas le signal de menace sans nouvelle attaque.</x:v>
      </x:c>
      <x:c r="L42" s="7" t="str">
        <x:v>Prévu : fiche de données mea/enemy_moves/adhi-wild ; rattacher les ressources et états cités à cet identifiant. Aucun fichier de jeu créé par ce catalogue.</x:v>
      </x:c>
      <x:c r="M42" s="7" t="str">
        <x:v>Faune, pas faction kett par défaut.</x:v>
      </x:c>
      <x:c r="N42" s="7" t="str">
        <x:v>Le cycle de Adhi sauvage réserve ses cibles et emplacements avant résolution ; interruption, cible morte et changement de scène ne laissent ni projectile ni renfort orphelin.</x:v>
      </x:c>
      <x:c r="O42" s="7" t="str">
        <x:v>MEA-ENM-ADHI-WILD</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MEA-EMV-ANCIENT-EIROCH</x:v>
      </x:c>
      <x:c r="B43" s="9" t="str">
        <x:v>Séquence adverse — Ancient Eiroch</x:v>
      </x:c>
      <x:c r="C43" s="15" t="str">
        <x:v>Défini</x:v>
      </x:c>
      <x:c r="D43" s="16" t="str">
        <x:v>Extrapolation</x:v>
      </x:c>
      <x:c r="E43" s="16" t="str">
        <x:v>P1</x:v>
      </x:c>
      <x:c r="F43" s="9" t="str">
        <x:v>Livrable original proposé : Séquence adverse — Ancient Eiroch.</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Départ, trajet ou canalisation, contact puis retour ; le pivot au sol et l’altitude visuelle restent cohérents avec les zones annoncées.</x:v>
      </x:c>
      <x:c r="K43" s="9" t="str">
        <x:v>Déclenchement au premier événement de cycle uniquement ; pause ATB et reprise ne rejouent pas le signal de menace sans nouvelle attaque.</x:v>
      </x:c>
      <x:c r="L43" s="9" t="str">
        <x:v>Prévu : fiche de données mea/enemy_moves/ancient-eiroch ; rattacher les ressources et états cités à cet identifiant. Aucun fichier de jeu créé par ce catalogue.</x:v>
      </x:c>
      <x:c r="M43" s="9" t="str">
        <x:v>Rencontre de faune.</x:v>
      </x:c>
      <x:c r="N43" s="9" t="str">
        <x:v>Le cycle de Ancient Eiroch réserve ses cibles et emplacements avant résolution ; interruption, cible morte et changement de scène ne laissent ni projectile ni renfort orphelin.</x:v>
      </x:c>
      <x:c r="O43" s="9" t="str">
        <x:v>MEA-ENM-ANCIENT-EIROCH</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MEA-EMV-KAERKYN</x:v>
      </x:c>
      <x:c r="B44" s="7" t="str">
        <x:v>Séquence adverse — Kaerkyn</x:v>
      </x:c>
      <x:c r="C44" s="15" t="str">
        <x:v>Défini</x:v>
      </x:c>
      <x:c r="D44" s="17" t="str">
        <x:v>Extrapolation</x:v>
      </x:c>
      <x:c r="E44" s="17" t="str">
        <x:v>P1</x:v>
      </x:c>
      <x:c r="F44" s="7" t="str">
        <x:v>Livrable original proposé : Séquence adverse — Kaerkyn.</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Départ, trajet ou canalisation, contact puis retour ; le pivot au sol et l’altitude visuelle restent cohérents avec les zones annoncées.</x:v>
      </x:c>
      <x:c r="K44" s="7" t="str">
        <x:v>Déclenchement au premier événement de cycle uniquement ; pause ATB et reprise ne rejouent pas le signal de menace sans nouvelle attaque.</x:v>
      </x:c>
      <x:c r="L44" s="7" t="str">
        <x:v>Prévu : fiche de données mea/enemy_moves/kaerkyn ; rattacher les ressources et états cités à cet identifiant. Aucun fichier de jeu créé par ce catalogue.</x:v>
      </x:c>
      <x:c r="M44" s="7" t="str">
        <x:v>Paramètres d’hostilité à vérifier par lieu.</x:v>
      </x:c>
      <x:c r="N44" s="7" t="str">
        <x:v>Le cycle de Kaerkyn réserve ses cibles et emplacements avant résolution ; interruption, cible morte et changement de scène ne laissent ni projectile ni renfort orphelin.</x:v>
      </x:c>
      <x:c r="O44" s="7" t="str">
        <x:v>MEA-ENM-KAERKYN</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MEA-EMV-SPITBUG</x:v>
      </x:c>
      <x:c r="B45" s="9" t="str">
        <x:v>Séquence adverse — Spitbug</x:v>
      </x:c>
      <x:c r="C45" s="15" t="str">
        <x:v>Défini</x:v>
      </x:c>
      <x:c r="D45" s="16" t="str">
        <x:v>Extrapolation</x:v>
      </x:c>
      <x:c r="E45" s="16" t="str">
        <x:v>P1</x:v>
      </x:c>
      <x:c r="F45" s="9" t="str">
        <x:v>Livrable original proposé : Séquence adverse — Spitbug.</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Départ, trajet ou canalisation, contact puis retour ; le pivot au sol et l’altitude visuelle restent cohérents avec les zones annoncées.</x:v>
      </x:c>
      <x:c r="K45" s="9" t="str">
        <x:v>Déclenchement au premier événement de cycle uniquement ; pause ATB et reprise ne rejouent pas le signal de menace sans nouvelle attaque.</x:v>
      </x:c>
      <x:c r="L45" s="9" t="str">
        <x:v>Prévu : fiche de données mea/enemy_moves/spitbug ; rattacher les ressources et états cités à cet identifiant. Aucun fichier de jeu créé par ce catalogue.</x:v>
      </x:c>
      <x:c r="M45" s="9" t="str">
        <x:v>Faune.</x:v>
      </x:c>
      <x:c r="N45" s="9" t="str">
        <x:v>Le cycle de Spitbug réserve ses cibles et emplacements avant résolution ; interruption, cible morte et changement de scène ne laissent ni projectile ni renfort orphelin.</x:v>
      </x:c>
      <x:c r="O45" s="9" t="str">
        <x:v>MEA-ENM-SPITBUG</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MEA-EMV-TAURG</x:v>
      </x:c>
      <x:c r="B46" s="7" t="str">
        <x:v>Séquence adverse — Taurg</x:v>
      </x:c>
      <x:c r="C46" s="15" t="str">
        <x:v>Défini</x:v>
      </x:c>
      <x:c r="D46" s="17" t="str">
        <x:v>Extrapolation</x:v>
      </x:c>
      <x:c r="E46" s="17" t="str">
        <x:v>P1</x:v>
      </x:c>
      <x:c r="F46" s="7" t="str">
        <x:v>Livrable original proposé : Séquence adverse — Taurg.</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Départ, trajet ou canalisation, contact puis retour ; le pivot au sol et l’altitude visuelle restent cohérents avec les zones annoncées.</x:v>
      </x:c>
      <x:c r="K46" s="7" t="str">
        <x:v>Déclenchement au premier événement de cycle uniquement ; pause ATB et reprise ne rejouent pas le signal de menace sans nouvelle attaque.</x:v>
      </x:c>
      <x:c r="L46" s="7" t="str">
        <x:v>Prévu : fiche de données mea/enemy_moves/taurg ; rattacher les ressources et états cités à cet identifiant. Aucun fichier de jeu créé par ce catalogue.</x:v>
      </x:c>
      <x:c r="M46" s="7" t="str">
        <x:v>Hostilité déterminée par variante documentée.</x:v>
      </x:c>
      <x:c r="N46" s="7" t="str">
        <x:v>Le cycle de Taurg réserve ses cibles et emplacements avant résolution ; interruption, cible morte et changement de scène ne laissent ni projectile ni renfort orphelin.</x:v>
      </x:c>
      <x:c r="O46" s="7" t="str">
        <x:v>MEA-ENM-TAURG</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MEA-EMV-CHALLYRION</x:v>
      </x:c>
      <x:c r="B47" s="9" t="str">
        <x:v>Séquence adverse — Challyrion</x:v>
      </x:c>
      <x:c r="C47" s="15" t="str">
        <x:v>Défini</x:v>
      </x:c>
      <x:c r="D47" s="16" t="str">
        <x:v>Extrapolation</x:v>
      </x:c>
      <x:c r="E47" s="16" t="str">
        <x:v>P1</x:v>
      </x:c>
      <x:c r="F47" s="9" t="str">
        <x:v>Livrable original proposé : Séquence adverse — Challyrion.</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Départ, trajet ou canalisation, contact puis retour ; le pivot au sol et l’altitude visuelle restent cohérents avec les zones annoncées.</x:v>
      </x:c>
      <x:c r="K47" s="9" t="str">
        <x:v>Déclenchement au premier événement de cycle uniquement ; pause ATB et reprise ne rejouent pas le signal de menace sans nouvelle attaque.</x:v>
      </x:c>
      <x:c r="L47" s="9" t="str">
        <x:v>Prévu : fiche de données mea/enemy_moves/challyrion ; rattacher les ressources et états cités à cet identifiant. Aucun fichier de jeu créé par ce catalogue.</x:v>
      </x:c>
      <x:c r="M47" s="9" t="str">
        <x:v>Overgrown pour variante mutée.</x:v>
      </x:c>
      <x:c r="N47" s="9" t="str">
        <x:v>Le cycle de Challyrion réserve ses cibles et emplacements avant résolution ; interruption, cible morte et changement de scène ne laissent ni projectile ni renfort orphelin.</x:v>
      </x:c>
      <x:c r="O47" s="9" t="str">
        <x:v>MEA-ENM-CHALLYRION</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sheetData>
  <x:conditionalFormatting sqref="D7:D47">
    <x:cfRule type="cellIs" dxfId="72" priority="1" operator="equal">
      <x:formula>"À vérifier"</x:formula>
    </x:cfRule>
    <x:cfRule type="cellIs" dxfId="73" priority="2" operator="equal">
      <x:formula>"Extrapolation"</x:formula>
    </x:cfRule>
  </x:conditionalFormatting>
  <x:conditionalFormatting sqref="C7:C47">
    <x:cfRule type="cellIs" dxfId="74" priority="3" operator="equal">
      <x:formula>"Validé"</x:formula>
    </x:cfRule>
  </x:conditionalFormatting>
  <x:conditionalFormatting sqref="E7:E47">
    <x:cfRule type="cellIs" dxfId="7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078083899a554347"/>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MEA-ANI-JUMP</x:v>
      </x:c>
      <x:c r="B7" s="9" t="str">
        <x:v>Saut et propulseurs de Ryder</x:v>
      </x:c>
      <x:c r="C7" s="15" t="str">
        <x:v>Défini</x:v>
      </x:c>
      <x:c r="D7" s="16" t="str">
        <x:v>Extrapolation</x:v>
      </x:c>
      <x:c r="E7" s="16" t="str">
        <x:v>P1</x:v>
      </x:c>
      <x:c r="F7" s="9" t="str">
        <x:v>Livrable original proposé : Saut et propulseurs de Ryder.</x:v>
      </x:c>
      <x:c r="G7" s="9" t="str">
        <x:v>Anticipation, montée, vol bref et atterrissage ; ombre au sol et position ciblable restent distinctes de hauteur visuelle.</x:v>
      </x:c>
      <x:c r="H7" s="9" t="str">
        <x:v>Anticipation, montée, vol bref et atterrissage ; ombre au sol et position ciblable restent distinctes de hauteur visuelle.</x:v>
      </x:c>
      <x:c r="I7" s="9" t="str">
        <x:v>Traînées de propulseur et sprite aérien.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mea/animations/jump ; rattacher les ressources et états cités à cet identifiant. Aucun fichier de jeu créé par ce catalogue.</x:v>
      </x:c>
      <x:c r="M7" s="9" t="str"/>
      <x:c r="N7" s="9" t="str">
        <x:v>Le livrable « Saut et propulseurs de Ryder » possède une scène ou un scénario de contrôle ; ses règles proposées, ses conditions et ses retours visuels sont vérifiables séparément.</x:v>
      </x:c>
      <x:c r="O7" s="9" t="str">
        <x:v>MEA-SYS-VERTICAL</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MEA-ANI-HOVER</x:v>
      </x:c>
      <x:c r="B8" s="7" t="str">
        <x:v>Visée en suspension</x:v>
      </x:c>
      <x:c r="C8" s="15" t="str">
        <x:v>Défini</x:v>
      </x:c>
      <x:c r="D8" s="17" t="str">
        <x:v>Extrapolation</x:v>
      </x:c>
      <x:c r="E8" s="17" t="str">
        <x:v>P1</x:v>
      </x:c>
      <x:c r="F8" s="7" t="str">
        <x:v>Livrable original proposé : Visée en suspension.</x:v>
      </x:c>
      <x:c r="G8" s="7" t="str">
        <x:v>Pose stable pendant fenêtre de visée, chute après durée ; impacts ne figent pas indéfiniment Ryder dans l’air.</x:v>
      </x:c>
      <x:c r="H8" s="7" t="str">
        <x:v>Pose stable pendant fenêtre de visée, chute après durée ; impacts ne figent pas indéfiniment Ryder dans l’air.</x:v>
      </x:c>
      <x:c r="I8" s="7" t="str">
        <x:v>Inclinaison du corps et petites corrections de jet.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mea/animations/hover ; rattacher les ressources et états cités à cet identifiant. Aucun fichier de jeu créé par ce catalogue.</x:v>
      </x:c>
      <x:c r="M8" s="7" t="str"/>
      <x:c r="N8" s="7" t="str">
        <x:v>Le livrable « Visée en suspension » possède une scène ou un scénario de contrôle ; ses règles proposées, ses conditions et ses retours visuels sont vérifiables séparément.</x:v>
      </x:c>
      <x:c r="O8" s="7" t="str">
        <x:v>MEA-SYS-VERTICAL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MEA-ANI-DASH</x:v>
      </x:c>
      <x:c r="B9" s="9" t="str">
        <x:v>Esquive latérale</x:v>
      </x:c>
      <x:c r="C9" s="15" t="str">
        <x:v>Défini</x:v>
      </x:c>
      <x:c r="D9" s="16" t="str">
        <x:v>Extrapolation</x:v>
      </x:c>
      <x:c r="E9" s="16" t="str">
        <x:v>P1</x:v>
      </x:c>
      <x:c r="F9" s="9" t="str">
        <x:v>Livrable original proposé : Esquive latérale.</x:v>
      </x:c>
      <x:c r="G9" s="9" t="str">
        <x:v>Déplacement de courte portée à destination réservée ; annulation si plafond ou bord de carte bloque le trajet.</x:v>
      </x:c>
      <x:c r="H9" s="9" t="str">
        <x:v>Déplacement de courte portée à destination réservée ; annulation si plafond ou bord de carte bloque le trajet.</x:v>
      </x:c>
      <x:c r="I9" s="9" t="str">
        <x:v>Traînée et fantôme de destination.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mea/animations/dash ; rattacher les ressources et états cités à cet identifiant. Aucun fichier de jeu créé par ce catalogue.</x:v>
      </x:c>
      <x:c r="M9" s="9" t="str"/>
      <x:c r="N9" s="9" t="str">
        <x:v>Le livrable « Esquive latérale » possède une scène ou un scénario de contrôle ; ses règles proposées, ses conditions et ses retours visuels sont vérifiables séparément.</x:v>
      </x:c>
      <x:c r="O9" s="9" t="str">
        <x:v>MEA-SYS-VERTICAL</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MEA-ANI-COVER</x:v>
      </x:c>
      <x:c r="B10" s="7" t="str">
        <x:v>Couvert automatique adapté</x:v>
      </x:c>
      <x:c r="C10" s="15" t="str">
        <x:v>Défini</x:v>
      </x:c>
      <x:c r="D10" s="17" t="str">
        <x:v>Extrapolation</x:v>
      </x:c>
      <x:c r="E10" s="17" t="str">
        <x:v>P1</x:v>
      </x:c>
      <x:c r="F10" s="7" t="str">
        <x:v>Livrable original proposé : Couvert automatique adapté.</x:v>
      </x:c>
      <x:c r="G10" s="7" t="str">
        <x:v>Entrée/sortie déclenchée par contexte visible ; en ATB, le joueur sait si l’action conserve son couvert.</x:v>
      </x:c>
      <x:c r="H10" s="7" t="str">
        <x:v>Entrée/sortie déclenchée par contexte visible ; en ATB, le joueur sait si l’action conserve son couvert.</x:v>
      </x:c>
      <x:c r="I10" s="7" t="str">
        <x:v>Pose basse et changement d’épaule.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mea/animations/cover ; rattacher les ressources et états cités à cet identifiant. Aucun fichier de jeu créé par ce catalogue.</x:v>
      </x:c>
      <x:c r="M10" s="7" t="str"/>
      <x:c r="N10" s="7" t="str">
        <x:v>Le livrable « Couvert automatique adapté » possède une scène ou un scénario de contrôle ; ses règles proposées, ses conditions et ses retours visuels sont vérifiables séparément.</x:v>
      </x:c>
      <x:c r="O10" s="7" t="str">
        <x:v>MEA-SYS-COVER</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MEA-ANI-SCAN</x:v>
      </x:c>
      <x:c r="B11" s="9" t="str">
        <x:v>Pose de scanner</x:v>
      </x:c>
      <x:c r="C11" s="15" t="str">
        <x:v>Défini</x:v>
      </x:c>
      <x:c r="D11" s="16" t="str">
        <x:v>Extrapolation</x:v>
      </x:c>
      <x:c r="E11" s="16" t="str">
        <x:v>P1</x:v>
      </x:c>
      <x:c r="F11" s="9" t="str">
        <x:v>Livrable original proposé : Pose de scanner.</x:v>
      </x:c>
      <x:c r="G11" s="9" t="str">
        <x:v>Bras et regard sur cible, sortie immédiate vers danger ; lire un objet ne déclenche pas une animation d’attaque.</x:v>
      </x:c>
      <x:c r="H11" s="9" t="str">
        <x:v>Bras et regard sur cible, sortie immédiate vers danger ; lire un objet ne déclenche pas une animation d’attaque.</x:v>
      </x:c>
      <x:c r="I11" s="9" t="str">
        <x:v>Omni-outil ouvert et balayage.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mea/animations/scan ; rattacher les ressources et états cités à cet identifiant. Aucun fichier de jeu créé par ce catalogue.</x:v>
      </x:c>
      <x:c r="M11" s="9" t="str"/>
      <x:c r="N11" s="9" t="str">
        <x:v>Le livrable « Pose de scanner » possède une scène ou un scénario de contrôle ; ses règles proposées, ses conditions et ses retours visuels sont vérifiables séparément.</x:v>
      </x:c>
      <x:c r="O11" s="9" t="str">
        <x:v>MEA-PRP-SCANNER</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MEA-ANI-BIOTIC</x:v>
      </x:c>
      <x:c r="B12" s="7" t="str">
        <x:v>Gestuelle biotique MEA</x:v>
      </x:c>
      <x:c r="C12" s="15" t="str">
        <x:v>Défini</x:v>
      </x:c>
      <x:c r="D12" s="17" t="str">
        <x:v>Extrapolation</x:v>
      </x:c>
      <x:c r="E12" s="17" t="str">
        <x:v>P1</x:v>
      </x:c>
      <x:c r="F12" s="7" t="str">
        <x:v>Livrable original proposé : Gestuelle biotique MEA.</x:v>
      </x:c>
      <x:c r="G12" s="7" t="str">
        <x:v>Mains, déplacement et corps alignés au pouvoir ; distinguer charge physique de simple projectile.</x:v>
      </x:c>
      <x:c r="H12" s="7" t="str">
        <x:v>Mains, déplacement et corps alignés au pouvoir ; distinguer charge physique de simple projectile.</x:v>
      </x:c>
      <x:c r="I12" s="7" t="str">
        <x:v>Halo violet et poses dynamiques.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mea/animations/biotic ; rattacher les ressources et états cités à cet identifiant. Aucun fichier de jeu créé par ce catalogue.</x:v>
      </x:c>
      <x:c r="M12" s="7" t="str"/>
      <x:c r="N12" s="7" t="str">
        <x:v>Le livrable « Gestuelle biotique MEA » possède une scène ou un scénario de contrôle ; ses règles proposées, ses conditions et ses retours visuels sont vérifiables séparément.</x:v>
      </x:c>
      <x:c r="O12" s="7" t="str">
        <x:v>MEA-POW-CHARGE, MEA-POW-THROW</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MEA-ANI-TECH</x:v>
      </x:c>
      <x:c r="B13" s="9" t="str">
        <x:v>Gestuelle technique</x:v>
      </x:c>
      <x:c r="C13" s="15" t="str">
        <x:v>Défini</x:v>
      </x:c>
      <x:c r="D13" s="16" t="str">
        <x:v>Extrapolation</x:v>
      </x:c>
      <x:c r="E13" s="16" t="str">
        <x:v>P1</x:v>
      </x:c>
      <x:c r="F13" s="9" t="str">
        <x:v>Livrable original proposé : Gestuelle technique.</x:v>
      </x:c>
      <x:c r="G13" s="9" t="str">
        <x:v>Activation d’omni-outil au bon bras, arme tenue sans duplication ; effet naît à l’événement de résolution.</x:v>
      </x:c>
      <x:c r="H13" s="9" t="str">
        <x:v>Activation d’omni-outil au bon bras, arme tenue sans duplication ; effet naît à l’événement de résolution.</x:v>
      </x:c>
      <x:c r="I13" s="9" t="str">
        <x:v>Interface orange segmentée.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mea/animations/tech ; rattacher les ressources et états cités à cet identifiant. Aucun fichier de jeu créé par ce catalogue.</x:v>
      </x:c>
      <x:c r="M13" s="9" t="str"/>
      <x:c r="N13" s="9" t="str">
        <x:v>Le livrable « Gestuelle technique » possède une scène ou un scénario de contrôle ; ses règles proposées, ses conditions et ses retours visuels sont vérifiables séparément.</x:v>
      </x:c>
      <x:c r="O13" s="9" t="str">
        <x:v>MEA-POW-INCINERATE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MEA-ANI-MELEE</x:v>
      </x:c>
      <x:c r="B14" s="7" t="str">
        <x:v>Familles de mêlée</x:v>
      </x:c>
      <x:c r="C14" s="15" t="str">
        <x:v>Défini</x:v>
      </x:c>
      <x:c r="D14" s="17" t="str">
        <x:v>Extrapolation</x:v>
      </x:c>
      <x:c r="E14" s="17" t="str">
        <x:v>P1</x:v>
      </x:c>
      <x:c r="F14" s="7" t="str">
        <x:v>Livrable original proposé : Familles de mêlée.</x:v>
      </x:c>
      <x:c r="G14" s="7" t="str">
        <x:v>Dague, épée, marteau et gantelet ont préparations et zones distinctes ; même arme ne change pas arbitrairement de main entre orientations.</x:v>
      </x:c>
      <x:c r="H14" s="7" t="str">
        <x:v>Dague, épée, marteau et gantelet ont préparations et zones distinctes ; même arme ne change pas arbitrairement de main entre orientations.</x:v>
      </x:c>
      <x:c r="I14" s="7" t="str">
        <x:v>Arcs de lame, marteau et poing.</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mea/animations/melee ; rattacher les ressources et états cités à cet identifiant. Aucun fichier de jeu créé par ce catalogue.</x:v>
      </x:c>
      <x:c r="M14" s="7" t="str"/>
      <x:c r="N14" s="7" t="str">
        <x:v>Le livrable « Familles de mêlée » possède une scène ou un scénario de contrôle ; ses règles proposées, ses conditions et ses retours visuels sont vérifiables séparément.</x:v>
      </x:c>
      <x:c r="O14" s="7" t="str">
        <x:v>MEA-WPN-ASARI-SWORD, MEA-WPN-KROGAN-HAMMER</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MEA-ANI-NOMAD</x:v>
      </x:c>
      <x:c r="B15" s="9" t="str">
        <x:v>Entrée, sortie et roues du Nomad</x:v>
      </x:c>
      <x:c r="C15" s="15" t="str">
        <x:v>Défini</x:v>
      </x:c>
      <x:c r="D15" s="16" t="str">
        <x:v>Extrapolation</x:v>
      </x:c>
      <x:c r="E15" s="16" t="str">
        <x:v>P1</x:v>
      </x:c>
      <x:c r="F15" s="9" t="str">
        <x:v>Livrable original proposé : Entrée, sortie et roues du Nomad.</x:v>
      </x:c>
      <x:c r="G15" s="9" t="str">
        <x:v>Poser équipiers sur cellules sûres, roues suivent relief ; mode tout-terrain a état visuel distinct sans inventer arme embarquée.</x:v>
      </x:c>
      <x:c r="H15" s="9" t="str">
        <x:v>Poser équipiers sur cellules sûres, roues suivent relief ; mode tout-terrain a état visuel distinct sans inventer arme embarquée.</x:v>
      </x:c>
      <x:c r="I15" s="9" t="str">
        <x:v>Six roues, suspension et portières.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mea/animations/nomad ; rattacher les ressources et états cités à cet identifiant. Aucun fichier de jeu créé par ce catalogue.</x:v>
      </x:c>
      <x:c r="M15" s="9" t="str"/>
      <x:c r="N15" s="9" t="str">
        <x:v>Le livrable « Entrée, sortie et roues du Nomad » possède une scène ou un scénario de contrôle ; ses règles proposées, ses conditions et ses retours visuels sont vérifiables séparément.</x:v>
      </x:c>
      <x:c r="O15" s="9" t="str">
        <x:v>MEA-SYS-NOMAD</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MEA-ANI-CORA</x:v>
      </x:c>
      <x:c r="B16" s="7" t="str">
        <x:v>Cora — protection et impact</x:v>
      </x:c>
      <x:c r="C16" s="15" t="str">
        <x:v>Défini</x:v>
      </x:c>
      <x:c r="D16" s="17" t="str">
        <x:v>Extrapolation</x:v>
      </x:c>
      <x:c r="E16" s="17" t="str">
        <x:v>P1</x:v>
      </x:c>
      <x:c r="F16" s="7" t="str">
        <x:v>Livrable original proposé : Cora — protection et impact.</x:v>
      </x:c>
      <x:c r="G16" s="7" t="str">
        <x:v>Séparer Charge, Nova et Shield Boost en silhouettes lisibles ; phase de secours n’a pas la posture offensive d’une frappe.</x:v>
      </x:c>
      <x:c r="H16" s="7" t="str">
        <x:v>Séparer Charge, Nova et Shield Boost en silhouettes lisibles ; phase de secours n’a pas la posture offensive d’une frappe.</x:v>
      </x:c>
      <x:c r="I16" s="7" t="str">
        <x:v>Fente, choc et mains protectrices.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mea/animations/cora ; rattacher les ressources et états cités à cet identifiant. Aucun fichier de jeu créé par ce catalogue.</x:v>
      </x:c>
      <x:c r="M16" s="7" t="str"/>
      <x:c r="N16" s="7" t="str">
        <x:v>Le livrable « Cora — protection et impact » possède une scène ou un scénario de contrôle ; ses règles proposées, ses conditions et ses retours visuels sont vérifiables séparément.</x:v>
      </x:c>
      <x:c r="O16" s="7" t="str">
        <x:v>MEA-CHR-CORA</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MEA-ANI-DRACK</x:v>
      </x:c>
      <x:c r="B17" s="9" t="str">
        <x:v>Drack — poids et prothèses</x:v>
      </x:c>
      <x:c r="C17" s="15" t="str">
        <x:v>Défini</x:v>
      </x:c>
      <x:c r="D17" s="16" t="str">
        <x:v>Extrapolation</x:v>
      </x:c>
      <x:c r="E17" s="16" t="str">
        <x:v>P1</x:v>
      </x:c>
      <x:c r="F17" s="9" t="str">
        <x:v>Livrable original proposé : Drack — poids et prothèses.</x:v>
      </x:c>
      <x:c r="G17" s="9" t="str">
        <x:v>Pas lourds, charge courte et Flak Cannon ; asymétries d’armure/prothèses ne sont pas retournées par miroir paresseux.</x:v>
      </x:c>
      <x:c r="H17" s="9" t="str">
        <x:v>Pas lourds, charge courte et Flak Cannon ; asymétries d’armure/prothèses ne sont pas retournées par miroir paresseux.</x:v>
      </x:c>
      <x:c r="I17" s="9" t="str">
        <x:v>Carapace large et démarche ancienne.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mea/animations/drack ; rattacher les ressources et états cités à cet identifiant. Aucun fichier de jeu créé par ce catalogue.</x:v>
      </x:c>
      <x:c r="M17" s="9" t="str"/>
      <x:c r="N17" s="9" t="str">
        <x:v>Le livrable « Drack — poids et prothèses » possède une scène ou un scénario de contrôle ; ses règles proposées, ses conditions et ses retours visuels sont vérifiables séparément.</x:v>
      </x:c>
      <x:c r="O17" s="9" t="str">
        <x:v>MEA-CHR-DRACK</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MEA-ANI-JAAL</x:v>
      </x:c>
      <x:c r="B18" s="7" t="str">
        <x:v>Jaal — tir et repli</x:v>
      </x:c>
      <x:c r="C18" s="15" t="str">
        <x:v>Défini</x:v>
      </x:c>
      <x:c r="D18" s="17" t="str">
        <x:v>Extrapolation</x:v>
      </x:c>
      <x:c r="E18" s="17" t="str">
        <x:v>P1</x:v>
      </x:c>
      <x:c r="F18" s="7" t="str">
        <x:v>Livrable original proposé : Jaal — tir et repli.</x:v>
      </x:c>
      <x:c r="G18" s="7" t="str">
        <x:v>Appuis de tireur, voile et retour d’Avenger Strike ; conserver manteau et arme hors du volume des alliés.</x:v>
      </x:c>
      <x:c r="H18" s="7" t="str">
        <x:v>Appuis de tireur, voile et retour d’Avenger Strike ; conserver manteau et arme hors du volume des alliés.</x:v>
      </x:c>
      <x:c r="I18" s="7" t="str">
        <x:v>Manteau, épaule et silhouette angara.</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mea/animations/jaal ; rattacher les ressources et états cités à cet identifiant. Aucun fichier de jeu créé par ce catalogue.</x:v>
      </x:c>
      <x:c r="M18" s="7" t="str"/>
      <x:c r="N18" s="7" t="str">
        <x:v>Le livrable « Jaal — tir et repli » possède une scène ou un scénario de contrôle ; ses règles proposées, ses conditions et ses retours visuels sont vérifiables séparément.</x:v>
      </x:c>
      <x:c r="O18" s="7" t="str">
        <x:v>MEA-CHR-JAAL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MEA-ANI-ASCENDANT</x:v>
      </x:c>
      <x:c r="B19" s="9" t="str">
        <x:v>Ascendant — orbe et vulnérabilité</x:v>
      </x:c>
      <x:c r="C19" s="15" t="str">
        <x:v>Défini</x:v>
      </x:c>
      <x:c r="D19" s="16" t="str">
        <x:v>Extrapolation</x:v>
      </x:c>
      <x:c r="E19" s="16" t="str">
        <x:v>P1</x:v>
      </x:c>
      <x:c r="F19" s="9" t="str">
        <x:v>Livrable original proposé : Ascendant — orbe et vulnérabilité.</x:v>
      </x:c>
      <x:c r="G19" s="9" t="str">
        <x:v>Orbite cohérente avec collision, rupture de champ puis pose exposée ; pas de sphère restant invincible après fin de phase.</x:v>
      </x:c>
      <x:c r="H19" s="9" t="str">
        <x:v>Orbite cohérente avec collision, rupture de champ puis pose exposée ; pas de sphère restant invincible après fin de phase.</x:v>
      </x:c>
      <x:c r="I19" s="9" t="str">
        <x:v>Corps flottant et orbe distinct.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mea/animations/ascendant ; rattacher les ressources et états cités à cet identifiant. Aucun fichier de jeu créé par ce catalogue.</x:v>
      </x:c>
      <x:c r="M19" s="9" t="str"/>
      <x:c r="N19" s="9" t="str">
        <x:v>Le livrable « Ascendant — orbe et vulnérabilité » possède une scène ou un scénario de contrôle ; ses règles proposées, ses conditions et ses retours visuels sont vérifiables séparément.</x:v>
      </x:c>
      <x:c r="O19" s="9" t="str">
        <x:v>MEA-ENM-ASCENDANT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MEA-ANI-ARCHITECT</x:v>
      </x:c>
      <x:c r="B20" s="7" t="str">
        <x:v>Architecte — déplacement monumental</x:v>
      </x:c>
      <x:c r="C20" s="15" t="str">
        <x:v>Défini</x:v>
      </x:c>
      <x:c r="D20" s="17" t="str">
        <x:v>Extrapolation</x:v>
      </x:c>
      <x:c r="E20" s="17" t="str">
        <x:v>P1</x:v>
      </x:c>
      <x:c r="F20" s="7" t="str">
        <x:v>Livrable original proposé : Architecte — déplacement monumental.</x:v>
      </x:c>
      <x:c r="G20" s="7" t="str">
        <x:v>Plier membres, déplacer corps puis rouvrir tête ; point ciblable au sol suit la bonne sous-partie sans chevaucher l’UI.</x:v>
      </x:c>
      <x:c r="H20" s="7" t="str">
        <x:v>Plier membres, déplacer corps puis rouvrir tête ; point ciblable au sol suit la bonne sous-partie sans chevaucher l’UI.</x:v>
      </x:c>
      <x:c r="I20" s="7" t="str">
        <x:v>Grandes pattes et noyau facial.</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mea/animations/architect ; rattacher les ressources et états cités à cet identifiant. Aucun fichier de jeu créé par ce catalogue.</x:v>
      </x:c>
      <x:c r="M20" s="7" t="str"/>
      <x:c r="N20" s="7" t="str">
        <x:v>Le livrable « Architecte — déplacement monumental » possède une scène ou un scénario de contrôle ; ses règles proposées, ses conditions et ses retours visuels sont vérifiables séparément.</x:v>
      </x:c>
      <x:c r="O20" s="7" t="str">
        <x:v>MEA-ENM-ARCHITECT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MEA-ANI-FACE</x:v>
      </x:c>
      <x:c r="B21" s="9" t="str">
        <x:v>Expressions de dialogue</x:v>
      </x:c>
      <x:c r="C21" s="15" t="str">
        <x:v>Défini</x:v>
      </x:c>
      <x:c r="D21" s="16" t="str">
        <x:v>Extrapolation</x:v>
      </x:c>
      <x:c r="E21" s="16" t="str">
        <x:v>P1</x:v>
      </x:c>
      <x:c r="F21" s="9" t="str">
        <x:v>Livrable original proposé : Expressions de dialogue.</x:v>
      </x:c>
      <x:c r="G21" s="9" t="str">
        <x:v>Jeu de bouches et regard adaptés aux espèces, pauses naturelles ; les choix de ton ont expressions sobres sans grimace fixe réutilisée.</x:v>
      </x:c>
      <x:c r="H21" s="9" t="str">
        <x:v>Jeu de bouches et regard adaptés aux espèces, pauses naturelles ; les choix de ton ont expressions sobres sans grimace fixe réutilisée.</x:v>
      </x:c>
      <x:c r="I21" s="9" t="str">
        <x:v>Bustes et portraits originaux.</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mea/animations/face ; rattacher les ressources et états cités à cet identifiant. Aucun fichier de jeu créé par ce catalogue.</x:v>
      </x:c>
      <x:c r="M21" s="9" t="str"/>
      <x:c r="N21" s="9" t="str">
        <x:v>Le livrable « Expressions de dialogue » possède une scène ou un scénario de contrôle ; ses règles proposées, ses conditions et ses retours visuels sont vérifiables séparément.</x:v>
      </x:c>
      <x:c r="O21" s="9" t="str">
        <x:v>MEA-DIA-FAMILY</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MEA-ANI-GRAVITY</x:v>
      </x:c>
      <x:c r="B22" s="7" t="str">
        <x:v>Repositionnement après rotation</x:v>
      </x:c>
      <x:c r="C22" s="15" t="str">
        <x:v>Défini</x:v>
      </x:c>
      <x:c r="D22" s="17" t="str">
        <x:v>Extrapolation</x:v>
      </x:c>
      <x:c r="E22" s="17" t="str">
        <x:v>P1</x:v>
      </x:c>
      <x:c r="F22" s="7" t="str">
        <x:v>Livrable original proposé : Repositionnement après rotation.</x:v>
      </x:c>
      <x:c r="G22" s="7" t="str">
        <x:v>Transformer pivots et axes des acteurs pendant transition de Liam ; reprise en pose stable sans glisser le long d’un ancien mur.</x:v>
      </x:c>
      <x:c r="H22" s="7" t="str">
        <x:v>Transformer pivots et axes des acteurs pendant transition de Liam ; reprise en pose stable sans glisser le long d’un ancien mur.</x:v>
      </x:c>
      <x:c r="I22" s="7" t="str">
        <x:v>Sprites ancrés au nouveau sol.</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mea/animations/gravity ; rattacher les ressources et états cités à cet identifiant. Aucun fichier de jeu créé par ce catalogue.</x:v>
      </x:c>
      <x:c r="M22" s="7" t="str"/>
      <x:c r="N22" s="7" t="str">
        <x:v>Le livrable « Repositionnement après rotation » possède une scène ou un scénario de contrôle ; ses règles proposées, ses conditions et ses retours visuels sont vérifiables séparément.</x:v>
      </x:c>
      <x:c r="O22" s="7" t="str">
        <x:v>MEA-LNK-LIAM-GRAVITY</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76" priority="1" operator="equal">
      <x:formula>"À vérifier"</x:formula>
    </x:cfRule>
    <x:cfRule type="cellIs" dxfId="77" priority="2" operator="equal">
      <x:formula>"Extrapolation"</x:formula>
    </x:cfRule>
  </x:conditionalFormatting>
  <x:conditionalFormatting sqref="C7:C22">
    <x:cfRule type="cellIs" dxfId="78" priority="3" operator="equal">
      <x:formula>"Validé"</x:formula>
    </x:cfRule>
  </x:conditionalFormatting>
  <x:conditionalFormatting sqref="E7:E22">
    <x:cfRule type="cellIs" dxfId="79"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606597d7041b4c08"/>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MEA-SPR-CHR-RYDER</x:v>
      </x:c>
      <x:c r="B7" s="9" t="str">
        <x:v>Planche sprites — Pathfinder Ryder — Sara ou Scott</x:v>
      </x:c>
      <x:c r="C7" s="15" t="str">
        <x:v>Défini</x:v>
      </x:c>
      <x:c r="D7" s="16" t="str">
        <x:v>Extrapolation</x:v>
      </x:c>
      <x:c r="E7" s="16" t="str">
        <x:v>P1</x:v>
      </x:c>
      <x:c r="F7" s="9" t="str">
        <x:v>Livrable original proposé : Planche sprites — Pathfinder Ryder — Sara ou Scott.</x:v>
      </x:c>
      <x:c r="G7" s="9" t="str">
        <x:v>Produire une planche originale de Pathfinder Ryder — Sara ou Scott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Personnalisation humaine et armure de Pionnier.</x:v>
      </x:c>
      <x:c r="J7" s="9" t="str">
        <x:v>Prévoir un état neutre, déplacement, préparation de l’action signature, impact reçu, mise à terre et retour en contrôle pour Pathfinder Ryder — Sara ou Scott. Éviter la duplication miroir des signes asymétriques.</x:v>
      </x:c>
      <x:c r="K7" s="9" t="str">
        <x:v>Sans bande sonore embarquée dans la planche ; émettre uniquement des événements nommés vers le système audio pour éviter les doublons.</x:v>
      </x:c>
      <x:c r="L7" s="9" t="str">
        <x:v>Prévu : fiche de données mea/sprites/chr-ryder ; rattacher les ressources et états cités à cet identifiant. Aucun fichier de jeu créé par ce catalogue.</x:v>
      </x:c>
      <x:c r="M7" s="9" t="str">
        <x:v>L’autre jumeau a un rôle narratif distinct.</x:v>
      </x:c>
      <x:c r="N7" s="9" t="str">
        <x:v>À l’échelle de jeu, Pathfinder Ryder — Sara ou Scott est identifiable en silhouette ; pivot aux pieds, masque de profondeur et huit orientations proposés restent stables devant les couverts.</x:v>
      </x:c>
      <x:c r="O7" s="9" t="str">
        <x:v>MEA-CHR-RYDER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MEA-SPR-CHR-CORA</x:v>
      </x:c>
      <x:c r="B8" s="7" t="str">
        <x:v>Planche sprites — Cora Harper</x:v>
      </x:c>
      <x:c r="C8" s="15" t="str">
        <x:v>Défini</x:v>
      </x:c>
      <x:c r="D8" s="17" t="str">
        <x:v>Extrapolation</x:v>
      </x:c>
      <x:c r="E8" s="17" t="str">
        <x:v>P1</x:v>
      </x:c>
      <x:c r="F8" s="7" t="str">
        <x:v>Livrable original proposé : Planche sprites — Cora Harper.</x:v>
      </x:c>
      <x:c r="G8" s="7" t="str">
        <x:v>Produire une planche originale de Cora Harper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Coupe courte, armure de Pionnier et halo biotique.</x:v>
      </x:c>
      <x:c r="J8" s="7" t="str">
        <x:v>Prévoir un état neutre, déplacement, préparation de l’action signature, impact reçu, mise à terre et retour en contrôle pour Cora Harper. Éviter la duplication miroir des signes asymétriques.</x:v>
      </x:c>
      <x:c r="K8" s="7" t="str">
        <x:v>Sans bande sonore embarquée dans la planche ; émettre uniquement des événements nommés vers le système audio pour éviter les doublons.</x:v>
      </x:c>
      <x:c r="L8" s="7" t="str">
        <x:v>Prévu : fiche de données mea/sprites/chr-cora ; rattacher les ressources et états cités à cet identifiant. Aucun fichier de jeu créé par ce catalogue.</x:v>
      </x:c>
      <x:c r="M8" s="7" t="str"/>
      <x:c r="N8" s="7" t="str">
        <x:v>À l’échelle de jeu, Cora Harper est identifiable en silhouette ; pivot aux pieds, masque de profondeur et huit orientations proposés restent stables devant les couverts.</x:v>
      </x:c>
      <x:c r="O8" s="7" t="str">
        <x:v>MEA-CHR-CORA</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MEA-SPR-CHR-LIAM</x:v>
      </x:c>
      <x:c r="B9" s="9" t="str">
        <x:v>Planche sprites — Liam Kosta</x:v>
      </x:c>
      <x:c r="C9" s="15" t="str">
        <x:v>Défini</x:v>
      </x:c>
      <x:c r="D9" s="16" t="str">
        <x:v>Extrapolation</x:v>
      </x:c>
      <x:c r="E9" s="16" t="str">
        <x:v>P1</x:v>
      </x:c>
      <x:c r="F9" s="9" t="str">
        <x:v>Livrable original proposé : Planche sprites — Liam Kosta.</x:v>
      </x:c>
      <x:c r="G9" s="9" t="str">
        <x:v>Produire une planche originale de Liam Kosta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légère et posture vive.</x:v>
      </x:c>
      <x:c r="J9" s="9" t="str">
        <x:v>Prévoir un état neutre, déplacement, préparation de l’action signature, impact reçu, mise à terre et retour en contrôle pour Liam Kosta. Éviter la duplication miroir des signes asymétriques.</x:v>
      </x:c>
      <x:c r="K9" s="9" t="str">
        <x:v>Sans bande sonore embarquée dans la planche ; émettre uniquement des événements nommés vers le système audio pour éviter les doublons.</x:v>
      </x:c>
      <x:c r="L9" s="9" t="str">
        <x:v>Prévu : fiche de données mea/sprites/chr-liam ; rattacher les ressources et états cités à cet identifiant. Aucun fichier de jeu créé par ce catalogue.</x:v>
      </x:c>
      <x:c r="M9" s="9" t="str"/>
      <x:c r="N9" s="9" t="str">
        <x:v>À l’échelle de jeu, Liam Kosta est identifiable en silhouette ; pivot aux pieds, masque de profondeur et huit orientations proposés restent stables devant les couverts.</x:v>
      </x:c>
      <x:c r="O9" s="9" t="str">
        <x:v>MEA-CHR-LIAM</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MEA-SPR-CHR-VETRA</x:v>
      </x:c>
      <x:c r="B10" s="7" t="str">
        <x:v>Planche sprites — Vetra Nyx</x:v>
      </x:c>
      <x:c r="C10" s="15" t="str">
        <x:v>Défini</x:v>
      </x:c>
      <x:c r="D10" s="17" t="str">
        <x:v>Extrapolation</x:v>
      </x:c>
      <x:c r="E10" s="17" t="str">
        <x:v>P1</x:v>
      </x:c>
      <x:c r="F10" s="7" t="str">
        <x:v>Livrable original proposé : Planche sprites — Vetra Nyx.</x:v>
      </x:c>
      <x:c r="G10" s="7" t="str">
        <x:v>Produire une planche originale de Vetra Nyx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Grande silhouette turienne, visière et armure sombre.</x:v>
      </x:c>
      <x:c r="J10" s="7" t="str">
        <x:v>Prévoir un état neutre, déplacement, préparation de l’action signature, impact reçu, mise à terre et retour en contrôle pour Vetra Nyx. Éviter la duplication miroir des signes asymétriques.</x:v>
      </x:c>
      <x:c r="K10" s="7" t="str">
        <x:v>Sans bande sonore embarquée dans la planche ; émettre uniquement des événements nommés vers le système audio pour éviter les doublons.</x:v>
      </x:c>
      <x:c r="L10" s="7" t="str">
        <x:v>Prévu : fiche de données mea/sprites/chr-vetra ; rattacher les ressources et états cités à cet identifiant. Aucun fichier de jeu créé par ce catalogue.</x:v>
      </x:c>
      <x:c r="M10" s="7" t="str"/>
      <x:c r="N10" s="7" t="str">
        <x:v>À l’échelle de jeu, Vetra Nyx est identifiable en silhouette ; pivot aux pieds, masque de profondeur et huit orientations proposés restent stables devant les couverts.</x:v>
      </x:c>
      <x:c r="O10" s="7" t="str">
        <x:v>MEA-CHR-VETRA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MEA-SPR-CHR-JAAL</x:v>
      </x:c>
      <x:c r="B11" s="9" t="str">
        <x:v>Planche sprites — Jaal Ama Darav</x:v>
      </x:c>
      <x:c r="C11" s="15" t="str">
        <x:v>Défini</x:v>
      </x:c>
      <x:c r="D11" s="16" t="str">
        <x:v>Extrapolation</x:v>
      </x:c>
      <x:c r="E11" s="16" t="str">
        <x:v>P1</x:v>
      </x:c>
      <x:c r="F11" s="9" t="str">
        <x:v>Livrable original proposé : Planche sprites — Jaal Ama Darav.</x:v>
      </x:c>
      <x:c r="G11" s="9" t="str">
        <x:v>Produire une planche originale de Jaal Ama Darav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Manteau angara, visage violet et silhouette large.</x:v>
      </x:c>
      <x:c r="J11" s="9" t="str">
        <x:v>Prévoir un état neutre, déplacement, préparation de l’action signature, impact reçu, mise à terre et retour en contrôle pour Jaal Ama Darav. Éviter la duplication miroir des signes asymétriques.</x:v>
      </x:c>
      <x:c r="K11" s="9" t="str">
        <x:v>Sans bande sonore embarquée dans la planche ; émettre uniquement des événements nommés vers le système audio pour éviter les doublons.</x:v>
      </x:c>
      <x:c r="L11" s="9" t="str">
        <x:v>Prévu : fiche de données mea/sprites/chr-jaal ; rattacher les ressources et états cités à cet identifiant. Aucun fichier de jeu créé par ce catalogue.</x:v>
      </x:c>
      <x:c r="M11" s="9" t="str"/>
      <x:c r="N11" s="9" t="str">
        <x:v>À l’échelle de jeu, Jaal Ama Darav est identifiable en silhouette ; pivot aux pieds, masque de profondeur et huit orientations proposés restent stables devant les couverts.</x:v>
      </x:c>
      <x:c r="O11" s="9" t="str">
        <x:v>MEA-CHR-JAAL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MEA-SPR-CHR-DRACK</x:v>
      </x:c>
      <x:c r="B12" s="7" t="str">
        <x:v>Planche sprites — Nakmor Drack</x:v>
      </x:c>
      <x:c r="C12" s="15" t="str">
        <x:v>Défini</x:v>
      </x:c>
      <x:c r="D12" s="17" t="str">
        <x:v>Extrapolation</x:v>
      </x:c>
      <x:c r="E12" s="17" t="str">
        <x:v>P1</x:v>
      </x:c>
      <x:c r="F12" s="7" t="str">
        <x:v>Livrable original proposé : Planche sprites — Nakmor Drack.</x:v>
      </x:c>
      <x:c r="G12" s="7" t="str">
        <x:v>Produire une planche originale de Nakmor Drack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Vieille carapace krogan, armure lourde et pièces techniques.</x:v>
      </x:c>
      <x:c r="J12" s="7" t="str">
        <x:v>Prévoir un état neutre, déplacement, préparation de l’action signature, impact reçu, mise à terre et retour en contrôle pour Nakmor Drack. Éviter la duplication miroir des signes asymétriques.</x:v>
      </x:c>
      <x:c r="K12" s="7" t="str">
        <x:v>Sans bande sonore embarquée dans la planche ; émettre uniquement des événements nommés vers le système audio pour éviter les doublons.</x:v>
      </x:c>
      <x:c r="L12" s="7" t="str">
        <x:v>Prévu : fiche de données mea/sprites/chr-drack ; rattacher les ressources et états cités à cet identifiant. Aucun fichier de jeu créé par ce catalogue.</x:v>
      </x:c>
      <x:c r="M12" s="7" t="str"/>
      <x:c r="N12" s="7" t="str">
        <x:v>À l’échelle de jeu, Nakmor Drack est identifiable en silhouette ; pivot aux pieds, masque de profondeur et huit orientations proposés restent stables devant les couverts.</x:v>
      </x:c>
      <x:c r="O12" s="7" t="str">
        <x:v>MEA-CHR-DRACK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82" customHeight="1">
      <x:c r="A13" s="18" t="str">
        <x:v>MEA-SPR-CHR-PEEBEE</x:v>
      </x:c>
      <x:c r="B13" s="9" t="str">
        <x:v>Planche sprites — Pelessaria B’Sayle / Peebee</x:v>
      </x:c>
      <x:c r="C13" s="15" t="str">
        <x:v>Défini</x:v>
      </x:c>
      <x:c r="D13" s="16" t="str">
        <x:v>Extrapolation</x:v>
      </x:c>
      <x:c r="E13" s="16" t="str">
        <x:v>P1</x:v>
      </x:c>
      <x:c r="F13" s="9" t="str">
        <x:v>Livrable original proposé : Planche sprites — Pelessaria B’Sayle / Peebee.</x:v>
      </x:c>
      <x:c r="G13" s="9" t="str">
        <x:v>Produire une planche originale de Pelessaria B’Sayle / Peebee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Masque de peinture, veste et silhouette asari.</x:v>
      </x:c>
      <x:c r="J13" s="9" t="str">
        <x:v>Prévoir un état neutre, déplacement, préparation de l’action signature, impact reçu, mise à terre et retour en contrôle pour Pelessaria B’Sayle / Peebee. Éviter la duplication miroir des signes asymétriques.</x:v>
      </x:c>
      <x:c r="K13" s="9" t="str">
        <x:v>Sans bande sonore embarquée dans la planche ; émettre uniquement des événements nommés vers le système audio pour éviter les doublons.</x:v>
      </x:c>
      <x:c r="L13" s="9" t="str">
        <x:v>Prévu : fiche de données mea/sprites/chr-peebee ; rattacher les ressources et états cités à cet identifiant. Aucun fichier de jeu créé par ce catalogue.</x:v>
      </x:c>
      <x:c r="M13" s="9" t="str"/>
      <x:c r="N13" s="9" t="str">
        <x:v>À l’échelle de jeu, Pelessaria B’Sayle / Peebee est identifiable en silhouette ; pivot aux pieds, masque de profondeur et huit orientations proposés restent stables devant les couverts.</x:v>
      </x:c>
      <x:c r="O13" s="9" t="str">
        <x:v>MEA-CHR-PEEBEE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82" customHeight="1">
      <x:c r="A14" s="19" t="str">
        <x:v>MEA-SPR-CHR-ALEC</x:v>
      </x:c>
      <x:c r="B14" s="7" t="str">
        <x:v>Planche sprites — Alec Ryder — prologue</x:v>
      </x:c>
      <x:c r="C14" s="15" t="str">
        <x:v>Défini</x:v>
      </x:c>
      <x:c r="D14" s="17" t="str">
        <x:v>Extrapolation</x:v>
      </x:c>
      <x:c r="E14" s="17" t="str">
        <x:v>P1</x:v>
      </x:c>
      <x:c r="F14" s="7" t="str">
        <x:v>Livrable original proposé : Planche sprites — Alec Ryder — prologue.</x:v>
      </x:c>
      <x:c r="G14" s="7" t="str">
        <x:v>Produire une planche originale de Alec Ryder — prologue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N7 et casque de Pionnier.</x:v>
      </x:c>
      <x:c r="J14" s="7" t="str">
        <x:v>Prévoir un état neutre, déplacement, préparation de l’action signature, impact reçu, mise à terre et retour en contrôle pour Alec Ryder — prologue. Éviter la duplication miroir des signes asymétriques.</x:v>
      </x:c>
      <x:c r="K14" s="7" t="str">
        <x:v>Sans bande sonore embarquée dans la planche ; émettre uniquement des événements nommés vers le système audio pour éviter les doublons.</x:v>
      </x:c>
      <x:c r="L14" s="7" t="str">
        <x:v>Prévu : fiche de données mea/sprites/chr-alec ; rattacher les ressources et états cités à cet identifiant. Aucun fichier de jeu créé par ce catalogue.</x:v>
      </x:c>
      <x:c r="M14" s="7" t="str">
        <x:v>Prologue uniquement.</x:v>
      </x:c>
      <x:c r="N14" s="7" t="str">
        <x:v>À l’échelle de jeu, Alec Ryder — prologue est identifiable en silhouette ; pivot aux pieds, masque de profondeur et huit orientations proposés restent stables devant les couverts.</x:v>
      </x:c>
      <x:c r="O14" s="7" t="str">
        <x:v>MEA-CHR-ALEC</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MEA-SPR-ENM-CHOSEN</x:v>
      </x:c>
      <x:c r="B15" s="9" t="str">
        <x:v>Planche sprites — Kett Chosen</x:v>
      </x:c>
      <x:c r="C15" s="15" t="str">
        <x:v>Défini</x:v>
      </x:c>
      <x:c r="D15" s="16" t="str">
        <x:v>Extrapolation</x:v>
      </x:c>
      <x:c r="E15" s="16" t="str">
        <x:v>P1</x:v>
      </x:c>
      <x:c r="F15" s="9" t="str">
        <x:v>Livrable original proposé : Planche sprites — Kett Chosen.</x:v>
      </x:c>
      <x:c r="G15" s="9" t="str">
        <x:v>Produire une planche originale de Kett Chosen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Armure organique claire et visage kett.</x:v>
      </x:c>
      <x:c r="J15" s="9" t="str">
        <x:v>Prévoir un état neutre, déplacement, préparation de l’action signature, impact reçu, mise à terre et retour en contrôle pour Kett Chosen. Éviter la duplication miroir des signes asymétriques.</x:v>
      </x:c>
      <x:c r="K15" s="9" t="str">
        <x:v>Sans bande sonore embarquée dans la planche ; émettre uniquement des événements nommés vers le système audio pour éviter les doublons.</x:v>
      </x:c>
      <x:c r="L15" s="9" t="str">
        <x:v>Prévu : fiche de données mea/sprites/enm-chosen ; rattacher les ressources et états cités à cet identifiant. Aucun fichier de jeu créé par ce catalogue.</x:v>
      </x:c>
      <x:c r="M15" s="9" t="str">
        <x:v>Campagne / multi selon rencontre.</x:v>
      </x:c>
      <x:c r="N15" s="9" t="str">
        <x:v>À l’échelle de jeu, Kett Chosen est identifiable en silhouette ; pivot aux pieds, masque de profondeur et huit orientations proposés restent stables devant les couverts.</x:v>
      </x:c>
      <x:c r="O15" s="9" t="str">
        <x:v>MEA-ENM-CHOSEN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MEA-SPR-ENM-ANOINTED</x:v>
      </x:c>
      <x:c r="B16" s="7" t="str">
        <x:v>Planche sprites — Kett Anointed</x:v>
      </x:c>
      <x:c r="C16" s="15" t="str">
        <x:v>Défini</x:v>
      </x:c>
      <x:c r="D16" s="17" t="str">
        <x:v>Extrapolation</x:v>
      </x:c>
      <x:c r="E16" s="17" t="str">
        <x:v>P1</x:v>
      </x:c>
      <x:c r="F16" s="7" t="str">
        <x:v>Livrable original proposé : Planche sprites — Kett Anointed.</x:v>
      </x:c>
      <x:c r="G16" s="7" t="str">
        <x:v>Produire une planche originale de Kett Anointed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Arme lourde et plaques osseuses.</x:v>
      </x:c>
      <x:c r="J16" s="7" t="str">
        <x:v>Prévoir un état neutre, déplacement, préparation de l’action signature, impact reçu, mise à terre et retour en contrôle pour Kett Anointed. Éviter la duplication miroir des signes asymétriques.</x:v>
      </x:c>
      <x:c r="K16" s="7" t="str">
        <x:v>Sans bande sonore embarquée dans la planche ; émettre uniquement des événements nommés vers le système audio pour éviter les doublons.</x:v>
      </x:c>
      <x:c r="L16" s="7" t="str">
        <x:v>Prévu : fiche de données mea/sprites/enm-anointed ; rattacher les ressources et états cités à cet identifiant. Aucun fichier de jeu créé par ce catalogue.</x:v>
      </x:c>
      <x:c r="M16" s="7" t="str">
        <x:v>Campagne / multi selon rencontre.</x:v>
      </x:c>
      <x:c r="N16" s="7" t="str">
        <x:v>À l’échelle de jeu, Kett Anointed est identifiable en silhouette ; pivot aux pieds, masque de profondeur et huit orientations proposés restent stables devant les couverts.</x:v>
      </x:c>
      <x:c r="O16" s="7" t="str">
        <x:v>MEA-ENM-ANOINTED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MEA-SPR-ENM-DESTINED</x:v>
      </x:c>
      <x:c r="B17" s="9" t="str">
        <x:v>Planche sprites — Kett Destined</x:v>
      </x:c>
      <x:c r="C17" s="15" t="str">
        <x:v>Défini</x:v>
      </x:c>
      <x:c r="D17" s="16" t="str">
        <x:v>Extrapolation</x:v>
      </x:c>
      <x:c r="E17" s="16" t="str">
        <x:v>P1</x:v>
      </x:c>
      <x:c r="F17" s="9" t="str">
        <x:v>Livrable original proposé : Planche sprites — Kett Destined.</x:v>
      </x:c>
      <x:c r="G17" s="9" t="str">
        <x:v>Produire une planche originale de Kett Destined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Silhouette de commandement et effets de voile.</x:v>
      </x:c>
      <x:c r="J17" s="9" t="str">
        <x:v>Prévoir un état neutre, déplacement, préparation de l’action signature, impact reçu, mise à terre et retour en contrôle pour Kett Destined. Éviter la duplication miroir des signes asymétriques.</x:v>
      </x:c>
      <x:c r="K17" s="9" t="str">
        <x:v>Sans bande sonore embarquée dans la planche ; émettre uniquement des événements nommés vers le système audio pour éviter les doublons.</x:v>
      </x:c>
      <x:c r="L17" s="9" t="str">
        <x:v>Prévu : fiche de données mea/sprites/enm-destined ; rattacher les ressources et états cités à cet identifiant. Aucun fichier de jeu créé par ce catalogue.</x:v>
      </x:c>
      <x:c r="M17" s="9" t="str">
        <x:v>Campagne / multi selon rencontre.</x:v>
      </x:c>
      <x:c r="N17" s="9" t="str">
        <x:v>À l’échelle de jeu, Kett Destined est identifiable en silhouette ; pivot aux pieds, masque de profondeur et huit orientations proposés restent stables devant les couverts.</x:v>
      </x:c>
      <x:c r="O17" s="9" t="str">
        <x:v>MEA-ENM-DESTINED</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MEA-SPR-ENM-WRAITH</x:v>
      </x:c>
      <x:c r="B18" s="7" t="str">
        <x:v>Planche sprites — Kett Wraith</x:v>
      </x:c>
      <x:c r="C18" s="15" t="str">
        <x:v>Défini</x:v>
      </x:c>
      <x:c r="D18" s="17" t="str">
        <x:v>Extrapolation</x:v>
      </x:c>
      <x:c r="E18" s="17" t="str">
        <x:v>P1</x:v>
      </x:c>
      <x:c r="F18" s="7" t="str">
        <x:v>Livrable original proposé : Planche sprites — Kett Wraith.</x:v>
      </x:c>
      <x:c r="G18" s="7" t="str">
        <x:v>Produire une planche originale de Kett Wraith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Quadrupède et contour de camouflage.</x:v>
      </x:c>
      <x:c r="J18" s="7" t="str">
        <x:v>Prévoir un état neutre, déplacement, préparation de l’action signature, impact reçu, mise à terre et retour en contrôle pour Kett Wraith. Éviter la duplication miroir des signes asymétriques.</x:v>
      </x:c>
      <x:c r="K18" s="7" t="str">
        <x:v>Sans bande sonore embarquée dans la planche ; émettre uniquement des événements nommés vers le système audio pour éviter les doublons.</x:v>
      </x:c>
      <x:c r="L18" s="7" t="str">
        <x:v>Prévu : fiche de données mea/sprites/enm-wraith ; rattacher les ressources et états cités à cet identifiant. Aucun fichier de jeu créé par ce catalogue.</x:v>
      </x:c>
      <x:c r="M18" s="7" t="str">
        <x:v>Campagne / multi selon rencontre.</x:v>
      </x:c>
      <x:c r="N18" s="7" t="str">
        <x:v>À l’échelle de jeu, Kett Wraith est identifiable en silhouette ; pivot aux pieds, masque de profondeur et huit orientations proposés restent stables devant les couverts.</x:v>
      </x:c>
      <x:c r="O18" s="7" t="str">
        <x:v>MEA-ENM-WRAITH</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MEA-SPR-ENM-FIEND</x:v>
      </x:c>
      <x:c r="B19" s="9" t="str">
        <x:v>Planche sprites — Kett Fiend</x:v>
      </x:c>
      <x:c r="C19" s="15" t="str">
        <x:v>Défini</x:v>
      </x:c>
      <x:c r="D19" s="16" t="str">
        <x:v>Extrapolation</x:v>
      </x:c>
      <x:c r="E19" s="16" t="str">
        <x:v>P1</x:v>
      </x:c>
      <x:c r="F19" s="9" t="str">
        <x:v>Livrable original proposé : Planche sprites — Kett Fiend.</x:v>
      </x:c>
      <x:c r="G19" s="9" t="str">
        <x:v>Produire une planche originale de Kett Fiend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Masse quadrupède et bras puissants.</x:v>
      </x:c>
      <x:c r="J19" s="9" t="str">
        <x:v>Prévoir un état neutre, déplacement, préparation de l’action signature, impact reçu, mise à terre et retour en contrôle pour Kett Fiend. Éviter la duplication miroir des signes asymétriques.</x:v>
      </x:c>
      <x:c r="K19" s="9" t="str">
        <x:v>Sans bande sonore embarquée dans la planche ; émettre uniquement des événements nommés vers le système audio pour éviter les doublons.</x:v>
      </x:c>
      <x:c r="L19" s="9" t="str">
        <x:v>Prévu : fiche de données mea/sprites/enm-fiend ; rattacher les ressources et états cités à cet identifiant. Aucun fichier de jeu créé par ce catalogue.</x:v>
      </x:c>
      <x:c r="M19" s="9" t="str">
        <x:v>Campagne / multi selon rencontre.</x:v>
      </x:c>
      <x:c r="N19" s="9" t="str">
        <x:v>À l’échelle de jeu, Kett Fiend est identifiable en silhouette ; pivot aux pieds, masque de profondeur et huit orientations proposés restent stables devant les couverts.</x:v>
      </x:c>
      <x:c r="O19" s="9" t="str">
        <x:v>MEA-ENM-FIEND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MEA-SPR-ENM-ASCENDANT</x:v>
      </x:c>
      <x:c r="B20" s="7" t="str">
        <x:v>Planche sprites — Ascendant</x:v>
      </x:c>
      <x:c r="C20" s="15" t="str">
        <x:v>Défini</x:v>
      </x:c>
      <x:c r="D20" s="17" t="str">
        <x:v>Extrapolation</x:v>
      </x:c>
      <x:c r="E20" s="17" t="str">
        <x:v>P1</x:v>
      </x:c>
      <x:c r="F20" s="7" t="str">
        <x:v>Livrable original proposé : Planche sprites — Ascendant.</x:v>
      </x:c>
      <x:c r="G20" s="7" t="str">
        <x:v>Produire une planche originale de Ascendant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Kett flottant et sphère orbitale.</x:v>
      </x:c>
      <x:c r="J20" s="7" t="str">
        <x:v>Prévoir un état neutre, déplacement, préparation de l’action signature, impact reçu, mise à terre et retour en contrôle pour Ascendant. Éviter la duplication miroir des signes asymétriques.</x:v>
      </x:c>
      <x:c r="K20" s="7" t="str">
        <x:v>Sans bande sonore embarquée dans la planche ; émettre uniquement des événements nommés vers le système audio pour éviter les doublons.</x:v>
      </x:c>
      <x:c r="L20" s="7" t="str">
        <x:v>Prévu : fiche de données mea/sprites/enm-ascendant ; rattacher les ressources et états cités à cet identifiant. Aucun fichier de jeu créé par ce catalogue.</x:v>
      </x:c>
      <x:c r="M20" s="7" t="str">
        <x:v>Campagne / multi selon rencontre.</x:v>
      </x:c>
      <x:c r="N20" s="7" t="str">
        <x:v>À l’échelle de jeu, Ascendant est identifiable en silhouette ; pivot aux pieds, masque de profondeur et huit orientations proposés restent stables devant les couverts.</x:v>
      </x:c>
      <x:c r="O20" s="7" t="str">
        <x:v>MEA-ENM-ASCENDANT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MEA-SPR-ENM-CARDINAL</x:v>
      </x:c>
      <x:c r="B21" s="9" t="str">
        <x:v>Planche sprites — Le Cardinal</x:v>
      </x:c>
      <x:c r="C21" s="15" t="str">
        <x:v>Défini</x:v>
      </x:c>
      <x:c r="D21" s="16" t="str">
        <x:v>Extrapolation</x:v>
      </x:c>
      <x:c r="E21" s="16" t="str">
        <x:v>P1</x:v>
      </x:c>
      <x:c r="F21" s="9" t="str">
        <x:v>Livrable original proposé : Planche sprites — Le Cardinal.</x:v>
      </x:c>
      <x:c r="G21" s="9" t="str">
        <x:v>Produire une planche originale de Le Cardinal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Armure de commandement et orbe.</x:v>
      </x:c>
      <x:c r="J21" s="9" t="str">
        <x:v>Prévoir un état neutre, déplacement, préparation de l’action signature, impact reçu, mise à terre et retour en contrôle pour Le Cardinal. Éviter la duplication miroir des signes asymétriques.</x:v>
      </x:c>
      <x:c r="K21" s="9" t="str">
        <x:v>Sans bande sonore embarquée dans la planche ; émettre uniquement des événements nommés vers le système audio pour éviter les doublons.</x:v>
      </x:c>
      <x:c r="L21" s="9" t="str">
        <x:v>Prévu : fiche de données mea/sprites/enm-cardinal ; rattacher les ressources et états cités à cet identifiant. Aucun fichier de jeu créé par ce catalogue.</x:v>
      </x:c>
      <x:c r="M21" s="9" t="str">
        <x:v>A Trail of Hope II.</x:v>
      </x:c>
      <x:c r="N21" s="9" t="str">
        <x:v>À l’échelle de jeu, Le Cardinal est identifiable en silhouette ; pivot aux pieds, masque de profondeur et huit orientations proposés restent stables devant les couverts.</x:v>
      </x:c>
      <x:c r="O21" s="9" t="str">
        <x:v>MEA-ENM-CARDINAL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MEA-SPR-ENM-INVICTOR</x:v>
      </x:c>
      <x:c r="B22" s="7" t="str">
        <x:v>Planche sprites — Invictor</x:v>
      </x:c>
      <x:c r="C22" s="15" t="str">
        <x:v>Défini</x:v>
      </x:c>
      <x:c r="D22" s="17" t="str">
        <x:v>Extrapolation</x:v>
      </x:c>
      <x:c r="E22" s="17" t="str">
        <x:v>P1</x:v>
      </x:c>
      <x:c r="F22" s="7" t="str">
        <x:v>Livrable original proposé : Planche sprites — Invictor.</x:v>
      </x:c>
      <x:c r="G22" s="7" t="str">
        <x:v>Produire une planche originale de Invictor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Silhouette kett et halo de boss.</x:v>
      </x:c>
      <x:c r="J22" s="7" t="str">
        <x:v>Prévoir un état neutre, déplacement, préparation de l’action signature, impact reçu, mise à terre et retour en contrôle pour Invictor. Éviter la duplication miroir des signes asymétriques.</x:v>
      </x:c>
      <x:c r="K22" s="7" t="str">
        <x:v>Sans bande sonore embarquée dans la planche ; émettre uniquement des événements nommés vers le système audio pour éviter les doublons.</x:v>
      </x:c>
      <x:c r="L22" s="7" t="str">
        <x:v>Prévu : fiche de données mea/sprites/enm-invictor ; rattacher les ressources et états cités à cet identifiant. Aucun fichier de jeu créé par ce catalogue.</x:v>
      </x:c>
      <x:c r="M22" s="7" t="str">
        <x:v>Defeating the Kett.</x:v>
      </x:c>
      <x:c r="N22" s="7" t="str">
        <x:v>À l’échelle de jeu, Invictor est identifiable en silhouette ; pivot aux pieds, masque de profondeur et huit orientations proposés restent stables devant les couverts.</x:v>
      </x:c>
      <x:c r="O22" s="7" t="str">
        <x:v>MEA-ENM-INVICTOR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MEA-SPR-ENM-ARCHON-SWORD</x:v>
      </x:c>
      <x:c r="B23" s="9" t="str">
        <x:v>Planche sprites — Archon’s Sword</x:v>
      </x:c>
      <x:c r="C23" s="15" t="str">
        <x:v>Défini</x:v>
      </x:c>
      <x:c r="D23" s="16" t="str">
        <x:v>Extrapolation</x:v>
      </x:c>
      <x:c r="E23" s="16" t="str">
        <x:v>P1</x:v>
      </x:c>
      <x:c r="F23" s="9" t="str">
        <x:v>Livrable original proposé : Planche sprites — Archon’s Sword.</x:v>
      </x:c>
      <x:c r="G23" s="9" t="str">
        <x:v>Produire une planche originale de Archon’s Sword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kett distincte et effets d’énergie.</x:v>
      </x:c>
      <x:c r="J23" s="9" t="str">
        <x:v>Prévoir un état neutre, déplacement, préparation de l’action signature, impact reçu, mise à terre et retour en contrôle pour Archon’s Sword. Éviter la duplication miroir des signes asymétriques.</x:v>
      </x:c>
      <x:c r="K23" s="9" t="str">
        <x:v>Sans bande sonore embarquée dans la planche ; émettre uniquement des événements nommés vers le système audio pour éviter les doublons.</x:v>
      </x:c>
      <x:c r="L23" s="9" t="str">
        <x:v>Prévu : fiche de données mea/sprites/enm-archon-sword ; rattacher les ressources et états cités à cet identifiant. Aucun fichier de jeu créé par ce catalogue.</x:v>
      </x:c>
      <x:c r="M23" s="9" t="str">
        <x:v>Rencontre de campagne.</x:v>
      </x:c>
      <x:c r="N23" s="9" t="str">
        <x:v>À l’échelle de jeu, Archon’s Sword est identifiable en silhouette ; pivot aux pieds, masque de profondeur et huit orientations proposés restent stables devant les couverts.</x:v>
      </x:c>
      <x:c r="O23" s="9" t="str">
        <x:v>MEA-ENM-ARCHON-SWORD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MEA-SPR-ENM-VALIANT</x:v>
      </x:c>
      <x:c r="B24" s="7" t="str">
        <x:v>Planche sprites — Valiant</x:v>
      </x:c>
      <x:c r="C24" s="15" t="str">
        <x:v>Défini</x:v>
      </x:c>
      <x:c r="D24" s="17" t="str">
        <x:v>Extrapolation</x:v>
      </x:c>
      <x:c r="E24" s="17" t="str">
        <x:v>P1</x:v>
      </x:c>
      <x:c r="F24" s="7" t="str">
        <x:v>Livrable original proposé : Planche sprites — Valiant.</x:v>
      </x:c>
      <x:c r="G24" s="7" t="str">
        <x:v>Produire une planche originale de Valiant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Kett renforcé et marque d’élite.</x:v>
      </x:c>
      <x:c r="J24" s="7" t="str">
        <x:v>Prévoir un état neutre, déplacement, préparation de l’action signature, impact reçu, mise à terre et retour en contrôle pour Valiant. Éviter la duplication miroir des signes asymétriques.</x:v>
      </x:c>
      <x:c r="K24" s="7" t="str">
        <x:v>Sans bande sonore embarquée dans la planche ; émettre uniquement des événements nommés vers le système audio pour éviter les doublons.</x:v>
      </x:c>
      <x:c r="L24" s="7" t="str">
        <x:v>Prévu : fiche de données mea/sprites/enm-valiant ; rattacher les ressources et états cités à cet identifiant. Aucun fichier de jeu créé par ce catalogue.</x:v>
      </x:c>
      <x:c r="M24" s="7" t="str">
        <x:v>Rencontre liée à l’arche asari.</x:v>
      </x:c>
      <x:c r="N24" s="7" t="str">
        <x:v>À l’échelle de jeu, Valiant est identifiable en silhouette ; pivot aux pieds, masque de profondeur et huit orientations proposés restent stables devant les couverts.</x:v>
      </x:c>
      <x:c r="O24" s="7" t="str">
        <x:v>MEA-ENM-VALIANT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MEA-SPR-ENM-BEHEMOTH</x:v>
      </x:c>
      <x:c r="B25" s="9" t="str">
        <x:v>Planche sprites — Behemoth</x:v>
      </x:c>
      <x:c r="C25" s="15" t="str">
        <x:v>Défini</x:v>
      </x:c>
      <x:c r="D25" s="16" t="str">
        <x:v>Extrapolation</x:v>
      </x:c>
      <x:c r="E25" s="16" t="str">
        <x:v>P1</x:v>
      </x:c>
      <x:c r="F25" s="9" t="str">
        <x:v>Livrable original proposé : Planche sprites — Behemoth.</x:v>
      </x:c>
      <x:c r="G25" s="9" t="str">
        <x:v>Produire une planche originale de Behemoth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Très grande silhouette et armure organique.</x:v>
      </x:c>
      <x:c r="J25" s="9" t="str">
        <x:v>Prévoir un état neutre, déplacement, préparation de l’action signature, impact reçu, mise à terre et retour en contrôle pour Behemoth. Éviter la duplication miroir des signes asymétriques.</x:v>
      </x:c>
      <x:c r="K25" s="9" t="str">
        <x:v>Sans bande sonore embarquée dans la planche ; émettre uniquement des événements nommés vers le système audio pour éviter les doublons.</x:v>
      </x:c>
      <x:c r="L25" s="9" t="str">
        <x:v>Prévu : fiche de données mea/sprites/enm-behemoth ; rattacher les ressources et états cités à cet identifiant. Aucun fichier de jeu créé par ce catalogue.</x:v>
      </x:c>
      <x:c r="M25" s="9" t="str">
        <x:v>Rencontres de campagne / multi selon profil.</x:v>
      </x:c>
      <x:c r="N25" s="9" t="str">
        <x:v>À l’échelle de jeu, Behemoth est identifiable en silhouette ; pivot aux pieds, masque de profondeur et huit orientations proposés restent stables devant les couverts.</x:v>
      </x:c>
      <x:c r="O25" s="9" t="str">
        <x:v>MEA-ENM-BEHEMOTH</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MEA-SPR-ENM-SCIENTIST</x:v>
      </x:c>
      <x:c r="B26" s="7" t="str">
        <x:v>Planche sprites — Scientifique kett</x:v>
      </x:c>
      <x:c r="C26" s="15" t="str">
        <x:v>Défini</x:v>
      </x:c>
      <x:c r="D26" s="17" t="str">
        <x:v>Extrapolation</x:v>
      </x:c>
      <x:c r="E26" s="17" t="str">
        <x:v>P1</x:v>
      </x:c>
      <x:c r="F26" s="7" t="str">
        <x:v>Livrable original proposé : Planche sprites — Scientifique kett.</x:v>
      </x:c>
      <x:c r="G26" s="7" t="str">
        <x:v>Produire une planche originale de Scientifique kett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Tenue scientifique et instruments.</x:v>
      </x:c>
      <x:c r="J26" s="7" t="str">
        <x:v>Prévoir un état neutre, déplacement, préparation de l’action signature, impact reçu, mise à terre et retour en contrôle pour Scientifique kett. Éviter la duplication miroir des signes asymétriques.</x:v>
      </x:c>
      <x:c r="K26" s="7" t="str">
        <x:v>Sans bande sonore embarquée dans la planche ; émettre uniquement des événements nommés vers le système audio pour éviter les doublons.</x:v>
      </x:c>
      <x:c r="L26" s="7" t="str">
        <x:v>Prévu : fiche de données mea/sprites/enm-scientist ; rattacher les ressources et états cités à cet identifiant. Aucun fichier de jeu créé par ce catalogue.</x:v>
      </x:c>
      <x:c r="M26" s="7" t="str">
        <x:v>Identité de rencontre à confirmer avant combat automatique.</x:v>
      </x:c>
      <x:c r="N26" s="7" t="str">
        <x:v>À l’échelle de jeu, Scientifique kett est identifiable en silhouette ; pivot aux pieds, masque de profondeur et huit orientations proposés restent stables devant les couverts.</x:v>
      </x:c>
      <x:c r="O26" s="7" t="str">
        <x:v>MEA-ENM-SCIENTIST</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MEA-SPR-ENM-KETT-TURRET</x:v>
      </x:c>
      <x:c r="B27" s="9" t="str">
        <x:v>Planche sprites — Tourelle kett</x:v>
      </x:c>
      <x:c r="C27" s="15" t="str">
        <x:v>Défini</x:v>
      </x:c>
      <x:c r="D27" s="16" t="str">
        <x:v>Extrapolation</x:v>
      </x:c>
      <x:c r="E27" s="16" t="str">
        <x:v>P1</x:v>
      </x:c>
      <x:c r="F27" s="9" t="str">
        <x:v>Livrable original proposé : Planche sprites — Tourelle kett.</x:v>
      </x:c>
      <x:c r="G27" s="9" t="str">
        <x:v>Produire une planche originale de Tourelle kett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Socle organique et canon.</x:v>
      </x:c>
      <x:c r="J27" s="9" t="str">
        <x:v>Prévoir un état neutre, déplacement, préparation de l’action signature, impact reçu, mise à terre et retour en contrôle pour Tourelle kett. Éviter la duplication miroir des signes asymétriques.</x:v>
      </x:c>
      <x:c r="K27" s="9" t="str">
        <x:v>Sans bande sonore embarquée dans la planche ; émettre uniquement des événements nommés vers le système audio pour éviter les doublons.</x:v>
      </x:c>
      <x:c r="L27" s="9" t="str">
        <x:v>Prévu : fiche de données mea/sprites/enm-kett-turret ; rattacher les ressources et états cités à cet identifiant. Aucun fichier de jeu créé par ce catalogue.</x:v>
      </x:c>
      <x:c r="M27" s="9" t="str">
        <x:v>Rencontres kett.</x:v>
      </x:c>
      <x:c r="N27" s="9" t="str">
        <x:v>À l’échelle de jeu, Tourelle kett est identifiable en silhouette ; pivot aux pieds, masque de profondeur et huit orientations proposés restent stables devant les couverts.</x:v>
      </x:c>
      <x:c r="O27" s="9" t="str">
        <x:v>MEA-ENM-KETT-TURRET</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82" customHeight="1">
      <x:c r="A28" s="19" t="str">
        <x:v>MEA-SPR-ENM-RAIDER</x:v>
      </x:c>
      <x:c r="B28" s="7" t="str">
        <x:v>Planche sprites — Raider hors-la-loi</x:v>
      </x:c>
      <x:c r="C28" s="15" t="str">
        <x:v>Défini</x:v>
      </x:c>
      <x:c r="D28" s="17" t="str">
        <x:v>Extrapolation</x:v>
      </x:c>
      <x:c r="E28" s="17" t="str">
        <x:v>P1</x:v>
      </x:c>
      <x:c r="F28" s="7" t="str">
        <x:v>Livrable original proposé : Planche sprites — Raider hors-la-loi.</x:v>
      </x:c>
      <x:c r="G28" s="7" t="str">
        <x:v>Produire une planche originale de Raider hors-la-loi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de récupération et fusil.</x:v>
      </x:c>
      <x:c r="J28" s="7" t="str">
        <x:v>Prévoir un état neutre, déplacement, préparation de l’action signature, impact reçu, mise à terre et retour en contrôle pour Raider hors-la-loi. Éviter la duplication miroir des signes asymétriques.</x:v>
      </x:c>
      <x:c r="K28" s="7" t="str">
        <x:v>Sans bande sonore embarquée dans la planche ; émettre uniquement des événements nommés vers le système audio pour éviter les doublons.</x:v>
      </x:c>
      <x:c r="L28" s="7" t="str">
        <x:v>Prévu : fiche de données mea/sprites/enm-raider ; rattacher les ressources et états cités à cet identifiant. Aucun fichier de jeu créé par ce catalogue.</x:v>
      </x:c>
      <x:c r="M28" s="7" t="str">
        <x:v>Campagne / multi selon rencontre.</x:v>
      </x:c>
      <x:c r="N28" s="7" t="str">
        <x:v>À l’échelle de jeu, Raider hors-la-loi est identifiable en silhouette ; pivot aux pieds, masque de profondeur et huit orientations proposés restent stables devant les couverts.</x:v>
      </x:c>
      <x:c r="O28" s="7" t="str">
        <x:v>MEA-ENM-RAIDER</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MEA-SPR-ENM-BERSERKER</x:v>
      </x:c>
      <x:c r="B29" s="9" t="str">
        <x:v>Planche sprites — Berserker hors-la-loi</x:v>
      </x:c>
      <x:c r="C29" s="15" t="str">
        <x:v>Défini</x:v>
      </x:c>
      <x:c r="D29" s="16" t="str">
        <x:v>Extrapolation</x:v>
      </x:c>
      <x:c r="E29" s="16" t="str">
        <x:v>P1</x:v>
      </x:c>
      <x:c r="F29" s="9" t="str">
        <x:v>Livrable original proposé : Planche sprites — Berserker hors-la-loi.</x:v>
      </x:c>
      <x:c r="G29" s="9" t="str">
        <x:v>Produire une planche originale de Berserker hors-la-loi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Grande armure et silhouette krogan.</x:v>
      </x:c>
      <x:c r="J29" s="9" t="str">
        <x:v>Prévoir un état neutre, déplacement, préparation de l’action signature, impact reçu, mise à terre et retour en contrôle pour Berserker hors-la-loi. Éviter la duplication miroir des signes asymétriques.</x:v>
      </x:c>
      <x:c r="K29" s="9" t="str">
        <x:v>Sans bande sonore embarquée dans la planche ; émettre uniquement des événements nommés vers le système audio pour éviter les doublons.</x:v>
      </x:c>
      <x:c r="L29" s="9" t="str">
        <x:v>Prévu : fiche de données mea/sprites/enm-berserker ; rattacher les ressources et états cités à cet identifiant. Aucun fichier de jeu créé par ce catalogue.</x:v>
      </x:c>
      <x:c r="M29" s="9" t="str">
        <x:v>Campagne / multi selon rencontre.</x:v>
      </x:c>
      <x:c r="N29" s="9" t="str">
        <x:v>À l’échelle de jeu, Berserker hors-la-loi est identifiable en silhouette ; pivot aux pieds, masque de profondeur et huit orientations proposés restent stables devant les couverts.</x:v>
      </x:c>
      <x:c r="O29" s="9" t="str">
        <x:v>MEA-ENM-BERSERKER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MEA-SPR-ENM-AGENT</x:v>
      </x:c>
      <x:c r="B30" s="7" t="str">
        <x:v>Planche sprites — Agent hors-la-loi</x:v>
      </x:c>
      <x:c r="C30" s="15" t="str">
        <x:v>Défini</x:v>
      </x:c>
      <x:c r="D30" s="17" t="str">
        <x:v>Extrapolation</x:v>
      </x:c>
      <x:c r="E30" s="17" t="str">
        <x:v>P1</x:v>
      </x:c>
      <x:c r="F30" s="7" t="str">
        <x:v>Livrable original proposé : Planche sprites — Agent hors-la-loi.</x:v>
      </x:c>
      <x:c r="G30" s="7" t="str">
        <x:v>Produire une planche originale de Agent hors-la-loi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Armure légère et omni-outil.</x:v>
      </x:c>
      <x:c r="J30" s="7" t="str">
        <x:v>Prévoir un état neutre, déplacement, préparation de l’action signature, impact reçu, mise à terre et retour en contrôle pour Agent hors-la-loi. Éviter la duplication miroir des signes asymétriques.</x:v>
      </x:c>
      <x:c r="K30" s="7" t="str">
        <x:v>Sans bande sonore embarquée dans la planche ; émettre uniquement des événements nommés vers le système audio pour éviter les doublons.</x:v>
      </x:c>
      <x:c r="L30" s="7" t="str">
        <x:v>Prévu : fiche de données mea/sprites/enm-agent ; rattacher les ressources et états cités à cet identifiant. Aucun fichier de jeu créé par ce catalogue.</x:v>
      </x:c>
      <x:c r="M30" s="7" t="str">
        <x:v>Campagne / multi selon rencontre.</x:v>
      </x:c>
      <x:c r="N30" s="7" t="str">
        <x:v>À l’échelle de jeu, Agent hors-la-loi est identifiable en silhouette ; pivot aux pieds, masque de profondeur et huit orientations proposés restent stables devant les couverts.</x:v>
      </x:c>
      <x:c r="O30" s="7" t="str">
        <x:v>MEA-ENM-AGENT</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MEA-SPR-ENM-ANARCHIST</x:v>
      </x:c>
      <x:c r="B31" s="9" t="str">
        <x:v>Planche sprites — Anarchist</x:v>
      </x:c>
      <x:c r="C31" s="15" t="str">
        <x:v>Défini</x:v>
      </x:c>
      <x:c r="D31" s="16" t="str">
        <x:v>Extrapolation</x:v>
      </x:c>
      <x:c r="E31" s="16" t="str">
        <x:v>P1</x:v>
      </x:c>
      <x:c r="F31" s="9" t="str">
        <x:v>Livrable original proposé : Planche sprites — Anarchist.</x:v>
      </x:c>
      <x:c r="G31" s="9" t="str">
        <x:v>Produire une planche originale de Anarchist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Charges, grenades et équipement irrégulier.</x:v>
      </x:c>
      <x:c r="J31" s="9" t="str">
        <x:v>Prévoir un état neutre, déplacement, préparation de l’action signature, impact reçu, mise à terre et retour en contrôle pour Anarchist. Éviter la duplication miroir des signes asymétriques.</x:v>
      </x:c>
      <x:c r="K31" s="9" t="str">
        <x:v>Sans bande sonore embarquée dans la planche ; émettre uniquement des événements nommés vers le système audio pour éviter les doublons.</x:v>
      </x:c>
      <x:c r="L31" s="9" t="str">
        <x:v>Prévu : fiche de données mea/sprites/enm-anarchist ; rattacher les ressources et états cités à cet identifiant. Aucun fichier de jeu créé par ce catalogue.</x:v>
      </x:c>
      <x:c r="M31" s="9" t="str">
        <x:v>Campagne / multi selon rencontre.</x:v>
      </x:c>
      <x:c r="N31" s="9" t="str">
        <x:v>À l’échelle de jeu, Anarchist est identifiable en silhouette ; pivot aux pieds, masque de profondeur et huit orientations proposés restent stables devant les couverts.</x:v>
      </x:c>
      <x:c r="O31" s="9" t="str">
        <x:v>MEA-ENM-ANARCHIST</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MEA-SPR-ENM-HYDRA</x:v>
      </x:c>
      <x:c r="B32" s="7" t="str">
        <x:v>Planche sprites — Hydra</x:v>
      </x:c>
      <x:c r="C32" s="15" t="str">
        <x:v>Défini</x:v>
      </x:c>
      <x:c r="D32" s="17" t="str">
        <x:v>Extrapolation</x:v>
      </x:c>
      <x:c r="E32" s="17" t="str">
        <x:v>P1</x:v>
      </x:c>
      <x:c r="F32" s="7" t="str">
        <x:v>Livrable original proposé : Planche sprites — Hydra.</x:v>
      </x:c>
      <x:c r="G32" s="7" t="str">
        <x:v>Produire une planche originale de Hydra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Méca large et lanceurs.</x:v>
      </x:c>
      <x:c r="J32" s="7" t="str">
        <x:v>Prévoir un état neutre, déplacement, préparation de l’action signature, impact reçu, mise à terre et retour en contrôle pour Hydra. Éviter la duplication miroir des signes asymétriques.</x:v>
      </x:c>
      <x:c r="K32" s="7" t="str">
        <x:v>Sans bande sonore embarquée dans la planche ; émettre uniquement des événements nommés vers le système audio pour éviter les doublons.</x:v>
      </x:c>
      <x:c r="L32" s="7" t="str">
        <x:v>Prévu : fiche de données mea/sprites/enm-hydra ; rattacher les ressources et états cités à cet identifiant. Aucun fichier de jeu créé par ce catalogue.</x:v>
      </x:c>
      <x:c r="M32" s="7" t="str">
        <x:v>Campagne / multi selon rencontre.</x:v>
      </x:c>
      <x:c r="N32" s="7" t="str">
        <x:v>À l’échelle de jeu, Hydra est identifiable en silhouette ; pivot aux pieds, masque de profondeur et huit orientations proposés restent stables devant les couverts.</x:v>
      </x:c>
      <x:c r="O32" s="7" t="str">
        <x:v>MEA-ENM-HYDRA</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MEA-SPR-ENM-PARIAH</x:v>
      </x:c>
      <x:c r="B33" s="9" t="str">
        <x:v>Planche sprites — Pariah</x:v>
      </x:c>
      <x:c r="C33" s="15" t="str">
        <x:v>Défini</x:v>
      </x:c>
      <x:c r="D33" s="16" t="str">
        <x:v>Extrapolation</x:v>
      </x:c>
      <x:c r="E33" s="16" t="str">
        <x:v>P1</x:v>
      </x:c>
      <x:c r="F33" s="9" t="str">
        <x:v>Livrable original proposé : Planche sprites — Pariah.</x:v>
      </x:c>
      <x:c r="G33" s="9" t="str">
        <x:v>Produire une planche originale de Pariah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Asari en tenue de mercenaire.</x:v>
      </x:c>
      <x:c r="J33" s="9" t="str">
        <x:v>Prévoir un état neutre, déplacement, préparation de l’action signature, impact reçu, mise à terre et retour en contrôle pour Pariah. Éviter la duplication miroir des signes asymétriques.</x:v>
      </x:c>
      <x:c r="K33" s="9" t="str">
        <x:v>Sans bande sonore embarquée dans la planche ; émettre uniquement des événements nommés vers le système audio pour éviter les doublons.</x:v>
      </x:c>
      <x:c r="L33" s="9" t="str">
        <x:v>Prévu : fiche de données mea/sprites/enm-pariah ; rattacher les ressources et états cités à cet identifiant. Aucun fichier de jeu créé par ce catalogue.</x:v>
      </x:c>
      <x:c r="M33" s="9" t="str">
        <x:v>Campagne / multi selon rencontre.</x:v>
      </x:c>
      <x:c r="N33" s="9" t="str">
        <x:v>À l’échelle de jeu, Pariah est identifiable en silhouette ; pivot aux pieds, masque de profondeur et huit orientations proposés restent stables devant les couverts.</x:v>
      </x:c>
      <x:c r="O33" s="9" t="str">
        <x:v>MEA-ENM-PARIAH</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MEA-SPR-ENM-SABOTEUR</x:v>
      </x:c>
      <x:c r="B34" s="7" t="str">
        <x:v>Planche sprites — Saboteur</x:v>
      </x:c>
      <x:c r="C34" s="15" t="str">
        <x:v>Défini</x:v>
      </x:c>
      <x:c r="D34" s="17" t="str">
        <x:v>Extrapolation</x:v>
      </x:c>
      <x:c r="E34" s="17" t="str">
        <x:v>P1</x:v>
      </x:c>
      <x:c r="F34" s="7" t="str">
        <x:v>Livrable original proposé : Planche sprites — Saboteur.</x:v>
      </x:c>
      <x:c r="G34" s="7" t="str">
        <x:v>Produire une planche originale de Saboteur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Omni-outil et matériel de terrain.</x:v>
      </x:c>
      <x:c r="J34" s="7" t="str">
        <x:v>Prévoir un état neutre, déplacement, préparation de l’action signature, impact reçu, mise à terre et retour en contrôle pour Saboteur. Éviter la duplication miroir des signes asymétriques.</x:v>
      </x:c>
      <x:c r="K34" s="7" t="str">
        <x:v>Sans bande sonore embarquée dans la planche ; émettre uniquement des événements nommés vers le système audio pour éviter les doublons.</x:v>
      </x:c>
      <x:c r="L34" s="7" t="str">
        <x:v>Prévu : fiche de données mea/sprites/enm-saboteur ; rattacher les ressources et états cités à cet identifiant. Aucun fichier de jeu créé par ce catalogue.</x:v>
      </x:c>
      <x:c r="M34" s="7" t="str">
        <x:v>Campagne / multi selon rencontre.</x:v>
      </x:c>
      <x:c r="N34" s="7" t="str">
        <x:v>À l’échelle de jeu, Saboteur est identifiable en silhouette ; pivot aux pieds, masque de profondeur et huit orientations proposés restent stables devant les couverts.</x:v>
      </x:c>
      <x:c r="O34" s="7" t="str">
        <x:v>MEA-ENM-SABOTEUR</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MEA-SPR-ENM-SHARPSHOOTER</x:v>
      </x:c>
      <x:c r="B35" s="9" t="str">
        <x:v>Planche sprites — Sharpshooter</x:v>
      </x:c>
      <x:c r="C35" s="15" t="str">
        <x:v>Défini</x:v>
      </x:c>
      <x:c r="D35" s="16" t="str">
        <x:v>Extrapolation</x:v>
      </x:c>
      <x:c r="E35" s="16" t="str">
        <x:v>P1</x:v>
      </x:c>
      <x:c r="F35" s="9" t="str">
        <x:v>Livrable original proposé : Planche sprites — Sharpshooter.</x:v>
      </x:c>
      <x:c r="G35" s="9" t="str">
        <x:v>Produire une planche originale de Sharpshooter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Lunette et arme longue.</x:v>
      </x:c>
      <x:c r="J35" s="9" t="str">
        <x:v>Prévoir un état neutre, déplacement, préparation de l’action signature, impact reçu, mise à terre et retour en contrôle pour Sharpshooter. Éviter la duplication miroir des signes asymétriques.</x:v>
      </x:c>
      <x:c r="K35" s="9" t="str">
        <x:v>Sans bande sonore embarquée dans la planche ; émettre uniquement des événements nommés vers le système audio pour éviter les doublons.</x:v>
      </x:c>
      <x:c r="L35" s="9" t="str">
        <x:v>Prévu : fiche de données mea/sprites/enm-sharpshooter ; rattacher les ressources et états cités à cet identifiant. Aucun fichier de jeu créé par ce catalogue.</x:v>
      </x:c>
      <x:c r="M35" s="9" t="str">
        <x:v>Campagne / multi selon rencontre.</x:v>
      </x:c>
      <x:c r="N35" s="9" t="str">
        <x:v>À l’échelle de jeu, Sharpshooter est identifiable en silhouette ; pivot aux pieds, masque de profondeur et huit orientations proposés restent stables devant les couverts.</x:v>
      </x:c>
      <x:c r="O35" s="9" t="str">
        <x:v>MEA-ENM-SHARPSHOOTER</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82" customHeight="1">
      <x:c r="A36" s="19" t="str">
        <x:v>MEA-SPR-ENM-OUTLAW-TURRET</x:v>
      </x:c>
      <x:c r="B36" s="7" t="str">
        <x:v>Planche sprites — Tourelle de hors-la-loi</x:v>
      </x:c>
      <x:c r="C36" s="15" t="str">
        <x:v>Défini</x:v>
      </x:c>
      <x:c r="D36" s="17" t="str">
        <x:v>Extrapolation</x:v>
      </x:c>
      <x:c r="E36" s="17" t="str">
        <x:v>P1</x:v>
      </x:c>
      <x:c r="F36" s="7" t="str">
        <x:v>Livrable original proposé : Planche sprites — Tourelle de hors-la-loi.</x:v>
      </x:c>
      <x:c r="G36" s="7" t="str">
        <x:v>Produire une planche originale de Tourelle de hors-la-loi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Trépied de récupération.</x:v>
      </x:c>
      <x:c r="J36" s="7" t="str">
        <x:v>Prévoir un état neutre, déplacement, préparation de l’action signature, impact reçu, mise à terre et retour en contrôle pour Tourelle de hors-la-loi. Éviter la duplication miroir des signes asymétriques.</x:v>
      </x:c>
      <x:c r="K36" s="7" t="str">
        <x:v>Sans bande sonore embarquée dans la planche ; émettre uniquement des événements nommés vers le système audio pour éviter les doublons.</x:v>
      </x:c>
      <x:c r="L36" s="7" t="str">
        <x:v>Prévu : fiche de données mea/sprites/enm-outlaw-turret ; rattacher les ressources et états cités à cet identifiant. Aucun fichier de jeu créé par ce catalogue.</x:v>
      </x:c>
      <x:c r="M36" s="7" t="str">
        <x:v>Campagne / multi selon rencontre.</x:v>
      </x:c>
      <x:c r="N36" s="7" t="str">
        <x:v>À l’échelle de jeu, Tourelle de hors-la-loi est identifiable en silhouette ; pivot aux pieds, masque de profondeur et huit orientations proposés restent stables devant les couverts.</x:v>
      </x:c>
      <x:c r="O36" s="7" t="str">
        <x:v>MEA-ENM-OUTLAW-TURRET</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MEA-SPR-ENM-ADHI-TRAINED</x:v>
      </x:c>
      <x:c r="B37" s="9" t="str">
        <x:v>Planche sprites — Adhi dressé</x:v>
      </x:c>
      <x:c r="C37" s="15" t="str">
        <x:v>Défini</x:v>
      </x:c>
      <x:c r="D37" s="16" t="str">
        <x:v>Extrapolation</x:v>
      </x:c>
      <x:c r="E37" s="16" t="str">
        <x:v>P1</x:v>
      </x:c>
      <x:c r="F37" s="9" t="str">
        <x:v>Livrable original proposé : Planche sprites — Adhi dressé.</x:v>
      </x:c>
      <x:c r="G37" s="9" t="str">
        <x:v>Produire une planche originale de Adhi dressé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Quadrupède bas et harnais selon variante.</x:v>
      </x:c>
      <x:c r="J37" s="9" t="str">
        <x:v>Prévoir un état neutre, déplacement, préparation de l’action signature, impact reçu, mise à terre et retour en contrôle pour Adhi dressé. Éviter la duplication miroir des signes asymétriques.</x:v>
      </x:c>
      <x:c r="K37" s="9" t="str">
        <x:v>Sans bande sonore embarquée dans la planche ; émettre uniquement des événements nommés vers le système audio pour éviter les doublons.</x:v>
      </x:c>
      <x:c r="L37" s="9" t="str">
        <x:v>Prévu : fiche de données mea/sprites/enm-adhi-trained ; rattacher les ressources et états cités à cet identifiant. Aucun fichier de jeu créé par ce catalogue.</x:v>
      </x:c>
      <x:c r="M37" s="9" t="str">
        <x:v>Faction de la rencontre distincte de faune sauvage.</x:v>
      </x:c>
      <x:c r="N37" s="9" t="str">
        <x:v>À l’échelle de jeu, Adhi dressé est identifiable en silhouette ; pivot aux pieds, masque de profondeur et huit orientations proposés restent stables devant les couverts.</x:v>
      </x:c>
      <x:c r="O37" s="9" t="str">
        <x:v>MEA-ENM-ADHI-TRAINED</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MEA-SPR-ENM-ASSEMBLER</x:v>
      </x:c>
      <x:c r="B38" s="7" t="str">
        <x:v>Planche sprites — Assembler</x:v>
      </x:c>
      <x:c r="C38" s="15" t="str">
        <x:v>Défini</x:v>
      </x:c>
      <x:c r="D38" s="17" t="str">
        <x:v>Extrapolation</x:v>
      </x:c>
      <x:c r="E38" s="17" t="str">
        <x:v>P1</x:v>
      </x:c>
      <x:c r="F38" s="7" t="str">
        <x:v>Livrable original proposé : Planche sprites — Assembler.</x:v>
      </x:c>
      <x:c r="G38" s="7" t="str">
        <x:v>Produire une planche originale de Assembler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Machine flottante et éléments rotatifs.</x:v>
      </x:c>
      <x:c r="J38" s="7" t="str">
        <x:v>Prévoir un état neutre, déplacement, préparation de l’action signature, impact reçu, mise à terre et retour en contrôle pour Assembler. Éviter la duplication miroir des signes asymétriques.</x:v>
      </x:c>
      <x:c r="K38" s="7" t="str">
        <x:v>Sans bande sonore embarquée dans la planche ; émettre uniquement des événements nommés vers le système audio pour éviter les doublons.</x:v>
      </x:c>
      <x:c r="L38" s="7" t="str">
        <x:v>Prévu : fiche de données mea/sprites/enm-assembler ; rattacher les ressources et états cités à cet identifiant. Aucun fichier de jeu créé par ce catalogue.</x:v>
      </x:c>
      <x:c r="M38" s="7" t="str">
        <x:v>Sites reliquats.</x:v>
      </x:c>
      <x:c r="N38" s="7" t="str">
        <x:v>À l’échelle de jeu, Assembler est identifiable en silhouette ; pivot aux pieds, masque de profondeur et huit orientations proposés restent stables devant les couverts.</x:v>
      </x:c>
      <x:c r="O38" s="7" t="str">
        <x:v>MEA-ENM-ASSEMBLER</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MEA-SPR-ENM-BREACHER</x:v>
      </x:c>
      <x:c r="B39" s="9" t="str">
        <x:v>Planche sprites — Breacher</x:v>
      </x:c>
      <x:c r="C39" s="15" t="str">
        <x:v>Défini</x:v>
      </x:c>
      <x:c r="D39" s="16" t="str">
        <x:v>Extrapolation</x:v>
      </x:c>
      <x:c r="E39" s="16" t="str">
        <x:v>P1</x:v>
      </x:c>
      <x:c r="F39" s="9" t="str">
        <x:v>Livrable original proposé : Planche sprites — Breacher.</x:v>
      </x:c>
      <x:c r="G39" s="9" t="str">
        <x:v>Produire une planche originale de Breacher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Petite machine segmentée.</x:v>
      </x:c>
      <x:c r="J39" s="9" t="str">
        <x:v>Prévoir un état neutre, déplacement, préparation de l’action signature, impact reçu, mise à terre et retour en contrôle pour Breacher. Éviter la duplication miroir des signes asymétriques.</x:v>
      </x:c>
      <x:c r="K39" s="9" t="str">
        <x:v>Sans bande sonore embarquée dans la planche ; émettre uniquement des événements nommés vers le système audio pour éviter les doublons.</x:v>
      </x:c>
      <x:c r="L39" s="9" t="str">
        <x:v>Prévu : fiche de données mea/sprites/enm-breacher ; rattacher les ressources et états cités à cet identifiant. Aucun fichier de jeu créé par ce catalogue.</x:v>
      </x:c>
      <x:c r="M39" s="9" t="str">
        <x:v>Sites reliquats.</x:v>
      </x:c>
      <x:c r="N39" s="9" t="str">
        <x:v>À l’échelle de jeu, Breacher est identifiable en silhouette ; pivot aux pieds, masque de profondeur et huit orientations proposés restent stables devant les couverts.</x:v>
      </x:c>
      <x:c r="O39" s="9" t="str">
        <x:v>MEA-ENM-BREACHER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MEA-SPR-ENM-CREEPER</x:v>
      </x:c>
      <x:c r="B40" s="7" t="str">
        <x:v>Planche sprites — Creeper</x:v>
      </x:c>
      <x:c r="C40" s="15" t="str">
        <x:v>Défini</x:v>
      </x:c>
      <x:c r="D40" s="17" t="str">
        <x:v>Extrapolation</x:v>
      </x:c>
      <x:c r="E40" s="17" t="str">
        <x:v>P1</x:v>
      </x:c>
      <x:c r="F40" s="7" t="str">
        <x:v>Livrable original proposé : Planche sprites — Creeper.</x:v>
      </x:c>
      <x:c r="G40" s="7" t="str">
        <x:v>Produire une planche originale de Creeper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Petite silhouette mécanique et pattes.</x:v>
      </x:c>
      <x:c r="J40" s="7" t="str">
        <x:v>Prévoir un état neutre, déplacement, préparation de l’action signature, impact reçu, mise à terre et retour en contrôle pour Creeper. Éviter la duplication miroir des signes asymétriques.</x:v>
      </x:c>
      <x:c r="K40" s="7" t="str">
        <x:v>Sans bande sonore embarquée dans la planche ; émettre uniquement des événements nommés vers le système audio pour éviter les doublons.</x:v>
      </x:c>
      <x:c r="L40" s="7" t="str">
        <x:v>Prévu : fiche de données mea/sprites/enm-creeper ; rattacher les ressources et états cités à cet identifiant. Aucun fichier de jeu créé par ce catalogue.</x:v>
      </x:c>
      <x:c r="M40" s="7" t="str">
        <x:v>Sites reliquats.</x:v>
      </x:c>
      <x:c r="N40" s="7" t="str">
        <x:v>À l’échelle de jeu, Creeper est identifiable en silhouette ; pivot aux pieds, masque de profondeur et huit orientations proposés restent stables devant les couverts.</x:v>
      </x:c>
      <x:c r="O40" s="7" t="str">
        <x:v>MEA-ENM-CREEPER</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MEA-SPR-ENM-DESTROYER</x:v>
      </x:c>
      <x:c r="B41" s="9" t="str">
        <x:v>Planche sprites — Destroyer</x:v>
      </x:c>
      <x:c r="C41" s="15" t="str">
        <x:v>Défini</x:v>
      </x:c>
      <x:c r="D41" s="16" t="str">
        <x:v>Extrapolation</x:v>
      </x:c>
      <x:c r="E41" s="16" t="str">
        <x:v>P1</x:v>
      </x:c>
      <x:c r="F41" s="9" t="str">
        <x:v>Livrable original proposé : Planche sprites — Destroyer.</x:v>
      </x:c>
      <x:c r="G41" s="9" t="str">
        <x:v>Produire une planche originale de Destroyer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massif et lumière turquoise.</x:v>
      </x:c>
      <x:c r="J41" s="9" t="str">
        <x:v>Prévoir un état neutre, déplacement, préparation de l’action signature, impact reçu, mise à terre et retour en contrôle pour Destroyer. Éviter la duplication miroir des signes asymétriques.</x:v>
      </x:c>
      <x:c r="K41" s="9" t="str">
        <x:v>Sans bande sonore embarquée dans la planche ; émettre uniquement des événements nommés vers le système audio pour éviter les doublons.</x:v>
      </x:c>
      <x:c r="L41" s="9" t="str">
        <x:v>Prévu : fiche de données mea/sprites/enm-destroyer ; rattacher les ressources et états cités à cet identifiant. Aucun fichier de jeu créé par ce catalogue.</x:v>
      </x:c>
      <x:c r="M41" s="9" t="str">
        <x:v>Sites reliquats.</x:v>
      </x:c>
      <x:c r="N41" s="9" t="str">
        <x:v>À l’échelle de jeu, Destroyer est identifiable en silhouette ; pivot aux pieds, masque de profondeur et huit orientations proposés restent stables devant les couverts.</x:v>
      </x:c>
      <x:c r="O41" s="9" t="str">
        <x:v>MEA-ENM-DESTROYER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MEA-SPR-ENM-NULLIFIER</x:v>
      </x:c>
      <x:c r="B42" s="7" t="str">
        <x:v>Planche sprites — Nullifier</x:v>
      </x:c>
      <x:c r="C42" s="15" t="str">
        <x:v>Défini</x:v>
      </x:c>
      <x:c r="D42" s="17" t="str">
        <x:v>Extrapolation</x:v>
      </x:c>
      <x:c r="E42" s="17" t="str">
        <x:v>P1</x:v>
      </x:c>
      <x:c r="F42" s="7" t="str">
        <x:v>Livrable original proposé : Planche sprites — Nullifier.</x:v>
      </x:c>
      <x:c r="G42" s="7" t="str">
        <x:v>Produire une planche originale de Nullifier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Bouclier frontal et corps mécanique.</x:v>
      </x:c>
      <x:c r="J42" s="7" t="str">
        <x:v>Prévoir un état neutre, déplacement, préparation de l’action signature, impact reçu, mise à terre et retour en contrôle pour Nullifier. Éviter la duplication miroir des signes asymétriques.</x:v>
      </x:c>
      <x:c r="K42" s="7" t="str">
        <x:v>Sans bande sonore embarquée dans la planche ; émettre uniquement des événements nommés vers le système audio pour éviter les doublons.</x:v>
      </x:c>
      <x:c r="L42" s="7" t="str">
        <x:v>Prévu : fiche de données mea/sprites/enm-nullifier ; rattacher les ressources et états cités à cet identifiant. Aucun fichier de jeu créé par ce catalogue.</x:v>
      </x:c>
      <x:c r="M42" s="7" t="str">
        <x:v>Sites reliquats.</x:v>
      </x:c>
      <x:c r="N42" s="7" t="str">
        <x:v>À l’échelle de jeu, Nullifier est identifiable en silhouette ; pivot aux pieds, masque de profondeur et huit orientations proposés restent stables devant les couverts.</x:v>
      </x:c>
      <x:c r="O42" s="7" t="str">
        <x:v>MEA-ENM-NULLIFIER</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MEA-SPR-ENM-OBSERVER</x:v>
      </x:c>
      <x:c r="B43" s="9" t="str">
        <x:v>Planche sprites — Observer</x:v>
      </x:c>
      <x:c r="C43" s="15" t="str">
        <x:v>Défini</x:v>
      </x:c>
      <x:c r="D43" s="16" t="str">
        <x:v>Extrapolation</x:v>
      </x:c>
      <x:c r="E43" s="16" t="str">
        <x:v>P1</x:v>
      </x:c>
      <x:c r="F43" s="9" t="str">
        <x:v>Livrable original proposé : Planche sprites — Observer.</x:v>
      </x:c>
      <x:c r="G43" s="9" t="str">
        <x:v>Produire une planche originale de Observer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Petit œil flottant et faisceau.</x:v>
      </x:c>
      <x:c r="J43" s="9" t="str">
        <x:v>Prévoir un état neutre, déplacement, préparation de l’action signature, impact reçu, mise à terre et retour en contrôle pour Observer. Éviter la duplication miroir des signes asymétriques.</x:v>
      </x:c>
      <x:c r="K43" s="9" t="str">
        <x:v>Sans bande sonore embarquée dans la planche ; émettre uniquement des événements nommés vers le système audio pour éviter les doublons.</x:v>
      </x:c>
      <x:c r="L43" s="9" t="str">
        <x:v>Prévu : fiche de données mea/sprites/enm-observer ; rattacher les ressources et états cités à cet identifiant. Aucun fichier de jeu créé par ce catalogue.</x:v>
      </x:c>
      <x:c r="M43" s="9" t="str">
        <x:v>Hostile ou allié selon console / mission.</x:v>
      </x:c>
      <x:c r="N43" s="9" t="str">
        <x:v>À l’échelle de jeu, Observer est identifiable en silhouette ; pivot aux pieds, masque de profondeur et huit orientations proposés restent stables devant les couverts.</x:v>
      </x:c>
      <x:c r="O43" s="9" t="str">
        <x:v>MEA-ENM-OBSERVER</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82" customHeight="1">
      <x:c r="A44" s="19" t="str">
        <x:v>MEA-SPR-ENM-REM-TURRET</x:v>
      </x:c>
      <x:c r="B44" s="7" t="str">
        <x:v>Planche sprites — Tourelle reliquate</x:v>
      </x:c>
      <x:c r="C44" s="15" t="str">
        <x:v>Défini</x:v>
      </x:c>
      <x:c r="D44" s="17" t="str">
        <x:v>Extrapolation</x:v>
      </x:c>
      <x:c r="E44" s="17" t="str">
        <x:v>P1</x:v>
      </x:c>
      <x:c r="F44" s="7" t="str">
        <x:v>Livrable original proposé : Planche sprites — Tourelle reliquate.</x:v>
      </x:c>
      <x:c r="G44" s="7" t="str">
        <x:v>Produire une planche originale de Tourelle reliquate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Pylône et canon géométriques.</x:v>
      </x:c>
      <x:c r="J44" s="7" t="str">
        <x:v>Prévoir un état neutre, déplacement, préparation de l’action signature, impact reçu, mise à terre et retour en contrôle pour Tourelle reliquate. Éviter la duplication miroir des signes asymétriques.</x:v>
      </x:c>
      <x:c r="K44" s="7" t="str">
        <x:v>Sans bande sonore embarquée dans la planche ; émettre uniquement des événements nommés vers le système audio pour éviter les doublons.</x:v>
      </x:c>
      <x:c r="L44" s="7" t="str">
        <x:v>Prévu : fiche de données mea/sprites/enm-rem-turret ; rattacher les ressources et états cités à cet identifiant. Aucun fichier de jeu créé par ce catalogue.</x:v>
      </x:c>
      <x:c r="M44" s="7" t="str">
        <x:v>Sites reliquats.</x:v>
      </x:c>
      <x:c r="N44" s="7" t="str">
        <x:v>À l’échelle de jeu, Tourelle reliquate est identifiable en silhouette ; pivot aux pieds, masque de profondeur et huit orientations proposés restent stables devant les couverts.</x:v>
      </x:c>
      <x:c r="O44" s="7" t="str">
        <x:v>MEA-ENM-REM-TURRET</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82" customHeight="1">
      <x:c r="A45" s="18" t="str">
        <x:v>MEA-SPR-ENM-ARCHITECT</x:v>
      </x:c>
      <x:c r="B45" s="9" t="str">
        <x:v>Planche sprites — Architecte reliquat</x:v>
      </x:c>
      <x:c r="C45" s="15" t="str">
        <x:v>Défini</x:v>
      </x:c>
      <x:c r="D45" s="16" t="str">
        <x:v>Extrapolation</x:v>
      </x:c>
      <x:c r="E45" s="16" t="str">
        <x:v>P1</x:v>
      </x:c>
      <x:c r="F45" s="9" t="str">
        <x:v>Livrable original proposé : Planche sprites — Architecte reliquat.</x:v>
      </x:c>
      <x:c r="G45" s="9" t="str">
        <x:v>Produire une planche originale de Architecte reliquat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Long corps et trois membres monumentaux.</x:v>
      </x:c>
      <x:c r="J45" s="9" t="str">
        <x:v>Prévoir un état neutre, déplacement, préparation de l’action signature, impact reçu, mise à terre et retour en contrôle pour Architecte reliquat. Éviter la duplication miroir des signes asymétriques.</x:v>
      </x:c>
      <x:c r="K45" s="9" t="str">
        <x:v>Sans bande sonore embarquée dans la planche ; émettre uniquement des événements nommés vers le système audio pour éviter les doublons.</x:v>
      </x:c>
      <x:c r="L45" s="9" t="str">
        <x:v>Prévu : fiche de données mea/sprites/enm-architect ; rattacher les ressources et états cités à cet identifiant. Aucun fichier de jeu créé par ce catalogue.</x:v>
      </x:c>
      <x:c r="M45" s="9" t="str">
        <x:v>Rencontres Eos/Voeld/Kadara/Elaaden à parametrer séparément.</x:v>
      </x:c>
      <x:c r="N45" s="9" t="str">
        <x:v>À l’échelle de jeu, Architecte reliquat est identifiable en silhouette ; pivot aux pieds, masque de profondeur et huit orientations proposés restent stables devant les couverts.</x:v>
      </x:c>
      <x:c r="O45" s="9" t="str">
        <x:v>MEA-ENM-ARCHITECT</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MEA-SPR-ENM-PROGENITOR</x:v>
      </x:c>
      <x:c r="B46" s="7" t="str">
        <x:v>Planche sprites — Progenitor</x:v>
      </x:c>
      <x:c r="C46" s="15" t="str">
        <x:v>Défini</x:v>
      </x:c>
      <x:c r="D46" s="17" t="str">
        <x:v>Extrapolation</x:v>
      </x:c>
      <x:c r="E46" s="17" t="str">
        <x:v>P1</x:v>
      </x:c>
      <x:c r="F46" s="7" t="str">
        <x:v>Livrable original proposé : Planche sprites — Progenitor.</x:v>
      </x:c>
      <x:c r="G46" s="7" t="str">
        <x:v>Produire une planche originale de Progenitor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Machine lourde aux points lumineux.</x:v>
      </x:c>
      <x:c r="J46" s="7" t="str">
        <x:v>Prévoir un état neutre, déplacement, préparation de l’action signature, impact reçu, mise à terre et retour en contrôle pour Progenitor. Éviter la duplication miroir des signes asymétriques.</x:v>
      </x:c>
      <x:c r="K46" s="7" t="str">
        <x:v>Sans bande sonore embarquée dans la planche ; émettre uniquement des événements nommés vers le système audio pour éviter les doublons.</x:v>
      </x:c>
      <x:c r="L46" s="7" t="str">
        <x:v>Prévu : fiche de données mea/sprites/enm-progenitor ; rattacher les ressources et états cités à cet identifiant. Aucun fichier de jeu créé par ce catalogue.</x:v>
      </x:c>
      <x:c r="M46" s="7" t="str">
        <x:v>The Remnant Tiller.</x:v>
      </x:c>
      <x:c r="N46" s="7" t="str">
        <x:v>À l’échelle de jeu, Progenitor est identifiable en silhouette ; pivot aux pieds, masque de profondeur et huit orientations proposés restent stables devant les couverts.</x:v>
      </x:c>
      <x:c r="O46" s="7" t="str">
        <x:v>MEA-ENM-PROGENITOR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82" customHeight="1">
      <x:c r="A47" s="18" t="str">
        <x:v>MEA-SPR-ENM-ARCHON-FINAL</x:v>
      </x:c>
      <x:c r="B47" s="9" t="str">
        <x:v>Planche sprites — Archonte et réseau de Méridiane</x:v>
      </x:c>
      <x:c r="C47" s="15" t="str">
        <x:v>Défini</x:v>
      </x:c>
      <x:c r="D47" s="16" t="str">
        <x:v>Extrapolation</x:v>
      </x:c>
      <x:c r="E47" s="16" t="str">
        <x:v>P1</x:v>
      </x:c>
      <x:c r="F47" s="9" t="str">
        <x:v>Livrable original proposé : Planche sprites — Archonte et réseau de Méridiane.</x:v>
      </x:c>
      <x:c r="G47" s="9" t="str">
        <x:v>Produire une planche originale de Archonte et réseau de Méridiane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Plateforme de contrôle et machine géante.</x:v>
      </x:c>
      <x:c r="J47" s="9" t="str">
        <x:v>Prévoir un état neutre, déplacement, préparation de l’action signature, impact reçu, mise à terre et retour en contrôle pour Archonte et réseau de Méridiane. Éviter la duplication miroir des signes asymétriques.</x:v>
      </x:c>
      <x:c r="K47" s="9" t="str">
        <x:v>Sans bande sonore embarquée dans la planche ; émettre uniquement des événements nommés vers le système audio pour éviter les doublons.</x:v>
      </x:c>
      <x:c r="L47" s="9" t="str">
        <x:v>Prévu : fiche de données mea/sprites/enm-archon-final ; rattacher les ressources et états cités à cet identifiant. Aucun fichier de jeu créé par ce catalogue.</x:v>
      </x:c>
      <x:c r="M47" s="9" t="str">
        <x:v>Final solo uniquement.</x:v>
      </x:c>
      <x:c r="N47" s="9" t="str">
        <x:v>À l’échelle de jeu, Archonte et réseau de Méridiane est identifiable en silhouette ; pivot aux pieds, masque de profondeur et huit orientations proposés restent stables devant les couverts.</x:v>
      </x:c>
      <x:c r="O47" s="9" t="str">
        <x:v>MEA-ENM-ARCHON-FINAL</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MEA-SPR-ENM-CALOT</x:v>
      </x:c>
      <x:c r="B48" s="7" t="str">
        <x:v>Planche sprites — Calot Gurting</x:v>
      </x:c>
      <x:c r="C48" s="15" t="str">
        <x:v>Défini</x:v>
      </x:c>
      <x:c r="D48" s="17" t="str">
        <x:v>Extrapolation</x:v>
      </x:c>
      <x:c r="E48" s="17" t="str">
        <x:v>P1</x:v>
      </x:c>
      <x:c r="F48" s="7" t="str">
        <x:v>Livrable original proposé : Planche sprites — Calot Gurting.</x:v>
      </x:c>
      <x:c r="G48" s="7" t="str">
        <x:v>Produire une planche originale de Calot Gurting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Angara de commandement et champ protecteur.</x:v>
      </x:c>
      <x:c r="J48" s="7" t="str">
        <x:v>Prévoir un état neutre, déplacement, préparation de l’action signature, impact reçu, mise à terre et retour en contrôle pour Calot Gurting. Éviter la duplication miroir des signes asymétriques.</x:v>
      </x:c>
      <x:c r="K48" s="7" t="str">
        <x:v>Sans bande sonore embarquée dans la planche ; émettre uniquement des événements nommés vers le système audio pour éviter les doublons.</x:v>
      </x:c>
      <x:c r="L48" s="7" t="str">
        <x:v>Prévu : fiche de données mea/sprites/enm-calot ; rattacher les ressources et états cités à cet identifiant. Aucun fichier de jeu créé par ce catalogue.</x:v>
      </x:c>
      <x:c r="M48" s="7" t="str">
        <x:v>Liam: All In.</x:v>
      </x:c>
      <x:c r="N48" s="7" t="str">
        <x:v>À l’échelle de jeu, Calot Gurting est identifiable en silhouette ; pivot aux pieds, masque de profondeur et huit orientations proposés restent stables devant les couverts.</x:v>
      </x:c>
      <x:c r="O48" s="7" t="str">
        <x:v>MEA-ENM-CALOT</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MEA-SPR-ENM-MERIWEATHER</x:v>
      </x:c>
      <x:c r="B49" s="9" t="str">
        <x:v>Planche sprites — Meriweather</x:v>
      </x:c>
      <x:c r="C49" s="15" t="str">
        <x:v>Défini</x:v>
      </x:c>
      <x:c r="D49" s="16" t="str">
        <x:v>Extrapolation</x:v>
      </x:c>
      <x:c r="E49" s="16" t="str">
        <x:v>P1</x:v>
      </x:c>
      <x:c r="F49" s="9" t="str">
        <x:v>Livrable original proposé : Planche sprites — Meriweather.</x:v>
      </x:c>
      <x:c r="G49" s="9" t="str">
        <x:v>Produire une planche originale de Meriweather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Chef de groupe et mine industrielle.</x:v>
      </x:c>
      <x:c r="J49" s="9" t="str">
        <x:v>Prévoir un état neutre, déplacement, préparation de l’action signature, impact reçu, mise à terre et retour en contrôle pour Meriweather. Éviter la duplication miroir des signes asymétriques.</x:v>
      </x:c>
      <x:c r="K49" s="9" t="str">
        <x:v>Sans bande sonore embarquée dans la planche ; émettre uniquement des événements nommés vers le système audio pour éviter les doublons.</x:v>
      </x:c>
      <x:c r="L49" s="9" t="str">
        <x:v>Prévu : fiche de données mea/sprites/enm-meriweather ; rattacher les ressources et états cités à cet identifiant. Aucun fichier de jeu créé par ce catalogue.</x:v>
      </x:c>
      <x:c r="M49" s="9" t="str">
        <x:v>Vetra: Means and Ends.</x:v>
      </x:c>
      <x:c r="N49" s="9" t="str">
        <x:v>À l’échelle de jeu, Meriweather est identifiable en silhouette ; pivot aux pieds, masque de profondeur et huit orientations proposés restent stables devant les couverts.</x:v>
      </x:c>
      <x:c r="O49" s="9" t="str">
        <x:v>MEA-ENM-MERIWEATHER</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MEA-SPR-ENM-ADHI-WILD</x:v>
      </x:c>
      <x:c r="B50" s="7" t="str">
        <x:v>Planche sprites — Adhi sauvage</x:v>
      </x:c>
      <x:c r="C50" s="15" t="str">
        <x:v>Défini</x:v>
      </x:c>
      <x:c r="D50" s="17" t="str">
        <x:v>Extrapolation</x:v>
      </x:c>
      <x:c r="E50" s="17" t="str">
        <x:v>P1</x:v>
      </x:c>
      <x:c r="F50" s="7" t="str">
        <x:v>Livrable original proposé : Planche sprites — Adhi sauvage.</x:v>
      </x:c>
      <x:c r="G50" s="7" t="str">
        <x:v>Produire une planche originale de Adhi sauvage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Quadrupède nerveux.</x:v>
      </x:c>
      <x:c r="J50" s="7" t="str">
        <x:v>Prévoir un état neutre, déplacement, préparation de l’action signature, impact reçu, mise à terre et retour en contrôle pour Adhi sauvage. Éviter la duplication miroir des signes asymétriques.</x:v>
      </x:c>
      <x:c r="K50" s="7" t="str">
        <x:v>Sans bande sonore embarquée dans la planche ; émettre uniquement des événements nommés vers le système audio pour éviter les doublons.</x:v>
      </x:c>
      <x:c r="L50" s="7" t="str">
        <x:v>Prévu : fiche de données mea/sprites/enm-adhi-wild ; rattacher les ressources et états cités à cet identifiant. Aucun fichier de jeu créé par ce catalogue.</x:v>
      </x:c>
      <x:c r="M50" s="7" t="str">
        <x:v>Faune, pas faction kett par défaut.</x:v>
      </x:c>
      <x:c r="N50" s="7" t="str">
        <x:v>À l’échelle de jeu, Adhi sauvage est identifiable en silhouette ; pivot aux pieds, masque de profondeur et huit orientations proposés restent stables devant les couverts.</x:v>
      </x:c>
      <x:c r="O50" s="7" t="str">
        <x:v>MEA-ENM-ADHI-WILD</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68" customHeight="1">
      <x:c r="A51" s="18" t="str">
        <x:v>MEA-SPR-ENM-ANCIENT-EIROCH</x:v>
      </x:c>
      <x:c r="B51" s="9" t="str">
        <x:v>Planche sprites — Ancient Eiroch</x:v>
      </x:c>
      <x:c r="C51" s="15" t="str">
        <x:v>Défini</x:v>
      </x:c>
      <x:c r="D51" s="16" t="str">
        <x:v>Extrapolation</x:v>
      </x:c>
      <x:c r="E51" s="16" t="str">
        <x:v>P1</x:v>
      </x:c>
      <x:c r="F51" s="9" t="str">
        <x:v>Livrable original proposé : Planche sprites — Ancient Eiroch.</x:v>
      </x:c>
      <x:c r="G51" s="9" t="str">
        <x:v>Produire une planche originale de Ancient Eiroch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Grand quadrupède et tête massive.</x:v>
      </x:c>
      <x:c r="J51" s="9" t="str">
        <x:v>Prévoir un état neutre, déplacement, préparation de l’action signature, impact reçu, mise à terre et retour en contrôle pour Ancient Eiroch. Éviter la duplication miroir des signes asymétriques.</x:v>
      </x:c>
      <x:c r="K51" s="9" t="str">
        <x:v>Sans bande sonore embarquée dans la planche ; émettre uniquement des événements nommés vers le système audio pour éviter les doublons.</x:v>
      </x:c>
      <x:c r="L51" s="9" t="str">
        <x:v>Prévu : fiche de données mea/sprites/enm-ancient-eiroch ; rattacher les ressources et états cités à cet identifiant. Aucun fichier de jeu créé par ce catalogue.</x:v>
      </x:c>
      <x:c r="M51" s="9" t="str">
        <x:v>Rencontre de faune.</x:v>
      </x:c>
      <x:c r="N51" s="9" t="str">
        <x:v>À l’échelle de jeu, Ancient Eiroch est identifiable en silhouette ; pivot aux pieds, masque de profondeur et huit orientations proposés restent stables devant les couverts.</x:v>
      </x:c>
      <x:c r="O51" s="9" t="str">
        <x:v>MEA-ENM-ANCIENT-EIROCH</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68" customHeight="1">
      <x:c r="A52" s="19" t="str">
        <x:v>MEA-SPR-ENM-KAERKYN</x:v>
      </x:c>
      <x:c r="B52" s="7" t="str">
        <x:v>Planche sprites — Kaerkyn</x:v>
      </x:c>
      <x:c r="C52" s="15" t="str">
        <x:v>Défini</x:v>
      </x:c>
      <x:c r="D52" s="17" t="str">
        <x:v>Extrapolation</x:v>
      </x:c>
      <x:c r="E52" s="17" t="str">
        <x:v>P1</x:v>
      </x:c>
      <x:c r="F52" s="7" t="str">
        <x:v>Livrable original proposé : Planche sprites — Kaerkyn.</x:v>
      </x:c>
      <x:c r="G52" s="7" t="str">
        <x:v>Produire une planche originale de Kaerkyn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Créature locale à silhouette distincte.</x:v>
      </x:c>
      <x:c r="J52" s="7" t="str">
        <x:v>Prévoir un état neutre, déplacement, préparation de l’action signature, impact reçu, mise à terre et retour en contrôle pour Kaerkyn. Éviter la duplication miroir des signes asymétriques.</x:v>
      </x:c>
      <x:c r="K52" s="7" t="str">
        <x:v>Sans bande sonore embarquée dans la planche ; émettre uniquement des événements nommés vers le système audio pour éviter les doublons.</x:v>
      </x:c>
      <x:c r="L52" s="7" t="str">
        <x:v>Prévu : fiche de données mea/sprites/enm-kaerkyn ; rattacher les ressources et états cités à cet identifiant. Aucun fichier de jeu créé par ce catalogue.</x:v>
      </x:c>
      <x:c r="M52" s="7" t="str">
        <x:v>Paramètres d’hostilité à vérifier par lieu.</x:v>
      </x:c>
      <x:c r="N52" s="7" t="str">
        <x:v>À l’échelle de jeu, Kaerkyn est identifiable en silhouette ; pivot aux pieds, masque de profondeur et huit orientations proposés restent stables devant les couverts.</x:v>
      </x:c>
      <x:c r="O52" s="7" t="str">
        <x:v>MEA-ENM-KAERKYN</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MEA-SPR-ENM-SPITBUG</x:v>
      </x:c>
      <x:c r="B53" s="9" t="str">
        <x:v>Planche sprites — Spitbug</x:v>
      </x:c>
      <x:c r="C53" s="15" t="str">
        <x:v>Défini</x:v>
      </x:c>
      <x:c r="D53" s="16" t="str">
        <x:v>Extrapolation</x:v>
      </x:c>
      <x:c r="E53" s="16" t="str">
        <x:v>P1</x:v>
      </x:c>
      <x:c r="F53" s="9" t="str">
        <x:v>Livrable original proposé : Planche sprites — Spitbug.</x:v>
      </x:c>
      <x:c r="G53" s="9" t="str">
        <x:v>Produire une planche originale de Spitbug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Insectoïde et projectile visible.</x:v>
      </x:c>
      <x:c r="J53" s="9" t="str">
        <x:v>Prévoir un état neutre, déplacement, préparation de l’action signature, impact reçu, mise à terre et retour en contrôle pour Spitbug. Éviter la duplication miroir des signes asymétriques.</x:v>
      </x:c>
      <x:c r="K53" s="9" t="str">
        <x:v>Sans bande sonore embarquée dans la planche ; émettre uniquement des événements nommés vers le système audio pour éviter les doublons.</x:v>
      </x:c>
      <x:c r="L53" s="9" t="str">
        <x:v>Prévu : fiche de données mea/sprites/enm-spitbug ; rattacher les ressources et états cités à cet identifiant. Aucun fichier de jeu créé par ce catalogue.</x:v>
      </x:c>
      <x:c r="M53" s="9" t="str">
        <x:v>Faune.</x:v>
      </x:c>
      <x:c r="N53" s="9" t="str">
        <x:v>À l’échelle de jeu, Spitbug est identifiable en silhouette ; pivot aux pieds, masque de profondeur et huit orientations proposés restent stables devant les couverts.</x:v>
      </x:c>
      <x:c r="O53" s="9" t="str">
        <x:v>MEA-ENM-SPITBUG</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MEA-SPR-ENM-TAURG</x:v>
      </x:c>
      <x:c r="B54" s="7" t="str">
        <x:v>Planche sprites — Taurg</x:v>
      </x:c>
      <x:c r="C54" s="15" t="str">
        <x:v>Défini</x:v>
      </x:c>
      <x:c r="D54" s="17" t="str">
        <x:v>Extrapolation</x:v>
      </x:c>
      <x:c r="E54" s="17" t="str">
        <x:v>P1</x:v>
      </x:c>
      <x:c r="F54" s="7" t="str">
        <x:v>Livrable original proposé : Planche sprites — Taurg.</x:v>
      </x:c>
      <x:c r="G54" s="7" t="str">
        <x:v>Produire une planche originale de Taurg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Grande silhouette de faune.</x:v>
      </x:c>
      <x:c r="J54" s="7" t="str">
        <x:v>Prévoir un état neutre, déplacement, préparation de l’action signature, impact reçu, mise à terre et retour en contrôle pour Taurg. Éviter la duplication miroir des signes asymétriques.</x:v>
      </x:c>
      <x:c r="K54" s="7" t="str">
        <x:v>Sans bande sonore embarquée dans la planche ; émettre uniquement des événements nommés vers le système audio pour éviter les doublons.</x:v>
      </x:c>
      <x:c r="L54" s="7" t="str">
        <x:v>Prévu : fiche de données mea/sprites/enm-taurg ; rattacher les ressources et états cités à cet identifiant. Aucun fichier de jeu créé par ce catalogue.</x:v>
      </x:c>
      <x:c r="M54" s="7" t="str">
        <x:v>Hostilité déterminée par variante documentée.</x:v>
      </x:c>
      <x:c r="N54" s="7" t="str">
        <x:v>À l’échelle de jeu, Taurg est identifiable en silhouette ; pivot aux pieds, masque de profondeur et huit orientations proposés restent stables devant les couverts.</x:v>
      </x:c>
      <x:c r="O54" s="7" t="str">
        <x:v>MEA-ENM-TAURG</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68" customHeight="1">
      <x:c r="A55" s="18" t="str">
        <x:v>MEA-SPR-ENM-CHALLYRION</x:v>
      </x:c>
      <x:c r="B55" s="9" t="str">
        <x:v>Planche sprites — Challyrion</x:v>
      </x:c>
      <x:c r="C55" s="15" t="str">
        <x:v>Défini</x:v>
      </x:c>
      <x:c r="D55" s="16" t="str">
        <x:v>Extrapolation</x:v>
      </x:c>
      <x:c r="E55" s="16" t="str">
        <x:v>P1</x:v>
      </x:c>
      <x:c r="F55" s="9" t="str">
        <x:v>Livrable original proposé : Planche sprites — Challyrion.</x:v>
      </x:c>
      <x:c r="G55" s="9" t="str">
        <x:v>Produire une planche originale de Challyrion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Créature de jungle et variante plus grande.</x:v>
      </x:c>
      <x:c r="J55" s="9" t="str">
        <x:v>Prévoir un état neutre, déplacement, préparation de l’action signature, impact reçu, mise à terre et retour en contrôle pour Challyrion. Éviter la duplication miroir des signes asymétriques.</x:v>
      </x:c>
      <x:c r="K55" s="9" t="str">
        <x:v>Sans bande sonore embarquée dans la planche ; émettre uniquement des événements nommés vers le système audio pour éviter les doublons.</x:v>
      </x:c>
      <x:c r="L55" s="9" t="str">
        <x:v>Prévu : fiche de données mea/sprites/enm-challyrion ; rattacher les ressources et états cités à cet identifiant. Aucun fichier de jeu créé par ce catalogue.</x:v>
      </x:c>
      <x:c r="M55" s="9" t="str">
        <x:v>Overgrown pour variante mutée.</x:v>
      </x:c>
      <x:c r="N55" s="9" t="str">
        <x:v>À l’échelle de jeu, Challyrion est identifiable en silhouette ; pivot aux pieds, masque de profondeur et huit orientations proposés restent stables devant les couverts.</x:v>
      </x:c>
      <x:c r="O55" s="9" t="str">
        <x:v>MEA-ENM-CHALLYRION</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82" customHeight="1">
      <x:c r="A56" s="19" t="str">
        <x:v>MEA-SPR-CHR-MP-HUMAN-KINETICIST</x:v>
      </x:c>
      <x:c r="B56" s="7" t="str">
        <x:v>Planche sprites — Human Kineticist</x:v>
      </x:c>
      <x:c r="C56" s="15" t="str">
        <x:v>Défini</x:v>
      </x:c>
      <x:c r="D56" s="17" t="str">
        <x:v>Extrapolation</x:v>
      </x:c>
      <x:c r="E56" s="17" t="str">
        <x:v>P1</x:v>
      </x:c>
      <x:c r="F56" s="7" t="str">
        <x:v>Livrable original proposé : Planche sprites — Human Kineticist.</x:v>
      </x:c>
      <x:c r="G56" s="7" t="str">
        <x:v>Produire une planche originale de Human Kineticist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Humain à aura biotique.</x:v>
      </x:c>
      <x:c r="J56" s="7" t="str">
        <x:v>Prévoir un état neutre, déplacement, préparation de l’action signature, impact reçu, mise à terre et retour en contrôle pour Human Kineticist. Éviter la duplication miroir des signes asymétriques.</x:v>
      </x:c>
      <x:c r="K56" s="7" t="str">
        <x:v>Sans bande sonore embarquée dans la planche ; émettre uniquement des événements nommés vers le système audio pour éviter les doublons.</x:v>
      </x:c>
      <x:c r="L56" s="7" t="str">
        <x:v>Prévu : fiche de données mea/sprites/chr-mp-human-kineticist ; rattacher les ressources et états cités à cet identifiant. Aucun fichier de jeu créé par ce catalogue.</x:v>
      </x:c>
      <x:c r="M56" s="7" t="str">
        <x:v>Multijoueur APEX uniquement ; aucun recrutement dans la campagne de Ryder.</x:v>
      </x:c>
      <x:c r="N56" s="7" t="str">
        <x:v>À l’échelle de jeu, Human Kineticist est identifiable en silhouette ; pivot aux pieds, masque de profondeur et huit orientations proposés restent stables devant les couverts.</x:v>
      </x:c>
      <x:c r="O56" s="7" t="str">
        <x:v>MEA-CHR-MP-HUMAN-KINETICIST</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68" customHeight="1">
      <x:c r="A57" s="18" t="str">
        <x:v>MEA-SPR-CHR-MP-ASARI-DUELIST</x:v>
      </x:c>
      <x:c r="B57" s="9" t="str">
        <x:v>Planche sprites — Asari Duelist</x:v>
      </x:c>
      <x:c r="C57" s="15" t="str">
        <x:v>Défini</x:v>
      </x:c>
      <x:c r="D57" s="16" t="str">
        <x:v>Extrapolation</x:v>
      </x:c>
      <x:c r="E57" s="16" t="str">
        <x:v>P1</x:v>
      </x:c>
      <x:c r="F57" s="9" t="str">
        <x:v>Livrable original proposé : Planche sprites — Asari Duelist.</x:v>
      </x:c>
      <x:c r="G57" s="9" t="str">
        <x:v>Produire une planche originale de Asari Duelist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Asari et arme de mêlée.</x:v>
      </x:c>
      <x:c r="J57" s="9" t="str">
        <x:v>Prévoir un état neutre, déplacement, préparation de l’action signature, impact reçu, mise à terre et retour en contrôle pour Asari Duelist. Éviter la duplication miroir des signes asymétriques.</x:v>
      </x:c>
      <x:c r="K57" s="9" t="str">
        <x:v>Sans bande sonore embarquée dans la planche ; émettre uniquement des événements nommés vers le système audio pour éviter les doublons.</x:v>
      </x:c>
      <x:c r="L57" s="9" t="str">
        <x:v>Prévu : fiche de données mea/sprites/chr-mp-asari-duelist ; rattacher les ressources et états cités à cet identifiant. Aucun fichier de jeu créé par ce catalogue.</x:v>
      </x:c>
      <x:c r="M57" s="9" t="str">
        <x:v>Multijoueur APEX uniquement ; aucun recrutement dans la campagne de Ryder.</x:v>
      </x:c>
      <x:c r="N57" s="9" t="str">
        <x:v>À l’échelle de jeu, Asari Duelist est identifiable en silhouette ; pivot aux pieds, masque de profondeur et huit orientations proposés restent stables devant les couverts.</x:v>
      </x:c>
      <x:c r="O57" s="9" t="str">
        <x:v>MEA-CHR-MP-ASARI-DUELIST</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MEA-SPR-CHR-MP-TURIAN-HAVOC</x:v>
      </x:c>
      <x:c r="B58" s="7" t="str">
        <x:v>Planche sprites — Turian Havoc Trooper</x:v>
      </x:c>
      <x:c r="C58" s="15" t="str">
        <x:v>Défini</x:v>
      </x:c>
      <x:c r="D58" s="17" t="str">
        <x:v>Extrapolation</x:v>
      </x:c>
      <x:c r="E58" s="17" t="str">
        <x:v>P1</x:v>
      </x:c>
      <x:c r="F58" s="7" t="str">
        <x:v>Livrable original proposé : Planche sprites — Turian Havoc Trooper.</x:v>
      </x:c>
      <x:c r="G58" s="7" t="str">
        <x:v>Produire une planche originale de Turian Havoc Trooper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Turien à propulseurs.</x:v>
      </x:c>
      <x:c r="J58" s="7" t="str">
        <x:v>Prévoir un état neutre, déplacement, préparation de l’action signature, impact reçu, mise à terre et retour en contrôle pour Turian Havoc Trooper. Éviter la duplication miroir des signes asymétriques.</x:v>
      </x:c>
      <x:c r="K58" s="7" t="str">
        <x:v>Sans bande sonore embarquée dans la planche ; émettre uniquement des événements nommés vers le système audio pour éviter les doublons.</x:v>
      </x:c>
      <x:c r="L58" s="7" t="str">
        <x:v>Prévu : fiche de données mea/sprites/chr-mp-turian-havoc ; rattacher les ressources et états cités à cet identifiant. Aucun fichier de jeu créé par ce catalogue.</x:v>
      </x:c>
      <x:c r="M58" s="7" t="str">
        <x:v>Multijoueur APEX uniquement ; aucun recrutement dans la campagne de Ryder.</x:v>
      </x:c>
      <x:c r="N58" s="7" t="str">
        <x:v>À l’échelle de jeu, Turian Havoc Trooper est identifiable en silhouette ; pivot aux pieds, masque de profondeur et huit orientations proposés restent stables devant les couverts.</x:v>
      </x:c>
      <x:c r="O58" s="7" t="str">
        <x:v>MEA-CHR-MP-TURIAN-HAVOC</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68" customHeight="1">
      <x:c r="A59" s="18" t="str">
        <x:v>MEA-SPR-CHR-MP-KROGAN-ENGINEER</x:v>
      </x:c>
      <x:c r="B59" s="9" t="str">
        <x:v>Planche sprites — Krogan Engineer</x:v>
      </x:c>
      <x:c r="C59" s="15" t="str">
        <x:v>Défini</x:v>
      </x:c>
      <x:c r="D59" s="16" t="str">
        <x:v>Extrapolation</x:v>
      </x:c>
      <x:c r="E59" s="16" t="str">
        <x:v>P1</x:v>
      </x:c>
      <x:c r="F59" s="9" t="str">
        <x:v>Livrable original proposé : Planche sprites — Krogan Engineer.</x:v>
      </x:c>
      <x:c r="G59" s="9" t="str">
        <x:v>Produire une planche originale de Krogan Engineer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Krogan avec outils techniques.</x:v>
      </x:c>
      <x:c r="J59" s="9" t="str">
        <x:v>Prévoir un état neutre, déplacement, préparation de l’action signature, impact reçu, mise à terre et retour en contrôle pour Krogan Engineer. Éviter la duplication miroir des signes asymétriques.</x:v>
      </x:c>
      <x:c r="K59" s="9" t="str">
        <x:v>Sans bande sonore embarquée dans la planche ; émettre uniquement des événements nommés vers le système audio pour éviter les doublons.</x:v>
      </x:c>
      <x:c r="L59" s="9" t="str">
        <x:v>Prévu : fiche de données mea/sprites/chr-mp-krogan-engineer ; rattacher les ressources et états cités à cet identifiant. Aucun fichier de jeu créé par ce catalogue.</x:v>
      </x:c>
      <x:c r="M59" s="9" t="str">
        <x:v>Multijoueur APEX uniquement ; aucun recrutement dans la campagne de Ryder.</x:v>
      </x:c>
      <x:c r="N59" s="9" t="str">
        <x:v>À l’échelle de jeu, Krogan Engineer est identifiable en silhouette ; pivot aux pieds, masque de profondeur et huit orientations proposés restent stables devant les couverts.</x:v>
      </x:c>
      <x:c r="O59" s="9" t="str">
        <x:v>MEA-CHR-MP-KROGAN-ENGINEER</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MEA-SPR-CHR-MP-SALARIAN-ARCHITECT</x:v>
      </x:c>
      <x:c r="B60" s="7" t="str">
        <x:v>Planche sprites — Salarian Architect</x:v>
      </x:c>
      <x:c r="C60" s="15" t="str">
        <x:v>Défini</x:v>
      </x:c>
      <x:c r="D60" s="17" t="str">
        <x:v>Extrapolation</x:v>
      </x:c>
      <x:c r="E60" s="17" t="str">
        <x:v>P1</x:v>
      </x:c>
      <x:c r="F60" s="7" t="str">
        <x:v>Livrable original proposé : Planche sprites — Salarian Architect.</x:v>
      </x:c>
      <x:c r="G60" s="7" t="str">
        <x:v>Produire une planche originale de Salarian Architect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Salarien en armure technique.</x:v>
      </x:c>
      <x:c r="J60" s="7" t="str">
        <x:v>Prévoir un état neutre, déplacement, préparation de l’action signature, impact reçu, mise à terre et retour en contrôle pour Salarian Architect. Éviter la duplication miroir des signes asymétriques.</x:v>
      </x:c>
      <x:c r="K60" s="7" t="str">
        <x:v>Sans bande sonore embarquée dans la planche ; émettre uniquement des événements nommés vers le système audio pour éviter les doublons.</x:v>
      </x:c>
      <x:c r="L60" s="7" t="str">
        <x:v>Prévu : fiche de données mea/sprites/chr-mp-salarian-architect ; rattacher les ressources et états cités à cet identifiant. Aucun fichier de jeu créé par ce catalogue.</x:v>
      </x:c>
      <x:c r="M60" s="7" t="str">
        <x:v>Multijoueur APEX uniquement ; aucun recrutement dans la campagne de Ryder.</x:v>
      </x:c>
      <x:c r="N60" s="7" t="str">
        <x:v>À l’échelle de jeu, Salarian Architect est identifiable en silhouette ; pivot aux pieds, masque de profondeur et huit orientations proposés restent stables devant les couverts.</x:v>
      </x:c>
      <x:c r="O60" s="7" t="str">
        <x:v>MEA-CHR-MP-SALARIAN-ARCHITECT</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68" customHeight="1">
      <x:c r="A61" s="18" t="str">
        <x:v>MEA-SPR-CHR-MP-ANGARA-AVENGER</x:v>
      </x:c>
      <x:c r="B61" s="9" t="str">
        <x:v>Planche sprites — Angara Avenger</x:v>
      </x:c>
      <x:c r="C61" s="15" t="str">
        <x:v>Défini</x:v>
      </x:c>
      <x:c r="D61" s="16" t="str">
        <x:v>Extrapolation</x:v>
      </x:c>
      <x:c r="E61" s="16" t="str">
        <x:v>P1</x:v>
      </x:c>
      <x:c r="F61" s="9" t="str">
        <x:v>Livrable original proposé : Planche sprites — Angara Avenger.</x:v>
      </x:c>
      <x:c r="G61" s="9" t="str">
        <x:v>Produire une planche originale de Angara Avenger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Angara et voile de camouflage.</x:v>
      </x:c>
      <x:c r="J61" s="9" t="str">
        <x:v>Prévoir un état neutre, déplacement, préparation de l’action signature, impact reçu, mise à terre et retour en contrôle pour Angara Avenger. Éviter la duplication miroir des signes asymétriques.</x:v>
      </x:c>
      <x:c r="K61" s="9" t="str">
        <x:v>Sans bande sonore embarquée dans la planche ; émettre uniquement des événements nommés vers le système audio pour éviter les doublons.</x:v>
      </x:c>
      <x:c r="L61" s="9" t="str">
        <x:v>Prévu : fiche de données mea/sprites/chr-mp-angara-avenger ; rattacher les ressources et états cités à cet identifiant. Aucun fichier de jeu créé par ce catalogue.</x:v>
      </x:c>
      <x:c r="M61" s="9" t="str">
        <x:v>Multijoueur APEX uniquement ; aucun recrutement dans la campagne de Ryder.</x:v>
      </x:c>
      <x:c r="N61" s="9" t="str">
        <x:v>À l’échelle de jeu, Angara Avenger est identifiable en silhouette ; pivot aux pieds, masque de profondeur et huit orientations proposés restent stables devant les couverts.</x:v>
      </x:c>
      <x:c r="O61" s="9" t="str">
        <x:v>MEA-CHR-MP-ANGARA-AVENGER</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MEA-SPR-CHR-MP-BATARIAN-VANGUARD</x:v>
      </x:c>
      <x:c r="B62" s="7" t="str">
        <x:v>Planche sprites — Batarian Vanguard</x:v>
      </x:c>
      <x:c r="C62" s="15" t="str">
        <x:v>Défini</x:v>
      </x:c>
      <x:c r="D62" s="17" t="str">
        <x:v>Extrapolation</x:v>
      </x:c>
      <x:c r="E62" s="17" t="str">
        <x:v>P1</x:v>
      </x:c>
      <x:c r="F62" s="7" t="str">
        <x:v>Livrable original proposé : Planche sprites — Batarian Vanguard.</x:v>
      </x:c>
      <x:c r="G62" s="7" t="str">
        <x:v>Produire une planche originale de Batarian Vanguard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Batarien à quatre yeux et armure.</x:v>
      </x:c>
      <x:c r="J62" s="7" t="str">
        <x:v>Prévoir un état neutre, déplacement, préparation de l’action signature, impact reçu, mise à terre et retour en contrôle pour Batarian Vanguard. Éviter la duplication miroir des signes asymétriques.</x:v>
      </x:c>
      <x:c r="K62" s="7" t="str">
        <x:v>Sans bande sonore embarquée dans la planche ; émettre uniquement des événements nommés vers le système audio pour éviter les doublons.</x:v>
      </x:c>
      <x:c r="L62" s="7" t="str">
        <x:v>Prévu : fiche de données mea/sprites/chr-mp-batarian-vanguard ; rattacher les ressources et états cités à cet identifiant. Aucun fichier de jeu créé par ce catalogue.</x:v>
      </x:c>
      <x:c r="M62" s="7" t="str">
        <x:v>Multijoueur APEX uniquement ; aucun recrutement dans la campagne de Ryder.</x:v>
      </x:c>
      <x:c r="N62" s="7" t="str">
        <x:v>À l’échelle de jeu, Batarian Vanguard est identifiable en silhouette ; pivot aux pieds, masque de profondeur et huit orientations proposés restent stables devant les couverts.</x:v>
      </x:c>
      <x:c r="O62" s="7" t="str">
        <x:v>MEA-CHR-MP-BATARIAN-VANGUARD</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sheetData>
  <x:conditionalFormatting sqref="D7:D62">
    <x:cfRule type="cellIs" dxfId="80" priority="1" operator="equal">
      <x:formula>"À vérifier"</x:formula>
    </x:cfRule>
    <x:cfRule type="cellIs" dxfId="81" priority="2" operator="equal">
      <x:formula>"Extrapolation"</x:formula>
    </x:cfRule>
  </x:conditionalFormatting>
  <x:conditionalFormatting sqref="C7:C62">
    <x:cfRule type="cellIs" dxfId="82" priority="3" operator="equal">
      <x:formula>"Validé"</x:formula>
    </x:cfRule>
  </x:conditionalFormatting>
  <x:conditionalFormatting sqref="E7:E62">
    <x:cfRule type="cellIs" dxfId="83" priority="4" operator="equal">
      <x:formula>"P0"</x:formula>
    </x:cfRule>
  </x:conditionalFormatting>
  <x:dataValidations count="3">
    <x:dataValidation type="list" sqref="C7:C62">
      <x:formula1>"Défini,Prototype,Intégré,Validé"</x:formula1>
    </x:dataValidation>
    <x:dataValidation type="list" sqref="D7:D62">
      <x:formula1>"Établi,À vérifier,Extrapolation,Coupé attesté,Concept abandonné,Allégation écartée"</x:formula1>
    </x:dataValidation>
    <x:dataValidation type="list" sqref="E7:E62">
      <x:formula1>"P0,P1,P2"</x:formula1>
    </x:dataValidation>
  </x:dataValidations>
  <x:pageMargins left="0.7" right="0.7" top="0.75" bottom="0.75" header="0.3" footer="0.3"/>
  <x:tableParts count="1">
    <x:tablePart xmlns:r="http://schemas.openxmlformats.org/officeDocument/2006/relationships" r:id="R9f9614774ba44e8a"/>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MEA-VFX-JET</x:v>
      </x:c>
      <x:c r="B7" s="9" t="str">
        <x:v>Propulseurs et déplacement</x:v>
      </x:c>
      <x:c r="C7" s="15" t="str">
        <x:v>Défini</x:v>
      </x:c>
      <x:c r="D7" s="16" t="str">
        <x:v>Extrapolation</x:v>
      </x:c>
      <x:c r="E7" s="16" t="str">
        <x:v>P1</x:v>
      </x:c>
      <x:c r="F7" s="9" t="str">
        <x:v>Livrable original proposé : Propulseurs et déplacement.</x:v>
      </x:c>
      <x:c r="G7" s="9" t="str">
        <x:v>Traînée courte sans cacher ligne d’attaque ennemie ; intensité réglable et retours au sol visibles.</x:v>
      </x:c>
      <x:c r="H7" s="9" t="str">
        <x:v>Traînée courte sans cacher ligne d’attaque ennemie ; intensité réglable et retours au sol visibles.</x:v>
      </x:c>
      <x:c r="I7" s="9" t="str">
        <x:v>Gaz bleu et ombre nette.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mea/vfx/jet ; rattacher les ressources et états cités à cet identifiant. Aucun fichier de jeu créé par ce catalogue.</x:v>
      </x:c>
      <x:c r="M7" s="9" t="str"/>
      <x:c r="N7" s="9" t="str">
        <x:v>Le livrable « Propulseurs et déplacement » possède une scène ou un scénario de contrôle ; ses règles proposées, ses conditions et ses retours visuels sont vérifiables séparément.</x:v>
      </x:c>
      <x:c r="O7" s="9" t="str">
        <x:v>MEA-ANI-JUMP</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MEA-VFX-SCAN</x:v>
      </x:c>
      <x:c r="B8" s="7" t="str">
        <x:v>Contours de scanner</x:v>
      </x:c>
      <x:c r="C8" s="15" t="str">
        <x:v>Défini</x:v>
      </x:c>
      <x:c r="D8" s="17" t="str">
        <x:v>Extrapolation</x:v>
      </x:c>
      <x:c r="E8" s="17" t="str">
        <x:v>P1</x:v>
      </x:c>
      <x:c r="F8" s="7" t="str">
        <x:v>Livrable original proposé : Contours de scanner.</x:v>
      </x:c>
      <x:c r="G8" s="7" t="str">
        <x:v>Objet utile, déjà lu et pure décoration ont états distincts ; format texte accessible en plus de couleur.</x:v>
      </x:c>
      <x:c r="H8" s="7" t="str">
        <x:v>Objet utile, déjà lu et pure décoration ont états distincts ; format texte accessible en plus de couleur.</x:v>
      </x:c>
      <x:c r="I8" s="7" t="str">
        <x:v>Orange, trame et nom de cible.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mea/vfx/scan ; rattacher les ressources et états cités à cet identifiant. Aucun fichier de jeu créé par ce catalogue.</x:v>
      </x:c>
      <x:c r="M8" s="7" t="str"/>
      <x:c r="N8" s="7" t="str">
        <x:v>Le livrable « Contours de scanner » possède une scène ou un scénario de contrôle ; ses règles proposées, ses conditions et ses retours visuels sont vérifiables séparément.</x:v>
      </x:c>
      <x:c r="O8" s="7" t="str">
        <x:v>MEA-PRP-SCANNER</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MEA-VFX-SCOURGE</x:v>
      </x:c>
      <x:c r="B9" s="9" t="str">
        <x:v>Filaments du Fléau</x:v>
      </x:c>
      <x:c r="C9" s="15" t="str">
        <x:v>Défini</x:v>
      </x:c>
      <x:c r="D9" s="16" t="str">
        <x:v>Extrapolation</x:v>
      </x:c>
      <x:c r="E9" s="16" t="str">
        <x:v>P1</x:v>
      </x:c>
      <x:c r="F9" s="9" t="str">
        <x:v>Livrable original proposé : Filaments du Fléau.</x:v>
      </x:c>
      <x:c r="G9" s="9" t="str">
        <x:v>Effet spatial en fond et danger narratif ; ne pas créer projectiles évitables là où scène ne donne aucun contrôle.</x:v>
      </x:c>
      <x:c r="H9" s="9" t="str">
        <x:v>Effet spatial en fond et danger narratif ; ne pas créer projectiles évitables là où scène ne donne aucun contrôle.</x:v>
      </x:c>
      <x:c r="I9" s="9" t="str">
        <x:v>Noir, violets et éclairs étirés.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mea/vfx/scourge ; rattacher les ressources et états cités à cet identifiant. Aucun fichier de jeu créé par ce catalogue.</x:v>
      </x:c>
      <x:c r="M9" s="9" t="str"/>
      <x:c r="N9" s="9" t="str">
        <x:v>Le livrable « Filaments du Fléau » possède une scène ou un scénario de contrôle ; ses règles proposées, ses conditions et ses retours visuels sont vérifiables séparément.</x:v>
      </x:c>
      <x:c r="O9" s="9" t="str">
        <x:v>MEA-LOR-SCOURGE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MEA-VFX-HAZARDS</x:v>
      </x:c>
      <x:c r="B10" s="7" t="str">
        <x:v>Radiation, froid, chaleur et vide</x:v>
      </x:c>
      <x:c r="C10" s="15" t="str">
        <x:v>Défini</x:v>
      </x:c>
      <x:c r="D10" s="17" t="str">
        <x:v>Extrapolation</x:v>
      </x:c>
      <x:c r="E10" s="17" t="str">
        <x:v>P1</x:v>
      </x:c>
      <x:c r="F10" s="7" t="str">
        <x:v>Livrable original proposé : Radiation, froid, chaleur et vide.</x:v>
      </x:c>
      <x:c r="G10" s="7" t="str">
        <x:v>Quatre motifs et mots, vignette limitée ; danger local se lit avant barre critique et sans déformation agressive.</x:v>
      </x:c>
      <x:c r="H10" s="7" t="str">
        <x:v>Quatre motifs et mots, vignette limitée ; danger local se lit avant barre critique et sans déformation agressive.</x:v>
      </x:c>
      <x:c r="I10" s="7" t="str">
        <x:v>Icônes de combinaison et bord d’écran discret.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mea/vfx/hazards ; rattacher les ressources et états cités à cet identifiant. Aucun fichier de jeu créé par ce catalogue.</x:v>
      </x:c>
      <x:c r="M10" s="7" t="str"/>
      <x:c r="N10" s="7" t="str">
        <x:v>Le livrable « Radiation, froid, chaleur et vide » possède une scène ou un scénario de contrôle ; ses règles proposées, ses conditions et ses retours visuels sont vérifiables séparément.</x:v>
      </x:c>
      <x:c r="O10" s="7" t="str">
        <x:v>MEA-SYS-HAZARDS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MEA-VFX-SHIELD</x:v>
      </x:c>
      <x:c r="B11" s="9" t="str">
        <x:v>Protection et armure</x:v>
      </x:c>
      <x:c r="C11" s="15" t="str">
        <x:v>Défini</x:v>
      </x:c>
      <x:c r="D11" s="16" t="str">
        <x:v>Extrapolation</x:v>
      </x:c>
      <x:c r="E11" s="16" t="str">
        <x:v>P1</x:v>
      </x:c>
      <x:c r="F11" s="9" t="str">
        <x:v>Livrable original proposé : Protection et armure.</x:v>
      </x:c>
      <x:c r="G11" s="9" t="str">
        <x:v>Bouclier, santé et armure de cible ne se confondent pas avec les pièces d’armure équipées de Ryder.</x:v>
      </x:c>
      <x:c r="H11" s="9" t="str">
        <x:v>Bouclier, santé et armure de cible ne se confondent pas avec les pièces d’armure équipées de Ryder.</x:v>
      </x:c>
      <x:c r="I11" s="9" t="str">
        <x:v>Barres et motifs segmentés.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mea/vfx/shield ; rattacher les ressources et états cités à cet identifiant. Aucun fichier de jeu créé par ce catalogue.</x:v>
      </x:c>
      <x:c r="M11" s="9" t="str"/>
      <x:c r="N11" s="9" t="str">
        <x:v>Le livrable « Protection et armure » possède une scène ou un scénario de contrôle ; ses règles proposées, ses conditions et ses retours visuels sont vérifiables séparément.</x:v>
      </x:c>
      <x:c r="O11" s="9" t="str">
        <x:v>MEA-SYS-DEFENSES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MEA-VFX-COMBOS</x:v>
      </x:c>
      <x:c r="B12" s="7" t="str">
        <x:v>Amorces et détonations</x:v>
      </x:c>
      <x:c r="C12" s="15" t="str">
        <x:v>Défini</x:v>
      </x:c>
      <x:c r="D12" s="17" t="str">
        <x:v>Extrapolation</x:v>
      </x:c>
      <x:c r="E12" s="17" t="str">
        <x:v>P1</x:v>
      </x:c>
      <x:c r="F12" s="7" t="str">
        <x:v>Livrable original proposé : Amorces et détonations.</x:v>
      </x:c>
      <x:c r="G12" s="7" t="str">
        <x:v>Familles feu/glace/tech/biotique distinctes ; afficher la compatibilité avant ordre et une seule onde par combo résolu.</x:v>
      </x:c>
      <x:c r="H12" s="7" t="str">
        <x:v>Familles feu/glace/tech/biotique distinctes ; afficher la compatibilité avant ordre et une seule onde par combo résolu.</x:v>
      </x:c>
      <x:c r="I12" s="7" t="str">
        <x:v>Pictogrammes et cercles d’impact.</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mea/vfx/combos ; rattacher les ressources et états cités à cet identifiant. Aucun fichier de jeu créé par ce catalogue.</x:v>
      </x:c>
      <x:c r="M12" s="7" t="str"/>
      <x:c r="N12" s="7" t="str">
        <x:v>Le livrable « Amorces et détonations » possède une scène ou un scénario de contrôle ; ses règles proposées, ses conditions et ses retours visuels sont vérifiables séparément.</x:v>
      </x:c>
      <x:c r="O12" s="7" t="str">
        <x:v>MEA-SYS-COMBOS</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MEA-VFX-ANNIHILATION</x:v>
      </x:c>
      <x:c r="B13" s="9" t="str">
        <x:v>Aura portée par Ryder</x:v>
      </x:c>
      <x:c r="C13" s="15" t="str">
        <x:v>Défini</x:v>
      </x:c>
      <x:c r="D13" s="16" t="str">
        <x:v>Extrapolation</x:v>
      </x:c>
      <x:c r="E13" s="16" t="str">
        <x:v>P1</x:v>
      </x:c>
      <x:c r="F13" s="9" t="str">
        <x:v>Livrable original proposé : Aura portée par Ryder.</x:v>
      </x:c>
      <x:c r="G13" s="9" t="str">
        <x:v>Rayon précis sur sol, hauteur de sprite non prise pour portée ; luminosité plafonnée à plusieurs auras.</x:v>
      </x:c>
      <x:c r="H13" s="9" t="str">
        <x:v>Rayon précis sur sol, hauteur de sprite non prise pour portée ; luminosité plafonnée à plusieurs auras.</x:v>
      </x:c>
      <x:c r="I13" s="9" t="str">
        <x:v>Anneau violet et particules de bord.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mea/vfx/annihilation ; rattacher les ressources et états cités à cet identifiant. Aucun fichier de jeu créé par ce catalogue.</x:v>
      </x:c>
      <x:c r="M13" s="9" t="str"/>
      <x:c r="N13" s="9" t="str">
        <x:v>Le livrable « Aura portée par Ryder » possède une scène ou un scénario de contrôle ; ses règles proposées, ses conditions et ses retours visuels sont vérifiables séparément.</x:v>
      </x:c>
      <x:c r="O13" s="9" t="str">
        <x:v>MEA-POW-ANNIHILATION</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MEA-VFX-BACKLASH</x:v>
      </x:c>
      <x:c r="B14" s="7" t="str">
        <x:v>Réflexion de Backlash</x:v>
      </x:c>
      <x:c r="C14" s="15" t="str">
        <x:v>Défini</x:v>
      </x:c>
      <x:c r="D14" s="17" t="str">
        <x:v>Extrapolation</x:v>
      </x:c>
      <x:c r="E14" s="17" t="str">
        <x:v>P1</x:v>
      </x:c>
      <x:c r="F14" s="7" t="str">
        <x:v>Livrable original proposé : Réflexion de Backlash.</x:v>
      </x:c>
      <x:c r="G14" s="7" t="str">
        <x:v>Panneau frontal avec normal visible ; projectile renvoyé change direction et faction à l’événement exact.</x:v>
      </x:c>
      <x:c r="H14" s="7" t="str">
        <x:v>Panneau frontal avec normal visible ; projectile renvoyé change direction et faction à l’événement exact.</x:v>
      </x:c>
      <x:c r="I14" s="7" t="str">
        <x:v>Plan courbe et ricochet lumineux.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mea/vfx/backlash ; rattacher les ressources et états cités à cet identifiant. Aucun fichier de jeu créé par ce catalogue.</x:v>
      </x:c>
      <x:c r="M14" s="7" t="str"/>
      <x:c r="N14" s="7" t="str">
        <x:v>Le livrable « Réflexion de Backlash » possède une scène ou un scénario de contrôle ; ses règles proposées, ses conditions et ses retours visuels sont vérifiables séparément.</x:v>
      </x:c>
      <x:c r="O14" s="7" t="str">
        <x:v>MEA-POW-BACKLASH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MEA-VFX-ORB</x:v>
      </x:c>
      <x:c r="B15" s="9" t="str">
        <x:v>Orbe et champ d’Ascendant</x:v>
      </x:c>
      <x:c r="C15" s="15" t="str">
        <x:v>Défini</x:v>
      </x:c>
      <x:c r="D15" s="16" t="str">
        <x:v>Extrapolation</x:v>
      </x:c>
      <x:c r="E15" s="16" t="str">
        <x:v>P1</x:v>
      </x:c>
      <x:c r="F15" s="9" t="str">
        <x:v>Livrable original proposé : Orbe et champ d’Ascendant.</x:v>
      </x:c>
      <x:c r="G15" s="9" t="str">
        <x:v>Lien visible entre sphère et protection ; changement d’état signalé par forme, pas seulement teinte.</x:v>
      </x:c>
      <x:c r="H15" s="9" t="str">
        <x:v>Lien visible entre sphère et protection ; changement d’état signalé par forme, pas seulement teinte.</x:v>
      </x:c>
      <x:c r="I15" s="9" t="str">
        <x:v>Orbite et champ concentrique.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mea/vfx/orb ; rattacher les ressources et états cités à cet identifiant. Aucun fichier de jeu créé par ce catalogue.</x:v>
      </x:c>
      <x:c r="M15" s="9" t="str"/>
      <x:c r="N15" s="9" t="str">
        <x:v>Le livrable « Orbe et champ d’Ascendant » possède une scène ou un scénario de contrôle ; ses règles proposées, ses conditions et ses retours visuels sont vérifiables séparément.</x:v>
      </x:c>
      <x:c r="O15" s="9" t="str">
        <x:v>MEA-PRP-ASCENDANT-ORB</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MEA-VFX-ARCHITECT</x:v>
      </x:c>
      <x:c r="B16" s="7" t="str">
        <x:v>Signaux d’Architecte</x:v>
      </x:c>
      <x:c r="C16" s="15" t="str">
        <x:v>Défini</x:v>
      </x:c>
      <x:c r="D16" s="17" t="str">
        <x:v>Extrapolation</x:v>
      </x:c>
      <x:c r="E16" s="17" t="str">
        <x:v>P1</x:v>
      </x:c>
      <x:c r="F16" s="7" t="str">
        <x:v>Livrable original proposé : Signaux d’Architecte.</x:v>
      </x:c>
      <x:c r="G16" s="7" t="str">
        <x:v>Zones de salve, balayage et renfort annoncées ; tête vulnérable garde signal même derrière son corps géant.</x:v>
      </x:c>
      <x:c r="H16" s="7" t="str">
        <x:v>Zones de salve, balayage et renfort annoncées ; tête vulnérable garde signal même derrière son corps géant.</x:v>
      </x:c>
      <x:c r="I16" s="7" t="str">
        <x:v>Bandes au sol et noyau pulsant.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mea/vfx/architect ; rattacher les ressources et états cités à cet identifiant. Aucun fichier de jeu créé par ce catalogue.</x:v>
      </x:c>
      <x:c r="M16" s="7" t="str"/>
      <x:c r="N16" s="7" t="str">
        <x:v>Le livrable « Signaux d’Architecte » possède une scène ou un scénario de contrôle ; ses règles proposées, ses conditions et ses retours visuels sont vérifiables séparément.</x:v>
      </x:c>
      <x:c r="O16" s="7" t="str">
        <x:v>MEA-PRP-ARCHITECT-NODES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MEA-VFX-PURIFY</x:v>
      </x:c>
      <x:c r="B17" s="9" t="str">
        <x:v>Purification de caveau</x:v>
      </x:c>
      <x:c r="C17" s="15" t="str">
        <x:v>Défini</x:v>
      </x:c>
      <x:c r="D17" s="16" t="str">
        <x:v>Extrapolation</x:v>
      </x:c>
      <x:c r="E17" s="16" t="str">
        <x:v>P1</x:v>
      </x:c>
      <x:c r="F17" s="9" t="str">
        <x:v>Livrable original proposé : Purification de caveau.</x:v>
      </x:c>
      <x:c r="G17" s="9" t="str">
        <x:v>Front de danger homogène, flèches de sortie et alternative de faible mouvement ; effet ne traverse pas une porte fermée sans règle.</x:v>
      </x:c>
      <x:c r="H17" s="9" t="str">
        <x:v>Front de danger homogène, flèches de sortie et alternative de faible mouvement ; effet ne traverse pas une porte fermée sans règle.</x:v>
      </x:c>
      <x:c r="I17" s="9" t="str">
        <x:v>Mur d’énergie et piste de course.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mea/vfx/purify ; rattacher les ressources et états cités à cet identifiant. Aucun fichier de jeu créé par ce catalogue.</x:v>
      </x:c>
      <x:c r="M17" s="9" t="str"/>
      <x:c r="N17" s="9" t="str">
        <x:v>Le livrable « Purification de caveau » possède une scène ou un scénario de contrôle ; ses règles proposées, ses conditions et ses retours visuels sont vérifiables séparément.</x:v>
      </x:c>
      <x:c r="O17" s="9" t="str">
        <x:v>MEA-PRP-PURIFICATION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MEA-VFX-RESTORE</x:v>
      </x:c>
      <x:c r="B18" s="7" t="str">
        <x:v>Avant/après restauration</x:v>
      </x:c>
      <x:c r="C18" s="15" t="str">
        <x:v>Défini</x:v>
      </x:c>
      <x:c r="D18" s="17" t="str">
        <x:v>Extrapolation</x:v>
      </x:c>
      <x:c r="E18" s="17" t="str">
        <x:v>P1</x:v>
      </x:c>
      <x:c r="F18" s="7" t="str">
        <x:v>Livrable original proposé : Avant/après restauration.</x:v>
      </x:c>
      <x:c r="G18" s="7" t="str">
        <x:v>Couches d’environnement par état de planète ; changement cohérent mais progressif, sans promettre pluie immédiate partout.</x:v>
      </x:c>
      <x:c r="H18" s="7" t="str">
        <x:v>Couches d’environnement par état de planète ; changement cohérent mais progressif, sans promettre pluie immédiate partout.</x:v>
      </x:c>
      <x:c r="I18" s="7" t="str">
        <x:v>Nuages, végétation et eaux selon monde.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mea/vfx/restore ; rattacher les ressources et états cités à cet identifiant. Aucun fichier de jeu créé par ce catalogue.</x:v>
      </x:c>
      <x:c r="M18" s="7" t="str"/>
      <x:c r="N18" s="7" t="str">
        <x:v>Le livrable « Avant/après restauration » possède une scène ou un scénario de contrôle ; ses règles proposées, ses conditions et ses retours visuels sont vérifiables séparément.</x:v>
      </x:c>
      <x:c r="O18" s="7" t="str">
        <x:v>MEA-CHO-RESTORE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MEA-VFX-GRAVITY</x:v>
      </x:c>
      <x:c r="B19" s="9" t="str">
        <x:v>Transition de gravité</x:v>
      </x:c>
      <x:c r="C19" s="15" t="str">
        <x:v>Défini</x:v>
      </x:c>
      <x:c r="D19" s="16" t="str">
        <x:v>Extrapolation</x:v>
      </x:c>
      <x:c r="E19" s="16" t="str">
        <x:v>P1</x:v>
      </x:c>
      <x:c r="F19" s="9" t="str">
        <x:v>Livrable original proposé : Transition de gravité.</x:v>
      </x:c>
      <x:c r="G19" s="9" t="str">
        <x:v>Particules et éclairages réorientés pendant fondus ; repère d’horizon revient avant la première commande jouable.</x:v>
      </x:c>
      <x:c r="H19" s="9" t="str">
        <x:v>Particules et éclairages réorientés pendant fondus ; repère d’horizon revient avant la première commande jouable.</x:v>
      </x:c>
      <x:c r="I19" s="9" t="str">
        <x:v>Débris flottants et balises de sol.</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mea/vfx/gravity ; rattacher les ressources et états cités à cet identifiant. Aucun fichier de jeu créé par ce catalogue.</x:v>
      </x:c>
      <x:c r="M19" s="9" t="str"/>
      <x:c r="N19" s="9" t="str">
        <x:v>Le livrable « Transition de gravité » possède une scène ou un scénario de contrôle ; ses règles proposées, ses conditions et ses retours visuels sont vérifiables séparément.</x:v>
      </x:c>
      <x:c r="O19" s="9" t="str">
        <x:v>MEA-LNK-LIAM-GRAVITY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MEA-VFX-MINE-GAS</x:v>
      </x:c>
      <x:c r="B20" s="7" t="str">
        <x:v>Gaz de sabotage de Sid</x:v>
      </x:c>
      <x:c r="C20" s="15" t="str">
        <x:v>Défini</x:v>
      </x:c>
      <x:c r="D20" s="17" t="str">
        <x:v>Extrapolation</x:v>
      </x:c>
      <x:c r="E20" s="17" t="str">
        <x:v>P1</x:v>
      </x:c>
      <x:c r="F20" s="7" t="str">
        <x:v>Livrable original proposé : Gaz de sabotage de Sid.</x:v>
      </x:c>
      <x:c r="G20" s="7" t="str">
        <x:v>Volume dangereux avec limites, durée/état permanent affiché ; ne pas faire disparaître le danger après une simple entrée/sortie de caméra.</x:v>
      </x:c>
      <x:c r="H20" s="7" t="str">
        <x:v>Volume dangereux avec limites, durée/état permanent affiché ; ne pas faire disparaître le danger après une simple entrée/sortie de caméra.</x:v>
      </x:c>
      <x:c r="I20" s="7" t="str">
        <x:v>Brume verte et symbole toxique.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mea/vfx/mine-gas ; rattacher les ressources et états cités à cet identifiant. Aucun fichier de jeu créé par ce catalogue.</x:v>
      </x:c>
      <x:c r="M20" s="7" t="str"/>
      <x:c r="N20" s="7" t="str">
        <x:v>Le livrable « Gaz de sabotage de Sid » possède une scène ou un scénario de contrôle ; ses règles proposées, ses conditions et ses retours visuels sont vérifiables séparément.</x:v>
      </x:c>
      <x:c r="O20" s="7" t="str">
        <x:v>MEA-CHO-SID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84" priority="1" operator="equal">
      <x:formula>"À vérifier"</x:formula>
    </x:cfRule>
    <x:cfRule type="cellIs" dxfId="85" priority="2" operator="equal">
      <x:formula>"Extrapolation"</x:formula>
    </x:cfRule>
  </x:conditionalFormatting>
  <x:conditionalFormatting sqref="C7:C20">
    <x:cfRule type="cellIs" dxfId="86" priority="3" operator="equal">
      <x:formula>"Validé"</x:formula>
    </x:cfRule>
  </x:conditionalFormatting>
  <x:conditionalFormatting sqref="E7:E20">
    <x:cfRule type="cellIs" dxfId="8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30acc6c5ab6a415b"/>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MEA-AUD-TEMPEST</x:v>
      </x:c>
      <x:c r="B7" s="9" t="str">
        <x:v>Ambiance du Tempest</x:v>
      </x:c>
      <x:c r="C7" s="15" t="str">
        <x:v>Défini</x:v>
      </x:c>
      <x:c r="D7" s="16" t="str">
        <x:v>Extrapolation</x:v>
      </x:c>
      <x:c r="E7" s="16" t="str">
        <x:v>P1</x:v>
      </x:c>
      <x:c r="F7" s="9" t="str">
        <x:v>Livrable original proposé : Ambiance du Tempest.</x:v>
      </x:c>
      <x:c r="G7" s="9" t="str">
        <x:v>Moteur doux, consoles et vie d’équipage ; prioriser conversation active et différencier alertes de SAM des barks ordinaires.</x:v>
      </x:c>
      <x:c r="H7" s="9" t="str">
        <x:v>Moteur doux, consoles et vie d’équipage ; prioriser conversation active et différencier alertes de SAM des barks ordinaires.</x:v>
      </x:c>
      <x:c r="I7" s="9" t="str">
        <x:v>Sous-titres avec source et nom.</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mea/audio/tempest ; rattacher les ressources et états cités à cet identifiant. Aucun fichier de jeu créé par ce catalogue.</x:v>
      </x:c>
      <x:c r="M7" s="9" t="str"/>
      <x:c r="N7" s="9" t="str">
        <x:v>Le livrable « Ambiance du Tempest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MEA-AUD-SAM</x:v>
      </x:c>
      <x:c r="B8" s="7" t="str">
        <x:v>Voix originale de l’assistant SAM</x:v>
      </x:c>
      <x:c r="C8" s="15" t="str">
        <x:v>Défini</x:v>
      </x:c>
      <x:c r="D8" s="17" t="str">
        <x:v>Extrapolation</x:v>
      </x:c>
      <x:c r="E8" s="17" t="str">
        <x:v>P1</x:v>
      </x:c>
      <x:c r="F8" s="7" t="str">
        <x:v>Livrable original proposé : Voix originale de l’assistant SAM.</x:v>
      </x:c>
      <x:c r="G8" s="7" t="str">
        <x:v>Répliques brèves et répétition contrôlée ; choix de fréquence des conseils, aucun signal essentiel seulement sonore.</x:v>
      </x:c>
      <x:c r="H8" s="7" t="str">
        <x:v>Répliques brèves et répétition contrôlée ; choix de fréquence des conseils, aucun signal essentiel seulement sonore.</x:v>
      </x:c>
      <x:c r="I8" s="7" t="str">
        <x:v>Journal des dernières analyses.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mea/audio/sam ; rattacher les ressources et états cités à cet identifiant. Aucun fichier de jeu créé par ce catalogue.</x:v>
      </x:c>
      <x:c r="M8" s="7" t="str"/>
      <x:c r="N8" s="7" t="str">
        <x:v>Le livrable « Voix originale de l’assistant SAM » possède une scène ou un scénario de contrôle ; ses règles proposées, ses conditions et ses retours visuels sont vérifiables séparément.</x:v>
      </x:c>
      <x:c r="O8" s="7" t="str">
        <x:v>MEA-DIA-SAM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MEA-AUD-NEXUS</x:v>
      </x:c>
      <x:c r="B9" s="9" t="str">
        <x:v>Ambiance du Nexus</x:v>
      </x:c>
      <x:c r="C9" s="15" t="str">
        <x:v>Défini</x:v>
      </x:c>
      <x:c r="D9" s="16" t="str">
        <x:v>Extrapolation</x:v>
      </x:c>
      <x:c r="E9" s="16" t="str">
        <x:v>P1</x:v>
      </x:c>
      <x:c r="F9" s="9" t="str">
        <x:v>Livrable original proposé : Ambiance du Nexus.</x:v>
      </x:c>
      <x:c r="G9" s="9" t="str">
        <x:v>Outils, foule et annonces selon progression ; déclarations importantes du HNS sous-titrées, ambiances fictives clairement non informatives.</x:v>
      </x:c>
      <x:c r="H9" s="9" t="str">
        <x:v>Outils, foule et annonces selon progression ; déclarations importantes du HNS sous-titrées, ambiances fictives clairement non informatives.</x:v>
      </x:c>
      <x:c r="I9" s="9" t="str">
        <x:v>Haut-parleurs et marqueur de bulletin.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mea/audio/nexus ; rattacher les ressources et états cités à cet identifiant. Aucun fichier de jeu créé par ce catalogue.</x:v>
      </x:c>
      <x:c r="M9" s="9" t="str"/>
      <x:c r="N9" s="9" t="str">
        <x:v>Le livrable « Ambiance du Nexus » possède une scène ou un scénario de contrôle ; ses règles proposées, ses conditions et ses retours visuels sont vérifiables séparément.</x:v>
      </x:c>
      <x:c r="O9" s="9" t="str">
        <x:v>MEA-WRL-NEXUS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MEA-AUD-HABITAT</x:v>
      </x:c>
      <x:c r="B10" s="7" t="str">
        <x:v>Orages de Habitat 7</x:v>
      </x:c>
      <x:c r="C10" s="15" t="str">
        <x:v>Défini</x:v>
      </x:c>
      <x:c r="D10" s="17" t="str">
        <x:v>Extrapolation</x:v>
      </x:c>
      <x:c r="E10" s="17" t="str">
        <x:v>P1</x:v>
      </x:c>
      <x:c r="F10" s="7" t="str">
        <x:v>Livrable original proposé : Orages de Habitat 7.</x:v>
      </x:c>
      <x:c r="G10" s="7" t="str">
        <x:v>Tonnerre à différentes distances, éclair avant impact annoncé ; mode basses réduites sans perdre la menace.</x:v>
      </x:c>
      <x:c r="H10" s="7" t="str">
        <x:v>Tonnerre à différentes distances, éclair avant impact annoncé ; mode basses réduites sans perdre la menace.</x:v>
      </x:c>
      <x:c r="I10" s="7" t="str">
        <x:v>Flash limité et zone de frappe.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mea/audio/habitat ; rattacher les ressources et états cités à cet identifiant. Aucun fichier de jeu créé par ce catalogue.</x:v>
      </x:c>
      <x:c r="M10" s="7" t="str"/>
      <x:c r="N10" s="7" t="str">
        <x:v>Le livrable « Orages de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MEA-AUD-ANGARA</x:v>
      </x:c>
      <x:c r="B11" s="9" t="str">
        <x:v>Identité sonore angara</x:v>
      </x:c>
      <x:c r="C11" s="15" t="str">
        <x:v>Défini</x:v>
      </x:c>
      <x:c r="D11" s="16" t="str">
        <x:v>Extrapolation</x:v>
      </x:c>
      <x:c r="E11" s="16" t="str">
        <x:v>P1</x:v>
      </x:c>
      <x:c r="F11" s="9" t="str">
        <x:v>Livrable original proposé : Identité sonore angara.</x:v>
      </x:c>
      <x:c r="G11" s="9" t="str">
        <x:v>Créer langues d’ambiance et instruments originaux sans copier dialogues ; sous-titres pour les informations de quête uniquement.</x:v>
      </x:c>
      <x:c r="H11" s="9" t="str">
        <x:v>Créer langues d’ambiance et instruments originaux sans copier dialogues ; sous-titres pour les informations de quête uniquement.</x:v>
      </x:c>
      <x:c r="I11" s="9" t="str">
        <x:v>Sources locales au marché et sanctuaire.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mea/audio/angara ; rattacher les ressources et états cités à cet identifiant. Aucun fichier de jeu créé par ce catalogue.</x:v>
      </x:c>
      <x:c r="M11" s="9" t="str"/>
      <x:c r="N11" s="9" t="str">
        <x:v>Le livrable « Identité sonore angara » possède une scène ou un scénario de contrôle ; ses règles proposées, ses conditions et ses retours visuels sont vérifiables séparément.</x:v>
      </x:c>
      <x:c r="O11" s="9" t="str">
        <x:v>MEA-WRL-AYA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MEA-AUD-VOELD</x:v>
      </x:c>
      <x:c r="B12" s="7" t="str">
        <x:v>Vent et froid de Voeld</x:v>
      </x:c>
      <x:c r="C12" s="15" t="str">
        <x:v>Défini</x:v>
      </x:c>
      <x:c r="D12" s="17" t="str">
        <x:v>Extrapolation</x:v>
      </x:c>
      <x:c r="E12" s="17" t="str">
        <x:v>P1</x:v>
      </x:c>
      <x:c r="F12" s="7" t="str">
        <x:v>Livrable original proposé : Vent et froid de Voeld.</x:v>
      </x:c>
      <x:c r="G12" s="7" t="str">
        <x:v>Souffle de vent, pas neige et abris ; signal de danger thermique rare et clair, pas spam à chaque seuil oscillant.</x:v>
      </x:c>
      <x:c r="H12" s="7" t="str">
        <x:v>Souffle de vent, pas neige et abris ; signal de danger thermique rare et clair, pas spam à chaque seuil oscillant.</x:v>
      </x:c>
      <x:c r="I12" s="7" t="str">
        <x:v>Icône de froid et passage en chaleur.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mea/audio/voeld ; rattacher les ressources et états cités à cet identifiant. Aucun fichier de jeu créé par ce catalogue.</x:v>
      </x:c>
      <x:c r="M12" s="7" t="str"/>
      <x:c r="N12" s="7" t="str">
        <x:v>Le livrable « Vent et froid de Voeld » possède une scène ou un scénario de contrôle ; ses règles proposées, ses conditions et ses retours visuels sont vérifiables séparément.</x:v>
      </x:c>
      <x:c r="O12" s="7" t="str">
        <x:v>MEA-WRL-VOELD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MEA-AUD-HAVARL</x:v>
      </x:c>
      <x:c r="B13" s="9" t="str">
        <x:v>Faune et jungle Havarl</x:v>
      </x:c>
      <x:c r="C13" s="15" t="str">
        <x:v>Défini</x:v>
      </x:c>
      <x:c r="D13" s="16" t="str">
        <x:v>Extrapolation</x:v>
      </x:c>
      <x:c r="E13" s="16" t="str">
        <x:v>P1</x:v>
      </x:c>
      <x:c r="F13" s="9" t="str">
        <x:v>Livrable original proposé : Faune et jungle Havarl.</x:v>
      </x:c>
      <x:c r="G13" s="9" t="str">
        <x:v>Couches animales et végétales originales ; signal de créature hostile distinct de chant de fond non menaçant.</x:v>
      </x:c>
      <x:c r="H13" s="9" t="str">
        <x:v>Couches animales et végétales originales ; signal de créature hostile distinct de chant de fond non menaçant.</x:v>
      </x:c>
      <x:c r="I13" s="9" t="str">
        <x:v>Marqueur de danger hors champ.</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mea/audio/havarl ; rattacher les ressources et états cités à cet identifiant. Aucun fichier de jeu créé par ce catalogue.</x:v>
      </x:c>
      <x:c r="M13" s="9" t="str"/>
      <x:c r="N13" s="9" t="str">
        <x:v>Le livrable « Faune et jungle Havarl » possède une scène ou un scénario de contrôle ; ses règles proposées, ses conditions et ses retours visuels sont vérifiables séparément.</x:v>
      </x:c>
      <x:c r="O13" s="9" t="str">
        <x:v>MEA-WRL-HAVARL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MEA-AUD-KETT</x:v>
      </x:c>
      <x:c r="B14" s="7" t="str">
        <x:v>Machines et voix kett</x:v>
      </x:c>
      <x:c r="C14" s="15" t="str">
        <x:v>Défini</x:v>
      </x:c>
      <x:c r="D14" s="17" t="str">
        <x:v>Extrapolation</x:v>
      </x:c>
      <x:c r="E14" s="17" t="str">
        <x:v>P1</x:v>
      </x:c>
      <x:c r="F14" s="7" t="str">
        <x:v>Livrable original proposé : Machines et voix kett.</x:v>
      </x:c>
      <x:c r="G14" s="7" t="str">
        <x:v>Timbres organiques/industriels ; conserver intelligibilité des ordres ennemis utiles sans besoin de comprendre mots fictifs.</x:v>
      </x:c>
      <x:c r="H14" s="7" t="str">
        <x:v>Timbres organiques/industriels ; conserver intelligibilité des ordres ennemis utiles sans besoin de comprendre mots fictifs.</x:v>
      </x:c>
      <x:c r="I14" s="7" t="str">
        <x:v>Pictogrammes de charge et renfort.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mea/audio/kett ; rattacher les ressources et états cités à cet identifiant. Aucun fichier de jeu créé par ce catalogue.</x:v>
      </x:c>
      <x:c r="M14" s="7" t="str"/>
      <x:c r="N14" s="7" t="str">
        <x:v>Le livrable « Machines et voix kett » possède une scène ou un scénario de contrôle ; ses règles proposées, ses conditions et ses retours visuels sont vérifiables séparément.</x:v>
      </x:c>
      <x:c r="O14" s="7" t="str">
        <x:v>MEA-ENM-ASCENDANT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MEA-AUD-REMNANT</x:v>
      </x:c>
      <x:c r="B15" s="9" t="str">
        <x:v>Résonance des Reliquats</x:v>
      </x:c>
      <x:c r="C15" s="15" t="str">
        <x:v>Défini</x:v>
      </x:c>
      <x:c r="D15" s="16" t="str">
        <x:v>Extrapolation</x:v>
      </x:c>
      <x:c r="E15" s="16" t="str">
        <x:v>P1</x:v>
      </x:c>
      <x:c r="F15" s="9" t="str">
        <x:v>Livrable original proposé : Résonance des Reliquats.</x:v>
      </x:c>
      <x:c r="G15" s="9" t="str">
        <x:v>Motifs de machine par famille, tonalité d’activation de console distincte de tir ; puzzle a validation visuelle équivalente.</x:v>
      </x:c>
      <x:c r="H15" s="9" t="str">
        <x:v>Motifs de machine par famille, tonalité d’activation de console distincte de tir ; puzzle a validation visuelle équivalente.</x:v>
      </x:c>
      <x:c r="I15" s="9" t="str">
        <x:v>Formes et lueurs synchronisées.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mea/audio/remnant ; rattacher les ressources et états cités à cet identifiant. Aucun fichier de jeu créé par ce catalogue.</x:v>
      </x:c>
      <x:c r="M15" s="9" t="str"/>
      <x:c r="N15" s="9" t="str">
        <x:v>Le livrable « Résonance des Reliquats » possède une scène ou un scénario de contrôle ; ses règles proposées, ses conditions et ses retours visuels sont vérifiables séparément.</x:v>
      </x:c>
      <x:c r="O15" s="9" t="str">
        <x:v>MEA-LOR-REMNANT</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MEA-AUD-NOMAD</x:v>
      </x:c>
      <x:c r="B16" s="7" t="str">
        <x:v>Moteur et relief du Nomad</x:v>
      </x:c>
      <x:c r="C16" s="15" t="str">
        <x:v>Défini</x:v>
      </x:c>
      <x:c r="D16" s="17" t="str">
        <x:v>Extrapolation</x:v>
      </x:c>
      <x:c r="E16" s="17" t="str">
        <x:v>P1</x:v>
      </x:c>
      <x:c r="F16" s="7" t="str">
        <x:v>Livrable original proposé : Moteur et relief du Nomad.</x:v>
      </x:c>
      <x:c r="G16" s="7" t="str">
        <x:v>Son de traction, boost et réception selon contact réel ; pas de moteur de vaisseau sur sortie de dôme.</x:v>
      </x:c>
      <x:c r="H16" s="7" t="str">
        <x:v>Son de traction, boost et réception selon contact réel ; pas de moteur de vaisseau sur sortie de dôme.</x:v>
      </x:c>
      <x:c r="I16" s="7" t="str">
        <x:v>Indicateur de mode et patinage.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mea/audio/nomad ; rattacher les ressources et états cités à cet identifiant. Aucun fichier de jeu créé par ce catalogue.</x:v>
      </x:c>
      <x:c r="M16" s="7" t="str"/>
      <x:c r="N16" s="7" t="str">
        <x:v>Le livrable « Moteur et relief du Nomad » possède une scène ou un scénario de contrôle ; ses règles proposées, ses conditions et ses retours visuels sont vérifiables séparément.</x:v>
      </x:c>
      <x:c r="O16" s="7" t="str">
        <x:v>MEA-SYS-NOMAD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MEA-AUD-LOYALTY</x:v>
      </x:c>
      <x:c r="B17" s="9" t="str">
        <x:v>Musique originale des loyautés</x:v>
      </x:c>
      <x:c r="C17" s="15" t="str">
        <x:v>Défini</x:v>
      </x:c>
      <x:c r="D17" s="16" t="str">
        <x:v>Extrapolation</x:v>
      </x:c>
      <x:c r="E17" s="16" t="str">
        <x:v>P1</x:v>
      </x:c>
      <x:c r="F17" s="9" t="str">
        <x:v>Livrable original proposé : Musique originale des loyautés.</x:v>
      </x:c>
      <x:c r="G17" s="9" t="str">
        <x:v>Six palettes propres aux missions : arche, gravité, famille, graines, mine et volcan ; transitions par phase du récit.</x:v>
      </x:c>
      <x:c r="H17" s="9" t="str">
        <x:v>Six palettes propres aux missions : arche, gravité, famille, graines, mine et volcan ; transitions par phase du récit.</x:v>
      </x:c>
      <x:c r="I17" s="9" t="str">
        <x:v>Nom de scène et intensité modulable.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mea/audio/loyalty ; rattacher les ressources et états cités à cet identifiant. Aucun fichier de jeu créé par ce catalogue.</x:v>
      </x:c>
      <x:c r="M17" s="9" t="str"/>
      <x:c r="N17" s="9" t="str">
        <x:v>Le livrable « Musique originale des loyautés » possède une scène ou un scénario de contrôle ; ses règles proposées, ses conditions et ses retours visuels sont vérifiables séparément.</x:v>
      </x:c>
      <x:c r="O17" s="9" t="str">
        <x:v>MEA-SQ-CORA-EDGE, MEA-SQ-LIAM-ALLIN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MEA-AUD-MERIDIAN</x:v>
      </x:c>
      <x:c r="B18" s="7" t="str">
        <x:v>Final et retour au calme</x:v>
      </x:c>
      <x:c r="C18" s="15" t="str">
        <x:v>Défini</x:v>
      </x:c>
      <x:c r="D18" s="17" t="str">
        <x:v>Extrapolation</x:v>
      </x:c>
      <x:c r="E18" s="17" t="str">
        <x:v>P1</x:v>
      </x:c>
      <x:c r="F18" s="7" t="str">
        <x:v>Livrable original proposé : Final et retour au calme.</x:v>
      </x:c>
      <x:c r="G18" s="7" t="str">
        <x:v>Composition originale de tension puis ouverture ; montage selon alliés disponibles et volume de communication prioritaire.</x:v>
      </x:c>
      <x:c r="H18" s="7" t="str">
        <x:v>Composition originale de tension puis ouverture ; montage selon alliés disponibles et volume de communication prioritaire.</x:v>
      </x:c>
      <x:c r="I18" s="7" t="str">
        <x:v>Sous-titres de renforts et d’épilogue.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mea/audio/meridian ; rattacher les ressources et états cités à cet identifiant. Aucun fichier de jeu créé par ce catalogue.</x:v>
      </x:c>
      <x:c r="M18" s="7" t="str"/>
      <x:c r="N18" s="7" t="str">
        <x:v>Le livrable « Final et retour au calme » possède une scène ou un scénario de contrôle ; ses règles proposées, ses conditions et ses retours visuels sont vérifiables séparément.</x:v>
      </x:c>
      <x:c r="O18" s="7" t="str">
        <x:v>MEA-MQ-MERIDIAN, MEA-MQ-EPILOGUE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44ee11abb90645c3"/>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MEA-SYS-ATB</x:v>
      </x:c>
      <x:c r="B7" s="9" t="str">
        <x:v>ATB hybride d’exploration mobile</x:v>
      </x:c>
      <x:c r="C7" s="15" t="str">
        <x:v>Défini</x:v>
      </x:c>
      <x:c r="D7" s="16" t="str">
        <x:v>Extrapolation</x:v>
      </x:c>
      <x:c r="E7" s="16" t="str">
        <x:v>P1</x:v>
      </x:c>
      <x:c r="F7" s="9" t="str">
        <x:v>Livrable original proposé : ATB hybride d’exploration mobile.</x:v>
      </x:c>
      <x:c r="G7" s="9" t="str">
        <x:v>Actions à préparation/résolution/récupération, deux équipiers et Ryder ; déplacement vertical consomme le coût proposé sans figer les ennemis hors règle de pause.</x:v>
      </x:c>
      <x:c r="H7" s="9" t="str">
        <x:v>Actions à préparation/résolution/récupération, deux équipiers et Ryder ; déplacement vertical consomme le coût proposé sans figer les ennemis hors règle de pause.</x:v>
      </x:c>
      <x:c r="I7" s="9" t="str">
        <x:v>Chronologie courte, portraits et chemins.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mea/systems/atb ; rattacher les ressources et états cités à cet identifiant. Aucun fichier de jeu créé par ce catalogue.</x:v>
      </x:c>
      <x:c r="M7" s="9" t="str"/>
      <x:c r="N7" s="9" t="str">
        <x:v>Le livrable « ATB hybride d’exploration mobile » possède une scène ou un scénario de contrôle ; ses règles proposées, ses conditions et ses retours visuels sont vérifiables séparément.</x:v>
      </x:c>
      <x:c r="O7" s="9" t="str">
        <x:v>MEA-CHR-RYDER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MEA-SYS-VERTICAL</x:v>
      </x:c>
      <x:c r="B8" s="7" t="str">
        <x:v>Saut, vol bref et sol cible</x:v>
      </x:c>
      <x:c r="C8" s="15" t="str">
        <x:v>Défini</x:v>
      </x:c>
      <x:c r="D8" s="17" t="str">
        <x:v>Extrapolation</x:v>
      </x:c>
      <x:c r="E8" s="17" t="str">
        <x:v>P1</x:v>
      </x:c>
      <x:c r="F8" s="7" t="str">
        <x:v>Livrable original proposé : Saut, vol bref et sol cible.</x:v>
      </x:c>
      <x:c r="G8" s="7" t="str">
        <x:v>Séparer altitude visuelle, position au sol et collision ; tout bond réserve destination et teste plafond, pente et espace d’allié.</x:v>
      </x:c>
      <x:c r="H8" s="7" t="str">
        <x:v>Séparer altitude visuelle, position au sol et collision ; tout bond réserve destination et teste plafond, pente et espace d’allié.</x:v>
      </x:c>
      <x:c r="I8" s="7" t="str">
        <x:v>Projection au sol et marque de réception.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mea/systems/vertical ; rattacher les ressources et états cités à cet identifiant. Aucun fichier de jeu créé par ce catalogue.</x:v>
      </x:c>
      <x:c r="M8" s="7" t="str"/>
      <x:c r="N8" s="7" t="str">
        <x:v>Le livrable « Saut, vol bref et sol cible » possède une scène ou un scénario de contrôle ; ses règles proposées, ses conditions et ses retours visuels sont vérifiables séparément.</x:v>
      </x:c>
      <x:c r="O8" s="7" t="str">
        <x:v>MEA-CHR-RYDER</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MEA-SYS-COVER</x:v>
      </x:c>
      <x:c r="B9" s="9" t="str">
        <x:v>Couvert contextualisé</x:v>
      </x:c>
      <x:c r="C9" s="15" t="str">
        <x:v>Défini</x:v>
      </x:c>
      <x:c r="D9" s="16" t="str">
        <x:v>Extrapolation</x:v>
      </x:c>
      <x:c r="E9" s="16" t="str">
        <x:v>P1</x:v>
      </x:c>
      <x:c r="F9" s="9" t="str">
        <x:v>Livrable original proposé : Couvert contextualisé.</x:v>
      </x:c>
      <x:c r="G9" s="9" t="str">
        <x:v>Détecter orientation et hauteur du couvert, montrer protection réelle avant tir ; couverts de décor 3D taggés indépendamment des textures.</x:v>
      </x:c>
      <x:c r="H9" s="9" t="str">
        <x:v>Détecter orientation et hauteur du couvert, montrer protection réelle avant tir ; couverts de décor 3D taggés indépendamment des textures.</x:v>
      </x:c>
      <x:c r="I9" s="9" t="str">
        <x:v>Bords de couvert et flanc exposé.</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mea/systems/cover ; rattacher les ressources et états cités à cet identifiant. Aucun fichier de jeu créé par ce catalogue.</x:v>
      </x:c>
      <x:c r="M9" s="9" t="str"/>
      <x:c r="N9" s="9" t="str">
        <x:v>Le livrable « Couvert contextualisé » possède une scène ou un scénario de contrôle ; ses règles proposées, ses conditions et ses retours visuels sont vérifiables séparément.</x:v>
      </x:c>
      <x:c r="O9" s="9" t="str">
        <x:v>MEA-SCN-KETT</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MEA-SYS-FAVORITES</x:v>
      </x:c>
      <x:c r="B10" s="7" t="str">
        <x:v>Favoris de compétences</x:v>
      </x:c>
      <x:c r="C10" s="15" t="str">
        <x:v>Défini</x:v>
      </x:c>
      <x:c r="D10" s="17" t="str">
        <x:v>Extrapolation</x:v>
      </x:c>
      <x:c r="E10" s="17" t="str">
        <x:v>P1</x:v>
      </x:c>
      <x:c r="F10" s="7" t="str">
        <x:v>Livrable original proposé : Favoris de compétences.</x:v>
      </x:c>
      <x:c r="G10" s="7" t="str">
        <x:v>Trois actions par favori, profils et récupération annoncée au changement ; aucun reset exploitable en changeant d’onglet.</x:v>
      </x:c>
      <x:c r="H10" s="7" t="str">
        <x:v>Trois actions par favori, profils et récupération annoncée au changement ; aucun reset exploitable en changeant d’onglet.</x:v>
      </x:c>
      <x:c r="I10" s="7" t="str">
        <x:v>Barre de trois slots et profil actif.</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mea/systems/favorites ; rattacher les ressources et états cités à cet identifiant. Aucun fichier de jeu créé par ce catalogue.</x:v>
      </x:c>
      <x:c r="M10" s="7" t="str"/>
      <x:c r="N10" s="7" t="str">
        <x:v>Le livrable « Favoris de compétences » possède une scène ou un scénario de contrôle ; ses règles proposées, ses conditions et ses retours visuels sont vérifiables séparément.</x:v>
      </x:c>
      <x:c r="O10" s="7" t="str">
        <x:v>MEA-POW-CHARGE, MEA-POW-OVERLOAD</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MEA-SYS-PROFILES</x:v>
      </x:c>
      <x:c r="B11" s="9" t="str">
        <x:v>Sept profils de Ryder</x:v>
      </x:c>
      <x:c r="C11" s="15" t="str">
        <x:v>Défini</x:v>
      </x:c>
      <x:c r="D11" s="16" t="str">
        <x:v>Extrapolation</x:v>
      </x:c>
      <x:c r="E11" s="16" t="str">
        <x:v>P1</x:v>
      </x:c>
      <x:c r="F11" s="9" t="str">
        <x:v>Livrable original proposé : Sept profils de Ryder.</x:v>
      </x:c>
      <x:c r="G11" s="9" t="str">
        <x:v>Soldier, Engineer, Adept, Sentinel, Vanguard, Infiltrator, Explorer ; déblocages par investissement, bonus et rangs vérifiés séparément des propositions ATB.</x:v>
      </x:c>
      <x:c r="H11" s="9" t="str">
        <x:v>Soldier, Engineer, Adept, Sentinel, Vanguard, Infiltrator, Explorer ; déblocages par investissement, bonus et rangs vérifiés séparément des propositions ATB.</x:v>
      </x:c>
      <x:c r="I11" s="9" t="str">
        <x:v>Sept emblèmes et résumé de rôle.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mea/systems/profiles ; rattacher les ressources et états cités à cet identifiant. Aucun fichier de jeu créé par ce catalogue.</x:v>
      </x:c>
      <x:c r="M11" s="9" t="str"/>
      <x:c r="N11" s="9" t="str">
        <x:v>Le livrable « Sept profils de Ryder » possède une scène ou un scénario de contrôle ; ses règles proposées, ses conditions et ses retours visuels sont vérifiables séparément.</x:v>
      </x:c>
      <x:c r="O11" s="9" t="str">
        <x:v>MEA-SYS-FAVORITES</x:v>
      </x:c>
      <x:c r="P11" s="9" t="str">
        <x:v>Profiles — index des profils MEA</x:v>
      </x:c>
      <x:c r="Q11" s="9" t="str">
        <x:v>MEA-SRC-PROFILES</x:v>
      </x:c>
      <x:c r="R11" s="9" t="str">
        <x:v>https://masseffect.fandom.com/wiki/Profiles</x:v>
      </x:c>
      <x:c r="S11" s="9" t="str">
        <x:v>Spécification à réaliser. Les champs adaptation, gameplay, visual, animation, audio et implementation décrivent le fan game ; ils ne donnent pas des caractéristiques officielles de l’œuvre.</x:v>
      </x:c>
    </x:row>
    <x:row r="12" ht="68" customHeight="1">
      <x:c r="A12" s="19" t="str">
        <x:v>MEA-SYS-SKILL-TREE</x:v>
      </x:c>
      <x:c r="B12" s="7" t="str">
        <x:v>Compétences actives et passives</x:v>
      </x:c>
      <x:c r="C12" s="15" t="str">
        <x:v>Défini</x:v>
      </x:c>
      <x:c r="D12" s="17" t="str">
        <x:v>Extrapolation</x:v>
      </x:c>
      <x:c r="E12" s="17" t="str">
        <x:v>P1</x:v>
      </x:c>
      <x:c r="F12" s="7" t="str">
        <x:v>Livrable original proposé : Compétences actives et passives.</x:v>
      </x:c>
      <x:c r="G12" s="7" t="str">
        <x:v>Arbres de combat, tech et biotique ; passifs exclus de la barre d’action, compétences d’alliés dans tables propres.</x:v>
      </x:c>
      <x:c r="H12" s="7" t="str">
        <x:v>Arbres de combat, tech et biotique ; passifs exclus de la barre d’action, compétences d’alliés dans tables propres.</x:v>
      </x:c>
      <x:c r="I12" s="7" t="str">
        <x:v>Arbre à trois familles et bifurcations.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mea/systems/skill-tree ; rattacher les ressources et états cités à cet identifiant. Aucun fichier de jeu créé par ce catalogue.</x:v>
      </x:c>
      <x:c r="M12" s="7" t="str"/>
      <x:c r="N12" s="7" t="str">
        <x:v>Le livrable « Compétences actives et passives » possède une scène ou un scénario de contrôle ; ses règles proposées, ses conditions et ses retours visuels sont vérifiables séparément.</x:v>
      </x:c>
      <x:c r="O12" s="7" t="str">
        <x:v>MEA-POW-BARRIER, MEA-POW-TEAM-SUPPORT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MEA-SYS-LOYALTY</x:v>
      </x:c>
      <x:c r="B13" s="9" t="str">
        <x:v>Loyauté et progression de compagnon</x:v>
      </x:c>
      <x:c r="C13" s="15" t="str">
        <x:v>Défini</x:v>
      </x:c>
      <x:c r="D13" s="16" t="str">
        <x:v>Extrapolation</x:v>
      </x:c>
      <x:c r="E13" s="16" t="str">
        <x:v>P1</x:v>
      </x:c>
      <x:c r="F13" s="9" t="str">
        <x:v>Livrable original proposé : Loyauté et progression de compagnon.</x:v>
      </x:c>
      <x:c r="G13" s="9" t="str">
        <x:v>Déverrouillage des rangs avancés après mission propre ; aucune matrice de survie de suicide mission ME2 importée.</x:v>
      </x:c>
      <x:c r="H13" s="9" t="str">
        <x:v>Déverrouillage des rangs avancés après mission propre ; aucune matrice de survie de suicide mission ME2 importée.</x:v>
      </x:c>
      <x:c r="I13" s="9" t="str">
        <x:v>Portrait, mission et rang accessible.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mea/systems/loyalty ; rattacher les ressources et états cités à cet identifiant. Aucun fichier de jeu créé par ce catalogue.</x:v>
      </x:c>
      <x:c r="M13" s="9" t="str"/>
      <x:c r="N13" s="9" t="str">
        <x:v>Le livrable « Loyauté et progression de compagnon » possède une scène ou un scénario de contrôle ; ses règles proposées, ses conditions et ses retours visuels sont vérifiables séparément.</x:v>
      </x:c>
      <x:c r="O13" s="9" t="str">
        <x:v>MEA-SQ-CORA-EDGE, MEA-SQ-DRACK-FUTURE</x:v>
      </x:c>
      <x:c r="P13" s="9" t="str">
        <x:v>Adaptation originale — spécification de production</x:v>
      </x:c>
      <x:c r="Q13" s="9" t="str">
        <x:v>MEA-SRC-LOYALTY, MEA-SRC-SKILLS</x:v>
      </x:c>
      <x:c r="R13" s="9" t="str">
        <x:v>https://masseffect.fandom.com/wiki/Loyalty_Missions_%28Mass_Effect%3A_Andromeda%29
https://masseffect.fandom.com/wiki/Skills</x:v>
      </x:c>
      <x:c r="S13" s="9" t="str">
        <x:v>Spécification à réaliser. Les champs adaptation, gameplay, visual, animation, audio et implementation décrivent le fan game ; ils ne donnent pas des caractéristiques officielles de l’œuvre.</x:v>
      </x:c>
    </x:row>
    <x:row r="14" ht="68" customHeight="1">
      <x:c r="A14" s="19" t="str">
        <x:v>MEA-SYS-DEFENSES</x:v>
      </x:c>
      <x:c r="B14" s="7" t="str">
        <x:v>Protections et contrôle</x:v>
      </x:c>
      <x:c r="C14" s="15" t="str">
        <x:v>Défini</x:v>
      </x:c>
      <x:c r="D14" s="17" t="str">
        <x:v>Extrapolation</x:v>
      </x:c>
      <x:c r="E14" s="17" t="str">
        <x:v>P1</x:v>
      </x:c>
      <x:c r="F14" s="7" t="str">
        <x:v>Livrable original proposé : Protections et contrôle.</x:v>
      </x:c>
      <x:c r="G14" s="7" t="str">
        <x:v>Table santé/bouclier/armure, immunités par unité ; l’armure portée de Ryder n’est pas une barre jaune de créature.</x:v>
      </x:c>
      <x:c r="H14" s="7" t="str">
        <x:v>Table santé/bouclier/armure, immunités par unité ; l’armure portée de Ryder n’est pas une barre jaune de créature.</x:v>
      </x:c>
      <x:c r="I14" s="7" t="str">
        <x:v>Barres nommées et aperçu d’effet.</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mea/systems/defenses ; rattacher les ressources et états cités à cet identifiant. Aucun fichier de jeu créé par ce catalogue.</x:v>
      </x:c>
      <x:c r="M14" s="7" t="str"/>
      <x:c r="N14" s="7" t="str">
        <x:v>Le livrable « Protections et contrôle » possède une scène ou un scénario de contrôle ; ses règles proposées, ses conditions et ses retours visuels sont vérifiables séparément.</x:v>
      </x:c>
      <x:c r="O14" s="7" t="str">
        <x:v>MEA-ENM-ANCIENT-EIROCH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MEA-SYS-COMBOS</x:v>
      </x:c>
      <x:c r="B15" s="9" t="str">
        <x:v>Amorces, détonateurs et propagation</x:v>
      </x:c>
      <x:c r="C15" s="15" t="str">
        <x:v>Défini</x:v>
      </x:c>
      <x:c r="D15" s="16" t="str">
        <x:v>Extrapolation</x:v>
      </x:c>
      <x:c r="E15" s="16" t="str">
        <x:v>P1</x:v>
      </x:c>
      <x:c r="F15" s="9" t="str">
        <x:v>Livrable original proposé : Amorces, détonateurs et propagation.</x:v>
      </x:c>
      <x:c r="G15" s="9" t="str">
        <x:v>Compatibilités définies et nombre de transmissions borné ; les primings du familier et de l’allié ont source affichée.</x:v>
      </x:c>
      <x:c r="H15" s="9" t="str">
        <x:v>Compatibilités définies et nombre de transmissions borné ; les primings du familier et de l’allié ont source affichée.</x:v>
      </x:c>
      <x:c r="I15" s="9" t="str">
        <x:v>Icônes d’amorce et lien de combo.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mea/systems/combos ; rattacher les ressources et états cités à cet identifiant. Aucun fichier de jeu créé par ce catalogue.</x:v>
      </x:c>
      <x:c r="M15" s="9" t="str"/>
      <x:c r="N15" s="9" t="str">
        <x:v>Le livrable « Amorces, détonateurs et propagation » possède une scène ou un scénario de contrôle ; ses règles proposées, ses conditions et ses retours visuels sont vérifiables séparément.</x:v>
      </x:c>
      <x:c r="O15" s="9" t="str">
        <x:v>MEA-POW-INCINERATE, MEA-POW-LANCE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MEA-SYS-SCAN</x:v>
      </x:c>
      <x:c r="B16" s="7" t="str">
        <x:v>Scanner et données de recherche</x:v>
      </x:c>
      <x:c r="C16" s="15" t="str">
        <x:v>Défini</x:v>
      </x:c>
      <x:c r="D16" s="17" t="str">
        <x:v>Extrapolation</x:v>
      </x:c>
      <x:c r="E16" s="17" t="str">
        <x:v>P1</x:v>
      </x:c>
      <x:c r="F16" s="7" t="str">
        <x:v>Livrable original proposé : Scanner et données de recherche.</x:v>
      </x:c>
      <x:c r="G16" s="7" t="str">
        <x:v>Cibles de lore, indices de quête et données techniques séparées ; rescan relit mais ne recrée pas récompense.</x:v>
      </x:c>
      <x:c r="H16" s="7" t="str">
        <x:v>Cibles de lore, indices de quête et données techniques séparées ; rescan relit mais ne recrée pas récompense.</x:v>
      </x:c>
      <x:c r="I16" s="7" t="str">
        <x:v>Carte de cible et catégorie de données.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mea/systems/scan ; rattacher les ressources et états cités à cet identifiant. Aucun fichier de jeu créé par ce catalogue.</x:v>
      </x:c>
      <x:c r="M16" s="7" t="str"/>
      <x:c r="N16" s="7" t="str">
        <x:v>Le livrable « Scanner et données de recherche » possède une scène ou un scénario de contrôle ; ses règles proposées, ses conditions et ses retours visuels sont vérifiables séparément.</x:v>
      </x:c>
      <x:c r="O16" s="7" t="str">
        <x:v>MEA-SYS-RESEARCH</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MEA-SYS-RESEARCH</x:v>
      </x:c>
      <x:c r="B17" s="9" t="str">
        <x:v>Recherche puis développement</x:v>
      </x:c>
      <x:c r="C17" s="15" t="str">
        <x:v>Défini</x:v>
      </x:c>
      <x:c r="D17" s="16" t="str">
        <x:v>Extrapolation</x:v>
      </x:c>
      <x:c r="E17" s="16" t="str">
        <x:v>P1</x:v>
      </x:c>
      <x:c r="F17" s="9" t="str">
        <x:v>Livrable original proposé : Recherche puis développement.</x:v>
      </x:c>
      <x:c r="G17" s="9" t="str">
        <x:v>Points Voie lactée/Heleus/Reliquat séparés des matériaux ; plan débloqué ne consomme pas les ressources de fabrication.</x:v>
      </x:c>
      <x:c r="H17" s="9" t="str">
        <x:v>Points Voie lactée/Heleus/Reliquat séparés des matériaux ; plan débloqué ne consomme pas les ressources de fabrication.</x:v>
      </x:c>
      <x:c r="I17" s="9" t="str">
        <x:v>Deux écrans reliés, coûts visibles.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mea/systems/research ; rattacher les ressources et états cités à cet identifiant. Aucun fichier de jeu créé par ce catalogue.</x:v>
      </x:c>
      <x:c r="M17" s="9" t="str"/>
      <x:c r="N17" s="9" t="str">
        <x:v>Le livrable « Recherche puis développement » possède une scène ou un scénario de contrôle ; ses règles proposées, ses conditions et ses retours visuels sont vérifiables séparément.</x:v>
      </x:c>
      <x:c r="O17" s="9" t="str">
        <x:v>MEA-EQP-AUGMENT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MEA-SYS-CRAFT</x:v>
      </x:c>
      <x:c r="B18" s="7" t="str">
        <x:v>Fabrication, augmentations et mods</x:v>
      </x:c>
      <x:c r="C18" s="15" t="str">
        <x:v>Défini</x:v>
      </x:c>
      <x:c r="D18" s="17" t="str">
        <x:v>Extrapolation</x:v>
      </x:c>
      <x:c r="E18" s="17" t="str">
        <x:v>P1</x:v>
      </x:c>
      <x:c r="F18" s="7" t="str">
        <x:v>Livrable original proposé : Fabrication, augmentations et mods.</x:v>
      </x:c>
      <x:c r="G18" s="7" t="str">
        <x:v>Augmentations choisies à création, mods équipables ensuite, fusion sur torse compatible ; aperçu global et démontage versionné.</x:v>
      </x:c>
      <x:c r="H18" s="7" t="str">
        <x:v>Augmentations choisies à création, mods équipables ensuite, fusion sur torse compatible ; aperçu global et démontage versionné.</x:v>
      </x:c>
      <x:c r="I18" s="7" t="str">
        <x:v>Recette, emplacements et récapitulatif.</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mea/systems/craft ; rattacher les ressources et états cités à cet identifiant. Aucun fichier de jeu créé par ce catalogue.</x:v>
      </x:c>
      <x:c r="M18" s="7" t="str"/>
      <x:c r="N18" s="7" t="str">
        <x:v>Le livrable « Fabrication, augmentations et mods » possède une scène ou un scénario de contrôle ; ses règles proposées, ses conditions et ses retours visuels sont vérifiables séparément.</x:v>
      </x:c>
      <x:c r="O18" s="7" t="str">
        <x:v>MEA-EQP-FUSION, MEA-EQP-WEAPON-MODS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MEA-SYS-NOMAD</x:v>
      </x:c>
      <x:c r="B19" s="9" t="str">
        <x:v>Nomad d’exploration</x:v>
      </x:c>
      <x:c r="C19" s="15" t="str">
        <x:v>Défini</x:v>
      </x:c>
      <x:c r="D19" s="16" t="str">
        <x:v>Extrapolation</x:v>
      </x:c>
      <x:c r="E19" s="16" t="str">
        <x:v>P1</x:v>
      </x:c>
      <x:c r="F19" s="9" t="str">
        <x:v>Livrable original proposé : Nomad d’exploration.</x:v>
      </x:c>
      <x:c r="G19" s="9" t="str">
        <x:v>Six roues, modes de traction et boost ; véhicule sans arme ajoutée comme fait canon, transition pied seulement sur sol admissible.</x:v>
      </x:c>
      <x:c r="H19" s="9" t="str">
        <x:v>Six roues, modes de traction et boost ; véhicule sans arme ajoutée comme fait canon, transition pied seulement sur sol admissible.</x:v>
      </x:c>
      <x:c r="I19" s="9" t="str">
        <x:v>HUD de véhicule et état de survie.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mea/systems/nomad ; rattacher les ressources et états cités à cet identifiant. Aucun fichier de jeu créé par ce catalogue.</x:v>
      </x:c>
      <x:c r="M19" s="9" t="str"/>
      <x:c r="N19" s="9" t="str">
        <x:v>Le livrable « Nomad d’exploration » possède une scène ou un scénario de contrôle ; ses règles proposées, ses conditions et ses retours visuels sont vérifiables séparément.</x:v>
      </x:c>
      <x:c r="O19" s="9" t="str">
        <x:v>MEA-EQP-NOMAD-UPGRADES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MEA-SYS-FORWARD</x:v>
      </x:c>
      <x:c r="B20" s="7" t="str">
        <x:v>Stations avancées et préparation</x:v>
      </x:c>
      <x:c r="C20" s="15" t="str">
        <x:v>Défini</x:v>
      </x:c>
      <x:c r="D20" s="17" t="str">
        <x:v>Extrapolation</x:v>
      </x:c>
      <x:c r="E20" s="17" t="str">
        <x:v>P1</x:v>
      </x:c>
      <x:c r="F20" s="7" t="str">
        <x:v>Livrable original proposé : Stations avancées et préparation.</x:v>
      </x:c>
      <x:c r="G20" s="7" t="str">
        <x:v>Déploiement unique, réapprovisionnement et voyage ; conditions hors combat et dangers testées avant servir de refuge.</x:v>
      </x:c>
      <x:c r="H20" s="7" t="str">
        <x:v>Déploiement unique, réapprovisionnement et voyage ; conditions hors combat et dangers testées avant servir de refuge.</x:v>
      </x:c>
      <x:c r="I20" s="7" t="str">
        <x:v>Balise et menu de services.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mea/systems/forward ; rattacher les ressources et états cités à cet identifiant. Aucun fichier de jeu créé par ce catalogue.</x:v>
      </x:c>
      <x:c r="M20" s="7" t="str"/>
      <x:c r="N20" s="7" t="str">
        <x:v>Le livrable « Stations avancées et préparation » possède une scène ou un scénario de contrôle ; ses règles proposées, ses conditions et ses retours visuels sont vérifiables séparément.</x:v>
      </x:c>
      <x:c r="O20" s="7" t="str">
        <x:v>MEA-SYS-NOMAD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MEA-SYS-HAZARDS</x:v>
      </x:c>
      <x:c r="B21" s="9" t="str">
        <x:v>Survie environnementale par monde</x:v>
      </x:c>
      <x:c r="C21" s="15" t="str">
        <x:v>Défini</x:v>
      </x:c>
      <x:c r="D21" s="16" t="str">
        <x:v>Extrapolation</x:v>
      </x:c>
      <x:c r="E21" s="16" t="str">
        <x:v>P1</x:v>
      </x:c>
      <x:c r="F21" s="9" t="str">
        <x:v>Livrable original proposé : Survie environnementale par monde.</x:v>
      </x:c>
      <x:c r="G21" s="9" t="str">
        <x:v>Eos radiation, Voeld froid, Elaaden chaleur, Kadara eau dangereuse, H-047c vide ; Havarl n’a pas de jauge de poison ambiant globale inventée.</x:v>
      </x:c>
      <x:c r="H21" s="9" t="str">
        <x:v>Eos radiation, Voeld froid, Elaaden chaleur, Kadara eau dangereuse, H-047c vide ; Havarl n’a pas de jauge de poison ambiant globale inventée.</x:v>
      </x:c>
      <x:c r="I21" s="9" t="str">
        <x:v>Jauge, type et niveau local.</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mea/systems/hazards ; rattacher les ressources et états cités à cet identifiant. Aucun fichier de jeu créé par ce catalogue.</x:v>
      </x:c>
      <x:c r="M21" s="9" t="str"/>
      <x:c r="N21" s="9" t="str">
        <x:v>Le livrable « Survie environnementale par monde » possède une scène ou un scénario de contrôle ; ses règles proposées, ses conditions et ses retours visuels sont vérifiables séparément.</x:v>
      </x:c>
      <x:c r="O21" s="9" t="str">
        <x:v>MEA-WRL-EOS, MEA-WRL-H047C</x:v>
      </x:c>
      <x:c r="P21" s="9" t="str">
        <x:v>Adaptation originale — spécification de production</x:v>
      </x:c>
      <x:c r="Q21" s="9" t="str">
        <x:v>MEA-SRC-HAZARD</x:v>
      </x:c>
      <x:c r="R21" s="9" t="str">
        <x:v>https://masseffect.fandom.com/wiki/Hazard</x:v>
      </x:c>
      <x:c r="S21" s="9" t="str">
        <x:v>Spécification à réaliser. Les champs adaptation, gameplay, visual, animation, audio et implementation décrivent le fan game ; ils ne donnent pas des caractéristiques officielles de l’œuvre.</x:v>
      </x:c>
    </x:row>
    <x:row r="22" ht="68" customHeight="1">
      <x:c r="A22" s="19" t="str">
        <x:v>MEA-SYS-PUZZLES</x:v>
      </x:c>
      <x:c r="B22" s="7" t="str">
        <x:v>Glyphes et décryptage reliquat</x:v>
      </x:c>
      <x:c r="C22" s="15" t="str">
        <x:v>Défini</x:v>
      </x:c>
      <x:c r="D22" s="17" t="str">
        <x:v>Extrapolation</x:v>
      </x:c>
      <x:c r="E22" s="17" t="str">
        <x:v>P1</x:v>
      </x:c>
      <x:c r="F22" s="7" t="str">
        <x:v>Livrable original proposé : Glyphes et décryptage reliquat.</x:v>
      </x:c>
      <x:c r="G22" s="7" t="str">
        <x:v>Grille à contraintes, vérification locale et option d’aide explicite ; symboles jamais réduits à couleurs et solution persistée après chargement.</x:v>
      </x:c>
      <x:c r="H22" s="7" t="str">
        <x:v>Grille à contraintes, vérification locale et option d’aide explicite ; symboles jamais réduits à couleurs et solution persistée après chargement.</x:v>
      </x:c>
      <x:c r="I22" s="7" t="str">
        <x:v>Grille, symboles et règle lisible.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mea/systems/puzzles ; rattacher les ressources et états cités à cet identifiant. Aucun fichier de jeu créé par ce catalogue.</x:v>
      </x:c>
      <x:c r="M22" s="7" t="str"/>
      <x:c r="N22" s="7" t="str">
        <x:v>Le livrable « Glyphes et décryptage reliquat » possède une scène ou un scénario de contrôle ; ses règles proposées, ses conditions et ses retours visuels sont vérifiables séparément.</x:v>
      </x:c>
      <x:c r="O22" s="7" t="str">
        <x:v>MEA-LOR-REMNANT</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MEA-SYS-VAULTS</x:v>
      </x:c>
      <x:c r="B23" s="9" t="str">
        <x:v>Caveaux et purification</x:v>
      </x:c>
      <x:c r="C23" s="15" t="str">
        <x:v>Défini</x:v>
      </x:c>
      <x:c r="D23" s="16" t="str">
        <x:v>Extrapolation</x:v>
      </x:c>
      <x:c r="E23" s="16" t="str">
        <x:v>P1</x:v>
      </x:c>
      <x:c r="F23" s="9" t="str">
        <x:v>Livrable original proposé : Caveaux et purification.</x:v>
      </x:c>
      <x:c r="G23" s="9" t="str">
        <x:v>Graphe consoles/portes/énergie, objectif de restauration et course finale ; activer une console ne téléporte pas le groupe hors carte.</x:v>
      </x:c>
      <x:c r="H23" s="9" t="str">
        <x:v>Graphe consoles/portes/énergie, objectif de restauration et course finale ; activer une console ne téléporte pas le groupe hors carte.</x:v>
      </x:c>
      <x:c r="I23" s="9" t="str">
        <x:v>Carte de circuit et voie de sortie.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mea/systems/vaults ; rattacher les ressources et états cités à cet identifiant. Aucun fichier de jeu créé par ce catalogue.</x:v>
      </x:c>
      <x:c r="M23" s="9" t="str"/>
      <x:c r="N23" s="9" t="str">
        <x:v>Le livrable « Caveaux et purification » possède une scène ou un scénario de contrôle ; ses règles proposées, ses conditions et ses retours visuels sont vérifiables séparément.</x:v>
      </x:c>
      <x:c r="O23" s="9" t="str">
        <x:v>MEA-LOR-VAULTS</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MEA-SYS-VIABILITY</x:v>
      </x:c>
      <x:c r="B24" s="7" t="str">
        <x:v>Viabilité et implantation</x:v>
      </x:c>
      <x:c r="C24" s="15" t="str">
        <x:v>Défini</x:v>
      </x:c>
      <x:c r="D24" s="17" t="str">
        <x:v>Extrapolation</x:v>
      </x:c>
      <x:c r="E24" s="17" t="str">
        <x:v>P1</x:v>
      </x:c>
      <x:c r="F24" s="7" t="str">
        <x:v>Livrable original proposé : Viabilité et implantation.</x:v>
      </x:c>
      <x:c r="G24" s="7" t="str">
        <x:v>Score d’exploration distinct de caveau, négociation et fondation ; toutes contributions indiquent provenance et ne se comptent qu’une fois.</x:v>
      </x:c>
      <x:c r="H24" s="7" t="str">
        <x:v>Score d’exploration distinct de caveau, négociation et fondation ; toutes contributions indiquent provenance et ne se comptent qu’une fois.</x:v>
      </x:c>
      <x:c r="I24" s="7" t="str">
        <x:v>Tableau planétaire et critères d’avant-poste.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mea/systems/viability ; rattacher les ressources et états cités à cet identifiant. Aucun fichier de jeu créé par ce catalogue.</x:v>
      </x:c>
      <x:c r="M24" s="7" t="str"/>
      <x:c r="N24" s="7" t="str">
        <x:v>Le livrable « Viabilité et implantation » possède une scène ou un scénario de contrôle ; ses règles proposées, ses conditions et ses retours visuels sont vérifiables séparément.</x:v>
      </x:c>
      <x:c r="O24" s="7" t="str">
        <x:v>MEA-CHO-RESTORE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MEA-SYS-AVP</x:v>
      </x:c>
      <x:c r="B25" s="9" t="str">
        <x:v>AVP et réveil des spécialistes</x:v>
      </x:c>
      <x:c r="C25" s="15" t="str">
        <x:v>Défini</x:v>
      </x:c>
      <x:c r="D25" s="16" t="str">
        <x:v>Extrapolation</x:v>
      </x:c>
      <x:c r="E25" s="16" t="str">
        <x:v>P1</x:v>
      </x:c>
      <x:c r="F25" s="9" t="str">
        <x:v>Livrable original proposé : AVP et réveil des spécialistes.</x:v>
      </x:c>
      <x:c r="G25" s="9" t="str">
        <x:v>Points globaux, catégorie de spécialiste et bonus proposés séparés ; pas de membre de squad généré par sélection d’un perk.</x:v>
      </x:c>
      <x:c r="H25" s="9" t="str">
        <x:v>Points globaux, catégorie de spécialiste et bonus proposés séparés ; pas de membre de squad généré par sélection d’un perk.</x:v>
      </x:c>
      <x:c r="I25" s="9" t="str">
        <x:v>Pods et liste de spécialistes.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mea/systems/avp ; rattacher les ressources et états cités à cet identifiant. Aucun fichier de jeu créé par ce catalogue.</x:v>
      </x:c>
      <x:c r="M25" s="9" t="str"/>
      <x:c r="N25" s="9" t="str">
        <x:v>Le livrable « AVP et réveil des spécialistes » possède une scène ou un scénario de contrôle ; ses règles proposées, ses conditions et ses retours visuels sont vérifiables séparément.</x:v>
      </x:c>
      <x:c r="O25" s="9" t="str">
        <x:v>MEA-MQ-AVP</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MEA-SYS-JOURNAL</x:v>
      </x:c>
      <x:c r="B26" s="7" t="str">
        <x:v>Journal à catégories conditionnelles</x:v>
      </x:c>
      <x:c r="C26" s="15" t="str">
        <x:v>Défini</x:v>
      </x:c>
      <x:c r="D26" s="17" t="str">
        <x:v>Extrapolation</x:v>
      </x:c>
      <x:c r="E26" s="17" t="str">
        <x:v>P1</x:v>
      </x:c>
      <x:c r="F26" s="7" t="str">
        <x:v>Livrable original proposé : Journal à catégories conditionnelles.</x:v>
      </x:c>
      <x:c r="G26" s="7" t="str">
        <x:v>Priority Ops, Allies and Relationships, Heleus Assignments, Additional Tasks ; même mission Havarl/Voeld conserve ID malgré changement de catégorie.</x:v>
      </x:c>
      <x:c r="H26" s="7" t="str">
        <x:v>Priority Ops, Allies and Relationships, Heleus Assignments, Additional Tasks ; même mission Havarl/Voeld conserve ID malgré changement de catégorie.</x:v>
      </x:c>
      <x:c r="I26" s="7" t="str">
        <x:v>Filtres, étapes et état En attente.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mea/systems/journal ; rattacher les ressources et états cités à cet identifiant. Aucun fichier de jeu créé par ce catalogue.</x:v>
      </x:c>
      <x:c r="M26" s="7" t="str"/>
      <x:c r="N26" s="7" t="str">
        <x:v>Le livrable « Journal à catégories conditionnelles » possède une scène ou un scénario de contrôle ; ses règles proposées, ses conditions et ses retours visuels sont vérifiables séparément.</x:v>
      </x:c>
      <x:c r="O26" s="7" t="str">
        <x:v>MEA-MQ-RESISTANCE, MEA-MQ-HAVARL</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MEA-SYS-RELATIONS</x:v>
      </x:c>
      <x:c r="B27" s="9" t="str">
        <x:v>Relations et version de dialogue</x:v>
      </x:c>
      <x:c r="C27" s="15" t="str">
        <x:v>Défini</x:v>
      </x:c>
      <x:c r="D27" s="16" t="str">
        <x:v>Extrapolation</x:v>
      </x:c>
      <x:c r="E27" s="16" t="str">
        <x:v>P1</x:v>
      </x:c>
      <x:c r="F27" s="9" t="str">
        <x:v>Livrable original proposé : Relations et version de dialogue.</x:v>
      </x:c>
      <x:c r="G27" s="9" t="str">
        <x:v>Partenaire, Ryder, patch, exclusivité et scène vue ont variables séparées ; table 1.08 traite Jaal/Scott sans réécrire arbitrairement tous les partenaires.</x:v>
      </x:c>
      <x:c r="H27" s="9" t="str">
        <x:v>Partenaire, Ryder, patch, exclusivité et scène vue ont variables séparées ; table 1.08 traite Jaal/Scott sans réécrire arbitrairement tous les partenaires.</x:v>
      </x:c>
      <x:c r="I27" s="9" t="str">
        <x:v>Fiche de relation et message d’engagement.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mea/systems/relations ; rattacher les ressources et états cités à cet identifiant. Aucun fichier de jeu créé par ce catalogue.</x:v>
      </x:c>
      <x:c r="M27" s="9" t="str"/>
      <x:c r="N27" s="9" t="str">
        <x:v>Le livrable « Relations et version de dialogue » possède une scène ou un scénario de contrôle ; ses règles proposées, ses conditions et ses retours visuels sont vérifiables séparément.</x:v>
      </x:c>
      <x:c r="O27" s="9" t="str">
        <x:v>MEA-CHO-ROMANCE</x:v>
      </x:c>
      <x:c r="P27" s="9" t="str">
        <x:v>Adaptation originale — spécification de production</x:v>
      </x:c>
      <x:c r="Q27" s="9" t="str">
        <x:v>MEA-SRC-ROMANCE, MEA-SRC-BW-108</x:v>
      </x:c>
      <x:c r="R27" s="9" t="str">
        <x:v>https://masseffect.fandom.com/wiki/Romance_%28Mass_Effect%3A_Andromeda%29
https://blog.bioware.com/2017/06/06/mass-effect-andromeda-patch-1-08-notes/</x:v>
      </x:c>
      <x:c r="S27" s="9" t="str">
        <x:v>Spécification à réaliser. Les champs adaptation, gameplay, visual, animation, audio et implementation décrivent le fan game ; ils ne donnent pas des caractéristiques officielles de l’œuvre.</x:v>
      </x:c>
    </x:row>
    <x:row r="28" ht="68" customHeight="1">
      <x:c r="A28" s="19" t="str">
        <x:v>MEA-SYS-STRIKE</x:v>
      </x:c>
      <x:c r="B28" s="7" t="str">
        <x:v>Strike Teams et missions APEX</x:v>
      </x:c>
      <x:c r="C28" s="15" t="str">
        <x:v>Défini</x:v>
      </x:c>
      <x:c r="D28" s="17" t="str">
        <x:v>Extrapolation</x:v>
      </x:c>
      <x:c r="E28" s="17" t="str">
        <x:v>P1</x:v>
      </x:c>
      <x:c r="F28" s="7" t="str">
        <x:v>Livrable original proposé : Strike Teams et missions APEX.</x:v>
      </x:c>
      <x:c r="G28" s="7" t="str">
        <x:v>Envoyer équipe abstraite ou choisir mission coop admissible ; services multi facultatifs et récompenses réclamées une seule fois.</x:v>
      </x:c>
      <x:c r="H28" s="7" t="str">
        <x:v>Envoyer équipe abstraite ou choisir mission coop admissible ; services multi facultatifs et récompenses réclamées une seule fois.</x:v>
      </x:c>
      <x:c r="I28" s="7" t="str">
        <x:v>Table des équipes et rapport de mission.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mea/systems/strike ; rattacher les ressources et états cités à cet identifiant. Aucun fichier de jeu créé par ce catalogue.</x:v>
      </x:c>
      <x:c r="M28" s="7" t="str"/>
      <x:c r="N28" s="7" t="str">
        <x:v>Le livrable « Strike Teams et missions APEX » possède une scène ou un scénario de contrôle ; ses règles proposées, ses conditions et ses retours visuels sont vérifiables séparément.</x:v>
      </x:c>
      <x:c r="O28" s="7" t="str">
        <x:v>MEA-MQ-FIRST-STRIKE</x:v>
      </x:c>
      <x:c r="P28" s="7" t="str">
        <x:v>Adaptation originale — spécification de production</x:v>
      </x:c>
      <x:c r="Q28" s="7" t="str">
        <x:v>MEA-SRC-MP, MEA-SRC-MANUAL</x:v>
      </x:c>
      <x:c r="R28" s="7" t="str">
        <x:v>https://masseffect.fandom.com/wiki/Mass_Effect%3A_Andromeda_Multiplayer
https://eaassets-a.akamaihd.net/eahelp/manuals/mass-effect-andromeda-pc-en.pdf</x:v>
      </x:c>
      <x:c r="S28" s="7" t="str">
        <x:v>Spécification à réaliser. Les champs adaptation, gameplay, visual, animation, audio et implementation décrivent le fan game ; ils ne donnent pas des caractéristiques officielles de l’œuvre.</x:v>
      </x:c>
    </x:row>
    <x:row r="29" ht="68" customHeight="1">
      <x:c r="A29" s="18" t="str">
        <x:v>MEA-SYS-MP-ROSTER</x:v>
      </x:c>
      <x:c r="B29" s="9" t="str">
        <x:v>Roster et progression multijoueurs</x:v>
      </x:c>
      <x:c r="C29" s="15" t="str">
        <x:v>Défini</x:v>
      </x:c>
      <x:c r="D29" s="16" t="str">
        <x:v>Extrapolation</x:v>
      </x:c>
      <x:c r="E29" s="16" t="str">
        <x:v>P1</x:v>
      </x:c>
      <x:c r="F29" s="9" t="str">
        <x:v>Livrable original proposé : Roster et progression multijoueurs.</x:v>
      </x:c>
      <x:c r="G29" s="9" t="str">
        <x:v>Classes spécifiques, équipements, Prestige et Veteran Bonus restent dans sauvegarde multi ; pas de rang vétéran ajouté au build solo de Ryder.</x:v>
      </x:c>
      <x:c r="H29" s="9" t="str">
        <x:v>Classes spécifiques, équipements, Prestige et Veteran Bonus restent dans sauvegarde multi ; pas de rang vétéran ajouté au build solo de Ryder.</x:v>
      </x:c>
      <x:c r="I29" s="9" t="str">
        <x:v>Sélecteur de classe et badge APEX.</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mea/systems/mp-roster ; rattacher les ressources et états cités à cet identifiant. Aucun fichier de jeu créé par ce catalogue.</x:v>
      </x:c>
      <x:c r="M29" s="9" t="str">
        <x:v>Multijoueur uniquement.</x:v>
      </x:c>
      <x:c r="N29" s="9" t="str">
        <x:v>Le livrable « Roster et progression multijoueurs » possède une scène ou un scénario de contrôle ; ses règles proposées, ses conditions et ses retours visuels sont vérifiables séparément.</x:v>
      </x:c>
      <x:c r="O29" s="9" t="str">
        <x:v>MEA-CHR-MP-HUMAN-KINETICIST</x:v>
      </x:c>
      <x:c r="P29" s="9" t="str">
        <x:v>Adaptation originale — spécification de production</x:v>
      </x:c>
      <x:c r="Q29" s="9" t="str">
        <x:v>MEA-SRC-MP, MEA-SRC-MANUAL</x:v>
      </x:c>
      <x:c r="R29" s="9" t="str">
        <x:v>https://masseffect.fandom.com/wiki/Mass_Effect%3A_Andromeda_Multiplayer
https://eaassets-a.akamaihd.net/eahelp/manuals/mass-effect-andromeda-pc-en.pdf</x:v>
      </x:c>
      <x:c r="S29" s="9" t="str">
        <x:v>Spécification à réaliser. Les champs adaptation, gameplay, visual, animation, audio et implementation décrivent le fan game ; ils ne donnent pas des caractéristiques officielles de l’œuvre.</x:v>
      </x:c>
    </x:row>
    <x:row r="30" ht="68" customHeight="1">
      <x:c r="A30" s="19" t="str">
        <x:v>MEA-SYS-MP-WAVES</x:v>
      </x:c>
      <x:c r="B30" s="7" t="str">
        <x:v>Coopératif à vagues</x:v>
      </x:c>
      <x:c r="C30" s="15" t="str">
        <x:v>Défini</x:v>
      </x:c>
      <x:c r="D30" s="17" t="str">
        <x:v>Extrapolation</x:v>
      </x:c>
      <x:c r="E30" s="17" t="str">
        <x:v>P1</x:v>
      </x:c>
      <x:c r="F30" s="7" t="str">
        <x:v>Livrable original proposé : Coopératif à vagues.</x:v>
      </x:c>
      <x:c r="G30" s="7" t="str">
        <x:v>Objectifs, réanimation et extraction ; synchronisation ATB coop est une adaptation expérimentale à spécifier, aucune promesse réseau déjà développée.</x:v>
      </x:c>
      <x:c r="H30" s="7" t="str">
        <x:v>Objectifs, réanimation et extraction ; synchronisation ATB coop est une adaptation expérimentale à spécifier, aucune promesse réseau déjà développée.</x:v>
      </x:c>
      <x:c r="I30" s="7" t="str">
        <x:v>Quatre portraits et phase de vague.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mea/systems/mp-waves ; rattacher les ressources et états cités à cet identifiant. Aucun fichier de jeu créé par ce catalogue.</x:v>
      </x:c>
      <x:c r="M30" s="7" t="str">
        <x:v>Multijoueur uniquement.</x:v>
      </x:c>
      <x:c r="N30" s="7" t="str">
        <x:v>Le livrable « Coopératif à vagues » possède une scène ou un scénario de contrôle ; ses règles proposées, ses conditions et ses retours visuels sont vérifiables séparément.</x:v>
      </x:c>
      <x:c r="O30" s="7" t="str">
        <x:v>MEA-ZON-MP-ZERO</x:v>
      </x:c>
      <x:c r="P30" s="7" t="str">
        <x:v>Adaptation originale — spécification de production</x:v>
      </x:c>
      <x:c r="Q30" s="7" t="str">
        <x:v>MEA-SRC-MP, MEA-SRC-MANUAL</x:v>
      </x:c>
      <x:c r="R30" s="7" t="str">
        <x:v>https://masseffect.fandom.com/wiki/Mass_Effect%3A_Andromeda_Multiplayer
https://eaassets-a.akamaihd.net/eahelp/manuals/mass-effect-andromeda-pc-en.pdf</x:v>
      </x:c>
      <x:c r="S30" s="7" t="str">
        <x:v>Spécification à réaliser. Les champs adaptation, gameplay, visual, animation, audio et implementation décrivent le fan game ; ils ne donnent pas des caractéristiques officielles de l’œuvre.</x:v>
      </x:c>
    </x:row>
    <x:row r="31" ht="68" customHeight="1">
      <x:c r="A31" s="18" t="str">
        <x:v>MEA-SYS-MP-SKILLS</x:v>
      </x:c>
      <x:c r="B31" s="9" t="str">
        <x:v>Compétences propres au multijoueur</x:v>
      </x:c>
      <x:c r="C31" s="15" t="str">
        <x:v>Défini</x:v>
      </x:c>
      <x:c r="D31" s="16" t="str">
        <x:v>Extrapolation</x:v>
      </x:c>
      <x:c r="E31" s="16" t="str">
        <x:v>P1</x:v>
      </x:c>
      <x:c r="F31" s="9" t="str">
        <x:v>Livrable original proposé : Compétences propres au multijoueur.</x:v>
      </x:c>
      <x:c r="G31" s="9" t="str">
        <x:v>Warp, Tech Armor, Stealth Grid et autres options vérifiées au roster ; aucune importation automatique dans les 36 compétences solo.</x:v>
      </x:c>
      <x:c r="H31" s="9" t="str">
        <x:v>Warp, Tech Armor, Stealth Grid et autres options vérifiées au roster ; aucune importation automatique dans les 36 compétences solo.</x:v>
      </x:c>
      <x:c r="I31" s="9" t="str">
        <x:v>Badge multi sur fiche de compétence.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mea/systems/mp-skills ; rattacher les ressources et états cités à cet identifiant. Aucun fichier de jeu créé par ce catalogue.</x:v>
      </x:c>
      <x:c r="M31" s="9" t="str">
        <x:v>Multijoueur uniquement.</x:v>
      </x:c>
      <x:c r="N31" s="9" t="str">
        <x:v>Le livrable « Compétences propres au multijoueur » possède une scène ou un scénario de contrôle ; ses règles proposées, ses conditions et ses retours visuels sont vérifiables séparément.</x:v>
      </x:c>
      <x:c r="O31" s="9" t="str">
        <x:v>MEA-SYS-MP-ROSTER</x:v>
      </x:c>
      <x:c r="P31" s="9" t="str">
        <x:v>Adaptation originale — spécification de production</x:v>
      </x:c>
      <x:c r="Q31" s="9" t="str">
        <x:v>MEA-SRC-MP, MEA-SRC-MANUAL</x:v>
      </x:c>
      <x:c r="R31" s="9" t="str">
        <x:v>https://masseffect.fandom.com/wiki/Mass_Effect%3A_Andromeda_Multiplayer
https://eaassets-a.akamaihd.net/eahelp/manuals/mass-effect-andromeda-pc-en.pdf</x:v>
      </x:c>
      <x:c r="S31" s="9" t="str">
        <x:v>Spécification à réaliser. Les champs adaptation, gameplay, visual, animation, audio et implementation décrivent le fan game ; ils ne donnent pas des caractéristiques officielles de l’œuvre.</x:v>
      </x:c>
    </x:row>
    <x:row r="32" ht="68" customHeight="1">
      <x:c r="A32" s="19" t="str">
        <x:v>MEA-SYS-SAVE</x:v>
      </x:c>
      <x:c r="B32" s="7" t="str">
        <x:v>Sauvegardes et grands choix</x:v>
      </x:c>
      <x:c r="C32" s="15" t="str">
        <x:v>Défini</x:v>
      </x:c>
      <x:c r="D32" s="17" t="str">
        <x:v>Extrapolation</x:v>
      </x:c>
      <x:c r="E32" s="17" t="str">
        <x:v>P1</x:v>
      </x:c>
      <x:c r="F32" s="7" t="str">
        <x:v>Livrable original proposé : Sauvegardes et grands choix.</x:v>
      </x:c>
      <x:c r="G32" s="7" t="str">
        <x:v>Snapshots avant loyauté, choix de secours et final proposés ; progression de terrain, mutations de décor et inventaire atomiques.</x:v>
      </x:c>
      <x:c r="H32" s="7" t="str">
        <x:v>Snapshots avant loyauté, choix de secours et final proposés ; progression de terrain, mutations de décor et inventaire atomiques.</x:v>
      </x:c>
      <x:c r="I32" s="7" t="str">
        <x:v>Emplacements nommés et résumé d’état.</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mea/systems/save ; rattacher les ressources et états cités à cet identifiant. Aucun fichier de jeu créé par ce catalogue.</x:v>
      </x:c>
      <x:c r="M32" s="7" t="str"/>
      <x:c r="N32" s="7" t="str">
        <x:v>Le livrable « Sauvegardes et grands choix » possède une scène ou un scénario de contrôle ; ses règles proposées, ses conditions et ses retours visuels sont vérifiables séparément.</x:v>
      </x:c>
      <x:c r="O32" s="7" t="str">
        <x:v>MEA-CHO-RAEKA, MEA-CHO-DUNN</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MEA-SYS-ACCESS</x:v>
      </x:c>
      <x:c r="B33" s="9" t="str">
        <x:v>Options d’accès</x:v>
      </x:c>
      <x:c r="C33" s="15" t="str">
        <x:v>Défini</x:v>
      </x:c>
      <x:c r="D33" s="16" t="str">
        <x:v>Extrapolation</x:v>
      </x:c>
      <x:c r="E33" s="16" t="str">
        <x:v>P1</x:v>
      </x:c>
      <x:c r="F33" s="9" t="str">
        <x:v>Livrable original proposé : Options d’accès.</x:v>
      </x:c>
      <x:c r="G33" s="9" t="str">
        <x:v>Sous-titres, texte d’indices, formes de danger, maintien/toggle et réduction de mouvement ; fenêtres d’interruption non chronométrées proposées.</x:v>
      </x:c>
      <x:c r="H33" s="9" t="str">
        <x:v>Sous-titres, texte d’indices, formes de danger, maintien/toggle et réduction de mouvement ; fenêtres d’interruption non chronométrées proposées.</x:v>
      </x:c>
      <x:c r="I33" s="9" t="str">
        <x:v>Panneau de réglages avec démonstrations.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mea/systems/access ; rattacher les ressources et états cités à cet identifiant. Aucun fichier de jeu créé par ce catalogue.</x:v>
      </x:c>
      <x:c r="M33" s="9" t="str"/>
      <x:c r="N33" s="9" t="str">
        <x:v>Le livrable « Options d’accès » possède une scène ou un scénario de contrôle ; ses règles proposées, ses conditions et ses retours visuels sont vérifiables séparément.</x:v>
      </x:c>
      <x:c r="O33" s="9" t="str">
        <x:v>MEA-CHO-KALINDA</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sheetData>
  <x:conditionalFormatting sqref="D7:D33">
    <x:cfRule type="cellIs" dxfId="92" priority="1" operator="equal">
      <x:formula>"À vérifier"</x:formula>
    </x:cfRule>
    <x:cfRule type="cellIs" dxfId="93" priority="2" operator="equal">
      <x:formula>"Extrapolation"</x:formula>
    </x:cfRule>
  </x:conditionalFormatting>
  <x:conditionalFormatting sqref="C7:C33">
    <x:cfRule type="cellIs" dxfId="94" priority="3" operator="equal">
      <x:formula>"Validé"</x:formula>
    </x:cfRule>
  </x:conditionalFormatting>
  <x:conditionalFormatting sqref="E7:E33">
    <x:cfRule type="cellIs" dxfId="95"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30a3185d4ace4344"/>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MEA-QA-RYDER</x:v>
      </x:c>
      <x:c r="B7" s="9" t="str">
        <x:v>QA — identité des jumeaux</x:v>
      </x:c>
      <x:c r="C7" s="15" t="str">
        <x:v>Défini</x:v>
      </x:c>
      <x:c r="D7" s="16" t="str">
        <x:v>Extrapolation</x:v>
      </x:c>
      <x:c r="E7" s="16" t="str">
        <x:v>P1</x:v>
      </x:c>
      <x:c r="F7" s="9" t="str">
        <x:v>Livrable original proposé : QA — identité des jumeaux.</x:v>
      </x:c>
      <x:c r="G7" s="9" t="str">
        <x:v>Tester Sara et Scott, apparences personnalisées et relais final ; portraits, noms, voix et retour au protagoniste cohérents.</x:v>
      </x:c>
      <x:c r="H7" s="9" t="str">
        <x:v>Tester Sara et Scott, apparences personnalisées et relais final ; portraits, noms, voix et retour au protagoniste cohérents.</x:v>
      </x:c>
      <x:c r="I7" s="9" t="str">
        <x:v>Deux parcours de sauvegarde.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mea/qa/ryder ; rattacher les ressources et états cités à cet identifiant. Aucun fichier de jeu créé par ce catalogue.</x:v>
      </x:c>
      <x:c r="M7" s="9" t="str"/>
      <x:c r="N7" s="9" t="str">
        <x:v>Le livrable « QA — identité des jumeaux » possède une scène ou un scénario de contrôle ; ses règles proposées, ses conditions et ses retours visuels sont vérifiables séparément.</x:v>
      </x:c>
      <x:c r="O7" s="9" t="str">
        <x:v>MEA-CHO-RYDER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MEA-QA-ORDER</x:v>
      </x:c>
      <x:c r="B8" s="7" t="str">
        <x:v>QA — ordre Havarl/Voeld</x:v>
      </x:c>
      <x:c r="C8" s="15" t="str">
        <x:v>Défini</x:v>
      </x:c>
      <x:c r="D8" s="17" t="str">
        <x:v>Extrapolation</x:v>
      </x:c>
      <x:c r="E8" s="17" t="str">
        <x:v>P1</x:v>
      </x:c>
      <x:c r="F8" s="7" t="str">
        <x:v>Livrable original proposé : QA — ordre Havarl/Voeld.</x:v>
      </x:c>
      <x:c r="G8" s="7" t="str">
        <x:v>Jouer chaque ordre, puis parcours partiellement engagé ; mission possède un seul état et la bonne catégorie, jamais deux récompenses ni blocage de A Trail of Hope.</x:v>
      </x:c>
      <x:c r="H8" s="7" t="str">
        <x:v>Jouer chaque ordre, puis parcours partiellement engagé ; mission possède un seul état et la bonne catégorie, jamais deux récompenses ni blocage de A Trail of Hope.</x:v>
      </x:c>
      <x:c r="I8" s="7" t="str">
        <x:v>Table de missions et journal comparé.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mea/qa/order ; rattacher les ressources et états cités à cet identifiant. Aucun fichier de jeu créé par ce catalogue.</x:v>
      </x:c>
      <x:c r="M8" s="7" t="str"/>
      <x:c r="N8" s="7" t="str">
        <x:v>Le livrable « QA — ordre Havarl/Voeld » possède une scène ou un scénario de contrôle ; ses règles proposées, ses conditions et ses retours visuels sont vérifiables séparément.</x:v>
      </x:c>
      <x:c r="O8" s="7" t="str">
        <x:v>MEA-SYS-JOURNAL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MEA-QA-EOS</x:v>
      </x:c>
      <x:c r="B9" s="9" t="str">
        <x:v>QA — première implantation</x:v>
      </x:c>
      <x:c r="C9" s="15" t="str">
        <x:v>Défini</x:v>
      </x:c>
      <x:c r="D9" s="16" t="str">
        <x:v>Extrapolation</x:v>
      </x:c>
      <x:c r="E9" s="16" t="str">
        <x:v>P1</x:v>
      </x:c>
      <x:c r="F9" s="9" t="str">
        <x:v>Livrable original proposé : QA — première implantation.</x:v>
      </x:c>
      <x:c r="G9" s="9" t="str">
        <x:v>Tester monolithes dans ordres différents, sauvegarde dans caveau, restauration puis chaque type d’avant-poste ; Prodromos reflète le choix après retour.</x:v>
      </x:c>
      <x:c r="H9" s="9" t="str">
        <x:v>Tester monolithes dans ordres différents, sauvegarde dans caveau, restauration puis chaque type d’avant-poste ; Prodromos reflète le choix après retour.</x:v>
      </x:c>
      <x:c r="I9" s="9" t="str">
        <x:v>Carte et versions de colonie.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mea/qa/eos ; rattacher les ressources et états cités à cet identifiant. Aucun fichier de jeu créé par ce catalogue.</x:v>
      </x:c>
      <x:c r="M9" s="9" t="str"/>
      <x:c r="N9" s="9" t="str">
        <x:v>Le livrable « QA — première implantation » possède une scène ou un scénario de contrôle ; ses règles proposées, ses conditions et ses retours visuels sont vérifiables séparément.</x:v>
      </x:c>
      <x:c r="O9" s="9" t="str">
        <x:v>MEA-MQ-EOS, MEA-CHO-EOS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MEA-QA-VAULTS</x:v>
      </x:c>
      <x:c r="B10" s="7" t="str">
        <x:v>QA — caveaux et purification</x:v>
      </x:c>
      <x:c r="C10" s="15" t="str">
        <x:v>Défini</x:v>
      </x:c>
      <x:c r="D10" s="17" t="str">
        <x:v>Extrapolation</x:v>
      </x:c>
      <x:c r="E10" s="17" t="str">
        <x:v>P1</x:v>
      </x:c>
      <x:c r="F10" s="7" t="str">
        <x:v>Livrable original proposé : QA — caveaux et purification.</x:v>
      </x:c>
      <x:c r="G10" s="7" t="str">
        <x:v>Pour chaque monde : alimentation, grille, portes, cache optionnelle et fuite ; un groupe retardataire suit sans rester condamné derrière porte fermée.</x:v>
      </x:c>
      <x:c r="H10" s="7" t="str">
        <x:v>Pour chaque monde : alimentation, grille, portes, cache optionnelle et fuite ; un groupe retardataire suit sans rester condamné derrière porte fermée.</x:v>
      </x:c>
      <x:c r="I10" s="7" t="str">
        <x:v>Parcours par caveau et route de sortie.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mea/qa/vaults ; rattacher les ressources et états cités à cet identifiant. Aucun fichier de jeu créé par ce catalogue.</x:v>
      </x:c>
      <x:c r="M10" s="7" t="str"/>
      <x:c r="N10" s="7" t="str">
        <x:v>Le livrable « QA — caveaux et purification » possède une scène ou un scénario de contrôle ; ses règles proposées, ses conditions et ses retours visuels sont vérifiables séparément.</x:v>
      </x:c>
      <x:c r="O10" s="7" t="str">
        <x:v>MEA-SYS-VAULTS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MEA-QA-HAZARD</x:v>
      </x:c>
      <x:c r="B11" s="9" t="str">
        <x:v>QA — dangers locaux</x:v>
      </x:c>
      <x:c r="C11" s="15" t="str">
        <x:v>Défini</x:v>
      </x:c>
      <x:c r="D11" s="16" t="str">
        <x:v>Extrapolation</x:v>
      </x:c>
      <x:c r="E11" s="16" t="str">
        <x:v>P1</x:v>
      </x:c>
      <x:c r="F11" s="9" t="str">
        <x:v>Livrable original proposé : QA — dangers locaux.</x:v>
      </x:c>
      <x:c r="G11" s="9" t="str">
        <x:v>Tester passage ombre/soleil Elaaden, eau/terre Kadara, chaleur/froid Voeld et dôme/vide H-047c ; absence de faux poison global Havarl.</x:v>
      </x:c>
      <x:c r="H11" s="9" t="str">
        <x:v>Tester passage ombre/soleil Elaaden, eau/terre Kadara, chaleur/froid Voeld et dôme/vide H-047c ; absence de faux poison global Havarl.</x:v>
      </x:c>
      <x:c r="I11" s="9" t="str">
        <x:v>Scènes de seuil et états de jauge.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mea/qa/hazard ; rattacher les ressources et états cités à cet identifiant. Aucun fichier de jeu créé par ce catalogue.</x:v>
      </x:c>
      <x:c r="M11" s="9" t="str"/>
      <x:c r="N11" s="9" t="str">
        <x:v>Le livrable « QA — dangers locaux » possède une scène ou un scénario de contrôle ; ses règles proposées, ses conditions et ses retours visuels sont vérifiables séparément.</x:v>
      </x:c>
      <x:c r="O11" s="9" t="str">
        <x:v>MEA-SYS-HAZARDS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MEA-QA-NOMAD</x:v>
      </x:c>
      <x:c r="B12" s="7" t="str">
        <x:v>QA — Nomad et terrain</x:v>
      </x:c>
      <x:c r="C12" s="15" t="str">
        <x:v>Défini</x:v>
      </x:c>
      <x:c r="D12" s="17" t="str">
        <x:v>Extrapolation</x:v>
      </x:c>
      <x:c r="E12" s="17" t="str">
        <x:v>P1</x:v>
      </x:c>
      <x:c r="F12" s="7" t="str">
        <x:v>Livrable original proposé : QA — Nomad et terrain.</x:v>
      </x:c>
      <x:c r="G12" s="7" t="str">
        <x:v>Tester pente, boost, eau, bord de dôme et sortie avec grandes silhouettes ; pas de spawn d’allié dans vide ou intérieur de roue.</x:v>
      </x:c>
      <x:c r="H12" s="7" t="str">
        <x:v>Tester pente, boost, eau, bord de dôme et sortie avec grandes silhouettes ; pas de spawn d’allié dans vide ou intérieur de roue.</x:v>
      </x:c>
      <x:c r="I12" s="7" t="str">
        <x:v>Routes de contrôle et emplacements de sortie.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mea/qa/nomad ; rattacher les ressources et états cités à cet identifiant. Aucun fichier de jeu créé par ce catalogue.</x:v>
      </x:c>
      <x:c r="M12" s="7" t="str"/>
      <x:c r="N12" s="7" t="str">
        <x:v>Le livrable « QA — Nomad et terrain » possède une scène ou un scénario de contrôle ; ses règles proposées, ses conditions et ses retours visuels sont vérifiables séparément.</x:v>
      </x:c>
      <x:c r="O12" s="7" t="str">
        <x:v>MEA-SYS-NOMAD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MEA-QA-SCAN</x:v>
      </x:c>
      <x:c r="B13" s="9" t="str">
        <x:v>QA — scans et collections</x:v>
      </x:c>
      <x:c r="C13" s="15" t="str">
        <x:v>Défini</x:v>
      </x:c>
      <x:c r="D13" s="16" t="str">
        <x:v>Extrapolation</x:v>
      </x:c>
      <x:c r="E13" s="16" t="str">
        <x:v>P1</x:v>
      </x:c>
      <x:c r="F13" s="9" t="str">
        <x:v>Livrable original proposé : QA — scans et collections.</x:v>
      </x:c>
      <x:c r="G13" s="9" t="str">
        <x:v>Scanner deux fois, recharger puis revenir après restauration ; données et objets uniques récompensés une fois, lore toujours relisible.</x:v>
      </x:c>
      <x:c r="H13" s="9" t="str">
        <x:v>Scanner deux fois, recharger puis revenir après restauration ; données et objets uniques récompensés une fois, lore toujours relisible.</x:v>
      </x:c>
      <x:c r="I13" s="9" t="str">
        <x:v>Journal de scans et inventaire.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mea/qa/scan ; rattacher les ressources et états cités à cet identifiant. Aucun fichier de jeu créé par ce catalogue.</x:v>
      </x:c>
      <x:c r="M13" s="9" t="str"/>
      <x:c r="N13" s="9" t="str">
        <x:v>Le livrable « QA — scans et collections » possède une scène ou un scénario de contrôle ; ses règles proposées, ses conditions et ses retours visuels sont vérifiables séparément.</x:v>
      </x:c>
      <x:c r="O13" s="9" t="str">
        <x:v>MEA-SYS-SCAN</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MEA-QA-CRAFT</x:v>
      </x:c>
      <x:c r="B14" s="7" t="str">
        <x:v>QA — fabrication et augmentation</x:v>
      </x:c>
      <x:c r="C14" s="15" t="str">
        <x:v>Défini</x:v>
      </x:c>
      <x:c r="D14" s="17" t="str">
        <x:v>Extrapolation</x:v>
      </x:c>
      <x:c r="E14" s="17" t="str">
        <x:v>P1</x:v>
      </x:c>
      <x:c r="F14" s="7" t="str">
        <x:v>Livrable original proposé : QA — fabrication et augmentation.</x:v>
      </x:c>
      <x:c r="G14" s="7" t="str">
        <x:v>Séparer recherche et développement ; tester matériaux insuffisants, annulation, mod incompatible, fusion interdite et démontage sans duplication.</x:v>
      </x:c>
      <x:c r="H14" s="7" t="str">
        <x:v>Séparer recherche et développement ; tester matériaux insuffisants, annulation, mod incompatible, fusion interdite et démontage sans duplication.</x:v>
      </x:c>
      <x:c r="I14" s="7" t="str">
        <x:v>Table de recettes et comparatif d’inventaire.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mea/qa/craft ; rattacher les ressources et états cités à cet identifiant. Aucun fichier de jeu créé par ce catalogue.</x:v>
      </x:c>
      <x:c r="M14" s="7" t="str"/>
      <x:c r="N14" s="7" t="str">
        <x:v>Le livrable « QA — fabrication et augmentation » possède une scène ou un scénario de contrôle ; ses règles proposées, ses conditions et ses retours visuels sont vérifiables séparément.</x:v>
      </x:c>
      <x:c r="O14" s="7" t="str">
        <x:v>MEA-SYS-CRAFT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MEA-QA-SKILLS</x:v>
      </x:c>
      <x:c r="B15" s="9" t="str">
        <x:v>QA — favoris et compétences</x:v>
      </x:c>
      <x:c r="C15" s="15" t="str">
        <x:v>Défini</x:v>
      </x:c>
      <x:c r="D15" s="16" t="str">
        <x:v>Extrapolation</x:v>
      </x:c>
      <x:c r="E15" s="16" t="str">
        <x:v>P1</x:v>
      </x:c>
      <x:c r="F15" s="9" t="str">
        <x:v>Livrable original proposé : QA — favoris et compétences.</x:v>
      </x:c>
      <x:c r="G15" s="9" t="str">
        <x:v>Tester chaque type actif/passif, changement de favori en récupération et respec ; aucun cooldown remis à zéro ni pouvoir d’allié débloqué chez Ryder.</x:v>
      </x:c>
      <x:c r="H15" s="9" t="str">
        <x:v>Tester chaque type actif/passif, changement de favori en récupération et respec ; aucun cooldown remis à zéro ni pouvoir d’allié débloqué chez Ryder.</x:v>
      </x:c>
      <x:c r="I15" s="9" t="str">
        <x:v>Arène de compétences et arbre.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mea/qa/skills ; rattacher les ressources et états cités à cet identifiant. Aucun fichier de jeu créé par ce catalogue.</x:v>
      </x:c>
      <x:c r="M15" s="9" t="str"/>
      <x:c r="N15" s="9" t="str">
        <x:v>Le livrable « QA — favoris et compétences » possède une scène ou un scénario de contrôle ; ses règles proposées, ses conditions et ses retours visuels sont vérifiables séparément.</x:v>
      </x:c>
      <x:c r="O15" s="9" t="str">
        <x:v>MEA-SYS-FAVORITES, MEA-SYS-SKILL-TREE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MEA-QA-COMBOS</x:v>
      </x:c>
      <x:c r="B16" s="7" t="str">
        <x:v>QA — protections et combos</x:v>
      </x:c>
      <x:c r="C16" s="15" t="str">
        <x:v>Défini</x:v>
      </x:c>
      <x:c r="D16" s="17" t="str">
        <x:v>Extrapolation</x:v>
      </x:c>
      <x:c r="E16" s="17" t="str">
        <x:v>P1</x:v>
      </x:c>
      <x:c r="F16" s="7" t="str">
        <x:v>Livrable original proposé : QA — protections et combos.</x:v>
      </x:c>
      <x:c r="G16" s="7" t="str">
        <x:v>Tester santé, armure, bouclier, immunités puis propagation ; aperçu et effet concordent, dégâts et amorce résolus une fois.</x:v>
      </x:c>
      <x:c r="H16" s="7" t="str">
        <x:v>Tester santé, armure, bouclier, immunités puis propagation ; aperçu et effet concordent, dégâts et amorce résolus une fois.</x:v>
      </x:c>
      <x:c r="I16" s="7" t="str">
        <x:v>Mannequins et journal d’événements.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mea/qa/combos ; rattacher les ressources et états cités à cet identifiant. Aucun fichier de jeu créé par ce catalogue.</x:v>
      </x:c>
      <x:c r="M16" s="7" t="str"/>
      <x:c r="N16" s="7" t="str">
        <x:v>Le livrable « QA — protections et combos » possède une scène ou un scénario de contrôle ; ses règles proposées, ses conditions et ses retours visuels sont vérifiables séparément.</x:v>
      </x:c>
      <x:c r="O16" s="7" t="str">
        <x:v>MEA-SYS-COMBOS, MEA-SYS-DEFENSES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MEA-QA-CORA</x:v>
      </x:c>
      <x:c r="B17" s="9" t="str">
        <x:v>QA — arche asari</x:v>
      </x:c>
      <x:c r="C17" s="15" t="str">
        <x:v>Défini</x:v>
      </x:c>
      <x:c r="D17" s="16" t="str">
        <x:v>Extrapolation</x:v>
      </x:c>
      <x:c r="E17" s="16" t="str">
        <x:v>P1</x:v>
      </x:c>
      <x:c r="F17" s="9" t="str">
        <x:v>Livrable original proposé : QA — arche asari.</x:v>
      </x:c>
      <x:c r="G17" s="9" t="str">
        <x:v>Croiser révélation de Sarissa et choix de Pionnière ; Cora conserve progression, bonne Pionnière apparaît au final et dialogues ne supposent pas divulgation absente.</x:v>
      </x:c>
      <x:c r="H17" s="9" t="str">
        <x:v>Croiser révélation de Sarissa et choix de Pionnière ; Cora conserve progression, bonne Pionnière apparaît au final et dialogues ne supposent pas divulgation absente.</x:v>
      </x:c>
      <x:c r="I17" s="9" t="str">
        <x:v>Table de branches Leusinia.</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mea/qa/cora ; rattacher les ressources et états cités à cet identifiant. Aucun fichier de jeu créé par ce catalogue.</x:v>
      </x:c>
      <x:c r="M17" s="9" t="str"/>
      <x:c r="N17" s="9" t="str">
        <x:v>Le livrable « QA — arche asari » possède une scène ou un scénario de contrôle ; ses règles proposées, ses conditions et ses retours visuels sont vérifiables séparément.</x:v>
      </x:c>
      <x:c r="O17" s="9" t="str">
        <x:v>MEA-CHO-SARISSA-TRUTH, MEA-CHO-SARISSA-ROLE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MEA-QA-LIAM</x:v>
      </x:c>
      <x:c r="B18" s="7" t="str">
        <x:v>QA — gravité et captivité</x:v>
      </x:c>
      <x:c r="C18" s="15" t="str">
        <x:v>Défini</x:v>
      </x:c>
      <x:c r="D18" s="17" t="str">
        <x:v>Extrapolation</x:v>
      </x:c>
      <x:c r="E18" s="17" t="str">
        <x:v>P1</x:v>
      </x:c>
      <x:c r="F18" s="7" t="str">
        <x:v>Livrable original proposé : QA — gravité et captivité.</x:v>
      </x:c>
      <x:c r="G18" s="7" t="str">
        <x:v>Chaque orientation de vaisseau : pivots, caméra, loot et scanner ; captifs évacués une fois, débrief Verand ne force pas rupture non attestée.</x:v>
      </x:c>
      <x:c r="H18" s="7" t="str">
        <x:v>Chaque orientation de vaisseau : pivots, caméra, loot et scanner ; captifs évacués une fois, débrief Verand ne force pas rupture non attestée.</x:v>
      </x:c>
      <x:c r="I18" s="7" t="str">
        <x:v>Trois scènes d’orientation et état final.</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mea/qa/liam ; rattacher les ressources et états cités à cet identifiant. Aucun fichier de jeu créé par ce catalogue.</x:v>
      </x:c>
      <x:c r="M18" s="7" t="str"/>
      <x:c r="N18" s="7" t="str">
        <x:v>Le livrable « QA — gravité et captivité » possède une scène ou un scénario de contrôle ; ses règles proposées, ses conditions et ses retours visuels sont vérifiables séparément.</x:v>
      </x:c>
      <x:c r="O18" s="7" t="str">
        <x:v>MEA-SQ-LIAM-ALLIN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MEA-QA-VETRA</x:v>
      </x:c>
      <x:c r="B19" s="9" t="str">
        <x:v>QA — caméras et dangers</x:v>
      </x:c>
      <x:c r="C19" s="15" t="str">
        <x:v>Défini</x:v>
      </x:c>
      <x:c r="D19" s="16" t="str">
        <x:v>Extrapolation</x:v>
      </x:c>
      <x:c r="E19" s="16" t="str">
        <x:v>P1</x:v>
      </x:c>
      <x:c r="F19" s="9" t="str">
        <x:v>Livrable original proposé : QA — caméras et dangers.</x:v>
      </x:c>
      <x:c r="G19" s="9" t="str">
        <x:v>Tester chaque option de Sid par salle, aucune action et reprise ; gaz, Hydra, grues et ennemis doivent refléter l’option choisie.</x:v>
      </x:c>
      <x:c r="H19" s="9" t="str">
        <x:v>Tester chaque option de Sid par salle, aucune action et reprise ; gaz, Hydra, grues et ennemis doivent refléter l’option choisie.</x:v>
      </x:c>
      <x:c r="I19" s="9" t="str">
        <x:v>Moniteur puis capture de salle jouée.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mea/qa/vetra ; rattacher les ressources et états cités à cet identifiant. Aucun fichier de jeu créé par ce catalogue.</x:v>
      </x:c>
      <x:c r="M19" s="9" t="str"/>
      <x:c r="N19" s="9" t="str">
        <x:v>Le livrable « QA — caméras et dangers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MEA-QA-DRACK</x:v>
      </x:c>
      <x:c r="B20" s="7" t="str">
        <x:v>QA — graines et verdict</x:v>
      </x:c>
      <x:c r="C20" s="15" t="str">
        <x:v>Défini</x:v>
      </x:c>
      <x:c r="D20" s="17" t="str">
        <x:v>Extrapolation</x:v>
      </x:c>
      <x:c r="E20" s="17" t="str">
        <x:v>P1</x:v>
      </x:c>
      <x:c r="F20" s="7" t="str">
        <x:v>Livrable original proposé : QA — graines et verdict.</x:v>
      </x:c>
      <x:c r="G20" s="7" t="str">
        <x:v>Sauver Vorn, sécuriser transport, puis prison/exil de Spender ; déblocage de loyauté et clôture administrative ne se confondent pas.</x:v>
      </x:c>
      <x:c r="H20" s="7" t="str">
        <x:v>Sauver Vorn, sécuriser transport, puis prison/exil de Spender ; déblocage de loyauté et clôture administrative ne se confondent pas.</x:v>
      </x:c>
      <x:c r="I20" s="7" t="str">
        <x:v>Journal de mission et roster de compétences.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mea/qa/drack ; rattacher les ressources et états cités à cet identifiant. Aucun fichier de jeu créé par ce catalogue.</x:v>
      </x:c>
      <x:c r="M20" s="7" t="str"/>
      <x:c r="N20" s="7" t="str">
        <x:v>Le livrable « QA — graines et verdict » possède une scène ou un scénario de contrôle ; ses règles proposées, ses conditions et ses retours visuels sont vérifiables séparément.</x:v>
      </x:c>
      <x:c r="O20" s="7" t="str">
        <x:v>MEA-SQ-DRACK-FUTURE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MEA-QA-JAAL</x:v>
      </x:c>
      <x:c r="B21" s="9" t="str">
        <x:v>QA — Akksul et confiance</x:v>
      </x:c>
      <x:c r="C21" s="15" t="str">
        <x:v>Défini</x:v>
      </x:c>
      <x:c r="D21" s="16" t="str">
        <x:v>Extrapolation</x:v>
      </x:c>
      <x:c r="E21" s="16" t="str">
        <x:v>P1</x:v>
      </x:c>
      <x:c r="F21" s="9" t="str">
        <x:v>Livrable original proposé : QA — Akksul et confiance.</x:v>
      </x:c>
      <x:c r="G21" s="9" t="str">
        <x:v>Tir, absence de tir et mode non chronométré ; acteurs visés corrects, conséquences de blessure/mort cohérentes, loyauté ne déclenche pas romance automatique.</x:v>
      </x:c>
      <x:c r="H21" s="9" t="str">
        <x:v>Tir, absence de tir et mode non chronométré ; acteurs visés corrects, conséquences de blessure/mort cohérentes, loyauté ne déclenche pas romance automatique.</x:v>
      </x:c>
      <x:c r="I21" s="9" t="str">
        <x:v>Captures de confrontation et bilan.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mea/qa/jaal ; rattacher les ressources et états cités à cet identifiant. Aucun fichier de jeu créé par ce catalogue.</x:v>
      </x:c>
      <x:c r="M21" s="9" t="str"/>
      <x:c r="N21" s="9" t="str">
        <x:v>Le livrable « QA — Akksul et confiance » possède une scène ou un scénario de contrôle ; ses règles proposées, ses conditions et ses retours visuels sont vérifiables séparément.</x:v>
      </x:c>
      <x:c r="O21" s="9" t="str">
        <x:v>MEA-CHO-AKKSUL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MEA-QA-PEEBEE</x:v>
      </x:c>
      <x:c r="B22" s="7" t="str">
        <x:v>QA — appareil et Kalinda</x:v>
      </x:c>
      <x:c r="C22" s="15" t="str">
        <x:v>Défini</x:v>
      </x:c>
      <x:c r="D22" s="17" t="str">
        <x:v>Extrapolation</x:v>
      </x:c>
      <x:c r="E22" s="17" t="str">
        <x:v>P1</x:v>
      </x:c>
      <x:c r="F22" s="7" t="str">
        <x:v>Livrable original proposé : QA — appareil et Kalinda.</x:v>
      </x:c>
      <x:c r="G22" s="7" t="str">
        <x:v>Deux branches exclusives : appareil récupéré avec mort ou Kalinda sauvée avec appareil perdu ; fuite et retours de mission conservent le bon inventaire.</x:v>
      </x:c>
      <x:c r="H22" s="7" t="str">
        <x:v>Deux branches exclusives : appareil récupéré avec mort ou Kalinda sauvée avec appareil perdu ; fuite et retours de mission conservent le bon inventaire.</x:v>
      </x:c>
      <x:c r="I22" s="7" t="str">
        <x:v>Plateforme, objet et messages postmission.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mea/qa/peebee ; rattacher les ressources et états cités à cet identifiant. Aucun fichier de jeu créé par ce catalogue.</x:v>
      </x:c>
      <x:c r="M22" s="7" t="str"/>
      <x:c r="N22" s="7" t="str">
        <x:v>Le livrable « QA — appareil et Kalinda » possède une scène ou un scénario de contrôle ; ses règles proposées, ses conditions et ses retours visuels sont vérifiables séparément.</x:v>
      </x:c>
      <x:c r="O22" s="7" t="str">
        <x:v>MEA-CHO-KALINDA</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MEA-QA-ARKS</x:v>
      </x:c>
      <x:c r="B23" s="9" t="str">
        <x:v>QA — secours galarien et succession turienne</x:v>
      </x:c>
      <x:c r="C23" s="15" t="str">
        <x:v>Défini</x:v>
      </x:c>
      <x:c r="D23" s="16" t="str">
        <x:v>Extrapolation</x:v>
      </x:c>
      <x:c r="E23" s="16" t="str">
        <x:v>P1</x:v>
      </x:c>
      <x:c r="F23" s="9" t="str">
        <x:v>Livrable original proposé : QA — secours galarien et succession turienne.</x:v>
      </x:c>
      <x:c r="G23" s="9" t="str">
        <x:v>Choisir Raeka ou scouts, Avitus convaincu ou non ; roster de Pionniers et réactions de Drack reflètent ces deux axes indépendants.</x:v>
      </x:c>
      <x:c r="H23" s="9" t="str">
        <x:v>Choisir Raeka ou scouts, Avitus convaincu ou non ; roster de Pionniers et réactions de Drack reflètent ces deux axes indépendants.</x:v>
      </x:c>
      <x:c r="I23" s="9" t="str">
        <x:v>Matrice de quatre fonctions.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mea/qa/arks ; rattacher les ressources et états cités à cet identifiant. Aucun fichier de jeu créé par ce catalogue.</x:v>
      </x:c>
      <x:c r="M23" s="9" t="str"/>
      <x:c r="N23" s="9" t="str">
        <x:v>Le livrable « QA — secours galarien et succession turienne » possède une scène ou un scénario de contrôle ; ses règles proposées, ses conditions et ses retours visuels sont vérifiables séparément.</x:v>
      </x:c>
      <x:c r="O23" s="9" t="str">
        <x:v>MEA-CHO-RAEKA, MEA-CHO-AVITUS</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MEA-QA-POLITICS</x:v>
      </x:c>
      <x:c r="B24" s="7" t="str">
        <x:v>QA — Kadara et Elaaden</x:v>
      </x:c>
      <x:c r="C24" s="15" t="str">
        <x:v>Défini</x:v>
      </x:c>
      <x:c r="D24" s="17" t="str">
        <x:v>Extrapolation</x:v>
      </x:c>
      <x:c r="E24" s="17" t="str">
        <x:v>P1</x:v>
      </x:c>
      <x:c r="F24" s="7" t="str">
        <x:v>Livrable original proposé : QA — Kadara et Elaaden.</x:v>
      </x:c>
      <x:c r="G24" s="7" t="str">
        <x:v>Tester changements de régime, moteur gardé/donné, retours aux hubs et fondation ; aucun ancien chef mort ne donne une quête ni accord absent ne valide colonie.</x:v>
      </x:c>
      <x:c r="H24" s="7" t="str">
        <x:v>Tester changements de régime, moteur gardé/donné, retours aux hubs et fondation ; aucun ancien chef mort ne donne une quête ni accord absent ne valide colonie.</x:v>
      </x:c>
      <x:c r="I24" s="7" t="str">
        <x:v>Cartes politiques avant/après.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mea/qa/politics ; rattacher les ressources et états cités à cet identifiant. Aucun fichier de jeu créé par ce catalogue.</x:v>
      </x:c>
      <x:c r="M24" s="7" t="str"/>
      <x:c r="N24" s="7" t="str">
        <x:v>Le livrable « QA — Kadara et Elaaden » possède une scène ou un scénario de contrôle ; ses règles proposées, ses conditions et ses retours visuels sont vérifiables séparément.</x:v>
      </x:c>
      <x:c r="O24" s="7" t="str">
        <x:v>MEA-CHO-SLOANE-REYES, MEA-CHO-CORE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MEA-QA-ANCIENT-AI</x:v>
      </x:c>
      <x:c r="B25" s="9" t="str">
        <x:v>QA — IA, otage et destination</x:v>
      </x:c>
      <x:c r="C25" s="15" t="str">
        <x:v>Défini</x:v>
      </x:c>
      <x:c r="D25" s="16" t="str">
        <x:v>Extrapolation</x:v>
      </x:c>
      <x:c r="E25" s="16" t="str">
        <x:v>P1</x:v>
      </x:c>
      <x:c r="F25" s="9" t="str">
        <x:v>Livrable original proposé : QA — IA, otage et destination.</x:v>
      </x:c>
      <x:c r="G25" s="9" t="str">
        <x:v>Trois issues : IA détruite, conservée chez SAM, confiée aux angara ; otage, terminal, message et soutien final cohérents, aucune duplication de l’IA.</x:v>
      </x:c>
      <x:c r="H25" s="9" t="str">
        <x:v>Trois issues : IA détruite, conservée chez SAM, confiée aux angara ; otage, terminal, message et soutien final cohérents, aucune duplication de l’IA.</x:v>
      </x:c>
      <x:c r="I25" s="9" t="str">
        <x:v>Table des trois branches.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mea/qa/ancient-ai ; rattacher les ressources et états cités à cet identifiant. Aucun fichier de jeu créé par ce catalogue.</x:v>
      </x:c>
      <x:c r="M25" s="9" t="str"/>
      <x:c r="N25" s="9" t="str">
        <x:v>Le livrable « QA — IA, otage et destination » possède une scène ou un scénario de contrôle ; ses règles proposées, ses conditions et ses retours visuels sont vérifiables séparément.</x:v>
      </x:c>
      <x:c r="O25" s="9" t="str">
        <x:v>MEA-CHO-AI-LIFE, MEA-CHO-AI-OWNER</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MEA-QA-FAMILY</x:v>
      </x:c>
      <x:c r="B26" s="7" t="str">
        <x:v>QA — souvenirs de Ryder</x:v>
      </x:c>
      <x:c r="C26" s="15" t="str">
        <x:v>Défini</x:v>
      </x:c>
      <x:c r="D26" s="17" t="str">
        <x:v>Extrapolation</x:v>
      </x:c>
      <x:c r="E26" s="17" t="str">
        <x:v>P1</x:v>
      </x:c>
      <x:c r="F26" s="7" t="str">
        <x:v>Livrable original proposé : QA — souvenirs de Ryder.</x:v>
      </x:c>
      <x:c r="G26" s="7" t="str">
        <x:v>Trouver déclencheurs dans ordre variable, lire logs puis dernière mémoire ; Ellen, Garson et Bienfaiteur se révèlent seulement au bon état, jumeau visible à scène requise.</x:v>
      </x:c>
      <x:c r="H26" s="7" t="str">
        <x:v>Trouver déclencheurs dans ordre variable, lire logs puis dernière mémoire ; Ellen, Garson et Bienfaiteur se révèlent seulement au bon état, jumeau visible à scène requise.</x:v>
      </x:c>
      <x:c r="I26" s="7" t="str">
        <x:v>Index des mémoires et scènes.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mea/qa/family ; rattacher les ressources et états cités à cet identifiant. Aucun fichier de jeu créé par ce catalogue.</x:v>
      </x:c>
      <x:c r="M26" s="7" t="str"/>
      <x:c r="N26" s="7" t="str">
        <x:v>Le livrable « QA — souvenirs de Ryder » possède une scène ou un scénario de contrôle ; ses règles proposées, ses conditions et ses retours visuels sont vérifiables séparément.</x:v>
      </x:c>
      <x:c r="O26" s="7" t="str">
        <x:v>MEA-SQ-FAMILY</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MEA-QA-ROMANCE</x:v>
      </x:c>
      <x:c r="B27" s="9" t="str">
        <x:v>QA — partenaires et patch</x:v>
      </x:c>
      <x:c r="C27" s="15" t="str">
        <x:v>Défini</x:v>
      </x:c>
      <x:c r="D27" s="16" t="str">
        <x:v>Extrapolation</x:v>
      </x:c>
      <x:c r="E27" s="16" t="str">
        <x:v>P1</x:v>
      </x:c>
      <x:c r="F27" s="9" t="str">
        <x:v>Livrable original proposé : QA — partenaires et patch.</x:v>
      </x:c>
      <x:c r="G27" s="9" t="str">
        <x:v>Tester Sara/Scott avec profil 1.08+, relations exclusives et non exclusives selon table vérifiée ; Jaal/Scott disponible sans copier conditions de lancement.</x:v>
      </x:c>
      <x:c r="H27" s="9" t="str">
        <x:v>Tester Sara/Scott avec profil 1.08+, relations exclusives et non exclusives selon table vérifiée ; Jaal/Scott disponible sans copier conditions de lancement.</x:v>
      </x:c>
      <x:c r="I27" s="9" t="str">
        <x:v>Matrice de relation par version.</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mea/qa/romance ; rattacher les ressources et états cités à cet identifiant. Aucun fichier de jeu créé par ce catalogue.</x:v>
      </x:c>
      <x:c r="M27" s="9" t="str"/>
      <x:c r="N27" s="9" t="str">
        <x:v>Le livrable « QA — partenaires et patch » possède une scène ou un scénario de contrôle ; ses règles proposées, ses conditions et ses retours visuels sont vérifiables séparément.</x:v>
      </x:c>
      <x:c r="O27" s="9" t="str">
        <x:v>MEA-SYS-RELATIONS</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MEA-QA-DUNN</x:v>
      </x:c>
      <x:c r="B28" s="7" t="str">
        <x:v>QA — final Hyperion</x:v>
      </x:c>
      <x:c r="C28" s="15" t="str">
        <x:v>Défini</x:v>
      </x:c>
      <x:c r="D28" s="17" t="str">
        <x:v>Extrapolation</x:v>
      </x:c>
      <x:c r="E28" s="17" t="str">
        <x:v>P1</x:v>
      </x:c>
      <x:c r="F28" s="7" t="str">
        <x:v>Livrable original proposé : QA — final Hyperion.</x:v>
      </x:c>
      <x:c r="G28" s="7" t="str">
        <x:v>Matrice des Pionniers réellement disponibles, identité des remplaçants et Avitus ; brancher survie de Dunn et communications sans acteur absent.</x:v>
      </x:c>
      <x:c r="H28" s="7" t="str">
        <x:v>Matrice des Pionniers réellement disponibles, identité des remplaçants et Avitus ; brancher survie de Dunn et communications sans acteur absent.</x:v>
      </x:c>
      <x:c r="I28" s="7" t="str">
        <x:v>Table de secours et montage d’atterrissage.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mea/qa/dunn ; rattacher les ressources et états cités à cet identifiant. Aucun fichier de jeu créé par ce catalogue.</x:v>
      </x:c>
      <x:c r="M28" s="7" t="str"/>
      <x:c r="N28" s="7" t="str">
        <x:v>Le livrable « QA — final Hyperion » possède une scène ou un scénario de contrôle ; ses règles proposées, ses conditions et ses retours visuels sont vérifiables séparément.</x:v>
      </x:c>
      <x:c r="O28" s="7" t="str">
        <x:v>MEA-CHO-DUNN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MEA-QA-FINAL</x:v>
      </x:c>
      <x:c r="B29" s="9" t="str">
        <x:v>QA — Archonte et épilogue</x:v>
      </x:c>
      <x:c r="C29" s="15" t="str">
        <x:v>Défini</x:v>
      </x:c>
      <x:c r="D29" s="16" t="str">
        <x:v>Extrapolation</x:v>
      </x:c>
      <x:c r="E29" s="16" t="str">
        <x:v>P1</x:v>
      </x:c>
      <x:c r="F29" s="9" t="str">
        <x:v>Livrable original proposé : QA — Archonte et épilogue.</x:v>
      </x:c>
      <x:c r="G29" s="9" t="str">
        <x:v>Objectifs de réseau terminent combat, jumeau revient au bon rôle, ambassadeur appartient à liste valide et signal quarien ne crée pas de mission fictive.</x:v>
      </x:c>
      <x:c r="H29" s="9" t="str">
        <x:v>Objectifs de réseau terminent combat, jumeau revient au bon rôle, ambassadeur appartient à liste valide et signal quarien ne crée pas de mission fictive.</x:v>
      </x:c>
      <x:c r="I29" s="9" t="str">
        <x:v>Journal final et scène Port Meridian.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mea/qa/final ; rattacher les ressources et états cités à cet identifiant. Aucun fichier de jeu créé par ce catalogue.</x:v>
      </x:c>
      <x:c r="M29" s="9" t="str"/>
      <x:c r="N29" s="9" t="str">
        <x:v>Le livrable « QA — Archonte et épilogue » possède une scène ou un scénario de contrôle ; ses règles proposées, ses conditions et ses retours visuels sont vérifiables séparément.</x:v>
      </x:c>
      <x:c r="O29" s="9" t="str">
        <x:v>MEA-MQ-MERIDIAN, MEA-MQ-EPILOGUE</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MEA-QA-MP</x:v>
      </x:c>
      <x:c r="B30" s="7" t="str">
        <x:v>QA — séparation APEX / solo</x:v>
      </x:c>
      <x:c r="C30" s="15" t="str">
        <x:v>Défini</x:v>
      </x:c>
      <x:c r="D30" s="17" t="str">
        <x:v>Extrapolation</x:v>
      </x:c>
      <x:c r="E30" s="17" t="str">
        <x:v>P1</x:v>
      </x:c>
      <x:c r="F30" s="7" t="str">
        <x:v>Livrable original proposé : QA — séparation APEX / solo.</x:v>
      </x:c>
      <x:c r="G30" s="7" t="str">
        <x:v>Échec de connexion, désactivation du multi, récompense déjà réclamée et classe batarienne ; campagne reste jouable, aucune classe multi ajoutée à Tempest.</x:v>
      </x:c>
      <x:c r="H30" s="7" t="str">
        <x:v>Échec de connexion, désactivation du multi, récompense déjà réclamée et classe batarienne ; campagne reste jouable, aucune classe multi ajoutée à Tempest.</x:v>
      </x:c>
      <x:c r="I30" s="7" t="str">
        <x:v>Deux sauvegardes et écrans de mode.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mea/qa/mp ; rattacher les ressources et états cités à cet identifiant. Aucun fichier de jeu créé par ce catalogue.</x:v>
      </x:c>
      <x:c r="M30" s="7" t="str"/>
      <x:c r="N30" s="7" t="str">
        <x:v>Le livrable « QA — séparation APEX / solo » possède une scène ou un scénario de contrôle ; ses règles proposées, ses conditions et ses retours visuels sont vérifiables séparément.</x:v>
      </x:c>
      <x:c r="O30" s="7" t="str">
        <x:v>MEA-SYS-STRIKE, MEA-SYS-MP-ROSTER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MEA-QA-DEPTH</x:v>
      </x:c>
      <x:c r="B31" s="9" t="str">
        <x:v>QA — sprites et décors 3D</x:v>
      </x:c>
      <x:c r="C31" s="15" t="str">
        <x:v>Défini</x:v>
      </x:c>
      <x:c r="D31" s="16" t="str">
        <x:v>Extrapolation</x:v>
      </x:c>
      <x:c r="E31" s="16" t="str">
        <x:v>P1</x:v>
      </x:c>
      <x:c r="F31" s="9" t="str">
        <x:v>Livrable original proposé : QA — sprites et décors 3D.</x:v>
      </x:c>
      <x:c r="G31" s="9" t="str">
        <x:v>Tester hauteurs, couverts, caméra sous plafond et boss géant ; pivot au sol, masque de profondeur et sélection des sous-cibles restent stables.</x:v>
      </x:c>
      <x:c r="H31" s="9" t="str">
        <x:v>Tester hauteurs, couverts, caméra sous plafond et boss géant ; pivot au sol, masque de profondeur et sélection des sous-cibles restent stables.</x:v>
      </x:c>
      <x:c r="I31" s="9" t="str">
        <x:v>Arène d’essai de reliefs.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mea/qa/depth ; rattacher les ressources et états cités à cet identifiant. Aucun fichier de jeu créé par ce catalogue.</x:v>
      </x:c>
      <x:c r="M31" s="9" t="str"/>
      <x:c r="N31" s="9" t="str">
        <x:v>Le livrable « QA — sprites et décors 3D » possède une scène ou un scénario de contrôle ; ses règles proposées, ses conditions et ses retours visuels sont vérifiables séparément.</x:v>
      </x:c>
      <x:c r="O31" s="9" t="str">
        <x:v>MEA-SYS-VERTICAL, MEA-PRP-ARCHITECT-NODES</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MEA-QA-ACCESS</x:v>
      </x:c>
      <x:c r="B32" s="7" t="str">
        <x:v>QA — lecture des dangers</x:v>
      </x:c>
      <x:c r="C32" s="15" t="str">
        <x:v>Défini</x:v>
      </x:c>
      <x:c r="D32" s="17" t="str">
        <x:v>Extrapolation</x:v>
      </x:c>
      <x:c r="E32" s="17" t="str">
        <x:v>P1</x:v>
      </x:c>
      <x:c r="F32" s="7" t="str">
        <x:v>Livrable original proposé : QA — lecture des dangers.</x:v>
      </x:c>
      <x:c r="G32" s="7" t="str">
        <x:v>Parcours sans son, sans couleur et à faible mouvement ; scan, glyphes, saut, orbe et purification conservent signaux nécessaires.</x:v>
      </x:c>
      <x:c r="H32" s="7" t="str">
        <x:v>Parcours sans son, sans couleur et à faible mouvement ; scan, glyphes, saut, orbe et purification conservent signaux nécessaires.</x:v>
      </x:c>
      <x:c r="I32" s="7" t="str">
        <x:v>Captures des modes accessibles.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mea/qa/access ; rattacher les ressources et états cités à cet identifiant. Aucun fichier de jeu créé par ce catalogue.</x:v>
      </x:c>
      <x:c r="M32" s="7" t="str"/>
      <x:c r="N32" s="7" t="str">
        <x:v>Le livrable « QA — lecture des dangers » possède une scène ou un scénario de contrôle ; ses règles proposées, ses conditions et ses retours visuels sont vérifiables séparément.</x:v>
      </x:c>
      <x:c r="O32" s="7" t="str">
        <x:v>MEA-SYS-ACCESS</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96" priority="1" operator="equal">
      <x:formula>"À vérifier"</x:formula>
    </x:cfRule>
    <x:cfRule type="cellIs" dxfId="97" priority="2" operator="equal">
      <x:formula>"Extrapolation"</x:formula>
    </x:cfRule>
  </x:conditionalFormatting>
  <x:conditionalFormatting sqref="C7:C32">
    <x:cfRule type="cellIs" dxfId="98" priority="3" operator="equal">
      <x:formula>"Validé"</x:formula>
    </x:cfRule>
  </x:conditionalFormatting>
  <x:conditionalFormatting sqref="E7:E32">
    <x:cfRule type="cellIs" dxfId="99"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b8ca280095834331"/>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MEA-CON-TRILOGY</x:v>
      </x:c>
      <x:c r="B7" s="9" t="str">
        <x:v>Continuité — trilogie et Andromeda</x:v>
      </x:c>
      <x:c r="C7" s="15" t="str">
        <x:v>Défini</x:v>
      </x:c>
      <x:c r="D7" s="16" t="str">
        <x:v>Extrapolation</x:v>
      </x:c>
      <x:c r="E7" s="16" t="str">
        <x:v>P1</x:v>
      </x:c>
      <x:c r="F7" s="9" t="str">
        <x:v>Livrable original proposé : Continuité — trilogie et Andromeda.</x:v>
      </x:c>
      <x:c r="G7" s="9" t="str">
        <x:v>Chronologie de départ et d’arrivée distincte des choix de fin ME3 ; aucune importation de fin rouge/bleue/verte comme vérité du récit d’Andromeda.</x:v>
      </x:c>
      <x:c r="H7" s="9" t="str">
        <x:v>Chronologie de départ et d’arrivée distincte des choix de fin ME3 ; aucune importation de fin rouge/bleue/verte comme vérité du récit d’Andromeda.</x:v>
      </x:c>
      <x:c r="I7" s="9" t="str">
        <x:v>Deux frises de galaxies et événements.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mea/continuity/trilogy ; rattacher les ressources et états cités à cet identifiant. Aucun fichier de jeu créé par ce catalogue.</x:v>
      </x:c>
      <x:c r="M7" s="9" t="str"/>
      <x:c r="N7" s="9" t="str">
        <x:v>Le livrable « Continuité — trilogie et Andromeda » possède une scène ou un scénario de contrôle ; ses règles proposées, ses conditions et ses retours visuels sont vérifiables séparément.</x:v>
      </x:c>
      <x:c r="O7" s="9" t="str">
        <x:v>MEA-LOR-INITIATIVE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MEA-CON-INITIATIVE</x:v>
      </x:c>
      <x:c r="B8" s="7" t="str">
        <x:v>Continuité — Nexus Uprising</x:v>
      </x:c>
      <x:c r="C8" s="15" t="str">
        <x:v>Défini</x:v>
      </x:c>
      <x:c r="D8" s="17" t="str">
        <x:v>Extrapolation</x:v>
      </x:c>
      <x:c r="E8" s="17" t="str">
        <x:v>P1</x:v>
      </x:c>
      <x:c r="F8" s="7" t="str">
        <x:v>Livrable original proposé : Continuité — Nexus Uprising.</x:v>
      </x:c>
      <x:c r="G8" s="7" t="str">
        <x:v>Événements du Nexus et départ des exilés renvoient au roman dans son propre catalogue ; pas d’invention de participation de Ryder avant réveil.</x:v>
      </x:c>
      <x:c r="H8" s="7" t="str">
        <x:v>Événements du Nexus et départ des exilés renvoient au roman dans son propre catalogue ; pas d’invention de participation de Ryder avant réveil.</x:v>
      </x:c>
      <x:c r="I8" s="7" t="str">
        <x:v>Bibliographie liée à lore d’exilés.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mea/continuity/initiative ; rattacher les ressources et états cités à cet identifiant. Aucun fichier de jeu créé par ce catalogue.</x:v>
      </x:c>
      <x:c r="M8" s="7" t="str"/>
      <x:c r="N8" s="7" t="str">
        <x:v>Le livrable « Continuité — Nexus Uprising » possède une scène ou un scénario de contrôle ; ses règles proposées, ses conditions et ses retours visuels sont vérifiables séparément.</x:v>
      </x:c>
      <x:c r="O8" s="7" t="str">
        <x:v>MEA-LOR-EXILES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MEA-CON-INITIATION</x:v>
      </x:c>
      <x:c r="B9" s="9" t="str">
        <x:v>Continuité — Cora et SAM</x:v>
      </x:c>
      <x:c r="C9" s="15" t="str">
        <x:v>Défini</x:v>
      </x:c>
      <x:c r="D9" s="16" t="str">
        <x:v>Extrapolation</x:v>
      </x:c>
      <x:c r="E9" s="16" t="str">
        <x:v>P1</x:v>
      </x:c>
      <x:c r="F9" s="9" t="str">
        <x:v>Livrable original proposé : Continuité — Cora et SAM.</x:v>
      </x:c>
      <x:c r="G9" s="9" t="str">
        <x:v>Le roman Initiation éclaire un passé distinct ; les pouvoirs et missions du jeu restent définis par leur propre version.</x:v>
      </x:c>
      <x:c r="H9" s="9" t="str">
        <x:v>Le roman Initiation éclaire un passé distinct ; les pouvoirs et missions du jeu restent définis par leur propre version.</x:v>
      </x:c>
      <x:c r="I9" s="9" t="str">
        <x:v>Dossier de Cora et références de période.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mea/continuity/initiation ; rattacher les ressources et états cités à cet identifiant. Aucun fichier de jeu créé par ce catalogue.</x:v>
      </x:c>
      <x:c r="M9" s="9" t="str"/>
      <x:c r="N9" s="9" t="str">
        <x:v>Le livrable « Continuité — Cora et SAM » possède une scène ou un scénario de contrôle ; ses règles proposées, ses conditions et ses retours visuels sont vérifiables séparément.</x:v>
      </x:c>
      <x:c r="O9" s="9" t="str">
        <x:v>MEA-CHR-CORA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MEA-CON-ANNIHILATION</x:v>
      </x:c>
      <x:c r="B10" s="7" t="str">
        <x:v>Continuité — Keelah Si’yah</x:v>
      </x:c>
      <x:c r="C10" s="15" t="str">
        <x:v>Défini</x:v>
      </x:c>
      <x:c r="D10" s="17" t="str">
        <x:v>Extrapolation</x:v>
      </x:c>
      <x:c r="E10" s="17" t="str">
        <x:v>P1</x:v>
      </x:c>
      <x:c r="F10" s="7" t="str">
        <x:v>Livrable original proposé : Continuité — Keelah Si’yah.</x:v>
      </x:c>
      <x:c r="G10" s="7" t="str">
        <x:v>Roman Annihilation traité séparément ; signal d’épilogue reste un appel non résolu par une extension solo supposée.</x:v>
      </x:c>
      <x:c r="H10" s="7" t="str">
        <x:v>Roman Annihilation traité séparément ; signal d’épilogue reste un appel non résolu par une extension solo supposée.</x:v>
      </x:c>
      <x:c r="I10" s="7" t="str">
        <x:v>Lien bibliographique et archive radio.</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mea/continuity/annihilation ; rattacher les ressources et états cités à cet identifiant. Aucun fichier de jeu créé par ce catalogue.</x:v>
      </x:c>
      <x:c r="M10" s="7" t="str"/>
      <x:c r="N10" s="7" t="str">
        <x:v>Le livrable « Continuité — Keelah Si’yah » possède une scène ou un scénario de contrôle ; ses règles proposées, ses conditions et ses retours visuels sont vérifiables séparément.</x:v>
      </x:c>
      <x:c r="O10" s="7" t="str">
        <x:v>MEA-LOR-QUARIAN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MEA-CON-DLC</x:v>
      </x:c>
      <x:c r="B11" s="9" t="str">
        <x:v>Continuité — absence de DLC solo publié</x:v>
      </x:c>
      <x:c r="C11" s="15" t="str">
        <x:v>Défini</x:v>
      </x:c>
      <x:c r="D11" s="16" t="str">
        <x:v>Extrapolation</x:v>
      </x:c>
      <x:c r="E11" s="16" t="str">
        <x:v>P1</x:v>
      </x:c>
      <x:c r="F11" s="9" t="str">
        <x:v>Livrable original proposé : Continuité — absence de DLC solo publié.</x:v>
      </x:c>
      <x:c r="G11" s="9" t="str">
        <x:v>Le message BioWare de 2017 annonce fin du suivi solo après 1.10 ; aucune mission d’arche quarienne, monde ou compagnon additionnel fictif ne remplit le catalogue.</x:v>
      </x:c>
      <x:c r="H11" s="9" t="str">
        <x:v>Le message BioWare de 2017 annonce fin du suivi solo après 1.10 ; aucune mission d’arche quarienne, monde ou compagnon additionnel fictif ne remplit le catalogue.</x:v>
      </x:c>
      <x:c r="I11" s="9" t="str">
        <x:v>Notice de périmètre des extensions.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mea/continuity/dlc ; rattacher les ressources et états cités à cet identifiant. Aucun fichier de jeu créé par ce catalogue.</x:v>
      </x:c>
      <x:c r="M11" s="9" t="str"/>
      <x:c r="N11" s="9" t="str">
        <x:v>Le livrable « Continuité — absence de DLC solo publié » possède une scène ou un scénario de contrôle ; ses règles proposées, ses conditions et ses retours visuels sont vérifiables séparément.</x:v>
      </x:c>
      <x:c r="O11" s="9" t="str">
        <x:v>MEA-PRP-QUARIAN-SIGNAL</x:v>
      </x:c>
      <x:c r="P11" s="9" t="str">
        <x:v>Message BioWare du 19 août 2017</x:v>
      </x:c>
      <x:c r="Q11" s="9" t="str">
        <x:v>MEA-SRC-BW-FINAL</x:v>
      </x:c>
      <x:c r="R11" s="9" t="str">
        <x:v>https://blog.bioware.com/2017/08/19/mass-effect-andromeda/</x:v>
      </x:c>
      <x:c r="S11" s="9" t="str">
        <x:v>Spécification à réaliser. Les champs adaptation, gameplay, visual, animation, audio et implementation décrivent le fan game ; ils ne donnent pas des caractéristiques officielles de l’œuvre.</x:v>
      </x:c>
    </x:row>
    <x:row r="12" ht="68" customHeight="1">
      <x:c r="A12" s="19" t="str">
        <x:v>MEA-CON-PATCH108</x:v>
      </x:c>
      <x:c r="B12" s="7" t="str">
        <x:v>Continuité — patch 1.08</x:v>
      </x:c>
      <x:c r="C12" s="15" t="str">
        <x:v>Défini</x:v>
      </x:c>
      <x:c r="D12" s="17" t="str">
        <x:v>Extrapolation</x:v>
      </x:c>
      <x:c r="E12" s="17" t="str">
        <x:v>P1</x:v>
      </x:c>
      <x:c r="F12" s="7" t="str">
        <x:v>Livrable original proposé : Continuité — patch 1.08.</x:v>
      </x:c>
      <x:c r="G12" s="7" t="str">
        <x:v>Jaal/Scott, personnalisation et ajustements de dialogue ont une version ; conserver règles choisies dans sauvegarde et fiches de relation.</x:v>
      </x:c>
      <x:c r="H12" s="7" t="str">
        <x:v>Jaal/Scott, personnalisation et ajustements de dialogue ont une version ; conserver règles choisies dans sauvegarde et fiches de relation.</x:v>
      </x:c>
      <x:c r="I12" s="7" t="str">
        <x:v>Badge de patch et journal de variation.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mea/continuity/patch108 ; rattacher les ressources et états cités à cet identifiant. Aucun fichier de jeu créé par ce catalogue.</x:v>
      </x:c>
      <x:c r="M12" s="7" t="str"/>
      <x:c r="N12" s="7" t="str">
        <x:v>Le livrable « Continuité — patch 1.08 » possède une scène ou un scénario de contrôle ; ses règles proposées, ses conditions et ses retours visuels sont vérifiables séparément.</x:v>
      </x:c>
      <x:c r="O12" s="7" t="str">
        <x:v>MEA-SYS-RELATIONS, MEA-NPC-HAINLY</x:v>
      </x:c>
      <x:c r="P12" s="7" t="str">
        <x:v>Adaptation originale — spécification de production</x:v>
      </x:c>
      <x:c r="Q12" s="7" t="str">
        <x:v>MEA-SRC-BW-108</x:v>
      </x:c>
      <x:c r="R12" s="7" t="str">
        <x:v>https://blog.bioware.com/2017/06/06/mass-effect-andromeda-patch-1-08-notes/</x:v>
      </x:c>
      <x:c r="S12" s="7" t="str">
        <x:v>Spécification à réaliser. Les champs adaptation, gameplay, visual, animation, audio et implementation décrivent le fan game ; ils ne donnent pas des caractéristiques officielles de l’œuvre.</x:v>
      </x:c>
    </x:row>
    <x:row r="13" ht="68" customHeight="1">
      <x:c r="A13" s="18" t="str">
        <x:v>MEA-CON-PATCH110</x:v>
      </x:c>
      <x:c r="B13" s="9" t="str">
        <x:v>Continuité — patch et bugs</x:v>
      </x:c>
      <x:c r="C13" s="15" t="str">
        <x:v>Défini</x:v>
      </x:c>
      <x:c r="D13" s="16" t="str">
        <x:v>Extrapolation</x:v>
      </x:c>
      <x:c r="E13" s="16" t="str">
        <x:v>P1</x:v>
      </x:c>
      <x:c r="F13" s="9" t="str">
        <x:v>Livrable original proposé : Continuité — patch et bugs.</x:v>
      </x:c>
      <x:c r="G13" s="9" t="str">
        <x:v>Corrections de dialogue/sauvegarde servent à définir scénarios QA ; aucun bug de lancement reproduit comme caractéristique voulue de l’adaptation.</x:v>
      </x:c>
      <x:c r="H13" s="9" t="str">
        <x:v>Corrections de dialogue/sauvegarde servent à définir scénarios QA ; aucun bug de lancement reproduit comme caractéristique voulue de l’adaptation.</x:v>
      </x:c>
      <x:c r="I13" s="9" t="str">
        <x:v>Table d’écarts de version.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mea/continuity/patch110 ; rattacher les ressources et états cités à cet identifiant. Aucun fichier de jeu créé par ce catalogue.</x:v>
      </x:c>
      <x:c r="M13" s="9" t="str"/>
      <x:c r="N13" s="9" t="str">
        <x:v>Le livrable « Continuité — patch et bugs » possède une scène ou un scénario de contrôle ; ses règles proposées, ses conditions et ses retours visuels sont vérifiables séparément.</x:v>
      </x:c>
      <x:c r="O13" s="9" t="str">
        <x:v>MEA-SYS-SAVE</x:v>
      </x:c>
      <x:c r="P13" s="9" t="str">
        <x:v>Adaptation originale — spécification de production</x:v>
      </x:c>
      <x:c r="Q13" s="9" t="str">
        <x:v>MEA-SRC-BW-106, MEA-SRC-BW-FINAL</x:v>
      </x:c>
      <x:c r="R13" s="9" t="str">
        <x:v>https://blog.bioware.com/2017/05/09/mass-effect-andromeda-patch-1-06-notes/
https://blog.bioware.com/2017/08/19/mass-effect-andromeda/</x:v>
      </x:c>
      <x:c r="S13" s="9" t="str">
        <x:v>Spécification à réaliser. Les champs adaptation, gameplay, visual, animation, audio et implementation décrivent le fan game ; ils ne donnent pas des caractéristiques officielles de l’œuvre.</x:v>
      </x:c>
    </x:row>
    <x:row r="14" ht="68" customHeight="1">
      <x:c r="A14" s="19" t="str">
        <x:v>MEA-CON-ROSTER</x:v>
      </x:c>
      <x:c r="B14" s="7" t="str">
        <x:v>Continuité — six équipiers de Tempest</x:v>
      </x:c>
      <x:c r="C14" s="15" t="str">
        <x:v>Défini</x:v>
      </x:c>
      <x:c r="D14" s="17" t="str">
        <x:v>Extrapolation</x:v>
      </x:c>
      <x:c r="E14" s="17" t="str">
        <x:v>P1</x:v>
      </x:c>
      <x:c r="F14" s="7" t="str">
        <x:v>Livrable original proposé : Continuité — six équipiers de Tempest.</x:v>
      </x:c>
      <x:c r="G14" s="7" t="str">
        <x:v>Cora, Liam, Vetra, Jaal, Drack et Peebee restent groupe permanent ; Alec prologue, jumeau temporaire et classes APEX ont des portées distinctes.</x:v>
      </x:c>
      <x:c r="H14" s="7" t="str">
        <x:v>Cora, Liam, Vetra, Jaal, Drack et Peebee restent groupe permanent ; Alec prologue, jumeau temporaire et classes APEX ont des portées distinctes.</x:v>
      </x:c>
      <x:c r="I14" s="7" t="str">
        <x:v>Roster avec raisons de présence.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mea/continuity/roster ; rattacher les ressources et états cités à cet identifiant. Aucun fichier de jeu créé par ce catalogue.</x:v>
      </x:c>
      <x:c r="M14" s="7" t="str"/>
      <x:c r="N14" s="7" t="str">
        <x:v>Le livrable « Continuité — six équipiers de Tempest » possède une scène ou un scénario de contrôle ; ses règles proposées, ses conditions et ses retours visuels sont vérifiables séparément.</x:v>
      </x:c>
      <x:c r="O14" s="7" t="str">
        <x:v>MEA-CHR-ALEC, MEA-NPC-TWIN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MEA-CON-PATHFINDERS</x:v>
      </x:c>
      <x:c r="B15" s="9" t="str">
        <x:v>Continuité — fonctions et personnes</x:v>
      </x:c>
      <x:c r="C15" s="15" t="str">
        <x:v>Défini</x:v>
      </x:c>
      <x:c r="D15" s="16" t="str">
        <x:v>Extrapolation</x:v>
      </x:c>
      <x:c r="E15" s="16" t="str">
        <x:v>P1</x:v>
      </x:c>
      <x:c r="F15" s="9" t="str">
        <x:v>Livrable original proposé : Continuité — fonctions et personnes.</x:v>
      </x:c>
      <x:c r="G15" s="9" t="str">
        <x:v>Raeka/Hayjer, Sarissa/Vederia et Avitus/Macen ; un rôle vacant n’est pas rempli par substitution automatique non choisie.</x:v>
      </x:c>
      <x:c r="H15" s="9" t="str">
        <x:v>Raeka/Hayjer, Sarissa/Vederia et Avitus/Macen ; un rôle vacant n’est pas rempli par substitution automatique non choisie.</x:v>
      </x:c>
      <x:c r="I15" s="9" t="str">
        <x:v>Matrice des postes et survivants.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mea/continuity/pathfinders ; rattacher les ressources et états cités à cet identifiant. Aucun fichier de jeu créé par ce catalogue.</x:v>
      </x:c>
      <x:c r="M15" s="9" t="str"/>
      <x:c r="N15" s="9" t="str">
        <x:v>Le livrable « Continuité — fonctions et personnes » possède une scène ou un scénario de contrôle ; ses règles proposées, ses conditions et ses retours visuels sont vérifiables séparément.</x:v>
      </x:c>
      <x:c r="O15" s="9" t="str">
        <x:v>MEA-CHO-DUNN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MEA-CON-COLONIES</x:v>
      </x:c>
      <x:c r="B16" s="7" t="str">
        <x:v>Continuité — restauration et accords</x:v>
      </x:c>
      <x:c r="C16" s="15" t="str">
        <x:v>Défini</x:v>
      </x:c>
      <x:c r="D16" s="17" t="str">
        <x:v>Extrapolation</x:v>
      </x:c>
      <x:c r="E16" s="17" t="str">
        <x:v>P1</x:v>
      </x:c>
      <x:c r="F16" s="7" t="str">
        <x:v>Livrable original proposé : Continuité — restauration et accords.</x:v>
      </x:c>
      <x:c r="G16" s="7" t="str">
        <x:v>Caveau, danger, viabilité et fondation suivent quatre axes ; politique de Kadara/Elaaden reste visible après final.</x:v>
      </x:c>
      <x:c r="H16" s="7" t="str">
        <x:v>Caveau, danger, viabilité et fondation suivent quatre axes ; politique de Kadara/Elaaden reste visible après final.</x:v>
      </x:c>
      <x:c r="I16" s="7" t="str">
        <x:v>Carte avant/après avec états.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mea/continuity/colonies ; rattacher les ressources et états cités à cet identifiant. Aucun fichier de jeu créé par ce catalogue.</x:v>
      </x:c>
      <x:c r="M16" s="7" t="str"/>
      <x:c r="N16" s="7" t="str">
        <x:v>Le livrable « Continuité — restauration et accords » possède une scène ou un scénario de contrôle ; ses règles proposées, ses conditions et ses retours visuels sont vérifiables séparément.</x:v>
      </x:c>
      <x:c r="O16" s="7" t="str">
        <x:v>MEA-SYS-VIABILITY</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MEA-CON-FAMILY</x:v>
      </x:c>
      <x:c r="B17" s="9" t="str">
        <x:v>Continuité — mystères familiaux</x:v>
      </x:c>
      <x:c r="C17" s="15" t="str">
        <x:v>Défini</x:v>
      </x:c>
      <x:c r="D17" s="16" t="str">
        <x:v>Extrapolation</x:v>
      </x:c>
      <x:c r="E17" s="16" t="str">
        <x:v>P1</x:v>
      </x:c>
      <x:c r="F17" s="9" t="str">
        <x:v>Livrable original proposé : Continuité — mystères familiaux.</x:v>
      </x:c>
      <x:c r="G17" s="9" t="str">
        <x:v>Révélation d’Ellen est un fait conditionnel découvert ; identité du Bienfaiteur et suite du projet ne sont pas résolues par le fan game comme canon.</x:v>
      </x:c>
      <x:c r="H17" s="9" t="str">
        <x:v>Révélation d’Ellen est un fait conditionnel découvert ; identité du Bienfaiteur et suite du projet ne sont pas résolues par le fan game comme canon.</x:v>
      </x:c>
      <x:c r="I17" s="9" t="str">
        <x:v>Dossier de connaissances acquises.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mea/continuity/family ; rattacher les ressources et états cités à cet identifiant. Aucun fichier de jeu créé par ce catalogue.</x:v>
      </x:c>
      <x:c r="M17" s="9" t="str"/>
      <x:c r="N17" s="9" t="str">
        <x:v>Le livrable « Continuité — mystères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MEA-CON-LOYALTY</x:v>
      </x:c>
      <x:c r="B18" s="7" t="str">
        <x:v>Continuité — sens de la loyauté</x:v>
      </x:c>
      <x:c r="C18" s="15" t="str">
        <x:v>Défini</x:v>
      </x:c>
      <x:c r="D18" s="17" t="str">
        <x:v>Extrapolation</x:v>
      </x:c>
      <x:c r="E18" s="17" t="str">
        <x:v>P1</x:v>
      </x:c>
      <x:c r="F18" s="7" t="str">
        <x:v>Livrable original proposé : Continuité — sens de la loyauté.</x:v>
      </x:c>
      <x:c r="G18" s="7" t="str">
        <x:v>Les missions débloquent progression et scènes ; ne pas copier la sélection de spécialistes et la mortalité de la suicide mission ME2.</x:v>
      </x:c>
      <x:c r="H18" s="7" t="str">
        <x:v>Les missions débloquent progression et scènes ; ne pas copier la sélection de spécialistes et la mortalité de la suicide mission ME2.</x:v>
      </x:c>
      <x:c r="I18" s="7" t="str">
        <x:v>Comparaison des systèmes sans import de règle.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mea/continuity/loyalty ; rattacher les ressources et états cités à cet identifiant. Aucun fichier de jeu créé par ce catalogue.</x:v>
      </x:c>
      <x:c r="M18" s="7" t="str"/>
      <x:c r="N18" s="7" t="str">
        <x:v>Le livrable « Continuité — sens de la loyauté » possède une scène ou un scénario de contrôle ; ses règles proposées, ses conditions et ses retours visuels sont vérifiables séparément.</x:v>
      </x:c>
      <x:c r="O18" s="7" t="str">
        <x:v>MEA-SYS-LOYALTY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MEA-CON-MULTI</x:v>
      </x:c>
      <x:c r="B19" s="9" t="str">
        <x:v>Continuité — APEX et campagne</x:v>
      </x:c>
      <x:c r="C19" s="15" t="str">
        <x:v>Défini</x:v>
      </x:c>
      <x:c r="D19" s="16" t="str">
        <x:v>Extrapolation</x:v>
      </x:c>
      <x:c r="E19" s="16" t="str">
        <x:v>P1</x:v>
      </x:c>
      <x:c r="F19" s="9" t="str">
        <x:v>Livrable original proposé : Continuité — APEX et campagne.</x:v>
      </x:c>
      <x:c r="G19" s="9" t="str">
        <x:v>Le multi complète contexte et récompenses facultatives ; ni Prestige ni statistiques Veteran Bonus ne deviennent des capacités de Ryder.</x:v>
      </x:c>
      <x:c r="H19" s="9" t="str">
        <x:v>Le multi complète contexte et récompenses facultatives ; ni Prestige ni statistiques Veteran Bonus ne deviennent des capacités de Ryder.</x:v>
      </x:c>
      <x:c r="I19" s="9" t="str">
        <x:v>Manifeste de modes et sauvegardes.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mea/continuity/multi ; rattacher les ressources et états cités à cet identifiant. Aucun fichier de jeu créé par ce catalogue.</x:v>
      </x:c>
      <x:c r="M19" s="9" t="str"/>
      <x:c r="N19" s="9" t="str">
        <x:v>Le livrable « Continuité — APEX et campagne » possède une scène ou un scénario de contrôle ; ses règles proposées, ses conditions et ses retours visuels sont vérifiables séparément.</x:v>
      </x:c>
      <x:c r="O19" s="9" t="str">
        <x:v>MEA-SYS-MP-ROSTER</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MEA-CON-ORIGINAL</x:v>
      </x:c>
      <x:c r="B20" s="7" t="str">
        <x:v>Continuité — statut des créations</x:v>
      </x:c>
      <x:c r="C20" s="15" t="str">
        <x:v>Défini</x:v>
      </x:c>
      <x:c r="D20" s="17" t="str">
        <x:v>Extrapolation</x:v>
      </x:c>
      <x:c r="E20" s="17" t="str">
        <x:v>P1</x:v>
      </x:c>
      <x:c r="F20" s="7" t="str">
        <x:v>Livrable original proposé : Continuité — statut des créations.</x:v>
      </x:c>
      <x:c r="G20" s="7" t="str">
        <x:v>ATB, arènes proposées, contrôles, animations, sons et ressources graphiques sont du design original ; aucune valeur de dégâts ne prétend reconstituer BioWare.</x:v>
      </x:c>
      <x:c r="H20" s="7" t="str">
        <x:v>ATB, arènes proposées, contrôles, animations, sons et ressources graphiques sont du design original ; aucune valeur de dégâts ne prétend reconstituer BioWare.</x:v>
      </x:c>
      <x:c r="I20" s="7" t="str">
        <x:v>Bandeau de nature et source.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mea/continuity/original ; rattacher les ressources et états cités à cet identifiant. Aucun fichier de jeu créé par ce catalogue.</x:v>
      </x:c>
      <x:c r="M20" s="7" t="str"/>
      <x:c r="N20" s="7" t="str">
        <x:v>Le livrable « Continuité — statut des créations » possède une scène ou un scénario de contrôle ; ses règles proposées, ses conditions et ses retours visuels sont vérifiables séparément.</x:v>
      </x:c>
      <x:c r="O20" s="7" t="str">
        <x:v>MEA-SYS-ATB</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a22ca73c86104075"/>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Andromeda</x:v>
      </x:c>
      <x:c r="C7" s="2"/>
      <x:c r="D7" s="2"/>
      <x:c r="E7" s="2"/>
      <x:c r="F7" s="2"/>
    </x:row>
    <x:row r="8" ht="30" customHeight="1">
      <x:c r="A8" s="7" t="str">
        <x:v>Support</x:v>
      </x:c>
      <x:c r="B8" s="7" t="str">
        <x:v>Jeu vidéo</x:v>
      </x:c>
      <x:c r="C8" s="2"/>
      <x:c r="D8" s="2"/>
      <x:c r="E8" s="2"/>
      <x:c r="F8" s="2"/>
    </x:row>
    <x:row r="9" ht="82" customHeight="1">
      <x:c r="A9" s="7" t="str">
        <x:v>Périmètre</x:v>
      </x:c>
      <x:c r="B9" s="7" t="str">
        <x:v>Campagne solo complète comme périmètre de préparation, grands arcs d’alliés, mondes de Heleus, tâches représentatives et épilogue. Profils de patch explicités. APEX et multijoueur coopératif sont des modules séparés ; aucun DLC narratif solo hypothétique ni résolution inventée de l’arche quarienne.</x:v>
      </x:c>
      <x:c r="C9" s="2"/>
      <x:c r="D9" s="2"/>
      <x:c r="E9" s="2"/>
      <x:c r="F9" s="2"/>
    </x:row>
    <x:row r="10" ht="54" customHeight="1">
      <x:c r="A10" s="7" t="str">
        <x:v>Projet</x:v>
      </x:c>
      <x:c r="B10" s="7" t="str">
        <x:v>763 fiches de production ; 52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MEA-SRC-EA-GAME</x:v>
      </x:c>
      <x:c r="B27" s="6" t="str">
        <x:v>Mass Effect: Andromeda — EA</x:v>
      </x:c>
      <x:c r="C27" s="6" t="str">
        <x:v>source officielle</x:v>
      </x:c>
      <x:c r="D27" s="6" t="str">
        <x:v>https://www.ea.com/games/mass-effect/mass-effect-andromeda</x:v>
      </x:c>
      <x:c r="E27" s="6" t="str">
        <x:v>Exploration, rôle du Pathfinder et équipage</x:v>
      </x:c>
      <x:c r="F27" s="6" t="str">
        <x:v>Source officielle consultée le 22 octobre 2026 ; portée limitée au sujet annoncé.</x:v>
      </x:c>
    </x:row>
    <x:row r="28" ht="42" customHeight="1">
      <x:c r="A28" s="6" t="str">
        <x:v>MEA-SRC-BW-FINAL</x:v>
      </x:c>
      <x:c r="B28" s="6" t="str">
        <x:v>Mass Effect: Andromeda — message du studio</x:v>
      </x:c>
      <x:c r="C28" s="6" t="str">
        <x:v>source officielle</x:v>
      </x:c>
      <x:c r="D28" s="6" t="str">
        <x:v>https://blog.bioware.com/2017/08/19/mass-effect-andromeda/</x:v>
      </x:c>
      <x:c r="E28" s="6" t="str">
        <x:v>Fin des mises à jour solo après 1.10, autres supports narratifs</x:v>
      </x:c>
      <x:c r="F28" s="6" t="str">
        <x:v>Source officielle consultée le 22 octobre 2026 ; portée limitée au sujet annoncé.</x:v>
      </x:c>
    </x:row>
    <x:row r="29" ht="42" customHeight="1">
      <x:c r="A29" s="6" t="str">
        <x:v>MEA-SRC-BW-108</x:v>
      </x:c>
      <x:c r="B29" s="6" t="str">
        <x:v>Mass Effect: Andromeda Patch 1.08 Notes</x:v>
      </x:c>
      <x:c r="C29" s="6" t="str">
        <x:v>source officielle</x:v>
      </x:c>
      <x:c r="D29" s="6" t="str">
        <x:v>https://blog.bioware.com/2017/06/06/mass-effect-andromeda-patch-1-08-notes/</x:v>
      </x:c>
      <x:c r="E29" s="6" t="str">
        <x:v>Romance Jaal/Scott et changements de personnages</x:v>
      </x:c>
      <x:c r="F29" s="6" t="str">
        <x:v>Source officielle consultée le 22 octobre 2026 ; portée limitée au sujet annoncé.</x:v>
      </x:c>
    </x:row>
    <x:row r="30" ht="42" customHeight="1">
      <x:c r="A30" s="6" t="str">
        <x:v>MEA-SRC-BW-106</x:v>
      </x:c>
      <x:c r="B30" s="6" t="str">
        <x:v>Mass Effect: Andromeda Patch 1.06 Notes</x:v>
      </x:c>
      <x:c r="C30" s="6" t="str">
        <x:v>source officielle</x:v>
      </x:c>
      <x:c r="D30" s="6" t="str">
        <x:v>https://blog.bioware.com/2017/05/09/mass-effect-andromeda-patch-1-06-notes/</x:v>
      </x:c>
      <x:c r="E30" s="6" t="str">
        <x:v>Correctifs de dialogue, cinématique et sauvegarde</x:v>
      </x:c>
      <x:c r="F30" s="6" t="str">
        <x:v>Source officielle consultée le 22 octobre 2026 ; portée limitée au sujet annoncé.</x:v>
      </x:c>
    </x:row>
    <x:row r="31" ht="42" customHeight="1">
      <x:c r="A31" s="6" t="str">
        <x:v>MEA-SRC-MANUAL</x:v>
      </x:c>
      <x:c r="B31" s="6" t="str">
        <x:v>Mass Effect: Andromeda — manuel PC</x:v>
      </x:c>
      <x:c r="C31" s="6" t="str">
        <x:v>source officielle</x:v>
      </x:c>
      <x:c r="D31" s="6" t="str">
        <x:v>https://eaassets-a.akamaihd.net/eahelp/manuals/mass-effect-andromeda-pc-en.pdf</x:v>
      </x:c>
      <x:c r="E31" s="6" t="str">
        <x:v>Commandes, personnages, loadout et modes</x:v>
      </x:c>
      <x:c r="F31" s="6" t="str">
        <x:v>Source officielle consultée le 22 octobre 2026 ; portée limitée au sujet annoncé.</x:v>
      </x:c>
    </x:row>
    <x:row r="32" ht="42" customHeight="1">
      <x:c r="A32" s="6" t="str">
        <x:v>MEA-SRC-EA-DELUXE</x:v>
      </x:c>
      <x:c r="B32" s="6" t="str">
        <x:v>Mass Effect: Andromeda — boutique EA sur Steam</x:v>
      </x:c>
      <x:c r="C32" s="6" t="str">
        <x:v>source officielle</x:v>
      </x:c>
      <x:c r="D32" s="6" t="str">
        <x:v>https://store.steampowered.com/app/1238000/Mass_EffectAndromeda/</x:v>
      </x:c>
      <x:c r="E32" s="6" t="str">
        <x:v>Édition Deluxe, armes/armures/skins et pyjak</x:v>
      </x:c>
      <x:c r="F32" s="6" t="str">
        <x:v>Source officielle consultée le 22 octobre 2026 ; portée limitée au sujet annoncé.</x:v>
      </x:c>
    </x:row>
    <x:row r="33" ht="82" customHeight="1">
      <x:c r="A33" s="6" t="str">
        <x:v>MEA-SRC-GAME</x:v>
      </x:c>
      <x:c r="B33" s="6" t="str">
        <x:v>Mass Effect: Andromeda</x:v>
      </x:c>
      <x:c r="C33" s="6" t="str">
        <x:v>wiki</x:v>
      </x:c>
      <x:c r="D33" s="6" t="str">
        <x:v>https://masseffect.fandom.com/wiki/Mass_Effect%3A_Andromeda</x:v>
      </x:c>
      <x:c r="E33" s="6" t="str">
        <x:v>Périmètre et chronologie</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MEA-SRC-GUIDE</x:v>
      </x:c>
      <x:c r="B34" s="6" t="str">
        <x:v>Mass Effect: Andromeda Guide</x:v>
      </x:c>
      <x:c r="C34" s="6" t="str">
        <x:v>wiki</x:v>
      </x:c>
      <x:c r="D34" s="6" t="str">
        <x:v>https://masseffect.fandom.com/wiki/Mass_Effect%3A_Andromeda_Guide</x:v>
      </x:c>
      <x:c r="E34" s="6" t="str">
        <x:v>Campagne, ordre variable et missions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MEA-SRC-MISSIONS</x:v>
      </x:c>
      <x:c r="B35" s="6" t="str">
        <x:v>Missions (Mass Effect: Andromeda)</x:v>
      </x:c>
      <x:c r="C35" s="6" t="str">
        <x:v>wiki</x:v>
      </x:c>
      <x:c r="D35" s="6" t="str">
        <x:v>https://masseffect.fandom.com/wiki/Missions_%28Mass_Effect%3A_Andromeda%29</x:v>
      </x:c>
      <x:c r="E35" s="6" t="str">
        <x:v>Index des missions et catégories de journal</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MEA-SRC-CHAR</x:v>
      </x:c>
      <x:c r="B36" s="6" t="str">
        <x:v>Characters/Mass Effect: Andromeda</x:v>
      </x:c>
      <x:c r="C36" s="6" t="str">
        <x:v>wiki</x:v>
      </x:c>
      <x:c r="D36" s="6" t="str">
        <x:v>https://masseffect.fandom.com/wiki/Characters/Mass_Effect%3A_Andromeda</x:v>
      </x:c>
      <x:c r="E36" s="6" t="str">
        <x:v>Personnages et factions</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MEA-SRC-SQUAD</x:v>
      </x:c>
      <x:c r="B37" s="6" t="str">
        <x:v>Squad Members Guide (Mass Effect: Andromeda)</x:v>
      </x:c>
      <x:c r="C37" s="6" t="str">
        <x:v>wiki</x:v>
      </x:c>
      <x:c r="D37" s="6" t="str">
        <x:v>https://masseffect.fandom.com/wiki/Squad_Members_Guide_%28Mass_Effect%3A_Andromeda%29</x:v>
      </x:c>
      <x:c r="E37" s="6" t="str">
        <x:v>Équipiers et composition</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MEA-SRC-LOYALTY</x:v>
      </x:c>
      <x:c r="B38" s="6" t="str">
        <x:v>Loyalty Missions (Mass Effect: Andromeda)</x:v>
      </x:c>
      <x:c r="C38" s="6" t="str">
        <x:v>wiki</x:v>
      </x:c>
      <x:c r="D38" s="6" t="str">
        <x:v>https://masseffect.fandom.com/wiki/Loyalty_Missions_%28Mass_Effect%3A_Andromeda%29</x:v>
      </x:c>
      <x:c r="E38" s="6" t="str">
        <x:v>Missions d’alliés et déblocages</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MEA-SRC-COMBAT</x:v>
      </x:c>
      <x:c r="B39" s="6" t="str">
        <x:v>Combat (Mass Effect: Andromeda)</x:v>
      </x:c>
      <x:c r="C39" s="6" t="str">
        <x:v>wiki</x:v>
      </x:c>
      <x:c r="D39" s="6" t="str">
        <x:v>https://masseffect.fandom.com/wiki/Combat_%28Mass_Effect%3A_Andromeda%29</x:v>
      </x:c>
      <x:c r="E39" s="6" t="str">
        <x:v>Déplacement, protections et combat</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MEA-SRC-SKILLS</x:v>
      </x:c>
      <x:c r="B40" s="6" t="str">
        <x:v>Skills</x:v>
      </x:c>
      <x:c r="C40" s="6" t="str">
        <x:v>wiki</x:v>
      </x:c>
      <x:c r="D40" s="6" t="str">
        <x:v>https://masseffect.fandom.com/wiki/Skills</x:v>
      </x:c>
      <x:c r="E40" s="6" t="str">
        <x:v>Compétences de combat, biotique, tech et équipiers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MEA-SRC-TOOLS</x:v>
      </x:c>
      <x:c r="B41" s="6" t="str">
        <x:v>Combat Tools</x:v>
      </x:c>
      <x:c r="C41" s="6" t="str">
        <x:v>wiki</x:v>
      </x:c>
      <x:c r="D41" s="6" t="str">
        <x:v>https://masseffect.fandom.com/wiki/Combat_Tools</x:v>
      </x:c>
      <x:c r="E41" s="6" t="str">
        <x:v>Passifs de combat</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MEA-SRC-AUX</x:v>
      </x:c>
      <x:c r="B42" s="6" t="str">
        <x:v>Auxiliary Systems</x:v>
      </x:c>
      <x:c r="C42" s="6" t="str">
        <x:v>wiki</x:v>
      </x:c>
      <x:c r="D42" s="6" t="str">
        <x:v>https://masseffect.fandom.com/wiki/Auxiliary_Systems</x:v>
      </x:c>
      <x:c r="E42" s="6" t="str">
        <x:v>Passif tech</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MEA-SRC-SUPPORT</x:v>
      </x:c>
      <x:c r="B43" s="6" t="str">
        <x:v>Team Support (skill)</x:v>
      </x:c>
      <x:c r="C43" s="6" t="str">
        <x:v>wiki</x:v>
      </x:c>
      <x:c r="D43" s="6" t="str">
        <x:v>https://masseffect.fandom.com/wiki/Team_Support_%28skill%29</x:v>
      </x:c>
      <x:c r="E43" s="6" t="str">
        <x:v>Passif de soutien</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MEA-SRC-BARRICADE</x:v>
      </x:c>
      <x:c r="B44" s="6" t="str">
        <x:v>Barricade (skill)</x:v>
      </x:c>
      <x:c r="C44" s="6" t="str">
        <x:v>wiki</x:v>
      </x:c>
      <x:c r="D44" s="6" t="str">
        <x:v>https://masseffect.fandom.com/wiki/Barricade_%28skill%29</x:v>
      </x:c>
      <x:c r="E44" s="6" t="str">
        <x:v>Barrière de combat</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MEA-SRC-TURRET</x:v>
      </x:c>
      <x:c r="B45" s="6" t="str">
        <x:v>Assault Turret (skill)</x:v>
      </x:c>
      <x:c r="C45" s="6" t="str">
        <x:v>wiki</x:v>
      </x:c>
      <x:c r="D45" s="6" t="str">
        <x:v>https://masseffect.fandom.com/wiki/Assault_Turret_%28skill%29</x:v>
      </x:c>
      <x:c r="E45" s="6" t="str">
        <x:v>Construction technique</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MEA-SRC-CORA</x:v>
      </x:c>
      <x:c r="B46" s="6" t="str">
        <x:v>Cora Harper</x:v>
      </x:c>
      <x:c r="C46" s="6" t="str">
        <x:v>wiki</x:v>
      </x:c>
      <x:c r="D46" s="6" t="str">
        <x:v>https://masseffect.fandom.com/wiki/Cora_Harper</x:v>
      </x:c>
      <x:c r="E46" s="6" t="str">
        <x:v>Équipière et compétences</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MEA-SRC-VETRA</x:v>
      </x:c>
      <x:c r="B47" s="6" t="str">
        <x:v>Vetra Nyx</x:v>
      </x:c>
      <x:c r="C47" s="6" t="str">
        <x:v>wiki</x:v>
      </x:c>
      <x:c r="D47" s="6" t="str">
        <x:v>https://masseffect.fandom.com/wiki/Vetra_Nyx</x:v>
      </x:c>
      <x:c r="E47" s="6" t="str">
        <x:v>Équipière et compétences</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MEA-SRC-JAAL</x:v>
      </x:c>
      <x:c r="B48" s="6" t="str">
        <x:v>Jaal Ama Darav</x:v>
      </x:c>
      <x:c r="C48" s="6" t="str">
        <x:v>wiki</x:v>
      </x:c>
      <x:c r="D48" s="6" t="str">
        <x:v>https://masseffect.fandom.com/wiki/Jaal_Ama_Darav</x:v>
      </x:c>
      <x:c r="E48" s="6" t="str">
        <x:v>Équipier et arc familial</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MEA-SRC-ROMANCE</x:v>
      </x:c>
      <x:c r="B49" s="6" t="str">
        <x:v>Romance (Mass Effect: Andromeda)</x:v>
      </x:c>
      <x:c r="C49" s="6" t="str">
        <x:v>wiki</x:v>
      </x:c>
      <x:c r="D49" s="6" t="str">
        <x:v>https://masseffect.fandom.com/wiki/Romance_%28Mass_Effect%3A_Andromeda%29</x:v>
      </x:c>
      <x:c r="E49" s="6" t="str">
        <x:v>Relations et versions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MEA-SRC-WEAPONS</x:v>
      </x:c>
      <x:c r="B50" s="6" t="str">
        <x:v>Weapons (Mass Effect: Andromeda)</x:v>
      </x:c>
      <x:c r="C50" s="6" t="str">
        <x:v>wiki</x:v>
      </x:c>
      <x:c r="D50" s="6" t="str">
        <x:v>https://masseffect.fandom.com/wiki/Weapons_%28Mass_Effect%3A_Andromeda%29</x:v>
      </x:c>
      <x:c r="E50" s="6" t="str">
        <x:v>Familles et armes</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MEA-SRC-MELEE</x:v>
      </x:c>
      <x:c r="B51" s="6" t="str">
        <x:v>Melee Weapons</x:v>
      </x:c>
      <x:c r="C51" s="6" t="str">
        <x:v>wiki</x:v>
      </x:c>
      <x:c r="D51" s="6" t="str">
        <x:v>https://masseffect.fandom.com/wiki/Melee_Weapons</x:v>
      </x:c>
      <x:c r="E51" s="6" t="str">
        <x:v>Armes de contact</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MEA-SRC-SWEEPER</x:v>
      </x:c>
      <x:c r="B52" s="6" t="str">
        <x:v>Sweeper</x:v>
      </x:c>
      <x:c r="C52" s="6" t="str">
        <x:v>wiki</x:v>
      </x:c>
      <x:c r="D52" s="6" t="str">
        <x:v>https://masseffect.fandom.com/wiki/Sweeper</x:v>
      </x:c>
      <x:c r="E52" s="6" t="str">
        <x:v>Arme reliquate</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MEA-SRC-ARMOR</x:v>
      </x:c>
      <x:c r="B53" s="6" t="str">
        <x:v>Armor (Mass Effect: Andromeda)</x:v>
      </x:c>
      <x:c r="C53" s="6" t="str">
        <x:v>wiki</x:v>
      </x:c>
      <x:c r="D53" s="6" t="str">
        <x:v>https://masseffect.fandom.com/wiki/Armor_%28Mass_Effect%3A_Andromeda%29</x:v>
      </x:c>
      <x:c r="E53" s="6" t="str">
        <x:v>Pièces et familles technologiques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MEA-SRC-ANGARA-ARMOR</x:v>
      </x:c>
      <x:c r="B54" s="6" t="str">
        <x:v>Angaran Armor</x:v>
      </x:c>
      <x:c r="C54" s="6" t="str">
        <x:v>wiki</x:v>
      </x:c>
      <x:c r="D54" s="6" t="str">
        <x:v>https://masseffect.fandom.com/wiki/Angaran_Armor</x:v>
      </x:c>
      <x:c r="E54" s="6" t="str">
        <x:v>Armure angara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MEA-SRC-N7-ARMOR</x:v>
      </x:c>
      <x:c r="B55" s="6" t="str">
        <x:v>N7 Armor</x:v>
      </x:c>
      <x:c r="C55" s="6" t="str">
        <x:v>wiki</x:v>
      </x:c>
      <x:c r="D55" s="6" t="str">
        <x:v>https://masseffect.fandom.com/wiki/N7_Armor</x:v>
      </x:c>
      <x:c r="E55" s="6" t="str">
        <x:v>Armure N7</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MEA-SRC-REM-ARMOR</x:v>
      </x:c>
      <x:c r="B56" s="6" t="str">
        <x:v>Remnant Armor</x:v>
      </x:c>
      <x:c r="C56" s="6" t="str">
        <x:v>wiki</x:v>
      </x:c>
      <x:c r="D56" s="6" t="str">
        <x:v>https://masseffect.fandom.com/wiki/Remnant_Armor</x:v>
      </x:c>
      <x:c r="E56" s="6" t="str">
        <x:v>Armure reliquate</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MEA-SRC-SCAV-ARMOR</x:v>
      </x:c>
      <x:c r="B57" s="6" t="str">
        <x:v>Scavenger Armor</x:v>
      </x:c>
      <x:c r="C57" s="6" t="str">
        <x:v>wiki</x:v>
      </x:c>
      <x:c r="D57" s="6" t="str">
        <x:v>https://masseffect.fandom.com/wiki/Scavenger_Armor</x:v>
      </x:c>
      <x:c r="E57" s="6" t="str">
        <x:v>Armure additionnelle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MEA-SRC-HELEUS-ARMOR</x:v>
      </x:c>
      <x:c r="B58" s="6" t="str">
        <x:v>Heleus Armor</x:v>
      </x:c>
      <x:c r="C58" s="6" t="str">
        <x:v>wiki</x:v>
      </x:c>
      <x:c r="D58" s="6" t="str">
        <x:v>https://masseffect.fandom.com/wiki/Heleus_Armor</x:v>
      </x:c>
      <x:c r="E58" s="6" t="str">
        <x:v>Armure de fusion technologique</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MEA-SRC-KETT-ARMOR</x:v>
      </x:c>
      <x:c r="B59" s="6" t="str">
        <x:v>Kett Armor</x:v>
      </x:c>
      <x:c r="C59" s="6" t="str">
        <x:v>wiki</x:v>
      </x:c>
      <x:c r="D59" s="6" t="str">
        <x:v>https://masseffect.fandom.com/wiki/Kett_Armor</x:v>
      </x:c>
      <x:c r="E59" s="6" t="str">
        <x:v>Armure inspirée kett</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MEA-SRC-RESEARCH</x:v>
      </x:c>
      <x:c r="B60" s="6" t="str">
        <x:v>Research Center (Mass Effect: Andromeda)</x:v>
      </x:c>
      <x:c r="C60" s="6" t="str">
        <x:v>wiki</x:v>
      </x:c>
      <x:c r="D60" s="6" t="str">
        <x:v>https://masseffect.fandom.com/wiki/Research_Center_%28Mass_Effect%3A_Andromeda%29</x:v>
      </x:c>
      <x:c r="E60" s="6" t="str">
        <x:v>Recherche et fabrication</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MEA-SRC-LOADOUT</x:v>
      </x:c>
      <x:c r="B61" s="6" t="str">
        <x:v>Loadout</x:v>
      </x:c>
      <x:c r="C61" s="6" t="str">
        <x:v>wiki</x:v>
      </x:c>
      <x:c r="D61" s="6" t="str">
        <x:v>https://masseffect.fandom.com/wiki/Loadout</x:v>
      </x:c>
      <x:c r="E61" s="6" t="str">
        <x:v>Armes et armures sélectionnées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MEA-SRC-WARDROBE</x:v>
      </x:c>
      <x:c r="B62" s="6" t="str">
        <x:v>Wardrobe</x:v>
      </x:c>
      <x:c r="C62" s="6" t="str">
        <x:v>wiki</x:v>
      </x:c>
      <x:c r="D62" s="6" t="str">
        <x:v>https://masseffect.fandom.com/wiki/Wardrobe</x:v>
      </x:c>
      <x:c r="E62" s="6" t="str">
        <x:v>Tenues et couleurs</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MEA-SRC-CODEX</x:v>
      </x:c>
      <x:c r="B63" s="6" t="str">
        <x:v>Codex Entry Guide (Mass Effect: Andromeda)</x:v>
      </x:c>
      <x:c r="C63" s="6" t="str">
        <x:v>wiki</x:v>
      </x:c>
      <x:c r="D63" s="6" t="str">
        <x:v>https://masseffect.fandom.com/wiki/Codex_Entry_Guide_%28Mass_Effect%3A_Andromeda%29</x:v>
      </x:c>
      <x:c r="E63" s="6" t="str">
        <x:v>Codex et contexte</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MEA-SRC-LOCATIONS</x:v>
      </x:c>
      <x:c r="B64" s="6" t="str">
        <x:v>Codex — Planets And Locations</x:v>
      </x:c>
      <x:c r="C64" s="6" t="str">
        <x:v>wiki</x:v>
      </x:c>
      <x:c r="D64" s="6" t="str">
        <x:v>https://masseffect.fandom.com/wiki/Codex_%28Mass_Effect%3A_Andromeda%29/Planets_And_Locations</x:v>
      </x:c>
      <x:c r="E64" s="6" t="str">
        <x:v>Planètes et lieux</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MEA-SRC-VAULT</x:v>
      </x:c>
      <x:c r="B65" s="6" t="str">
        <x:v>Vault</x:v>
      </x:c>
      <x:c r="C65" s="6" t="str">
        <x:v>wiki</x:v>
      </x:c>
      <x:c r="D65" s="6" t="str">
        <x:v>https://masseffect.fandom.com/wiki/Vault</x:v>
      </x:c>
      <x:c r="E65" s="6" t="str">
        <x:v>Caveaux reliquats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MEA-SRC-HAZARD</x:v>
      </x:c>
      <x:c r="B66" s="6" t="str">
        <x:v>Hazard</x:v>
      </x:c>
      <x:c r="C66" s="6" t="str">
        <x:v>wiki</x:v>
      </x:c>
      <x:c r="D66" s="6" t="str">
        <x:v>https://masseffect.fandom.com/wiki/Hazard</x:v>
      </x:c>
      <x:c r="E66" s="6" t="str">
        <x:v>Dangers environnementaux par monde</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MEA-SRC-ASCENDANT</x:v>
      </x:c>
      <x:c r="B67" s="6" t="str">
        <x:v>Ascendant</x:v>
      </x:c>
      <x:c r="C67" s="6" t="str">
        <x:v>wiki</x:v>
      </x:c>
      <x:c r="D67" s="6" t="str">
        <x:v>https://masseffect.fandom.com/wiki/Ascendant</x:v>
      </x:c>
      <x:c r="E67" s="6" t="str">
        <x:v>Unité kett, orbe et attaques</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MEA-SRC-AGENT</x:v>
      </x:c>
      <x:c r="B68" s="6" t="str">
        <x:v>Agent</x:v>
      </x:c>
      <x:c r="C68" s="6" t="str">
        <x:v>wiki</x:v>
      </x:c>
      <x:c r="D68" s="6" t="str">
        <x:v>https://masseffect.fandom.com/wiki/Agent</x:v>
      </x:c>
      <x:c r="E68" s="6" t="str">
        <x:v>Unité hors-la-loi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MEA-SRC-CHOSEN</x:v>
      </x:c>
      <x:c r="B69" s="6" t="str">
        <x:v>Chosen</x:v>
      </x:c>
      <x:c r="C69" s="6" t="str">
        <x:v>wiki</x:v>
      </x:c>
      <x:c r="D69" s="6" t="str">
        <x:v>https://masseffect.fandom.com/wiki/Chosen</x:v>
      </x:c>
      <x:c r="E69" s="6" t="str">
        <x:v>Unité kett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MEA-SRC-ASSEMBLER</x:v>
      </x:c>
      <x:c r="B70" s="6" t="str">
        <x:v>Assembler</x:v>
      </x:c>
      <x:c r="C70" s="6" t="str">
        <x:v>wiki</x:v>
      </x:c>
      <x:c r="D70" s="6" t="str">
        <x:v>https://masseffect.fandom.com/wiki/Assembler</x:v>
      </x:c>
      <x:c r="E70" s="6" t="str">
        <x:v>Unité reliquate et renforts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MEA-SRC-ADHI</x:v>
      </x:c>
      <x:c r="B71" s="6" t="str">
        <x:v>Adhi</x:v>
      </x:c>
      <x:c r="C71" s="6" t="str">
        <x:v>wiki</x:v>
      </x:c>
      <x:c r="D71" s="6" t="str">
        <x:v>https://masseffect.fandom.com/wiki/Adhi</x:v>
      </x:c>
      <x:c r="E71" s="6" t="str">
        <x:v>Faune et usage par ennemis</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MEA-SRC-KAERKYN</x:v>
      </x:c>
      <x:c r="B72" s="6" t="str">
        <x:v>Kaerkyn</x:v>
      </x:c>
      <x:c r="C72" s="6" t="str">
        <x:v>wiki</x:v>
      </x:c>
      <x:c r="D72" s="6" t="str">
        <x:v>https://masseffect.fandom.com/wiki/Kaerkyn</x:v>
      </x:c>
      <x:c r="E72" s="6" t="str">
        <x:v>Faune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MEA-SRC-SPITBUG</x:v>
      </x:c>
      <x:c r="B73" s="6" t="str">
        <x:v>Spitbug</x:v>
      </x:c>
      <x:c r="C73" s="6" t="str">
        <x:v>wiki</x:v>
      </x:c>
      <x:c r="D73" s="6" t="str">
        <x:v>https://masseffect.fandom.com/wiki/Spitbug</x:v>
      </x:c>
      <x:c r="E73" s="6" t="str">
        <x:v>Faune et projectile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MEA-SRC-CHALLYRION</x:v>
      </x:c>
      <x:c r="B74" s="6" t="str">
        <x:v>Challyrion</x:v>
      </x:c>
      <x:c r="C74" s="6" t="str">
        <x:v>wiki</x:v>
      </x:c>
      <x:c r="D74" s="6" t="str">
        <x:v>https://masseffect.fandom.com/wiki/Challyrion</x:v>
      </x:c>
      <x:c r="E74" s="6" t="str">
        <x:v>Faune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MEA-SRC-TAURG</x:v>
      </x:c>
      <x:c r="B75" s="6" t="str">
        <x:v>Taurg</x:v>
      </x:c>
      <x:c r="C75" s="6" t="str">
        <x:v>wiki</x:v>
      </x:c>
      <x:c r="D75" s="6" t="str">
        <x:v>https://masseffect.fandom.com/wiki/Taurg</x:v>
      </x:c>
      <x:c r="E75" s="6" t="str">
        <x:v>Faune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MEA-SRC-EIROCH</x:v>
      </x:c>
      <x:c r="B76" s="6" t="str">
        <x:v>Ancient Eiroch</x:v>
      </x:c>
      <x:c r="C76" s="6" t="str">
        <x:v>wiki</x:v>
      </x:c>
      <x:c r="D76" s="6" t="str">
        <x:v>https://masseffect.fandom.com/wiki/Ancient_Eiroch</x:v>
      </x:c>
      <x:c r="E76" s="6" t="str">
        <x:v>Créature lourde</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MEA-SRC-MP</x:v>
      </x:c>
      <x:c r="B77" s="6" t="str">
        <x:v>Mass Effect: Andromeda Multiplayer</x:v>
      </x:c>
      <x:c r="C77" s="6" t="str">
        <x:v>wiki</x:v>
      </x:c>
      <x:c r="D77" s="6" t="str">
        <x:v>https://masseffect.fandom.com/wiki/Mass_Effect%3A_Andromeda_Multiplayer</x:v>
      </x:c>
      <x:c r="E77" s="6" t="str">
        <x:v>Coopératif séparé du solo</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MEA-SRC-MP-CHARS</x:v>
      </x:c>
      <x:c r="B78" s="6" t="str">
        <x:v>Multiplayer Characters (Mass Effect: Andromeda)</x:v>
      </x:c>
      <x:c r="C78" s="6" t="str">
        <x:v>wiki</x:v>
      </x:c>
      <x:c r="D78" s="6" t="str">
        <x:v>https://masseffect.fandom.com/wiki/Category%3AMultiplayer_Characters_%28Mass_Effect%3A_Andromeda%29</x:v>
      </x:c>
      <x:c r="E78" s="6" t="str">
        <x:v>Roster multijoueur distinct</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MEA-SRC-ARCHON</x:v>
      </x:c>
      <x:c r="B79" s="6" t="str">
        <x:v>Hunting the Archon</x:v>
      </x:c>
      <x:c r="C79" s="6" t="str">
        <x:v>wiki</x:v>
      </x:c>
      <x:c r="D79" s="6" t="str">
        <x:v>https://masseffect.fandom.com/wiki/Hunting_the_Archon</x:v>
      </x:c>
      <x:c r="E79" s="6" t="str">
        <x:v>Arche galarienne et choix de secours</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MEA-SRC-MERIDIAN</x:v>
      </x:c>
      <x:c r="B80" s="6" t="str">
        <x:v>Meridian: The Way Home</x:v>
      </x:c>
      <x:c r="C80" s="6" t="str">
        <x:v>wiki</x:v>
      </x:c>
      <x:c r="D80" s="6" t="str">
        <x:v>https://masseffect.fandom.com/wiki/Meridian%3A_The_Way_Home</x:v>
      </x:c>
      <x:c r="E80" s="6" t="str">
        <x:v>Final, Hyperion et alliés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MEA-SRC-EPILOGUE</x:v>
      </x:c>
      <x:c r="B81" s="6" t="str">
        <x:v>Epilogue: Home and Away</x:v>
      </x:c>
      <x:c r="C81" s="6" t="str">
        <x:v>wiki</x:v>
      </x:c>
      <x:c r="D81" s="6" t="str">
        <x:v>https://masseffect.fandom.com/wiki/Epilogue%3A_Home_and_Away</x:v>
      </x:c>
      <x:c r="E81" s="6" t="str">
        <x:v>Ambassade, équipage et signal quarien</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MEA-SRC-CORA-LOYAL</x:v>
      </x:c>
      <x:c r="B82" s="6" t="str">
        <x:v>Cora Harper: At Duty’s Edge</x:v>
      </x:c>
      <x:c r="C82" s="6" t="str">
        <x:v>wiki</x:v>
      </x:c>
      <x:c r="D82" s="6" t="str">
        <x:v>https://masseffect.fandom.com/wiki/Cora_Harper%3A_At_Duty%27s_Edge</x:v>
      </x:c>
      <x:c r="E82" s="6" t="str">
        <x:v>Arche asari et Sarissa</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MEA-SRC-PEEBEE-LOYAL</x:v>
      </x:c>
      <x:c r="B83" s="6" t="str">
        <x:v>Peebee: A Mysterious Remnant Signal</x:v>
      </x:c>
      <x:c r="C83" s="6" t="str">
        <x:v>wiki</x:v>
      </x:c>
      <x:c r="D83" s="6" t="str">
        <x:v>https://masseffect.fandom.com/wiki/Peebee%3A_A_Mysterious_Remnant_Signal</x:v>
      </x:c>
      <x:c r="E83" s="6" t="str">
        <x:v>Pas-10, Kalinda et choix</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MEA-SRC-PEEBEE-POC</x:v>
      </x:c>
      <x:c r="B84" s="6" t="str">
        <x:v>Peebee: Reclaiming Poc</x:v>
      </x:c>
      <x:c r="C84" s="6" t="str">
        <x:v>wiki</x:v>
      </x:c>
      <x:c r="D84" s="6" t="str">
        <x:v>https://masseffect.fandom.com/wiki/Peebee%3A_Reclaiming_Poc</x:v>
      </x:c>
      <x:c r="E84" s="6" t="str">
        <x:v>Poc et lien vers mission de loyauté</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MEA-SRC-JAAL-LOYAL</x:v>
      </x:c>
      <x:c r="B85" s="6" t="str">
        <x:v>Jaal Ama Darav: Flesh and Blood</x:v>
      </x:c>
      <x:c r="C85" s="6" t="str">
        <x:v>wiki</x:v>
      </x:c>
      <x:c r="D85" s="6" t="str">
        <x:v>https://masseffect.fandom.com/wiki/Jaal_Ama_Darav%3A_Flesh_and_Blood</x:v>
      </x:c>
      <x:c r="E85" s="6" t="str">
        <x:v>Akksul et famille de Jaal</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MEA-SRC-MISSING-ARKS</x:v>
      </x:c>
      <x:c r="B86" s="6" t="str">
        <x:v>Missing Arks</x:v>
      </x:c>
      <x:c r="C86" s="6" t="str">
        <x:v>wiki</x:v>
      </x:c>
      <x:c r="D86" s="6" t="str">
        <x:v>https://masseffect.fandom.com/wiki/Missing_Arks</x:v>
      </x:c>
      <x:c r="E86" s="6" t="str">
        <x:v>Arches disparues et missions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MEA-SRC-MURDER</x:v>
      </x:c>
      <x:c r="B87" s="6" t="str">
        <x:v>First Murderer</x:v>
      </x:c>
      <x:c r="C87" s="6" t="str">
        <x:v>wiki</x:v>
      </x:c>
      <x:c r="D87" s="6" t="str">
        <x:v>https://masseffect.fandom.com/wiki/First_Murderer</x:v>
      </x:c>
      <x:c r="E87" s="6" t="str">
        <x:v>Enquête de Nilken Rensus</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MEA-SRC-NILKEN</x:v>
      </x:c>
      <x:c r="B88" s="6" t="str">
        <x:v>Nilken Rensus</x:v>
      </x:c>
      <x:c r="C88" s="6" t="str">
        <x:v>wiki</x:v>
      </x:c>
      <x:c r="D88" s="6" t="str">
        <x:v>https://masseffect.fandom.com/wiki/Nilken_Rensus</x:v>
      </x:c>
      <x:c r="E88" s="6" t="str">
        <x:v>Accusation et enquête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MEA-SRC-HIGH-NOON</x:v>
      </x:c>
      <x:c r="B89" s="6" t="str">
        <x:v>High Noon</x:v>
      </x:c>
      <x:c r="C89" s="6" t="str">
        <x:v>wiki</x:v>
      </x:c>
      <x:c r="D89" s="6" t="str">
        <x:v>https://masseffect.fandom.com/wiki/High_Noon</x:v>
      </x:c>
      <x:c r="E89" s="6" t="str">
        <x:v>Pouvoir à Kadara</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82" customHeight="1">
      <x:c r="A90" s="6" t="str">
        <x:v>MEA-SRC-LIAM-OUTPOST</x:v>
      </x:c>
      <x:c r="B90" s="6" t="str">
        <x:v>Liam Kosta: Outpost Worlds</x:v>
      </x:c>
      <x:c r="C90" s="6" t="str">
        <x:v>wiki</x:v>
      </x:c>
      <x:c r="D90" s="6" t="str">
        <x:v>https://masseffect.fandom.com/wiki/Liam_Kosta%3A_Outpost_Worlds</x:v>
      </x:c>
      <x:c r="E90" s="6" t="str">
        <x:v>Arc de Liam</x:v>
      </x:c>
      <x:c r="F90" s="6" t="str">
        <x:v>Consulté le 22 octobre 2026 via les résultats indexés du moteur de recherche ; index communautaire secondaire, ouverture directe Fandom limitée par robots/402. Titres et faits brefs paraphrasés ; aucune capture ni validation exhaustive en jeu.</x:v>
      </x:c>
    </x:row>
    <x:row r="91" ht="82" customHeight="1">
      <x:c r="A91" s="6" t="str">
        <x:v>MEA-SRC-ALIEN-TASK</x:v>
      </x:c>
      <x:c r="B91" s="6" t="str">
        <x:v>Task: Comparatively Alien</x:v>
      </x:c>
      <x:c r="C91" s="6" t="str">
        <x:v>wiki</x:v>
      </x:c>
      <x:c r="D91" s="6" t="str">
        <x:v>https://masseffect.fandom.com/wiki/Task%3A_Comparatively_Alien</x:v>
      </x:c>
      <x:c r="E91" s="6" t="str">
        <x:v>Tâche scientifique</x:v>
      </x:c>
      <x:c r="F91" s="6" t="str">
        <x:v>Consulté le 22 octobre 2026 via les résultats indexés du moteur de recherche ; index communautaire secondaire, ouverture directe Fandom limitée par robots/402. Titres et faits brefs paraphrasés ; aucune capture ni validation exhaustive en jeu.</x:v>
      </x:c>
    </x:row>
    <x:row r="92" ht="82" customHeight="1">
      <x:c r="A92" s="6" t="str">
        <x:v>MEA-SRC-LIAM-LOYAL</x:v>
      </x:c>
      <x:c r="B92" s="6" t="str">
        <x:v>Liam Kosta: All In</x:v>
      </x:c>
      <x:c r="C92" s="6" t="str">
        <x:v>wiki</x:v>
      </x:c>
      <x:c r="D92" s="6" t="str">
        <x:v>https://masseffect.fandom.com/wiki/Liam_Kosta%3A_All_In</x:v>
      </x:c>
      <x:c r="E92" s="6" t="str">
        <x:v>Sauvetage, gravité et retour de Liam</x:v>
      </x:c>
      <x:c r="F92" s="6" t="str">
        <x:v>Consulté le 22 octobre 2026 via les résultats indexés du moteur de recherche ; index communautaire secondaire, ouverture directe Fandom limitée par robots/402. Titres et faits brefs paraphrasés ; aucune capture ni validation exhaustive en jeu.</x:v>
      </x:c>
    </x:row>
    <x:row r="93" ht="82" customHeight="1">
      <x:c r="A93" s="6" t="str">
        <x:v>MEA-SRC-VETRA-LOYAL</x:v>
      </x:c>
      <x:c r="B93" s="6" t="str">
        <x:v>Vetra Nyx: Means and Ends</x:v>
      </x:c>
      <x:c r="C93" s="6" t="str">
        <x:v>wiki</x:v>
      </x:c>
      <x:c r="D93" s="6" t="str">
        <x:v>https://masseffect.fandom.com/wiki/Vetra_Nyx%3A_Means_and_Ends</x:v>
      </x:c>
      <x:c r="E93" s="6" t="str">
        <x:v>Piège, Sid et systèmes de sécurité</x:v>
      </x:c>
      <x:c r="F93" s="6" t="str">
        <x:v>Consulté le 22 octobre 2026 via les résultats indexés du moteur de recherche ; index communautaire secondaire, ouverture directe Fandom limitée par robots/402. Titres et faits brefs paraphrasés ; aucune capture ni validation exhaustive en jeu.</x:v>
      </x:c>
    </x:row>
    <x:row r="94" ht="82" customHeight="1">
      <x:c r="A94" s="6" t="str">
        <x:v>MEA-SRC-DRACK-LOYAL</x:v>
      </x:c>
      <x:c r="B94" s="6" t="str">
        <x:v>Nakmor Drack: A Future for our People</x:v>
      </x:c>
      <x:c r="C94" s="6" t="str">
        <x:v>wiki</x:v>
      </x:c>
      <x:c r="D94" s="6" t="str">
        <x:v>https://masseffect.fandom.com/wiki/Nakmor_Drack%3A_A_Future_for_our_People</x:v>
      </x:c>
      <x:c r="E94" s="6" t="str">
        <x:v>Vorn, graines, Aroane et Spender</x:v>
      </x:c>
      <x:c r="F94" s="6" t="str">
        <x:v>Consulté le 22 octobre 2026 via les résultats indexés du moteur de recherche ; index communautaire secondaire, ouverture directe Fandom limitée par robots/402. Titres et faits brefs paraphrasés ; aucune capture ni validation exhaustive en jeu.</x:v>
      </x:c>
    </x:row>
    <x:row r="95" ht="82" customHeight="1">
      <x:c r="A95" s="6" t="str">
        <x:v>MEA-SRC-DRACK</x:v>
      </x:c>
      <x:c r="B95" s="6" t="str">
        <x:v>Nakmor Drack</x:v>
      </x:c>
      <x:c r="C95" s="6" t="str">
        <x:v>wiki</x:v>
      </x:c>
      <x:c r="D95" s="6" t="str">
        <x:v>https://masseffect.fandom.com/wiki/Nakmor_Drack</x:v>
      </x:c>
      <x:c r="E95" s="6" t="str">
        <x:v>Équipier, prothèses et compétences</x:v>
      </x:c>
      <x:c r="F95" s="6" t="str">
        <x:v>Consulté le 22 octobre 2026 via les résultats indexés du moteur de recherche ; index communautaire secondaire, ouverture directe Fandom limitée par robots/402. Titres et faits brefs paraphrasés ; aucune capture ni validation exhaustive en jeu.</x:v>
      </x:c>
    </x:row>
    <x:row r="96" ht="82" customHeight="1">
      <x:c r="A96" s="6" t="str">
        <x:v>MEA-SRC-EOS-PAGE</x:v>
      </x:c>
      <x:c r="B96" s="6" t="str">
        <x:v>Eos</x:v>
      </x:c>
      <x:c r="C96" s="6" t="str">
        <x:v>wiki</x:v>
      </x:c>
      <x:c r="D96" s="6" t="str">
        <x:v>https://masseffect.fandom.com/wiki/Eos</x:v>
      </x:c>
      <x:c r="E96" s="6" t="str">
        <x:v>Lieu et index de missions associés</x:v>
      </x:c>
      <x:c r="F96" s="6" t="str">
        <x:v>Consulté le 22 octobre 2026 via les résultats indexés du moteur de recherche ; index communautaire secondaire, ouverture directe Fandom limitée par robots/402. Titres et faits brefs paraphrasés ; aucune capture ni validation exhaustive en jeu.</x:v>
      </x:c>
    </x:row>
    <x:row r="97" ht="82" customHeight="1">
      <x:c r="A97" s="6" t="str">
        <x:v>MEA-SRC-VOELD-PAGE</x:v>
      </x:c>
      <x:c r="B97" s="6" t="str">
        <x:v>Voeld</x:v>
      </x:c>
      <x:c r="C97" s="6" t="str">
        <x:v>wiki</x:v>
      </x:c>
      <x:c r="D97" s="6" t="str">
        <x:v>https://masseffect.fandom.com/wiki/Voeld</x:v>
      </x:c>
      <x:c r="E97" s="6" t="str">
        <x:v>Lieu et index de missions associés</x:v>
      </x:c>
      <x:c r="F97" s="6" t="str">
        <x:v>Consulté le 22 octobre 2026 via les résultats indexés du moteur de recherche ; index communautaire secondaire, ouverture directe Fandom limitée par robots/402. Titres et faits brefs paraphrasés ; aucune capture ni validation exhaustive en jeu.</x:v>
      </x:c>
    </x:row>
    <x:row r="98" ht="82" customHeight="1">
      <x:c r="A98" s="6" t="str">
        <x:v>MEA-SRC-KADARA-PAGE</x:v>
      </x:c>
      <x:c r="B98" s="6" t="str">
        <x:v>Kadara</x:v>
      </x:c>
      <x:c r="C98" s="6" t="str">
        <x:v>wiki</x:v>
      </x:c>
      <x:c r="D98" s="6" t="str">
        <x:v>https://masseffect.fandom.com/wiki/Kadara</x:v>
      </x:c>
      <x:c r="E98" s="6" t="str">
        <x:v>Lieu et index de missions associés</x:v>
      </x:c>
      <x:c r="F98" s="6" t="str">
        <x:v>Consulté le 22 octobre 2026 via les résultats indexés du moteur de recherche ; index communautaire secondaire, ouverture directe Fandom limitée par robots/402. Titres et faits brefs paraphrasés ; aucune capture ni validation exhaustive en jeu.</x:v>
      </x:c>
    </x:row>
    <x:row r="99" ht="82" customHeight="1">
      <x:c r="A99" s="6" t="str">
        <x:v>MEA-SRC-ELAADEN-PAGE</x:v>
      </x:c>
      <x:c r="B99" s="6" t="str">
        <x:v>Elaaden</x:v>
      </x:c>
      <x:c r="C99" s="6" t="str">
        <x:v>wiki</x:v>
      </x:c>
      <x:c r="D99" s="6" t="str">
        <x:v>https://masseffect.fandom.com/wiki/Elaaden</x:v>
      </x:c>
      <x:c r="E99" s="6" t="str">
        <x:v>Lieu et index de missions associés</x:v>
      </x:c>
      <x:c r="F99" s="6" t="str">
        <x:v>Consulté le 22 octobre 2026 via les résultats indexés du moteur de recherche ; index communautaire secondaire, ouverture directe Fandom limitée par robots/402. Titres et faits brefs paraphrasés ; aucune capture ni validation exhaustive en jeu.</x:v>
      </x:c>
    </x:row>
    <x:row r="100" ht="82" customHeight="1">
      <x:c r="A100" s="6" t="str">
        <x:v>MEA-SRC-HAVARL-PAGE</x:v>
      </x:c>
      <x:c r="B100" s="6" t="str">
        <x:v>Havarl</x:v>
      </x:c>
      <x:c r="C100" s="6" t="str">
        <x:v>wiki</x:v>
      </x:c>
      <x:c r="D100" s="6" t="str">
        <x:v>https://masseffect.fandom.com/wiki/Havarl</x:v>
      </x:c>
      <x:c r="E100" s="6" t="str">
        <x:v>Lieu et index de missions associés</x:v>
      </x:c>
      <x:c r="F100" s="6" t="str">
        <x:v>Consulté le 22 octobre 2026 via les résultats indexés du moteur de recherche ; index communautaire secondaire, ouverture directe Fandom limitée par robots/402. Titres et faits brefs paraphrasés ; aucune capture ni validation exhaustive en jeu.</x:v>
      </x:c>
    </x:row>
    <x:row r="101" ht="82" customHeight="1">
      <x:c r="A101" s="6" t="str">
        <x:v>MEA-SRC-AYA-PAGE</x:v>
      </x:c>
      <x:c r="B101" s="6" t="str">
        <x:v>Aya</x:v>
      </x:c>
      <x:c r="C101" s="6" t="str">
        <x:v>wiki</x:v>
      </x:c>
      <x:c r="D101" s="6" t="str">
        <x:v>https://masseffect.fandom.com/wiki/Aya</x:v>
      </x:c>
      <x:c r="E101" s="6" t="str">
        <x:v>Lieu et index de missions associés</x:v>
      </x:c>
      <x:c r="F101" s="6" t="str">
        <x:v>Consulté le 22 octobre 2026 via les résultats indexés du moteur de recherche ; index communautaire secondaire, ouverture directe Fandom limitée par robots/402. Titres et faits brefs paraphrasés ; aucune capture ni validation exhaustive en jeu.</x:v>
      </x:c>
    </x:row>
    <x:row r="102" ht="82" customHeight="1">
      <x:c r="A102" s="6" t="str">
        <x:v>MEA-SRC-TEMPEST-PAGE</x:v>
      </x:c>
      <x:c r="B102" s="6" t="str">
        <x:v>Tempest</x:v>
      </x:c>
      <x:c r="C102" s="6" t="str">
        <x:v>wiki</x:v>
      </x:c>
      <x:c r="D102" s="6" t="str">
        <x:v>https://masseffect.fandom.com/wiki/Tempest</x:v>
      </x:c>
      <x:c r="E102" s="6" t="str">
        <x:v>Lieu et index de missions associés</x:v>
      </x:c>
      <x:c r="F102" s="6" t="str">
        <x:v>Consulté le 22 octobre 2026 via les résultats indexés du moteur de recherche ; index communautaire secondaire, ouverture directe Fandom limitée par robots/402. Titres et faits brefs paraphrasés ; aucune capture ni validation exhaustive en jeu.</x:v>
      </x:c>
    </x:row>
    <x:row r="103" ht="82" customHeight="1">
      <x:c r="A103" s="6" t="str">
        <x:v>MEA-SRC-MOVIE</x:v>
      </x:c>
      <x:c r="B103" s="6" t="str">
        <x:v>Movie Night</x:v>
      </x:c>
      <x:c r="C103" s="6" t="str">
        <x:v>wiki</x:v>
      </x:c>
      <x:c r="D103" s="6" t="str">
        <x:v>https://masseffect.fandom.com/wiki/Movie_Night</x:v>
      </x:c>
      <x:c r="E103" s="6" t="str">
        <x:v>Chaîne et fenêtres de soirée film</x:v>
      </x:c>
      <x:c r="F103" s="6" t="str">
        <x:v>Consulté le 22 octobre 2026 via les résultats indexés du moteur de recherche ; index communautaire secondaire, ouverture directe Fandom limitée par robots/402. Titres et faits brefs paraphrasés ; aucune capture ni validation exhaustive en jeu.</x:v>
      </x:c>
    </x:row>
    <x:row r="104" ht="82" customHeight="1">
      <x:c r="A104" s="6" t="str">
        <x:v>MEA-SRC-OVERGROWN</x:v>
      </x:c>
      <x:c r="B104" s="6" t="str">
        <x:v>Overgrown</x:v>
      </x:c>
      <x:c r="C104" s="6" t="str">
        <x:v>wiki</x:v>
      </x:c>
      <x:c r="D104" s="6" t="str">
        <x:v>https://masseffect.fandom.com/wiki/Overgrown</x:v>
      </x:c>
      <x:c r="E104" s="6" t="str">
        <x:v>Analyse de faune mutée de Havarl</x:v>
      </x:c>
      <x:c r="F104" s="6" t="str">
        <x:v>Consulté le 22 octobre 2026 via les résultats indexés du moteur de recherche ; index communautaire secondaire, ouverture directe Fandom limitée par robots/402. Titres et faits brefs paraphrasés ; aucune capture ni validation exhaustive en jeu.</x:v>
      </x:c>
    </x:row>
    <x:row r="105" ht="82" customHeight="1">
      <x:c r="A105" s="6" t="str">
        <x:v>MEA-SRC-VESAAL</x:v>
      </x:c>
      <x:c r="B105" s="6" t="str">
        <x:v>The Vesaal</x:v>
      </x:c>
      <x:c r="C105" s="6" t="str">
        <x:v>wiki</x:v>
      </x:c>
      <x:c r="D105" s="6" t="str">
        <x:v>https://masseffect.fandom.com/wiki/The_Vesaal</x:v>
      </x:c>
      <x:c r="E105" s="6" t="str">
        <x:v>Équilibre de population sur Aya</x:v>
      </x:c>
      <x:c r="F105" s="6" t="str">
        <x:v>Consulté le 22 octobre 2026 via les résultats indexés du moteur de recherche ; index communautaire secondaire, ouverture directe Fandom limitée par robots/402. Titres et faits brefs paraphrasés ; aucune capture ni validation exhaustive en jeu.</x:v>
      </x:c>
    </x:row>
    <x:row r="106" ht="82" customHeight="1">
      <x:c r="A106" s="6" t="str">
        <x:v>MEA-SRC-DRAGONS</x:v>
      </x:c>
      <x:c r="B106" s="6" t="str">
        <x:v>Sleeping Dragons</x:v>
      </x:c>
      <x:c r="C106" s="6" t="str">
        <x:v>wiki</x:v>
      </x:c>
      <x:c r="D106" s="6" t="str">
        <x:v>https://masseffect.fandom.com/wiki/Sleeping_Dragons</x:v>
      </x:c>
      <x:c r="E106" s="6" t="str">
        <x:v>Familles en cryostase et protestation</x:v>
      </x:c>
      <x:c r="F106" s="6" t="str">
        <x:v>Consulté le 22 octobre 2026 via les résultats indexés du moteur de recherche ; index communautaire secondaire, ouverture directe Fandom limitée par robots/402. Titres et faits brefs paraphrasés ; aucune capture ni validation exhaustive en jeu.</x:v>
      </x:c>
    </x:row>
    <x:row r="107" ht="82" customHeight="1">
      <x:c r="A107" s="6" t="str">
        <x:v>MEA-SRC-PROFILES</x:v>
      </x:c>
      <x:c r="B107" s="6" t="str">
        <x:v>Profiles</x:v>
      </x:c>
      <x:c r="C107" s="6" t="str">
        <x:v>wiki</x:v>
      </x:c>
      <x:c r="D107" s="6" t="str">
        <x:v>https://masseffect.fandom.com/wiki/Profiles</x:v>
      </x:c>
      <x:c r="E107" s="6" t="str">
        <x:v>Sept profils de Ryder et progression</x:v>
      </x:c>
      <x:c r="F107" s="6" t="str">
        <x:v>Consulté le 22 octobre 2026 via les résultats indexés du moteur de recherche ; index communautaire secondaire, ouverture directe Fandom limitée par robots/402. Titres et faits brefs paraphrasés ; aucune capture ni validation exhaustive en jeu.</x:v>
      </x:c>
    </x:row>
    <x:row r="108" ht="82" customHeight="1">
      <x:c r="A108" s="6" t="str">
        <x:v>MEA-SRC-FAMILY</x:v>
      </x:c>
      <x:c r="B108" s="6" t="str">
        <x:v>Ryder Family Secrets</x:v>
      </x:c>
      <x:c r="C108" s="6" t="str">
        <x:v>wiki</x:v>
      </x:c>
      <x:c r="D108" s="6" t="str">
        <x:v>https://masseffect.fandom.com/wiki/Ryder_Family_Secrets</x:v>
      </x:c>
      <x:c r="E108" s="6" t="str">
        <x:v>Souvenirs, Ellen et Bienfaiteur</x:v>
      </x:c>
      <x:c r="F108" s="6" t="str">
        <x:v>Consulté le 22 octobre 2026 via les résultats indexés du moteur de recherche ; index communautaire secondaire, ouverture directe Fandom limitée par robots/402. Titres et faits brefs paraphrasés ; aucune capture ni validation exhaustive en jeu.</x:v>
      </x:c>
    </x:row>
    <x:row r="109" ht="82" customHeight="1">
      <x:c r="A109" s="6" t="str">
        <x:v>MEA-SRC-OMNI-GRENADE</x:v>
      </x:c>
      <x:c r="B109" s="6" t="str">
        <x:v>Omni Grenade</x:v>
      </x:c>
      <x:c r="C109" s="6" t="str">
        <x:v>wiki</x:v>
      </x:c>
      <x:c r="D109" s="6" t="str">
        <x:v>https://masseffect.fandom.com/wiki/Omni_Grenade</x:v>
      </x:c>
      <x:c r="E109" s="6" t="str">
        <x:v>Compétence, réserve et variantes</x:v>
      </x:c>
      <x:c r="F109" s="6" t="str">
        <x:v>Consulté le 22 octobre 2026 via les résultats indexés du moteur de recherche ; index communautaire secondaire, ouverture directe Fandom limitée par robots/402. Titres et faits brefs paraphrasés ; aucune capture ni validation exhaustive en jeu.</x:v>
      </x:c>
    </x:row>
    <x:row r="110" ht="82" customHeight="1">
      <x:c r="A110" s="6" t="str">
        <x:v>MEA-SRC-FLAK</x:v>
      </x:c>
      <x:c r="B110" s="6" t="str">
        <x:v>Flak Cannon</x:v>
      </x:c>
      <x:c r="C110" s="6" t="str">
        <x:v>wiki</x:v>
      </x:c>
      <x:c r="D110" s="6" t="str">
        <x:v>https://masseffect.fandom.com/wiki/Flak_Cannon</x:v>
      </x:c>
      <x:c r="E110" s="6" t="str">
        <x:v>Compétence de Ryder et Drack</x:v>
      </x:c>
      <x:c r="F110" s="6" t="str">
        <x:v>Consulté le 22 octobre 2026 via les résultats indexés du moteur de recherche ; index communautaire secondaire, ouverture directe Fandom limitée par robots/402. Titres et faits brefs paraphrasés ; aucune capture ni validation exhaustive en jeu.</x:v>
      </x:c>
    </x:row>
    <x:row r="111" ht="82" customHeight="1">
      <x:c r="A111" s="6" t="str">
        <x:v>MEA-SRC-PATH-ARMOR</x:v>
      </x:c>
      <x:c r="B111" s="6" t="str">
        <x:v>Pathfinder Armor</x:v>
      </x:c>
      <x:c r="C111" s="6" t="str">
        <x:v>wiki</x:v>
      </x:c>
      <x:c r="D111" s="6" t="str">
        <x:v>https://masseffect.fandom.com/wiki/Pathfinder_Armor</x:v>
      </x:c>
      <x:c r="E111" s="6" t="str">
        <x:v>Pièces et compatibilité d’armure</x:v>
      </x:c>
      <x:c r="F111" s="6" t="str">
        <x:v>Consulté le 22 octobre 2026 via les résultats indexés du moteur de recherche ; index communautaire secondaire, ouverture directe Fandom limitée par robots/402. Titres et faits brefs paraphrasés ; aucune capture ni validation exhaustive en jeu.</x:v>
      </x:c>
    </x:row>
    <x:row r="112" ht="82" customHeight="1">
      <x:c r="A112" s="6" t="str">
        <x:v>MEA-SRC-TRAIL2</x:v>
      </x:c>
      <x:c r="B112" s="6" t="str">
        <x:v>A Trail of Hope II</x:v>
      </x:c>
      <x:c r="C112" s="6" t="str">
        <x:v>wiki</x:v>
      </x:c>
      <x:c r="D112" s="6" t="str">
        <x:v>https://masseffect.fandom.com/wiki/A_Trail_of_Hope_II</x:v>
      </x:c>
      <x:c r="E112" s="6" t="str">
        <x:v>Captifs et Cardinal</x:v>
      </x:c>
      <x:c r="F112" s="6" t="str">
        <x:v>Consulté le 22 octobre 2026 via les résultats indexés du moteur de recherche ; index communautaire secondaire, ouverture directe Fandom limitée par robots/402. Titres et faits brefs paraphrasés ; aucune capture ni validation exhaustive en jeu.</x:v>
      </x:c>
    </x:row>
    <x:row r="113" ht="82" customHeight="1">
      <x:c r="A113" s="6" t="str">
        <x:v>MEA-SRC-ANCIENT-AI</x:v>
      </x:c>
      <x:c r="B113" s="6" t="str">
        <x:v>Uncovering the Past</x:v>
      </x:c>
      <x:c r="C113" s="6" t="str">
        <x:v>wiki</x:v>
      </x:c>
      <x:c r="D113" s="6" t="str">
        <x:v>https://masseffect.fandom.com/wiki/Uncovering_the_Past</x:v>
      </x:c>
      <x:c r="E113" s="6" t="str">
        <x:v>IA ancienne, otage et destinataire</x:v>
      </x:c>
      <x:c r="F113" s="6" t="str">
        <x:v>Consulté le 22 octobre 2026 via les résultats indexés du moteur de recherche ; index communautaire secondaire, ouverture directe Fandom limitée par robots/402. Titres et faits brefs paraphrasés ; aucune capture ni validation exhaustive en jeu.</x:v>
      </x:c>
    </x:row>
    <x:row r="114" ht="82" customHeight="1">
      <x:c r="A114" s="6" t="str">
        <x:v>MEA-SRC-TURIAN-LOST</x:v>
      </x:c>
      <x:c r="B114" s="6" t="str">
        <x:v>Turian Ark: Lost But Not Forgotten</x:v>
      </x:c>
      <x:c r="C114" s="6" t="str">
        <x:v>wiki</x:v>
      </x:c>
      <x:c r="D114" s="6" t="str">
        <x:v>https://masseffect.fandom.com/wiki/Turian_Ark%3A_Lost_But_Not_Forgotten</x:v>
      </x:c>
      <x:c r="E114" s="6" t="str">
        <x:v>Avitus et secours final</x:v>
      </x:c>
      <x:c r="F114" s="6" t="str">
        <x:v>Consulté le 22 octobre 2026 via les résultats indexés du moteur de recherche ; index communautaire secondaire, ouverture directe Fandom limitée par robots/402. Titres et faits brefs paraphrasés ; aucune capture ni validation exhaustive en jeu.</x:v>
      </x:c>
    </x:row>
    <x:row r="115" ht="82" customHeight="1">
      <x:c r="A115" s="6" t="str">
        <x:v>MEA-SRC-DUNN</x:v>
      </x:c>
      <x:c r="B115" s="6" t="str">
        <x:v>Nozomi Dunn</x:v>
      </x:c>
      <x:c r="C115" s="6" t="str">
        <x:v>wiki</x:v>
      </x:c>
      <x:c r="D115" s="6" t="str">
        <x:v>https://masseffect.fandom.com/wiki/Nozomi_Dunn</x:v>
      </x:c>
      <x:c r="E115" s="6" t="str">
        <x:v>Capitaine et destin final</x:v>
      </x:c>
      <x:c r="F115" s="6" t="str">
        <x:v>Consulté le 22 octobre 2026 via les résultats indexés du moteur de recherche ; index communautaire secondaire, ouverture directe Fandom limitée par robots/402. Titres et faits brefs paraphrasés ; aucune capture ni validation exhaustive en jeu.</x:v>
      </x:c>
    </x:row>
    <x:row r="116" ht="82" customHeight="1">
      <x:c r="A116" s="6" t="str">
        <x:v>MEA-SRC-MP-ZERO</x:v>
      </x:c>
      <x:c r="B116" s="6" t="str">
        <x:v>Firebase Zero</x:v>
      </x:c>
      <x:c r="C116" s="6" t="str">
        <x:v>wiki</x:v>
      </x:c>
      <x:c r="D116" s="6" t="str">
        <x:v>https://masseffect.fandom.com/wiki/Firebase_Zero</x:v>
      </x:c>
      <x:c r="E116" s="6" t="str">
        <x:v>Carte multijoueur et index de cartes</x:v>
      </x:c>
      <x:c r="F116" s="6" t="str">
        <x:v>Consulté le 22 octobre 2026 via les résultats indexés du moteur de recherche ; index communautaire secondaire, ouverture directe Fandom limitée par robots/402. Titres et faits brefs paraphrasés ; aucune capture ni validation exhaustive en jeu.</x:v>
      </x:c>
    </x:row>
    <x:row r="117" ht="82" customHeight="1">
      <x:c r="A117" s="6" t="str">
        <x:v>MEA-SRC-MP-MAGMA</x:v>
      </x:c>
      <x:c r="B117" s="6" t="str">
        <x:v>Firebase Magma</x:v>
      </x:c>
      <x:c r="C117" s="6" t="str">
        <x:v>wiki</x:v>
      </x:c>
      <x:c r="D117" s="6" t="str">
        <x:v>https://masseffect.fandom.com/wiki/Firebase_Magma</x:v>
      </x:c>
      <x:c r="E117" s="6" t="str">
        <x:v>Carte multijoueur et index de cartes</x:v>
      </x:c>
      <x:c r="F117" s="6" t="str">
        <x:v>Consulté le 22 octobre 2026 via les résultats indexés du moteur de recherche ; index communautaire secondaire, ouverture directe Fandom limitée par robots/402. Titres et faits brefs paraphrasés ; aucune capture ni validation exhaustive en jeu.</x:v>
      </x:c>
    </x:row>
    <x:row r="118" ht="82" customHeight="1">
      <x:c r="A118" s="6" t="str">
        <x:v>MEA-SRC-APEX</x:v>
      </x:c>
      <x:c r="B118" s="6" t="str">
        <x:v>APEX Missions</x:v>
      </x:c>
      <x:c r="C118" s="6" t="str">
        <x:v>wiki</x:v>
      </x:c>
      <x:c r="D118" s="6" t="str">
        <x:v>https://masseffect.fandom.com/wiki/APEX_Missions</x:v>
      </x:c>
      <x:c r="E118" s="6" t="str">
        <x:v>Opérations coopératives et contexte</x:v>
      </x:c>
      <x:c r="F118" s="6" t="str">
        <x:v>Consulté le 22 octobre 2026 via les résultats indexés du moteur de recherche ; index communautaire secondaire, ouverture directe Fandom limitée par robots/402. Titres et faits brefs paraphrasés ; aucune capture ni validation exhaustive en jeu.</x:v>
      </x:c>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34" customHeight="1">
      <x:c r="A122" s="28" t="str">
        <x:v>Domaine</x:v>
      </x:c>
      <x:c r="B122" s="29" t="str">
        <x:v>Couverture actuelle</x:v>
      </x:c>
      <x:c r="C122" s="30" t="str">
        <x:v>Travail restant</x:v>
      </x:c>
      <x:c r="D122" s="2"/>
      <x:c r="E122" s="2"/>
      <x:c r="F122" s="2"/>
    </x:row>
    <x:row r="123" ht="82" customHeight="1">
      <x:c r="A123" s="6" t="str">
        <x:v>Campagne et missions</x:v>
      </x:c>
      <x:c r="B123" s="6" t="str">
        <x:v>19 opérations principales, six arcs de loyauté, nombreuses rencontres d’équipage, missions de chaque monde, tâches choisies et épilogue.</x:v>
      </x:c>
      <x:c r="C123" s="6" t="str">
        <x:v>Les 130 fiches annexes incluent quelques chaînes regroupées (Friend or Foe, Movie Night) ; tâches restantes, datapads, positions de tous collectibles et variantes de chaque conversation non exhaustives.</x:v>
      </x:c>
      <x:c r="D123" s="2"/>
      <x:c r="E123" s="2"/>
      <x:c r="F123" s="2"/>
    </x:row>
    <x:row r="124" ht="68" customHeight="1">
      <x:c r="A124" s="6" t="str">
        <x:v>Personnages et monde</x:v>
      </x:c>
      <x:c r="B124" s="6" t="str">
        <x:v>Ryder, six équipiers, Alec temporaire, principaux PNJ, arches, mondes, caveaux et lieux d’alliés.</x:v>
      </x:c>
      <x:c r="C124" s="6" t="str">
        <x:v>Figuration, marchands mineurs, tous membres de familles angara et chaque variante de costume restent à détailler après relevé en jeu.</x:v>
      </x:c>
      <x:c r="D124" s="2"/>
      <x:c r="E124" s="2"/>
      <x:c r="F124" s="2"/>
    </x:row>
    <x:row r="125" ht="68" customHeight="1">
      <x:c r="A125" s="6" t="str">
        <x:v>Combat et arsenal</x:v>
      </x:c>
      <x:c r="B125" s="6" t="str">
        <x:v>Familles kett/hors-la-loi/reliquates/faune, boss, movesets originaux, 36 compétences de Ryder plus alliés, arsenal et armures substantiels.</x:v>
      </x:c>
      <x:c r="C125" s="6" t="str">
        <x:v>Statistiques, rangs I–X, augmentations individuelles, toutes armes et immunités d’origine ne sont pas certifiés ; design ATB à prototyper et équilibrer.</x:v>
      </x:c>
      <x:c r="D125" s="2"/>
      <x:c r="E125" s="2"/>
      <x:c r="F125" s="2"/>
    </x:row>
    <x:row r="126" ht="68" customHeight="1">
      <x:c r="A126" s="6" t="str">
        <x:v>Production graphique et sonore</x:v>
      </x:c>
      <x:c r="B126" s="6" t="str">
        <x:v>Planches de sprites à produire, cycles d’animation, décors 3D, props, VFX, ambiances et critères de profondeur/verticalité.</x:v>
      </x:c>
      <x:c r="C126" s="6" t="str">
        <x:v>Ce catalogue ne fournit pas les fichiers artistiques, meshes ou sons ; validation de silhouette, atlas, performance et écoute à réaliser.</x:v>
      </x:c>
      <x:c r="D126" s="2"/>
      <x:c r="E126" s="2"/>
      <x:c r="F126" s="2"/>
    </x:row>
    <x:row r="127" ht="68" customHeight="1">
      <x:c r="A127" s="6" t="str">
        <x:v>Choix et continuité</x:v>
      </x:c>
      <x:c r="B127" s="6" t="str">
        <x:v>Moshae, Raeka/scouts, Pionniers, Dunn, Kalinda, Akksul, régime Kadara, moteur krogan, IA de Voeld, famille et romance versionnée.</x:v>
      </x:c>
      <x:c r="C127" s="6" t="str">
        <x:v>Conditions exactes de tous dialogues, petites réactions et fenêtres de patch à confirmer par sauvegardes/captures ; aucune fin ou identité de Bienfaiteur imposée.</x:v>
      </x:c>
      <x:c r="D127" s="2"/>
      <x:c r="E127" s="2"/>
      <x:c r="F127" s="2"/>
    </x:row>
    <x:row r="128" ht="82" customHeight="1">
      <x:c r="A128" s="6" t="str">
        <x:v>Multijoueur / APEX</x:v>
      </x:c>
      <x:c r="B128" s="6" t="str">
        <x:v>Dix cartes, échantillon de sept classes de plusieurs espèces, Strike Teams, Prestige/Veteran et compétences propres isolés du solo.</x:v>
      </x:c>
      <x:c r="C128" s="6" t="str">
        <x:v>Roster multi complet, toutes vagues, événements, cartes de danger, armes exclusives et disponibilité des services ne sont pas audités ; coop ATB reste une proposition.</x:v>
      </x:c>
      <x:c r="D128" s="2"/>
      <x:c r="E128" s="2"/>
      <x:c r="F128" s="2"/>
    </x:row>
    <x:row r="129" ht="68" customHeight="1">
      <x:c r="A129" s="6" t="str">
        <x:v>Extensions et suivi</x:v>
      </x:c>
      <x:c r="B129" s="6" t="str">
        <x:v>Édition Deluxe et contenu additionnel d’équipement distingués du récit ; déclaration BioWare de fin du suivi solo documentée.</x:v>
      </x:c>
      <x:c r="C129" s="6" t="str">
        <x:v>Aucun DLC narratif solo ni résolution jouable de l’arche quarienne inventé ; les romans et comics sont couverts dans leurs propres catalogues.</x:v>
      </x:c>
      <x:c r="D129" s="2"/>
      <x:c r="E129" s="2"/>
      <x:c r="F129" s="2"/>
    </x:row>
    <x:row r="130" ht="68" customHeight="1">
      <x:c r="A130" s="6" t="str">
        <x:v>Sources</x:v>
      </x:c>
      <x:c r="B130" s="6" t="str">
        <x:v>Sources EA/BioWare/manuel pour périmètre et versions, pages wiki de missions et mondes pour inventaire secondaire.</x:v>
      </x:c>
      <x:c r="C130" s="6" t="str">
        <x:v>Pages Fandom consultées par index de recherche lorsque accès direct limité ; inventaire substantiel sans revendication d’exhaustivité vérifiée en jeu.</x:v>
      </x:c>
      <x:c r="D130" s="2"/>
      <x:c r="E130" s="2"/>
      <x:c r="F130" s="2"/>
    </x:row>
    <x:row r="131" ht="96" customHeight="1">
      <x:c r="A131" s="6" t="str">
        <x:v>Prototype Chroniques indépendant</x:v>
      </x:c>
      <x:c r="B131" s="6" t="str">
        <x:v>8 personnages sélectionnables, 34 équipements utilisables sous restrictions d’œuvre, segment, scène et porteur ; preuves dans implementationPaths et evidence des seules lignes Prototype.</x:v>
      </x:c>
      <x:c r="C131" s="6" t="str">
        <x:v>Campagne complète, dialogues, acquisition canonique, sprites, costumes, animations et statistiques originales à réaliser ou vérifier. Les ateliers sont des essais de préparation ATB, sans progression canonique ni transfert ME1.</x:v>
      </x:c>
      <x:c r="D131" s="2"/>
      <x:c r="E131" s="2"/>
      <x:c r="F131" s="2"/>
    </x:row>
    <x:row r="132" ht="96" customHeight="1">
      <x:c r="A132" s="6" t="str">
        <x:v>Complément pouvoirs, modules et lectures</x:v>
      </x:c>
      <x:c r="B132" s="6" t="str">
        <x:v>10 fiches de pouvoirs effectivement utilisées, 0 familles de modules préparables et 0 références au stade Prototype consultables dans des lectures documentaires. Les chemins et preuves sont inscrits sur les seules lignes Prototype.</x:v>
      </x:c>
      <x:c r="C132" s="6" t="str">
        <x:v>Arbres et progression complets, modèles et rangs exacts, campagnes et dialogues intégraux, niveaux et ressources visuelles propres à l’œuvre restent à réaliser ou vérifier. Les références lues ne rendent pas leurs personnages jouables.</x:v>
      </x:c>
      <x:c r="D132" s="2"/>
      <x:c r="E132" s="2"/>
      <x:c r="F132" s="2"/>
    </x:row>
    <x:row r="133" ht="110" customHeight="1">
      <x:c r="A133" s="6" t="str">
        <x:v>Complément spécialistes contextualisés</x:v>
      </x:c>
      <x:c r="B133" s="6" t="str">
        <x:v>0 profils supplémentaires limités aux bancs de spécialistes, 4 profils d’armes spéciales et 3 fiches de pouvoirs supplémentaires effectivement exposées. Vérification fonctionnelle liée au rapport docs/qa/chronicle-specialists-browser-report.json.</x:v>
      </x:c>
      <x:c r="C133" s="6" t="str">
        <x:v>Bancs ATB sur mannequins originaux, conditions préparées et dotations abstraites ; aucune reconstruction des missions, acquisition de campagne, illustration, animation, doublage ni valeur originale certifiée. Les sources secondaires et incertitudes restent explicites.</x:v>
      </x:c>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row r="173" ht="22" customHeight="1">
      <x:c r="A173" s="2"/>
      <x:c r="B173" s="2"/>
      <x:c r="C173" s="2"/>
      <x:c r="D173" s="2"/>
      <x:c r="E173" s="2"/>
      <x:c r="F173" s="2"/>
    </x:row>
    <x:row r="174" ht="22" customHeight="1">
      <x:c r="A174" s="2"/>
      <x:c r="B174" s="2"/>
      <x:c r="C174" s="2"/>
      <x:c r="D174" s="2"/>
      <x:c r="E174" s="2"/>
      <x:c r="F174" s="2"/>
    </x:row>
    <x:row r="175" ht="22" customHeight="1">
      <x:c r="A175" s="2"/>
      <x:c r="B175" s="2"/>
      <x:c r="C175" s="2"/>
      <x:c r="D175" s="2"/>
      <x:c r="E175" s="2"/>
      <x:c r="F175" s="2"/>
    </x:row>
    <x:row r="176" ht="22" customHeight="1">
      <x:c r="A176" s="2"/>
      <x:c r="B176" s="2"/>
      <x:c r="C176" s="2"/>
      <x:c r="D176" s="2"/>
      <x:c r="E176" s="2"/>
      <x:c r="F176" s="2"/>
    </x:row>
    <x:row r="177" ht="22" customHeight="1">
      <x:c r="A177" s="2"/>
      <x:c r="B177" s="2"/>
      <x:c r="C177" s="2"/>
      <x:c r="D177" s="2"/>
      <x:c r="E177" s="2"/>
      <x:c r="F177" s="2"/>
    </x:row>
    <x:row r="178" ht="22" customHeight="1">
      <x:c r="A178" s="2"/>
      <x:c r="B178" s="2"/>
      <x:c r="C178" s="2"/>
      <x:c r="D178" s="2"/>
      <x:c r="E178" s="2"/>
      <x:c r="F178" s="2"/>
    </x:row>
    <x:row r="179" ht="22" customHeight="1">
      <x:c r="A179" s="2"/>
      <x:c r="B179" s="2"/>
      <x:c r="C179" s="2"/>
      <x:c r="D179" s="2"/>
      <x:c r="E179" s="2"/>
      <x:c r="F179" s="2"/>
    </x:row>
    <x:row r="180" ht="22" customHeight="1">
      <x:c r="A180" s="2"/>
      <x:c r="B180" s="2"/>
      <x:c r="C180" s="2"/>
      <x:c r="D180" s="2"/>
      <x:c r="E180" s="2"/>
      <x:c r="F180" s="2"/>
    </x:row>
    <x:row r="181" ht="22" customHeight="1">
      <x:c r="A181" s="2"/>
      <x:c r="B181" s="2"/>
      <x:c r="C181" s="2"/>
      <x:c r="D181" s="2"/>
      <x:c r="E181" s="2"/>
      <x:c r="F181" s="2"/>
    </x:row>
    <x:row r="182" ht="22" customHeight="1">
      <x:c r="A182" s="2"/>
      <x:c r="B182" s="2"/>
      <x:c r="C182" s="2"/>
      <x:c r="D182" s="2"/>
      <x:c r="E182" s="2"/>
      <x:c r="F182" s="2"/>
    </x:row>
    <x:row r="183" ht="22" customHeight="1">
      <x:c r="A183" s="2"/>
      <x:c r="B183" s="2"/>
      <x:c r="C183" s="2"/>
      <x:c r="D183" s="2"/>
      <x:c r="E183" s="2"/>
      <x:c r="F183" s="2"/>
    </x:row>
    <x:row r="184" ht="22" customHeight="1">
      <x:c r="A184" s="2"/>
      <x:c r="B184" s="2"/>
      <x:c r="C184" s="2"/>
      <x:c r="D184" s="2"/>
      <x:c r="E184" s="2"/>
      <x:c r="F184" s="2"/>
    </x:row>
    <x:row r="185" ht="22" customHeight="1">
      <x:c r="A185" s="2"/>
      <x:c r="B185" s="2"/>
      <x:c r="C185" s="2"/>
      <x:c r="D185" s="2"/>
      <x:c r="E185" s="2"/>
      <x:c r="F185" s="2"/>
    </x:row>
    <x:row r="186" ht="22" customHeight="1">
      <x:c r="A186" s="2"/>
      <x:c r="B186" s="2"/>
      <x:c r="C186" s="2"/>
      <x:c r="D186" s="2"/>
      <x:c r="E186" s="2"/>
      <x:c r="F186" s="2"/>
    </x:row>
    <x:row r="187" ht="22" customHeight="1">
      <x:c r="A187" s="2"/>
      <x:c r="B187" s="2"/>
      <x:c r="C187" s="2"/>
      <x:c r="D187" s="2"/>
      <x:c r="E187" s="2"/>
      <x:c r="F187" s="2"/>
    </x:row>
    <x:row r="188" ht="22" customHeight="1">
      <x:c r="A188" s="2"/>
      <x:c r="B188" s="2"/>
      <x:c r="C188" s="2"/>
      <x:c r="D188" s="2"/>
      <x:c r="E188" s="2"/>
      <x:c r="F188" s="2"/>
    </x:row>
    <x:row r="189" ht="22" customHeight="1">
      <x:c r="A189" s="2"/>
      <x:c r="B189" s="2"/>
      <x:c r="C189" s="2"/>
      <x:c r="D189" s="2"/>
      <x:c r="E189" s="2"/>
      <x:c r="F189" s="2"/>
    </x:row>
    <x:row r="190" ht="22" customHeight="1">
      <x:c r="A190" s="2"/>
      <x:c r="B190" s="2"/>
      <x:c r="C190" s="2"/>
      <x:c r="D190" s="2"/>
      <x:c r="E190" s="2"/>
      <x:c r="F190" s="2"/>
    </x:row>
    <x:row r="191" ht="22" customHeight="1">
      <x:c r="A191" s="2"/>
      <x:c r="B191" s="2"/>
      <x:c r="C191" s="2"/>
      <x:c r="D191" s="2"/>
      <x:c r="E191" s="2"/>
      <x:c r="F191" s="2"/>
    </x:row>
    <x:row r="192" ht="22" customHeight="1">
      <x:c r="A192" s="2"/>
      <x:c r="B192" s="2"/>
      <x:c r="C192" s="2"/>
      <x:c r="D192" s="2"/>
      <x:c r="E192" s="2"/>
      <x:c r="F192" s="2"/>
    </x:row>
    <x:row r="193" ht="22" customHeight="1">
      <x:c r="A193" s="2"/>
      <x:c r="B193" s="2"/>
      <x:c r="C193" s="2"/>
      <x:c r="D193" s="2"/>
      <x:c r="E193" s="2"/>
      <x:c r="F193" s="2"/>
    </x:row>
    <x:row r="194" ht="22" customHeight="1">
      <x:c r="A194" s="2"/>
      <x:c r="B194" s="2"/>
      <x:c r="C194" s="2"/>
      <x:c r="D194" s="2"/>
      <x:c r="E194" s="2"/>
      <x:c r="F194" s="2"/>
    </x:row>
    <x:row r="195" ht="22" customHeight="1">
      <x:c r="A195" s="2"/>
      <x:c r="B195" s="2"/>
      <x:c r="C195" s="2"/>
      <x:c r="D195" s="2"/>
      <x:c r="E195" s="2"/>
      <x:c r="F195" s="2"/>
    </x:row>
    <x:row r="196" ht="22" customHeight="1">
      <x:c r="A196" s="2"/>
      <x:c r="B196" s="2"/>
      <x:c r="C196" s="2"/>
      <x:c r="D196" s="2"/>
      <x:c r="E196" s="2"/>
      <x:c r="F196" s="2"/>
    </x:row>
    <x:row r="197" ht="22" customHeight="1">
      <x:c r="A197" s="2"/>
      <x:c r="B197" s="2"/>
      <x:c r="C197" s="2"/>
      <x:c r="D197" s="2"/>
      <x:c r="E197" s="2"/>
      <x:c r="F197" s="2"/>
    </x:row>
    <x:row r="198" ht="22" customHeight="1">
      <x:c r="A198" s="2"/>
      <x:c r="B198" s="2"/>
      <x:c r="C198" s="2"/>
      <x:c r="D198" s="2"/>
      <x:c r="E198" s="2"/>
      <x:c r="F198" s="2"/>
    </x:row>
    <x:row r="199" ht="22" customHeight="1">
      <x:c r="A199" s="2"/>
      <x:c r="B199" s="2"/>
      <x:c r="C199" s="2"/>
      <x:c r="D199" s="2"/>
      <x:c r="E199" s="2"/>
      <x:c r="F199" s="2"/>
    </x:row>
    <x:row r="200" ht="22" customHeight="1">
      <x:c r="A200" s="2"/>
      <x:c r="B200" s="2"/>
      <x:c r="C200" s="2"/>
      <x:c r="D200" s="2"/>
      <x:c r="E200" s="2"/>
      <x:c r="F200" s="2"/>
    </x:row>
    <x:row r="201" ht="22" customHeight="1">
      <x:c r="A201" s="2"/>
      <x:c r="B201" s="2"/>
      <x:c r="C201" s="2"/>
      <x:c r="D201" s="2"/>
      <x:c r="E201" s="2"/>
      <x:c r="F201" s="2"/>
    </x:row>
    <x:row r="202" ht="22" customHeight="1">
      <x:c r="A202" s="2"/>
      <x:c r="B202" s="2"/>
      <x:c r="C202" s="2"/>
      <x:c r="D202" s="2"/>
      <x:c r="E202" s="2"/>
      <x:c r="F202" s="2"/>
    </x:row>
    <x:row r="203" ht="22" customHeight="1">
      <x:c r="A203" s="2"/>
      <x:c r="B203" s="2"/>
      <x:c r="C203" s="2"/>
      <x:c r="D203" s="2"/>
      <x:c r="E203" s="2"/>
      <x:c r="F203" s="2"/>
    </x:row>
  </x:sheetData>
  <x:pageMargins left="0.7" right="0.7" top="0.75" bottom="0.75" header="0.3" footer="0.3"/>
</x:worksheet>
</file>