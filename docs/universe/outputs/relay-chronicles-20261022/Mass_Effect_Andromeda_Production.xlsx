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cfadda047b40b0" /></Relationships>
</file>

<file path=xl/workbook.xml><?xml version="1.0" encoding="utf-8"?>
<x:workbook xmlns:x="http://schemas.openxmlformats.org/spreadsheetml/2006/main">
  <x:sheets>
    <x:sheet xmlns:r="http://schemas.openxmlformats.org/officeDocument/2006/relationships" name="Dashboard" sheetId="1" r:id="R9309fb5161784eb8"/>
    <x:sheet xmlns:r="http://schemas.openxmlformats.org/officeDocument/2006/relationships" name="Personnages" sheetId="2" r:id="Rc35e683b299c4788"/>
    <x:sheet xmlns:r="http://schemas.openxmlformats.org/officeDocument/2006/relationships" name="PNJ" sheetId="3" r:id="R3363531316404686"/>
    <x:sheet xmlns:r="http://schemas.openxmlformats.org/officeDocument/2006/relationships" name="Especes_factions" sheetId="4" r:id="Rdb29edc8f07a40a4"/>
    <x:sheet xmlns:r="http://schemas.openxmlformats.org/officeDocument/2006/relationships" name="Mondes" sheetId="5" r:id="Rc20a96d60bb94d74"/>
    <x:sheet xmlns:r="http://schemas.openxmlformats.org/officeDocument/2006/relationships" name="Zones" sheetId="6" r:id="Rd0839dc7f8b24491"/>
    <x:sheet xmlns:r="http://schemas.openxmlformats.org/officeDocument/2006/relationships" name="Liaisons" sheetId="7" r:id="R5c1cea9b957841a0"/>
    <x:sheet xmlns:r="http://schemas.openxmlformats.org/officeDocument/2006/relationships" name="Decors" sheetId="8" r:id="R34b395a4d2a24eba"/>
    <x:sheet xmlns:r="http://schemas.openxmlformats.org/officeDocument/2006/relationships" name="Props" sheetId="9" r:id="R0d38cb5b3d1a4788"/>
    <x:sheet xmlns:r="http://schemas.openxmlformats.org/officeDocument/2006/relationships" name="Ennemis_boss" sheetId="10" r:id="R9a4ff462c5c74c32"/>
    <x:sheet xmlns:r="http://schemas.openxmlformats.org/officeDocument/2006/relationships" name="Missions" sheetId="11" r:id="Rfe911b68bb814062"/>
    <x:sheet xmlns:r="http://schemas.openxmlformats.org/officeDocument/2006/relationships" name="Secondaires_DLC" sheetId="12" r:id="R1b5101f465f34de5"/>
    <x:sheet xmlns:r="http://schemas.openxmlformats.org/officeDocument/2006/relationships" name="Choix_relations" sheetId="13" r:id="R8a43178549c9432c"/>
    <x:sheet xmlns:r="http://schemas.openxmlformats.org/officeDocument/2006/relationships" name="Dialogues" sheetId="14" r:id="Red8c38f66f93417a"/>
    <x:sheet xmlns:r="http://schemas.openxmlformats.org/officeDocument/2006/relationships" name="Cinematiques" sheetId="15" r:id="R7a140c0174954c33"/>
    <x:sheet xmlns:r="http://schemas.openxmlformats.org/officeDocument/2006/relationships" name="Armes" sheetId="16" r:id="R07a39d6bf84d4eff"/>
    <x:sheet xmlns:r="http://schemas.openxmlformats.org/officeDocument/2006/relationships" name="Armures_equipement" sheetId="17" r:id="Rc81cb221ee43499b"/>
    <x:sheet xmlns:r="http://schemas.openxmlformats.org/officeDocument/2006/relationships" name="Pouvoirs" sheetId="18" r:id="R44247e0a035e47f3"/>
    <x:sheet xmlns:r="http://schemas.openxmlformats.org/officeDocument/2006/relationships" name="Movesets_allies" sheetId="19" r:id="R8949d054191c4dbe"/>
    <x:sheet xmlns:r="http://schemas.openxmlformats.org/officeDocument/2006/relationships" name="Movesets_ennemis" sheetId="20" r:id="Rc8e2fffcda874ffe"/>
    <x:sheet xmlns:r="http://schemas.openxmlformats.org/officeDocument/2006/relationships" name="Animations" sheetId="21" r:id="Rb5a3a28dd0264bb5"/>
    <x:sheet xmlns:r="http://schemas.openxmlformats.org/officeDocument/2006/relationships" name="Sprites" sheetId="22" r:id="R588925ddd6cb454b"/>
    <x:sheet xmlns:r="http://schemas.openxmlformats.org/officeDocument/2006/relationships" name="VFX" sheetId="23" r:id="R6222b67983ad4597"/>
    <x:sheet xmlns:r="http://schemas.openxmlformats.org/officeDocument/2006/relationships" name="Audio" sheetId="24" r:id="R39bd0ca63ae5445e"/>
    <x:sheet xmlns:r="http://schemas.openxmlformats.org/officeDocument/2006/relationships" name="UI_systemes" sheetId="25" r:id="R3b3a5b899a584838"/>
    <x:sheet xmlns:r="http://schemas.openxmlformats.org/officeDocument/2006/relationships" name="QA" sheetId="26" r:id="R264b48c2aefd49b7"/>
    <x:sheet xmlns:r="http://schemas.openxmlformats.org/officeDocument/2006/relationships" name="Continuite" sheetId="27" r:id="Rdb4a05ba9c5b42a8"/>
    <x:sheet xmlns:r="http://schemas.openxmlformats.org/officeDocument/2006/relationships" name="Guide" sheetId="28" r:id="R3da4a59750b746a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cdaf287403874499" /><Relationship Type="http://schemas.openxmlformats.org/officeDocument/2006/relationships/theme" Target="/xl/theme/theme1.xml" Id="R7405977b7bd2469f" /><Relationship Type="http://schemas.openxmlformats.org/officeDocument/2006/relationships/sharedStrings" Target="/xl/sharedStrings.xml" Id="R510522dd38fd4f4c" /><Relationship Type="http://schemas.openxmlformats.org/officeDocument/2006/relationships/worksheet" Target="/xl/worksheets/sheet1.xml" Id="R9309fb5161784eb8" /><Relationship Type="http://schemas.openxmlformats.org/officeDocument/2006/relationships/worksheet" Target="/xl/worksheets/sheet2.xml" Id="Rc35e683b299c4788" /><Relationship Type="http://schemas.openxmlformats.org/officeDocument/2006/relationships/worksheet" Target="/xl/worksheets/sheet3.xml" Id="R3363531316404686" /><Relationship Type="http://schemas.openxmlformats.org/officeDocument/2006/relationships/worksheet" Target="/xl/worksheets/sheet4.xml" Id="Rdb29edc8f07a40a4" /><Relationship Type="http://schemas.openxmlformats.org/officeDocument/2006/relationships/worksheet" Target="/xl/worksheets/sheet5.xml" Id="Rc20a96d60bb94d74" /><Relationship Type="http://schemas.openxmlformats.org/officeDocument/2006/relationships/worksheet" Target="/xl/worksheets/sheet6.xml" Id="Rd0839dc7f8b24491" /><Relationship Type="http://schemas.openxmlformats.org/officeDocument/2006/relationships/worksheet" Target="/xl/worksheets/sheet7.xml" Id="R5c1cea9b957841a0" /><Relationship Type="http://schemas.openxmlformats.org/officeDocument/2006/relationships/worksheet" Target="/xl/worksheets/sheet8.xml" Id="R34b395a4d2a24eba" /><Relationship Type="http://schemas.openxmlformats.org/officeDocument/2006/relationships/worksheet" Target="/xl/worksheets/sheet9.xml" Id="R0d38cb5b3d1a4788" /><Relationship Type="http://schemas.openxmlformats.org/officeDocument/2006/relationships/worksheet" Target="/xl/worksheets/sheet10.xml" Id="R9a4ff462c5c74c32" /><Relationship Type="http://schemas.openxmlformats.org/officeDocument/2006/relationships/worksheet" Target="/xl/worksheets/sheet11.xml" Id="Rfe911b68bb814062" /><Relationship Type="http://schemas.openxmlformats.org/officeDocument/2006/relationships/worksheet" Target="/xl/worksheets/sheet12.xml" Id="R1b5101f465f34de5" /><Relationship Type="http://schemas.openxmlformats.org/officeDocument/2006/relationships/worksheet" Target="/xl/worksheets/sheet13.xml" Id="R8a43178549c9432c" /><Relationship Type="http://schemas.openxmlformats.org/officeDocument/2006/relationships/worksheet" Target="/xl/worksheets/sheet14.xml" Id="Red8c38f66f93417a" /><Relationship Type="http://schemas.openxmlformats.org/officeDocument/2006/relationships/worksheet" Target="/xl/worksheets/sheet15.xml" Id="R7a140c0174954c33" /><Relationship Type="http://schemas.openxmlformats.org/officeDocument/2006/relationships/worksheet" Target="/xl/worksheets/sheet16.xml" Id="R07a39d6bf84d4eff" /><Relationship Type="http://schemas.openxmlformats.org/officeDocument/2006/relationships/worksheet" Target="/xl/worksheets/sheet17.xml" Id="Rc81cb221ee43499b" /><Relationship Type="http://schemas.openxmlformats.org/officeDocument/2006/relationships/worksheet" Target="/xl/worksheets/sheet18.xml" Id="R44247e0a035e47f3" /><Relationship Type="http://schemas.openxmlformats.org/officeDocument/2006/relationships/worksheet" Target="/xl/worksheets/sheet19.xml" Id="R8949d054191c4dbe" /><Relationship Type="http://schemas.openxmlformats.org/officeDocument/2006/relationships/worksheet" Target="/xl/worksheets/sheet20.xml" Id="Rc8e2fffcda874ffe" /><Relationship Type="http://schemas.openxmlformats.org/officeDocument/2006/relationships/worksheet" Target="/xl/worksheets/sheet21.xml" Id="Rb5a3a28dd0264bb5" /><Relationship Type="http://schemas.openxmlformats.org/officeDocument/2006/relationships/worksheet" Target="/xl/worksheets/sheet22.xml" Id="R588925ddd6cb454b" /><Relationship Type="http://schemas.openxmlformats.org/officeDocument/2006/relationships/worksheet" Target="/xl/worksheets/sheet23.xml" Id="R6222b67983ad4597" /><Relationship Type="http://schemas.openxmlformats.org/officeDocument/2006/relationships/worksheet" Target="/xl/worksheets/sheet24.xml" Id="R39bd0ca63ae5445e" /><Relationship Type="http://schemas.openxmlformats.org/officeDocument/2006/relationships/worksheet" Target="/xl/worksheets/sheet25.xml" Id="R3b3a5b899a584838" /><Relationship Type="http://schemas.openxmlformats.org/officeDocument/2006/relationships/worksheet" Target="/xl/worksheets/sheet26.xml" Id="R264b48c2aefd49b7" /><Relationship Type="http://schemas.openxmlformats.org/officeDocument/2006/relationships/worksheet" Target="/xl/worksheets/sheet27.xml" Id="Rdb4a05ba9c5b42a8" /><Relationship Type="http://schemas.openxmlformats.org/officeDocument/2006/relationships/worksheet" Target="/xl/worksheets/sheet28.xml" Id="R3da4a59750b746a3" /></Relationships>
</file>

<file path=xl/tables/table1.xml><?xml version="1.0" encoding="utf-8"?>
<x:table xmlns:x="http://schemas.openxmlformats.org/spreadsheetml/2006/main" id="1" name="MEA_characters" displayName="MEA_characters"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MEA_npcs" displayName="MEA_npcs" ref="A6:S54" headerRowCount="1" totalsRowCount="0" totalsRowShown="0">
  <x:autoFilter ref="A6:S5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MEA_lore" displayName="MEA_lore" ref="A6:S24" headerRowCount="1" totalsRowCount="0" totalsRowShown="0">
  <x:autoFilter ref="A6:S2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MEA_worlds" displayName="MEA_worlds" ref="A6:S23" headerRowCount="1" totalsRowCount="0" totalsRowShown="0">
  <x:autoFilter ref="A6:S2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MEA_zones" displayName="MEA_zones" ref="A6:S51" headerRowCount="1" totalsRowCount="0" totalsRowShown="0">
  <x:autoFilter ref="A6:S5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MEA_links" displayName="MEA_links"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MEA_scenery" displayName="MEA_scenery" ref="A6:S20" headerRowCount="1" totalsRowCount="0" totalsRowShown="0">
  <x:autoFilter ref="A6:S2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MEA_props" displayName="MEA_props" ref="A6:S24" headerRowCount="1" totalsRowCount="0" totalsRowShown="0">
  <x:autoFilter ref="A6:S2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MEA_enemies" displayName="MEA_enemies" ref="A6:S47" headerRowCount="1" totalsRowCount="0" totalsRowShown="0">
  <x:autoFilter ref="A6:S4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MEA_main_quests" displayName="MEA_main_quests" ref="A6:S25" headerRowCount="1" totalsRowCount="0" totalsRowShown="0">
  <x:autoFilter ref="A6:S2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MEA_side_quests" displayName="MEA_side_quests" ref="A6:S136" headerRowCount="1" totalsRowCount="0" totalsRowShown="0">
  <x:autoFilter ref="A6:S13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MEA_choices" displayName="MEA_choices" ref="A6:S33" headerRowCount="1" totalsRowCount="0" totalsRowShown="0">
  <x:autoFilter ref="A6:S3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MEA_dialogues" displayName="MEA_dialogues"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MEA_cinematics" displayName="MEA_cinematics"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MEA_weapons" displayName="MEA_weapons" ref="A6:S54" headerRowCount="1" totalsRowCount="0" totalsRowShown="0">
  <x:autoFilter ref="A6:S5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MEA_equipment" displayName="MEA_equipment" ref="A6:S28" headerRowCount="1" totalsRowCount="0" totalsRowShown="0">
  <x:autoFilter ref="A6:S2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MEA_powers" displayName="MEA_powers" ref="A6:S49" headerRowCount="1" totalsRowCount="0" totalsRowShown="0">
  <x:autoFilter ref="A6:S4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MEA_ally_moves" displayName="MEA_ally_moves"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MEA_enemy_moves" displayName="MEA_enemy_moves" ref="A6:S47" headerRowCount="1" totalsRowCount="0" totalsRowShown="0">
  <x:autoFilter ref="A6:S4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MEA_animations" displayName="MEA_animations" ref="A6:S22" headerRowCount="1" totalsRowCount="0" totalsRowShown="0">
  <x:autoFilter ref="A6:S2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MEA_sprites" displayName="MEA_sprites" ref="A6:S62" headerRowCount="1" totalsRowCount="0" totalsRowShown="0">
  <x:autoFilter ref="A6:S6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MEA_vfx" displayName="MEA_vfx" ref="A6:S20" headerRowCount="1" totalsRowCount="0" totalsRowShown="0">
  <x:autoFilter ref="A6:S2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MEA_audio" displayName="MEA_audio"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MEA_systems" displayName="MEA_systems" ref="A6:S33" headerRowCount="1" totalsRowCount="0" totalsRowShown="0">
  <x:autoFilter ref="A6:S3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MEA_qa" displayName="MEA_qa" ref="A6:S32" headerRowCount="1" totalsRowCount="0" totalsRowShown="0">
  <x:autoFilter ref="A6:S3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MEA_continuity" displayName="MEA_continuity" ref="A6:S20" headerRowCount="1" totalsRowCount="0" totalsRowShown="0">
  <x:autoFilter ref="A6:S2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bcd041ae7a4ed7" /></Relationships>
</file>

<file path=xl/worksheets/_rels/sheet3.xml.rels>&#65279;<?xml version="1.0" encoding="utf-8"?><Relationships xmlns="http://schemas.openxmlformats.org/package/2006/relationships"><Relationship Type="http://schemas.openxmlformats.org/officeDocument/2006/relationships/table" Target="/xl/tables/table2.xml" Id="Rf05a099359a1406f" /></Relationships>
</file>

<file path=xl/worksheets/_rels/sheet4.xml.rels>&#65279;<?xml version="1.0" encoding="utf-8"?><Relationships xmlns="http://schemas.openxmlformats.org/package/2006/relationships"><Relationship Type="http://schemas.openxmlformats.org/officeDocument/2006/relationships/table" Target="/xl/tables/table3.xml" Id="R6eb5ff1b0ddc4791" /></Relationships>
</file>

<file path=xl/worksheets/_rels/sheet5.xml.rels>&#65279;<?xml version="1.0" encoding="utf-8"?><Relationships xmlns="http://schemas.openxmlformats.org/package/2006/relationships"><Relationship Type="http://schemas.openxmlformats.org/officeDocument/2006/relationships/table" Target="/xl/tables/table4.xml" Id="R4c5197091f6c48dd" /></Relationships>
</file>

<file path=xl/worksheets/_rels/sheet6.xml.rels>&#65279;<?xml version="1.0" encoding="utf-8"?><Relationships xmlns="http://schemas.openxmlformats.org/package/2006/relationships"><Relationship Type="http://schemas.openxmlformats.org/officeDocument/2006/relationships/table" Target="/xl/tables/table5.xml" Id="R3ad70f7a53ae4e27" /></Relationships>
</file>

<file path=xl/worksheets/_rels/sheet7.xml.rels>&#65279;<?xml version="1.0" encoding="utf-8"?><Relationships xmlns="http://schemas.openxmlformats.org/package/2006/relationships"><Relationship Type="http://schemas.openxmlformats.org/officeDocument/2006/relationships/table" Target="/xl/tables/table6.xml" Id="R7cfe205b37864e73" /></Relationships>
</file>

<file path=xl/worksheets/_rels/sheet8.xml.rels>&#65279;<?xml version="1.0" encoding="utf-8"?><Relationships xmlns="http://schemas.openxmlformats.org/package/2006/relationships"><Relationship Type="http://schemas.openxmlformats.org/officeDocument/2006/relationships/table" Target="/xl/tables/table7.xml" Id="R63112ff0335f4bc9" /></Relationships>
</file>

<file path=xl/worksheets/_rels/sheet9.xml.rels>&#65279;<?xml version="1.0" encoding="utf-8"?><Relationships xmlns="http://schemas.openxmlformats.org/package/2006/relationships"><Relationship Type="http://schemas.openxmlformats.org/officeDocument/2006/relationships/table" Target="/xl/tables/table8.xml" Id="R3240145e1ec0428b" /></Relationships>
</file>

<file path=xl/worksheets/_rels/sheet10.xml.rels>&#65279;<?xml version="1.0" encoding="utf-8"?><Relationships xmlns="http://schemas.openxmlformats.org/package/2006/relationships"><Relationship Type="http://schemas.openxmlformats.org/officeDocument/2006/relationships/table" Target="/xl/tables/table9.xml" Id="R5dfdeba12f9b4d47" /></Relationships>
</file>

<file path=xl/worksheets/_rels/sheet11.xml.rels>&#65279;<?xml version="1.0" encoding="utf-8"?><Relationships xmlns="http://schemas.openxmlformats.org/package/2006/relationships"><Relationship Type="http://schemas.openxmlformats.org/officeDocument/2006/relationships/table" Target="/xl/tables/table10.xml" Id="Rd323077407e34b40" /></Relationships>
</file>

<file path=xl/worksheets/_rels/sheet12.xml.rels>&#65279;<?xml version="1.0" encoding="utf-8"?><Relationships xmlns="http://schemas.openxmlformats.org/package/2006/relationships"><Relationship Type="http://schemas.openxmlformats.org/officeDocument/2006/relationships/table" Target="/xl/tables/table11.xml" Id="R24d9e957663344f9" /></Relationships>
</file>

<file path=xl/worksheets/_rels/sheet13.xml.rels>&#65279;<?xml version="1.0" encoding="utf-8"?><Relationships xmlns="http://schemas.openxmlformats.org/package/2006/relationships"><Relationship Type="http://schemas.openxmlformats.org/officeDocument/2006/relationships/table" Target="/xl/tables/table12.xml" Id="R3334c6c8a6634a7c" /></Relationships>
</file>

<file path=xl/worksheets/_rels/sheet14.xml.rels>&#65279;<?xml version="1.0" encoding="utf-8"?><Relationships xmlns="http://schemas.openxmlformats.org/package/2006/relationships"><Relationship Type="http://schemas.openxmlformats.org/officeDocument/2006/relationships/table" Target="/xl/tables/table13.xml" Id="R357723b09a464c22" /></Relationships>
</file>

<file path=xl/worksheets/_rels/sheet15.xml.rels>&#65279;<?xml version="1.0" encoding="utf-8"?><Relationships xmlns="http://schemas.openxmlformats.org/package/2006/relationships"><Relationship Type="http://schemas.openxmlformats.org/officeDocument/2006/relationships/table" Target="/xl/tables/table14.xml" Id="R9abd3fbcf76c48bb" /></Relationships>
</file>

<file path=xl/worksheets/_rels/sheet16.xml.rels>&#65279;<?xml version="1.0" encoding="utf-8"?><Relationships xmlns="http://schemas.openxmlformats.org/package/2006/relationships"><Relationship Type="http://schemas.openxmlformats.org/officeDocument/2006/relationships/table" Target="/xl/tables/table15.xml" Id="R983dd442d4424289" /></Relationships>
</file>

<file path=xl/worksheets/_rels/sheet17.xml.rels>&#65279;<?xml version="1.0" encoding="utf-8"?><Relationships xmlns="http://schemas.openxmlformats.org/package/2006/relationships"><Relationship Type="http://schemas.openxmlformats.org/officeDocument/2006/relationships/table" Target="/xl/tables/table16.xml" Id="Re0a8814dbbc54ca3" /></Relationships>
</file>

<file path=xl/worksheets/_rels/sheet18.xml.rels>&#65279;<?xml version="1.0" encoding="utf-8"?><Relationships xmlns="http://schemas.openxmlformats.org/package/2006/relationships"><Relationship Type="http://schemas.openxmlformats.org/officeDocument/2006/relationships/table" Target="/xl/tables/table17.xml" Id="R3e2255c5050c4065" /></Relationships>
</file>

<file path=xl/worksheets/_rels/sheet19.xml.rels>&#65279;<?xml version="1.0" encoding="utf-8"?><Relationships xmlns="http://schemas.openxmlformats.org/package/2006/relationships"><Relationship Type="http://schemas.openxmlformats.org/officeDocument/2006/relationships/table" Target="/xl/tables/table18.xml" Id="R728862825f264461" /></Relationships>
</file>

<file path=xl/worksheets/_rels/sheet20.xml.rels>&#65279;<?xml version="1.0" encoding="utf-8"?><Relationships xmlns="http://schemas.openxmlformats.org/package/2006/relationships"><Relationship Type="http://schemas.openxmlformats.org/officeDocument/2006/relationships/table" Target="/xl/tables/table19.xml" Id="R07b53066adcb4306" /></Relationships>
</file>

<file path=xl/worksheets/_rels/sheet21.xml.rels>&#65279;<?xml version="1.0" encoding="utf-8"?><Relationships xmlns="http://schemas.openxmlformats.org/package/2006/relationships"><Relationship Type="http://schemas.openxmlformats.org/officeDocument/2006/relationships/table" Target="/xl/tables/table20.xml" Id="R30b31adadd7d4761" /></Relationships>
</file>

<file path=xl/worksheets/_rels/sheet22.xml.rels>&#65279;<?xml version="1.0" encoding="utf-8"?><Relationships xmlns="http://schemas.openxmlformats.org/package/2006/relationships"><Relationship Type="http://schemas.openxmlformats.org/officeDocument/2006/relationships/table" Target="/xl/tables/table21.xml" Id="Ra67f52c4183e41a3" /></Relationships>
</file>

<file path=xl/worksheets/_rels/sheet23.xml.rels>&#65279;<?xml version="1.0" encoding="utf-8"?><Relationships xmlns="http://schemas.openxmlformats.org/package/2006/relationships"><Relationship Type="http://schemas.openxmlformats.org/officeDocument/2006/relationships/table" Target="/xl/tables/table22.xml" Id="Rf8b60fcde1914afe" /></Relationships>
</file>

<file path=xl/worksheets/_rels/sheet24.xml.rels>&#65279;<?xml version="1.0" encoding="utf-8"?><Relationships xmlns="http://schemas.openxmlformats.org/package/2006/relationships"><Relationship Type="http://schemas.openxmlformats.org/officeDocument/2006/relationships/table" Target="/xl/tables/table23.xml" Id="Ra6deb26d24fc427b" /></Relationships>
</file>

<file path=xl/worksheets/_rels/sheet25.xml.rels>&#65279;<?xml version="1.0" encoding="utf-8"?><Relationships xmlns="http://schemas.openxmlformats.org/package/2006/relationships"><Relationship Type="http://schemas.openxmlformats.org/officeDocument/2006/relationships/table" Target="/xl/tables/table24.xml" Id="R4677449fddb94490" /></Relationships>
</file>

<file path=xl/worksheets/_rels/sheet26.xml.rels>&#65279;<?xml version="1.0" encoding="utf-8"?><Relationships xmlns="http://schemas.openxmlformats.org/package/2006/relationships"><Relationship Type="http://schemas.openxmlformats.org/officeDocument/2006/relationships/table" Target="/xl/tables/table25.xml" Id="R0c3b3fb8c11b4583" /></Relationships>
</file>

<file path=xl/worksheets/_rels/sheet27.xml.rels>&#65279;<?xml version="1.0" encoding="utf-8"?><Relationships xmlns="http://schemas.openxmlformats.org/package/2006/relationships"><Relationship Type="http://schemas.openxmlformats.org/officeDocument/2006/relationships/table" Target="/xl/tables/table26.xml" Id="R3709699d812448fb"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Andromeda</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763</x:v>
      </x:c>
      <x:c r="C5" s="2"/>
      <x:c r="D5" s="2" t="str">
        <x:v>Intégrés</x:v>
      </x:c>
      <x:c r="E5" s="31" t="n">
        <x:f>SUM(E10:F35)</x:f>
        <x:v>0</x:v>
      </x:c>
      <x:c r="F5" s="2"/>
      <x:c r="G5" s="2" t="str">
        <x:v>À vérifier</x:v>
      </x:c>
      <x:c r="H5" s="31" t="n">
        <x:f>SUM(H10:H35)</x:f>
        <x:v>0</x:v>
      </x:c>
      <x:c r="I5" s="2"/>
      <x:c r="J5" s="2" t="str">
        <x:v>Extrapolations</x:v>
      </x:c>
      <x:c r="K5" s="31" t="n">
        <x:f>SUM(I10:I35)</x:f>
        <x:v>290</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COUNTA('Personnages'!$A$7:$A$21)</x:f>
        <x:v>15</x:v>
      </x:c>
      <x:c r="C10" s="37" t="n">
        <x:f>COUNTIFS('Personnages'!$C$7:$C$21,"Défini")</x:f>
        <x:v>7</x:v>
      </x:c>
      <x:c r="D10" s="37" t="n">
        <x:f>COUNTIFS('Personnages'!$C$7:$C$21,"Prototype")</x:f>
        <x:v>8</x:v>
      </x:c>
      <x:c r="E10" s="37" t="n">
        <x:f>COUNTIFS('Personnages'!$C$7:$C$21,"Intégré")</x:f>
        <x:v>0</x:v>
      </x:c>
      <x:c r="F10" s="37" t="n">
        <x:f>COUNTIFS('Personnages'!$C$7:$C$21,"Validé")</x:f>
        <x:v>0</x:v>
      </x:c>
      <x:c r="G10" s="37" t="n">
        <x:f>COUNTIFS('Personnages'!$D$7:$D$21,"Établi")</x:f>
        <x:v>15</x:v>
      </x:c>
      <x:c r="H10" s="37" t="n">
        <x:f>COUNTIFS('Personnages'!$D$7:$D$21,"À vérifier")</x:f>
        <x:v>0</x:v>
      </x:c>
      <x:c r="I10" s="37" t="n">
        <x:f>COUNTIFS('Personnages'!$D$7:$D$21,"Extrapolation")</x:f>
        <x:v>0</x:v>
      </x:c>
      <x:c r="J10" s="37" t="n">
        <x:f>COUNTIFS('Personnages'!$D$7:$D$21,"Coupé attesté")</x:f>
        <x:v>0</x:v>
      </x:c>
      <x:c r="K10" s="37" t="n">
        <x:f>COUNTIFS('Personnages'!$D$7:$D$21,"Concept abandonné")</x:f>
        <x:v>0</x:v>
      </x:c>
      <x:c r="L10" s="37" t="n">
        <x:f>COUNTIFS('Personnages'!$D$7:$D$21,"Allégation écartée")</x:f>
        <x:v>0</x:v>
      </x:c>
      <x:c r="M10" s="37" t="n">
        <x:f>COUNTIFS('Personnages'!$E$7:$E$21,"P0")</x:f>
        <x:v>0</x:v>
      </x:c>
    </x:row>
    <x:row r="11" ht="22" customHeight="1">
      <x:c r="A11" s="2" t="str">
        <x:v>PNJ</x:v>
      </x:c>
      <x:c r="B11" s="38" t="n">
        <x:f>COUNTA('PNJ'!$A$7:$A$54)</x:f>
        <x:v>48</x:v>
      </x:c>
      <x:c r="C11" s="38" t="n">
        <x:f>COUNTIFS('PNJ'!$C$7:$C$54,"Défini")</x:f>
        <x:v>48</x:v>
      </x:c>
      <x:c r="D11" s="38" t="n">
        <x:f>COUNTIFS('PNJ'!$C$7:$C$54,"Prototype")</x:f>
        <x:v>0</x:v>
      </x:c>
      <x:c r="E11" s="38" t="n">
        <x:f>COUNTIFS('PNJ'!$C$7:$C$54,"Intégré")</x:f>
        <x:v>0</x:v>
      </x:c>
      <x:c r="F11" s="38" t="n">
        <x:f>COUNTIFS('PNJ'!$C$7:$C$54,"Validé")</x:f>
        <x:v>0</x:v>
      </x:c>
      <x:c r="G11" s="38" t="n">
        <x:f>COUNTIFS('PNJ'!$D$7:$D$54,"Établi")</x:f>
        <x:v>48</x:v>
      </x:c>
      <x:c r="H11" s="38" t="n">
        <x:f>COUNTIFS('PNJ'!$D$7:$D$54,"À vérifier")</x:f>
        <x:v>0</x:v>
      </x:c>
      <x:c r="I11" s="38" t="n">
        <x:f>COUNTIFS('PNJ'!$D$7:$D$54,"Extrapolation")</x:f>
        <x:v>0</x:v>
      </x:c>
      <x:c r="J11" s="38" t="n">
        <x:f>COUNTIFS('PNJ'!$D$7:$D$54,"Coupé attesté")</x:f>
        <x:v>0</x:v>
      </x:c>
      <x:c r="K11" s="38" t="n">
        <x:f>COUNTIFS('PNJ'!$D$7:$D$54,"Concept abandonné")</x:f>
        <x:v>0</x:v>
      </x:c>
      <x:c r="L11" s="38" t="n">
        <x:f>COUNTIFS('PNJ'!$D$7:$D$54,"Allégation écartée")</x:f>
        <x:v>0</x:v>
      </x:c>
      <x:c r="M11" s="38" t="n">
        <x:f>COUNTIFS('PNJ'!$E$7:$E$54,"P0")</x:f>
        <x:v>0</x:v>
      </x:c>
    </x:row>
    <x:row r="12" ht="22" customHeight="1">
      <x:c r="A12" s="33" t="str">
        <x:v>Espèces et factions</x:v>
      </x:c>
      <x:c r="B12" s="37" t="n">
        <x:f>COUNTA('Especes_factions'!$A$7:$A$24)</x:f>
        <x:v>18</x:v>
      </x:c>
      <x:c r="C12" s="37" t="n">
        <x:f>COUNTIFS('Especes_factions'!$C$7:$C$24,"Défini")</x:f>
        <x:v>18</x:v>
      </x:c>
      <x:c r="D12" s="37" t="n">
        <x:f>COUNTIFS('Especes_factions'!$C$7:$C$24,"Prototype")</x:f>
        <x:v>0</x:v>
      </x:c>
      <x:c r="E12" s="37" t="n">
        <x:f>COUNTIFS('Especes_factions'!$C$7:$C$24,"Intégré")</x:f>
        <x:v>0</x:v>
      </x:c>
      <x:c r="F12" s="37" t="n">
        <x:f>COUNTIFS('Especes_factions'!$C$7:$C$24,"Validé")</x:f>
        <x:v>0</x:v>
      </x:c>
      <x:c r="G12" s="37" t="n">
        <x:f>COUNTIFS('Especes_factions'!$D$7:$D$24,"Établi")</x:f>
        <x:v>18</x:v>
      </x:c>
      <x:c r="H12" s="37" t="n">
        <x:f>COUNTIFS('Especes_factions'!$D$7:$D$24,"À vérifier")</x:f>
        <x:v>0</x:v>
      </x:c>
      <x:c r="I12" s="37" t="n">
        <x:f>COUNTIFS('Especes_factions'!$D$7:$D$24,"Extrapolation")</x:f>
        <x:v>0</x:v>
      </x:c>
      <x:c r="J12" s="37" t="n">
        <x:f>COUNTIFS('Especes_factions'!$D$7:$D$24,"Coupé attesté")</x:f>
        <x:v>0</x:v>
      </x:c>
      <x:c r="K12" s="37" t="n">
        <x:f>COUNTIFS('Especes_factions'!$D$7:$D$24,"Concept abandonné")</x:f>
        <x:v>0</x:v>
      </x:c>
      <x:c r="L12" s="37" t="n">
        <x:f>COUNTIFS('Especes_factions'!$D$7:$D$24,"Allégation écartée")</x:f>
        <x:v>0</x:v>
      </x:c>
      <x:c r="M12" s="37" t="n">
        <x:f>COUNTIFS('Especes_factions'!$E$7:$E$24,"P0")</x:f>
        <x:v>0</x:v>
      </x:c>
    </x:row>
    <x:row r="13" ht="22" customHeight="1">
      <x:c r="A13" s="2" t="str">
        <x:v>Mondes</x:v>
      </x:c>
      <x:c r="B13" s="38" t="n">
        <x:f>COUNTA('Mondes'!$A$7:$A$23)</x:f>
        <x:v>17</x:v>
      </x:c>
      <x:c r="C13" s="38" t="n">
        <x:f>COUNTIFS('Mondes'!$C$7:$C$23,"Défini")</x:f>
        <x:v>17</x:v>
      </x:c>
      <x:c r="D13" s="38" t="n">
        <x:f>COUNTIFS('Mondes'!$C$7:$C$23,"Prototype")</x:f>
        <x:v>0</x:v>
      </x:c>
      <x:c r="E13" s="38" t="n">
        <x:f>COUNTIFS('Mondes'!$C$7:$C$23,"Intégré")</x:f>
        <x:v>0</x:v>
      </x:c>
      <x:c r="F13" s="38" t="n">
        <x:f>COUNTIFS('Mondes'!$C$7:$C$23,"Validé")</x:f>
        <x:v>0</x:v>
      </x:c>
      <x:c r="G13" s="38" t="n">
        <x:f>COUNTIFS('Mondes'!$D$7:$D$23,"Établi")</x:f>
        <x:v>17</x:v>
      </x:c>
      <x:c r="H13" s="38" t="n">
        <x:f>COUNTIFS('Mondes'!$D$7:$D$23,"À vérifier")</x:f>
        <x:v>0</x:v>
      </x:c>
      <x:c r="I13" s="38" t="n">
        <x:f>COUNTIFS('Mondes'!$D$7:$D$23,"Extrapolation")</x:f>
        <x:v>0</x:v>
      </x:c>
      <x:c r="J13" s="38" t="n">
        <x:f>COUNTIFS('Mondes'!$D$7:$D$23,"Coupé attesté")</x:f>
        <x:v>0</x:v>
      </x:c>
      <x:c r="K13" s="38" t="n">
        <x:f>COUNTIFS('Mondes'!$D$7:$D$23,"Concept abandonné")</x:f>
        <x:v>0</x:v>
      </x:c>
      <x:c r="L13" s="38" t="n">
        <x:f>COUNTIFS('Mondes'!$D$7:$D$23,"Allégation écartée")</x:f>
        <x:v>0</x:v>
      </x:c>
      <x:c r="M13" s="38" t="n">
        <x:f>COUNTIFS('Mondes'!$E$7:$E$23,"P0")</x:f>
        <x:v>0</x:v>
      </x:c>
    </x:row>
    <x:row r="14" ht="22" customHeight="1">
      <x:c r="A14" s="33" t="str">
        <x:v>Zones</x:v>
      </x:c>
      <x:c r="B14" s="37" t="n">
        <x:f>COUNTA('Zones'!$A$7:$A$51)</x:f>
        <x:v>45</x:v>
      </x:c>
      <x:c r="C14" s="37" t="n">
        <x:f>COUNTIFS('Zones'!$C$7:$C$51,"Défini")</x:f>
        <x:v>45</x:v>
      </x:c>
      <x:c r="D14" s="37" t="n">
        <x:f>COUNTIFS('Zones'!$C$7:$C$51,"Prototype")</x:f>
        <x:v>0</x:v>
      </x:c>
      <x:c r="E14" s="37" t="n">
        <x:f>COUNTIFS('Zones'!$C$7:$C$51,"Intégré")</x:f>
        <x:v>0</x:v>
      </x:c>
      <x:c r="F14" s="37" t="n">
        <x:f>COUNTIFS('Zones'!$C$7:$C$51,"Validé")</x:f>
        <x:v>0</x:v>
      </x:c>
      <x:c r="G14" s="37" t="n">
        <x:f>COUNTIFS('Zones'!$D$7:$D$51,"Établi")</x:f>
        <x:v>45</x:v>
      </x:c>
      <x:c r="H14" s="37" t="n">
        <x:f>COUNTIFS('Zones'!$D$7:$D$51,"À vérifier")</x:f>
        <x:v>0</x:v>
      </x:c>
      <x:c r="I14" s="37" t="n">
        <x:f>COUNTIFS('Zones'!$D$7:$D$51,"Extrapolation")</x:f>
        <x:v>0</x:v>
      </x:c>
      <x:c r="J14" s="37" t="n">
        <x:f>COUNTIFS('Zones'!$D$7:$D$51,"Coupé attesté")</x:f>
        <x:v>0</x:v>
      </x:c>
      <x:c r="K14" s="37" t="n">
        <x:f>COUNTIFS('Zones'!$D$7:$D$51,"Concept abandonné")</x:f>
        <x:v>0</x:v>
      </x:c>
      <x:c r="L14" s="37" t="n">
        <x:f>COUNTIFS('Zones'!$D$7:$D$51,"Allégation écartée")</x:f>
        <x:v>0</x:v>
      </x:c>
      <x:c r="M14" s="37" t="n">
        <x:f>COUNTIFS('Zones'!$E$7:$E$51,"P0")</x:f>
        <x:v>0</x:v>
      </x:c>
    </x:row>
    <x:row r="15" ht="22" customHeight="1">
      <x:c r="A15" s="2" t="str">
        <x:v>Liaisons</x:v>
      </x:c>
      <x:c r="B15" s="38" t="n">
        <x:f>COUNTA('Liaisons'!$A$7:$A$22)</x:f>
        <x:v>16</x:v>
      </x:c>
      <x:c r="C15" s="38" t="n">
        <x:f>COUNTIFS('Liaisons'!$C$7:$C$22,"Défini")</x:f>
        <x:v>16</x:v>
      </x:c>
      <x:c r="D15" s="38" t="n">
        <x:f>COUNTIFS('Liaisons'!$C$7:$C$22,"Prototype")</x:f>
        <x:v>0</x:v>
      </x:c>
      <x:c r="E15" s="38" t="n">
        <x:f>COUNTIFS('Liaisons'!$C$7:$C$22,"Intégré")</x:f>
        <x:v>0</x:v>
      </x:c>
      <x:c r="F15" s="38" t="n">
        <x:f>COUNTIFS('Liaisons'!$C$7:$C$22,"Validé")</x:f>
        <x:v>0</x:v>
      </x:c>
      <x:c r="G15" s="38" t="n">
        <x:f>COUNTIFS('Liaisons'!$D$7:$D$22,"Établi")</x:f>
        <x:v>0</x:v>
      </x:c>
      <x:c r="H15" s="38" t="n">
        <x:f>COUNTIFS('Liaisons'!$D$7:$D$22,"À vérifier")</x:f>
        <x:v>0</x:v>
      </x:c>
      <x:c r="I15" s="38" t="n">
        <x:f>COUNTIFS('Liaisons'!$D$7:$D$22,"Extrapolation")</x:f>
        <x:v>16</x:v>
      </x:c>
      <x:c r="J15" s="38" t="n">
        <x:f>COUNTIFS('Liaisons'!$D$7:$D$22,"Coupé attesté")</x:f>
        <x:v>0</x:v>
      </x:c>
      <x:c r="K15" s="38" t="n">
        <x:f>COUNTIFS('Liaisons'!$D$7:$D$22,"Concept abandonné")</x:f>
        <x:v>0</x:v>
      </x:c>
      <x:c r="L15" s="38" t="n">
        <x:f>COUNTIFS('Liaisons'!$D$7:$D$22,"Allégation écartée")</x:f>
        <x:v>0</x:v>
      </x:c>
      <x:c r="M15" s="38" t="n">
        <x:f>COUNTIFS('Liaisons'!$E$7:$E$22,"P0")</x:f>
        <x:v>0</x:v>
      </x:c>
    </x:row>
    <x:row r="16" ht="22" customHeight="1">
      <x:c r="A16" s="33" t="str">
        <x:v>Décors</x:v>
      </x:c>
      <x:c r="B16" s="37" t="n">
        <x:f>COUNTA('Decors'!$A$7:$A$20)</x:f>
        <x:v>14</x:v>
      </x:c>
      <x:c r="C16" s="37" t="n">
        <x:f>COUNTIFS('Decors'!$C$7:$C$20,"Défini")</x:f>
        <x:v>14</x:v>
      </x:c>
      <x:c r="D16" s="37" t="n">
        <x:f>COUNTIFS('Decors'!$C$7:$C$20,"Prototype")</x:f>
        <x:v>0</x:v>
      </x:c>
      <x:c r="E16" s="37" t="n">
        <x:f>COUNTIFS('Decors'!$C$7:$C$20,"Intégré")</x:f>
        <x:v>0</x:v>
      </x:c>
      <x:c r="F16" s="37" t="n">
        <x:f>COUNTIFS('Decors'!$C$7:$C$20,"Validé")</x:f>
        <x:v>0</x:v>
      </x:c>
      <x:c r="G16" s="37" t="n">
        <x:f>COUNTIFS('Decors'!$D$7:$D$20,"Établi")</x:f>
        <x:v>0</x:v>
      </x:c>
      <x:c r="H16" s="37" t="n">
        <x:f>COUNTIFS('Decors'!$D$7:$D$20,"À vérifier")</x:f>
        <x:v>0</x:v>
      </x:c>
      <x:c r="I16" s="37" t="n">
        <x:f>COUNTIFS('Decors'!$D$7:$D$20,"Extrapolation")</x:f>
        <x:v>14</x:v>
      </x:c>
      <x:c r="J16" s="37" t="n">
        <x:f>COUNTIFS('Decors'!$D$7:$D$20,"Coupé attesté")</x:f>
        <x:v>0</x:v>
      </x:c>
      <x:c r="K16" s="37" t="n">
        <x:f>COUNTIFS('Decors'!$D$7:$D$20,"Concept abandonné")</x:f>
        <x:v>0</x:v>
      </x:c>
      <x:c r="L16" s="37" t="n">
        <x:f>COUNTIFS('Decors'!$D$7:$D$20,"Allégation écartée")</x:f>
        <x:v>0</x:v>
      </x:c>
      <x:c r="M16" s="37" t="n">
        <x:f>COUNTIFS('Decors'!$E$7:$E$20,"P0")</x:f>
        <x:v>0</x:v>
      </x:c>
    </x:row>
    <x:row r="17" ht="22" customHeight="1">
      <x:c r="A17" s="2" t="str">
        <x:v>Props</x:v>
      </x:c>
      <x:c r="B17" s="38" t="n">
        <x:f>COUNTA('Props'!$A$7:$A$24)</x:f>
        <x:v>18</x:v>
      </x:c>
      <x:c r="C17" s="38" t="n">
        <x:f>COUNTIFS('Props'!$C$7:$C$24,"Défini")</x:f>
        <x:v>18</x:v>
      </x:c>
      <x:c r="D17" s="38" t="n">
        <x:f>COUNTIFS('Props'!$C$7:$C$24,"Prototype")</x:f>
        <x:v>0</x:v>
      </x:c>
      <x:c r="E17" s="38" t="n">
        <x:f>COUNTIFS('Props'!$C$7:$C$24,"Intégré")</x:f>
        <x:v>0</x:v>
      </x:c>
      <x:c r="F17" s="38" t="n">
        <x:f>COUNTIFS('Props'!$C$7:$C$24,"Validé")</x:f>
        <x:v>0</x:v>
      </x:c>
      <x:c r="G17" s="38" t="n">
        <x:f>COUNTIFS('Props'!$D$7:$D$24,"Établi")</x:f>
        <x:v>0</x:v>
      </x:c>
      <x:c r="H17" s="38" t="n">
        <x:f>COUNTIFS('Props'!$D$7:$D$24,"À vérifier")</x:f>
        <x:v>0</x:v>
      </x:c>
      <x:c r="I17" s="38" t="n">
        <x:f>COUNTIFS('Props'!$D$7:$D$24,"Extrapolation")</x:f>
        <x:v>18</x:v>
      </x:c>
      <x:c r="J17" s="38" t="n">
        <x:f>COUNTIFS('Props'!$D$7:$D$24,"Coupé attesté")</x:f>
        <x:v>0</x:v>
      </x:c>
      <x:c r="K17" s="38" t="n">
        <x:f>COUNTIFS('Props'!$D$7:$D$24,"Concept abandonné")</x:f>
        <x:v>0</x:v>
      </x:c>
      <x:c r="L17" s="38" t="n">
        <x:f>COUNTIFS('Props'!$D$7:$D$24,"Allégation écartée")</x:f>
        <x:v>0</x:v>
      </x:c>
      <x:c r="M17" s="38" t="n">
        <x:f>COUNTIFS('Props'!$E$7:$E$24,"P0")</x:f>
        <x:v>0</x:v>
      </x:c>
    </x:row>
    <x:row r="18" ht="22" customHeight="1">
      <x:c r="A18" s="33" t="str">
        <x:v>Ennemis et boss</x:v>
      </x:c>
      <x:c r="B18" s="37" t="n">
        <x:f>COUNTA('Ennemis_boss'!$A$7:$A$47)</x:f>
        <x:v>41</x:v>
      </x:c>
      <x:c r="C18" s="37" t="n">
        <x:f>COUNTIFS('Ennemis_boss'!$C$7:$C$47,"Défini")</x:f>
        <x:v>41</x:v>
      </x:c>
      <x:c r="D18" s="37" t="n">
        <x:f>COUNTIFS('Ennemis_boss'!$C$7:$C$47,"Prototype")</x:f>
        <x:v>0</x:v>
      </x:c>
      <x:c r="E18" s="37" t="n">
        <x:f>COUNTIFS('Ennemis_boss'!$C$7:$C$47,"Intégré")</x:f>
        <x:v>0</x:v>
      </x:c>
      <x:c r="F18" s="37" t="n">
        <x:f>COUNTIFS('Ennemis_boss'!$C$7:$C$47,"Validé")</x:f>
        <x:v>0</x:v>
      </x:c>
      <x:c r="G18" s="37" t="n">
        <x:f>COUNTIFS('Ennemis_boss'!$D$7:$D$47,"Établi")</x:f>
        <x:v>41</x:v>
      </x:c>
      <x:c r="H18" s="37" t="n">
        <x:f>COUNTIFS('Ennemis_boss'!$D$7:$D$47,"À vérifier")</x:f>
        <x:v>0</x:v>
      </x:c>
      <x:c r="I18" s="37" t="n">
        <x:f>COUNTIFS('Ennemis_boss'!$D$7:$D$47,"Extrapolation")</x:f>
        <x:v>0</x:v>
      </x:c>
      <x:c r="J18" s="37" t="n">
        <x:f>COUNTIFS('Ennemis_boss'!$D$7:$D$47,"Coupé attesté")</x:f>
        <x:v>0</x:v>
      </x:c>
      <x:c r="K18" s="37" t="n">
        <x:f>COUNTIFS('Ennemis_boss'!$D$7:$D$47,"Concept abandonné")</x:f>
        <x:v>0</x:v>
      </x:c>
      <x:c r="L18" s="37" t="n">
        <x:f>COUNTIFS('Ennemis_boss'!$D$7:$D$47,"Allégation écartée")</x:f>
        <x:v>0</x:v>
      </x:c>
      <x:c r="M18" s="37" t="n">
        <x:f>COUNTIFS('Ennemis_boss'!$E$7:$E$47,"P0")</x:f>
        <x:v>0</x:v>
      </x:c>
    </x:row>
    <x:row r="19" ht="22" customHeight="1">
      <x:c r="A19" s="2" t="str">
        <x:v>Missions</x:v>
      </x:c>
      <x:c r="B19" s="38" t="n">
        <x:f>COUNTA('Missions'!$A$7:$A$25)</x:f>
        <x:v>19</x:v>
      </x:c>
      <x:c r="C19" s="38" t="n">
        <x:f>COUNTIFS('Missions'!$C$7:$C$25,"Défini")</x:f>
        <x:v>19</x:v>
      </x:c>
      <x:c r="D19" s="38" t="n">
        <x:f>COUNTIFS('Missions'!$C$7:$C$25,"Prototype")</x:f>
        <x:v>0</x:v>
      </x:c>
      <x:c r="E19" s="38" t="n">
        <x:f>COUNTIFS('Missions'!$C$7:$C$25,"Intégré")</x:f>
        <x:v>0</x:v>
      </x:c>
      <x:c r="F19" s="38" t="n">
        <x:f>COUNTIFS('Missions'!$C$7:$C$25,"Validé")</x:f>
        <x:v>0</x:v>
      </x:c>
      <x:c r="G19" s="38" t="n">
        <x:f>COUNTIFS('Missions'!$D$7:$D$25,"Établi")</x:f>
        <x:v>19</x:v>
      </x:c>
      <x:c r="H19" s="38" t="n">
        <x:f>COUNTIFS('Missions'!$D$7:$D$25,"À vérifier")</x:f>
        <x:v>0</x:v>
      </x:c>
      <x:c r="I19" s="38" t="n">
        <x:f>COUNTIFS('Missions'!$D$7:$D$25,"Extrapolation")</x:f>
        <x:v>0</x:v>
      </x:c>
      <x:c r="J19" s="38" t="n">
        <x:f>COUNTIFS('Missions'!$D$7:$D$25,"Coupé attesté")</x:f>
        <x:v>0</x:v>
      </x:c>
      <x:c r="K19" s="38" t="n">
        <x:f>COUNTIFS('Missions'!$D$7:$D$25,"Concept abandonné")</x:f>
        <x:v>0</x:v>
      </x:c>
      <x:c r="L19" s="38" t="n">
        <x:f>COUNTIFS('Missions'!$D$7:$D$25,"Allégation écartée")</x:f>
        <x:v>0</x:v>
      </x:c>
      <x:c r="M19" s="38" t="n">
        <x:f>COUNTIFS('Missions'!$E$7:$E$25,"P0")</x:f>
        <x:v>0</x:v>
      </x:c>
    </x:row>
    <x:row r="20" ht="22" customHeight="1">
      <x:c r="A20" s="33" t="str">
        <x:v>Secondaires et DLC</x:v>
      </x:c>
      <x:c r="B20" s="37" t="n">
        <x:f>COUNTA('Secondaires_DLC'!$A$7:$A$136)</x:f>
        <x:v>130</x:v>
      </x:c>
      <x:c r="C20" s="37" t="n">
        <x:f>COUNTIFS('Secondaires_DLC'!$C$7:$C$136,"Défini")</x:f>
        <x:v>130</x:v>
      </x:c>
      <x:c r="D20" s="37" t="n">
        <x:f>COUNTIFS('Secondaires_DLC'!$C$7:$C$136,"Prototype")</x:f>
        <x:v>0</x:v>
      </x:c>
      <x:c r="E20" s="37" t="n">
        <x:f>COUNTIFS('Secondaires_DLC'!$C$7:$C$136,"Intégré")</x:f>
        <x:v>0</x:v>
      </x:c>
      <x:c r="F20" s="37" t="n">
        <x:f>COUNTIFS('Secondaires_DLC'!$C$7:$C$136,"Validé")</x:f>
        <x:v>0</x:v>
      </x:c>
      <x:c r="G20" s="37" t="n">
        <x:f>COUNTIFS('Secondaires_DLC'!$D$7:$D$136,"Établi")</x:f>
        <x:v>130</x:v>
      </x:c>
      <x:c r="H20" s="37" t="n">
        <x:f>COUNTIFS('Secondaires_DLC'!$D$7:$D$136,"À vérifier")</x:f>
        <x:v>0</x:v>
      </x:c>
      <x:c r="I20" s="37" t="n">
        <x:f>COUNTIFS('Secondaires_DLC'!$D$7:$D$136,"Extrapolation")</x:f>
        <x:v>0</x:v>
      </x:c>
      <x:c r="J20" s="37" t="n">
        <x:f>COUNTIFS('Secondaires_DLC'!$D$7:$D$136,"Coupé attesté")</x:f>
        <x:v>0</x:v>
      </x:c>
      <x:c r="K20" s="37" t="n">
        <x:f>COUNTIFS('Secondaires_DLC'!$D$7:$D$136,"Concept abandonné")</x:f>
        <x:v>0</x:v>
      </x:c>
      <x:c r="L20" s="37" t="n">
        <x:f>COUNTIFS('Secondaires_DLC'!$D$7:$D$136,"Allégation écartée")</x:f>
        <x:v>0</x:v>
      </x:c>
      <x:c r="M20" s="37" t="n">
        <x:f>COUNTIFS('Secondaires_DLC'!$E$7:$E$136,"P0")</x:f>
        <x:v>0</x:v>
      </x:c>
    </x:row>
    <x:row r="21" ht="22" customHeight="1">
      <x:c r="A21" s="2" t="str">
        <x:v>Choix et relations</x:v>
      </x:c>
      <x:c r="B21" s="38" t="n">
        <x:f>COUNTA('Choix_relations'!$A$7:$A$33)</x:f>
        <x:v>27</x:v>
      </x:c>
      <x:c r="C21" s="38" t="n">
        <x:f>COUNTIFS('Choix_relations'!$C$7:$C$33,"Défini")</x:f>
        <x:v>27</x:v>
      </x:c>
      <x:c r="D21" s="38" t="n">
        <x:f>COUNTIFS('Choix_relations'!$C$7:$C$33,"Prototype")</x:f>
        <x:v>0</x:v>
      </x:c>
      <x:c r="E21" s="38" t="n">
        <x:f>COUNTIFS('Choix_relations'!$C$7:$C$33,"Intégré")</x:f>
        <x:v>0</x:v>
      </x:c>
      <x:c r="F21" s="38" t="n">
        <x:f>COUNTIFS('Choix_relations'!$C$7:$C$33,"Validé")</x:f>
        <x:v>0</x:v>
      </x:c>
      <x:c r="G21" s="38" t="n">
        <x:f>COUNTIFS('Choix_relations'!$D$7:$D$33,"Établi")</x:f>
        <x:v>27</x:v>
      </x:c>
      <x:c r="H21" s="38" t="n">
        <x:f>COUNTIFS('Choix_relations'!$D$7:$D$33,"À vérifier")</x:f>
        <x:v>0</x:v>
      </x:c>
      <x:c r="I21" s="38" t="n">
        <x:f>COUNTIFS('Choix_relations'!$D$7:$D$33,"Extrapolation")</x:f>
        <x:v>0</x:v>
      </x:c>
      <x:c r="J21" s="38" t="n">
        <x:f>COUNTIFS('Choix_relations'!$D$7:$D$33,"Coupé attesté")</x:f>
        <x:v>0</x:v>
      </x:c>
      <x:c r="K21" s="38" t="n">
        <x:f>COUNTIFS('Choix_relations'!$D$7:$D$33,"Concept abandonné")</x:f>
        <x:v>0</x:v>
      </x:c>
      <x:c r="L21" s="38" t="n">
        <x:f>COUNTIFS('Choix_relations'!$D$7:$D$33,"Allégation écartée")</x:f>
        <x:v>0</x:v>
      </x:c>
      <x:c r="M21" s="38" t="n">
        <x:f>COUNTIFS('Choix_relations'!$E$7:$E$33,"P0")</x:f>
        <x:v>0</x:v>
      </x:c>
    </x:row>
    <x:row r="22" ht="22" customHeight="1">
      <x:c r="A22" s="33" t="str">
        <x:v>Dialogues</x:v>
      </x:c>
      <x:c r="B22" s="37" t="n">
        <x:f>COUNTA('Dialogues'!$A$7:$A$18)</x:f>
        <x:v>12</x:v>
      </x:c>
      <x:c r="C22" s="37" t="n">
        <x:f>COUNTIFS('Dialogues'!$C$7:$C$18,"Défini")</x:f>
        <x:v>12</x:v>
      </x:c>
      <x:c r="D22" s="37" t="n">
        <x:f>COUNTIFS('Dialogues'!$C$7:$C$18,"Prototype")</x:f>
        <x:v>0</x:v>
      </x:c>
      <x:c r="E22" s="37" t="n">
        <x:f>COUNTIFS('Dialogues'!$C$7:$C$18,"Intégré")</x:f>
        <x:v>0</x:v>
      </x:c>
      <x:c r="F22" s="37" t="n">
        <x:f>COUNTIFS('Dialogues'!$C$7:$C$18,"Validé")</x:f>
        <x:v>0</x:v>
      </x:c>
      <x:c r="G22" s="37" t="n">
        <x:f>COUNTIFS('Dialogues'!$D$7:$D$18,"Établi")</x:f>
        <x:v>0</x:v>
      </x:c>
      <x:c r="H22" s="37" t="n">
        <x:f>COUNTIFS('Dialogues'!$D$7:$D$18,"À vérifier")</x:f>
        <x:v>0</x:v>
      </x:c>
      <x:c r="I22" s="37" t="n">
        <x:f>COUNTIFS('Dialogues'!$D$7:$D$18,"Extrapolation")</x:f>
        <x:v>12</x:v>
      </x:c>
      <x:c r="J22" s="37" t="n">
        <x:f>COUNTIFS('Dialogues'!$D$7:$D$18,"Coupé attesté")</x:f>
        <x:v>0</x:v>
      </x:c>
      <x:c r="K22" s="37" t="n">
        <x:f>COUNTIFS('Dialogues'!$D$7:$D$18,"Concept abandonné")</x:f>
        <x:v>0</x:v>
      </x:c>
      <x:c r="L22" s="37" t="n">
        <x:f>COUNTIFS('Dialogues'!$D$7:$D$18,"Allégation écartée")</x:f>
        <x:v>0</x:v>
      </x:c>
      <x:c r="M22" s="37" t="n">
        <x:f>COUNTIFS('Dialogues'!$E$7:$E$18,"P0")</x:f>
        <x:v>0</x:v>
      </x:c>
    </x:row>
    <x:row r="23" ht="22" customHeight="1">
      <x:c r="A23" s="2" t="str">
        <x:v>Cinématiques</x:v>
      </x:c>
      <x:c r="B23" s="38" t="n">
        <x:f>COUNTA('Cinematiques'!$A$7:$A$18)</x:f>
        <x:v>12</x:v>
      </x:c>
      <x:c r="C23" s="38" t="n">
        <x:f>COUNTIFS('Cinematiques'!$C$7:$C$18,"Défini")</x:f>
        <x:v>12</x:v>
      </x:c>
      <x:c r="D23" s="38" t="n">
        <x:f>COUNTIFS('Cinematiques'!$C$7:$C$18,"Prototype")</x:f>
        <x:v>0</x:v>
      </x:c>
      <x:c r="E23" s="38" t="n">
        <x:f>COUNTIFS('Cinematiques'!$C$7:$C$18,"Intégré")</x:f>
        <x:v>0</x:v>
      </x:c>
      <x:c r="F23" s="38" t="n">
        <x:f>COUNTIFS('Cinematiques'!$C$7:$C$18,"Validé")</x:f>
        <x:v>0</x:v>
      </x:c>
      <x:c r="G23" s="38" t="n">
        <x:f>COUNTIFS('Cinematiques'!$D$7:$D$18,"Établi")</x:f>
        <x:v>0</x:v>
      </x:c>
      <x:c r="H23" s="38" t="n">
        <x:f>COUNTIFS('Cinematiques'!$D$7:$D$18,"À vérifier")</x:f>
        <x:v>0</x:v>
      </x:c>
      <x:c r="I23" s="38" t="n">
        <x:f>COUNTIFS('Cinematiques'!$D$7:$D$18,"Extrapolation")</x:f>
        <x:v>12</x:v>
      </x:c>
      <x:c r="J23" s="38" t="n">
        <x:f>COUNTIFS('Cinematiques'!$D$7:$D$18,"Coupé attesté")</x:f>
        <x:v>0</x:v>
      </x:c>
      <x:c r="K23" s="38" t="n">
        <x:f>COUNTIFS('Cinematiques'!$D$7:$D$18,"Concept abandonné")</x:f>
        <x:v>0</x:v>
      </x:c>
      <x:c r="L23" s="38" t="n">
        <x:f>COUNTIFS('Cinematiques'!$D$7:$D$18,"Allégation écartée")</x:f>
        <x:v>0</x:v>
      </x:c>
      <x:c r="M23" s="38" t="n">
        <x:f>COUNTIFS('Cinematiques'!$E$7:$E$18,"P0")</x:f>
        <x:v>0</x:v>
      </x:c>
    </x:row>
    <x:row r="24" ht="22" customHeight="1">
      <x:c r="A24" s="33" t="str">
        <x:v>Armes</x:v>
      </x:c>
      <x:c r="B24" s="37" t="n">
        <x:f>COUNTA('Armes'!$A$7:$A$54)</x:f>
        <x:v>48</x:v>
      </x:c>
      <x:c r="C24" s="37" t="n">
        <x:f>COUNTIFS('Armes'!$C$7:$C$54,"Défini")</x:f>
        <x:v>22</x:v>
      </x:c>
      <x:c r="D24" s="37" t="n">
        <x:f>COUNTIFS('Armes'!$C$7:$C$54,"Prototype")</x:f>
        <x:v>26</x:v>
      </x:c>
      <x:c r="E24" s="37" t="n">
        <x:f>COUNTIFS('Armes'!$C$7:$C$54,"Intégré")</x:f>
        <x:v>0</x:v>
      </x:c>
      <x:c r="F24" s="37" t="n">
        <x:f>COUNTIFS('Armes'!$C$7:$C$54,"Validé")</x:f>
        <x:v>0</x:v>
      </x:c>
      <x:c r="G24" s="37" t="n">
        <x:f>COUNTIFS('Armes'!$D$7:$D$54,"Établi")</x:f>
        <x:v>48</x:v>
      </x:c>
      <x:c r="H24" s="37" t="n">
        <x:f>COUNTIFS('Armes'!$D$7:$D$54,"À vérifier")</x:f>
        <x:v>0</x:v>
      </x:c>
      <x:c r="I24" s="37" t="n">
        <x:f>COUNTIFS('Armes'!$D$7:$D$54,"Extrapolation")</x:f>
        <x:v>0</x:v>
      </x:c>
      <x:c r="J24" s="37" t="n">
        <x:f>COUNTIFS('Armes'!$D$7:$D$54,"Coupé attesté")</x:f>
        <x:v>0</x:v>
      </x:c>
      <x:c r="K24" s="37" t="n">
        <x:f>COUNTIFS('Armes'!$D$7:$D$54,"Concept abandonné")</x:f>
        <x:v>0</x:v>
      </x:c>
      <x:c r="L24" s="37" t="n">
        <x:f>COUNTIFS('Armes'!$D$7:$D$54,"Allégation écartée")</x:f>
        <x:v>0</x:v>
      </x:c>
      <x:c r="M24" s="37" t="n">
        <x:f>COUNTIFS('Armes'!$E$7:$E$54,"P0")</x:f>
        <x:v>0</x:v>
      </x:c>
    </x:row>
    <x:row r="25" ht="22" customHeight="1">
      <x:c r="A25" s="2" t="str">
        <x:v>Armures et équipement</x:v>
      </x:c>
      <x:c r="B25" s="38" t="n">
        <x:f>COUNTA('Armures_equipement'!$A$7:$A$28)</x:f>
        <x:v>22</x:v>
      </x:c>
      <x:c r="C25" s="38" t="n">
        <x:f>COUNTIFS('Armures_equipement'!$C$7:$C$28,"Défini")</x:f>
        <x:v>14</x:v>
      </x:c>
      <x:c r="D25" s="38" t="n">
        <x:f>COUNTIFS('Armures_equipement'!$C$7:$C$28,"Prototype")</x:f>
        <x:v>8</x:v>
      </x:c>
      <x:c r="E25" s="38" t="n">
        <x:f>COUNTIFS('Armures_equipement'!$C$7:$C$28,"Intégré")</x:f>
        <x:v>0</x:v>
      </x:c>
      <x:c r="F25" s="38" t="n">
        <x:f>COUNTIFS('Armures_equipement'!$C$7:$C$28,"Validé")</x:f>
        <x:v>0</x:v>
      </x:c>
      <x:c r="G25" s="38" t="n">
        <x:f>COUNTIFS('Armures_equipement'!$D$7:$D$28,"Établi")</x:f>
        <x:v>22</x:v>
      </x:c>
      <x:c r="H25" s="38" t="n">
        <x:f>COUNTIFS('Armures_equipement'!$D$7:$D$28,"À vérifier")</x:f>
        <x:v>0</x:v>
      </x:c>
      <x:c r="I25" s="38" t="n">
        <x:f>COUNTIFS('Armures_equipement'!$D$7:$D$28,"Extrapolation")</x:f>
        <x:v>0</x:v>
      </x:c>
      <x:c r="J25" s="38" t="n">
        <x:f>COUNTIFS('Armures_equipement'!$D$7:$D$28,"Coupé attesté")</x:f>
        <x:v>0</x:v>
      </x:c>
      <x:c r="K25" s="38" t="n">
        <x:f>COUNTIFS('Armures_equipement'!$D$7:$D$28,"Concept abandonné")</x:f>
        <x:v>0</x:v>
      </x:c>
      <x:c r="L25" s="38" t="n">
        <x:f>COUNTIFS('Armures_equipement'!$D$7:$D$28,"Allégation écartée")</x:f>
        <x:v>0</x:v>
      </x:c>
      <x:c r="M25" s="38" t="n">
        <x:f>COUNTIFS('Armures_equipement'!$E$7:$E$28,"P0")</x:f>
        <x:v>0</x:v>
      </x:c>
    </x:row>
    <x:row r="26" ht="22" customHeight="1">
      <x:c r="A26" s="33" t="str">
        <x:v>Pouvoirs</x:v>
      </x:c>
      <x:c r="B26" s="37" t="n">
        <x:f>COUNTA('Pouvoirs'!$A$7:$A$49)</x:f>
        <x:v>43</x:v>
      </x:c>
      <x:c r="C26" s="37" t="n">
        <x:f>COUNTIFS('Pouvoirs'!$C$7:$C$49,"Défini")</x:f>
        <x:v>33</x:v>
      </x:c>
      <x:c r="D26" s="37" t="n">
        <x:f>COUNTIFS('Pouvoirs'!$C$7:$C$49,"Prototype")</x:f>
        <x:v>10</x:v>
      </x:c>
      <x:c r="E26" s="37" t="n">
        <x:f>COUNTIFS('Pouvoirs'!$C$7:$C$49,"Intégré")</x:f>
        <x:v>0</x:v>
      </x:c>
      <x:c r="F26" s="37" t="n">
        <x:f>COUNTIFS('Pouvoirs'!$C$7:$C$49,"Validé")</x:f>
        <x:v>0</x:v>
      </x:c>
      <x:c r="G26" s="37" t="n">
        <x:f>COUNTIFS('Pouvoirs'!$D$7:$D$49,"Établi")</x:f>
        <x:v>43</x:v>
      </x:c>
      <x:c r="H26" s="37" t="n">
        <x:f>COUNTIFS('Pouvoirs'!$D$7:$D$49,"À vérifier")</x:f>
        <x:v>0</x:v>
      </x:c>
      <x:c r="I26" s="37" t="n">
        <x:f>COUNTIFS('Pouvoirs'!$D$7:$D$49,"Extrapolation")</x:f>
        <x:v>0</x:v>
      </x:c>
      <x:c r="J26" s="37" t="n">
        <x:f>COUNTIFS('Pouvoirs'!$D$7:$D$49,"Coupé attesté")</x:f>
        <x:v>0</x:v>
      </x:c>
      <x:c r="K26" s="37" t="n">
        <x:f>COUNTIFS('Pouvoirs'!$D$7:$D$49,"Concept abandonné")</x:f>
        <x:v>0</x:v>
      </x:c>
      <x:c r="L26" s="37" t="n">
        <x:f>COUNTIFS('Pouvoirs'!$D$7:$D$49,"Allégation écartée")</x:f>
        <x:v>0</x:v>
      </x:c>
      <x:c r="M26" s="37" t="n">
        <x:f>COUNTIFS('Pouvoirs'!$E$7:$E$49,"P0")</x:f>
        <x:v>0</x:v>
      </x:c>
    </x:row>
    <x:row r="27" ht="22" customHeight="1">
      <x:c r="A27" s="2" t="str">
        <x:v>Movesets alliés</x:v>
      </x:c>
      <x:c r="B27" s="38" t="n">
        <x:f>COUNTA('Movesets_allies'!$A$7:$A$18)</x:f>
        <x:v>12</x:v>
      </x:c>
      <x:c r="C27" s="38" t="n">
        <x:f>COUNTIFS('Movesets_allies'!$C$7:$C$18,"Défini")</x:f>
        <x:v>12</x:v>
      </x:c>
      <x:c r="D27" s="38" t="n">
        <x:f>COUNTIFS('Movesets_allies'!$C$7:$C$18,"Prototype")</x:f>
        <x:v>0</x:v>
      </x:c>
      <x:c r="E27" s="38" t="n">
        <x:f>COUNTIFS('Movesets_allies'!$C$7:$C$18,"Intégré")</x:f>
        <x:v>0</x:v>
      </x:c>
      <x:c r="F27" s="38" t="n">
        <x:f>COUNTIFS('Movesets_allies'!$C$7:$C$18,"Validé")</x:f>
        <x:v>0</x:v>
      </x:c>
      <x:c r="G27" s="38" t="n">
        <x:f>COUNTIFS('Movesets_allies'!$D$7:$D$18,"Établi")</x:f>
        <x:v>0</x:v>
      </x:c>
      <x:c r="H27" s="38" t="n">
        <x:f>COUNTIFS('Movesets_allies'!$D$7:$D$18,"À vérifier")</x:f>
        <x:v>0</x:v>
      </x:c>
      <x:c r="I27" s="38" t="n">
        <x:f>COUNTIFS('Movesets_allies'!$D$7:$D$18,"Extrapolation")</x:f>
        <x:v>12</x:v>
      </x:c>
      <x:c r="J27" s="38" t="n">
        <x:f>COUNTIFS('Movesets_allies'!$D$7:$D$18,"Coupé attesté")</x:f>
        <x:v>0</x:v>
      </x:c>
      <x:c r="K27" s="38" t="n">
        <x:f>COUNTIFS('Movesets_allies'!$D$7:$D$18,"Concept abandonné")</x:f>
        <x:v>0</x:v>
      </x:c>
      <x:c r="L27" s="38" t="n">
        <x:f>COUNTIFS('Movesets_allies'!$D$7:$D$18,"Allégation écartée")</x:f>
        <x:v>0</x:v>
      </x:c>
      <x:c r="M27" s="38" t="n">
        <x:f>COUNTIFS('Movesets_allies'!$E$7:$E$18,"P0")</x:f>
        <x:v>0</x:v>
      </x:c>
    </x:row>
    <x:row r="28" ht="22" customHeight="1">
      <x:c r="A28" s="33" t="str">
        <x:v>Movesets ennemis</x:v>
      </x:c>
      <x:c r="B28" s="37" t="n">
        <x:f>COUNTA('Movesets_ennemis'!$A$7:$A$47)</x:f>
        <x:v>41</x:v>
      </x:c>
      <x:c r="C28" s="37" t="n">
        <x:f>COUNTIFS('Movesets_ennemis'!$C$7:$C$47,"Défini")</x:f>
        <x:v>41</x:v>
      </x:c>
      <x:c r="D28" s="37" t="n">
        <x:f>COUNTIFS('Movesets_ennemis'!$C$7:$C$47,"Prototype")</x:f>
        <x:v>0</x:v>
      </x:c>
      <x:c r="E28" s="37" t="n">
        <x:f>COUNTIFS('Movesets_ennemis'!$C$7:$C$47,"Intégré")</x:f>
        <x:v>0</x:v>
      </x:c>
      <x:c r="F28" s="37" t="n">
        <x:f>COUNTIFS('Movesets_ennemis'!$C$7:$C$47,"Validé")</x:f>
        <x:v>0</x:v>
      </x:c>
      <x:c r="G28" s="37" t="n">
        <x:f>COUNTIFS('Movesets_ennemis'!$D$7:$D$47,"Établi")</x:f>
        <x:v>0</x:v>
      </x:c>
      <x:c r="H28" s="37" t="n">
        <x:f>COUNTIFS('Movesets_ennemis'!$D$7:$D$47,"À vérifier")</x:f>
        <x:v>0</x:v>
      </x:c>
      <x:c r="I28" s="37" t="n">
        <x:f>COUNTIFS('Movesets_ennemis'!$D$7:$D$47,"Extrapolation")</x:f>
        <x:v>41</x:v>
      </x:c>
      <x:c r="J28" s="37" t="n">
        <x:f>COUNTIFS('Movesets_ennemis'!$D$7:$D$47,"Coupé attesté")</x:f>
        <x:v>0</x:v>
      </x:c>
      <x:c r="K28" s="37" t="n">
        <x:f>COUNTIFS('Movesets_ennemis'!$D$7:$D$47,"Concept abandonné")</x:f>
        <x:v>0</x:v>
      </x:c>
      <x:c r="L28" s="37" t="n">
        <x:f>COUNTIFS('Movesets_ennemis'!$D$7:$D$47,"Allégation écartée")</x:f>
        <x:v>0</x:v>
      </x:c>
      <x:c r="M28" s="37" t="n">
        <x:f>COUNTIFS('Movesets_ennemis'!$E$7:$E$47,"P0")</x:f>
        <x:v>0</x:v>
      </x:c>
    </x:row>
    <x:row r="29" ht="22" customHeight="1">
      <x:c r="A29" s="2" t="str">
        <x:v>Animations</x:v>
      </x:c>
      <x:c r="B29" s="38" t="n">
        <x:f>COUNTA('Animations'!$A$7:$A$22)</x:f>
        <x:v>16</x:v>
      </x:c>
      <x:c r="C29" s="38" t="n">
        <x:f>COUNTIFS('Animations'!$C$7:$C$22,"Défini")</x:f>
        <x:v>16</x:v>
      </x:c>
      <x:c r="D29" s="38" t="n">
        <x:f>COUNTIFS('Animations'!$C$7:$C$22,"Prototype")</x:f>
        <x:v>0</x:v>
      </x:c>
      <x:c r="E29" s="38" t="n">
        <x:f>COUNTIFS('Animations'!$C$7:$C$22,"Intégré")</x:f>
        <x:v>0</x:v>
      </x:c>
      <x:c r="F29" s="38" t="n">
        <x:f>COUNTIFS('Animations'!$C$7:$C$22,"Validé")</x:f>
        <x:v>0</x:v>
      </x:c>
      <x:c r="G29" s="38" t="n">
        <x:f>COUNTIFS('Animations'!$D$7:$D$22,"Établi")</x:f>
        <x:v>0</x:v>
      </x:c>
      <x:c r="H29" s="38" t="n">
        <x:f>COUNTIFS('Animations'!$D$7:$D$22,"À vérifier")</x:f>
        <x:v>0</x:v>
      </x:c>
      <x:c r="I29" s="38" t="n">
        <x:f>COUNTIFS('Animations'!$D$7:$D$22,"Extrapolation")</x:f>
        <x:v>16</x:v>
      </x:c>
      <x:c r="J29" s="38" t="n">
        <x:f>COUNTIFS('Animations'!$D$7:$D$22,"Coupé attesté")</x:f>
        <x:v>0</x:v>
      </x:c>
      <x:c r="K29" s="38" t="n">
        <x:f>COUNTIFS('Animations'!$D$7:$D$22,"Concept abandonné")</x:f>
        <x:v>0</x:v>
      </x:c>
      <x:c r="L29" s="38" t="n">
        <x:f>COUNTIFS('Animations'!$D$7:$D$22,"Allégation écartée")</x:f>
        <x:v>0</x:v>
      </x:c>
      <x:c r="M29" s="38" t="n">
        <x:f>COUNTIFS('Animations'!$E$7:$E$22,"P0")</x:f>
        <x:v>0</x:v>
      </x:c>
    </x:row>
    <x:row r="30" ht="22" customHeight="1">
      <x:c r="A30" s="33" t="str">
        <x:v>Sprites</x:v>
      </x:c>
      <x:c r="B30" s="37" t="n">
        <x:f>COUNTA('Sprites'!$A$7:$A$62)</x:f>
        <x:v>56</x:v>
      </x:c>
      <x:c r="C30" s="37" t="n">
        <x:f>COUNTIFS('Sprites'!$C$7:$C$62,"Défini")</x:f>
        <x:v>56</x:v>
      </x:c>
      <x:c r="D30" s="37" t="n">
        <x:f>COUNTIFS('Sprites'!$C$7:$C$62,"Prototype")</x:f>
        <x:v>0</x:v>
      </x:c>
      <x:c r="E30" s="37" t="n">
        <x:f>COUNTIFS('Sprites'!$C$7:$C$62,"Intégré")</x:f>
        <x:v>0</x:v>
      </x:c>
      <x:c r="F30" s="37" t="n">
        <x:f>COUNTIFS('Sprites'!$C$7:$C$62,"Validé")</x:f>
        <x:v>0</x:v>
      </x:c>
      <x:c r="G30" s="37" t="n">
        <x:f>COUNTIFS('Sprites'!$D$7:$D$62,"Établi")</x:f>
        <x:v>0</x:v>
      </x:c>
      <x:c r="H30" s="37" t="n">
        <x:f>COUNTIFS('Sprites'!$D$7:$D$62,"À vérifier")</x:f>
        <x:v>0</x:v>
      </x:c>
      <x:c r="I30" s="37" t="n">
        <x:f>COUNTIFS('Sprites'!$D$7:$D$62,"Extrapolation")</x:f>
        <x:v>56</x:v>
      </x:c>
      <x:c r="J30" s="37" t="n">
        <x:f>COUNTIFS('Sprites'!$D$7:$D$62,"Coupé attesté")</x:f>
        <x:v>0</x:v>
      </x:c>
      <x:c r="K30" s="37" t="n">
        <x:f>COUNTIFS('Sprites'!$D$7:$D$62,"Concept abandonné")</x:f>
        <x:v>0</x:v>
      </x:c>
      <x:c r="L30" s="37" t="n">
        <x:f>COUNTIFS('Sprites'!$D$7:$D$62,"Allégation écartée")</x:f>
        <x:v>0</x:v>
      </x:c>
      <x:c r="M30" s="37" t="n">
        <x:f>COUNTIFS('Sprites'!$E$7:$E$62,"P0")</x:f>
        <x:v>0</x:v>
      </x:c>
    </x:row>
    <x:row r="31" ht="22" customHeight="1">
      <x:c r="A31" s="2" t="str">
        <x:v>VFX</x:v>
      </x:c>
      <x:c r="B31" s="38" t="n">
        <x:f>COUNTA('VFX'!$A$7:$A$20)</x:f>
        <x:v>14</x:v>
      </x:c>
      <x:c r="C31" s="38" t="n">
        <x:f>COUNTIFS('VFX'!$C$7:$C$20,"Défini")</x:f>
        <x:v>14</x:v>
      </x:c>
      <x:c r="D31" s="38" t="n">
        <x:f>COUNTIFS('VFX'!$C$7:$C$20,"Prototype")</x:f>
        <x:v>0</x:v>
      </x:c>
      <x:c r="E31" s="38" t="n">
        <x:f>COUNTIFS('VFX'!$C$7:$C$20,"Intégré")</x:f>
        <x:v>0</x:v>
      </x:c>
      <x:c r="F31" s="38" t="n">
        <x:f>COUNTIFS('VFX'!$C$7:$C$20,"Validé")</x:f>
        <x:v>0</x:v>
      </x:c>
      <x:c r="G31" s="38" t="n">
        <x:f>COUNTIFS('VFX'!$D$7:$D$20,"Établi")</x:f>
        <x:v>0</x:v>
      </x:c>
      <x:c r="H31" s="38" t="n">
        <x:f>COUNTIFS('VFX'!$D$7:$D$20,"À vérifier")</x:f>
        <x:v>0</x:v>
      </x:c>
      <x:c r="I31" s="38" t="n">
        <x:f>COUNTIFS('VFX'!$D$7:$D$20,"Extrapolation")</x:f>
        <x:v>14</x:v>
      </x:c>
      <x:c r="J31" s="38" t="n">
        <x:f>COUNTIFS('VFX'!$D$7:$D$20,"Coupé attesté")</x:f>
        <x:v>0</x:v>
      </x:c>
      <x:c r="K31" s="38" t="n">
        <x:f>COUNTIFS('VFX'!$D$7:$D$20,"Concept abandonné")</x:f>
        <x:v>0</x:v>
      </x:c>
      <x:c r="L31" s="38" t="n">
        <x:f>COUNTIFS('VFX'!$D$7:$D$20,"Allégation écartée")</x:f>
        <x:v>0</x:v>
      </x:c>
      <x:c r="M31" s="38" t="n">
        <x:f>COUNTIFS('VFX'!$E$7:$E$20,"P0")</x:f>
        <x:v>0</x:v>
      </x:c>
    </x:row>
    <x:row r="32" ht="22" customHeight="1">
      <x:c r="A32" s="33" t="str">
        <x:v>Audio</x:v>
      </x:c>
      <x:c r="B32" s="37" t="n">
        <x:f>COUNTA('Audio'!$A$7:$A$18)</x:f>
        <x:v>12</x:v>
      </x:c>
      <x:c r="C32" s="37" t="n">
        <x:f>COUNTIFS('Audio'!$C$7:$C$18,"Défini")</x:f>
        <x:v>12</x:v>
      </x:c>
      <x:c r="D32" s="37" t="n">
        <x:f>COUNTIFS('Audio'!$C$7:$C$18,"Prototype")</x:f>
        <x:v>0</x:v>
      </x:c>
      <x:c r="E32" s="37" t="n">
        <x:f>COUNTIFS('Audio'!$C$7:$C$18,"Intégré")</x:f>
        <x:v>0</x:v>
      </x:c>
      <x:c r="F32" s="37" t="n">
        <x:f>COUNTIFS('Audio'!$C$7:$C$18,"Validé")</x:f>
        <x:v>0</x:v>
      </x:c>
      <x:c r="G32" s="37" t="n">
        <x:f>COUNTIFS('Audio'!$D$7:$D$18,"Établi")</x:f>
        <x:v>0</x:v>
      </x:c>
      <x:c r="H32" s="37" t="n">
        <x:f>COUNTIFS('Audio'!$D$7:$D$18,"À vérifier")</x:f>
        <x:v>0</x:v>
      </x:c>
      <x:c r="I32" s="37" t="n">
        <x:f>COUNTIFS('Audio'!$D$7:$D$18,"Extrapolation")</x:f>
        <x:v>12</x:v>
      </x:c>
      <x:c r="J32" s="37" t="n">
        <x:f>COUNTIFS('Audio'!$D$7:$D$18,"Coupé attesté")</x:f>
        <x:v>0</x:v>
      </x:c>
      <x:c r="K32" s="37" t="n">
        <x:f>COUNTIFS('Audio'!$D$7:$D$18,"Concept abandonné")</x:f>
        <x:v>0</x:v>
      </x:c>
      <x:c r="L32" s="37" t="n">
        <x:f>COUNTIFS('Audio'!$D$7:$D$18,"Allégation écartée")</x:f>
        <x:v>0</x:v>
      </x:c>
      <x:c r="M32" s="37" t="n">
        <x:f>COUNTIFS('Audio'!$E$7:$E$18,"P0")</x:f>
        <x:v>0</x:v>
      </x:c>
    </x:row>
    <x:row r="33" ht="22" customHeight="1">
      <x:c r="A33" s="2" t="str">
        <x:v>Systèmes et UI</x:v>
      </x:c>
      <x:c r="B33" s="38" t="n">
        <x:f>COUNTA('UI_systemes'!$A$7:$A$33)</x:f>
        <x:v>27</x:v>
      </x:c>
      <x:c r="C33" s="38" t="n">
        <x:f>COUNTIFS('UI_systemes'!$C$7:$C$33,"Défini")</x:f>
        <x:v>27</x:v>
      </x:c>
      <x:c r="D33" s="38" t="n">
        <x:f>COUNTIFS('UI_systemes'!$C$7:$C$33,"Prototype")</x:f>
        <x:v>0</x:v>
      </x:c>
      <x:c r="E33" s="38" t="n">
        <x:f>COUNTIFS('UI_systemes'!$C$7:$C$33,"Intégré")</x:f>
        <x:v>0</x:v>
      </x:c>
      <x:c r="F33" s="38" t="n">
        <x:f>COUNTIFS('UI_systemes'!$C$7:$C$33,"Validé")</x:f>
        <x:v>0</x:v>
      </x:c>
      <x:c r="G33" s="38" t="n">
        <x:f>COUNTIFS('UI_systemes'!$D$7:$D$33,"Établi")</x:f>
        <x:v>0</x:v>
      </x:c>
      <x:c r="H33" s="38" t="n">
        <x:f>COUNTIFS('UI_systemes'!$D$7:$D$33,"À vérifier")</x:f>
        <x:v>0</x:v>
      </x:c>
      <x:c r="I33" s="38" t="n">
        <x:f>COUNTIFS('UI_systemes'!$D$7:$D$33,"Extrapolation")</x:f>
        <x:v>27</x:v>
      </x:c>
      <x:c r="J33" s="38" t="n">
        <x:f>COUNTIFS('UI_systemes'!$D$7:$D$33,"Coupé attesté")</x:f>
        <x:v>0</x:v>
      </x:c>
      <x:c r="K33" s="38" t="n">
        <x:f>COUNTIFS('UI_systemes'!$D$7:$D$33,"Concept abandonné")</x:f>
        <x:v>0</x:v>
      </x:c>
      <x:c r="L33" s="38" t="n">
        <x:f>COUNTIFS('UI_systemes'!$D$7:$D$33,"Allégation écartée")</x:f>
        <x:v>0</x:v>
      </x:c>
      <x:c r="M33" s="38" t="n">
        <x:f>COUNTIFS('UI_systemes'!$E$7:$E$33,"P0")</x:f>
        <x:v>0</x:v>
      </x:c>
    </x:row>
    <x:row r="34" ht="22" customHeight="1">
      <x:c r="A34" s="33" t="str">
        <x:v>QA</x:v>
      </x:c>
      <x:c r="B34" s="37" t="n">
        <x:f>COUNTA('QA'!$A$7:$A$32)</x:f>
        <x:v>26</x:v>
      </x:c>
      <x:c r="C34" s="37" t="n">
        <x:f>COUNTIFS('QA'!$C$7:$C$32,"Défini")</x:f>
        <x:v>26</x:v>
      </x:c>
      <x:c r="D34" s="37" t="n">
        <x:f>COUNTIFS('QA'!$C$7:$C$32,"Prototype")</x:f>
        <x:v>0</x:v>
      </x:c>
      <x:c r="E34" s="37" t="n">
        <x:f>COUNTIFS('QA'!$C$7:$C$32,"Intégré")</x:f>
        <x:v>0</x:v>
      </x:c>
      <x:c r="F34" s="37" t="n">
        <x:f>COUNTIFS('QA'!$C$7:$C$32,"Validé")</x:f>
        <x:v>0</x:v>
      </x:c>
      <x:c r="G34" s="37" t="n">
        <x:f>COUNTIFS('QA'!$D$7:$D$32,"Établi")</x:f>
        <x:v>0</x:v>
      </x:c>
      <x:c r="H34" s="37" t="n">
        <x:f>COUNTIFS('QA'!$D$7:$D$32,"À vérifier")</x:f>
        <x:v>0</x:v>
      </x:c>
      <x:c r="I34" s="37" t="n">
        <x:f>COUNTIFS('QA'!$D$7:$D$32,"Extrapolation")</x:f>
        <x:v>26</x:v>
      </x:c>
      <x:c r="J34" s="37" t="n">
        <x:f>COUNTIFS('QA'!$D$7:$D$32,"Coupé attesté")</x:f>
        <x:v>0</x:v>
      </x:c>
      <x:c r="K34" s="37" t="n">
        <x:f>COUNTIFS('QA'!$D$7:$D$32,"Concept abandonné")</x:f>
        <x:v>0</x:v>
      </x:c>
      <x:c r="L34" s="37" t="n">
        <x:f>COUNTIFS('QA'!$D$7:$D$32,"Allégation écartée")</x:f>
        <x:v>0</x:v>
      </x:c>
      <x:c r="M34" s="37" t="n">
        <x:f>COUNTIFS('QA'!$E$7:$E$32,"P0")</x:f>
        <x:v>0</x:v>
      </x:c>
    </x:row>
    <x:row r="35" ht="22" customHeight="1">
      <x:c r="A35" s="2" t="str">
        <x:v>Continuité</x:v>
      </x:c>
      <x:c r="B35" s="38" t="n">
        <x:f>COUNTA('Continuite'!$A$7:$A$20)</x:f>
        <x:v>14</x:v>
      </x:c>
      <x:c r="C35" s="38" t="n">
        <x:f>COUNTIFS('Continuite'!$C$7:$C$20,"Défini")</x:f>
        <x:v>14</x:v>
      </x:c>
      <x:c r="D35" s="38" t="n">
        <x:f>COUNTIFS('Continuite'!$C$7:$C$20,"Prototype")</x:f>
        <x:v>0</x:v>
      </x:c>
      <x:c r="E35" s="38" t="n">
        <x:f>COUNTIFS('Continuite'!$C$7:$C$20,"Intégré")</x:f>
        <x:v>0</x:v>
      </x:c>
      <x:c r="F35" s="38" t="n">
        <x:f>COUNTIFS('Continuite'!$C$7:$C$20,"Validé")</x:f>
        <x:v>0</x:v>
      </x:c>
      <x:c r="G35" s="38" t="n">
        <x:f>COUNTIFS('Continuite'!$D$7:$D$20,"Établi")</x:f>
        <x:v>0</x:v>
      </x:c>
      <x:c r="H35" s="38" t="n">
        <x:f>COUNTIFS('Continuite'!$D$7:$D$20,"À vérifier")</x:f>
        <x:v>0</x:v>
      </x:c>
      <x:c r="I35" s="38" t="n">
        <x:f>COUNTIFS('Continuite'!$D$7:$D$20,"Extrapolation")</x:f>
        <x:v>14</x:v>
      </x:c>
      <x:c r="J35" s="38" t="n">
        <x:f>COUNTIFS('Continuite'!$D$7:$D$20,"Coupé attesté")</x:f>
        <x:v>0</x:v>
      </x:c>
      <x:c r="K35" s="38" t="n">
        <x:f>COUNTIFS('Continuite'!$D$7:$D$20,"Concept abandonné")</x:f>
        <x:v>0</x:v>
      </x:c>
      <x:c r="L35" s="38" t="n">
        <x:f>COUNTIFS('Continuite'!$D$7:$D$20,"Allégation écartée")</x:f>
        <x:v>0</x:v>
      </x:c>
      <x:c r="M35" s="38" t="n">
        <x:f>COUNTIFS('Continuite'!$E$7:$E$20,"P0")</x:f>
        <x:v>0</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763</x:v>
      </x:c>
      <x:c r="C37" s="39" t="n">
        <x:f>SUM(C10:C35)</x:f>
        <x:v>711</x:v>
      </x:c>
      <x:c r="D37" s="39" t="n">
        <x:f>SUM(D10:D35)</x:f>
        <x:v>52</x:v>
      </x:c>
      <x:c r="E37" s="39" t="n">
        <x:f>SUM(E10:E35)</x:f>
        <x:v>0</x:v>
      </x:c>
      <x:c r="F37" s="39" t="n">
        <x:f>SUM(F10:F35)</x:f>
        <x:v>0</x:v>
      </x:c>
      <x:c r="G37" s="39" t="n">
        <x:f>SUM(G10:G35)</x:f>
        <x:v>473</x:v>
      </x:c>
      <x:c r="H37" s="39" t="n">
        <x:f>SUM(H10:H35)</x:f>
        <x:v>0</x:v>
      </x:c>
      <x:c r="I37" s="39" t="n">
        <x:f>SUM(I10:I35)</x:f>
        <x:v>290</x:v>
      </x:c>
      <x:c r="J37" s="39" t="n">
        <x:f>SUM(J10:J35)</x:f>
        <x:v>0</x:v>
      </x:c>
      <x:c r="K37" s="39" t="n">
        <x:f>SUM(K10:K35)</x:f>
        <x:v>0</x:v>
      </x:c>
      <x:c r="L37" s="39" t="n">
        <x:f>SUM(L10:L35)</x:f>
        <x:v>0</x:v>
      </x:c>
      <x:c r="M37" s="39" t="n">
        <x:f>SUM(M10:M35)</x:f>
        <x:v>0</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Andromeda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MEA-CHR-RYDER</x:v>
      </x:c>
      <x:c r="B7" s="9" t="str">
        <x:v>Pathfinder Ryder — Sara ou Scott</x:v>
      </x:c>
      <x:c r="C7" s="15" t="str">
        <x:v>Prototype</x:v>
      </x:c>
      <x:c r="D7" s="16" t="str">
        <x:v>Établi</x:v>
      </x:c>
      <x:c r="E7" s="16" t="str">
        <x:v>P1</x:v>
      </x:c>
      <x:c r="F7" s="9" t="str">
        <x:v>Le joueur choisit l’un des jumeaux Ryder.</x:v>
      </x:c>
      <x:c r="G7" s="9" t="str">
        <x:v>Protagoniste ATB mobile : trois compétences actives dans un favori proposé, profils adaptables et ordres d’équipe ; ne pas figer une classe de Shepard.</x:v>
      </x:c>
      <x:c r="H7" s="9" t="str">
        <x:v>Protagoniste ATB mobile : trois compétences actives dans un favori proposé, profils adaptables et ordres d’équipe ; ne pas figer une classe de Shepard.</x:v>
      </x:c>
      <x:c r="I7" s="9" t="str">
        <x:v>Personnalisation humaine et armure de Pionnier.</x:v>
      </x:c>
      <x:c r="J7" s="9" t="str">
        <x:v>Marche, sprint, saut, suspension, dash, tir et trois compétences sélectionnées ; visages Sara/Scott séparés, ancres de main partagées par gabarit.</x:v>
      </x:c>
      <x:c r="K7" s="9" t="str">
        <x:v>Pas de combinaison, souffle et propulsion originaux ; deux profils de voix selon personnage choisi.</x:v>
      </x:c>
      <x:c r="L7" s="9" t="str">
        <x:v>Prototype Chroniques : src/universe-actors.js, src/chronicles.js. Identifiant runtime MEA-CHR-RYDER ; contexte d’œuvre/segment et sélection de scène obligatoires.</x:v>
      </x:c>
      <x:c r="M7" s="9" t="str">
        <x:v>L’autre jumeau a un rôle narratif distinct.</x:v>
      </x:c>
      <x:c r="N7" s="9" t="str">
        <x:v>Pathfinder Ryder — Sara ou Scott : identifier sa silhouette aux huit orientations proposées, tester chaque action de son rôle et ses conditions de présence ; arme, portrait et retour au couvert restent cohérents pendant saut, cast et reprise.</x:v>
      </x:c>
      <x:c r="O7" s="9" t="str"/>
      <x:c r="P7" s="9" t="str">
        <x:v>Pathfinder Ryder — Sara ou Scott</x:v>
      </x:c>
      <x:c r="Q7" s="9" t="str">
        <x:v>MEA-SRC-EA-GAME, MEA-SRC-SKILLS</x:v>
      </x:c>
      <x:c r="R7" s="9" t="str">
        <x:v>https://www.ea.com/games/mass-effect/mass-effect-andromeda
https://masseffect.fandom.com/wiki/Skills</x:v>
      </x:c>
      <x:c r="S7" s="9"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8" ht="82" customHeight="1">
      <x:c r="A8" s="19" t="str">
        <x:v>MEA-CHR-CORA</x:v>
      </x:c>
      <x:c r="B8" s="7" t="str">
        <x:v>Cora Harper</x:v>
      </x:c>
      <x:c r="C8" s="15" t="str">
        <x:v>Prototype</x:v>
      </x:c>
      <x:c r="D8" s="17" t="str">
        <x:v>Établi</x:v>
      </x:c>
      <x:c r="E8" s="17" t="str">
        <x:v>P1</x:v>
      </x:c>
      <x:c r="F8" s="7" t="str">
        <x:v>Équipière biotique humaine.</x:v>
      </x:c>
      <x:c r="G8" s="7" t="str">
        <x:v>Avant-garde protectrice : Charge, Nova et Shield Boost traduits en approche, choc et secours ; réserve de protection visible.</x:v>
      </x:c>
      <x:c r="H8" s="7" t="str">
        <x:v>Avant-garde protectrice : Charge, Nova et Shield Boost traduits en approche, choc et secours ; réserve de protection visible.</x:v>
      </x:c>
      <x:c r="I8" s="7" t="str">
        <x:v>Coupe courte, armure de Pionnier et halo biotique.</x:v>
      </x:c>
      <x:c r="J8" s="7" t="str">
        <x:v>Charge au sol, impact Nova et geste ouvert de Shield Boost ; transitions de visée shotgun vers biotique sans arme flottante.</x:v>
      </x:c>
      <x:c r="K8" s="7" t="str">
        <x:v>Impulsion biotique courte, pulse de protection doux et annonce de secours avec sous-titre.</x:v>
      </x:c>
      <x:c r="L8" s="7" t="str">
        <x:v>Prototype Chroniques : src/universe-actors.js, src/chronicles.js. Identifiant runtime MEA-CHR-CORA ; contexte d’œuvre/segment et sélection de scène obligatoires.</x:v>
      </x:c>
      <x:c r="M8" s="7" t="str"/>
      <x:c r="N8" s="7" t="str">
        <x:v>Cora Harper : identifier sa silhouette aux huit orientations proposées, tester chaque action de son rôle et ses conditions de présence ; arme, portrait et retour au couvert restent cohérents pendant saut, cast et reprise.</x:v>
      </x:c>
      <x:c r="O8" s="7" t="str"/>
      <x:c r="P8" s="7" t="str">
        <x:v>Cora Harper</x:v>
      </x:c>
      <x:c r="Q8" s="7" t="str">
        <x:v>MEA-SRC-CORA</x:v>
      </x:c>
      <x:c r="R8" s="7" t="str">
        <x:v>https://masseffect.fandom.com/wiki/Cora_Harper</x:v>
      </x:c>
      <x:c r="S8" s="7"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9" ht="82" customHeight="1">
      <x:c r="A9" s="18" t="str">
        <x:v>MEA-CHR-LIAM</x:v>
      </x:c>
      <x:c r="B9" s="9" t="str">
        <x:v>Liam Kosta</x:v>
      </x:c>
      <x:c r="C9" s="15" t="str">
        <x:v>Prototype</x:v>
      </x:c>
      <x:c r="D9" s="16" t="str">
        <x:v>Établi</x:v>
      </x:c>
      <x:c r="E9" s="16" t="str">
        <x:v>P1</x:v>
      </x:c>
      <x:c r="F9" s="9" t="str">
        <x:v>Équipier humain.</x:v>
      </x:c>
      <x:c r="G9" s="9" t="str">
        <x:v>Assaut mobile avec Havoc Strike, grenades et soutien électrique ; sa prise de risque devient une option d’ordre claire.</x:v>
      </x:c>
      <x:c r="H9" s="9" t="str">
        <x:v>Assaut mobile avec Havoc Strike, grenades et soutien électrique ; sa prise de risque devient une option d’ordre claire.</x:v>
      </x:c>
      <x:c r="I9" s="9" t="str">
        <x:v>Armure légère et posture vive.</x:v>
      </x:c>
      <x:c r="J9" s="9" t="str">
        <x:v>Bond Havoc Strike, lancer de grenade et Overload ; atterrissage utilise la bonne hauteur et reprise de garde mobile.</x:v>
      </x:c>
      <x:c r="K9" s="9" t="str">
        <x:v>Propulseur bref, lancer physique et signal électrique distinct, annonces d’assaut lisibles.</x:v>
      </x:c>
      <x:c r="L9" s="9" t="str">
        <x:v>Prototype Chroniques : src/universe-actors.js, src/chronicles.js. Identifiant runtime MEA-CHR-LIAM ; contexte d’œuvre/segment et sélection de scène obligatoires.</x:v>
      </x:c>
      <x:c r="M9" s="9" t="str"/>
      <x:c r="N9" s="9" t="str">
        <x:v>Liam Kosta : identifier sa silhouette aux huit orientations proposées, tester chaque action de son rôle et ses conditions de présence ; arme, portrait et retour au couvert restent cohérents pendant saut, cast et reprise.</x:v>
      </x:c>
      <x:c r="O9" s="9" t="str"/>
      <x:c r="P9" s="9" t="str">
        <x:v>Liam Kosta</x:v>
      </x:c>
      <x:c r="Q9" s="9" t="str">
        <x:v>MEA-SRC-SQUAD, MEA-SRC-SKILLS</x:v>
      </x:c>
      <x:c r="R9" s="9" t="str">
        <x:v>https://masseffect.fandom.com/wiki/Squad_Members_Guide_%28Mass_Effect%3A_Andromeda%29
https://masseffect.fandom.com/wiki/Skills</x:v>
      </x:c>
      <x:c r="S9" s="9"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0" ht="82" customHeight="1">
      <x:c r="A10" s="19" t="str">
        <x:v>MEA-CHR-VETRA</x:v>
      </x:c>
      <x:c r="B10" s="7" t="str">
        <x:v>Vetra Nyx</x:v>
      </x:c>
      <x:c r="C10" s="15" t="str">
        <x:v>Prototype</x:v>
      </x:c>
      <x:c r="D10" s="17" t="str">
        <x:v>Établi</x:v>
      </x:c>
      <x:c r="E10" s="17" t="str">
        <x:v>P1</x:v>
      </x:c>
      <x:c r="F10" s="7" t="str">
        <x:v>Équipière turienne.</x:v>
      </x:c>
      <x:c r="G10" s="7" t="str">
        <x:v>Tireuse de soutien avec armure renforcée et Turbocharge ; sa défense couvre l’engagement d’une rafale prolongée.</x:v>
      </x:c>
      <x:c r="H10" s="7" t="str">
        <x:v>Tireuse de soutien avec armure renforcée et Turbocharge ; sa défense couvre l’engagement d’une rafale prolongée.</x:v>
      </x:c>
      <x:c r="I10" s="7" t="str">
        <x:v>Grande silhouette turienne, visière et armure sombre.</x:v>
      </x:c>
      <x:c r="J10" s="7" t="str">
        <x:v>Activation de plaques, pose de tir soutenu et recul de fusil ; tête turienne et visière gardent leur asymétrie.</x:v>
      </x:c>
      <x:c r="K10" s="7" t="str">
        <x:v>Déploiement d’armure, montée de rafale puis reprise ; voix de tir priorisée sur bruit mécanique.</x:v>
      </x:c>
      <x:c r="L10" s="7" t="str">
        <x:v>Prototype Chroniques : src/universe-actors.js, src/chronicles.js. Identifiant runtime MEA-CHR-VETRA ; contexte d’œuvre/segment et sélection de scène obligatoires.</x:v>
      </x:c>
      <x:c r="M10" s="7" t="str"/>
      <x:c r="N10" s="7" t="str">
        <x:v>Vetra Nyx : identifier sa silhouette aux huit orientations proposées, tester chaque action de son rôle et ses conditions de présence ; arme, portrait et retour au couvert restent cohérents pendant saut, cast et reprise.</x:v>
      </x:c>
      <x:c r="O10" s="7" t="str"/>
      <x:c r="P10" s="7" t="str">
        <x:v>Vetra Nyx</x:v>
      </x:c>
      <x:c r="Q10" s="7" t="str">
        <x:v>MEA-SRC-VETRA, MEA-SRC-SKILLS</x:v>
      </x:c>
      <x:c r="R10" s="7" t="str">
        <x:v>https://masseffect.fandom.com/wiki/Vetra_Nyx
https://masseffect.fandom.com/wiki/Skills</x:v>
      </x:c>
      <x:c r="S10" s="7"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1" ht="82" customHeight="1">
      <x:c r="A11" s="18" t="str">
        <x:v>MEA-CHR-JAAL</x:v>
      </x:c>
      <x:c r="B11" s="9" t="str">
        <x:v>Jaal Ama Darav</x:v>
      </x:c>
      <x:c r="C11" s="15" t="str">
        <x:v>Prototype</x:v>
      </x:c>
      <x:c r="D11" s="16" t="str">
        <x:v>Établi</x:v>
      </x:c>
      <x:c r="E11" s="16" t="str">
        <x:v>P1</x:v>
      </x:c>
      <x:c r="F11" s="9" t="str">
        <x:v>Équipier angara.</x:v>
      </x:c>
      <x:c r="G11" s="9" t="str">
        <x:v>Tireur d’angle avec Energy Drain, Avenger Strike et Sticky Grenade ; retour de mobilité vers emplacement réservé.</x:v>
      </x:c>
      <x:c r="H11" s="9" t="str">
        <x:v>Tireur d’angle avec Energy Drain, Avenger Strike et Sticky Grenade ; retour de mobilité vers emplacement réservé.</x:v>
      </x:c>
      <x:c r="I11" s="9" t="str">
        <x:v>Manteau angara, visage violet et silhouette large.</x:v>
      </x:c>
      <x:c r="J11" s="9" t="str">
        <x:v>Visée longue, lancer adhésif, voile et frappe de retour ; manteau suit mouvement sans cacher la cellule ciblée.</x:v>
      </x:c>
      <x:c r="K11" s="9" t="str">
        <x:v>Signal de voile, frappe et arme séparés, voix angara originale sous-titrée.</x:v>
      </x:c>
      <x:c r="L11" s="9" t="str">
        <x:v>Prototype Chroniques : src/universe-actors.js, src/chronicles.js. Identifiant runtime MEA-CHR-JAAL ; contexte d’œuvre/segment et sélection de scène obligatoires.</x:v>
      </x:c>
      <x:c r="M11" s="9" t="str"/>
      <x:c r="N11" s="9" t="str">
        <x:v>Jaal Ama Darav : identifier sa silhouette aux huit orientations proposées, tester chaque action de son rôle et ses conditions de présence ; arme, portrait et retour au couvert restent cohérents pendant saut, cast et reprise.</x:v>
      </x:c>
      <x:c r="O11" s="9" t="str"/>
      <x:c r="P11" s="9" t="str">
        <x:v>Jaal Ama Darav</x:v>
      </x:c>
      <x:c r="Q11" s="9" t="str">
        <x:v>MEA-SRC-JAAL, MEA-SRC-SKILLS</x:v>
      </x:c>
      <x:c r="R11" s="9" t="str">
        <x:v>https://masseffect.fandom.com/wiki/Jaal_Ama_Darav
https://masseffect.fandom.com/wiki/Skills</x:v>
      </x:c>
      <x:c r="S11" s="9"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2" ht="82" customHeight="1">
      <x:c r="A12" s="19" t="str">
        <x:v>MEA-CHR-DRACK</x:v>
      </x:c>
      <x:c r="B12" s="7" t="str">
        <x:v>Nakmor Drack</x:v>
      </x:c>
      <x:c r="C12" s="15" t="str">
        <x:v>Prototype</x:v>
      </x:c>
      <x:c r="D12" s="17" t="str">
        <x:v>Établi</x:v>
      </x:c>
      <x:c r="E12" s="17" t="str">
        <x:v>P1</x:v>
      </x:c>
      <x:c r="F12" s="7" t="str">
        <x:v>Équipier krogan.</x:v>
      </x:c>
      <x:c r="G12" s="7" t="str">
        <x:v>Combattant de contact avec Blood Rage, Incinerate et Flak Cannon ; ne pas confondre rage offensive et invulnérabilité.</x:v>
      </x:c>
      <x:c r="H12" s="7" t="str">
        <x:v>Combattant de contact avec Blood Rage, Incinerate et Flak Cannon ; ne pas confondre rage offensive et invulnérabilité.</x:v>
      </x:c>
      <x:c r="I12" s="7" t="str">
        <x:v>Vieille carapace krogan, armure lourde et pièces techniques.</x:v>
      </x:c>
      <x:c r="J12" s="7" t="str">
        <x:v>Pas lourds, Incinerate d’un bras, Flak Cannon et rage de contact ; ne pas mirrorer prothèses et marques de carapace.</x:v>
      </x:c>
      <x:c r="K12" s="7" t="str">
        <x:v>Pas métalliques/armure, souffle rauque original et avertissement de charge.</x:v>
      </x:c>
      <x:c r="L12" s="7" t="str">
        <x:v>Prototype Chroniques : src/universe-actors.js, src/chronicles.js. Identifiant runtime MEA-CHR-DRACK ; contexte d’œuvre/segment et sélection de scène obligatoires.</x:v>
      </x:c>
      <x:c r="M12" s="7" t="str"/>
      <x:c r="N12" s="7" t="str">
        <x:v>Nakmor Drack : identifier sa silhouette aux huit orientations proposées, tester chaque action de son rôle et ses conditions de présence ; arme, portrait et retour au couvert restent cohérents pendant saut, cast et reprise.</x:v>
      </x:c>
      <x:c r="O12" s="7" t="str"/>
      <x:c r="P12" s="7" t="str">
        <x:v>Nakmor Drack</x:v>
      </x:c>
      <x:c r="Q12" s="7" t="str">
        <x:v>MEA-SRC-SQUAD, MEA-SRC-SKILLS</x:v>
      </x:c>
      <x:c r="R12" s="7" t="str">
        <x:v>https://masseffect.fandom.com/wiki/Squad_Members_Guide_%28Mass_Effect%3A_Andromeda%29
https://masseffect.fandom.com/wiki/Skills</x:v>
      </x:c>
      <x:c r="S12" s="7"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3" ht="82" customHeight="1">
      <x:c r="A13" s="18" t="str">
        <x:v>MEA-CHR-PEEBEE</x:v>
      </x:c>
      <x:c r="B13" s="9" t="str">
        <x:v>Pelessaria B’Sayle / Peebee</x:v>
      </x:c>
      <x:c r="C13" s="15" t="str">
        <x:v>Prototype</x:v>
      </x:c>
      <x:c r="D13" s="16" t="str">
        <x:v>Établi</x:v>
      </x:c>
      <x:c r="E13" s="16" t="str">
        <x:v>P1</x:v>
      </x:c>
      <x:c r="F13" s="9" t="str">
        <x:v>Équipière asari et chercheuse de Reliquats.</x:v>
      </x:c>
      <x:c r="G13" s="9" t="str">
        <x:v>Pull, Invasion et Shockwave ouvrent des contrôles complémentaires ; Poc reste un dispositif propre à son arc.</x:v>
      </x:c>
      <x:c r="H13" s="9" t="str">
        <x:v>Pull, Invasion et Shockwave ouvrent des contrôles complémentaires ; Poc reste un dispositif propre à son arc.</x:v>
      </x:c>
      <x:c r="I13" s="9" t="str">
        <x:v>Masque de peinture, veste et silhouette asari.</x:v>
      </x:c>
      <x:c r="J13" s="9" t="str">
        <x:v>Pull, Shockwave et activation Invasion avec gestuelle vive ; acrobatie de décoration ne modifie pas hitbox ni coût.</x:v>
      </x:c>
      <x:c r="K13" s="9" t="str">
        <x:v>Impulsion biotique et parasites tech distincts ; commentaire de découverte limité en fréquence.</x:v>
      </x:c>
      <x:c r="L13" s="9" t="str">
        <x:v>Prototype Chroniques : src/universe-actors.js, src/chronicles.js. Identifiant runtime MEA-CHR-PEEBEE ; contexte d’œuvre/segment et sélection de scène obligatoires.</x:v>
      </x:c>
      <x:c r="M13" s="9" t="str"/>
      <x:c r="N13" s="9" t="str">
        <x:v>Pelessaria B’Sayle / Peebee : identifier sa silhouette aux huit orientations proposées, tester chaque action de son rôle et ses conditions de présence ; arme, portrait et retour au couvert restent cohérents pendant saut, cast et reprise.</x:v>
      </x:c>
      <x:c r="O13" s="9" t="str"/>
      <x:c r="P13" s="9" t="str">
        <x:v>Pelessaria B’Sayle / Peebee</x:v>
      </x:c>
      <x:c r="Q13" s="9" t="str">
        <x:v>MEA-SRC-SQUAD, MEA-SRC-SKILLS</x:v>
      </x:c>
      <x:c r="R13" s="9" t="str">
        <x:v>https://masseffect.fandom.com/wiki/Squad_Members_Guide_%28Mass_Effect%3A_Andromeda%29
https://masseffect.fandom.com/wiki/Skills</x:v>
      </x:c>
      <x:c r="S13" s="9"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4" ht="82" customHeight="1">
      <x:c r="A14" s="19" t="str">
        <x:v>MEA-CHR-ALEC</x:v>
      </x:c>
      <x:c r="B14" s="7" t="str">
        <x:v>Alec Ryder — prologue</x:v>
      </x:c>
      <x:c r="C14" s="15" t="str">
        <x:v>Prototype</x:v>
      </x:c>
      <x:c r="D14" s="17" t="str">
        <x:v>Établi</x:v>
      </x:c>
      <x:c r="E14" s="17" t="str">
        <x:v>P1</x:v>
      </x:c>
      <x:c r="F14" s="7" t="str">
        <x:v>Pionnier initial de l’Hyperion.</x:v>
      </x:c>
      <x:c r="G14" s="7" t="str">
        <x:v>Allié guide de Habitat 7 ; actions d’apprentissage puis retrait narratif, sans slot permanent après transmission.</x:v>
      </x:c>
      <x:c r="H14" s="7" t="str">
        <x:v>Allié guide de Habitat 7 ; actions d’apprentissage puis retrait narratif, sans slot permanent après transmission.</x:v>
      </x:c>
      <x:c r="I14" s="7" t="str">
        <x:v>Armure N7 et casque de Pionnier.</x:v>
      </x:c>
      <x:c r="J14" s="7" t="str">
        <x:v>Progression de guide, tir d’appui et gestes vers objectif ; retrait du prologue désactive toutes animations de compagnon permanent.</x:v>
      </x:c>
      <x:c r="K14" s="7" t="str">
        <x:v>Ordres courts de tutoriel et respiration de casque, voix coupée au bon jalon narratif.</x:v>
      </x:c>
      <x:c r="L14" s="7" t="str">
        <x:v>Prototype Chroniques : src/universe-actors.js, src/chronicles.js. Identifiant runtime MEA-CHR-ALEC ; contexte d’œuvre/segment et sélection de scène obligatoires.</x:v>
      </x:c>
      <x:c r="M14" s="7" t="str">
        <x:v>Prologue uniquement.</x:v>
      </x:c>
      <x:c r="N14" s="7" t="str">
        <x:v>Alec Ryder — prologue : identifier sa silhouette aux huit orientations proposées, tester chaque action de son rôle et ses conditions de présence ; arme, portrait et retour au couvert restent cohérents pendant saut, cast et reprise.</x:v>
      </x:c>
      <x:c r="O14" s="7" t="str"/>
      <x:c r="P14" s="7" t="str">
        <x:v>Alec Ryder — prologue</x:v>
      </x:c>
      <x:c r="Q14" s="7" t="str">
        <x:v>MEA-SRC-GUIDE</x:v>
      </x:c>
      <x:c r="R14" s="7" t="str">
        <x:v>https://masseffect.fandom.com/wiki/Mass_Effect%3A_Andromeda_Guide</x:v>
      </x:c>
      <x:c r="S14" s="7" t="str">
        <x:v>Les champs adaptation, gameplay, visual, animation, audio et implementation décrivent le fan game ; ils ne donnent pas des caractéristiques officielles de l’œuvre. Prototype partiel disponible dans les Chroniques indépendantes : profil ATB sans portrait, sprite ou moveset complet ; pouvoirs non implémentés signalés. Aucun transfert vers ME1 ni validation 1:1.</x:v>
      </x:c>
    </x:row>
    <x:row r="15" ht="68" customHeight="1">
      <x:c r="A15" s="18" t="str">
        <x:v>MEA-CHR-MP-HUMAN-KINETICIST</x:v>
      </x:c>
      <x:c r="B15" s="9" t="str">
        <x:v>Human Kineticist</x:v>
      </x:c>
      <x:c r="C15" s="15" t="str">
        <x:v>Défini</x:v>
      </x:c>
      <x:c r="D15" s="16" t="str">
        <x:v>Établi</x:v>
      </x:c>
      <x:c r="E15" s="16" t="str">
        <x:v>P1</x:v>
      </x:c>
      <x:c r="F15" s="9" t="str">
        <x:v>Classe du multijoueur de MEA.</x:v>
      </x:c>
      <x:c r="G15" s="9" t="str">
        <x:v>Accumuler une fenêtre biotique proposée puis gérer sa dissipation ; cycles de risque lisibles.</x:v>
      </x:c>
      <x:c r="H15" s="9" t="str">
        <x:v>Accumuler une fenêtre biotique proposée puis gérer sa dissipation ; cycles de risque lisibles.</x:v>
      </x:c>
      <x:c r="I15" s="9" t="str">
        <x:v>Humain à aura biotique.</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Prévu : fiche de données mea/characters/mp-human-kineticist ; rattacher les ressources et états cités à cet identifiant. Aucun fichier de jeu créé par ce catalogue.</x:v>
      </x:c>
      <x:c r="M15" s="9" t="str">
        <x:v>Multijoueur APEX uniquement ; aucun recrutement dans la campagne de Ryder.</x:v>
      </x:c>
      <x:c r="N15" s="9" t="str">
        <x:v>Cette classe apparaît seulement dans le roster multijoueur ; vérifier sauvegarde, équipements et passifs sans modification des six équipiers de campagne.</x:v>
      </x:c>
      <x:c r="O15" s="9" t="str"/>
      <x:c r="P15" s="9" t="str">
        <x:v>Human Kineticist</x:v>
      </x:c>
      <x:c r="Q15" s="9" t="str">
        <x:v>MEA-SRC-MP-CHARS</x:v>
      </x:c>
      <x:c r="R15" s="9" t="str">
        <x:v>https://masseffect.fandom.com/wiki/Category%3AMultiplayer_Characters_%28Mass_Effect%3A_Andromeda%29</x:v>
      </x:c>
      <x:c r="S15" s="9" t="str">
        <x:v>Spécification à réaliser. Les champs adaptation, gameplay, visual, animation, audio et implementation décrivent le fan game ; ils ne donnent pas des caractéristiques officielles de l’œuvre.</x:v>
      </x:c>
    </x:row>
    <x:row r="16" ht="68" customHeight="1">
      <x:c r="A16" s="19" t="str">
        <x:v>MEA-CHR-MP-ASARI-DUELIST</x:v>
      </x:c>
      <x:c r="B16" s="7" t="str">
        <x:v>Asari Duelist</x:v>
      </x:c>
      <x:c r="C16" s="15" t="str">
        <x:v>Défini</x:v>
      </x:c>
      <x:c r="D16" s="17" t="str">
        <x:v>Établi</x:v>
      </x:c>
      <x:c r="E16" s="17" t="str">
        <x:v>P1</x:v>
      </x:c>
      <x:c r="F16" s="7" t="str">
        <x:v>Classe du multijoueur de MEA.</x:v>
      </x:c>
      <x:c r="G16" s="7" t="str">
        <x:v>Combattante mobile de contact ; réserver entrée et sortie pour éviter prise létale sans réponse.</x:v>
      </x:c>
      <x:c r="H16" s="7" t="str">
        <x:v>Combattante mobile de contact ; réserver entrée et sortie pour éviter prise létale sans réponse.</x:v>
      </x:c>
      <x:c r="I16" s="7" t="str">
        <x:v>Asari et arme de mêlée.</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Prévu : fiche de données mea/characters/mp-asari-duelist ; rattacher les ressources et états cités à cet identifiant. Aucun fichier de jeu créé par ce catalogue.</x:v>
      </x:c>
      <x:c r="M16" s="7" t="str">
        <x:v>Multijoueur APEX uniquement ; aucun recrutement dans la campagne de Ryder.</x:v>
      </x:c>
      <x:c r="N16" s="7" t="str">
        <x:v>Cette classe apparaît seulement dans le roster multijoueur ; vérifier sauvegarde, équipements et passifs sans modification des six équipiers de campagne.</x:v>
      </x:c>
      <x:c r="O16" s="7" t="str"/>
      <x:c r="P16" s="7" t="str">
        <x:v>Asari Duelist</x:v>
      </x:c>
      <x:c r="Q16" s="7" t="str">
        <x:v>MEA-SRC-MP-CHARS</x:v>
      </x:c>
      <x:c r="R16" s="7" t="str">
        <x:v>https://masseffect.fandom.com/wiki/Category%3AMultiplayer_Characters_%28Mass_Effect%3A_Andromeda%29</x:v>
      </x:c>
      <x:c r="S16" s="7" t="str">
        <x:v>Spécification à réaliser. Les champs adaptation, gameplay, visual, animation, audio et implementation décrivent le fan game ; ils ne donnent pas des caractéristiques officielles de l’œuvre.</x:v>
      </x:c>
    </x:row>
    <x:row r="17" ht="68" customHeight="1">
      <x:c r="A17" s="18" t="str">
        <x:v>MEA-CHR-MP-TURIAN-HAVOC</x:v>
      </x:c>
      <x:c r="B17" s="9" t="str">
        <x:v>Turian Havoc Trooper</x:v>
      </x:c>
      <x:c r="C17" s="15" t="str">
        <x:v>Défini</x:v>
      </x:c>
      <x:c r="D17" s="16" t="str">
        <x:v>Établi</x:v>
      </x:c>
      <x:c r="E17" s="16" t="str">
        <x:v>P1</x:v>
      </x:c>
      <x:c r="F17" s="9" t="str">
        <x:v>Classe du multijoueur de MEA.</x:v>
      </x:c>
      <x:c r="G17" s="9" t="str">
        <x:v>Assaut aérien proposé avec durée de vol bornée et point d’atterrissage.</x:v>
      </x:c>
      <x:c r="H17" s="9" t="str">
        <x:v>Assaut aérien proposé avec durée de vol bornée et point d’atterrissage.</x:v>
      </x:c>
      <x:c r="I17" s="9" t="str">
        <x:v>Turien à propulseurs.</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Prévu : fiche de données mea/characters/mp-turian-havoc ; rattacher les ressources et états cités à cet identifiant. Aucun fichier de jeu créé par ce catalogue.</x:v>
      </x:c>
      <x:c r="M17" s="9" t="str">
        <x:v>Multijoueur APEX uniquement ; aucun recrutement dans la campagne de Ryder.</x:v>
      </x:c>
      <x:c r="N17" s="9" t="str">
        <x:v>Cette classe apparaît seulement dans le roster multijoueur ; vérifier sauvegarde, équipements et passifs sans modification des six équipiers de campagne.</x:v>
      </x:c>
      <x:c r="O17" s="9" t="str"/>
      <x:c r="P17" s="9" t="str">
        <x:v>Turian Havoc Trooper</x:v>
      </x:c>
      <x:c r="Q17" s="9" t="str">
        <x:v>MEA-SRC-MP-CHARS</x:v>
      </x:c>
      <x:c r="R17" s="9" t="str">
        <x:v>https://masseffect.fandom.com/wiki/Category%3AMultiplayer_Characters_%28Mass_Effect%3A_Andromeda%29</x:v>
      </x:c>
      <x:c r="S17" s="9" t="str">
        <x:v>Spécification à réaliser. Les champs adaptation, gameplay, visual, animation, audio et implementation décrivent le fan game ; ils ne donnent pas des caractéristiques officielles de l’œuvre.</x:v>
      </x:c>
    </x:row>
    <x:row r="18" ht="68" customHeight="1">
      <x:c r="A18" s="19" t="str">
        <x:v>MEA-CHR-MP-KROGAN-ENGINEER</x:v>
      </x:c>
      <x:c r="B18" s="7" t="str">
        <x:v>Krogan Engineer</x:v>
      </x:c>
      <x:c r="C18" s="15" t="str">
        <x:v>Défini</x:v>
      </x:c>
      <x:c r="D18" s="17" t="str">
        <x:v>Établi</x:v>
      </x:c>
      <x:c r="E18" s="17" t="str">
        <x:v>P1</x:v>
      </x:c>
      <x:c r="F18" s="7" t="str">
        <x:v>Classe du multijoueur de MEA.</x:v>
      </x:c>
      <x:c r="G18" s="7" t="str">
        <x:v>Combiner construction et robustesse ; limite des invocations affichée pour tout le groupe.</x:v>
      </x:c>
      <x:c r="H18" s="7" t="str">
        <x:v>Combiner construction et robustesse ; limite des invocations affichée pour tout le groupe.</x:v>
      </x:c>
      <x:c r="I18" s="7" t="str">
        <x:v>Krogan avec outils techniques.</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Prévu : fiche de données mea/characters/mp-krogan-engineer ; rattacher les ressources et états cités à cet identifiant. Aucun fichier de jeu créé par ce catalogue.</x:v>
      </x:c>
      <x:c r="M18" s="7" t="str">
        <x:v>Multijoueur APEX uniquement ; aucun recrutement dans la campagne de Ryder.</x:v>
      </x:c>
      <x:c r="N18" s="7" t="str">
        <x:v>Cette classe apparaît seulement dans le roster multijoueur ; vérifier sauvegarde, équipements et passifs sans modification des six équipiers de campagne.</x:v>
      </x:c>
      <x:c r="O18" s="7" t="str"/>
      <x:c r="P18" s="7" t="str">
        <x:v>Krogan Engineer</x:v>
      </x:c>
      <x:c r="Q18" s="7" t="str">
        <x:v>MEA-SRC-MP-CHARS</x:v>
      </x:c>
      <x:c r="R18" s="7" t="str">
        <x:v>https://masseffect.fandom.com/wiki/Category%3AMultiplayer_Characters_%28Mass_Effect%3A_Andromeda%29</x:v>
      </x:c>
      <x:c r="S18" s="7" t="str">
        <x:v>Spécification à réaliser. Les champs adaptation, gameplay, visual, animation, audio et implementation décrivent le fan game ; ils ne donnent pas des caractéristiques officielles de l’œuvre.</x:v>
      </x:c>
    </x:row>
    <x:row r="19" ht="68" customHeight="1">
      <x:c r="A19" s="18" t="str">
        <x:v>MEA-CHR-MP-SALARIAN-ARCHITECT</x:v>
      </x:c>
      <x:c r="B19" s="9" t="str">
        <x:v>Salarian Architect</x:v>
      </x:c>
      <x:c r="C19" s="15" t="str">
        <x:v>Défini</x:v>
      </x:c>
      <x:c r="D19" s="16" t="str">
        <x:v>Établi</x:v>
      </x:c>
      <x:c r="E19" s="16" t="str">
        <x:v>P1</x:v>
      </x:c>
      <x:c r="F19" s="9" t="str">
        <x:v>Classe du multijoueur de MEA.</x:v>
      </x:c>
      <x:c r="G19" s="9" t="str">
        <x:v>Déploiement technique proposé et appui à distance ; bonus de groupe ne se cumulent pas sans borne.</x:v>
      </x:c>
      <x:c r="H19" s="9" t="str">
        <x:v>Déploiement technique proposé et appui à distance ; bonus de groupe ne se cumulent pas sans borne.</x:v>
      </x:c>
      <x:c r="I19" s="9" t="str">
        <x:v>Salarien en armure technique.</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mea/characters/mp-salarian-architect ; rattacher les ressources et états cités à cet identifiant. Aucun fichier de jeu créé par ce catalogue.</x:v>
      </x:c>
      <x:c r="M19" s="9" t="str">
        <x:v>Multijoueur APEX uniquement ; aucun recrutement dans la campagne de Ryder.</x:v>
      </x:c>
      <x:c r="N19" s="9" t="str">
        <x:v>Cette classe apparaît seulement dans le roster multijoueur ; vérifier sauvegarde, équipements et passifs sans modification des six équipiers de campagne.</x:v>
      </x:c>
      <x:c r="O19" s="9" t="str"/>
      <x:c r="P19" s="9" t="str">
        <x:v>Salarian Architect</x:v>
      </x:c>
      <x:c r="Q19" s="9" t="str">
        <x:v>MEA-SRC-MP-CHARS</x:v>
      </x:c>
      <x:c r="R19" s="9" t="str">
        <x:v>https://masseffect.fandom.com/wiki/Category%3AMultiplayer_Characters_%28Mass_Effect%3A_Andromeda%29</x:v>
      </x:c>
      <x:c r="S19" s="9" t="str">
        <x:v>Spécification à réaliser. Les champs adaptation, gameplay, visual, animation, audio et implementation décrivent le fan game ; ils ne donnent pas des caractéristiques officielles de l’œuvre.</x:v>
      </x:c>
    </x:row>
    <x:row r="20" ht="68" customHeight="1">
      <x:c r="A20" s="19" t="str">
        <x:v>MEA-CHR-MP-ANGARA-AVENGER</x:v>
      </x:c>
      <x:c r="B20" s="7" t="str">
        <x:v>Angara Avenger</x:v>
      </x:c>
      <x:c r="C20" s="15" t="str">
        <x:v>Défini</x:v>
      </x:c>
      <x:c r="D20" s="17" t="str">
        <x:v>Établi</x:v>
      </x:c>
      <x:c r="E20" s="17" t="str">
        <x:v>P1</x:v>
      </x:c>
      <x:c r="F20" s="7" t="str">
        <x:v>Classe du multijoueur de MEA.</x:v>
      </x:c>
      <x:c r="G20" s="7" t="str">
        <x:v>Infiltration et frappe coordonnée ; phase de réapparition toujours annoncée.</x:v>
      </x:c>
      <x:c r="H20" s="7" t="str">
        <x:v>Infiltration et frappe coordonnée ; phase de réapparition toujours annoncée.</x:v>
      </x:c>
      <x:c r="I20" s="7" t="str">
        <x:v>Angara et voile de camouflage.</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mea/characters/mp-angara-avenger ; rattacher les ressources et états cités à cet identifiant. Aucun fichier de jeu créé par ce catalogue.</x:v>
      </x:c>
      <x:c r="M20" s="7" t="str">
        <x:v>Multijoueur APEX uniquement ; aucun recrutement dans la campagne de Ryder.</x:v>
      </x:c>
      <x:c r="N20" s="7" t="str">
        <x:v>Cette classe apparaît seulement dans le roster multijoueur ; vérifier sauvegarde, équipements et passifs sans modification des six équipiers de campagne.</x:v>
      </x:c>
      <x:c r="O20" s="7" t="str"/>
      <x:c r="P20" s="7" t="str">
        <x:v>Angara Avenger</x:v>
      </x:c>
      <x:c r="Q20" s="7" t="str">
        <x:v>MEA-SRC-MP-CHARS</x:v>
      </x:c>
      <x:c r="R20" s="7" t="str">
        <x:v>https://masseffect.fandom.com/wiki/Category%3AMultiplayer_Characters_%28Mass_Effect%3A_Andromeda%29</x:v>
      </x:c>
      <x:c r="S20" s="7" t="str">
        <x:v>Spécification à réaliser. Les champs adaptation, gameplay, visual, animation, audio et implementation décrivent le fan game ; ils ne donnent pas des caractéristiques officielles de l’œuvre.</x:v>
      </x:c>
    </x:row>
    <x:row r="21" ht="68" customHeight="1">
      <x:c r="A21" s="18" t="str">
        <x:v>MEA-CHR-MP-BATARIAN-VANGUARD</x:v>
      </x:c>
      <x:c r="B21" s="9" t="str">
        <x:v>Batarian Vanguard</x:v>
      </x:c>
      <x:c r="C21" s="15" t="str">
        <x:v>Défini</x:v>
      </x:c>
      <x:c r="D21" s="16" t="str">
        <x:v>Établi</x:v>
      </x:c>
      <x:c r="E21" s="16" t="str">
        <x:v>P1</x:v>
      </x:c>
      <x:c r="F21" s="9" t="str">
        <x:v>Classe du multijoueur de MEA.</x:v>
      </x:c>
      <x:c r="G21" s="9" t="str">
        <x:v>Approche biotique lourde ; anticipation, impact et retour de contrôle distincts.</x:v>
      </x:c>
      <x:c r="H21" s="9" t="str">
        <x:v>Approche biotique lourde ; anticipation, impact et retour de contrôle distincts.</x:v>
      </x:c>
      <x:c r="I21" s="9" t="str">
        <x:v>Batarien à quatre yeux et armure.</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mea/characters/mp-batarian-vanguard ; rattacher les ressources et états cités à cet identifiant. Aucun fichier de jeu créé par ce catalogue.</x:v>
      </x:c>
      <x:c r="M21" s="9" t="str">
        <x:v>Multijoueur APEX uniquement ; aucun recrutement dans la campagne de Ryder.</x:v>
      </x:c>
      <x:c r="N21" s="9" t="str">
        <x:v>Cette classe apparaît seulement dans le roster multijoueur ; vérifier sauvegarde, équipements et passifs sans modification des six équipiers de campagne.</x:v>
      </x:c>
      <x:c r="O21" s="9" t="str"/>
      <x:c r="P21" s="9" t="str">
        <x:v>Batarian Vanguard</x:v>
      </x:c>
      <x:c r="Q21" s="9" t="str">
        <x:v>MEA-SRC-MP-CHARS</x:v>
      </x:c>
      <x:c r="R21" s="9" t="str">
        <x:v>https://masseffect.fandom.com/wiki/Category%3AMultiplayer_Characters_%28Mass_Effect%3A_Andromeda%29</x:v>
      </x:c>
      <x:c r="S21" s="9" t="str">
        <x:v>Spécification à réaliser. Les champs adaptation, gameplay, visual, animation, audio et implementation décrivent le fan game ; ils ne donnent pas des caractéristiques officielles de l’œuvre.</x:v>
      </x:c>
    </x:row>
  </x:sheetData>
  <x:conditionalFormatting sqref="D7:D21">
    <x:cfRule type="cellIs" dxfId="0" priority="1" operator="equal">
      <x:formula>"À vérifier"</x:formula>
    </x:cfRule>
    <x:cfRule type="cellIs" dxfId="1" priority="2" operator="equal">
      <x:formula>"Extrapolation"</x:formula>
    </x:cfRule>
  </x:conditionalFormatting>
  <x:conditionalFormatting sqref="C7:C21">
    <x:cfRule type="cellIs" dxfId="2" priority="3" operator="equal">
      <x:formula>"Validé"</x:formula>
    </x:cfRule>
  </x:conditionalFormatting>
  <x:conditionalFormatting sqref="E7:E21">
    <x:cfRule type="cellIs" dxfId="3"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9bbcd041ae7a4ed7"/>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6"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Andromeda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MEA-NPC-TWIN</x:v>
      </x:c>
      <x:c r="B7" s="9" t="str">
        <x:v>Jumeau Ryder non choisi</x:v>
      </x:c>
      <x:c r="C7" s="15" t="str">
        <x:v>Défini</x:v>
      </x:c>
      <x:c r="D7" s="16" t="str">
        <x:v>Établi</x:v>
      </x:c>
      <x:c r="E7" s="16" t="str">
        <x:v>P1</x:v>
      </x:c>
      <x:c r="F7" s="9" t="str">
        <x:v>L’autre Ryder intervient dans le récit.</x:v>
      </x:c>
      <x:c r="G7" s="9" t="str">
        <x:v>Un profil d’apparence dérivé du choix initial et des scènes propres ; pas de copie du sprite de combat sans distinction.</x:v>
      </x:c>
      <x:c r="H7" s="9" t="str">
        <x:v>Un profil d’apparence dérivé du choix initial et des scènes propres ; pas de copie du sprite de combat sans distinction.</x:v>
      </x:c>
      <x:c r="I7" s="9" t="str">
        <x:v>Sara ou Scott selon protagoniste.</x:v>
      </x:c>
      <x:c r="J7" s="9" t="str">
        <x:v>Prévoir attente, orientation et réaction au contexte ; conserver les repères décrits dans la silhouette pendant les changements de direction. Les mouvements sont des créations du fan game.</x:v>
      </x:c>
      <x:c r="K7" s="9" t="str">
        <x:v>Créer des bruitages et ambiances originaux adaptés au livrable ; sous-titrer les indices utiles et proposer un réglage indépendant des effets. Aucune extraction audio demandée.</x:v>
      </x:c>
      <x:c r="L7" s="9" t="str">
        <x:v>Prévu : fiche de données mea/npcs/twin ; rattacher les ressources et états cités à cet identifiant. Aucun fichier de jeu créé par ce catalogue.</x:v>
      </x:c>
      <x:c r="M7" s="9" t="str">
        <x:v>Identité opposée au choix joueur.</x:v>
      </x:c>
      <x:c r="N7" s="9" t="str">
        <x:v>Le livrable « Jumeau Ryder non choisi » possède une scène ou un scénario de contrôle ; ses règles proposées, ses conditions et ses retours visuels sont vérifiables séparément.</x:v>
      </x:c>
      <x:c r="O7" s="9" t="str"/>
      <x:c r="P7" s="9" t="str">
        <x:v>Jumeau Ryder non choisi</x:v>
      </x:c>
      <x:c r="Q7" s="9" t="str">
        <x:v>MEA-SRC-GUIDE, MEA-SRC-MERIDIAN</x:v>
      </x:c>
      <x:c r="R7" s="9" t="str">
        <x:v>https://masseffect.fandom.com/wiki/Mass_Effect%3A_Andromeda_Guide
https://masseffect.fandom.com/wiki/Meridian%3A_The_Way_Home</x:v>
      </x:c>
      <x:c r="S7" s="9" t="str">
        <x:v>Spécification à réaliser. Les champs adaptation, gameplay, visual, animation, audio et implementation décrivent le fan game ; ils ne donnent pas des caractéristiques officielles de l’œuvre.</x:v>
      </x:c>
    </x:row>
    <x:row r="8" ht="68" customHeight="1">
      <x:c r="A8" s="19" t="str">
        <x:v>MEA-NPC-SAM</x:v>
      </x:c>
      <x:c r="B8" s="7" t="str">
        <x:v>SAM</x:v>
      </x:c>
      <x:c r="C8" s="15" t="str">
        <x:v>Défini</x:v>
      </x:c>
      <x:c r="D8" s="17" t="str">
        <x:v>Établi</x:v>
      </x:c>
      <x:c r="E8" s="17" t="str">
        <x:v>P1</x:v>
      </x:c>
      <x:c r="F8" s="7" t="str">
        <x:v>IA liée au Pathfinder.</x:v>
      </x:c>
      <x:c r="G8" s="7" t="str">
        <x:v>Canal d’aide et de scanner ; distinguer analyse acquise, hypothèse et conseil, réduire répétitions de dangers connus.</x:v>
      </x:c>
      <x:c r="H8" s="7" t="str">
        <x:v>Canal d’aide et de scanner ; distinguer analyse acquise, hypothèse et conseil, réduire répétitions de dangers connus.</x:v>
      </x:c>
      <x:c r="I8" s="7" t="str">
        <x:v>Interface de voix et terminal SAM.</x:v>
      </x:c>
      <x:c r="J8" s="7" t="str">
        <x:v>Prévoir attente, orientation et réaction au contexte ; conserver les repères décrits dans la silhouette pendant les changements de direction. Les mouvements sont des créations du fan game.</x:v>
      </x:c>
      <x:c r="K8" s="7" t="str">
        <x:v>Créer des bruitages et ambiances originaux adaptés au livrable ; sous-titrer les indices utiles et proposer un réglage indépendant des effets. Aucune extraction audio demandée.</x:v>
      </x:c>
      <x:c r="L8" s="7" t="str">
        <x:v>Prévu : fiche de données mea/npcs/sam ; rattacher les ressources et états cités à cet identifiant. Aucun fichier de jeu créé par ce catalogue.</x:v>
      </x:c>
      <x:c r="M8" s="7" t="str"/>
      <x:c r="N8" s="7" t="str">
        <x:v>Le livrable « SAM » possède une scène ou un scénario de contrôle ; ses règles proposées, ses conditions et ses retours visuels sont vérifiables séparément.</x:v>
      </x:c>
      <x:c r="O8" s="7" t="str"/>
      <x:c r="P8" s="7" t="str">
        <x:v>SAM</x:v>
      </x:c>
      <x:c r="Q8" s="7" t="str">
        <x:v>MEA-SRC-EA-GAME, MEA-SRC-CODEX</x:v>
      </x:c>
      <x:c r="R8" s="7" t="str">
        <x:v>https://www.ea.com/games/mass-effect/mass-effect-andromeda
https://masseffect.fandom.com/wiki/Codex_Entry_Guide_%28Mass_Effect%3A_Andromeda%29</x:v>
      </x:c>
      <x:c r="S8" s="7" t="str">
        <x:v>Spécification à réaliser. Les champs adaptation, gameplay, visual, animation, audio et implementation décrivent le fan game ; ils ne donnent pas des caractéristiques officielles de l’œuvre.</x:v>
      </x:c>
    </x:row>
    <x:row r="9" ht="68" customHeight="1">
      <x:c r="A9" s="18" t="str">
        <x:v>MEA-NPC-LEXI</x:v>
      </x:c>
      <x:c r="B9" s="9" t="str">
        <x:v>Dr Lexi T’Perro</x:v>
      </x:c>
      <x:c r="C9" s="15" t="str">
        <x:v>Défini</x:v>
      </x:c>
      <x:c r="D9" s="16" t="str">
        <x:v>Établi</x:v>
      </x:c>
      <x:c r="E9" s="16" t="str">
        <x:v>P1</x:v>
      </x:c>
      <x:c r="F9" s="9" t="str">
        <x:v>Médecin du Tempest.</x:v>
      </x:c>
      <x:c r="G9" s="9" t="str">
        <x:v>Bilans d’équipage et arc personnel ; dialogue médical séparé de redistribution des compétences.</x:v>
      </x:c>
      <x:c r="H9" s="9" t="str">
        <x:v>Bilans d’équipage et arc personnel ; dialogue médical séparé de redistribution des compétences.</x:v>
      </x:c>
      <x:c r="I9" s="9" t="str">
        <x:v>Asari en tenue médicale et infirmerie.</x:v>
      </x:c>
      <x:c r="J9" s="9" t="str">
        <x:v>Prévoir attente, orientation et réaction au contexte ; conserver les repères décrits dans la silhouette pendant les changements de direction. Les mouvements sont des créations du fan game.</x:v>
      </x:c>
      <x:c r="K9" s="9" t="str">
        <x:v>Créer des bruitages et ambiances originaux adaptés au livrable ; sous-titrer les indices utiles et proposer un réglage indépendant des effets. Aucune extraction audio demandée.</x:v>
      </x:c>
      <x:c r="L9" s="9" t="str">
        <x:v>Prévu : fiche de données mea/npcs/lexi ; rattacher les ressources et états cités à cet identifiant. Aucun fichier de jeu créé par ce catalogue.</x:v>
      </x:c>
      <x:c r="M9" s="9" t="str"/>
      <x:c r="N9" s="9" t="str">
        <x:v>Le livrable « Dr Lexi T’Perro » possède une scène ou un scénario de contrôle ; ses règles proposées, ses conditions et ses retours visuels sont vérifiables séparément.</x:v>
      </x:c>
      <x:c r="O9" s="9" t="str"/>
      <x:c r="P9" s="9" t="str">
        <x:v>Dr Lexi T’Perro</x:v>
      </x:c>
      <x:c r="Q9" s="9" t="str">
        <x:v>MEA-SRC-CHAR</x:v>
      </x:c>
      <x:c r="R9" s="9" t="str">
        <x:v>https://masseffect.fandom.com/wiki/Characters/Mass_Effect%3A_Andromeda</x:v>
      </x:c>
      <x:c r="S9" s="9" t="str">
        <x:v>Spécification à réaliser. Les champs adaptation, gameplay, visual, animation, audio et implementation décrivent le fan game ; ils ne donnent pas des caractéristiques officielles de l’œuvre.</x:v>
      </x:c>
    </x:row>
    <x:row r="10" ht="68" customHeight="1">
      <x:c r="A10" s="19" t="str">
        <x:v>MEA-NPC-KALLO</x:v>
      </x:c>
      <x:c r="B10" s="7" t="str">
        <x:v>Kallo Jath</x:v>
      </x:c>
      <x:c r="C10" s="15" t="str">
        <x:v>Défini</x:v>
      </x:c>
      <x:c r="D10" s="17" t="str">
        <x:v>Établi</x:v>
      </x:c>
      <x:c r="E10" s="17" t="str">
        <x:v>P1</x:v>
      </x:c>
      <x:c r="F10" s="7" t="str">
        <x:v>Pilote du Tempest.</x:v>
      </x:c>
      <x:c r="G10" s="7" t="str">
        <x:v>Transit et souvenirs de construction ; conflit avec Gil stocké comme scènes vues plutôt que score d’hostilité arbitraire.</x:v>
      </x:c>
      <x:c r="H10" s="7" t="str">
        <x:v>Transit et souvenirs de construction ; conflit avec Gil stocké comme scènes vues plutôt que score d’hostilité arbitraire.</x:v>
      </x:c>
      <x:c r="I10" s="7" t="str">
        <x:v>Salarien à la passerelle.</x:v>
      </x:c>
      <x:c r="J10" s="7" t="str">
        <x:v>Prévoir attente, orientation et réaction au contexte ; conserver les repères décrits dans la silhouette pendant les changements de direction. Les mouvements sont des créations du fan game.</x:v>
      </x:c>
      <x:c r="K10" s="7" t="str">
        <x:v>Créer des bruitages et ambiances originaux adaptés au livrable ; sous-titrer les indices utiles et proposer un réglage indépendant des effets. Aucune extraction audio demandée.</x:v>
      </x:c>
      <x:c r="L10" s="7" t="str">
        <x:v>Prévu : fiche de données mea/npcs/kallo ; rattacher les ressources et états cités à cet identifiant. Aucun fichier de jeu créé par ce catalogue.</x:v>
      </x:c>
      <x:c r="M10" s="7" t="str"/>
      <x:c r="N10" s="7" t="str">
        <x:v>Le livrable « Kallo Jath » possède une scène ou un scénario de contrôle ; ses règles proposées, ses conditions et ses retours visuels sont vérifiables séparément.</x:v>
      </x:c>
      <x:c r="O10" s="7" t="str"/>
      <x:c r="P10" s="7" t="str">
        <x:v>Kallo Jath</x:v>
      </x:c>
      <x:c r="Q10" s="7" t="str">
        <x:v>MEA-SRC-CHAR, MEA-SRC-MISSIONS</x:v>
      </x:c>
      <x:c r="R10" s="7" t="str">
        <x:v>https://masseffect.fandom.com/wiki/Characters/Mass_Effect%3A_Andromeda
https://masseffect.fandom.com/wiki/Missions_%28Mass_Effect%3A_Andromeda%29</x:v>
      </x:c>
      <x:c r="S10" s="7" t="str">
        <x:v>Spécification à réaliser. Les champs adaptation, gameplay, visual, animation, audio et implementation décrivent le fan game ; ils ne donnent pas des caractéristiques officielles de l’œuvre.</x:v>
      </x:c>
    </x:row>
    <x:row r="11" ht="68" customHeight="1">
      <x:c r="A11" s="18" t="str">
        <x:v>MEA-NPC-SUVI</x:v>
      </x:c>
      <x:c r="B11" s="9" t="str">
        <x:v>Suvi Anwar</x:v>
      </x:c>
      <x:c r="C11" s="15" t="str">
        <x:v>Défini</x:v>
      </x:c>
      <x:c r="D11" s="16" t="str">
        <x:v>Établi</x:v>
      </x:c>
      <x:c r="E11" s="16" t="str">
        <x:v>P1</x:v>
      </x:c>
      <x:c r="F11" s="9" t="str">
        <x:v>Scientifique du Tempest.</x:v>
      </x:c>
      <x:c r="G11" s="9" t="str">
        <x:v>Rapports d’exploration, conversation personnelle et découverte ; voix de science distincte de SAM.</x:v>
      </x:c>
      <x:c r="H11" s="9" t="str">
        <x:v>Rapports d’exploration, conversation personnelle et découverte ; voix de science distincte de SAM.</x:v>
      </x:c>
      <x:c r="I11" s="9" t="str">
        <x:v>Uniforme de scientifique et console de navigation.</x:v>
      </x:c>
      <x:c r="J11" s="9" t="str">
        <x:v>Prévoir attente, orientation et réaction au contexte ; conserver les repères décrits dans la silhouette pendant les changements de direction. Les mouvements sont des créations du fan game.</x:v>
      </x:c>
      <x:c r="K11" s="9" t="str">
        <x:v>Créer des bruitages et ambiances originaux adaptés au livrable ; sous-titrer les indices utiles et proposer un réglage indépendant des effets. Aucune extraction audio demandée.</x:v>
      </x:c>
      <x:c r="L11" s="9" t="str">
        <x:v>Prévu : fiche de données mea/npcs/suvi ; rattacher les ressources et états cités à cet identifiant. Aucun fichier de jeu créé par ce catalogue.</x:v>
      </x:c>
      <x:c r="M11" s="9" t="str"/>
      <x:c r="N11" s="9" t="str">
        <x:v>Le livrable « Suvi Anwar » possède une scène ou un scénario de contrôle ; ses règles proposées, ses conditions et ses retours visuels sont vérifiables séparément.</x:v>
      </x:c>
      <x:c r="O11" s="9" t="str"/>
      <x:c r="P11" s="9" t="str">
        <x:v>Suvi Anwar</x:v>
      </x:c>
      <x:c r="Q11" s="9" t="str">
        <x:v>MEA-SRC-CHAR, MEA-SRC-MISSIONS</x:v>
      </x:c>
      <x:c r="R11" s="9" t="str">
        <x:v>https://masseffect.fandom.com/wiki/Characters/Mass_Effect%3A_Andromeda
https://masseffect.fandom.com/wiki/Missions_%28Mass_Effect%3A_Andromeda%29</x:v>
      </x:c>
      <x:c r="S11" s="9" t="str">
        <x:v>Spécification à réaliser. Les champs adaptation, gameplay, visual, animation, audio et implementation décrivent le fan game ; ils ne donnent pas des caractéristiques officielles de l’œuvre.</x:v>
      </x:c>
    </x:row>
    <x:row r="12" ht="68" customHeight="1">
      <x:c r="A12" s="19" t="str">
        <x:v>MEA-NPC-GIL</x:v>
      </x:c>
      <x:c r="B12" s="7" t="str">
        <x:v>Gil Brodie</x:v>
      </x:c>
      <x:c r="C12" s="15" t="str">
        <x:v>Défini</x:v>
      </x:c>
      <x:c r="D12" s="17" t="str">
        <x:v>Établi</x:v>
      </x:c>
      <x:c r="E12" s="17" t="str">
        <x:v>P1</x:v>
      </x:c>
      <x:c r="F12" s="7" t="str">
        <x:v>Ingénieur du Tempest.</x:v>
      </x:c>
      <x:c r="G12" s="7" t="str">
        <x:v>Atelier, poker et relations ; ne pas faire du succès à un minijeu une condition canon inventée de son amitié.</x:v>
      </x:c>
      <x:c r="H12" s="7" t="str">
        <x:v>Atelier, poker et relations ; ne pas faire du succès à un minijeu une condition canon inventée de son amitié.</x:v>
      </x:c>
      <x:c r="I12" s="7" t="str">
        <x:v>Tenue d’atelier et salle moteur.</x:v>
      </x:c>
      <x:c r="J12" s="7" t="str">
        <x:v>Prévoir attente, orientation et réaction au contexte ; conserver les repères décrits dans la silhouette pendant les changements de direction. Les mouvements sont des créations du fan game.</x:v>
      </x:c>
      <x:c r="K12" s="7" t="str">
        <x:v>Créer des bruitages et ambiances originaux adaptés au livrable ; sous-titrer les indices utiles et proposer un réglage indépendant des effets. Aucune extraction audio demandée.</x:v>
      </x:c>
      <x:c r="L12" s="7" t="str">
        <x:v>Prévu : fiche de données mea/npcs/gil ; rattacher les ressources et états cités à cet identifiant. Aucun fichier de jeu créé par ce catalogue.</x:v>
      </x:c>
      <x:c r="M12" s="7" t="str"/>
      <x:c r="N12" s="7" t="str">
        <x:v>Le livrable « Gil Brodie » possède une scène ou un scénario de contrôle ; ses règles proposées, ses conditions et ses retours visuels sont vérifiables séparément.</x:v>
      </x:c>
      <x:c r="O12" s="7" t="str"/>
      <x:c r="P12" s="7" t="str">
        <x:v>Gil Brodie</x:v>
      </x:c>
      <x:c r="Q12" s="7" t="str">
        <x:v>MEA-SRC-CHAR, MEA-SRC-MISSIONS</x:v>
      </x:c>
      <x:c r="R12" s="7" t="str">
        <x:v>https://masseffect.fandom.com/wiki/Characters/Mass_Effect%3A_Andromeda
https://masseffect.fandom.com/wiki/Missions_%28Mass_Effect%3A_Andromeda%29</x:v>
      </x:c>
      <x:c r="S12" s="7" t="str">
        <x:v>Spécification à réaliser. Les champs adaptation, gameplay, visual, animation, audio et implementation décrivent le fan game ; ils ne donnent pas des caractéristiques officielles de l’œuvre.</x:v>
      </x:c>
    </x:row>
    <x:row r="13" ht="68" customHeight="1">
      <x:c r="A13" s="18" t="str">
        <x:v>MEA-NPC-JILL</x:v>
      </x:c>
      <x:c r="B13" s="9" t="str">
        <x:v>Jill</x:v>
      </x:c>
      <x:c r="C13" s="15" t="str">
        <x:v>Défini</x:v>
      </x:c>
      <x:c r="D13" s="16" t="str">
        <x:v>Établi</x:v>
      </x:c>
      <x:c r="E13" s="16" t="str">
        <x:v>P1</x:v>
      </x:c>
      <x:c r="F13" s="9" t="str">
        <x:v>Personnage de l’arc de Gil.</x:v>
      </x:c>
      <x:c r="G13" s="9" t="str">
        <x:v>Scènes personnelles et messages contextualisés ; préserver son rôle distinct des décisions de Ryder.</x:v>
      </x:c>
      <x:c r="H13" s="9" t="str">
        <x:v>Scènes personnelles et messages contextualisés ; préserver son rôle distinct des décisions de Ryder.</x:v>
      </x:c>
      <x:c r="I13" s="9" t="str">
        <x:v>Portrait civil et message à bord.</x:v>
      </x:c>
      <x:c r="J13" s="9" t="str">
        <x:v>Prévoir attente, orientation et réaction au contexte ; conserver les repères décrits dans la silhouette pendant les changements de direction. Les mouvements sont des créations du fan game.</x:v>
      </x:c>
      <x:c r="K13" s="9" t="str">
        <x:v>Créer des bruitages et ambiances originaux adaptés au livrable ; sous-titrer les indices utiles et proposer un réglage indépendant des effets. Aucune extraction audio demandée.</x:v>
      </x:c>
      <x:c r="L13" s="9" t="str">
        <x:v>Prévu : fiche de données mea/npcs/jill ; rattacher les ressources et états cités à cet identifiant. Aucun fichier de jeu créé par ce catalogue.</x:v>
      </x:c>
      <x:c r="M13" s="9" t="str"/>
      <x:c r="N13" s="9" t="str">
        <x:v>Le livrable « Jill » possède une scène ou un scénario de contrôle ; ses règles proposées, ses conditions et ses retours visuels sont vérifiables séparément.</x:v>
      </x:c>
      <x:c r="O13" s="9" t="str"/>
      <x:c r="P13" s="9" t="str">
        <x:v>Jill</x:v>
      </x:c>
      <x:c r="Q13" s="9" t="str">
        <x:v>MEA-SRC-CHAR</x:v>
      </x:c>
      <x:c r="R13" s="9" t="str">
        <x:v>https://masseffect.fandom.com/wiki/Characters/Mass_Effect%3A_Andromeda</x:v>
      </x:c>
      <x:c r="S13" s="9" t="str">
        <x:v>Spécification à réaliser. Les champs adaptation, gameplay, visual, animation, audio et implementation décrivent le fan game ; ils ne donnent pas des caractéristiques officielles de l’œuvre.</x:v>
      </x:c>
    </x:row>
    <x:row r="14" ht="68" customHeight="1">
      <x:c r="A14" s="19" t="str">
        <x:v>MEA-NPC-TANN</x:v>
      </x:c>
      <x:c r="B14" s="7" t="str">
        <x:v>Jarun Tann</x:v>
      </x:c>
      <x:c r="C14" s="15" t="str">
        <x:v>Défini</x:v>
      </x:c>
      <x:c r="D14" s="17" t="str">
        <x:v>Établi</x:v>
      </x:c>
      <x:c r="E14" s="17" t="str">
        <x:v>P1</x:v>
      </x:c>
      <x:c r="F14" s="7" t="str">
        <x:v>Dirigeant du Nexus.</x:v>
      </x:c>
      <x:c r="G14" s="7" t="str">
        <x:v>Briefings d’implantation et décisions politiques ; options de rapport ne valent pas automatiquement approbation.</x:v>
      </x:c>
      <x:c r="H14" s="7" t="str">
        <x:v>Briefings d’implantation et décisions politiques ; options de rapport ne valent pas automatiquement approbation.</x:v>
      </x:c>
      <x:c r="I14" s="7" t="str">
        <x:v>Salarien en tenue de direction.</x:v>
      </x:c>
      <x:c r="J14" s="7" t="str">
        <x:v>Prévoir attente, orientation et réaction au contexte ; conserver les repères décrits dans la silhouette pendant les changements de direction. Les mouvements sont des créations du fan game.</x:v>
      </x:c>
      <x:c r="K14" s="7" t="str">
        <x:v>Créer des bruitages et ambiances originaux adaptés au livrable ; sous-titrer les indices utiles et proposer un réglage indépendant des effets. Aucune extraction audio demandée.</x:v>
      </x:c>
      <x:c r="L14" s="7" t="str">
        <x:v>Prévu : fiche de données mea/npcs/tann ; rattacher les ressources et états cités à cet identifiant. Aucun fichier de jeu créé par ce catalogue.</x:v>
      </x:c>
      <x:c r="M14" s="7" t="str"/>
      <x:c r="N14" s="7" t="str">
        <x:v>Le livrable « Jarun Tann » possède une scène ou un scénario de contrôle ; ses règles proposées, ses conditions et ses retours visuels sont vérifiables séparément.</x:v>
      </x:c>
      <x:c r="O14" s="7" t="str"/>
      <x:c r="P14" s="7" t="str">
        <x:v>Jarun Tann</x:v>
      </x:c>
      <x:c r="Q14" s="7" t="str">
        <x:v>MEA-SRC-CHAR, MEA-SRC-MISSIONS</x:v>
      </x:c>
      <x:c r="R14" s="7" t="str">
        <x:v>https://masseffect.fandom.com/wiki/Characters/Mass_Effect%3A_Andromeda
https://masseffect.fandom.com/wiki/Missions_%28Mass_Effect%3A_Andromeda%29</x:v>
      </x:c>
      <x:c r="S14" s="7" t="str">
        <x:v>Spécification à réaliser. Les champs adaptation, gameplay, visual, animation, audio et implementation décrivent le fan game ; ils ne donnent pas des caractéristiques officielles de l’œuvre.</x:v>
      </x:c>
    </x:row>
    <x:row r="15" ht="68" customHeight="1">
      <x:c r="A15" s="18" t="str">
        <x:v>MEA-NPC-ADDISON</x:v>
      </x:c>
      <x:c r="B15" s="9" t="str">
        <x:v>Foster Addison</x:v>
      </x:c>
      <x:c r="C15" s="15" t="str">
        <x:v>Défini</x:v>
      </x:c>
      <x:c r="D15" s="16" t="str">
        <x:v>Établi</x:v>
      </x:c>
      <x:c r="E15" s="16" t="str">
        <x:v>P1</x:v>
      </x:c>
      <x:c r="F15" s="9" t="str">
        <x:v>Responsable coloniale du Nexus.</x:v>
      </x:c>
      <x:c r="G15" s="9" t="str">
        <x:v>Suivi des avant-postes et dossiers de personnel ; messages de progrès liés aux implantations réelles.</x:v>
      </x:c>
      <x:c r="H15" s="9" t="str">
        <x:v>Suivi des avant-postes et dossiers de personnel ; messages de progrès liés aux implantations réelles.</x:v>
      </x:c>
      <x:c r="I15" s="9" t="str">
        <x:v>Tenue administrative et bureau du Nexus.</x:v>
      </x:c>
      <x:c r="J15" s="9" t="str">
        <x:v>Prévoir attente, orientation et réaction au contexte ; conserver les repères décrits dans la silhouette pendant les changements de direction. Les mouvements sont des créations du fan game.</x:v>
      </x:c>
      <x:c r="K15" s="9" t="str">
        <x:v>Créer des bruitages et ambiances originaux adaptés au livrable ; sous-titrer les indices utiles et proposer un réglage indépendant des effets. Aucune extraction audio demandée.</x:v>
      </x:c>
      <x:c r="L15" s="9" t="str">
        <x:v>Prévu : fiche de données mea/npcs/addison ; rattacher les ressources et états cités à cet identifiant. Aucun fichier de jeu créé par ce catalogue.</x:v>
      </x:c>
      <x:c r="M15" s="9" t="str"/>
      <x:c r="N15" s="9" t="str">
        <x:v>Le livrable « Foster Addison » possède une scène ou un scénario de contrôle ; ses règles proposées, ses conditions et ses retours visuels sont vérifiables séparément.</x:v>
      </x:c>
      <x:c r="O15" s="9" t="str"/>
      <x:c r="P15" s="9" t="str">
        <x:v>Foster Addison</x:v>
      </x:c>
      <x:c r="Q15" s="9" t="str">
        <x:v>MEA-SRC-CHAR</x:v>
      </x:c>
      <x:c r="R15" s="9" t="str">
        <x:v>https://masseffect.fandom.com/wiki/Characters/Mass_Effect%3A_Andromeda</x:v>
      </x:c>
      <x:c r="S15" s="9" t="str">
        <x:v>Spécification à réaliser. Les champs adaptation, gameplay, visual, animation, audio et implementation décrivent le fan game ; ils ne donnent pas des caractéristiques officielles de l’œuvre.</x:v>
      </x:c>
    </x:row>
    <x:row r="16" ht="68" customHeight="1">
      <x:c r="A16" s="19" t="str">
        <x:v>MEA-NPC-KANDROS</x:v>
      </x:c>
      <x:c r="B16" s="7" t="str">
        <x:v>Tiran Kandros</x:v>
      </x:c>
      <x:c r="C16" s="15" t="str">
        <x:v>Défini</x:v>
      </x:c>
      <x:c r="D16" s="17" t="str">
        <x:v>Établi</x:v>
      </x:c>
      <x:c r="E16" s="17" t="str">
        <x:v>P1</x:v>
      </x:c>
      <x:c r="F16" s="7" t="str">
        <x:v>Responsable militaire du Nexus.</x:v>
      </x:c>
      <x:c r="G16" s="7" t="str">
        <x:v>APEX, sécurité et pistes d’arche turienne ; mission multi facultative clairement signalée.</x:v>
      </x:c>
      <x:c r="H16" s="7" t="str">
        <x:v>APEX, sécurité et pistes d’arche turienne ; mission multi facultative clairement signalée.</x:v>
      </x:c>
      <x:c r="I16" s="7" t="str">
        <x:v>Turien en uniforme de milice.</x:v>
      </x:c>
      <x:c r="J16" s="7" t="str">
        <x:v>Prévoir attente, orientation et réaction au contexte ; conserver les repères décrits dans la silhouette pendant les changements de direction. Les mouvements sont des créations du fan game.</x:v>
      </x:c>
      <x:c r="K16" s="7" t="str">
        <x:v>Créer des bruitages et ambiances originaux adaptés au livrable ; sous-titrer les indices utiles et proposer un réglage indépendant des effets. Aucune extraction audio demandée.</x:v>
      </x:c>
      <x:c r="L16" s="7" t="str">
        <x:v>Prévu : fiche de données mea/npcs/kandros ; rattacher les ressources et états cités à cet identifiant. Aucun fichier de jeu créé par ce catalogue.</x:v>
      </x:c>
      <x:c r="M16" s="7" t="str"/>
      <x:c r="N16" s="7" t="str">
        <x:v>Le livrable « Tiran Kandros » possède une scène ou un scénario de contrôle ; ses règles proposées, ses conditions et ses retours visuels sont vérifiables séparément.</x:v>
      </x:c>
      <x:c r="O16" s="7" t="str"/>
      <x:c r="P16" s="7" t="str">
        <x:v>Tiran Kandros</x:v>
      </x:c>
      <x:c r="Q16" s="7" t="str">
        <x:v>MEA-SRC-CHAR, MEA-SRC-MISSING-ARKS</x:v>
      </x:c>
      <x:c r="R16" s="7" t="str">
        <x:v>https://masseffect.fandom.com/wiki/Characters/Mass_Effect%3A_Andromeda
https://masseffect.fandom.com/wiki/Missing_Arks</x:v>
      </x:c>
      <x:c r="S16" s="7" t="str">
        <x:v>Spécification à réaliser. Les champs adaptation, gameplay, visual, animation, audio et implementation décrivent le fan game ; ils ne donnent pas des caractéristiques officielles de l’œuvre.</x:v>
      </x:c>
    </x:row>
    <x:row r="17" ht="68" customHeight="1">
      <x:c r="A17" s="18" t="str">
        <x:v>MEA-NPC-KESH</x:v>
      </x:c>
      <x:c r="B17" s="9" t="str">
        <x:v>Nakmor Kesh</x:v>
      </x:c>
      <x:c r="C17" s="15" t="str">
        <x:v>Défini</x:v>
      </x:c>
      <x:c r="D17" s="16" t="str">
        <x:v>Établi</x:v>
      </x:c>
      <x:c r="E17" s="16" t="str">
        <x:v>P1</x:v>
      </x:c>
      <x:c r="F17" s="9" t="str">
        <x:v>Responsable technique du Nexus.</x:v>
      </x:c>
      <x:c r="G17" s="9" t="str">
        <x:v>Réparations et liens krogan ; arc de Drack et demandes personnelles ne se remplacent pas par une simple quête de ressources.</x:v>
      </x:c>
      <x:c r="H17" s="9" t="str">
        <x:v>Réparations et liens krogan ; arc de Drack et demandes personnelles ne se remplacent pas par une simple quête de ressources.</x:v>
      </x:c>
      <x:c r="I17" s="9" t="str">
        <x:v>Krogan à l’atelier du Nexus.</x:v>
      </x:c>
      <x:c r="J17" s="9" t="str">
        <x:v>Prévoir attente, orientation et réaction au contexte ; conserver les repères décrits dans la silhouette pendant les changements de direction. Les mouvements sont des créations du fan game.</x:v>
      </x:c>
      <x:c r="K17" s="9" t="str">
        <x:v>Créer des bruitages et ambiances originaux adaptés au livrable ; sous-titrer les indices utiles et proposer un réglage indépendant des effets. Aucune extraction audio demandée.</x:v>
      </x:c>
      <x:c r="L17" s="9" t="str">
        <x:v>Prévu : fiche de données mea/npcs/kesh ; rattacher les ressources et états cités à cet identifiant. Aucun fichier de jeu créé par ce catalogue.</x:v>
      </x:c>
      <x:c r="M17" s="9" t="str"/>
      <x:c r="N17" s="9" t="str">
        <x:v>Le livrable « Nakmor Kesh » possède une scène ou un scénario de contrôle ; ses règles proposées, ses conditions et ses retours visuels sont vérifiables séparément.</x:v>
      </x:c>
      <x:c r="O17" s="9" t="str"/>
      <x:c r="P17" s="9" t="str">
        <x:v>Nakmor Kesh</x:v>
      </x:c>
      <x:c r="Q17" s="9" t="str">
        <x:v>MEA-SRC-CHAR</x:v>
      </x:c>
      <x:c r="R17" s="9" t="str">
        <x:v>https://masseffect.fandom.com/wiki/Characters/Mass_Effect%3A_Andromeda</x:v>
      </x:c>
      <x:c r="S17" s="9" t="str">
        <x:v>Spécification à réaliser. Les champs adaptation, gameplay, visual, animation, audio et implementation décrivent le fan game ; ils ne donnent pas des caractéristiques officielles de l’œuvre.</x:v>
      </x:c>
    </x:row>
    <x:row r="18" ht="68" customHeight="1">
      <x:c r="A18" s="19" t="str">
        <x:v>MEA-NPC-DUNN</x:v>
      </x:c>
      <x:c r="B18" s="7" t="str">
        <x:v>Nozomi Dunn</x:v>
      </x:c>
      <x:c r="C18" s="15" t="str">
        <x:v>Défini</x:v>
      </x:c>
      <x:c r="D18" s="17" t="str">
        <x:v>Établi</x:v>
      </x:c>
      <x:c r="E18" s="17" t="str">
        <x:v>P1</x:v>
      </x:c>
      <x:c r="F18" s="7" t="str">
        <x:v>Capitaine de l’Hyperion.</x:v>
      </x:c>
      <x:c r="G18" s="7" t="str">
        <x:v>Commandement de l’arche puis scène de final ; présence d’autres Pionniers vérifiée pour les variantes de sauvetage.</x:v>
      </x:c>
      <x:c r="H18" s="7" t="str">
        <x:v>Commandement de l’arche puis scène de final ; présence d’autres Pionniers vérifiée pour les variantes de sauvetage.</x:v>
      </x:c>
      <x:c r="I18" s="7" t="str">
        <x:v>Uniforme de capitaine et passerelle.</x:v>
      </x:c>
      <x:c r="J18" s="7" t="str">
        <x:v>Prévoir attente, orientation et réaction au contexte ; conserver les repères décrits dans la silhouette pendant les changements de direction. Les mouvements sont des créations du fan game.</x:v>
      </x:c>
      <x:c r="K18" s="7" t="str">
        <x:v>Créer des bruitages et ambiances originaux adaptés au livrable ; sous-titrer les indices utiles et proposer un réglage indépendant des effets. Aucune extraction audio demandée.</x:v>
      </x:c>
      <x:c r="L18" s="7" t="str">
        <x:v>Prévu : fiche de données mea/npcs/dunn ; rattacher les ressources et états cités à cet identifiant. Aucun fichier de jeu créé par ce catalogue.</x:v>
      </x:c>
      <x:c r="M18" s="7" t="str"/>
      <x:c r="N18" s="7" t="str">
        <x:v>Le livrable « Nozomi Dunn » possède une scène ou un scénario de contrôle ; ses règles proposées, ses conditions et ses retours visuels sont vérifiables séparément.</x:v>
      </x:c>
      <x:c r="O18" s="7" t="str"/>
      <x:c r="P18" s="7" t="str">
        <x:v>Nozomi Dunn</x:v>
      </x:c>
      <x:c r="Q18" s="7" t="str">
        <x:v>MEA-SRC-MERIDIAN, MEA-SRC-EPILOGUE</x:v>
      </x:c>
      <x:c r="R18" s="7" t="str">
        <x:v>https://masseffect.fandom.com/wiki/Meridian%3A_The_Way_Home
https://masseffect.fandom.com/wiki/Epilogue%3A_Home_and_Away</x:v>
      </x:c>
      <x:c r="S18" s="7" t="str">
        <x:v>Spécification à réaliser. Les champs adaptation, gameplay, visual, animation, audio et implementation décrivent le fan game ; ils ne donnent pas des caractéristiques officielles de l’œuvre.</x:v>
      </x:c>
    </x:row>
    <x:row r="19" ht="68" customHeight="1">
      <x:c r="A19" s="18" t="str">
        <x:v>MEA-NPC-HARRY</x:v>
      </x:c>
      <x:c r="B19" s="9" t="str">
        <x:v>Harry Carlyle</x:v>
      </x:c>
      <x:c r="C19" s="15" t="str">
        <x:v>Défini</x:v>
      </x:c>
      <x:c r="D19" s="16" t="str">
        <x:v>Établi</x:v>
      </x:c>
      <x:c r="E19" s="16" t="str">
        <x:v>P1</x:v>
      </x:c>
      <x:c r="F19" s="9" t="str">
        <x:v>Médecin de l’Hyperion.</x:v>
      </x:c>
      <x:c r="G19" s="9" t="str">
        <x:v>Tutoriel de réveil et suivi du jumeau ; examens conduisent aux scènes de famille, jamais à une statistique de diagnostic inventée.</x:v>
      </x:c>
      <x:c r="H19" s="9" t="str">
        <x:v>Tutoriel de réveil et suivi du jumeau ; examens conduisent aux scènes de famille, jamais à une statistique de diagnostic inventée.</x:v>
      </x:c>
      <x:c r="I19" s="9" t="str">
        <x:v>Blouse et salle de cryostase.</x:v>
      </x:c>
      <x:c r="J19" s="9" t="str">
        <x:v>Prévoir attente, orientation et réaction au contexte ; conserver les repères décrits dans la silhouette pendant les changements de direction. Les mouvements sont des créations du fan game.</x:v>
      </x:c>
      <x:c r="K19" s="9" t="str">
        <x:v>Créer des bruitages et ambiances originaux adaptés au livrable ; sous-titrer les indices utiles et proposer un réglage indépendant des effets. Aucune extraction audio demandée.</x:v>
      </x:c>
      <x:c r="L19" s="9" t="str">
        <x:v>Prévu : fiche de données mea/npcs/harry ; rattacher les ressources et états cités à cet identifiant. Aucun fichier de jeu créé par ce catalogue.</x:v>
      </x:c>
      <x:c r="M19" s="9" t="str"/>
      <x:c r="N19" s="9" t="str">
        <x:v>Le livrable « Harry Carlyle » possède une scène ou un scénario de contrôle ; ses règles proposées, ses conditions et ses retours visuels sont vérifiables séparément.</x:v>
      </x:c>
      <x:c r="O19" s="9" t="str"/>
      <x:c r="P19" s="9" t="str">
        <x:v>Harry Carlyle</x:v>
      </x:c>
      <x:c r="Q19" s="9" t="str">
        <x:v>MEA-SRC-CHAR</x:v>
      </x:c>
      <x:c r="R19" s="9" t="str">
        <x:v>https://masseffect.fandom.com/wiki/Characters/Mass_Effect%3A_Andromeda</x:v>
      </x:c>
      <x:c r="S19" s="9" t="str">
        <x:v>Spécification à réaliser. Les champs adaptation, gameplay, visual, animation, audio et implementation décrivent le fan game ; ils ne donnent pas des caractéristiques officielles de l’œuvre.</x:v>
      </x:c>
    </x:row>
    <x:row r="20" ht="68" customHeight="1">
      <x:c r="A20" s="19" t="str">
        <x:v>MEA-NPC-FISHER</x:v>
      </x:c>
      <x:c r="B20" s="7" t="str">
        <x:v>Fisher</x:v>
      </x:c>
      <x:c r="C20" s="15" t="str">
        <x:v>Défini</x:v>
      </x:c>
      <x:c r="D20" s="17" t="str">
        <x:v>Établi</x:v>
      </x:c>
      <x:c r="E20" s="17" t="str">
        <x:v>P1</x:v>
      </x:c>
      <x:c r="F20" s="7" t="str">
        <x:v>Membre de l’équipe de Habitat 7.</x:v>
      </x:c>
      <x:c r="G20" s="7" t="str">
        <x:v>PNJ de secours de prologue ; son marqueur blessé reste visible derrière les rochers.</x:v>
      </x:c>
      <x:c r="H20" s="7" t="str">
        <x:v>PNJ de secours de prologue ; son marqueur blessé reste visible derrière les rochers.</x:v>
      </x:c>
      <x:c r="I20" s="7" t="str">
        <x:v>Tenue de reconnaissance et blessure.</x:v>
      </x:c>
      <x:c r="J20" s="7" t="str">
        <x:v>Prévoir attente, orientation et réaction au contexte ; conserver les repères décrits dans la silhouette pendant les changements de direction. Les mouvements sont des créations du fan game.</x:v>
      </x:c>
      <x:c r="K20" s="7" t="str">
        <x:v>Créer des bruitages et ambiances originaux adaptés au livrable ; sous-titrer les indices utiles et proposer un réglage indépendant des effets. Aucune extraction audio demandée.</x:v>
      </x:c>
      <x:c r="L20" s="7" t="str">
        <x:v>Prévu : fiche de données mea/npcs/fisher ; rattacher les ressources et états cités à cet identifiant. Aucun fichier de jeu créé par ce catalogue.</x:v>
      </x:c>
      <x:c r="M20" s="7" t="str">
        <x:v>Habitat 7.</x:v>
      </x:c>
      <x:c r="N20" s="7" t="str">
        <x:v>Le livrable « Fisher » possède une scène ou un scénario de contrôle ; ses règles proposées, ses conditions et ses retours visuels sont vérifiables séparément.</x:v>
      </x:c>
      <x:c r="O20" s="7" t="str"/>
      <x:c r="P20" s="7" t="str">
        <x:v>Fisher</x:v>
      </x:c>
      <x:c r="Q20" s="7" t="str">
        <x:v>MEA-SRC-CHAR, MEA-SRC-GUIDE</x:v>
      </x:c>
      <x:c r="R20" s="7" t="str">
        <x:v>https://masseffect.fandom.com/wiki/Characters/Mass_Effect%3A_Andromeda
https://masseffect.fandom.com/wiki/Mass_Effect%3A_Andromeda_Guide</x:v>
      </x:c>
      <x:c r="S20" s="7" t="str">
        <x:v>Spécification à réaliser. Les champs adaptation, gameplay, visual, animation, audio et implementation décrivent le fan game ; ils ne donnent pas des caractéristiques officielles de l’œuvre.</x:v>
      </x:c>
    </x:row>
    <x:row r="21" ht="68" customHeight="1">
      <x:c r="A21" s="18" t="str">
        <x:v>MEA-NPC-GREER</x:v>
      </x:c>
      <x:c r="B21" s="9" t="str">
        <x:v>Greer</x:v>
      </x:c>
      <x:c r="C21" s="15" t="str">
        <x:v>Défini</x:v>
      </x:c>
      <x:c r="D21" s="16" t="str">
        <x:v>Établi</x:v>
      </x:c>
      <x:c r="E21" s="16" t="str">
        <x:v>P1</x:v>
      </x:c>
      <x:c r="F21" s="9" t="str">
        <x:v>Membre de l’équipe de Habitat 7.</x:v>
      </x:c>
      <x:c r="G21" s="9" t="str">
        <x:v>Branche de recherche et secours facultative ; journal distingue trouvé, secouru et extraction.</x:v>
      </x:c>
      <x:c r="H21" s="9" t="str">
        <x:v>Branche de recherche et secours facultative ; journal distingue trouvé, secouru et extraction.</x:v>
      </x:c>
      <x:c r="I21" s="9" t="str">
        <x:v>Armure d’équipe de Pionnier.</x:v>
      </x:c>
      <x:c r="J21" s="9" t="str">
        <x:v>Prévoir attente, orientation et réaction au contexte ; conserver les repères décrits dans la silhouette pendant les changements de direction. Les mouvements sont des créations du fan game.</x:v>
      </x:c>
      <x:c r="K21" s="9" t="str">
        <x:v>Créer des bruitages et ambiances originaux adaptés au livrable ; sous-titrer les indices utiles et proposer un réglage indépendant des effets. Aucune extraction audio demandée.</x:v>
      </x:c>
      <x:c r="L21" s="9" t="str">
        <x:v>Prévu : fiche de données mea/npcs/greer ; rattacher les ressources et états cités à cet identifiant. Aucun fichier de jeu créé par ce catalogue.</x:v>
      </x:c>
      <x:c r="M21" s="9" t="str">
        <x:v>Habitat 7.</x:v>
      </x:c>
      <x:c r="N21" s="9" t="str">
        <x:v>Le livrable « Greer » possède une scène ou un scénario de contrôle ; ses règles proposées, ses conditions et ses retours visuels sont vérifiables séparément.</x:v>
      </x:c>
      <x:c r="O21" s="9" t="str"/>
      <x:c r="P21" s="9" t="str">
        <x:v>Greer</x:v>
      </x:c>
      <x:c r="Q21" s="9" t="str">
        <x:v>MEA-SRC-CHAR, MEA-SRC-GUIDE</x:v>
      </x:c>
      <x:c r="R21" s="9" t="str">
        <x:v>https://masseffect.fandom.com/wiki/Characters/Mass_Effect%3A_Andromeda
https://masseffect.fandom.com/wiki/Mass_Effect%3A_Andromeda_Guide</x:v>
      </x:c>
      <x:c r="S21" s="9" t="str">
        <x:v>Spécification à réaliser. Les champs adaptation, gameplay, visual, animation, audio et implementation décrivent le fan game ; ils ne donnent pas des caractéristiques officielles de l’œuvre.</x:v>
      </x:c>
    </x:row>
    <x:row r="22" ht="68" customHeight="1">
      <x:c r="A22" s="19" t="str">
        <x:v>MEA-NPC-KIRKLAND</x:v>
      </x:c>
      <x:c r="B22" s="7" t="str">
        <x:v>Kirkland</x:v>
      </x:c>
      <x:c r="C22" s="15" t="str">
        <x:v>Défini</x:v>
      </x:c>
      <x:c r="D22" s="17" t="str">
        <x:v>Établi</x:v>
      </x:c>
      <x:c r="E22" s="17" t="str">
        <x:v>P1</x:v>
      </x:c>
      <x:c r="F22" s="7" t="str">
        <x:v>Membre de l’équipe du prologue.</x:v>
      </x:c>
      <x:c r="G22" s="7" t="str">
        <x:v>Scène du premier contact hostile avec conséquence narrative ; ne pas proposer un sauvetage sans preuve.</x:v>
      </x:c>
      <x:c r="H22" s="7" t="str">
        <x:v>Scène du premier contact hostile avec conséquence narrative ; ne pas proposer un sauvetage sans preuve.</x:v>
      </x:c>
      <x:c r="I22" s="7" t="str">
        <x:v>Armure de reconnaissance.</x:v>
      </x:c>
      <x:c r="J22" s="7" t="str">
        <x:v>Prévoir attente, orientation et réaction au contexte ; conserver les repères décrits dans la silhouette pendant les changements de direction. Les mouvements sont des créations du fan game.</x:v>
      </x:c>
      <x:c r="K22" s="7" t="str">
        <x:v>Créer des bruitages et ambiances originaux adaptés au livrable ; sous-titrer les indices utiles et proposer un réglage indépendant des effets. Aucune extraction audio demandée.</x:v>
      </x:c>
      <x:c r="L22" s="7" t="str">
        <x:v>Prévu : fiche de données mea/npcs/kirkland ; rattacher les ressources et états cités à cet identifiant. Aucun fichier de jeu créé par ce catalogue.</x:v>
      </x:c>
      <x:c r="M22" s="7" t="str">
        <x:v>Habitat 7.</x:v>
      </x:c>
      <x:c r="N22" s="7" t="str">
        <x:v>Le livrable « Kirkland » possède une scène ou un scénario de contrôle ; ses règles proposées, ses conditions et ses retours visuels sont vérifiables séparément.</x:v>
      </x:c>
      <x:c r="O22" s="7" t="str"/>
      <x:c r="P22" s="7" t="str">
        <x:v>Kirkland</x:v>
      </x:c>
      <x:c r="Q22" s="7" t="str">
        <x:v>MEA-SRC-CHAR, MEA-SRC-GUIDE</x:v>
      </x:c>
      <x:c r="R22" s="7" t="str">
        <x:v>https://masseffect.fandom.com/wiki/Characters/Mass_Effect%3A_Andromeda
https://masseffect.fandom.com/wiki/Mass_Effect%3A_Andromeda_Guide</x:v>
      </x:c>
      <x:c r="S22" s="7" t="str">
        <x:v>Spécification à réaliser. Les champs adaptation, gameplay, visual, animation, audio et implementation décrivent le fan game ; ils ne donnent pas des caractéristiques officielles de l’œuvre.</x:v>
      </x:c>
    </x:row>
    <x:row r="23" ht="68" customHeight="1">
      <x:c r="A23" s="18" t="str">
        <x:v>MEA-NPC-ELLEN</x:v>
      </x:c>
      <x:c r="B23" s="9" t="str">
        <x:v>Ellen Ryder</x:v>
      </x:c>
      <x:c r="C23" s="15" t="str">
        <x:v>Défini</x:v>
      </x:c>
      <x:c r="D23" s="16" t="str">
        <x:v>Établi</x:v>
      </x:c>
      <x:c r="E23" s="16" t="str">
        <x:v>P1</x:v>
      </x:c>
      <x:c r="F23" s="9" t="str">
        <x:v>Mère des jumeaux.</x:v>
      </x:c>
      <x:c r="G23" s="9" t="str">
        <x:v>Présence par souvenirs et révélations familiales ; informations verrouillées par progression de SAM.</x:v>
      </x:c>
      <x:c r="H23" s="9" t="str">
        <x:v>Présence par souvenirs et révélations familiales ; informations verrouillées par progression de SAM.</x:v>
      </x:c>
      <x:c r="I23" s="9" t="str">
        <x:v>Portrait familial et cryostase selon révélation.</x:v>
      </x:c>
      <x:c r="J23" s="9" t="str">
        <x:v>Prévoir attente, orientation et réaction au contexte ; conserver les repères décrits dans la silhouette pendant les changements de direction. Les mouvements sont des créations du fan game.</x:v>
      </x:c>
      <x:c r="K23" s="9" t="str">
        <x:v>Créer des bruitages et ambiances originaux adaptés au livrable ; sous-titrer les indices utiles et proposer un réglage indépendant des effets. Aucune extraction audio demandée.</x:v>
      </x:c>
      <x:c r="L23" s="9" t="str">
        <x:v>Prévu : fiche de données mea/npcs/ellen ; rattacher les ressources et états cités à cet identifiant. Aucun fichier de jeu créé par ce catalogue.</x:v>
      </x:c>
      <x:c r="M23" s="9" t="str">
        <x:v>Arc familial, spoilers.</x:v>
      </x:c>
      <x:c r="N23" s="9" t="str">
        <x:v>Le livrable « Ellen Ryder » possède une scène ou un scénario de contrôle ; ses règles proposées, ses conditions et ses retours visuels sont vérifiables séparément.</x:v>
      </x:c>
      <x:c r="O23" s="9" t="str"/>
      <x:c r="P23" s="9" t="str">
        <x:v>Ellen Ryder</x:v>
      </x:c>
      <x:c r="Q23" s="9" t="str">
        <x:v>MEA-SRC-FAMILY</x:v>
      </x:c>
      <x:c r="R23" s="9" t="str">
        <x:v>https://masseffect.fandom.com/wiki/Ryder_Family_Secrets</x:v>
      </x:c>
      <x:c r="S23" s="9" t="str">
        <x:v>Spécification à réaliser. Les champs adaptation, gameplay, visual, animation, audio et implementation décrivent le fan game ; ils ne donnent pas des caractéristiques officielles de l’œuvre.</x:v>
      </x:c>
    </x:row>
    <x:row r="24" ht="68" customHeight="1">
      <x:c r="A24" s="19" t="str">
        <x:v>MEA-NPC-GARSON</x:v>
      </x:c>
      <x:c r="B24" s="7" t="str">
        <x:v>Jien Garson</x:v>
      </x:c>
      <x:c r="C24" s="15" t="str">
        <x:v>Défini</x:v>
      </x:c>
      <x:c r="D24" s="17" t="str">
        <x:v>Établi</x:v>
      </x:c>
      <x:c r="E24" s="17" t="str">
        <x:v>P1</x:v>
      </x:c>
      <x:c r="F24" s="7" t="str">
        <x:v>Fondatrice de l’Initiative.</x:v>
      </x:c>
      <x:c r="G24" s="7" t="str">
        <x:v>Documents et enquête de mémoire ; ne pas présenter son apparition comme PNJ vivant au Nexus.</x:v>
      </x:c>
      <x:c r="H24" s="7" t="str">
        <x:v>Documents et enquête de mémoire ; ne pas présenter son apparition comme PNJ vivant au Nexus.</x:v>
      </x:c>
      <x:c r="I24" s="7" t="str">
        <x:v>Enregistrements et portrait officiel.</x:v>
      </x:c>
      <x:c r="J24" s="7" t="str">
        <x:v>Prévoir attente, orientation et réaction au contexte ; conserver les repères décrits dans la silhouette pendant les changements de direction. Les mouvements sont des créations du fan game.</x:v>
      </x:c>
      <x:c r="K24" s="7" t="str">
        <x:v>Créer des bruitages et ambiances originaux adaptés au livrable ; sous-titrer les indices utiles et proposer un réglage indépendant des effets. Aucune extraction audio demandée.</x:v>
      </x:c>
      <x:c r="L24" s="7" t="str">
        <x:v>Prévu : fiche de données mea/npcs/garson ; rattacher les ressources et états cités à cet identifiant. Aucun fichier de jeu créé par ce catalogue.</x:v>
      </x:c>
      <x:c r="M24" s="7" t="str">
        <x:v>Souvenirs / enquête.</x:v>
      </x:c>
      <x:c r="N24" s="7" t="str">
        <x:v>Le livrable « Jien Garson » possède une scène ou un scénario de contrôle ; ses règles proposées, ses conditions et ses retours visuels sont vérifiables séparément.</x:v>
      </x:c>
      <x:c r="O24" s="7" t="str"/>
      <x:c r="P24" s="7" t="str">
        <x:v>Jien Garson</x:v>
      </x:c>
      <x:c r="Q24" s="7" t="str">
        <x:v>MEA-SRC-CHAR, MEA-SRC-CODEX</x:v>
      </x:c>
      <x:c r="R24" s="7" t="str">
        <x:v>https://masseffect.fandom.com/wiki/Characters/Mass_Effect%3A_Andromeda
https://masseffect.fandom.com/wiki/Codex_Entry_Guide_%28Mass_Effect%3A_Andromeda%29</x:v>
      </x:c>
      <x:c r="S24" s="7" t="str">
        <x:v>Spécification à réaliser. Les champs adaptation, gameplay, visual, animation, audio et implementation décrivent le fan game ; ils ne donnent pas des caractéristiques officielles de l’œuvre.</x:v>
      </x:c>
    </x:row>
    <x:row r="25" ht="68" customHeight="1">
      <x:c r="A25" s="18" t="str">
        <x:v>MEA-NPC-BENEFACTOR</x:v>
      </x:c>
      <x:c r="B25" s="9" t="str">
        <x:v>Bienfaiteur non identifié</x:v>
      </x:c>
      <x:c r="C25" s="15" t="str">
        <x:v>Défini</x:v>
      </x:c>
      <x:c r="D25" s="16" t="str">
        <x:v>Établi</x:v>
      </x:c>
      <x:c r="E25" s="16" t="str">
        <x:v>P1</x:v>
      </x:c>
      <x:c r="F25" s="9" t="str">
        <x:v>Une figure mystérieuse finance l’Initiative.</x:v>
      </x:c>
      <x:c r="G25" s="9" t="str">
        <x:v>Dossier de pistes sans identité inventée ; statut inconnu conservé à la fin de l’œuvre.</x:v>
      </x:c>
      <x:c r="H25" s="9" t="str">
        <x:v>Dossier de pistes sans identité inventée ; statut inconnu conservé à la fin de l’œuvre.</x:v>
      </x:c>
      <x:c r="I25" s="9" t="str">
        <x:v>Communication masquée et documents.</x:v>
      </x:c>
      <x:c r="J25" s="9" t="str">
        <x:v>Prévoir attente, orientation et réaction au contexte ; conserver les repères décrits dans la silhouette pendant les changements de direction. Les mouvements sont des créations du fan game.</x:v>
      </x:c>
      <x:c r="K25" s="9" t="str">
        <x:v>Créer des bruitages et ambiances originaux adaptés au livrable ; sous-titrer les indices utiles et proposer un réglage indépendant des effets. Aucune extraction audio demandée.</x:v>
      </x:c>
      <x:c r="L25" s="9" t="str">
        <x:v>Prévu : fiche de données mea/npcs/benefactor ; rattacher les ressources et états cités à cet identifiant. Aucun fichier de jeu créé par ce catalogue.</x:v>
      </x:c>
      <x:c r="M25" s="9" t="str">
        <x:v>Mystère non résolu dans le périmètre.</x:v>
      </x:c>
      <x:c r="N25" s="9" t="str">
        <x:v>Le livrable « Bienfaiteur non identifié » possède une scène ou un scénario de contrôle ; ses règles proposées, ses conditions et ses retours visuels sont vérifiables séparément.</x:v>
      </x:c>
      <x:c r="O25" s="9" t="str"/>
      <x:c r="P25" s="9" t="str">
        <x:v>Bienfaiteur non identifié</x:v>
      </x:c>
      <x:c r="Q25" s="9" t="str">
        <x:v>MEA-SRC-FAMILY</x:v>
      </x:c>
      <x:c r="R25" s="9" t="str">
        <x:v>https://masseffect.fandom.com/wiki/Ryder_Family_Secrets</x:v>
      </x:c>
      <x:c r="S25" s="9" t="str">
        <x:v>Spécification à réaliser. Les champs adaptation, gameplay, visual, animation, audio et implementation décrivent le fan game ; ils ne donnent pas des caractéristiques officielles de l’œuvre.</x:v>
      </x:c>
    </x:row>
    <x:row r="26" ht="68" customHeight="1">
      <x:c r="A26" s="19" t="str">
        <x:v>MEA-NPC-BRADLEY</x:v>
      </x:c>
      <x:c r="B26" s="7" t="str">
        <x:v>August Bradley</x:v>
      </x:c>
      <x:c r="C26" s="15" t="str">
        <x:v>Défini</x:v>
      </x:c>
      <x:c r="D26" s="17" t="str">
        <x:v>Établi</x:v>
      </x:c>
      <x:c r="E26" s="17" t="str">
        <x:v>P1</x:v>
      </x:c>
      <x:c r="F26" s="7" t="str">
        <x:v>Responsable de Prodromos.</x:v>
      </x:c>
      <x:c r="G26" s="7" t="str">
        <x:v>Contact de progrès d’Eos et mission Making an Impression ; invitation liée au vrai retour de colonisation.</x:v>
      </x:c>
      <x:c r="H26" s="7" t="str">
        <x:v>Contact de progrès d’Eos et mission Making an Impression ; invitation liée au vrai retour de colonisation.</x:v>
      </x:c>
      <x:c r="I26" s="7" t="str">
        <x:v>Tenue d’avant-poste et poste de commandement.</x:v>
      </x:c>
      <x:c r="J26" s="7" t="str">
        <x:v>Prévoir attente, orientation et réaction au contexte ; conserver les repères décrits dans la silhouette pendant les changements de direction. Les mouvements sont des créations du fan game.</x:v>
      </x:c>
      <x:c r="K26" s="7" t="str">
        <x:v>Créer des bruitages et ambiances originaux adaptés au livrable ; sous-titrer les indices utiles et proposer un réglage indépendant des effets. Aucune extraction audio demandée.</x:v>
      </x:c>
      <x:c r="L26" s="7" t="str">
        <x:v>Prévu : fiche de données mea/npcs/bradley ; rattacher les ressources et états cités à cet identifiant. Aucun fichier de jeu créé par ce catalogue.</x:v>
      </x:c>
      <x:c r="M26" s="7" t="str"/>
      <x:c r="N26" s="7" t="str">
        <x:v>Le livrable « August Bradley » possède une scène ou un scénario de contrôle ; ses règles proposées, ses conditions et ses retours visuels sont vérifiables séparément.</x:v>
      </x:c>
      <x:c r="O26" s="7" t="str"/>
      <x:c r="P26" s="7" t="str">
        <x:v>August Bradley</x:v>
      </x:c>
      <x:c r="Q26" s="7" t="str">
        <x:v>MEA-SRC-CHAR, MEA-SRC-MISSIONS</x:v>
      </x:c>
      <x:c r="R26" s="7" t="str">
        <x:v>https://masseffect.fandom.com/wiki/Characters/Mass_Effect%3A_Andromeda
https://masseffect.fandom.com/wiki/Missions_%28Mass_Effect%3A_Andromeda%29</x:v>
      </x:c>
      <x:c r="S26" s="7" t="str">
        <x:v>Spécification à réaliser. Les champs adaptation, gameplay, visual, animation, audio et implementation décrivent le fan game ; ils ne donnent pas des caractéristiques officielles de l’œuvre.</x:v>
      </x:c>
    </x:row>
    <x:row r="27" ht="68" customHeight="1">
      <x:c r="A27" s="18" t="str">
        <x:v>MEA-NPC-SLOANE</x:v>
      </x:c>
      <x:c r="B27" s="9" t="str">
        <x:v>Sloane Kelly</x:v>
      </x:c>
      <x:c r="C27" s="15" t="str">
        <x:v>Défini</x:v>
      </x:c>
      <x:c r="D27" s="16" t="str">
        <x:v>Établi</x:v>
      </x:c>
      <x:c r="E27" s="16" t="str">
        <x:v>P1</x:v>
      </x:c>
      <x:c r="F27" s="9" t="str">
        <x:v>Dirigeante de Kadara Port.</x:v>
      </x:c>
      <x:c r="G27" s="9" t="str">
        <x:v>Entretien de pouvoir, accès local et High Noon ; changements de régime répercutés sur les gardes.</x:v>
      </x:c>
      <x:c r="H27" s="9" t="str">
        <x:v>Entretien de pouvoir, accès local et High Noon ; changements de régime répercutés sur les gardes.</x:v>
      </x:c>
      <x:c r="I27" s="9" t="str">
        <x:v>Armure de hors-la-loi et salle du trône.</x:v>
      </x:c>
      <x:c r="J27" s="9" t="str">
        <x:v>Prévoir attente, orientation et réaction au contexte ; conserver les repères décrits dans la silhouette pendant les changements de direction. Les mouvements sont des créations du fan game.</x:v>
      </x:c>
      <x:c r="K27" s="9" t="str">
        <x:v>Créer des bruitages et ambiances originaux adaptés au livrable ; sous-titrer les indices utiles et proposer un réglage indépendant des effets. Aucune extraction audio demandée.</x:v>
      </x:c>
      <x:c r="L27" s="9" t="str">
        <x:v>Prévu : fiche de données mea/npcs/sloane ; rattacher les ressources et états cités à cet identifiant. Aucun fichier de jeu créé par ce catalogue.</x:v>
      </x:c>
      <x:c r="M27" s="9" t="str"/>
      <x:c r="N27" s="9" t="str">
        <x:v>Le livrable « Sloane Kelly » possède une scène ou un scénario de contrôle ; ses règles proposées, ses conditions et ses retours visuels sont vérifiables séparément.</x:v>
      </x:c>
      <x:c r="O27" s="9" t="str"/>
      <x:c r="P27" s="9" t="str">
        <x:v>Sloane Kelly</x:v>
      </x:c>
      <x:c r="Q27" s="9" t="str">
        <x:v>MEA-SRC-HIGH-NOON, MEA-SRC-CHAR</x:v>
      </x:c>
      <x:c r="R27" s="9" t="str">
        <x:v>https://masseffect.fandom.com/wiki/High_Noon
https://masseffect.fandom.com/wiki/Characters/Mass_Effect%3A_Andromeda</x:v>
      </x:c>
      <x:c r="S27" s="9" t="str">
        <x:v>Spécification à réaliser. Les champs adaptation, gameplay, visual, animation, audio et implementation décrivent le fan game ; ils ne donnent pas des caractéristiques officielles de l’œuvre.</x:v>
      </x:c>
    </x:row>
    <x:row r="28" ht="68" customHeight="1">
      <x:c r="A28" s="19" t="str">
        <x:v>MEA-NPC-REYES</x:v>
      </x:c>
      <x:c r="B28" s="7" t="str">
        <x:v>Reyes Vidal</x:v>
      </x:c>
      <x:c r="C28" s="15" t="str">
        <x:v>Défini</x:v>
      </x:c>
      <x:c r="D28" s="17" t="str">
        <x:v>Établi</x:v>
      </x:c>
      <x:c r="E28" s="17" t="str">
        <x:v>P1</x:v>
      </x:c>
      <x:c r="F28" s="7" t="str">
        <x:v>Interlocuteur majeur de Kadara.</x:v>
      </x:c>
      <x:c r="G28" s="7" t="str">
        <x:v>Enquêtes, relation et rôle politique à révélation progressive ; ne pas spoiler son identité dans l’UI initiale.</x:v>
      </x:c>
      <x:c r="H28" s="7" t="str">
        <x:v>Enquêtes, relation et rôle politique à révélation progressive ; ne pas spoiler son identité dans l’UI initiale.</x:v>
      </x:c>
      <x:c r="I28" s="7" t="str">
        <x:v>Tenue civile sombre et bar de Kadara.</x:v>
      </x:c>
      <x:c r="J28" s="7" t="str">
        <x:v>Prévoir attente, orientation et réaction au contexte ; conserver les repères décrits dans la silhouette pendant les changements de direction. Les mouvements sont des créations du fan game.</x:v>
      </x:c>
      <x:c r="K28" s="7" t="str">
        <x:v>Créer des bruitages et ambiances originaux adaptés au livrable ; sous-titrer les indices utiles et proposer un réglage indépendant des effets. Aucune extraction audio demandée.</x:v>
      </x:c>
      <x:c r="L28" s="7" t="str">
        <x:v>Prévu : fiche de données mea/npcs/reyes ; rattacher les ressources et états cités à cet identifiant. Aucun fichier de jeu créé par ce catalogue.</x:v>
      </x:c>
      <x:c r="M28" s="7" t="str"/>
      <x:c r="N28" s="7" t="str">
        <x:v>Le livrable « Reyes Vidal » possède une scène ou un scénario de contrôle ; ses règles proposées, ses conditions et ses retours visuels sont vérifiables séparément.</x:v>
      </x:c>
      <x:c r="O28" s="7" t="str"/>
      <x:c r="P28" s="7" t="str">
        <x:v>Reyes Vidal</x:v>
      </x:c>
      <x:c r="Q28" s="7" t="str">
        <x:v>MEA-SRC-HIGH-NOON, MEA-SRC-CHAR</x:v>
      </x:c>
      <x:c r="R28" s="7" t="str">
        <x:v>https://masseffect.fandom.com/wiki/High_Noon
https://masseffect.fandom.com/wiki/Characters/Mass_Effect%3A_Andromeda</x:v>
      </x:c>
      <x:c r="S28" s="7" t="str">
        <x:v>Spécification à réaliser. Les champs adaptation, gameplay, visual, animation, audio et implementation décrivent le fan game ; ils ne donnent pas des caractéristiques officielles de l’œuvre.</x:v>
      </x:c>
    </x:row>
    <x:row r="29" ht="68" customHeight="1">
      <x:c r="A29" s="18" t="str">
        <x:v>MEA-NPC-EVFRA</x:v>
      </x:c>
      <x:c r="B29" s="9" t="str">
        <x:v>Evfra de Tershaav</x:v>
      </x:c>
      <x:c r="C29" s="15" t="str">
        <x:v>Défini</x:v>
      </x:c>
      <x:c r="D29" s="16" t="str">
        <x:v>Établi</x:v>
      </x:c>
      <x:c r="E29" s="16" t="str">
        <x:v>P1</x:v>
      </x:c>
      <x:c r="F29" s="9" t="str">
        <x:v>Chef de la Résistance angara.</x:v>
      </x:c>
      <x:c r="G29" s="9" t="str">
        <x:v>Autorise des opérations selon confiance et résultats ; une mission obtenue reste lisible après changement de planète.</x:v>
      </x:c>
      <x:c r="H29" s="9" t="str">
        <x:v>Autorise des opérations selon confiance et résultats ; une mission obtenue reste lisible après changement de planète.</x:v>
      </x:c>
      <x:c r="I29" s="9" t="str">
        <x:v>Angara en tenue de commandement.</x:v>
      </x:c>
      <x:c r="J29" s="9" t="str">
        <x:v>Prévoir attente, orientation et réaction au contexte ; conserver les repères décrits dans la silhouette pendant les changements de direction. Les mouvements sont des créations du fan game.</x:v>
      </x:c>
      <x:c r="K29" s="9" t="str">
        <x:v>Créer des bruitages et ambiances originaux adaptés au livrable ; sous-titrer les indices utiles et proposer un réglage indépendant des effets. Aucune extraction audio demandée.</x:v>
      </x:c>
      <x:c r="L29" s="9" t="str">
        <x:v>Prévu : fiche de données mea/npcs/evfra ; rattacher les ressources et états cités à cet identifiant. Aucun fichier de jeu créé par ce catalogue.</x:v>
      </x:c>
      <x:c r="M29" s="9" t="str"/>
      <x:c r="N29" s="9" t="str">
        <x:v>Le livrable « Evfra de Tershaav » possède une scène ou un scénario de contrôle ; ses règles proposées, ses conditions et ses retours visuels sont vérifiables séparément.</x:v>
      </x:c>
      <x:c r="O29" s="9" t="str"/>
      <x:c r="P29" s="9" t="str">
        <x:v>Evfra de Tershaav</x:v>
      </x:c>
      <x:c r="Q29" s="9" t="str">
        <x:v>MEA-SRC-CHAR, MEA-SRC-GUIDE</x:v>
      </x:c>
      <x:c r="R29" s="9" t="str">
        <x:v>https://masseffect.fandom.com/wiki/Characters/Mass_Effect%3A_Andromeda
https://masseffect.fandom.com/wiki/Mass_Effect%3A_Andromeda_Guide</x:v>
      </x:c>
      <x:c r="S29" s="9" t="str">
        <x:v>Spécification à réaliser. Les champs adaptation, gameplay, visual, animation, audio et implementation décrivent le fan game ; ils ne donnent pas des caractéristiques officielles de l’œuvre.</x:v>
      </x:c>
    </x:row>
    <x:row r="30" ht="68" customHeight="1">
      <x:c r="A30" s="19" t="str">
        <x:v>MEA-NPC-MOSHAE</x:v>
      </x:c>
      <x:c r="B30" s="7" t="str">
        <x:v>Moshae Sjefa</x:v>
      </x:c>
      <x:c r="C30" s="15" t="str">
        <x:v>Défini</x:v>
      </x:c>
      <x:c r="D30" s="17" t="str">
        <x:v>Établi</x:v>
      </x:c>
      <x:c r="E30" s="17" t="str">
        <x:v>P1</x:v>
      </x:c>
      <x:c r="F30" s="7" t="str">
        <x:v>Scientifique angara recherchée.</x:v>
      </x:c>
      <x:c r="G30" s="7" t="str">
        <x:v>Sauvetage et révélation de l’exaltation ; attitude liée aux décisions sans en faire un objet de récompense.</x:v>
      </x:c>
      <x:c r="H30" s="7" t="str">
        <x:v>Sauvetage et révélation de l’exaltation ; attitude liée aux décisions sans en faire un objet de récompense.</x:v>
      </x:c>
      <x:c r="I30" s="7" t="str">
        <x:v>Angara âgée en tenue de recherche.</x:v>
      </x:c>
      <x:c r="J30" s="7" t="str">
        <x:v>Prévoir attente, orientation et réaction au contexte ; conserver les repères décrits dans la silhouette pendant les changements de direction. Les mouvements sont des créations du fan game.</x:v>
      </x:c>
      <x:c r="K30" s="7" t="str">
        <x:v>Créer des bruitages et ambiances originaux adaptés au livrable ; sous-titrer les indices utiles et proposer un réglage indépendant des effets. Aucune extraction audio demandée.</x:v>
      </x:c>
      <x:c r="L30" s="7" t="str">
        <x:v>Prévu : fiche de données mea/npcs/moshae ; rattacher les ressources et états cités à cet identifiant. Aucun fichier de jeu créé par ce catalogue.</x:v>
      </x:c>
      <x:c r="M30" s="7" t="str"/>
      <x:c r="N30" s="7" t="str">
        <x:v>Le livrable « Moshae Sjefa » possède une scène ou un scénario de contrôle ; ses règles proposées, ses conditions et ses retours visuels sont vérifiables séparément.</x:v>
      </x:c>
      <x:c r="O30" s="7" t="str"/>
      <x:c r="P30" s="7" t="str">
        <x:v>Moshae Sjefa</x:v>
      </x:c>
      <x:c r="Q30" s="7" t="str">
        <x:v>MEA-SRC-GUIDE</x:v>
      </x:c>
      <x:c r="R30" s="7" t="str">
        <x:v>https://masseffect.fandom.com/wiki/Mass_Effect%3A_Andromeda_Guide</x:v>
      </x:c>
      <x:c r="S30" s="7" t="str">
        <x:v>Spécification à réaliser. Les champs adaptation, gameplay, visual, animation, audio et implementation décrivent le fan game ; ils ne donnent pas des caractéristiques officielles de l’œuvre.</x:v>
      </x:c>
    </x:row>
    <x:row r="31" ht="68" customHeight="1">
      <x:c r="A31" s="18" t="str">
        <x:v>MEA-NPC-AKKSUL</x:v>
      </x:c>
      <x:c r="B31" s="9" t="str">
        <x:v>Akksul</x:v>
      </x:c>
      <x:c r="C31" s="15" t="str">
        <x:v>Défini</x:v>
      </x:c>
      <x:c r="D31" s="16" t="str">
        <x:v>Établi</x:v>
      </x:c>
      <x:c r="E31" s="16" t="str">
        <x:v>P1</x:v>
      </x:c>
      <x:c r="F31" s="9" t="str">
        <x:v>Chef des Roekaar.</x:v>
      </x:c>
      <x:c r="G31" s="9" t="str">
        <x:v>Confrontation familiale de Jaal avec interruption conditionnelle ; visée de l’arme doit montrer clairement qui menace qui.</x:v>
      </x:c>
      <x:c r="H31" s="9" t="str">
        <x:v>Confrontation familiale de Jaal avec interruption conditionnelle ; visée de l’arme doit montrer clairement qui menace qui.</x:v>
      </x:c>
      <x:c r="I31" s="9" t="str">
        <x:v>Visage angara marqué et tenue militante.</x:v>
      </x:c>
      <x:c r="J31" s="9" t="str">
        <x:v>Prévoir attente, orientation et réaction au contexte ; conserver les repères décrits dans la silhouette pendant les changements de direction. Les mouvements sont des créations du fan game.</x:v>
      </x:c>
      <x:c r="K31" s="9" t="str">
        <x:v>Créer des bruitages et ambiances originaux adaptés au livrable ; sous-titrer les indices utiles et proposer un réglage indépendant des effets. Aucune extraction audio demandée.</x:v>
      </x:c>
      <x:c r="L31" s="9" t="str">
        <x:v>Prévu : fiche de données mea/npcs/akksul ; rattacher les ressources et états cités à cet identifiant. Aucun fichier de jeu créé par ce catalogue.</x:v>
      </x:c>
      <x:c r="M31" s="9" t="str">
        <x:v>Arc de Jaal.</x:v>
      </x:c>
      <x:c r="N31" s="9" t="str">
        <x:v>Le livrable « Akksul » possède une scène ou un scénario de contrôle ; ses règles proposées, ses conditions et ses retours visuels sont vérifiables séparément.</x:v>
      </x:c>
      <x:c r="O31" s="9" t="str"/>
      <x:c r="P31" s="9" t="str">
        <x:v>Akksul</x:v>
      </x:c>
      <x:c r="Q31" s="9" t="str">
        <x:v>MEA-SRC-JAAL-LOYAL</x:v>
      </x:c>
      <x:c r="R31" s="9" t="str">
        <x:v>https://masseffect.fandom.com/wiki/Jaal_Ama_Darav%3A_Flesh_and_Blood</x:v>
      </x:c>
      <x:c r="S31" s="9" t="str">
        <x:v>Spécification à réaliser. Les champs adaptation, gameplay, visual, animation, audio et implementation décrivent le fan game ; ils ne donnent pas des caractéristiques officielles de l’œuvre.</x:v>
      </x:c>
    </x:row>
    <x:row r="32" ht="68" customHeight="1">
      <x:c r="A32" s="19" t="str">
        <x:v>MEA-NPC-RAEKA</x:v>
      </x:c>
      <x:c r="B32" s="7" t="str">
        <x:v>Zevin Raeka</x:v>
      </x:c>
      <x:c r="C32" s="15" t="str">
        <x:v>Défini</x:v>
      </x:c>
      <x:c r="D32" s="17" t="str">
        <x:v>Établi</x:v>
      </x:c>
      <x:c r="E32" s="17" t="str">
        <x:v>P1</x:v>
      </x:c>
      <x:c r="F32" s="7" t="str">
        <x:v>Pionnière galarienne.</x:v>
      </x:c>
      <x:c r="G32" s="7" t="str">
        <x:v>Alliée de l’arche et branche de secours ; contribution finale conditionnelle à survie.</x:v>
      </x:c>
      <x:c r="H32" s="7" t="str">
        <x:v>Alliée de l’arche et branche de secours ; contribution finale conditionnelle à survie.</x:v>
      </x:c>
      <x:c r="I32" s="7" t="str">
        <x:v>Salarienne en tenue de Pionnier.</x:v>
      </x:c>
      <x:c r="J32" s="7" t="str">
        <x:v>Prévoir attente, orientation et réaction au contexte ; conserver les repères décrits dans la silhouette pendant les changements de direction. Les mouvements sont des créations du fan game.</x:v>
      </x:c>
      <x:c r="K32" s="7" t="str">
        <x:v>Créer des bruitages et ambiances originaux adaptés au livrable ; sous-titrer les indices utiles et proposer un réglage indépendant des effets. Aucune extraction audio demandée.</x:v>
      </x:c>
      <x:c r="L32" s="7" t="str">
        <x:v>Prévu : fiche de données mea/npcs/raeka ; rattacher les ressources et états cités à cet identifiant. Aucun fichier de jeu créé par ce catalogue.</x:v>
      </x:c>
      <x:c r="M32" s="7" t="str">
        <x:v>Choix de Hunting the Archon.</x:v>
      </x:c>
      <x:c r="N32" s="7" t="str">
        <x:v>Le livrable « Zevin Raeka » possède une scène ou un scénario de contrôle ; ses règles proposées, ses conditions et ses retours visuels sont vérifiables séparément.</x:v>
      </x:c>
      <x:c r="O32" s="7" t="str"/>
      <x:c r="P32" s="7" t="str">
        <x:v>Zevin Raeka</x:v>
      </x:c>
      <x:c r="Q32" s="7" t="str">
        <x:v>MEA-SRC-ARCHON</x:v>
      </x:c>
      <x:c r="R32" s="7" t="str">
        <x:v>https://masseffect.fandom.com/wiki/Hunting_the_Archon</x:v>
      </x:c>
      <x:c r="S32" s="7" t="str">
        <x:v>Spécification à réaliser. Les champs adaptation, gameplay, visual, animation, audio et implementation décrivent le fan game ; ils ne donnent pas des caractéristiques officielles de l’œuvre.</x:v>
      </x:c>
    </x:row>
    <x:row r="33" ht="68" customHeight="1">
      <x:c r="A33" s="18" t="str">
        <x:v>MEA-NPC-HAYJER</x:v>
      </x:c>
      <x:c r="B33" s="9" t="str">
        <x:v>Lumont Hayjer</x:v>
      </x:c>
      <x:c r="C33" s="15" t="str">
        <x:v>Défini</x:v>
      </x:c>
      <x:c r="D33" s="16" t="str">
        <x:v>Établi</x:v>
      </x:c>
      <x:c r="E33" s="16" t="str">
        <x:v>P1</x:v>
      </x:c>
      <x:c r="F33" s="9" t="str">
        <x:v>Successeur possible de Raeka.</x:v>
      </x:c>
      <x:c r="G33" s="9" t="str">
        <x:v>Profil de Pionnier alternatif avec scènes propres ; ne pas le créer si Raeka occupe toujours le rôle.</x:v>
      </x:c>
      <x:c r="H33" s="9" t="str">
        <x:v>Profil de Pionnier alternatif avec scènes propres ; ne pas le créer si Raeka occupe toujours le rôle.</x:v>
      </x:c>
      <x:c r="I33" s="9" t="str">
        <x:v>Salarien et tenue de Pionnier.</x:v>
      </x:c>
      <x:c r="J33" s="9" t="str">
        <x:v>Prévoir attente, orientation et réaction au contexte ; conserver les repères décrits dans la silhouette pendant les changements de direction. Les mouvements sont des créations du fan game.</x:v>
      </x:c>
      <x:c r="K33" s="9" t="str">
        <x:v>Créer des bruitages et ambiances originaux adaptés au livrable ; sous-titrer les indices utiles et proposer un réglage indépendant des effets. Aucune extraction audio demandée.</x:v>
      </x:c>
      <x:c r="L33" s="9" t="str">
        <x:v>Prévu : fiche de données mea/npcs/hayjer ; rattacher les ressources et états cités à cet identifiant. Aucun fichier de jeu créé par ce catalogue.</x:v>
      </x:c>
      <x:c r="M33" s="9" t="str">
        <x:v>Succession conditionnelle.</x:v>
      </x:c>
      <x:c r="N33" s="9" t="str">
        <x:v>Le livrable « Lumont Hayjer » possède une scène ou un scénario de contrôle ; ses règles proposées, ses conditions et ses retours visuels sont vérifiables séparément.</x:v>
      </x:c>
      <x:c r="O33" s="9" t="str"/>
      <x:c r="P33" s="9" t="str">
        <x:v>Lumont Hayjer</x:v>
      </x:c>
      <x:c r="Q33" s="9" t="str">
        <x:v>MEA-SRC-EPILOGUE, MEA-SRC-CHAR</x:v>
      </x:c>
      <x:c r="R33" s="9" t="str">
        <x:v>https://masseffect.fandom.com/wiki/Epilogue%3A_Home_and_Away
https://masseffect.fandom.com/wiki/Characters/Mass_Effect%3A_Andromeda</x:v>
      </x:c>
      <x:c r="S33" s="9" t="str">
        <x:v>Spécification à réaliser. Les champs adaptation, gameplay, visual, animation, audio et implementation décrivent le fan game ; ils ne donnent pas des caractéristiques officielles de l’œuvre.</x:v>
      </x:c>
    </x:row>
    <x:row r="34" ht="68" customHeight="1">
      <x:c r="A34" s="19" t="str">
        <x:v>MEA-NPC-AVITUS</x:v>
      </x:c>
      <x:c r="B34" s="7" t="str">
        <x:v>Avitus Rix</x:v>
      </x:c>
      <x:c r="C34" s="15" t="str">
        <x:v>Défini</x:v>
      </x:c>
      <x:c r="D34" s="17" t="str">
        <x:v>Établi</x:v>
      </x:c>
      <x:c r="E34" s="17" t="str">
        <x:v>P1</x:v>
      </x:c>
      <x:c r="F34" s="7" t="str">
        <x:v>Personnage de l’arche turienne.</x:v>
      </x:c>
      <x:c r="G34" s="7" t="str">
        <x:v>Recherche de Macen puis choix de succession ; un refus ne le transforme pas automatiquement en Pionnier au final.</x:v>
      </x:c>
      <x:c r="H34" s="7" t="str">
        <x:v>Recherche de Macen puis choix de succession ; un refus ne le transforme pas automatiquement en Pionnier au final.</x:v>
      </x:c>
      <x:c r="I34" s="7" t="str">
        <x:v>Turien en armure de reconnaissance.</x:v>
      </x:c>
      <x:c r="J34" s="7" t="str">
        <x:v>Prévoir attente, orientation et réaction au contexte ; conserver les repères décrits dans la silhouette pendant les changements de direction. Les mouvements sont des créations du fan game.</x:v>
      </x:c>
      <x:c r="K34" s="7" t="str">
        <x:v>Créer des bruitages et ambiances originaux adaptés au livrable ; sous-titrer les indices utiles et proposer un réglage indépendant des effets. Aucune extraction audio demandée.</x:v>
      </x:c>
      <x:c r="L34" s="7" t="str">
        <x:v>Prévu : fiche de données mea/npcs/avitus ; rattacher les ressources et états cités à cet identifiant. Aucun fichier de jeu créé par ce catalogue.</x:v>
      </x:c>
      <x:c r="M34" s="7" t="str">
        <x:v>Arc de l’arche turienne.</x:v>
      </x:c>
      <x:c r="N34" s="7" t="str">
        <x:v>Le livrable « Avitus Rix » possède une scène ou un scénario de contrôle ; ses règles proposées, ses conditions et ses retours visuels sont vérifiables séparément.</x:v>
      </x:c>
      <x:c r="O34" s="7" t="str"/>
      <x:c r="P34" s="7" t="str">
        <x:v>Avitus Rix</x:v>
      </x:c>
      <x:c r="Q34" s="7" t="str">
        <x:v>MEA-SRC-MISSING-ARKS, MEA-SRC-CHAR</x:v>
      </x:c>
      <x:c r="R34" s="7" t="str">
        <x:v>https://masseffect.fandom.com/wiki/Missing_Arks
https://masseffect.fandom.com/wiki/Characters/Mass_Effect%3A_Andromeda</x:v>
      </x:c>
      <x:c r="S34" s="7" t="str">
        <x:v>Spécification à réaliser. Les champs adaptation, gameplay, visual, animation, audio et implementation décrivent le fan game ; ils ne donnent pas des caractéristiques officielles de l’œuvre.</x:v>
      </x:c>
    </x:row>
    <x:row r="35" ht="68" customHeight="1">
      <x:c r="A35" s="18" t="str">
        <x:v>MEA-NPC-MACEN</x:v>
      </x:c>
      <x:c r="B35" s="9" t="str">
        <x:v>Macen Barro</x:v>
      </x:c>
      <x:c r="C35" s="15" t="str">
        <x:v>Défini</x:v>
      </x:c>
      <x:c r="D35" s="16" t="str">
        <x:v>Établi</x:v>
      </x:c>
      <x:c r="E35" s="16" t="str">
        <x:v>P1</x:v>
      </x:c>
      <x:c r="F35" s="9" t="str">
        <x:v>Pionnier de l’arche turienne.</x:v>
      </x:c>
      <x:c r="G35" s="9" t="str">
        <x:v>Traces et révélation de son sort ; séparer enregistrements passés et acteur présent de la scène.</x:v>
      </x:c>
      <x:c r="H35" s="9" t="str">
        <x:v>Traces et révélation de son sort ; séparer enregistrements passés et acteur présent de la scène.</x:v>
      </x:c>
      <x:c r="I35" s="9" t="str">
        <x:v>Portrait turien et archives de SAM.</x:v>
      </x:c>
      <x:c r="J35" s="9" t="str">
        <x:v>Prévoir attente, orientation et réaction au contexte ; conserver les repères décrits dans la silhouette pendant les changements de direction. Les mouvements sont des créations du fan game.</x:v>
      </x:c>
      <x:c r="K35" s="9" t="str">
        <x:v>Créer des bruitages et ambiances originaux adaptés au livrable ; sous-titrer les indices utiles et proposer un réglage indépendant des effets. Aucune extraction audio demandée.</x:v>
      </x:c>
      <x:c r="L35" s="9" t="str">
        <x:v>Prévu : fiche de données mea/npcs/macen ; rattacher les ressources et états cités à cet identifiant. Aucun fichier de jeu créé par ce catalogue.</x:v>
      </x:c>
      <x:c r="M35" s="9" t="str">
        <x:v>Arc Natanus.</x:v>
      </x:c>
      <x:c r="N35" s="9" t="str">
        <x:v>Le livrable « Macen Barro » possède une scène ou un scénario de contrôle ; ses règles proposées, ses conditions et ses retours visuels sont vérifiables séparément.</x:v>
      </x:c>
      <x:c r="O35" s="9" t="str"/>
      <x:c r="P35" s="9" t="str">
        <x:v>Macen Barro</x:v>
      </x:c>
      <x:c r="Q35" s="9" t="str">
        <x:v>MEA-SRC-CHAR, MEA-SRC-MISSING-ARKS</x:v>
      </x:c>
      <x:c r="R35" s="9" t="str">
        <x:v>https://masseffect.fandom.com/wiki/Characters/Mass_Effect%3A_Andromeda
https://masseffect.fandom.com/wiki/Missing_Arks</x:v>
      </x:c>
      <x:c r="S35" s="9" t="str">
        <x:v>Spécification à réaliser. Les champs adaptation, gameplay, visual, animation, audio et implementation décrivent le fan game ; ils ne donnent pas des caractéristiques officielles de l’œuvre.</x:v>
      </x:c>
    </x:row>
    <x:row r="36" ht="68" customHeight="1">
      <x:c r="A36" s="19" t="str">
        <x:v>MEA-NPC-SARISSA</x:v>
      </x:c>
      <x:c r="B36" s="7" t="str">
        <x:v>Sarissa Theris</x:v>
      </x:c>
      <x:c r="C36" s="15" t="str">
        <x:v>Défini</x:v>
      </x:c>
      <x:c r="D36" s="17" t="str">
        <x:v>Établi</x:v>
      </x:c>
      <x:c r="E36" s="17" t="str">
        <x:v>P1</x:v>
      </x:c>
      <x:c r="F36" s="7" t="str">
        <x:v>Pionnière asari de l’arc Leusinia.</x:v>
      </x:c>
      <x:c r="G36" s="7" t="str">
        <x:v>Confrontation autour des données et du sacrifice d’Ishara ; maintien ou remplacement selon décision.</x:v>
      </x:c>
      <x:c r="H36" s="7" t="str">
        <x:v>Confrontation autour des données et du sacrifice d’Ishara ; maintien ou remplacement selon décision.</x:v>
      </x:c>
      <x:c r="I36" s="7" t="str">
        <x:v>Asari en armure de commandement.</x:v>
      </x:c>
      <x:c r="J36" s="7" t="str">
        <x:v>Prévoir attente, orientation et réaction au contexte ; conserver les repères décrits dans la silhouette pendant les changements de direction. Les mouvements sont des créations du fan game.</x:v>
      </x:c>
      <x:c r="K36" s="7" t="str">
        <x:v>Créer des bruitages et ambiances originaux adaptés au livrable ; sous-titrer les indices utiles et proposer un réglage indépendant des effets. Aucune extraction audio demandée.</x:v>
      </x:c>
      <x:c r="L36" s="7" t="str">
        <x:v>Prévu : fiche de données mea/npcs/sarissa ; rattacher les ressources et états cités à cet identifiant. Aucun fichier de jeu créé par ce catalogue.</x:v>
      </x:c>
      <x:c r="M36" s="7" t="str">
        <x:v>Mission de Cora.</x:v>
      </x:c>
      <x:c r="N36" s="7" t="str">
        <x:v>Le livrable « Sarissa Theris » possède une scène ou un scénario de contrôle ; ses règles proposées, ses conditions et ses retours visuels sont vérifiables séparément.</x:v>
      </x:c>
      <x:c r="O36" s="7" t="str"/>
      <x:c r="P36" s="7" t="str">
        <x:v>Sarissa Theris</x:v>
      </x:c>
      <x:c r="Q36" s="7" t="str">
        <x:v>MEA-SRC-CORA-LOYAL</x:v>
      </x:c>
      <x:c r="R36" s="7" t="str">
        <x:v>https://masseffect.fandom.com/wiki/Cora_Harper%3A_At_Duty%27s_Edge</x:v>
      </x:c>
      <x:c r="S36" s="7" t="str">
        <x:v>Spécification à réaliser. Les champs adaptation, gameplay, visual, animation, audio et implementation décrivent le fan game ; ils ne donnent pas des caractéristiques officielles de l’œuvre.</x:v>
      </x:c>
    </x:row>
    <x:row r="37" ht="68" customHeight="1">
      <x:c r="A37" s="18" t="str">
        <x:v>MEA-NPC-VEDERIA</x:v>
      </x:c>
      <x:c r="B37" s="9" t="str">
        <x:v>Vederia Damali</x:v>
      </x:c>
      <x:c r="C37" s="15" t="str">
        <x:v>Défini</x:v>
      </x:c>
      <x:c r="D37" s="16" t="str">
        <x:v>Établi</x:v>
      </x:c>
      <x:c r="E37" s="16" t="str">
        <x:v>P1</x:v>
      </x:c>
      <x:c r="F37" s="9" t="str">
        <x:v>Personnage de l’arche asari.</x:v>
      </x:c>
      <x:c r="G37" s="9" t="str">
        <x:v>Assistance technique et succession possible ; mêmes zones mais dialogues selon fonction finale.</x:v>
      </x:c>
      <x:c r="H37" s="9" t="str">
        <x:v>Assistance technique et succession possible ; mêmes zones mais dialogues selon fonction finale.</x:v>
      </x:c>
      <x:c r="I37" s="9" t="str">
        <x:v>Asari et armure de l’arche.</x:v>
      </x:c>
      <x:c r="J37" s="9" t="str">
        <x:v>Prévoir attente, orientation et réaction au contexte ; conserver les repères décrits dans la silhouette pendant les changements de direction. Les mouvements sont des créations du fan game.</x:v>
      </x:c>
      <x:c r="K37" s="9" t="str">
        <x:v>Créer des bruitages et ambiances originaux adaptés au livrable ; sous-titrer les indices utiles et proposer un réglage indépendant des effets. Aucune extraction audio demandée.</x:v>
      </x:c>
      <x:c r="L37" s="9" t="str">
        <x:v>Prévu : fiche de données mea/npcs/vederia ; rattacher les ressources et états cités à cet identifiant. Aucun fichier de jeu créé par ce catalogue.</x:v>
      </x:c>
      <x:c r="M37" s="9" t="str">
        <x:v>Mission de Cora.</x:v>
      </x:c>
      <x:c r="N37" s="9" t="str">
        <x:v>Le livrable « Vederia Damali » possède une scène ou un scénario de contrôle ; ses règles proposées, ses conditions et ses retours visuels sont vérifiables séparément.</x:v>
      </x:c>
      <x:c r="O37" s="9" t="str"/>
      <x:c r="P37" s="9" t="str">
        <x:v>Vederia Damali</x:v>
      </x:c>
      <x:c r="Q37" s="9" t="str">
        <x:v>MEA-SRC-CORA-LOYAL</x:v>
      </x:c>
      <x:c r="R37" s="9" t="str">
        <x:v>https://masseffect.fandom.com/wiki/Cora_Harper%3A_At_Duty%27s_Edge</x:v>
      </x:c>
      <x:c r="S37" s="9" t="str">
        <x:v>Spécification à réaliser. Les champs adaptation, gameplay, visual, animation, audio et implementation décrivent le fan game ; ils ne donnent pas des caractéristiques officielles de l’œuvre.</x:v>
      </x:c>
    </x:row>
    <x:row r="38" ht="68" customHeight="1">
      <x:c r="A38" s="19" t="str">
        <x:v>MEA-NPC-ATANDRA</x:v>
      </x:c>
      <x:c r="B38" s="7" t="str">
        <x:v>Capitaine Atandra</x:v>
      </x:c>
      <x:c r="C38" s="15" t="str">
        <x:v>Défini</x:v>
      </x:c>
      <x:c r="D38" s="17" t="str">
        <x:v>Établi</x:v>
      </x:c>
      <x:c r="E38" s="17" t="str">
        <x:v>P1</x:v>
      </x:c>
      <x:c r="F38" s="7" t="str">
        <x:v>Capitaine du Leusinia.</x:v>
      </x:c>
      <x:c r="G38" s="7" t="str">
        <x:v>Point de retour à la passerelle et résolution ; préserver sa fonction de capitaine distincte du Pionnier.</x:v>
      </x:c>
      <x:c r="H38" s="7" t="str">
        <x:v>Point de retour à la passerelle et résolution ; préserver sa fonction de capitaine distincte du Pionnier.</x:v>
      </x:c>
      <x:c r="I38" s="7" t="str">
        <x:v>Asari à la passerelle.</x:v>
      </x:c>
      <x:c r="J38" s="7" t="str">
        <x:v>Prévoir attente, orientation et réaction au contexte ; conserver les repères décrits dans la silhouette pendant les changements de direction. Les mouvements sont des créations du fan game.</x:v>
      </x:c>
      <x:c r="K38" s="7" t="str">
        <x:v>Créer des bruitages et ambiances originaux adaptés au livrable ; sous-titrer les indices utiles et proposer un réglage indépendant des effets. Aucune extraction audio demandée.</x:v>
      </x:c>
      <x:c r="L38" s="7" t="str">
        <x:v>Prévu : fiche de données mea/npcs/atandra ; rattacher les ressources et états cités à cet identifiant. Aucun fichier de jeu créé par ce catalogue.</x:v>
      </x:c>
      <x:c r="M38" s="7" t="str">
        <x:v>Mission de Cora.</x:v>
      </x:c>
      <x:c r="N38" s="7" t="str">
        <x:v>Le livrable « Capitaine Atandra » possède une scène ou un scénario de contrôle ; ses règles proposées, ses conditions et ses retours visuels sont vérifiables séparément.</x:v>
      </x:c>
      <x:c r="O38" s="7" t="str"/>
      <x:c r="P38" s="7" t="str">
        <x:v>Capitaine Atandra</x:v>
      </x:c>
      <x:c r="Q38" s="7" t="str">
        <x:v>MEA-SRC-CORA-LOYAL</x:v>
      </x:c>
      <x:c r="R38" s="7" t="str">
        <x:v>https://masseffect.fandom.com/wiki/Cora_Harper%3A_At_Duty%27s_Edge</x:v>
      </x:c>
      <x:c r="S38" s="7" t="str">
        <x:v>Spécification à réaliser. Les champs adaptation, gameplay, visual, animation, audio et implementation décrivent le fan game ; ils ne donnent pas des caractéristiques officielles de l’œuvre.</x:v>
      </x:c>
    </x:row>
    <x:row r="39" ht="68" customHeight="1">
      <x:c r="A39" s="18" t="str">
        <x:v>MEA-NPC-MORDA</x:v>
      </x:c>
      <x:c r="B39" s="9" t="str">
        <x:v>Nakmor Morda</x:v>
      </x:c>
      <x:c r="C39" s="15" t="str">
        <x:v>Défini</x:v>
      </x:c>
      <x:c r="D39" s="16" t="str">
        <x:v>Établi</x:v>
      </x:c>
      <x:c r="E39" s="16" t="str">
        <x:v>P1</x:v>
      </x:c>
      <x:c r="F39" s="9" t="str">
        <x:v>Dirigeante krogan de New Tuchanka.</x:v>
      </x:c>
      <x:c r="G39" s="9" t="str">
        <x:v>Négociations du moteur reliquat et de l’installation ; accord local ne réconcilie pas tous les conflits de Nexus par défaut.</x:v>
      </x:c>
      <x:c r="H39" s="9" t="str">
        <x:v>Négociations du moteur reliquat et de l’installation ; accord local ne réconcilie pas tous les conflits de Nexus par défaut.</x:v>
      </x:c>
      <x:c r="I39" s="9" t="str">
        <x:v>Krogan imposante et salle de commandement.</x:v>
      </x:c>
      <x:c r="J39" s="9" t="str">
        <x:v>Prévoir attente, orientation et réaction au contexte ; conserver les repères décrits dans la silhouette pendant les changements de direction. Les mouvements sont des créations du fan game.</x:v>
      </x:c>
      <x:c r="K39" s="9" t="str">
        <x:v>Créer des bruitages et ambiances originaux adaptés au livrable ; sous-titrer les indices utiles et proposer un réglage indépendant des effets. Aucune extraction audio demandée.</x:v>
      </x:c>
      <x:c r="L39" s="9" t="str">
        <x:v>Prévu : fiche de données mea/npcs/morda ; rattacher les ressources et états cités à cet identifiant. Aucun fichier de jeu créé par ce catalogue.</x:v>
      </x:c>
      <x:c r="M39" s="9" t="str"/>
      <x:c r="N39" s="9" t="str">
        <x:v>Le livrable « Nakmor Morda » possède une scène ou un scénario de contrôle ; ses règles proposées, ses conditions et ses retours visuels sont vérifiables séparément.</x:v>
      </x:c>
      <x:c r="O39" s="9" t="str"/>
      <x:c r="P39" s="9" t="str">
        <x:v>Nakmor Morda</x:v>
      </x:c>
      <x:c r="Q39" s="9" t="str">
        <x:v>MEA-SRC-CHAR, MEA-SRC-MISSIONS</x:v>
      </x:c>
      <x:c r="R39" s="9" t="str">
        <x:v>https://masseffect.fandom.com/wiki/Characters/Mass_Effect%3A_Andromeda
https://masseffect.fandom.com/wiki/Missions_%28Mass_Effect%3A_Andromeda%29</x:v>
      </x:c>
      <x:c r="S39" s="9" t="str">
        <x:v>Spécification à réaliser. Les champs adaptation, gameplay, visual, animation, audio et implementation décrivent le fan game ; ils ne donnent pas des caractéristiques officielles de l’œuvre.</x:v>
      </x:c>
    </x:row>
    <x:row r="40" ht="68" customHeight="1">
      <x:c r="A40" s="19" t="str">
        <x:v>MEA-NPC-VORN</x:v>
      </x:c>
      <x:c r="B40" s="7" t="str">
        <x:v>Vorn</x:v>
      </x:c>
      <x:c r="C40" s="15" t="str">
        <x:v>Défini</x:v>
      </x:c>
      <x:c r="D40" s="17" t="str">
        <x:v>Établi</x:v>
      </x:c>
      <x:c r="E40" s="17" t="str">
        <x:v>P1</x:v>
      </x:c>
      <x:c r="F40" s="7" t="str">
        <x:v>Personnage de l’arc de Drack.</x:v>
      </x:c>
      <x:c r="G40" s="7" t="str">
        <x:v>Sauvetage et recherche krogan ; garantir un chemin de sortie malgré grandes silhouettes.</x:v>
      </x:c>
      <x:c r="H40" s="7" t="str">
        <x:v>Sauvetage et recherche krogan ; garantir un chemin de sortie malgré grandes silhouettes.</x:v>
      </x:c>
      <x:c r="I40" s="7" t="str">
        <x:v>Krogan scientifique et équipement de terrain.</x:v>
      </x:c>
      <x:c r="J40" s="7" t="str">
        <x:v>Prévoir attente, orientation et réaction au contexte ; conserver les repères décrits dans la silhouette pendant les changements de direction. Les mouvements sont des créations du fan game.</x:v>
      </x:c>
      <x:c r="K40" s="7" t="str">
        <x:v>Créer des bruitages et ambiances originaux adaptés au livrable ; sous-titrer les indices utiles et proposer un réglage indépendant des effets. Aucune extraction audio demandée.</x:v>
      </x:c>
      <x:c r="L40" s="7" t="str">
        <x:v>Prévu : fiche de données mea/npcs/vorn ; rattacher les ressources et états cités à cet identifiant. Aucun fichier de jeu créé par ce catalogue.</x:v>
      </x:c>
      <x:c r="M40" s="7" t="str">
        <x:v>Arc de Drack.</x:v>
      </x:c>
      <x:c r="N40" s="7" t="str">
        <x:v>Le livrable « Vorn » possède une scène ou un scénario de contrôle ; ses règles proposées, ses conditions et ses retours visuels sont vérifiables séparément.</x:v>
      </x:c>
      <x:c r="O40" s="7" t="str"/>
      <x:c r="P40" s="7" t="str">
        <x:v>Vorn</x:v>
      </x:c>
      <x:c r="Q40" s="7" t="str">
        <x:v>MEA-SRC-CHAR, MEA-SRC-MISSIONS</x:v>
      </x:c>
      <x:c r="R40" s="7" t="str">
        <x:v>https://masseffect.fandom.com/wiki/Characters/Mass_Effect%3A_Andromeda
https://masseffect.fandom.com/wiki/Missions_%28Mass_Effect%3A_Andromeda%29</x:v>
      </x:c>
      <x:c r="S40" s="7" t="str">
        <x:v>Spécification à réaliser. Les champs adaptation, gameplay, visual, animation, audio et implementation décrivent le fan game ; ils ne donnent pas des caractéristiques officielles de l’œuvre.</x:v>
      </x:c>
    </x:row>
    <x:row r="41" ht="68" customHeight="1">
      <x:c r="A41" s="18" t="str">
        <x:v>MEA-NPC-SPENDER</x:v>
      </x:c>
      <x:c r="B41" s="9" t="str">
        <x:v>William Spender</x:v>
      </x:c>
      <x:c r="C41" s="15" t="str">
        <x:v>Défini</x:v>
      </x:c>
      <x:c r="D41" s="16" t="str">
        <x:v>Établi</x:v>
      </x:c>
      <x:c r="E41" s="16" t="str">
        <x:v>P1</x:v>
      </x:c>
      <x:c r="F41" s="9" t="str">
        <x:v>Administrateur lié à l’arc krogan.</x:v>
      </x:c>
      <x:c r="G41" s="9" t="str">
        <x:v>Collecte de preuves et confrontation ; accusation n’est validée qu’après éléments du dossier prévu.</x:v>
      </x:c>
      <x:c r="H41" s="9" t="str">
        <x:v>Collecte de preuves et confrontation ; accusation n’est validée qu’après éléments du dossier prévu.</x:v>
      </x:c>
      <x:c r="I41" s="9" t="str">
        <x:v>Humain en tenue administrative.</x:v>
      </x:c>
      <x:c r="J41" s="9" t="str">
        <x:v>Prévoir attente, orientation et réaction au contexte ; conserver les repères décrits dans la silhouette pendant les changements de direction. Les mouvements sont des créations du fan game.</x:v>
      </x:c>
      <x:c r="K41" s="9" t="str">
        <x:v>Créer des bruitages et ambiances originaux adaptés au livrable ; sous-titrer les indices utiles et proposer un réglage indépendant des effets. Aucune extraction audio demandée.</x:v>
      </x:c>
      <x:c r="L41" s="9" t="str">
        <x:v>Prévu : fiche de données mea/npcs/spender ; rattacher les ressources et états cités à cet identifiant. Aucun fichier de jeu créé par ce catalogue.</x:v>
      </x:c>
      <x:c r="M41" s="9" t="str">
        <x:v>Krogan Betrayal.</x:v>
      </x:c>
      <x:c r="N41" s="9" t="str">
        <x:v>Le livrable « William Spender » possède une scène ou un scénario de contrôle ; ses règles proposées, ses conditions et ses retours visuels sont vérifiables séparément.</x:v>
      </x:c>
      <x:c r="O41" s="9" t="str"/>
      <x:c r="P41" s="9" t="str">
        <x:v>William Spender</x:v>
      </x:c>
      <x:c r="Q41" s="9" t="str">
        <x:v>MEA-SRC-CHAR, MEA-SRC-MISSIONS</x:v>
      </x:c>
      <x:c r="R41" s="9" t="str">
        <x:v>https://masseffect.fandom.com/wiki/Characters/Mass_Effect%3A_Andromeda
https://masseffect.fandom.com/wiki/Missions_%28Mass_Effect%3A_Andromeda%29</x:v>
      </x:c>
      <x:c r="S41" s="9" t="str">
        <x:v>Spécification à réaliser. Les champs adaptation, gameplay, visual, animation, audio et implementation décrivent le fan game ; ils ne donnent pas des caractéristiques officielles de l’œuvre.</x:v>
      </x:c>
    </x:row>
    <x:row r="42" ht="68" customHeight="1">
      <x:c r="A42" s="19" t="str">
        <x:v>MEA-NPC-SID</x:v>
      </x:c>
      <x:c r="B42" s="7" t="str">
        <x:v>Sid Nyx</x:v>
      </x:c>
      <x:c r="C42" s="15" t="str">
        <x:v>Défini</x:v>
      </x:c>
      <x:c r="D42" s="17" t="str">
        <x:v>Établi</x:v>
      </x:c>
      <x:c r="E42" s="17" t="str">
        <x:v>P1</x:v>
      </x:c>
      <x:c r="F42" s="7" t="str">
        <x:v>Sœur de Vetra.</x:v>
      </x:c>
      <x:c r="G42" s="7" t="str">
        <x:v>Messages et intervention de mission ; relation de sœurs séparée de celle de Ryder/Vetra.</x:v>
      </x:c>
      <x:c r="H42" s="7" t="str">
        <x:v>Messages et intervention de mission ; relation de sœurs séparée de celle de Ryder/Vetra.</x:v>
      </x:c>
      <x:c r="I42" s="7" t="str">
        <x:v>Jeune turienne et portrait de communication.</x:v>
      </x:c>
      <x:c r="J42" s="7" t="str">
        <x:v>Prévoir attente, orientation et réaction au contexte ; conserver les repères décrits dans la silhouette pendant les changements de direction. Les mouvements sont des créations du fan game.</x:v>
      </x:c>
      <x:c r="K42" s="7" t="str">
        <x:v>Créer des bruitages et ambiances originaux adaptés au livrable ; sous-titrer les indices utiles et proposer un réglage indépendant des effets. Aucune extraction audio demandée.</x:v>
      </x:c>
      <x:c r="L42" s="7" t="str">
        <x:v>Prévu : fiche de données mea/npcs/sid ; rattacher les ressources et états cités à cet identifiant. Aucun fichier de jeu créé par ce catalogue.</x:v>
      </x:c>
      <x:c r="M42" s="7" t="str">
        <x:v>Arc de Vetra.</x:v>
      </x:c>
      <x:c r="N42" s="7" t="str">
        <x:v>Le livrable « Sid Nyx » possède une scène ou un scénario de contrôle ; ses règles proposées, ses conditions et ses retours visuels sont vérifiables séparément.</x:v>
      </x:c>
      <x:c r="O42" s="7" t="str"/>
      <x:c r="P42" s="7" t="str">
        <x:v>Sid Nyx</x:v>
      </x:c>
      <x:c r="Q42" s="7" t="str">
        <x:v>MEA-SRC-VETRA, MEA-SRC-CHAR</x:v>
      </x:c>
      <x:c r="R42" s="7" t="str">
        <x:v>https://masseffect.fandom.com/wiki/Vetra_Nyx
https://masseffect.fandom.com/wiki/Characters/Mass_Effect%3A_Andromeda</x:v>
      </x:c>
      <x:c r="S42" s="7" t="str">
        <x:v>Spécification à réaliser. Les champs adaptation, gameplay, visual, animation, audio et implementation décrivent le fan game ; ils ne donnent pas des caractéristiques officielles de l’œuvre.</x:v>
      </x:c>
    </x:row>
    <x:row r="43" ht="68" customHeight="1">
      <x:c r="A43" s="18" t="str">
        <x:v>MEA-NPC-KALINDA</x:v>
      </x:c>
      <x:c r="B43" s="9" t="str">
        <x:v>Kalinda T’Reve</x:v>
      </x:c>
      <x:c r="C43" s="15" t="str">
        <x:v>Défini</x:v>
      </x:c>
      <x:c r="D43" s="16" t="str">
        <x:v>Établi</x:v>
      </x:c>
      <x:c r="E43" s="16" t="str">
        <x:v>P1</x:v>
      </x:c>
      <x:c r="F43" s="9" t="str">
        <x:v>Personnage du passé de Peebee.</x:v>
      </x:c>
      <x:c r="G43" s="9" t="str">
        <x:v>Rivalité, poursuite et résolution conditionnelle ; secours ou tir produisent des retours différents.</x:v>
      </x:c>
      <x:c r="H43" s="9" t="str">
        <x:v>Rivalité, poursuite et résolution conditionnelle ; secours ou tir produisent des retours différents.</x:v>
      </x:c>
      <x:c r="I43" s="9" t="str">
        <x:v>Asari et tenue de voyage.</x:v>
      </x:c>
      <x:c r="J43" s="9" t="str">
        <x:v>Prévoir attente, orientation et réaction au contexte ; conserver les repères décrits dans la silhouette pendant les changements de direction. Les mouvements sont des créations du fan game.</x:v>
      </x:c>
      <x:c r="K43" s="9" t="str">
        <x:v>Créer des bruitages et ambiances originaux adaptés au livrable ; sous-titrer les indices utiles et proposer un réglage indépendant des effets. Aucune extraction audio demandée.</x:v>
      </x:c>
      <x:c r="L43" s="9" t="str">
        <x:v>Prévu : fiche de données mea/npcs/kalinda ; rattacher les ressources et états cités à cet identifiant. Aucun fichier de jeu créé par ce catalogue.</x:v>
      </x:c>
      <x:c r="M43" s="9" t="str">
        <x:v>Arc de Peebee.</x:v>
      </x:c>
      <x:c r="N43" s="9" t="str">
        <x:v>Le livrable « Kalinda T’Reve » possède une scène ou un scénario de contrôle ; ses règles proposées, ses conditions et ses retours visuels sont vérifiables séparément.</x:v>
      </x:c>
      <x:c r="O43" s="9" t="str"/>
      <x:c r="P43" s="9" t="str">
        <x:v>Kalinda T’Reve</x:v>
      </x:c>
      <x:c r="Q43" s="9" t="str">
        <x:v>MEA-SRC-PEEBEE-LOYAL</x:v>
      </x:c>
      <x:c r="R43" s="9" t="str">
        <x:v>https://masseffect.fandom.com/wiki/Peebee%3A_A_Mysterious_Remnant_Signal</x:v>
      </x:c>
      <x:c r="S43" s="9" t="str">
        <x:v>Spécification à réaliser. Les champs adaptation, gameplay, visual, animation, audio et implementation décrivent le fan game ; ils ne donnent pas des caractéristiques officielles de l’œuvre.</x:v>
      </x:c>
    </x:row>
    <x:row r="44" ht="68" customHeight="1">
      <x:c r="A44" s="19" t="str">
        <x:v>MEA-NPC-KIIRAN</x:v>
      </x:c>
      <x:c r="B44" s="7" t="str">
        <x:v>Kiiran Dals</x:v>
      </x:c>
      <x:c r="C44" s="15" t="str">
        <x:v>Défini</x:v>
      </x:c>
      <x:c r="D44" s="17" t="str">
        <x:v>Établi</x:v>
      </x:c>
      <x:c r="E44" s="17" t="str">
        <x:v>P1</x:v>
      </x:c>
      <x:c r="F44" s="7" t="str">
        <x:v>Chercheuse angara de Havarl.</x:v>
      </x:c>
      <x:c r="G44" s="7" t="str">
        <x:v>Point d’enquête de planète et aide scientifique ; tableau d’indices plutôt que longue exposition obligatoire.</x:v>
      </x:c>
      <x:c r="H44" s="7" t="str">
        <x:v>Point d’enquête de planète et aide scientifique ; tableau d’indices plutôt que longue exposition obligatoire.</x:v>
      </x:c>
      <x:c r="I44" s="7" t="str">
        <x:v>Angara au poste de recherche.</x:v>
      </x:c>
      <x:c r="J44" s="7" t="str">
        <x:v>Prévoir attente, orientation et réaction au contexte ; conserver les repères décrits dans la silhouette pendant les changements de direction. Les mouvements sont des créations du fan game.</x:v>
      </x:c>
      <x:c r="K44" s="7" t="str">
        <x:v>Créer des bruitages et ambiances originaux adaptés au livrable ; sous-titrer les indices utiles et proposer un réglage indépendant des effets. Aucune extraction audio demandée.</x:v>
      </x:c>
      <x:c r="L44" s="7" t="str">
        <x:v>Prévu : fiche de données mea/npcs/kiiran ; rattacher les ressources et états cités à cet identifiant. Aucun fichier de jeu créé par ce catalogue.</x:v>
      </x:c>
      <x:c r="M44" s="7" t="str"/>
      <x:c r="N44" s="7" t="str">
        <x:v>Le livrable « Kiiran Dals » possède une scène ou un scénario de contrôle ; ses règles proposées, ses conditions et ses retours visuels sont vérifiables séparément.</x:v>
      </x:c>
      <x:c r="O44" s="7" t="str"/>
      <x:c r="P44" s="7" t="str">
        <x:v>Kiiran Dals</x:v>
      </x:c>
      <x:c r="Q44" s="7" t="str">
        <x:v>MEA-SRC-CHAR, MEA-SRC-MISSIONS</x:v>
      </x:c>
      <x:c r="R44" s="7" t="str">
        <x:v>https://masseffect.fandom.com/wiki/Characters/Mass_Effect%3A_Andromeda
https://masseffect.fandom.com/wiki/Missions_%28Mass_Effect%3A_Andromeda%29</x:v>
      </x:c>
      <x:c r="S44" s="7" t="str">
        <x:v>Spécification à réaliser. Les champs adaptation, gameplay, visual, animation, audio et implementation décrivent le fan game ; ils ne donnent pas des caractéristiques officielles de l’œuvre.</x:v>
      </x:c>
    </x:row>
    <x:row r="45" ht="68" customHeight="1">
      <x:c r="A45" s="18" t="str">
        <x:v>MEA-NPC-ESMUS</x:v>
      </x:c>
      <x:c r="B45" s="9" t="str">
        <x:v>First Sage Esmus</x:v>
      </x:c>
      <x:c r="C45" s="15" t="str">
        <x:v>Défini</x:v>
      </x:c>
      <x:c r="D45" s="16" t="str">
        <x:v>Établi</x:v>
      </x:c>
      <x:c r="E45" s="16" t="str">
        <x:v>P1</x:v>
      </x:c>
      <x:c r="F45" s="9" t="str">
        <x:v>Sage de Havarl.</x:v>
      </x:c>
      <x:c r="G45" s="9" t="str">
        <x:v>Entretien de progression vers le caveau ; vocabulaire angara expliqué sans remplacer ses croyances par une certitude universelle.</x:v>
      </x:c>
      <x:c r="H45" s="9" t="str">
        <x:v>Entretien de progression vers le caveau ; vocabulaire angara expliqué sans remplacer ses croyances par une certitude universelle.</x:v>
      </x:c>
      <x:c r="I45" s="9" t="str">
        <x:v>Sanctuaire de Mithrava et tenue de sage.</x:v>
      </x:c>
      <x:c r="J45" s="9" t="str">
        <x:v>Prévoir attente, orientation et réaction au contexte ; conserver les repères décrits dans la silhouette pendant les changements de direction. Les mouvements sont des créations du fan game.</x:v>
      </x:c>
      <x:c r="K45" s="9" t="str">
        <x:v>Créer des bruitages et ambiances originaux adaptés au livrable ; sous-titrer les indices utiles et proposer un réglage indépendant des effets. Aucune extraction audio demandée.</x:v>
      </x:c>
      <x:c r="L45" s="9" t="str">
        <x:v>Prévu : fiche de données mea/npcs/esmus ; rattacher les ressources et états cités à cet identifiant. Aucun fichier de jeu créé par ce catalogue.</x:v>
      </x:c>
      <x:c r="M45" s="9" t="str"/>
      <x:c r="N45" s="9" t="str">
        <x:v>Le livrable « First Sage Esmus » possède une scène ou un scénario de contrôle ; ses règles proposées, ses conditions et ses retours visuels sont vérifiables séparément.</x:v>
      </x:c>
      <x:c r="O45" s="9" t="str"/>
      <x:c r="P45" s="9" t="str">
        <x:v>First Sage Esmus</x:v>
      </x:c>
      <x:c r="Q45" s="9" t="str">
        <x:v>MEA-SRC-CHAR, MEA-SRC-MISSIONS</x:v>
      </x:c>
      <x:c r="R45" s="9" t="str">
        <x:v>https://masseffect.fandom.com/wiki/Characters/Mass_Effect%3A_Andromeda
https://masseffect.fandom.com/wiki/Missions_%28Mass_Effect%3A_Andromeda%29</x:v>
      </x:c>
      <x:c r="S45" s="9" t="str">
        <x:v>Spécification à réaliser. Les champs adaptation, gameplay, visual, animation, audio et implementation décrivent le fan game ; ils ne donnent pas des caractéristiques officielles de l’œuvre.</x:v>
      </x:c>
    </x:row>
    <x:row r="46" ht="68" customHeight="1">
      <x:c r="A46" s="19" t="str">
        <x:v>MEA-NPC-TAAVOS</x:v>
      </x:c>
      <x:c r="B46" s="7" t="str">
        <x:v>Taavos</x:v>
      </x:c>
      <x:c r="C46" s="15" t="str">
        <x:v>Défini</x:v>
      </x:c>
      <x:c r="D46" s="17" t="str">
        <x:v>Établi</x:v>
      </x:c>
      <x:c r="E46" s="17" t="str">
        <x:v>P1</x:v>
      </x:c>
      <x:c r="F46" s="7" t="str">
        <x:v>Angara de l’arc Havarl.</x:v>
      </x:c>
      <x:c r="G46" s="7" t="str">
        <x:v>Guide contextuel lié à A Dying Planet ; suivi de déplacement robuste dans forêt dense.</x:v>
      </x:c>
      <x:c r="H46" s="7" t="str">
        <x:v>Guide contextuel lié à A Dying Planet ; suivi de déplacement robuste dans forêt dense.</x:v>
      </x:c>
      <x:c r="I46" s="7" t="str">
        <x:v>Angara en tenue de terrain.</x:v>
      </x:c>
      <x:c r="J46" s="7" t="str">
        <x:v>Prévoir attente, orientation et réaction au contexte ; conserver les repères décrits dans la silhouette pendant les changements de direction. Les mouvements sont des créations du fan game.</x:v>
      </x:c>
      <x:c r="K46" s="7" t="str">
        <x:v>Créer des bruitages et ambiances originaux adaptés au livrable ; sous-titrer les indices utiles et proposer un réglage indépendant des effets. Aucune extraction audio demandée.</x:v>
      </x:c>
      <x:c r="L46" s="7" t="str">
        <x:v>Prévu : fiche de données mea/npcs/taavos ; rattacher les ressources et états cités à cet identifiant. Aucun fichier de jeu créé par ce catalogue.</x:v>
      </x:c>
      <x:c r="M46" s="7" t="str">
        <x:v>Arc de Havarl.</x:v>
      </x:c>
      <x:c r="N46" s="7" t="str">
        <x:v>Le livrable « Taavos » possède une scène ou un scénario de contrôle ; ses règles proposées, ses conditions et ses retours visuels sont vérifiables séparément.</x:v>
      </x:c>
      <x:c r="O46" s="7" t="str"/>
      <x:c r="P46" s="7" t="str">
        <x:v>Taavos</x:v>
      </x:c>
      <x:c r="Q46" s="7" t="str">
        <x:v>MEA-SRC-CHAR, MEA-SRC-MISSIONS</x:v>
      </x:c>
      <x:c r="R46" s="7" t="str">
        <x:v>https://masseffect.fandom.com/wiki/Characters/Mass_Effect%3A_Andromeda
https://masseffect.fandom.com/wiki/Missions_%28Mass_Effect%3A_Andromeda%29</x:v>
      </x:c>
      <x:c r="S46" s="7" t="str">
        <x:v>Spécification à réaliser. Les champs adaptation, gameplay, visual, animation, audio et implementation décrivent le fan game ; ils ne donnent pas des caractéristiques officielles de l’œuvre.</x:v>
      </x:c>
    </x:row>
    <x:row r="47" ht="68" customHeight="1">
      <x:c r="A47" s="18" t="str">
        <x:v>MEA-NPC-NILKEN</x:v>
      </x:c>
      <x:c r="B47" s="9" t="str">
        <x:v>Nilken Rensus</x:v>
      </x:c>
      <x:c r="C47" s="15" t="str">
        <x:v>Défini</x:v>
      </x:c>
      <x:c r="D47" s="16" t="str">
        <x:v>Établi</x:v>
      </x:c>
      <x:c r="E47" s="16" t="str">
        <x:v>P1</x:v>
      </x:c>
      <x:c r="F47" s="9" t="str">
        <x:v>Accusé de meurtre sur le Nexus.</x:v>
      </x:c>
      <x:c r="G47" s="9" t="str">
        <x:v>Dialogue de détenu et enquête ; séparer intention, fait matériel et décision politique finale.</x:v>
      </x:c>
      <x:c r="H47" s="9" t="str">
        <x:v>Dialogue de détenu et enquête ; séparer intention, fait matériel et décision politique finale.</x:v>
      </x:c>
      <x:c r="I47" s="9" t="str">
        <x:v>Turien derrière une barrière de cellule.</x:v>
      </x:c>
      <x:c r="J47" s="9" t="str">
        <x:v>Prévoir attente, orientation et réaction au contexte ; conserver les repères décrits dans la silhouette pendant les changements de direction. Les mouvements sont des créations du fan game.</x:v>
      </x:c>
      <x:c r="K47" s="9" t="str">
        <x:v>Créer des bruitages et ambiances originaux adaptés au livrable ; sous-titrer les indices utiles et proposer un réglage indépendant des effets. Aucune extraction audio demandée.</x:v>
      </x:c>
      <x:c r="L47" s="9" t="str">
        <x:v>Prévu : fiche de données mea/npcs/nilken ; rattacher les ressources et états cités à cet identifiant. Aucun fichier de jeu créé par ce catalogue.</x:v>
      </x:c>
      <x:c r="M47" s="9" t="str">
        <x:v>First Murderer.</x:v>
      </x:c>
      <x:c r="N47" s="9" t="str">
        <x:v>Le livrable « Nilken Rensus » possède une scène ou un scénario de contrôle ; ses règles proposées, ses conditions et ses retours visuels sont vérifiables séparément.</x:v>
      </x:c>
      <x:c r="O47" s="9" t="str"/>
      <x:c r="P47" s="9" t="str">
        <x:v>Nilken Rensus</x:v>
      </x:c>
      <x:c r="Q47" s="9" t="str">
        <x:v>MEA-SRC-NILKEN, MEA-SRC-MURDER</x:v>
      </x:c>
      <x:c r="R47" s="9" t="str">
        <x:v>https://masseffect.fandom.com/wiki/Nilken_Rensus
https://masseffect.fandom.com/wiki/First_Murderer</x:v>
      </x:c>
      <x:c r="S47" s="9" t="str">
        <x:v>Spécification à réaliser. Les champs adaptation, gameplay, visual, animation, audio et implementation décrivent le fan game ; ils ne donnent pas des caractéristiques officielles de l’œuvre.</x:v>
      </x:c>
    </x:row>
    <x:row r="48" ht="68" customHeight="1">
      <x:c r="A48" s="19" t="str">
        <x:v>MEA-NPC-MARIETTE</x:v>
      </x:c>
      <x:c r="B48" s="7" t="str">
        <x:v>Mariette</x:v>
      </x:c>
      <x:c r="C48" s="15" t="str">
        <x:v>Défini</x:v>
      </x:c>
      <x:c r="D48" s="17" t="str">
        <x:v>Établi</x:v>
      </x:c>
      <x:c r="E48" s="17" t="str">
        <x:v>P1</x:v>
      </x:c>
      <x:c r="F48" s="7" t="str">
        <x:v>Épouse de Nilken.</x:v>
      </x:c>
      <x:c r="G48" s="7" t="str">
        <x:v>Demande d’enquête puis réponse selon verdict ; ne pas répéter la quête après clôture.</x:v>
      </x:c>
      <x:c r="H48" s="7" t="str">
        <x:v>Demande d’enquête puis réponse selon verdict ; ne pas répéter la quête après clôture.</x:v>
      </x:c>
      <x:c r="I48" s="7" t="str">
        <x:v>Turienne près de la milice.</x:v>
      </x:c>
      <x:c r="J48" s="7" t="str">
        <x:v>Prévoir attente, orientation et réaction au contexte ; conserver les repères décrits dans la silhouette pendant les changements de direction. Les mouvements sont des créations du fan game.</x:v>
      </x:c>
      <x:c r="K48" s="7" t="str">
        <x:v>Créer des bruitages et ambiances originaux adaptés au livrable ; sous-titrer les indices utiles et proposer un réglage indépendant des effets. Aucune extraction audio demandée.</x:v>
      </x:c>
      <x:c r="L48" s="7" t="str">
        <x:v>Prévu : fiche de données mea/npcs/mariette ; rattacher les ressources et états cités à cet identifiant. Aucun fichier de jeu créé par ce catalogue.</x:v>
      </x:c>
      <x:c r="M48" s="7" t="str">
        <x:v>First Murderer.</x:v>
      </x:c>
      <x:c r="N48" s="7" t="str">
        <x:v>Le livrable « Mariette » possède une scène ou un scénario de contrôle ; ses règles proposées, ses conditions et ses retours visuels sont vérifiables séparément.</x:v>
      </x:c>
      <x:c r="O48" s="7" t="str"/>
      <x:c r="P48" s="7" t="str">
        <x:v>Mariette</x:v>
      </x:c>
      <x:c r="Q48" s="7" t="str">
        <x:v>MEA-SRC-MURDER</x:v>
      </x:c>
      <x:c r="R48" s="7" t="str">
        <x:v>https://masseffect.fandom.com/wiki/First_Murderer</x:v>
      </x:c>
      <x:c r="S48" s="7" t="str">
        <x:v>Spécification à réaliser. Les champs adaptation, gameplay, visual, animation, audio et implementation décrivent le fan game ; ils ne donnent pas des caractéristiques officielles de l’œuvre.</x:v>
      </x:c>
    </x:row>
    <x:row r="49" ht="68" customHeight="1">
      <x:c r="A49" s="18" t="str">
        <x:v>MEA-NPC-PRIMUS</x:v>
      </x:c>
      <x:c r="B49" s="9" t="str">
        <x:v>La Primus</x:v>
      </x:c>
      <x:c r="C49" s="15" t="str">
        <x:v>Défini</x:v>
      </x:c>
      <x:c r="D49" s="16" t="str">
        <x:v>Établi</x:v>
      </x:c>
      <x:c r="E49" s="16" t="str">
        <x:v>P1</x:v>
      </x:c>
      <x:c r="F49" s="9" t="str">
        <x:v>Dirigeante kett.</x:v>
      </x:c>
      <x:c r="G49" s="9" t="str">
        <x:v>Proposition et rivalité avec l’Archonte à accès conditionnel ; toute coopération garde sa provenance dans le journal.</x:v>
      </x:c>
      <x:c r="H49" s="9" t="str">
        <x:v>Proposition et rivalité avec l’Archonte à accès conditionnel ; toute coopération garde sa provenance dans le journal.</x:v>
      </x:c>
      <x:c r="I49" s="9" t="str">
        <x:v>Kett de commandement et communication.</x:v>
      </x:c>
      <x:c r="J49" s="9" t="str">
        <x:v>Prévoir attente, orientation et réaction au contexte ; conserver les repères décrits dans la silhouette pendant les changements de direction. Les mouvements sont des créations du fan game.</x:v>
      </x:c>
      <x:c r="K49" s="9" t="str">
        <x:v>Créer des bruitages et ambiances originaux adaptés au livrable ; sous-titrer les indices utiles et proposer un réglage indépendant des effets. Aucune extraction audio demandée.</x:v>
      </x:c>
      <x:c r="L49" s="9" t="str">
        <x:v>Prévu : fiche de données mea/npcs/primus ; rattacher les ressources et états cités à cet identifiant. Aucun fichier de jeu créé par ce catalogue.</x:v>
      </x:c>
      <x:c r="M49" s="9" t="str">
        <x:v>Arc secondaire de renseignement.</x:v>
      </x:c>
      <x:c r="N49" s="9" t="str">
        <x:v>Le livrable « La Primus » possède une scène ou un scénario de contrôle ; ses règles proposées, ses conditions et ses retours visuels sont vérifiables séparément.</x:v>
      </x:c>
      <x:c r="O49" s="9" t="str"/>
      <x:c r="P49" s="9" t="str">
        <x:v>La Primus</x:v>
      </x:c>
      <x:c r="Q49" s="9" t="str">
        <x:v>MEA-SRC-CHAR, MEA-SRC-MISSIONS</x:v>
      </x:c>
      <x:c r="R49" s="9" t="str">
        <x:v>https://masseffect.fandom.com/wiki/Characters/Mass_Effect%3A_Andromeda
https://masseffect.fandom.com/wiki/Missions_%28Mass_Effect%3A_Andromeda%29</x:v>
      </x:c>
      <x:c r="S49" s="9" t="str">
        <x:v>Spécification à réaliser. Les champs adaptation, gameplay, visual, animation, audio et implementation décrivent le fan game ; ils ne donnent pas des caractéristiques officielles de l’œuvre.</x:v>
      </x:c>
    </x:row>
    <x:row r="50" ht="68" customHeight="1">
      <x:c r="A50" s="19" t="str">
        <x:v>MEA-NPC-RYNN</x:v>
      </x:c>
      <x:c r="B50" s="7" t="str">
        <x:v>Spécialiste Rynn Gee</x:v>
      </x:c>
      <x:c r="C50" s="15" t="str">
        <x:v>Défini</x:v>
      </x:c>
      <x:c r="D50" s="17" t="str">
        <x:v>Établi</x:v>
      </x:c>
      <x:c r="E50" s="17" t="str">
        <x:v>P1</x:v>
      </x:c>
      <x:c r="F50" s="7" t="str">
        <x:v>Interlocutrice de Port Meridian.</x:v>
      </x:c>
      <x:c r="G50" s="7" t="str">
        <x:v>Transmet le signal de l’arche quarienne ; message d’alerte conservé sans fabriquer de suite jouable.</x:v>
      </x:c>
      <x:c r="H50" s="7" t="str">
        <x:v>Transmet le signal de l’arche quarienne ; message d’alerte conservé sans fabriquer de suite jouable.</x:v>
      </x:c>
      <x:c r="I50" s="7" t="str">
        <x:v>Uniforme et terminal d’écoute.</x:v>
      </x:c>
      <x:c r="J50" s="7" t="str">
        <x:v>Prévoir attente, orientation et réaction au contexte ; conserver les repères décrits dans la silhouette pendant les changements de direction. Les mouvements sont des créations du fan game.</x:v>
      </x:c>
      <x:c r="K50" s="7" t="str">
        <x:v>Créer des bruitages et ambiances originaux adaptés au livrable ; sous-titrer les indices utiles et proposer un réglage indépendant des effets. Aucune extraction audio demandée.</x:v>
      </x:c>
      <x:c r="L50" s="7" t="str">
        <x:v>Prévu : fiche de données mea/npcs/rynn ; rattacher les ressources et états cités à cet identifiant. Aucun fichier de jeu créé par ce catalogue.</x:v>
      </x:c>
      <x:c r="M50" s="7" t="str">
        <x:v>Épilogue.</x:v>
      </x:c>
      <x:c r="N50" s="7" t="str">
        <x:v>Le livrable « Spécialiste Rynn Gee » possède une scène ou un scénario de contrôle ; ses règles proposées, ses conditions et ses retours visuels sont vérifiables séparément.</x:v>
      </x:c>
      <x:c r="O50" s="7" t="str"/>
      <x:c r="P50" s="7" t="str">
        <x:v>Spécialiste Rynn Gee</x:v>
      </x:c>
      <x:c r="Q50" s="7" t="str">
        <x:v>MEA-SRC-EPILOGUE</x:v>
      </x:c>
      <x:c r="R50" s="7" t="str">
        <x:v>https://masseffect.fandom.com/wiki/Epilogue%3A_Home_and_Away</x:v>
      </x:c>
      <x:c r="S50" s="7" t="str">
        <x:v>Spécification à réaliser. Les champs adaptation, gameplay, visual, animation, audio et implementation décrivent le fan game ; ils ne donnent pas des caractéristiques officielles de l’œuvre.</x:v>
      </x:c>
    </x:row>
    <x:row r="51" ht="68" customHeight="1">
      <x:c r="A51" s="18" t="str">
        <x:v>MEA-NPC-KERI</x:v>
      </x:c>
      <x:c r="B51" s="9" t="str">
        <x:v>Keri T’Vessa</x:v>
      </x:c>
      <x:c r="C51" s="15" t="str">
        <x:v>Défini</x:v>
      </x:c>
      <x:c r="D51" s="16" t="str">
        <x:v>Établi</x:v>
      </x:c>
      <x:c r="E51" s="16" t="str">
        <x:v>P1</x:v>
      </x:c>
      <x:c r="F51" s="9" t="str">
        <x:v>Journaliste du Nexus.</x:v>
      </x:c>
      <x:c r="G51" s="9" t="str">
        <x:v>Interviews aux fenêtres de campagne, amitié et relation séparées ; témoignage sur découverte réelle seulement.</x:v>
      </x:c>
      <x:c r="H51" s="9" t="str">
        <x:v>Interviews aux fenêtres de campagne, amitié et relation séparées ; témoignage sur découverte réelle seulement.</x:v>
      </x:c>
      <x:c r="I51" s="9" t="str">
        <x:v>Asari et matériel de reportage.</x:v>
      </x:c>
      <x:c r="J51" s="9" t="str">
        <x:v>Prévoir attente, orientation et réaction au contexte ; conserver les repères décrits dans la silhouette pendant les changements de direction. Les mouvements sont des créations du fan game.</x:v>
      </x:c>
      <x:c r="K51" s="9" t="str">
        <x:v>Créer des bruitages et ambiances originaux adaptés au livrable ; sous-titrer les indices utiles et proposer un réglage indépendant des effets. Aucune extraction audio demandée.</x:v>
      </x:c>
      <x:c r="L51" s="9" t="str">
        <x:v>Prévu : fiche de données mea/npcs/keri ; rattacher les ressources et états cités à cet identifiant. Aucun fichier de jeu créé par ce catalogue.</x:v>
      </x:c>
      <x:c r="M51" s="9" t="str"/>
      <x:c r="N51" s="9" t="str">
        <x:v>Le livrable « Keri T’Vessa » possède une scène ou un scénario de contrôle ; ses règles proposées, ses conditions et ses retours visuels sont vérifiables séparément.</x:v>
      </x:c>
      <x:c r="O51" s="9" t="str"/>
      <x:c r="P51" s="9" t="str">
        <x:v>Keri T’Vessa</x:v>
      </x:c>
      <x:c r="Q51" s="9" t="str">
        <x:v>MEA-SRC-CHAR</x:v>
      </x:c>
      <x:c r="R51" s="9" t="str">
        <x:v>https://masseffect.fandom.com/wiki/Characters/Mass_Effect%3A_Andromeda</x:v>
      </x:c>
      <x:c r="S51" s="9" t="str">
        <x:v>Spécification à réaliser. Les champs adaptation, gameplay, visual, animation, audio et implementation décrivent le fan game ; ils ne donnent pas des caractéristiques officielles de l’œuvre.</x:v>
      </x:c>
    </x:row>
    <x:row r="52" ht="68" customHeight="1">
      <x:c r="A52" s="19" t="str">
        <x:v>MEA-NPC-AVELA</x:v>
      </x:c>
      <x:c r="B52" s="7" t="str">
        <x:v>Avela Kjar</x:v>
      </x:c>
      <x:c r="C52" s="15" t="str">
        <x:v>Défini</x:v>
      </x:c>
      <x:c r="D52" s="17" t="str">
        <x:v>Établi</x:v>
      </x:c>
      <x:c r="E52" s="17" t="str">
        <x:v>P1</x:v>
      </x:c>
      <x:c r="F52" s="7" t="str">
        <x:v>Chercheuse angara d’Aya.</x:v>
      </x:c>
      <x:c r="G52" s="7" t="str">
        <x:v>Réception d’artefacts et conversations culturelles ; lien personnel ne change pas le contenu des archives par magie.</x:v>
      </x:c>
      <x:c r="H52" s="7" t="str">
        <x:v>Réception d’artefacts et conversations culturelles ; lien personnel ne change pas le contenu des archives par magie.</x:v>
      </x:c>
      <x:c r="I52" s="7" t="str">
        <x:v>Angara au musée et outils de recherche.</x:v>
      </x:c>
      <x:c r="J52" s="7" t="str">
        <x:v>Prévoir attente, orientation et réaction au contexte ; conserver les repères décrits dans la silhouette pendant les changements de direction. Les mouvements sont des créations du fan game.</x:v>
      </x:c>
      <x:c r="K52" s="7" t="str">
        <x:v>Créer des bruitages et ambiances originaux adaptés au livrable ; sous-titrer les indices utiles et proposer un réglage indépendant des effets. Aucune extraction audio demandée.</x:v>
      </x:c>
      <x:c r="L52" s="7" t="str">
        <x:v>Prévu : fiche de données mea/npcs/avela ; rattacher les ressources et états cités à cet identifiant. Aucun fichier de jeu créé par ce catalogue.</x:v>
      </x:c>
      <x:c r="M52" s="7" t="str"/>
      <x:c r="N52" s="7" t="str">
        <x:v>Le livrable « Avela Kjar » possède une scène ou un scénario de contrôle ; ses règles proposées, ses conditions et ses retours visuels sont vérifiables séparément.</x:v>
      </x:c>
      <x:c r="O52" s="7" t="str"/>
      <x:c r="P52" s="7" t="str">
        <x:v>Avela Kjar</x:v>
      </x:c>
      <x:c r="Q52" s="7" t="str">
        <x:v>MEA-SRC-CHAR, MEA-SRC-AYA-PAGE</x:v>
      </x:c>
      <x:c r="R52" s="7" t="str">
        <x:v>https://masseffect.fandom.com/wiki/Characters/Mass_Effect%3A_Andromeda
https://masseffect.fandom.com/wiki/Aya</x:v>
      </x:c>
      <x:c r="S52" s="7" t="str">
        <x:v>Spécification à réaliser. Les champs adaptation, gameplay, visual, animation, audio et implementation décrivent le fan game ; ils ne donnent pas des caractéristiques officielles de l’œuvre.</x:v>
      </x:c>
    </x:row>
    <x:row r="53" ht="68" customHeight="1">
      <x:c r="A53" s="18" t="str">
        <x:v>MEA-NPC-RAELIS</x:v>
      </x:c>
      <x:c r="B53" s="9" t="str">
        <x:v>Raelis</x:v>
      </x:c>
      <x:c r="C53" s="15" t="str">
        <x:v>Défini</x:v>
      </x:c>
      <x:c r="D53" s="16" t="str">
        <x:v>Établi</x:v>
      </x:c>
      <x:c r="E53" s="16" t="str">
        <x:v>P1</x:v>
      </x:c>
      <x:c r="F53" s="9" t="str">
        <x:v>Contact de renseignement.</x:v>
      </x:c>
      <x:c r="G53" s="9" t="str">
        <x:v>Reçoit les données de Know Your Enemy ; dossier complet et message final validés une seule fois.</x:v>
      </x:c>
      <x:c r="H53" s="9" t="str">
        <x:v>Reçoit les données de Know Your Enemy ; dossier complet et message final validés une seule fois.</x:v>
      </x:c>
      <x:c r="I53" s="9" t="str">
        <x:v>Angara et console de données.</x:v>
      </x:c>
      <x:c r="J53" s="9" t="str">
        <x:v>Prévoir attente, orientation et réaction au contexte ; conserver les repères décrits dans la silhouette pendant les changements de direction. Les mouvements sont des créations du fan game.</x:v>
      </x:c>
      <x:c r="K53" s="9" t="str">
        <x:v>Créer des bruitages et ambiances originaux adaptés au livrable ; sous-titrer les indices utiles et proposer un réglage indépendant des effets. Aucune extraction audio demandée.</x:v>
      </x:c>
      <x:c r="L53" s="9" t="str">
        <x:v>Prévu : fiche de données mea/npcs/raelis ; rattacher les ressources et états cités à cet identifiant. Aucun fichier de jeu créé par ce catalogue.</x:v>
      </x:c>
      <x:c r="M53" s="9" t="str"/>
      <x:c r="N53" s="9" t="str">
        <x:v>Le livrable « Raelis » possède une scène ou un scénario de contrôle ; ses règles proposées, ses conditions et ses retours visuels sont vérifiables séparément.</x:v>
      </x:c>
      <x:c r="O53" s="9" t="str"/>
      <x:c r="P53" s="9" t="str">
        <x:v>Raelis</x:v>
      </x:c>
      <x:c r="Q53" s="9" t="str">
        <x:v>MEA-SRC-MISSIONS, MEA-SRC-CHAR</x:v>
      </x:c>
      <x:c r="R53" s="9" t="str">
        <x:v>https://masseffect.fandom.com/wiki/Missions_%28Mass_Effect%3A_Andromeda%29
https://masseffect.fandom.com/wiki/Characters/Mass_Effect%3A_Andromeda</x:v>
      </x:c>
      <x:c r="S53" s="9" t="str">
        <x:v>Spécification à réaliser. Les champs adaptation, gameplay, visual, animation, audio et implementation décrivent le fan game ; ils ne donnent pas des caractéristiques officielles de l’œuvre.</x:v>
      </x:c>
    </x:row>
    <x:row r="54" ht="68" customHeight="1">
      <x:c r="A54" s="19" t="str">
        <x:v>MEA-NPC-HAINLY</x:v>
      </x:c>
      <x:c r="B54" s="7" t="str">
        <x:v>Hainly Abrams</x:v>
      </x:c>
      <x:c r="C54" s="15" t="str">
        <x:v>Défini</x:v>
      </x:c>
      <x:c r="D54" s="17" t="str">
        <x:v>Établi</x:v>
      </x:c>
      <x:c r="E54" s="17" t="str">
        <x:v>P1</x:v>
      </x:c>
      <x:c r="F54" s="7" t="str">
        <x:v>Personnage dont le dialogue fut ajusté.</x:v>
      </x:c>
      <x:c r="G54" s="7" t="str">
        <x:v>Utiliser le profil de dialogue postérieur au correctif retenu ; ne pas confondre texte de lancement et version 1.08.</x:v>
      </x:c>
      <x:c r="H54" s="7" t="str">
        <x:v>Utiliser le profil de dialogue postérieur au correctif retenu ; ne pas confondre texte de lancement et version 1.08.</x:v>
      </x:c>
      <x:c r="I54" s="7" t="str">
        <x:v>Scientifique humaine à l’avant-poste.</x:v>
      </x:c>
      <x:c r="J54" s="7" t="str">
        <x:v>Prévoir attente, orientation et réaction au contexte ; conserver les repères décrits dans la silhouette pendant les changements de direction. Les mouvements sont des créations du fan game.</x:v>
      </x:c>
      <x:c r="K54" s="7" t="str">
        <x:v>Créer des bruitages et ambiances originaux adaptés au livrable ; sous-titrer les indices utiles et proposer un réglage indépendant des effets. Aucune extraction audio demandée.</x:v>
      </x:c>
      <x:c r="L54" s="7" t="str">
        <x:v>Prévu : fiche de données mea/npcs/hainly ; rattacher les ressources et états cités à cet identifiant. Aucun fichier de jeu créé par ce catalogue.</x:v>
      </x:c>
      <x:c r="M54" s="7" t="str">
        <x:v>Version de patch explicitée.</x:v>
      </x:c>
      <x:c r="N54" s="7" t="str">
        <x:v>Le livrable « Hainly Abrams » possède une scène ou un scénario de contrôle ; ses règles proposées, ses conditions et ses retours visuels sont vérifiables séparément.</x:v>
      </x:c>
      <x:c r="O54" s="7" t="str"/>
      <x:c r="P54" s="7" t="str">
        <x:v>Hainly Abrams</x:v>
      </x:c>
      <x:c r="Q54" s="7" t="str">
        <x:v>MEA-SRC-BW-108</x:v>
      </x:c>
      <x:c r="R54" s="7" t="str">
        <x:v>https://blog.bioware.com/2017/06/06/mass-effect-andromeda-patch-1-08-notes/</x:v>
      </x:c>
      <x:c r="S54" s="7" t="str">
        <x:v>Spécification à réaliser. Les champs adaptation, gameplay, visual, animation, audio et implementation décrivent le fan game ; ils ne donnent pas des caractéristiques officielles de l’œuvre.</x:v>
      </x:c>
    </x:row>
  </x:sheetData>
  <x:conditionalFormatting sqref="D7:D54">
    <x:cfRule type="cellIs" dxfId="4" priority="1" operator="equal">
      <x:formula>"À vérifier"</x:formula>
    </x:cfRule>
    <x:cfRule type="cellIs" dxfId="5" priority="2" operator="equal">
      <x:formula>"Extrapolation"</x:formula>
    </x:cfRule>
  </x:conditionalFormatting>
  <x:conditionalFormatting sqref="C7:C54">
    <x:cfRule type="cellIs" dxfId="6" priority="3" operator="equal">
      <x:formula>"Validé"</x:formula>
    </x:cfRule>
  </x:conditionalFormatting>
  <x:conditionalFormatting sqref="E7:E54">
    <x:cfRule type="cellIs" dxfId="7" priority="4" operator="equal">
      <x:formula>"P0"</x:formula>
    </x:cfRule>
  </x:conditionalFormatting>
  <x:dataValidations count="3">
    <x:dataValidation type="list" sqref="C7:C54">
      <x:formula1>"Défini,Prototype,Intégré,Validé"</x:formula1>
    </x:dataValidation>
    <x:dataValidation type="list" sqref="D7:D54">
      <x:formula1>"Établi,À vérifier,Extrapolation,Coupé attesté,Concept abandonné,Allégation écartée"</x:formula1>
    </x:dataValidation>
    <x:dataValidation type="list" sqref="E7:E54">
      <x:formula1>"P0,P1,P2"</x:formula1>
    </x:dataValidation>
  </x:dataValidations>
  <x:pageMargins left="0.7" right="0.7" top="0.75" bottom="0.75" header="0.3" footer="0.3"/>
  <x:tableParts count="1">
    <x:tablePart xmlns:r="http://schemas.openxmlformats.org/officeDocument/2006/relationships" r:id="Rf05a099359a1406f"/>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6"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Andromeda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MEA-LOR-INITIATIVE</x:v>
      </x:c>
      <x:c r="B7" s="9" t="str">
        <x:v>Initiative Andromède</x:v>
      </x:c>
      <x:c r="C7" s="15" t="str">
        <x:v>Défini</x:v>
      </x:c>
      <x:c r="D7" s="16" t="str">
        <x:v>Établi</x:v>
      </x:c>
      <x:c r="E7" s="16" t="str">
        <x:v>P1</x:v>
      </x:c>
      <x:c r="F7" s="9" t="str">
        <x:v>Projet d’installation dans une autre galaxie.</x:v>
      </x:c>
      <x:c r="G7" s="9" t="str">
        <x:v>Codex de départ, attentes et difficultés à l’arrivée ; séparer rêve de colonisation et réalité locale rencontrée.</x:v>
      </x:c>
      <x:c r="H7" s="9" t="str">
        <x:v>Codex de départ, attentes et difficultés à l’arrivée ; séparer rêve de colonisation et réalité locale rencontrée.</x:v>
      </x:c>
      <x:c r="I7" s="9" t="str">
        <x:v>Emblème Initiative et schémas d’arches.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mea/lore/initiative ; rattacher les ressources et états cités à cet identifiant. Aucun fichier de jeu créé par ce catalogue.</x:v>
      </x:c>
      <x:c r="M7" s="9" t="str"/>
      <x:c r="N7" s="9" t="str">
        <x:v>Le livrable « Initiative Andromède » possède une scène ou un scénario de contrôle ; ses règles proposées, ses conditions et ses retours visuels sont vérifiables séparément.</x:v>
      </x:c>
      <x:c r="O7" s="9" t="str"/>
      <x:c r="P7" s="9" t="str">
        <x:v>Initiative Andromède</x:v>
      </x:c>
      <x:c r="Q7" s="9" t="str">
        <x:v>MEA-SRC-EA-GAME, MEA-SRC-CODEX</x:v>
      </x:c>
      <x:c r="R7" s="9" t="str">
        <x:v>https://www.ea.com/games/mass-effect/mass-effect-andromeda
https://masseffect.fandom.com/wiki/Codex_Entry_Guide_%28Mass_Effect%3A_Andromeda%29</x:v>
      </x:c>
      <x:c r="S7" s="9" t="str">
        <x:v>Spécification à réaliser. Les champs adaptation, gameplay, visual, animation, audio et implementation décrivent le fan game ; ils ne donnent pas des caractéristiques officielles de l’œuvre.</x:v>
      </x:c>
    </x:row>
    <x:row r="8" ht="68" customHeight="1">
      <x:c r="A8" s="19" t="str">
        <x:v>MEA-LOR-PATHFINDER</x:v>
      </x:c>
      <x:c r="B8" s="7" t="str">
        <x:v>Pionnier / Pathfinder</x:v>
      </x:c>
      <x:c r="C8" s="15" t="str">
        <x:v>Défini</x:v>
      </x:c>
      <x:c r="D8" s="17" t="str">
        <x:v>Établi</x:v>
      </x:c>
      <x:c r="E8" s="17" t="str">
        <x:v>P1</x:v>
      </x:c>
      <x:c r="F8" s="7" t="str">
        <x:v>Ryder mène l’exploration.</x:v>
      </x:c>
      <x:c r="G8" s="7" t="str">
        <x:v>Fiche de fonction, décisions et responsabilité ; titre ne signifie pas autorité absolue sur les peuples angara.</x:v>
      </x:c>
      <x:c r="H8" s="7" t="str">
        <x:v>Fiche de fonction, décisions et responsabilité ; titre ne signifie pas autorité absolue sur les peuples angara.</x:v>
      </x:c>
      <x:c r="I8" s="7" t="str">
        <x:v>Insigne et carte de terrain.</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mea/lore/pathfinder ; rattacher les ressources et états cités à cet identifiant. Aucun fichier de jeu créé par ce catalogue.</x:v>
      </x:c>
      <x:c r="M8" s="7" t="str"/>
      <x:c r="N8" s="7" t="str">
        <x:v>Le livrable « Pionnier / Pathfinder » possède une scène ou un scénario de contrôle ; ses règles proposées, ses conditions et ses retours visuels sont vérifiables séparément.</x:v>
      </x:c>
      <x:c r="O8" s="7" t="str"/>
      <x:c r="P8" s="7" t="str">
        <x:v>Pionnier / Pathfinder</x:v>
      </x:c>
      <x:c r="Q8" s="7" t="str">
        <x:v>MEA-SRC-EA-GAME</x:v>
      </x:c>
      <x:c r="R8" s="7" t="str">
        <x:v>https://www.ea.com/games/mass-effect/mass-effect-andromeda</x:v>
      </x:c>
      <x:c r="S8" s="7" t="str">
        <x:v>Spécification à réaliser. Les champs adaptation, gameplay, visual, animation, audio et implementation décrivent le fan game ; ils ne donnent pas des caractéristiques officielles de l’œuvre.</x:v>
      </x:c>
    </x:row>
    <x:row r="9" ht="68" customHeight="1">
      <x:c r="A9" s="18" t="str">
        <x:v>MEA-LOR-SAM</x:v>
      </x:c>
      <x:c r="B9" s="9" t="str">
        <x:v>SAM et lien neural</x:v>
      </x:c>
      <x:c r="C9" s="15" t="str">
        <x:v>Défini</x:v>
      </x:c>
      <x:c r="D9" s="16" t="str">
        <x:v>Établi</x:v>
      </x:c>
      <x:c r="E9" s="16" t="str">
        <x:v>P1</x:v>
      </x:c>
      <x:c r="F9" s="9" t="str">
        <x:v>SAM accompagne le Pionnier.</x:v>
      </x:c>
      <x:c r="G9" s="9" t="str">
        <x:v>Dossier de compétences, limites et partage de perception ; retrait scénarisé désactive les bons outils sans inventer télépathie universelle.</x:v>
      </x:c>
      <x:c r="H9" s="9" t="str">
        <x:v>Dossier de compétences, limites et partage de perception ; retrait scénarisé désactive les bons outils sans inventer télépathie universelle.</x:v>
      </x:c>
      <x:c r="I9" s="9" t="str">
        <x:v>Interface IA et réseau de données.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mea/lore/sam ; rattacher les ressources et états cités à cet identifiant. Aucun fichier de jeu créé par ce catalogue.</x:v>
      </x:c>
      <x:c r="M9" s="9" t="str"/>
      <x:c r="N9" s="9" t="str">
        <x:v>Le livrable « SAM et lien neural » possède une scène ou un scénario de contrôle ; ses règles proposées, ses conditions et ses retours visuels sont vérifiables séparément.</x:v>
      </x:c>
      <x:c r="O9" s="9" t="str"/>
      <x:c r="P9" s="9" t="str">
        <x:v>SAM et lien neural</x:v>
      </x:c>
      <x:c r="Q9" s="9" t="str">
        <x:v>MEA-SRC-CODEX, MEA-SRC-MERIDIAN</x:v>
      </x:c>
      <x:c r="R9" s="9" t="str">
        <x:v>https://masseffect.fandom.com/wiki/Codex_Entry_Guide_%28Mass_Effect%3A_Andromeda%29
https://masseffect.fandom.com/wiki/Meridian%3A_The_Way_Home</x:v>
      </x:c>
      <x:c r="S9" s="9" t="str">
        <x:v>Spécification à réaliser. Les champs adaptation, gameplay, visual, animation, audio et implementation décrivent le fan game ; ils ne donnent pas des caractéristiques officielles de l’œuvre.</x:v>
      </x:c>
    </x:row>
    <x:row r="10" ht="68" customHeight="1">
      <x:c r="A10" s="19" t="str">
        <x:v>MEA-LOR-SCOURGE</x:v>
      </x:c>
      <x:c r="B10" s="7" t="str">
        <x:v>Fléau / Scourge</x:v>
      </x:c>
      <x:c r="C10" s="15" t="str">
        <x:v>Défini</x:v>
      </x:c>
      <x:c r="D10" s="17" t="str">
        <x:v>Établi</x:v>
      </x:c>
      <x:c r="E10" s="17" t="str">
        <x:v>P1</x:v>
      </x:c>
      <x:c r="F10" s="7" t="str">
        <x:v>Phénomène dangereux de Heleus.</x:v>
      </x:c>
      <x:c r="G10" s="7" t="str">
        <x:v>Cartographie de danger et indices de réseau ; origine précise révélée seulement par découverte, pas comme présupposé de départ.</x:v>
      </x:c>
      <x:c r="H10" s="7" t="str">
        <x:v>Cartographie de danger et indices de réseau ; origine précise révélée seulement par découverte, pas comme présupposé de départ.</x:v>
      </x:c>
      <x:c r="I10" s="7" t="str">
        <x:v>Filaments noirs et énergie spatiale.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mea/lore/scourge ; rattacher les ressources et états cités à cet identifiant. Aucun fichier de jeu créé par ce catalogue.</x:v>
      </x:c>
      <x:c r="M10" s="7" t="str"/>
      <x:c r="N10" s="7" t="str">
        <x:v>Le livrable « Fléau / Scourge » possède une scène ou un scénario de contrôle ; ses règles proposées, ses conditions et ses retours visuels sont vérifiables séparément.</x:v>
      </x:c>
      <x:c r="O10" s="7" t="str"/>
      <x:c r="P10" s="7" t="str">
        <x:v>Fléau / Scourge</x:v>
      </x:c>
      <x:c r="Q10" s="7" t="str">
        <x:v>MEA-SRC-CODEX</x:v>
      </x:c>
      <x:c r="R10" s="7" t="str">
        <x:v>https://masseffect.fandom.com/wiki/Codex_Entry_Guide_%28Mass_Effect%3A_Andromeda%29</x:v>
      </x:c>
      <x:c r="S10" s="7" t="str">
        <x:v>Spécification à réaliser. Les champs adaptation, gameplay, visual, animation, audio et implementation décrivent le fan game ; ils ne donnent pas des caractéristiques officielles de l’œuvre.</x:v>
      </x:c>
    </x:row>
    <x:row r="11" ht="68" customHeight="1">
      <x:c r="A11" s="18" t="str">
        <x:v>MEA-LOR-ANGARA</x:v>
      </x:c>
      <x:c r="B11" s="9" t="str">
        <x:v>Angara</x:v>
      </x:c>
      <x:c r="C11" s="15" t="str">
        <x:v>Défini</x:v>
      </x:c>
      <x:c r="D11" s="16" t="str">
        <x:v>Établi</x:v>
      </x:c>
      <x:c r="E11" s="16" t="str">
        <x:v>P1</x:v>
      </x:c>
      <x:c r="F11" s="9" t="str">
        <x:v>Peuple rencontré dans Heleus.</x:v>
      </x:c>
      <x:c r="G11" s="9" t="str">
        <x:v>Entrées culturelles par interlocuteur et lieu ; leurs opinions ne se résument ni à Evfra ni à Akksul.</x:v>
      </x:c>
      <x:c r="H11" s="9" t="str">
        <x:v>Entrées culturelles par interlocuteur et lieu ; leurs opinions ne se résument ni à Evfra ni à Akksul.</x:v>
      </x:c>
      <x:c r="I11" s="9" t="str">
        <x:v>Silhouettes et textiles angara.</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mea/lore/angara ; rattacher les ressources et états cités à cet identifiant. Aucun fichier de jeu créé par ce catalogue.</x:v>
      </x:c>
      <x:c r="M11" s="9" t="str"/>
      <x:c r="N11" s="9" t="str">
        <x:v>Le livrable « Angara » possède une scène ou un scénario de contrôle ; ses règles proposées, ses conditions et ses retours visuels sont vérifiables séparément.</x:v>
      </x:c>
      <x:c r="O11" s="9" t="str"/>
      <x:c r="P11" s="9" t="str">
        <x:v>Angara</x:v>
      </x:c>
      <x:c r="Q11" s="9" t="str">
        <x:v>MEA-SRC-CODEX</x:v>
      </x:c>
      <x:c r="R11" s="9" t="str">
        <x:v>https://masseffect.fandom.com/wiki/Codex_Entry_Guide_%28Mass_Effect%3A_Andromeda%29</x:v>
      </x:c>
      <x:c r="S11" s="9" t="str">
        <x:v>Spécification à réaliser. Les champs adaptation, gameplay, visual, animation, audio et implementation décrivent le fan game ; ils ne donnent pas des caractéristiques officielles de l’œuvre.</x:v>
      </x:c>
    </x:row>
    <x:row r="12" ht="68" customHeight="1">
      <x:c r="A12" s="19" t="str">
        <x:v>MEA-LOR-RESISTANCE</x:v>
      </x:c>
      <x:c r="B12" s="7" t="str">
        <x:v>Résistance angara</x:v>
      </x:c>
      <x:c r="C12" s="15" t="str">
        <x:v>Défini</x:v>
      </x:c>
      <x:c r="D12" s="17" t="str">
        <x:v>Établi</x:v>
      </x:c>
      <x:c r="E12" s="17" t="str">
        <x:v>P1</x:v>
      </x:c>
      <x:c r="F12" s="7" t="str">
        <x:v>Force opposée aux kett.</x:v>
      </x:c>
      <x:c r="G12" s="7" t="str">
        <x:v>Registre des bases et contacts ; coopération s’étend par missions et ne rend pas chaque angara soldat.</x:v>
      </x:c>
      <x:c r="H12" s="7" t="str">
        <x:v>Registre des bases et contacts ; coopération s’étend par missions et ne rend pas chaque angara soldat.</x:v>
      </x:c>
      <x:c r="I12" s="7" t="str">
        <x:v>Marques de Résistance et cartes locales.</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mea/lore/resistance ; rattacher les ressources et états cités à cet identifiant. Aucun fichier de jeu créé par ce catalogue.</x:v>
      </x:c>
      <x:c r="M12" s="7" t="str"/>
      <x:c r="N12" s="7" t="str">
        <x:v>Le livrable « Résistance angara » possède une scène ou un scénario de contrôle ; ses règles proposées, ses conditions et ses retours visuels sont vérifiables séparément.</x:v>
      </x:c>
      <x:c r="O12" s="7" t="str"/>
      <x:c r="P12" s="7" t="str">
        <x:v>Résistance angara</x:v>
      </x:c>
      <x:c r="Q12" s="7" t="str">
        <x:v>MEA-SRC-MISSIONS, MEA-SRC-CODEX</x:v>
      </x:c>
      <x:c r="R12" s="7" t="str">
        <x:v>https://masseffect.fandom.com/wiki/Missions_%28Mass_Effect%3A_Andromeda%29
https://masseffect.fandom.com/wiki/Codex_Entry_Guide_%28Mass_Effect%3A_Andromeda%29</x:v>
      </x:c>
      <x:c r="S12" s="7" t="str">
        <x:v>Spécification à réaliser. Les champs adaptation, gameplay, visual, animation, audio et implementation décrivent le fan game ; ils ne donnent pas des caractéristiques officielles de l’œuvre.</x:v>
      </x:c>
    </x:row>
    <x:row r="13" ht="68" customHeight="1">
      <x:c r="A13" s="18" t="str">
        <x:v>MEA-LOR-ROEKAAR</x:v>
      </x:c>
      <x:c r="B13" s="9" t="str">
        <x:v>Roekaar</x:v>
      </x:c>
      <x:c r="C13" s="15" t="str">
        <x:v>Défini</x:v>
      </x:c>
      <x:c r="D13" s="16" t="str">
        <x:v>Établi</x:v>
      </x:c>
      <x:c r="E13" s="16" t="str">
        <x:v>P1</x:v>
      </x:c>
      <x:c r="F13" s="9" t="str">
        <x:v>Mouvement hostile aux nouveaux arrivants.</x:v>
      </x:c>
      <x:c r="G13" s="9" t="str">
        <x:v>Faction distincte des angara civils et de la Résistance ; résolution de Jaal conserve réactions locales.</x:v>
      </x:c>
      <x:c r="H13" s="9" t="str">
        <x:v>Faction distincte des angara civils et de la Résistance ; résolution de Jaal conserve réactions locales.</x:v>
      </x:c>
      <x:c r="I13" s="9" t="str">
        <x:v>Symboles militants et dossiers.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mea/lore/roekaar ; rattacher les ressources et états cités à cet identifiant. Aucun fichier de jeu créé par ce catalogue.</x:v>
      </x:c>
      <x:c r="M13" s="9" t="str"/>
      <x:c r="N13" s="9" t="str">
        <x:v>Le livrable « Roekaar » possède une scène ou un scénario de contrôle ; ses règles proposées, ses conditions et ses retours visuels sont vérifiables séparément.</x:v>
      </x:c>
      <x:c r="O13" s="9" t="str"/>
      <x:c r="P13" s="9" t="str">
        <x:v>Roekaar</x:v>
      </x:c>
      <x:c r="Q13" s="9" t="str">
        <x:v>MEA-SRC-JAAL-LOYAL</x:v>
      </x:c>
      <x:c r="R13" s="9" t="str">
        <x:v>https://masseffect.fandom.com/wiki/Jaal_Ama_Darav%3A_Flesh_and_Blood</x:v>
      </x:c>
      <x:c r="S13" s="9" t="str">
        <x:v>Spécification à réaliser. Les champs adaptation, gameplay, visual, animation, audio et implementation décrivent le fan game ; ils ne donnent pas des caractéristiques officielles de l’œuvre.</x:v>
      </x:c>
    </x:row>
    <x:row r="14" ht="68" customHeight="1">
      <x:c r="A14" s="19" t="str">
        <x:v>MEA-LOR-KETT</x:v>
      </x:c>
      <x:c r="B14" s="7" t="str">
        <x:v>Kett</x:v>
      </x:c>
      <x:c r="C14" s="15" t="str">
        <x:v>Défini</x:v>
      </x:c>
      <x:c r="D14" s="17" t="str">
        <x:v>Établi</x:v>
      </x:c>
      <x:c r="E14" s="17" t="str">
        <x:v>P1</x:v>
      </x:c>
      <x:c r="F14" s="7" t="str">
        <x:v>Force antagoniste d’Andromeda.</x:v>
      </x:c>
      <x:c r="G14" s="7" t="str">
        <x:v>Hiérarchie Archonte/Primus et unités ; ne pas traiter le contingent rencontré comme description exhaustive d’un empire entier.</x:v>
      </x:c>
      <x:c r="H14" s="7" t="str">
        <x:v>Hiérarchie Archonte/Primus et unités ; ne pas traiter le contingent rencontré comme description exhaustive d’un empire entier.</x:v>
      </x:c>
      <x:c r="I14" s="7" t="str">
        <x:v>Architecture organique et armures osseuses.</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mea/lore/kett ; rattacher les ressources et états cités à cet identifiant. Aucun fichier de jeu créé par ce catalogue.</x:v>
      </x:c>
      <x:c r="M14" s="7" t="str"/>
      <x:c r="N14" s="7" t="str">
        <x:v>Le livrable « Kett » possède une scène ou un scénario de contrôle ; ses règles proposées, ses conditions et ses retours visuels sont vérifiables séparément.</x:v>
      </x:c>
      <x:c r="O14" s="7" t="str"/>
      <x:c r="P14" s="7" t="str">
        <x:v>Kett</x:v>
      </x:c>
      <x:c r="Q14" s="7" t="str">
        <x:v>MEA-SRC-CODEX</x:v>
      </x:c>
      <x:c r="R14" s="7" t="str">
        <x:v>https://masseffect.fandom.com/wiki/Codex_Entry_Guide_%28Mass_Effect%3A_Andromeda%29</x:v>
      </x:c>
      <x:c r="S14" s="7" t="str">
        <x:v>Spécification à réaliser. Les champs adaptation, gameplay, visual, animation, audio et implementation décrivent le fan game ; ils ne donnent pas des caractéristiques officielles de l’œuvre.</x:v>
      </x:c>
    </x:row>
    <x:row r="15" ht="68" customHeight="1">
      <x:c r="A15" s="18" t="str">
        <x:v>MEA-LOR-EXALTATION</x:v>
      </x:c>
      <x:c r="B15" s="9" t="str">
        <x:v>Exaltation</x:v>
      </x:c>
      <x:c r="C15" s="15" t="str">
        <x:v>Défini</x:v>
      </x:c>
      <x:c r="D15" s="16" t="str">
        <x:v>Établi</x:v>
      </x:c>
      <x:c r="E15" s="16" t="str">
        <x:v>P1</x:v>
      </x:c>
      <x:c r="F15" s="9" t="str">
        <x:v>Transformation révélée pendant la campagne.</x:v>
      </x:c>
      <x:c r="G15" s="9" t="str">
        <x:v>Codex verrouillé avant installation de Voeld ; nom, victime et résultat distincts des théories initiales de l’équipage.</x:v>
      </x:c>
      <x:c r="H15" s="9" t="str">
        <x:v>Codex verrouillé avant installation de Voeld ; nom, victime et résultat distincts des théories initiales de l’équipage.</x:v>
      </x:c>
      <x:c r="I15" s="9" t="str">
        <x:v>Capsules et silhouettes en transformation.</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mea/lore/exaltation ; rattacher les ressources et états cités à cet identifiant. Aucun fichier de jeu créé par ce catalogue.</x:v>
      </x:c>
      <x:c r="M15" s="9" t="str"/>
      <x:c r="N15" s="9" t="str">
        <x:v>Le livrable « Exaltation » possède une scène ou un scénario de contrôle ; ses règles proposées, ses conditions et ses retours visuels sont vérifiables séparément.</x:v>
      </x:c>
      <x:c r="O15" s="9" t="str"/>
      <x:c r="P15" s="9" t="str">
        <x:v>Exaltation</x:v>
      </x:c>
      <x:c r="Q15" s="9" t="str">
        <x:v>MEA-SRC-GUIDE, MEA-SRC-CODEX</x:v>
      </x:c>
      <x:c r="R15" s="9" t="str">
        <x:v>https://masseffect.fandom.com/wiki/Mass_Effect%3A_Andromeda_Guide
https://masseffect.fandom.com/wiki/Codex_Entry_Guide_%28Mass_Effect%3A_Andromeda%29</x:v>
      </x:c>
      <x:c r="S15" s="9" t="str">
        <x:v>Spécification à réaliser. Les champs adaptation, gameplay, visual, animation, audio et implementation décrivent le fan game ; ils ne donnent pas des caractéristiques officielles de l’œuvre.</x:v>
      </x:c>
    </x:row>
    <x:row r="16" ht="68" customHeight="1">
      <x:c r="A16" s="19" t="str">
        <x:v>MEA-LOR-REMNANT</x:v>
      </x:c>
      <x:c r="B16" s="7" t="str">
        <x:v>Reliquats / Remnant</x:v>
      </x:c>
      <x:c r="C16" s="15" t="str">
        <x:v>Défini</x:v>
      </x:c>
      <x:c r="D16" s="17" t="str">
        <x:v>Établi</x:v>
      </x:c>
      <x:c r="E16" s="17" t="str">
        <x:v>P1</x:v>
      </x:c>
      <x:c r="F16" s="7" t="str">
        <x:v>Machines et structures anciennes.</x:v>
      </x:c>
      <x:c r="G16" s="7" t="str">
        <x:v>Scanner sépare fonctionnement observé et origine interprétée ; machines parfois alliées, faction non automatiquement hostile.</x:v>
      </x:c>
      <x:c r="H16" s="7" t="str">
        <x:v>Scanner sépare fonctionnement observé et origine interprétée ; machines parfois alliées, faction non automatiquement hostile.</x:v>
      </x:c>
      <x:c r="I16" s="7" t="str">
        <x:v>Géométrie noire et lumière turquoise.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mea/lore/remnant ; rattacher les ressources et états cités à cet identifiant. Aucun fichier de jeu créé par ce catalogue.</x:v>
      </x:c>
      <x:c r="M16" s="7" t="str"/>
      <x:c r="N16" s="7" t="str">
        <x:v>Le livrable « Reliquats / Remnant » possède une scène ou un scénario de contrôle ; ses règles proposées, ses conditions et ses retours visuels sont vérifiables séparément.</x:v>
      </x:c>
      <x:c r="O16" s="7" t="str"/>
      <x:c r="P16" s="7" t="str">
        <x:v>Reliquats / Remnant</x:v>
      </x:c>
      <x:c r="Q16" s="7" t="str">
        <x:v>MEA-SRC-VAULT, MEA-SRC-CODEX</x:v>
      </x:c>
      <x:c r="R16" s="7" t="str">
        <x:v>https://masseffect.fandom.com/wiki/Vault
https://masseffect.fandom.com/wiki/Codex_Entry_Guide_%28Mass_Effect%3A_Andromeda%29</x:v>
      </x:c>
      <x:c r="S16" s="7" t="str">
        <x:v>Spécification à réaliser. Les champs adaptation, gameplay, visual, animation, audio et implementation décrivent le fan game ; ils ne donnent pas des caractéristiques officielles de l’œuvre.</x:v>
      </x:c>
    </x:row>
    <x:row r="17" ht="68" customHeight="1">
      <x:c r="A17" s="18" t="str">
        <x:v>MEA-LOR-JAARDAN</x:v>
      </x:c>
      <x:c r="B17" s="9" t="str">
        <x:v>Jardaan</x:v>
      </x:c>
      <x:c r="C17" s="15" t="str">
        <x:v>Défini</x:v>
      </x:c>
      <x:c r="D17" s="16" t="str">
        <x:v>Établi</x:v>
      </x:c>
      <x:c r="E17" s="16" t="str">
        <x:v>P1</x:v>
      </x:c>
      <x:c r="F17" s="9" t="str">
        <x:v>Civilisation liée aux révélations reliquates.</x:v>
      </x:c>
      <x:c r="G17" s="9" t="str">
        <x:v>Entrée tardive de savoir, incertitudes conservées ; aucun personnage ou plan futur inventé.</x:v>
      </x:c>
      <x:c r="H17" s="9" t="str">
        <x:v>Entrée tardive de savoir, incertitudes conservées ; aucun personnage ou plan futur inventé.</x:v>
      </x:c>
      <x:c r="I17" s="9" t="str">
        <x:v>Archives et réseaux de Méridiane.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mea/lore/jaardan ; rattacher les ressources et états cités à cet identifiant. Aucun fichier de jeu créé par ce catalogue.</x:v>
      </x:c>
      <x:c r="M17" s="9" t="str">
        <x:v>Spoilers tardifs.</x:v>
      </x:c>
      <x:c r="N17" s="9" t="str">
        <x:v>Le livrable « Jardaan » possède une scène ou un scénario de contrôle ; ses règles proposées, ses conditions et ses retours visuels sont vérifiables séparément.</x:v>
      </x:c>
      <x:c r="O17" s="9" t="str"/>
      <x:c r="P17" s="9" t="str">
        <x:v>Jardaan</x:v>
      </x:c>
      <x:c r="Q17" s="9" t="str">
        <x:v>MEA-SRC-CODEX</x:v>
      </x:c>
      <x:c r="R17" s="9" t="str">
        <x:v>https://masseffect.fandom.com/wiki/Codex_Entry_Guide_%28Mass_Effect%3A_Andromeda%29</x:v>
      </x:c>
      <x:c r="S17" s="9" t="str">
        <x:v>Spécification à réaliser. Les champs adaptation, gameplay, visual, animation, audio et implementation décrivent le fan game ; ils ne donnent pas des caractéristiques officielles de l’œuvre.</x:v>
      </x:c>
    </x:row>
    <x:row r="18" ht="68" customHeight="1">
      <x:c r="A18" s="19" t="str">
        <x:v>MEA-LOR-VAULTS</x:v>
      </x:c>
      <x:c r="B18" s="7" t="str">
        <x:v>Réseau des caveaux</x:v>
      </x:c>
      <x:c r="C18" s="15" t="str">
        <x:v>Défini</x:v>
      </x:c>
      <x:c r="D18" s="17" t="str">
        <x:v>Établi</x:v>
      </x:c>
      <x:c r="E18" s="17" t="str">
        <x:v>P1</x:v>
      </x:c>
      <x:c r="F18" s="7" t="str">
        <x:v>Les caveaux participent aux restaurations.</x:v>
      </x:c>
      <x:c r="G18" s="7" t="str">
        <x:v>Carte des liens techniques, état par planète et résultat vérifié ; un seul caveau activé ne rend pas tout Heleus habitable.</x:v>
      </x:c>
      <x:c r="H18" s="7" t="str">
        <x:v>Carte des liens techniques, état par planète et résultat vérifié ; un seul caveau activé ne rend pas tout Heleus habitable.</x:v>
      </x:c>
      <x:c r="I18" s="7" t="str">
        <x:v>Nœuds et lignes de réseau.</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mea/lore/vaults ; rattacher les ressources et états cités à cet identifiant. Aucun fichier de jeu créé par ce catalogue.</x:v>
      </x:c>
      <x:c r="M18" s="7" t="str"/>
      <x:c r="N18" s="7" t="str">
        <x:v>Le livrable « Réseau des caveaux » possède une scène ou un scénario de contrôle ; ses règles proposées, ses conditions et ses retours visuels sont vérifiables séparément.</x:v>
      </x:c>
      <x:c r="O18" s="7" t="str"/>
      <x:c r="P18" s="7" t="str">
        <x:v>Réseau des caveaux</x:v>
      </x:c>
      <x:c r="Q18" s="7" t="str">
        <x:v>MEA-SRC-VAULT</x:v>
      </x:c>
      <x:c r="R18" s="7" t="str">
        <x:v>https://masseffect.fandom.com/wiki/Vault</x:v>
      </x:c>
      <x:c r="S18" s="7" t="str">
        <x:v>Spécification à réaliser. Les champs adaptation, gameplay, visual, animation, audio et implementation décrivent le fan game ; ils ne donnent pas des caractéristiques officielles de l’œuvre.</x:v>
      </x:c>
    </x:row>
    <x:row r="19" ht="68" customHeight="1">
      <x:c r="A19" s="18" t="str">
        <x:v>MEA-LOR-EXILES</x:v>
      </x:c>
      <x:c r="B19" s="9" t="str">
        <x:v>Exilés du Nexus</x:v>
      </x:c>
      <x:c r="C19" s="15" t="str">
        <x:v>Défini</x:v>
      </x:c>
      <x:c r="D19" s="16" t="str">
        <x:v>Établi</x:v>
      </x:c>
      <x:c r="E19" s="16" t="str">
        <x:v>P1</x:v>
      </x:c>
      <x:c r="F19" s="9" t="str">
        <x:v>Des groupes ont quitté le Nexus.</x:v>
      </x:c>
      <x:c r="G19" s="9" t="str">
        <x:v>Distinguer civils, Outcasts, Collective et bandes ; appartenance d’une espèce ne détermine pas faction.</x:v>
      </x:c>
      <x:c r="H19" s="9" t="str">
        <x:v>Distinguer civils, Outcasts, Collective et bandes ; appartenance d’une espèce ne détermine pas faction.</x:v>
      </x:c>
      <x:c r="I19" s="9" t="str">
        <x:v>Camps et insignes de groupes.</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mea/lore/exiles ; rattacher les ressources et états cités à cet identifiant. Aucun fichier de jeu créé par ce catalogue.</x:v>
      </x:c>
      <x:c r="M19" s="9" t="str"/>
      <x:c r="N19" s="9" t="str">
        <x:v>Le livrable « Exilés du Nexus » possède une scène ou un scénario de contrôle ; ses règles proposées, ses conditions et ses retours visuels sont vérifiables séparément.</x:v>
      </x:c>
      <x:c r="O19" s="9" t="str"/>
      <x:c r="P19" s="9" t="str">
        <x:v>Exilés du Nexus</x:v>
      </x:c>
      <x:c r="Q19" s="9" t="str">
        <x:v>MEA-SRC-CODEX, MEA-SRC-HIGH-NOON</x:v>
      </x:c>
      <x:c r="R19" s="9" t="str">
        <x:v>https://masseffect.fandom.com/wiki/Codex_Entry_Guide_%28Mass_Effect%3A_Andromeda%29
https://masseffect.fandom.com/wiki/High_Noon</x:v>
      </x:c>
      <x:c r="S19" s="9" t="str">
        <x:v>Spécification à réaliser. Les champs adaptation, gameplay, visual, animation, audio et implementation décrivent le fan game ; ils ne donnent pas des caractéristiques officielles de l’œuvre.</x:v>
      </x:c>
    </x:row>
    <x:row r="20" ht="68" customHeight="1">
      <x:c r="A20" s="19" t="str">
        <x:v>MEA-LOR-KROGAN</x:v>
      </x:c>
      <x:c r="B20" s="7" t="str">
        <x:v>Colons krogan</x:v>
      </x:c>
      <x:c r="C20" s="15" t="str">
        <x:v>Défini</x:v>
      </x:c>
      <x:c r="D20" s="17" t="str">
        <x:v>Établi</x:v>
      </x:c>
      <x:c r="E20" s="17" t="str">
        <x:v>P1</x:v>
      </x:c>
      <x:c r="F20" s="7" t="str">
        <x:v>Les krogans ont leur propre implantation.</x:v>
      </x:c>
      <x:c r="G20" s="7" t="str">
        <x:v>Conflits Nexus, clan et espoir de générations ; ne pas appliquer automatiquement le dénouement du génophage de ME3.</x:v>
      </x:c>
      <x:c r="H20" s="7" t="str">
        <x:v>Conflits Nexus, clan et espoir de générations ; ne pas appliquer automatiquement le dénouement du génophage de ME3.</x:v>
      </x:c>
      <x:c r="I20" s="7" t="str">
        <x:v>New Tuchanka, serre et portraits.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mea/lore/krogan ; rattacher les ressources et états cités à cet identifiant. Aucun fichier de jeu créé par ce catalogue.</x:v>
      </x:c>
      <x:c r="M20" s="7" t="str"/>
      <x:c r="N20" s="7" t="str">
        <x:v>Le livrable « Colons krogan » possède une scène ou un scénario de contrôle ; ses règles proposées, ses conditions et ses retours visuels sont vérifiables séparément.</x:v>
      </x:c>
      <x:c r="O20" s="7" t="str"/>
      <x:c r="P20" s="7" t="str">
        <x:v>Colons krogan</x:v>
      </x:c>
      <x:c r="Q20" s="7" t="str">
        <x:v>MEA-SRC-DRACK, MEA-SRC-DRACK-LOYAL</x:v>
      </x:c>
      <x:c r="R20" s="7" t="str">
        <x:v>https://masseffect.fandom.com/wiki/Nakmor_Drack
https://masseffect.fandom.com/wiki/Nakmor_Drack%3A_A_Future_for_our_People</x:v>
      </x:c>
      <x:c r="S20" s="7" t="str">
        <x:v>Spécification à réaliser. Les champs adaptation, gameplay, visual, animation, audio et implementation décrivent le fan game ; ils ne donnent pas des caractéristiques officielles de l’œuvre.</x:v>
      </x:c>
    </x:row>
    <x:row r="21" ht="68" customHeight="1">
      <x:c r="A21" s="18" t="str">
        <x:v>MEA-LOR-ARKS</x:v>
      </x:c>
      <x:c r="B21" s="9" t="str">
        <x:v>Arches et Pionniers</x:v>
      </x:c>
      <x:c r="C21" s="15" t="str">
        <x:v>Défini</x:v>
      </x:c>
      <x:c r="D21" s="16" t="str">
        <x:v>Établi</x:v>
      </x:c>
      <x:c r="E21" s="16" t="str">
        <x:v>P1</x:v>
      </x:c>
      <x:c r="F21" s="9" t="str">
        <x:v>Plusieurs arches rejoignent Heleus.</x:v>
      </x:c>
      <x:c r="G21" s="9" t="str">
        <x:v>Chaque arche a capitaine, SAM et Pionnier propres ; états des survivants ne sont pas interchangeables.</x:v>
      </x:c>
      <x:c r="H21" s="9" t="str">
        <x:v>Chaque arche a capitaine, SAM et Pionnier propres ; états des survivants ne sont pas interchangeables.</x:v>
      </x:c>
      <x:c r="I21" s="9" t="str">
        <x:v>Carte d’arches et statut par peuple.</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mea/lore/arks ; rattacher les ressources et états cités à cet identifiant. Aucun fichier de jeu créé par ce catalogue.</x:v>
      </x:c>
      <x:c r="M21" s="9" t="str"/>
      <x:c r="N21" s="9" t="str">
        <x:v>Le livrable « Arches et Pionniers » possède une scène ou un scénario de contrôle ; ses règles proposées, ses conditions et ses retours visuels sont vérifiables séparément.</x:v>
      </x:c>
      <x:c r="O21" s="9" t="str"/>
      <x:c r="P21" s="9" t="str">
        <x:v>Arches et Pionniers</x:v>
      </x:c>
      <x:c r="Q21" s="9" t="str">
        <x:v>MEA-SRC-MISSING-ARKS</x:v>
      </x:c>
      <x:c r="R21" s="9" t="str">
        <x:v>https://masseffect.fandom.com/wiki/Missing_Arks</x:v>
      </x:c>
      <x:c r="S21" s="9" t="str">
        <x:v>Spécification à réaliser. Les champs adaptation, gameplay, visual, animation, audio et implementation décrivent le fan game ; ils ne donnent pas des caractéristiques officielles de l’œuvre.</x:v>
      </x:c>
    </x:row>
    <x:row r="22" ht="68" customHeight="1">
      <x:c r="A22" s="19" t="str">
        <x:v>MEA-LOR-CRYO</x:v>
      </x:c>
      <x:c r="B22" s="7" t="str">
        <x:v>Cryostase et ressources</x:v>
      </x:c>
      <x:c r="C22" s="15" t="str">
        <x:v>Défini</x:v>
      </x:c>
      <x:c r="D22" s="17" t="str">
        <x:v>Établi</x:v>
      </x:c>
      <x:c r="E22" s="17" t="str">
        <x:v>P1</x:v>
      </x:c>
      <x:c r="F22" s="7" t="str">
        <x:v>Les arrivants ne sont pas tous réveillés ensemble.</x:v>
      </x:c>
      <x:c r="G22" s="7" t="str">
        <x:v>Décisions AVP et personnes concernées séparées ; chaque bonus est une proposition de design tant que valeur source non vérifiée.</x:v>
      </x:c>
      <x:c r="H22" s="7" t="str">
        <x:v>Décisions AVP et personnes concernées séparées ; chaque bonus est une proposition de design tant que valeur source non vérifiée.</x:v>
      </x:c>
      <x:c r="I22" s="7" t="str">
        <x:v>Pods et registre de spécialistes.</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mea/lore/cryo ; rattacher les ressources et états cités à cet identifiant. Aucun fichier de jeu créé par ce catalogue.</x:v>
      </x:c>
      <x:c r="M22" s="7" t="str"/>
      <x:c r="N22" s="7" t="str">
        <x:v>Le livrable « Cryostase et ressources » possède une scène ou un scénario de contrôle ; ses règles proposées, ses conditions et ses retours visuels sont vérifiables séparément.</x:v>
      </x:c>
      <x:c r="O22" s="7" t="str"/>
      <x:c r="P22" s="7" t="str">
        <x:v>Cryostase et ressources</x:v>
      </x:c>
      <x:c r="Q22" s="7" t="str">
        <x:v>MEA-SRC-MISSIONS</x:v>
      </x:c>
      <x:c r="R22" s="7" t="str">
        <x:v>https://masseffect.fandom.com/wiki/Missions_%28Mass_Effect%3A_Andromeda%29</x:v>
      </x:c>
      <x:c r="S22" s="7" t="str">
        <x:v>Spécification à réaliser. Les champs adaptation, gameplay, visual, animation, audio et implementation décrivent le fan game ; ils ne donnent pas des caractéristiques officielles de l’œuvre.</x:v>
      </x:c>
    </x:row>
    <x:row r="23" ht="68" customHeight="1">
      <x:c r="A23" s="18" t="str">
        <x:v>MEA-LOR-BENEF</x:v>
      </x:c>
      <x:c r="B23" s="9" t="str">
        <x:v>Financement et mystères familiaux</x:v>
      </x:c>
      <x:c r="C23" s="15" t="str">
        <x:v>Défini</x:v>
      </x:c>
      <x:c r="D23" s="16" t="str">
        <x:v>Établi</x:v>
      </x:c>
      <x:c r="E23" s="16" t="str">
        <x:v>P1</x:v>
      </x:c>
      <x:c r="F23" s="9" t="str">
        <x:v>L’arc familial révèle des éléments cachés.</x:v>
      </x:c>
      <x:c r="G23" s="9" t="str">
        <x:v>Dossier de faits connus, témoignages et questions ouvertes ; identité du Bienfaiteur conservée inconnue.</x:v>
      </x:c>
      <x:c r="H23" s="9" t="str">
        <x:v>Dossier de faits connus, témoignages et questions ouvertes ; identité du Bienfaiteur conservée inconnue.</x:v>
      </x:c>
      <x:c r="I23" s="9" t="str">
        <x:v>Archives SAM et transmissions masquées.</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mea/lore/benef ; rattacher les ressources et états cités à cet identifiant. Aucun fichier de jeu créé par ce catalogue.</x:v>
      </x:c>
      <x:c r="M23" s="9" t="str"/>
      <x:c r="N23" s="9" t="str">
        <x:v>Le livrable « Financement et mystères familiaux » possède une scène ou un scénario de contrôle ; ses règles proposées, ses conditions et ses retours visuels sont vérifiables séparément.</x:v>
      </x:c>
      <x:c r="O23" s="9" t="str"/>
      <x:c r="P23" s="9" t="str">
        <x:v>Financement et mystères familiaux</x:v>
      </x:c>
      <x:c r="Q23" s="9" t="str">
        <x:v>MEA-SRC-FAMILY</x:v>
      </x:c>
      <x:c r="R23" s="9" t="str">
        <x:v>https://masseffect.fandom.com/wiki/Ryder_Family_Secrets</x:v>
      </x:c>
      <x:c r="S23" s="9" t="str">
        <x:v>Spécification à réaliser. Les champs adaptation, gameplay, visual, animation, audio et implementation décrivent le fan game ; ils ne donnent pas des caractéristiques officielles de l’œuvre.</x:v>
      </x:c>
    </x:row>
    <x:row r="24" ht="68" customHeight="1">
      <x:c r="A24" s="19" t="str">
        <x:v>MEA-LOR-QUARIAN</x:v>
      </x:c>
      <x:c r="B24" s="7" t="str">
        <x:v>Signal du Keelah Si’yah</x:v>
      </x:c>
      <x:c r="C24" s="15" t="str">
        <x:v>Défini</x:v>
      </x:c>
      <x:c r="D24" s="17" t="str">
        <x:v>Établi</x:v>
      </x:c>
      <x:c r="E24" s="17" t="str">
        <x:v>P1</x:v>
      </x:c>
      <x:c r="F24" s="7" t="str">
        <x:v>L’épilogue transmet un avertissement.</x:v>
      </x:c>
      <x:c r="G24" s="7" t="str">
        <x:v>Entrée d’archive sans quête de résolution inventée ; lien bibliographique vers roman traité dans catalogue dédié.</x:v>
      </x:c>
      <x:c r="H24" s="7" t="str">
        <x:v>Entrée d’archive sans quête de résolution inventée ; lien bibliographique vers roman traité dans catalogue dédié.</x:v>
      </x:c>
      <x:c r="I24" s="7" t="str">
        <x:v>Signal codé et nom d’arche.</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mea/lore/quarian ; rattacher les ressources et états cités à cet identifiant. Aucun fichier de jeu créé par ce catalogue.</x:v>
      </x:c>
      <x:c r="M24" s="7" t="str">
        <x:v>Épilogue ; aucune extension solo produite à inférer.</x:v>
      </x:c>
      <x:c r="N24" s="7" t="str">
        <x:v>Le livrable « Signal du Keelah Si’yah » possède une scène ou un scénario de contrôle ; ses règles proposées, ses conditions et ses retours visuels sont vérifiables séparément.</x:v>
      </x:c>
      <x:c r="O24" s="7" t="str"/>
      <x:c r="P24" s="7" t="str">
        <x:v>Signal du Keelah Si’yah</x:v>
      </x:c>
      <x:c r="Q24" s="7" t="str">
        <x:v>MEA-SRC-EPILOGUE, MEA-SRC-BW-FINAL</x:v>
      </x:c>
      <x:c r="R24" s="7" t="str">
        <x:v>https://masseffect.fandom.com/wiki/Epilogue%3A_Home_and_Away
https://blog.bioware.com/2017/08/19/mass-effect-andromeda/</x:v>
      </x:c>
      <x:c r="S24" s="7" t="str">
        <x:v>Spécification à réaliser. Les champs adaptation, gameplay, visual, animation, audio et implementation décrivent le fan game ; ils ne donnent pas des caractéristiques officielles de l’œuvre.</x:v>
      </x:c>
    </x:row>
  </x:sheetData>
  <x:conditionalFormatting sqref="D7:D24">
    <x:cfRule type="cellIs" dxfId="8" priority="1" operator="equal">
      <x:formula>"À vérifier"</x:formula>
    </x:cfRule>
    <x:cfRule type="cellIs" dxfId="9" priority="2" operator="equal">
      <x:formula>"Extrapolation"</x:formula>
    </x:cfRule>
  </x:conditionalFormatting>
  <x:conditionalFormatting sqref="C7:C24">
    <x:cfRule type="cellIs" dxfId="10" priority="3" operator="equal">
      <x:formula>"Validé"</x:formula>
    </x:cfRule>
  </x:conditionalFormatting>
  <x:conditionalFormatting sqref="E7:E24">
    <x:cfRule type="cellIs" dxfId="11" priority="4" operator="equal">
      <x:formula>"P0"</x:formula>
    </x:cfRule>
  </x:conditionalFormatting>
  <x:dataValidations count="3">
    <x:dataValidation type="list" sqref="C7:C24">
      <x:formula1>"Défini,Prototype,Intégré,Validé"</x:formula1>
    </x:dataValidation>
    <x:dataValidation type="list" sqref="D7:D24">
      <x:formula1>"Établi,À vérifier,Extrapolation,Coupé attesté,Concept abandonné,Allégation écartée"</x:formula1>
    </x:dataValidation>
    <x:dataValidation type="list" sqref="E7:E24">
      <x:formula1>"P0,P1,P2"</x:formula1>
    </x:dataValidation>
  </x:dataValidations>
  <x:pageMargins left="0.7" right="0.7" top="0.75" bottom="0.75" header="0.3" footer="0.3"/>
  <x:tableParts count="1">
    <x:tablePart xmlns:r="http://schemas.openxmlformats.org/officeDocument/2006/relationships" r:id="R6eb5ff1b0ddc4791"/>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Andromeda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MEA-WRL-HABITAT7</x:v>
      </x:c>
      <x:c r="B7" s="9" t="str">
        <x:v>Habitat 7</x:v>
      </x:c>
      <x:c r="C7" s="15" t="str">
        <x:v>Défini</x:v>
      </x:c>
      <x:c r="D7" s="16" t="str">
        <x:v>Établi</x:v>
      </x:c>
      <x:c r="E7" s="16" t="str">
        <x:v>P1</x:v>
      </x:c>
      <x:c r="F7" s="9" t="str">
        <x:v>Première destination planétaire.</x:v>
      </x:c>
      <x:c r="G7" s="9" t="str">
        <x:v>Carte de prologue avec dangers météo et parcours d’équipe ; l’état après tour reste distinct des mondes à coloniser librement.</x:v>
      </x:c>
      <x:c r="H7" s="9" t="str">
        <x:v>Carte de prologue avec dangers météo et parcours d’équipe ; l’état après tour reste distinct des mondes à coloniser librement.</x:v>
      </x:c>
      <x:c r="I7" s="9" t="str">
        <x:v>Roches suspendues, éclairs et montagnes.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mea/worlds/habitat7 ; rattacher les ressources et états cités à cet identifiant. Aucun fichier de jeu créé par ce catalogue.</x:v>
      </x:c>
      <x:c r="M7" s="9" t="str"/>
      <x:c r="N7" s="9" t="str">
        <x:v>Le livrable « Habitat 7 » possède une scène ou un scénario de contrôle ; ses règles proposées, ses conditions et ses retours visuels sont vérifiables séparément.</x:v>
      </x:c>
      <x:c r="O7" s="9" t="str"/>
      <x:c r="P7" s="9" t="str">
        <x:v>Habitat 7</x:v>
      </x:c>
      <x:c r="Q7" s="9" t="str">
        <x:v>MEA-SRC-LOCATIONS, MEA-SRC-GUIDE</x:v>
      </x:c>
      <x:c r="R7" s="9" t="str">
        <x:v>https://masseffect.fandom.com/wiki/Codex_%28Mass_Effect%3A_Andromeda%29/Planets_And_Locations
https://masseffect.fandom.com/wiki/Mass_Effect%3A_Andromeda_Guide</x:v>
      </x:c>
      <x:c r="S7" s="9" t="str">
        <x:v>Spécification à réaliser. Les champs adaptation, gameplay, visual, animation, audio et implementation décrivent le fan game ; ils ne donnent pas des caractéristiques officielles de l’œuvre.</x:v>
      </x:c>
    </x:row>
    <x:row r="8" ht="68" customHeight="1">
      <x:c r="A8" s="19" t="str">
        <x:v>MEA-WRL-NEXUS</x:v>
      </x:c>
      <x:c r="B8" s="7" t="str">
        <x:v>Nexus</x:v>
      </x:c>
      <x:c r="C8" s="15" t="str">
        <x:v>Défini</x:v>
      </x:c>
      <x:c r="D8" s="17" t="str">
        <x:v>Établi</x:v>
      </x:c>
      <x:c r="E8" s="17" t="str">
        <x:v>P1</x:v>
      </x:c>
      <x:c r="F8" s="7" t="str">
        <x:v>Station centrale de l’Initiative.</x:v>
      </x:c>
      <x:c r="G8" s="7" t="str">
        <x:v>Hub qui évolue avec réveils et progrès ; repères de commerce, administration, bar et archives.</x:v>
      </x:c>
      <x:c r="H8" s="7" t="str">
        <x:v>Hub qui évolue avec réveils et progrès ; repères de commerce, administration, bar et archives.</x:v>
      </x:c>
      <x:c r="I8" s="7" t="str">
        <x:v>Station inachevée et couloirs propres.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mea/worlds/nexus ; rattacher les ressources et états cités à cet identifiant. Aucun fichier de jeu créé par ce catalogue.</x:v>
      </x:c>
      <x:c r="M8" s="7" t="str"/>
      <x:c r="N8" s="7" t="str">
        <x:v>Le livrable « Nexus » possède une scène ou un scénario de contrôle ; ses règles proposées, ses conditions et ses retours visuels sont vérifiables séparément.</x:v>
      </x:c>
      <x:c r="O8" s="7" t="str"/>
      <x:c r="P8" s="7" t="str">
        <x:v>Nexus</x:v>
      </x:c>
      <x:c r="Q8" s="7" t="str">
        <x:v>MEA-SRC-LOCATIONS</x:v>
      </x:c>
      <x:c r="R8" s="7" t="str">
        <x:v>https://masseffect.fandom.com/wiki/Codex_%28Mass_Effect%3A_Andromeda%29/Planets_And_Locations</x:v>
      </x:c>
      <x:c r="S8" s="7" t="str">
        <x:v>Spécification à réaliser. Les champs adaptation, gameplay, visual, animation, audio et implementation décrivent le fan game ; ils ne donnent pas des caractéristiques officielles de l’œuvre.</x:v>
      </x:c>
    </x:row>
    <x:row r="9" ht="68" customHeight="1">
      <x:c r="A9" s="18" t="str">
        <x:v>MEA-WRL-HYPERION</x:v>
      </x:c>
      <x:c r="B9" s="9" t="str">
        <x:v>Hyperion</x:v>
      </x:c>
      <x:c r="C9" s="15" t="str">
        <x:v>Défini</x:v>
      </x:c>
      <x:c r="D9" s="16" t="str">
        <x:v>Établi</x:v>
      </x:c>
      <x:c r="E9" s="16" t="str">
        <x:v>P1</x:v>
      </x:c>
      <x:c r="F9" s="9" t="str">
        <x:v>Arche humaine.</x:v>
      </x:c>
      <x:c r="G9" s="9" t="str">
        <x:v>Cryostase, SAM Node et passerelle ; versions spatiale et Port Meridian séparées par état du final.</x:v>
      </x:c>
      <x:c r="H9" s="9" t="str">
        <x:v>Cryostase, SAM Node et passerelle ; versions spatiale et Port Meridian séparées par état du final.</x:v>
      </x:c>
      <x:c r="I9" s="9" t="str">
        <x:v>Grands volumes d’arche et pods.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mea/worlds/hyperion ; rattacher les ressources et états cités à cet identifiant. Aucun fichier de jeu créé par ce catalogue.</x:v>
      </x:c>
      <x:c r="M9" s="9" t="str"/>
      <x:c r="N9" s="9" t="str">
        <x:v>Le livrable « Hyperion » possède une scène ou un scénario de contrôle ; ses règles proposées, ses conditions et ses retours visuels sont vérifiables séparément.</x:v>
      </x:c>
      <x:c r="O9" s="9" t="str"/>
      <x:c r="P9" s="9" t="str">
        <x:v>Hyperion</x:v>
      </x:c>
      <x:c r="Q9" s="9" t="str">
        <x:v>MEA-SRC-GUIDE, MEA-SRC-EPILOGUE</x:v>
      </x:c>
      <x:c r="R9" s="9" t="str">
        <x:v>https://masseffect.fandom.com/wiki/Mass_Effect%3A_Andromeda_Guide
https://masseffect.fandom.com/wiki/Epilogue%3A_Home_and_Away</x:v>
      </x:c>
      <x:c r="S9" s="9" t="str">
        <x:v>Spécification à réaliser. Les champs adaptation, gameplay, visual, animation, audio et implementation décrivent le fan game ; ils ne donnent pas des caractéristiques officielles de l’œuvre.</x:v>
      </x:c>
    </x:row>
    <x:row r="10" ht="68" customHeight="1">
      <x:c r="A10" s="19" t="str">
        <x:v>MEA-WRL-EOS</x:v>
      </x:c>
      <x:c r="B10" s="7" t="str">
        <x:v>Eos</x:v>
      </x:c>
      <x:c r="C10" s="15" t="str">
        <x:v>Défini</x:v>
      </x:c>
      <x:c r="D10" s="17" t="str">
        <x:v>Établi</x:v>
      </x:c>
      <x:c r="E10" s="17" t="str">
        <x:v>P1</x:v>
      </x:c>
      <x:c r="F10" s="7" t="str">
        <x:v>Monde désertique à coloniser.</x:v>
      </x:c>
      <x:c r="G10" s="7" t="str">
        <x:v>Régions ouvertes progressivement par restauration ; distinguer radiation, verticalité et zones de colonie.</x:v>
      </x:c>
      <x:c r="H10" s="7" t="str">
        <x:v>Régions ouvertes progressivement par restauration ; distinguer radiation, verticalité et zones de colonie.</x:v>
      </x:c>
      <x:c r="I10" s="7" t="str">
        <x:v>Désert, mesas et installations abandonnées.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mea/worlds/eos ; rattacher les ressources et états cités à cet identifiant. Aucun fichier de jeu créé par ce catalogue.</x:v>
      </x:c>
      <x:c r="M10" s="7" t="str"/>
      <x:c r="N10" s="7" t="str">
        <x:v>Le livrable « Eos » possède une scène ou un scénario de contrôle ; ses règles proposées, ses conditions et ses retours visuels sont vérifiables séparément.</x:v>
      </x:c>
      <x:c r="O10" s="7" t="str"/>
      <x:c r="P10" s="7" t="str">
        <x:v>Eos</x:v>
      </x:c>
      <x:c r="Q10" s="7" t="str">
        <x:v>MEA-SRC-HAZARD, MEA-SRC-LOCATIONS</x:v>
      </x:c>
      <x:c r="R10" s="7" t="str">
        <x:v>https://masseffect.fandom.com/wiki/Hazard
https://masseffect.fandom.com/wiki/Codex_%28Mass_Effect%3A_Andromeda%29/Planets_And_Locations</x:v>
      </x:c>
      <x:c r="S10" s="7" t="str">
        <x:v>Spécification à réaliser. Les champs adaptation, gameplay, visual, animation, audio et implementation décrivent le fan game ; ils ne donnent pas des caractéristiques officielles de l’œuvre.</x:v>
      </x:c>
    </x:row>
    <x:row r="11" ht="68" customHeight="1">
      <x:c r="A11" s="18" t="str">
        <x:v>MEA-WRL-AYA</x:v>
      </x:c>
      <x:c r="B11" s="9" t="str">
        <x:v>Aya</x:v>
      </x:c>
      <x:c r="C11" s="15" t="str">
        <x:v>Défini</x:v>
      </x:c>
      <x:c r="D11" s="16" t="str">
        <x:v>Établi</x:v>
      </x:c>
      <x:c r="E11" s="16" t="str">
        <x:v>P1</x:v>
      </x:c>
      <x:c r="F11" s="9" t="str">
        <x:v>Monde angara protégé.</x:v>
      </x:c>
      <x:c r="G11" s="9" t="str">
        <x:v>Hub social à accès progressif ; climat luxuriant et volcans de fond sans exploration de surface illimitée inventée.</x:v>
      </x:c>
      <x:c r="H11" s="9" t="str">
        <x:v>Hub social à accès progressif ; climat luxuriant et volcans de fond sans exploration de surface illimitée inventée.</x:v>
      </x:c>
      <x:c r="I11" s="9" t="str">
        <x:v>Cascade, marché et ciel chargé.</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mea/worlds/aya ; rattacher les ressources et états cités à cet identifiant. Aucun fichier de jeu créé par ce catalogue.</x:v>
      </x:c>
      <x:c r="M11" s="9" t="str"/>
      <x:c r="N11" s="9" t="str">
        <x:v>Le livrable « Aya » possède une scène ou un scénario de contrôle ; ses règles proposées, ses conditions et ses retours visuels sont vérifiables séparément.</x:v>
      </x:c>
      <x:c r="O11" s="9" t="str"/>
      <x:c r="P11" s="9" t="str">
        <x:v>Aya</x:v>
      </x:c>
      <x:c r="Q11" s="9" t="str">
        <x:v>MEA-SRC-LOCATIONS</x:v>
      </x:c>
      <x:c r="R11" s="9" t="str">
        <x:v>https://masseffect.fandom.com/wiki/Codex_%28Mass_Effect%3A_Andromeda%29/Planets_And_Locations</x:v>
      </x:c>
      <x:c r="S11" s="9" t="str">
        <x:v>Spécification à réaliser. Les champs adaptation, gameplay, visual, animation, audio et implementation décrivent le fan game ; ils ne donnent pas des caractéristiques officielles de l’œuvre.</x:v>
      </x:c>
    </x:row>
    <x:row r="12" ht="68" customHeight="1">
      <x:c r="A12" s="19" t="str">
        <x:v>MEA-WRL-VOELD</x:v>
      </x:c>
      <x:c r="B12" s="7" t="str">
        <x:v>Voeld</x:v>
      </x:c>
      <x:c r="C12" s="15" t="str">
        <x:v>Défini</x:v>
      </x:c>
      <x:c r="D12" s="17" t="str">
        <x:v>Établi</x:v>
      </x:c>
      <x:c r="E12" s="17" t="str">
        <x:v>P1</x:v>
      </x:c>
      <x:c r="F12" s="7" t="str">
        <x:v>Monde froid d’Heleus.</x:v>
      </x:c>
      <x:c r="G12" s="7" t="str">
        <x:v>Carte neigeuse avec relais de chaleur, résistance, kett et caveau ; gestion de froid visible.</x:v>
      </x:c>
      <x:c r="H12" s="7" t="str">
        <x:v>Carte neigeuse avec relais de chaleur, résistance, kett et caveau ; gestion de froid visible.</x:v>
      </x:c>
      <x:c r="I12" s="7" t="str">
        <x:v>Glace, falaises et lumière pâle.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mea/worlds/voeld ; rattacher les ressources et états cités à cet identifiant. Aucun fichier de jeu créé par ce catalogue.</x:v>
      </x:c>
      <x:c r="M12" s="7" t="str"/>
      <x:c r="N12" s="7" t="str">
        <x:v>Le livrable « Voeld » possède une scène ou un scénario de contrôle ; ses règles proposées, ses conditions et ses retours visuels sont vérifiables séparément.</x:v>
      </x:c>
      <x:c r="O12" s="7" t="str"/>
      <x:c r="P12" s="7" t="str">
        <x:v>Voeld</x:v>
      </x:c>
      <x:c r="Q12" s="7" t="str">
        <x:v>MEA-SRC-HAZARD, MEA-SRC-LOCATIONS</x:v>
      </x:c>
      <x:c r="R12" s="7" t="str">
        <x:v>https://masseffect.fandom.com/wiki/Hazard
https://masseffect.fandom.com/wiki/Codex_%28Mass_Effect%3A_Andromeda%29/Planets_And_Locations</x:v>
      </x:c>
      <x:c r="S12" s="7" t="str">
        <x:v>Spécification à réaliser. Les champs adaptation, gameplay, visual, animation, audio et implementation décrivent le fan game ; ils ne donnent pas des caractéristiques officielles de l’œuvre.</x:v>
      </x:c>
    </x:row>
    <x:row r="13" ht="68" customHeight="1">
      <x:c r="A13" s="18" t="str">
        <x:v>MEA-WRL-HAVARL</x:v>
      </x:c>
      <x:c r="B13" s="9" t="str">
        <x:v>Havarl</x:v>
      </x:c>
      <x:c r="C13" s="15" t="str">
        <x:v>Défini</x:v>
      </x:c>
      <x:c r="D13" s="16" t="str">
        <x:v>Établi</x:v>
      </x:c>
      <x:c r="E13" s="16" t="str">
        <x:v>P1</x:v>
      </x:c>
      <x:c r="F13" s="9" t="str">
        <x:v>Monde de jungle angara.</x:v>
      </x:c>
      <x:c r="G13" s="9" t="str">
        <x:v>Densité végétale et ruines verticales ; ne pas inventer une jauge de poison ambiant générale.</x:v>
      </x:c>
      <x:c r="H13" s="9" t="str">
        <x:v>Densité végétale et ruines verticales ; ne pas inventer une jauge de poison ambiant générale.</x:v>
      </x:c>
      <x:c r="I13" s="9" t="str">
        <x:v>Jungle lumineuse et terrasses reliquates.</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mea/worlds/havarl ; rattacher les ressources et états cités à cet identifiant. Aucun fichier de jeu créé par ce catalogue.</x:v>
      </x:c>
      <x:c r="M13" s="9" t="str"/>
      <x:c r="N13" s="9" t="str">
        <x:v>Le livrable « Havarl » possède une scène ou un scénario de contrôle ; ses règles proposées, ses conditions et ses retours visuels sont vérifiables séparément.</x:v>
      </x:c>
      <x:c r="O13" s="9" t="str"/>
      <x:c r="P13" s="9" t="str">
        <x:v>Havarl</x:v>
      </x:c>
      <x:c r="Q13" s="9" t="str">
        <x:v>MEA-SRC-HAZARD, MEA-SRC-LOCATIONS</x:v>
      </x:c>
      <x:c r="R13" s="9" t="str">
        <x:v>https://masseffect.fandom.com/wiki/Hazard
https://masseffect.fandom.com/wiki/Codex_%28Mass_Effect%3A_Andromeda%29/Planets_And_Locations</x:v>
      </x:c>
      <x:c r="S13" s="9" t="str">
        <x:v>Spécification à réaliser. Les champs adaptation, gameplay, visual, animation, audio et implementation décrivent le fan game ; ils ne donnent pas des caractéristiques officielles de l’œuvre.</x:v>
      </x:c>
    </x:row>
    <x:row r="14" ht="68" customHeight="1">
      <x:c r="A14" s="19" t="str">
        <x:v>MEA-WRL-KADARA</x:v>
      </x:c>
      <x:c r="B14" s="7" t="str">
        <x:v>Kadara</x:v>
      </x:c>
      <x:c r="C14" s="15" t="str">
        <x:v>Défini</x:v>
      </x:c>
      <x:c r="D14" s="17" t="str">
        <x:v>Établi</x:v>
      </x:c>
      <x:c r="E14" s="17" t="str">
        <x:v>P1</x:v>
      </x:c>
      <x:c r="F14" s="7" t="str">
        <x:v>Monde d’exilés et d’angara.</x:v>
      </x:c>
      <x:c r="G14" s="7" t="str">
        <x:v>Port et badlands reliés par transit ; eau toxique localisée, pas danger global de l’air.</x:v>
      </x:c>
      <x:c r="H14" s="7" t="str">
        <x:v>Port et badlands reliés par transit ; eau toxique localisée, pas danger global de l’air.</x:v>
      </x:c>
      <x:c r="I14" s="7" t="str">
        <x:v>Roche colorée, bassins et constructions disparates.</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mea/worlds/kadara ; rattacher les ressources et états cités à cet identifiant. Aucun fichier de jeu créé par ce catalogue.</x:v>
      </x:c>
      <x:c r="M14" s="7" t="str"/>
      <x:c r="N14" s="7" t="str">
        <x:v>Le livrable « Kadara » possède une scène ou un scénario de contrôle ; ses règles proposées, ses conditions et ses retours visuels sont vérifiables séparément.</x:v>
      </x:c>
      <x:c r="O14" s="7" t="str"/>
      <x:c r="P14" s="7" t="str">
        <x:v>Kadara</x:v>
      </x:c>
      <x:c r="Q14" s="7" t="str">
        <x:v>MEA-SRC-HAZARD, MEA-SRC-LOCATIONS</x:v>
      </x:c>
      <x:c r="R14" s="7" t="str">
        <x:v>https://masseffect.fandom.com/wiki/Hazard
https://masseffect.fandom.com/wiki/Codex_%28Mass_Effect%3A_Andromeda%29/Planets_And_Locations</x:v>
      </x:c>
      <x:c r="S14" s="7" t="str">
        <x:v>Spécification à réaliser. Les champs adaptation, gameplay, visual, animation, audio et implementation décrivent le fan game ; ils ne donnent pas des caractéristiques officielles de l’œuvre.</x:v>
      </x:c>
    </x:row>
    <x:row r="15" ht="68" customHeight="1">
      <x:c r="A15" s="18" t="str">
        <x:v>MEA-WRL-ELAADEN</x:v>
      </x:c>
      <x:c r="B15" s="9" t="str">
        <x:v>Elaaden</x:v>
      </x:c>
      <x:c r="C15" s="15" t="str">
        <x:v>Défini</x:v>
      </x:c>
      <x:c r="D15" s="16" t="str">
        <x:v>Établi</x:v>
      </x:c>
      <x:c r="E15" s="16" t="str">
        <x:v>P1</x:v>
      </x:c>
      <x:c r="F15" s="9" t="str">
        <x:v>Lune désertique des krogans.</x:v>
      </x:c>
      <x:c r="G15" s="9" t="str">
        <x:v>Dunes, épave, New Tuchanka et abris thermiques ; chaleur dépend de l’exposition, avec indicateurs accessibles.</x:v>
      </x:c>
      <x:c r="H15" s="9" t="str">
        <x:v>Dunes, épave, New Tuchanka et abris thermiques ; chaleur dépend de l’exposition, avec indicateurs accessibles.</x:v>
      </x:c>
      <x:c r="I15" s="9" t="str">
        <x:v>Sable clair, grand corps céleste et épave.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mea/worlds/elaaden ; rattacher les ressources et états cités à cet identifiant. Aucun fichier de jeu créé par ce catalogue.</x:v>
      </x:c>
      <x:c r="M15" s="9" t="str"/>
      <x:c r="N15" s="9" t="str">
        <x:v>Le livrable « Elaaden » possède une scène ou un scénario de contrôle ; ses règles proposées, ses conditions et ses retours visuels sont vérifiables séparément.</x:v>
      </x:c>
      <x:c r="O15" s="9" t="str"/>
      <x:c r="P15" s="9" t="str">
        <x:v>Elaaden</x:v>
      </x:c>
      <x:c r="Q15" s="9" t="str">
        <x:v>MEA-SRC-HAZARD, MEA-SRC-LOCATIONS</x:v>
      </x:c>
      <x:c r="R15" s="9" t="str">
        <x:v>https://masseffect.fandom.com/wiki/Hazard
https://masseffect.fandom.com/wiki/Codex_%28Mass_Effect%3A_Andromeda%29/Planets_And_Locations</x:v>
      </x:c>
      <x:c r="S15" s="9" t="str">
        <x:v>Spécification à réaliser. Les champs adaptation, gameplay, visual, animation, audio et implementation décrivent le fan game ; ils ne donnent pas des caractéristiques officielles de l’œuvre.</x:v>
      </x:c>
    </x:row>
    <x:row r="16" ht="68" customHeight="1">
      <x:c r="A16" s="19" t="str">
        <x:v>MEA-WRL-H047C</x:v>
      </x:c>
      <x:c r="B16" s="7" t="str">
        <x:v>H-047c</x:v>
      </x:c>
      <x:c r="C16" s="15" t="str">
        <x:v>Défini</x:v>
      </x:c>
      <x:c r="D16" s="17" t="str">
        <x:v>Établi</x:v>
      </x:c>
      <x:c r="E16" s="17" t="str">
        <x:v>P1</x:v>
      </x:c>
      <x:c r="F16" s="7" t="str">
        <x:v>Vestiges d’un monde détruit.</x:v>
      </x:c>
      <x:c r="G16" s="7" t="str">
        <x:v>Nomad entre dômes pressurisés ; entrées/sorties séparées pour éviter marche dans le vide.</x:v>
      </x:c>
      <x:c r="H16" s="7" t="str">
        <x:v>Nomad entre dômes pressurisés ; entrées/sorties séparées pour éviter marche dans le vide.</x:v>
      </x:c>
      <x:c r="I16" s="7" t="str">
        <x:v>Fragments rocheux, étoiles et habitats sous dôme.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mea/worlds/h047c ; rattacher les ressources et états cités à cet identifiant. Aucun fichier de jeu créé par ce catalogue.</x:v>
      </x:c>
      <x:c r="M16" s="7" t="str"/>
      <x:c r="N16" s="7" t="str">
        <x:v>Le livrable « H-047c » possède une scène ou un scénario de contrôle ; ses règles proposées, ses conditions et ses retours visuels sont vérifiables séparément.</x:v>
      </x:c>
      <x:c r="O16" s="7" t="str"/>
      <x:c r="P16" s="7" t="str">
        <x:v>H-047c</x:v>
      </x:c>
      <x:c r="Q16" s="7" t="str">
        <x:v>MEA-SRC-HAZARD, MEA-SRC-LOCATIONS</x:v>
      </x:c>
      <x:c r="R16" s="7" t="str">
        <x:v>https://masseffect.fandom.com/wiki/Hazard
https://masseffect.fandom.com/wiki/Codex_%28Mass_Effect%3A_Andromeda%29/Planets_And_Locations</x:v>
      </x:c>
      <x:c r="S16" s="7" t="str">
        <x:v>Spécification à réaliser. Les champs adaptation, gameplay, visual, animation, audio et implementation décrivent le fan game ; ils ne donnent pas des caractéristiques officielles de l’œuvre.</x:v>
      </x:c>
    </x:row>
    <x:row r="17" ht="68" customHeight="1">
      <x:c r="A17" s="18" t="str">
        <x:v>MEA-WRL-KHI-TASIRA</x:v>
      </x:c>
      <x:c r="B17" s="9" t="str">
        <x:v>Khi Tasira</x:v>
      </x:c>
      <x:c r="C17" s="15" t="str">
        <x:v>Défini</x:v>
      </x:c>
      <x:c r="D17" s="16" t="str">
        <x:v>Établi</x:v>
      </x:c>
      <x:c r="E17" s="16" t="str">
        <x:v>P1</x:v>
      </x:c>
      <x:c r="F17" s="9" t="str">
        <x:v>Site reliquat de la recherche de Méridiane.</x:v>
      </x:c>
      <x:c r="G17" s="9" t="str">
        <x:v>Immense ville technique à secteurs d’énergie ; ne pas confondre ce site et monde habitable final.</x:v>
      </x:c>
      <x:c r="H17" s="9" t="str">
        <x:v>Immense ville technique à secteurs d’énergie ; ne pas confondre ce site et monde habitable final.</x:v>
      </x:c>
      <x:c r="I17" s="9" t="str">
        <x:v>Tours géométriques et réseaux lumineux.</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mea/worlds/khi-tasira ; rattacher les ressources et états cités à cet identifiant. Aucun fichier de jeu créé par ce catalogue.</x:v>
      </x:c>
      <x:c r="M17" s="9" t="str"/>
      <x:c r="N17" s="9" t="str">
        <x:v>Le livrable « Khi Tasira » possède une scène ou un scénario de contrôle ; ses règles proposées, ses conditions et ses retours visuels sont vérifiables séparément.</x:v>
      </x:c>
      <x:c r="O17" s="9" t="str"/>
      <x:c r="P17" s="9" t="str">
        <x:v>Khi Tasira</x:v>
      </x:c>
      <x:c r="Q17" s="9" t="str">
        <x:v>MEA-SRC-GUIDE</x:v>
      </x:c>
      <x:c r="R17" s="9" t="str">
        <x:v>https://masseffect.fandom.com/wiki/Mass_Effect%3A_Andromeda_Guide</x:v>
      </x:c>
      <x:c r="S17" s="9" t="str">
        <x:v>Spécification à réaliser. Les champs adaptation, gameplay, visual, animation, audio et implementation décrivent le fan game ; ils ne donnent pas des caractéristiques officielles de l’œuvre.</x:v>
      </x:c>
    </x:row>
    <x:row r="18" ht="68" customHeight="1">
      <x:c r="A18" s="19" t="str">
        <x:v>MEA-WRL-MERIDIAN</x:v>
      </x:c>
      <x:c r="B18" s="7" t="str">
        <x:v>Méridiane</x:v>
      </x:c>
      <x:c r="C18" s="15" t="str">
        <x:v>Défini</x:v>
      </x:c>
      <x:c r="D18" s="17" t="str">
        <x:v>Établi</x:v>
      </x:c>
      <x:c r="E18" s="17" t="str">
        <x:v>P1</x:v>
      </x:c>
      <x:c r="F18" s="7" t="str">
        <x:v>Destination du final et de l’épilogue.</x:v>
      </x:c>
      <x:c r="G18" s="7" t="str">
        <x:v>Noyau de réseau puis paysage intérieur habitable ; carte de Port Meridian distincte du champ de bataille.</x:v>
      </x:c>
      <x:c r="H18" s="7" t="str">
        <x:v>Noyau de réseau puis paysage intérieur habitable ; carte de Port Meridian distincte du champ de bataille.</x:v>
      </x:c>
      <x:c r="I18" s="7" t="str">
        <x:v>Sphère, ciel intérieur et végétation.</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mea/worlds/meridian ; rattacher les ressources et états cités à cet identifiant. Aucun fichier de jeu créé par ce catalogue.</x:v>
      </x:c>
      <x:c r="M18" s="7" t="str"/>
      <x:c r="N18" s="7" t="str">
        <x:v>Le livrable « Méridiane » possède une scène ou un scénario de contrôle ; ses règles proposées, ses conditions et ses retours visuels sont vérifiables séparément.</x:v>
      </x:c>
      <x:c r="O18" s="7" t="str"/>
      <x:c r="P18" s="7" t="str">
        <x:v>Méridiane</x:v>
      </x:c>
      <x:c r="Q18" s="7" t="str">
        <x:v>MEA-SRC-MERIDIAN, MEA-SRC-EPILOGUE</x:v>
      </x:c>
      <x:c r="R18" s="7" t="str">
        <x:v>https://masseffect.fandom.com/wiki/Meridian%3A_The_Way_Home
https://masseffect.fandom.com/wiki/Epilogue%3A_Home_and_Away</x:v>
      </x:c>
      <x:c r="S18" s="7" t="str">
        <x:v>Spécification à réaliser. Les champs adaptation, gameplay, visual, animation, audio et implementation décrivent le fan game ; ils ne donnent pas des caractéristiques officielles de l’œuvre.</x:v>
      </x:c>
    </x:row>
    <x:row r="19" ht="68" customHeight="1">
      <x:c r="A19" s="18" t="str">
        <x:v>MEA-WRL-PAS10</x:v>
      </x:c>
      <x:c r="B19" s="9" t="str">
        <x:v>Pas-10</x:v>
      </x:c>
      <x:c r="C19" s="15" t="str">
        <x:v>Défini</x:v>
      </x:c>
      <x:c r="D19" s="16" t="str">
        <x:v>Établi</x:v>
      </x:c>
      <x:c r="E19" s="16" t="str">
        <x:v>P1</x:v>
      </x:c>
      <x:c r="F19" s="9" t="str">
        <x:v>Monde volcanique de la mission de Peebee.</x:v>
      </x:c>
      <x:c r="G19" s="9" t="str">
        <x:v>Carte linéaire de loyauté avec Observers alliés, lave et retour par navette ; exploration ouverte non promise.</x:v>
      </x:c>
      <x:c r="H19" s="9" t="str">
        <x:v>Carte linéaire de loyauté avec Observers alliés, lave et retour par navette ; exploration ouverte non promise.</x:v>
      </x:c>
      <x:c r="I19" s="9" t="str">
        <x:v>Roche rouge et ruines au-dessus de lave.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mea/worlds/pas10 ; rattacher les ressources et états cités à cet identifiant. Aucun fichier de jeu créé par ce catalogue.</x:v>
      </x:c>
      <x:c r="M19" s="9" t="str"/>
      <x:c r="N19" s="9" t="str">
        <x:v>Le livrable « Pas-10 » possède une scène ou un scénario de contrôle ; ses règles proposées, ses conditions et ses retours visuels sont vérifiables séparément.</x:v>
      </x:c>
      <x:c r="O19" s="9" t="str"/>
      <x:c r="P19" s="9" t="str">
        <x:v>Pas-10</x:v>
      </x:c>
      <x:c r="Q19" s="9" t="str">
        <x:v>MEA-SRC-PEEBEE-LOYAL</x:v>
      </x:c>
      <x:c r="R19" s="9" t="str">
        <x:v>https://masseffect.fandom.com/wiki/Peebee%3A_A_Mysterious_Remnant_Signal</x:v>
      </x:c>
      <x:c r="S19" s="9" t="str">
        <x:v>Spécification à réaliser. Les champs adaptation, gameplay, visual, animation, audio et implementation décrivent le fan game ; ils ne donnent pas des caractéristiques officielles de l’œuvre.</x:v>
      </x:c>
    </x:row>
    <x:row r="20" ht="68" customHeight="1">
      <x:c r="A20" s="19" t="str">
        <x:v>MEA-WRL-MOONYARD</x:v>
      </x:c>
      <x:c r="B20" s="7" t="str">
        <x:v>Chantier lunaire de Drack</x:v>
      </x:c>
      <x:c r="C20" s="15" t="str">
        <x:v>Défini</x:v>
      </x:c>
      <x:c r="D20" s="17" t="str">
        <x:v>Établi</x:v>
      </x:c>
      <x:c r="E20" s="17" t="str">
        <x:v>P1</x:v>
      </x:c>
      <x:c r="F20" s="7" t="str">
        <x:v>Le transport volé mène à une lune d’Elaaden.</x:v>
      </x:c>
      <x:c r="G20" s="7" t="str">
        <x:v>Zone d’abordage, plateformes et serre de transport ; géographie originale locale annoncée.</x:v>
      </x:c>
      <x:c r="H20" s="7" t="str">
        <x:v>Zone d’abordage, plateformes et serre de transport ; géographie originale locale annoncée.</x:v>
      </x:c>
      <x:c r="I20" s="7" t="str">
        <x:v>Chantier orbital bas et containers.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mea/worlds/moonyard ; rattacher les ressources et états cités à cet identifiant. Aucun fichier de jeu créé par ce catalogue.</x:v>
      </x:c>
      <x:c r="M20" s="7" t="str"/>
      <x:c r="N20" s="7" t="str">
        <x:v>Le livrable « Chantier lunaire de Drack » possède une scène ou un scénario de contrôle ; ses règles proposées, ses conditions et ses retours visuels sont vérifiables séparément.</x:v>
      </x:c>
      <x:c r="O20" s="7" t="str"/>
      <x:c r="P20" s="7" t="str">
        <x:v>Chantier lunaire de Drack</x:v>
      </x:c>
      <x:c r="Q20" s="7" t="str">
        <x:v>MEA-SRC-DRACK-LOYAL</x:v>
      </x:c>
      <x:c r="R20" s="7" t="str">
        <x:v>https://masseffect.fandom.com/wiki/Nakmor_Drack%3A_A_Future_for_our_People</x:v>
      </x:c>
      <x:c r="S20" s="7" t="str">
        <x:v>Spécification à réaliser. Les champs adaptation, gameplay, visual, animation, audio et implementation décrivent le fan game ; ils ne donnent pas des caractéristiques officielles de l’œuvre.</x:v>
      </x:c>
    </x:row>
    <x:row r="21" ht="68" customHeight="1">
      <x:c r="A21" s="18" t="str">
        <x:v>MEA-WRL-LEUSINIA</x:v>
      </x:c>
      <x:c r="B21" s="9" t="str">
        <x:v>Leusinia</x:v>
      </x:c>
      <x:c r="C21" s="15" t="str">
        <x:v>Défini</x:v>
      </x:c>
      <x:c r="D21" s="16" t="str">
        <x:v>Établi</x:v>
      </x:c>
      <x:c r="E21" s="16" t="str">
        <x:v>P1</x:v>
      </x:c>
      <x:c r="F21" s="9" t="str">
        <x:v>Arche asari.</x:v>
      </x:c>
      <x:c r="G21" s="9" t="str">
        <x:v>Carte intérieure de mission avec champs et salles de survie ; roster Cora obligatoire selon mission.</x:v>
      </x:c>
      <x:c r="H21" s="9" t="str">
        <x:v>Carte intérieure de mission avec champs et salles de survie ; roster Cora obligatoire selon mission.</x:v>
      </x:c>
      <x:c r="I21" s="9" t="str">
        <x:v>Architecture d’arche et panneaux asari.</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mea/worlds/leusinia ; rattacher les ressources et états cités à cet identifiant. Aucun fichier de jeu créé par ce catalogue.</x:v>
      </x:c>
      <x:c r="M21" s="9" t="str"/>
      <x:c r="N21" s="9" t="str">
        <x:v>Le livrable « Leusinia » possède une scène ou un scénario de contrôle ; ses règles proposées, ses conditions et ses retours visuels sont vérifiables séparément.</x:v>
      </x:c>
      <x:c r="O21" s="9" t="str"/>
      <x:c r="P21" s="9" t="str">
        <x:v>Leusinia</x:v>
      </x:c>
      <x:c r="Q21" s="9" t="str">
        <x:v>MEA-SRC-CORA-LOYAL</x:v>
      </x:c>
      <x:c r="R21" s="9" t="str">
        <x:v>https://masseffect.fandom.com/wiki/Cora_Harper%3A_At_Duty%27s_Edge</x:v>
      </x:c>
      <x:c r="S21" s="9" t="str">
        <x:v>Spécification à réaliser. Les champs adaptation, gameplay, visual, animation, audio et implementation décrivent le fan game ; ils ne donnent pas des caractéristiques officielles de l’œuvre.</x:v>
      </x:c>
    </x:row>
    <x:row r="22" ht="68" customHeight="1">
      <x:c r="A22" s="19" t="str">
        <x:v>MEA-WRL-NATANUS</x:v>
      </x:c>
      <x:c r="B22" s="7" t="str">
        <x:v>Natanus</x:v>
      </x:c>
      <x:c r="C22" s="15" t="str">
        <x:v>Défini</x:v>
      </x:c>
      <x:c r="D22" s="17" t="str">
        <x:v>Établi</x:v>
      </x:c>
      <x:c r="E22" s="17" t="str">
        <x:v>P1</x:v>
      </x:c>
      <x:c r="F22" s="7" t="str">
        <x:v>Arche turienne recherchée.</x:v>
      </x:c>
      <x:c r="G22" s="7" t="str">
        <x:v>Parcours d’enquête et mémoire de Macen ; scènes d’Avitus dans zones restreintes.</x:v>
      </x:c>
      <x:c r="H22" s="7" t="str">
        <x:v>Parcours d’enquête et mémoire de Macen ; scènes d’Avitus dans zones restreintes.</x:v>
      </x:c>
      <x:c r="I22" s="7" t="str">
        <x:v>Couloirs endommagés et dispositifs turiens.</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mea/worlds/natanus ; rattacher les ressources et états cités à cet identifiant. Aucun fichier de jeu créé par ce catalogue.</x:v>
      </x:c>
      <x:c r="M22" s="7" t="str"/>
      <x:c r="N22" s="7" t="str">
        <x:v>Le livrable « Natanus » possède une scène ou un scénario de contrôle ; ses règles proposées, ses conditions et ses retours visuels sont vérifiables séparément.</x:v>
      </x:c>
      <x:c r="O22" s="7" t="str"/>
      <x:c r="P22" s="7" t="str">
        <x:v>Natanus</x:v>
      </x:c>
      <x:c r="Q22" s="7" t="str">
        <x:v>MEA-SRC-MISSING-ARKS</x:v>
      </x:c>
      <x:c r="R22" s="7" t="str">
        <x:v>https://masseffect.fandom.com/wiki/Missing_Arks</x:v>
      </x:c>
      <x:c r="S22" s="7" t="str">
        <x:v>Spécification à réaliser. Les champs adaptation, gameplay, visual, animation, audio et implementation décrivent le fan game ; ils ne donnent pas des caractéristiques officielles de l’œuvre.</x:v>
      </x:c>
    </x:row>
    <x:row r="23" ht="68" customHeight="1">
      <x:c r="A23" s="18" t="str">
        <x:v>MEA-WRL-PAARCHERO</x:v>
      </x:c>
      <x:c r="B23" s="9" t="str">
        <x:v>Paarchero</x:v>
      </x:c>
      <x:c r="C23" s="15" t="str">
        <x:v>Défini</x:v>
      </x:c>
      <x:c r="D23" s="16" t="str">
        <x:v>Établi</x:v>
      </x:c>
      <x:c r="E23" s="16" t="str">
        <x:v>P1</x:v>
      </x:c>
      <x:c r="F23" s="9" t="str">
        <x:v>Arche galarienne de la traque de l’Archonte.</x:v>
      </x:c>
      <x:c r="G23" s="9" t="str">
        <x:v>Séparer portions d’arche et vaisseau kett où se déroule l’opération ; pas de téléportation de pont sans transition.</x:v>
      </x:c>
      <x:c r="H23" s="9" t="str">
        <x:v>Séparer portions d’arche et vaisseau kett où se déroule l’opération ; pas de téléportation de pont sans transition.</x:v>
      </x:c>
      <x:c r="I23" s="9" t="str">
        <x:v>Pods galariens et structure d’arche.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mea/worlds/paarchero ; rattacher les ressources et états cités à cet identifiant. Aucun fichier de jeu créé par ce catalogue.</x:v>
      </x:c>
      <x:c r="M23" s="9" t="str"/>
      <x:c r="N23" s="9" t="str">
        <x:v>Le livrable « Paarchero » possède une scène ou un scénario de contrôle ; ses règles proposées, ses conditions et ses retours visuels sont vérifiables séparément.</x:v>
      </x:c>
      <x:c r="O23" s="9" t="str"/>
      <x:c r="P23" s="9" t="str">
        <x:v>Paarchero</x:v>
      </x:c>
      <x:c r="Q23" s="9" t="str">
        <x:v>MEA-SRC-ARCHON</x:v>
      </x:c>
      <x:c r="R23" s="9" t="str">
        <x:v>https://masseffect.fandom.com/wiki/Hunting_the_Archon</x:v>
      </x:c>
      <x:c r="S23" s="9" t="str">
        <x:v>Spécification à réaliser. Les champs adaptation, gameplay, visual, animation, audio et implementation décrivent le fan game ; ils ne donnent pas des caractéristiques officielles de l’œuvre.</x:v>
      </x:c>
    </x:row>
  </x:sheetData>
  <x:conditionalFormatting sqref="D7:D23">
    <x:cfRule type="cellIs" dxfId="12" priority="1" operator="equal">
      <x:formula>"À vérifier"</x:formula>
    </x:cfRule>
    <x:cfRule type="cellIs" dxfId="13" priority="2" operator="equal">
      <x:formula>"Extrapolation"</x:formula>
    </x:cfRule>
  </x:conditionalFormatting>
  <x:conditionalFormatting sqref="C7:C23">
    <x:cfRule type="cellIs" dxfId="14" priority="3" operator="equal">
      <x:formula>"Validé"</x:formula>
    </x:cfRule>
  </x:conditionalFormatting>
  <x:conditionalFormatting sqref="E7:E23">
    <x:cfRule type="cellIs" dxfId="15" priority="4" operator="equal">
      <x:formula>"P0"</x:formula>
    </x:cfRule>
  </x:conditionalFormatting>
  <x:dataValidations count="3">
    <x:dataValidation type="list" sqref="C7:C23">
      <x:formula1>"Défini,Prototype,Intégré,Validé"</x:formula1>
    </x:dataValidation>
    <x:dataValidation type="list" sqref="D7:D23">
      <x:formula1>"Établi,À vérifier,Extrapolation,Coupé attesté,Concept abandonné,Allégation écartée"</x:formula1>
    </x:dataValidation>
    <x:dataValidation type="list" sqref="E7:E23">
      <x:formula1>"P0,P1,P2"</x:formula1>
    </x:dataValidation>
  </x:dataValidations>
  <x:pageMargins left="0.7" right="0.7" top="0.75" bottom="0.75" header="0.3" footer="0.3"/>
  <x:tableParts count="1">
    <x:tablePart xmlns:r="http://schemas.openxmlformats.org/officeDocument/2006/relationships" r:id="R4c5197091f6c48dd"/>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Andromeda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MEA-ZON-TEMPEST-BRIDGE</x:v>
      </x:c>
      <x:c r="B7" s="9" t="str">
        <x:v>Tempest — passerelle</x:v>
      </x:c>
      <x:c r="C7" s="15" t="str">
        <x:v>Défini</x:v>
      </x:c>
      <x:c r="D7" s="16" t="str">
        <x:v>Établi</x:v>
      </x:c>
      <x:c r="E7" s="16" t="str">
        <x:v>P1</x:v>
      </x:c>
      <x:c r="F7" s="9" t="str">
        <x:v>Lieu du pilotage et de Suvi.</x:v>
      </x:c>
      <x:c r="G7" s="9" t="str">
        <x:v>Carte galactique, conversation et départ sont interactions distinctes ; fenêtres donnent orientation stable.</x:v>
      </x:c>
      <x:c r="H7" s="9" t="str">
        <x:v>Carte galactique, conversation et départ sont interactions distinctes ; fenêtres donnent orientation stable.</x:v>
      </x:c>
      <x:c r="I7" s="9" t="str">
        <x:v>Grand cockpit vitré et consoles.</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mea/zones/tempest-bridge ; rattacher les ressources et états cités à cet identifiant. Aucun fichier de jeu créé par ce catalogue.</x:v>
      </x:c>
      <x:c r="M7" s="9" t="str"/>
      <x:c r="N7" s="9" t="str">
        <x:v>Le livrable « Tempest — passerelle » possède une scène ou un scénario de contrôle ; ses règles proposées, ses conditions et ses retours visuels sont vérifiables séparément.</x:v>
      </x:c>
      <x:c r="O7" s="9" t="str"/>
      <x:c r="P7" s="9" t="str">
        <x:v>Tempest — passerelle</x:v>
      </x:c>
      <x:c r="Q7" s="9" t="str">
        <x:v>MEA-SRC-CHAR</x:v>
      </x:c>
      <x:c r="R7" s="9" t="str">
        <x:v>https://masseffect.fandom.com/wiki/Characters/Mass_Effect%3A_Andromeda</x:v>
      </x:c>
      <x:c r="S7" s="9" t="str">
        <x:v>Spécification à réaliser. Les champs adaptation, gameplay, visual, animation, audio et implementation décrivent le fan game ; ils ne donnent pas des caractéristiques officielles de l’œuvre.</x:v>
      </x:c>
    </x:row>
    <x:row r="8" ht="68" customHeight="1">
      <x:c r="A8" s="19" t="str">
        <x:v>MEA-ZON-TEMPEST-LAB</x:v>
      </x:c>
      <x:c r="B8" s="7" t="str">
        <x:v>Tempest — laboratoire et recherche</x:v>
      </x:c>
      <x:c r="C8" s="15" t="str">
        <x:v>Défini</x:v>
      </x:c>
      <x:c r="D8" s="17" t="str">
        <x:v>Établi</x:v>
      </x:c>
      <x:c r="E8" s="17" t="str">
        <x:v>P1</x:v>
      </x:c>
      <x:c r="F8" s="7" t="str">
        <x:v>Zone de recherche et fabrication.</x:v>
      </x:c>
      <x:c r="G8" s="7" t="str">
        <x:v>Écran de recette, scanner et dialogue scientifique séparés ; pas de consommation en lisant un plan.</x:v>
      </x:c>
      <x:c r="H8" s="7" t="str">
        <x:v>Écran de recette, scanner et dialogue scientifique séparés ; pas de consommation en lisant un plan.</x:v>
      </x:c>
      <x:c r="I8" s="7" t="str">
        <x:v>Bancs blancs et hologrammes.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mea/zones/tempest-lab ; rattacher les ressources et états cités à cet identifiant. Aucun fichier de jeu créé par ce catalogue.</x:v>
      </x:c>
      <x:c r="M8" s="7" t="str"/>
      <x:c r="N8" s="7" t="str">
        <x:v>Le livrable « Tempest — laboratoire et recherche » possède une scène ou un scénario de contrôle ; ses règles proposées, ses conditions et ses retours visuels sont vérifiables séparément.</x:v>
      </x:c>
      <x:c r="O8" s="7" t="str"/>
      <x:c r="P8" s="7" t="str">
        <x:v>Tempest — laboratoire et recherche</x:v>
      </x:c>
      <x:c r="Q8" s="7" t="str">
        <x:v>MEA-SRC-RESEARCH</x:v>
      </x:c>
      <x:c r="R8" s="7" t="str">
        <x:v>https://masseffect.fandom.com/wiki/Research_Center_%28Mass_Effect%3A_Andromeda%29</x:v>
      </x:c>
      <x:c r="S8" s="7" t="str">
        <x:v>Spécification à réaliser. Les champs adaptation, gameplay, visual, animation, audio et implementation décrivent le fan game ; ils ne donnent pas des caractéristiques officielles de l’œuvre.</x:v>
      </x:c>
    </x:row>
    <x:row r="9" ht="68" customHeight="1">
      <x:c r="A9" s="18" t="str">
        <x:v>MEA-ZON-TEMPEST-ENGINE</x:v>
      </x:c>
      <x:c r="B9" s="9" t="str">
        <x:v>Tempest — moteur et atelier</x:v>
      </x:c>
      <x:c r="C9" s="15" t="str">
        <x:v>Défini</x:v>
      </x:c>
      <x:c r="D9" s="16" t="str">
        <x:v>Établi</x:v>
      </x:c>
      <x:c r="E9" s="16" t="str">
        <x:v>P1</x:v>
      </x:c>
      <x:c r="F9" s="9" t="str">
        <x:v>Lieu de Gil.</x:v>
      </x:c>
      <x:c r="G9" s="9" t="str">
        <x:v>Atelier et mini-scènes personnelles ; machines décoratives ne déclenchent pas un menu d’amélioration inexistant.</x:v>
      </x:c>
      <x:c r="H9" s="9" t="str">
        <x:v>Atelier et mini-scènes personnelles ; machines décoratives ne déclenchent pas un menu d’amélioration inexistant.</x:v>
      </x:c>
      <x:c r="I9" s="9" t="str">
        <x:v>Générateur et outils.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mea/zones/tempest-engine ; rattacher les ressources et états cités à cet identifiant. Aucun fichier de jeu créé par ce catalogue.</x:v>
      </x:c>
      <x:c r="M9" s="9" t="str"/>
      <x:c r="N9" s="9" t="str">
        <x:v>Le livrable « Tempest — moteur et atelier » possède une scène ou un scénario de contrôle ; ses règles proposées, ses conditions et ses retours visuels sont vérifiables séparément.</x:v>
      </x:c>
      <x:c r="O9" s="9" t="str"/>
      <x:c r="P9" s="9" t="str">
        <x:v>Tempest — moteur et atelier</x:v>
      </x:c>
      <x:c r="Q9" s="9" t="str">
        <x:v>MEA-SRC-CHAR</x:v>
      </x:c>
      <x:c r="R9" s="9" t="str">
        <x:v>https://masseffect.fandom.com/wiki/Characters/Mass_Effect%3A_Andromeda</x:v>
      </x:c>
      <x:c r="S9" s="9" t="str">
        <x:v>Spécification à réaliser. Les champs adaptation, gameplay, visual, animation, audio et implementation décrivent le fan game ; ils ne donnent pas des caractéristiques officielles de l’œuvre.</x:v>
      </x:c>
    </x:row>
    <x:row r="10" ht="68" customHeight="1">
      <x:c r="A10" s="19" t="str">
        <x:v>MEA-ZON-TEMPEST-CREW</x:v>
      </x:c>
      <x:c r="B10" s="7" t="str">
        <x:v>Tempest — quartiers</x:v>
      </x:c>
      <x:c r="C10" s="15" t="str">
        <x:v>Défini</x:v>
      </x:c>
      <x:c r="D10" s="17" t="str">
        <x:v>Établi</x:v>
      </x:c>
      <x:c r="E10" s="17" t="str">
        <x:v>P1</x:v>
      </x:c>
      <x:c r="F10" s="7" t="str">
        <x:v>Lieu de l’équipage.</x:v>
      </x:c>
      <x:c r="G10" s="7" t="str">
        <x:v>Pièces à états relationnels, nom sur porte et minimap ; conversations verrouillées expliquent besoin de progression.</x:v>
      </x:c>
      <x:c r="H10" s="7" t="str">
        <x:v>Pièces à états relationnels, nom sur porte et minimap ; conversations verrouillées expliquent besoin de progression.</x:v>
      </x:c>
      <x:c r="I10" s="7" t="str">
        <x:v>Cabines, mess et couchettes.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mea/zones/tempest-crew ; rattacher les ressources et états cités à cet identifiant. Aucun fichier de jeu créé par ce catalogue.</x:v>
      </x:c>
      <x:c r="M10" s="7" t="str"/>
      <x:c r="N10" s="7" t="str">
        <x:v>Le livrable « Tempest — quartiers » possède une scène ou un scénario de contrôle ; ses règles proposées, ses conditions et ses retours visuels sont vérifiables séparément.</x:v>
      </x:c>
      <x:c r="O10" s="7" t="str"/>
      <x:c r="P10" s="7" t="str">
        <x:v>Tempest — quartiers</x:v>
      </x:c>
      <x:c r="Q10" s="7" t="str">
        <x:v>MEA-SRC-SQUAD</x:v>
      </x:c>
      <x:c r="R10" s="7" t="str">
        <x:v>https://masseffect.fandom.com/wiki/Squad_Members_Guide_%28Mass_Effect%3A_Andromeda%29</x:v>
      </x:c>
      <x:c r="S10" s="7" t="str">
        <x:v>Spécification à réaliser. Les champs adaptation, gameplay, visual, animation, audio et implementation décrivent le fan game ; ils ne donnent pas des caractéristiques officielles de l’œuvre.</x:v>
      </x:c>
    </x:row>
    <x:row r="11" ht="68" customHeight="1">
      <x:c r="A11" s="18" t="str">
        <x:v>MEA-ZON-TEMPEST-POD</x:v>
      </x:c>
      <x:c r="B11" s="9" t="str">
        <x:v>Tempest — capsule de Peebee</x:v>
      </x:c>
      <x:c r="C11" s="15" t="str">
        <x:v>Défini</x:v>
      </x:c>
      <x:c r="D11" s="16" t="str">
        <x:v>Établi</x:v>
      </x:c>
      <x:c r="E11" s="16" t="str">
        <x:v>P1</x:v>
      </x:c>
      <x:c r="F11" s="9" t="str">
        <x:v>Espace personnel de Peebee.</x:v>
      </x:c>
      <x:c r="G11" s="9" t="str">
        <x:v>Atelier de Poc, rencontre et déclencheur de mission sont actions distinctes ; avertissement avant départ de loyauté proposé.</x:v>
      </x:c>
      <x:c r="H11" s="9" t="str">
        <x:v>Atelier de Poc, rencontre et déclencheur de mission sont actions distinctes ; avertissement avant départ de loyauté proposé.</x:v>
      </x:c>
      <x:c r="I11" s="9" t="str">
        <x:v>Capsule, dessins et composants reliquats.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mea/zones/tempest-pod ; rattacher les ressources et états cités à cet identifiant. Aucun fichier de jeu créé par ce catalogue.</x:v>
      </x:c>
      <x:c r="M11" s="9" t="str"/>
      <x:c r="N11" s="9" t="str">
        <x:v>Le livrable « Tempest — capsule de Peebee » possède une scène ou un scénario de contrôle ; ses règles proposées, ses conditions et ses retours visuels sont vérifiables séparément.</x:v>
      </x:c>
      <x:c r="O11" s="9" t="str"/>
      <x:c r="P11" s="9" t="str">
        <x:v>Tempest — capsule de Peebee</x:v>
      </x:c>
      <x:c r="Q11" s="9" t="str">
        <x:v>MEA-SRC-PEEBEE-LOYAL, MEA-SRC-PEEBEE-POC</x:v>
      </x:c>
      <x:c r="R11" s="9" t="str">
        <x:v>https://masseffect.fandom.com/wiki/Peebee%3A_A_Mysterious_Remnant_Signal
https://masseffect.fandom.com/wiki/Peebee%3A_Reclaiming_Poc</x:v>
      </x:c>
      <x:c r="S11" s="9" t="str">
        <x:v>Spécification à réaliser. Les champs adaptation, gameplay, visual, animation, audio et implementation décrivent le fan game ; ils ne donnent pas des caractéristiques officielles de l’œuvre.</x:v>
      </x:c>
    </x:row>
    <x:row r="12" ht="68" customHeight="1">
      <x:c r="A12" s="19" t="str">
        <x:v>MEA-ZON-HYP-CRYO</x:v>
      </x:c>
      <x:c r="B12" s="7" t="str">
        <x:v>Hyperion — cryostase</x:v>
      </x:c>
      <x:c r="C12" s="15" t="str">
        <x:v>Défini</x:v>
      </x:c>
      <x:c r="D12" s="17" t="str">
        <x:v>Établi</x:v>
      </x:c>
      <x:c r="E12" s="17" t="str">
        <x:v>P1</x:v>
      </x:c>
      <x:c r="F12" s="7" t="str">
        <x:v>Zone du réveil.</x:v>
      </x:c>
      <x:c r="G12" s="7" t="str">
        <x:v>Tutoriel sur allées sûres ; pods en fond ne ressemblent pas à des cibles ouvrables.</x:v>
      </x:c>
      <x:c r="H12" s="7" t="str">
        <x:v>Tutoriel sur allées sûres ; pods en fond ne ressemblent pas à des cibles ouvrables.</x:v>
      </x:c>
      <x:c r="I12" s="7" t="str">
        <x:v>Lignes de capsules et brume froide.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mea/zones/hyp-cryo ; rattacher les ressources et états cités à cet identifiant. Aucun fichier de jeu créé par ce catalogue.</x:v>
      </x:c>
      <x:c r="M12" s="7" t="str"/>
      <x:c r="N12" s="7" t="str">
        <x:v>Le livrable « Hyperion — cryostase » possède une scène ou un scénario de contrôle ; ses règles proposées, ses conditions et ses retours visuels sont vérifiables séparément.</x:v>
      </x:c>
      <x:c r="O12" s="7" t="str"/>
      <x:c r="P12" s="7" t="str">
        <x:v>Hyperion — cryostase</x:v>
      </x:c>
      <x:c r="Q12" s="7" t="str">
        <x:v>MEA-SRC-GUIDE</x:v>
      </x:c>
      <x:c r="R12" s="7" t="str">
        <x:v>https://masseffect.fandom.com/wiki/Mass_Effect%3A_Andromeda_Guide</x:v>
      </x:c>
      <x:c r="S12" s="7" t="str">
        <x:v>Spécification à réaliser. Les champs adaptation, gameplay, visual, animation, audio et implementation décrivent le fan game ; ils ne donnent pas des caractéristiques officielles de l’œuvre.</x:v>
      </x:c>
    </x:row>
    <x:row r="13" ht="68" customHeight="1">
      <x:c r="A13" s="18" t="str">
        <x:v>MEA-ZON-SAM-NODE</x:v>
      </x:c>
      <x:c r="B13" s="9" t="str">
        <x:v>Hyperion — SAM Node</x:v>
      </x:c>
      <x:c r="C13" s="15" t="str">
        <x:v>Défini</x:v>
      </x:c>
      <x:c r="D13" s="16" t="str">
        <x:v>Établi</x:v>
      </x:c>
      <x:c r="E13" s="16" t="str">
        <x:v>P1</x:v>
      </x:c>
      <x:c r="F13" s="9" t="str">
        <x:v>Lieu des souvenirs d’Alec.</x:v>
      </x:c>
      <x:c r="G13" s="9" t="str">
        <x:v>Console principale et archives ; tableau de mémoires connues/à débloquer sans spoilers de contenu.</x:v>
      </x:c>
      <x:c r="H13" s="9" t="str">
        <x:v>Console principale et archives ; tableau de mémoires connues/à débloquer sans spoilers de contenu.</x:v>
      </x:c>
      <x:c r="I13" s="9" t="str">
        <x:v>Salle d’IA bleue et interface familiale.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mea/zones/sam-node ; rattacher les ressources et états cités à cet identifiant. Aucun fichier de jeu créé par ce catalogue.</x:v>
      </x:c>
      <x:c r="M13" s="9" t="str"/>
      <x:c r="N13" s="9" t="str">
        <x:v>Le livrable « Hyperion — SAM Node » possède une scène ou un scénario de contrôle ; ses règles proposées, ses conditions et ses retours visuels sont vérifiables séparément.</x:v>
      </x:c>
      <x:c r="O13" s="9" t="str"/>
      <x:c r="P13" s="9" t="str">
        <x:v>Hyperion — SAM Node</x:v>
      </x:c>
      <x:c r="Q13" s="9" t="str">
        <x:v>MEA-SRC-MISSIONS</x:v>
      </x:c>
      <x:c r="R13" s="9" t="str">
        <x:v>https://masseffect.fandom.com/wiki/Missions_%28Mass_Effect%3A_Andromeda%29</x:v>
      </x:c>
      <x:c r="S13" s="9" t="str">
        <x:v>Spécification à réaliser. Les champs adaptation, gameplay, visual, animation, audio et implementation décrivent le fan game ; ils ne donnent pas des caractéristiques officielles de l’œuvre.</x:v>
      </x:c>
    </x:row>
    <x:row r="14" ht="68" customHeight="1">
      <x:c r="A14" s="19" t="str">
        <x:v>MEA-ZON-NEXUS-OPS</x:v>
      </x:c>
      <x:c r="B14" s="7" t="str">
        <x:v>Nexus — Operations</x:v>
      </x:c>
      <x:c r="C14" s="15" t="str">
        <x:v>Défini</x:v>
      </x:c>
      <x:c r="D14" s="17" t="str">
        <x:v>Établi</x:v>
      </x:c>
      <x:c r="E14" s="17" t="str">
        <x:v>P1</x:v>
      </x:c>
      <x:c r="F14" s="7" t="str">
        <x:v>Centre administratif.</x:v>
      </x:c>
      <x:c r="G14" s="7" t="str">
        <x:v>Quatre responsables et tableau APEX facilement repérables ; dossiers politiques séparés des marchands.</x:v>
      </x:c>
      <x:c r="H14" s="7" t="str">
        <x:v>Quatre responsables et tableau APEX facilement repérables ; dossiers politiques séparés des marchands.</x:v>
      </x:c>
      <x:c r="I14" s="7" t="str">
        <x:v>Bureaux, passerelles et écrans.</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mea/zones/nexus-ops ; rattacher les ressources et états cités à cet identifiant. Aucun fichier de jeu créé par ce catalogue.</x:v>
      </x:c>
      <x:c r="M14" s="7" t="str"/>
      <x:c r="N14" s="7" t="str">
        <x:v>Le livrable « Nexus — Operations » possède une scène ou un scénario de contrôle ; ses règles proposées, ses conditions et ses retours visuels sont vérifiables séparément.</x:v>
      </x:c>
      <x:c r="O14" s="7" t="str"/>
      <x:c r="P14" s="7" t="str">
        <x:v>Nexus — Operations</x:v>
      </x:c>
      <x:c r="Q14" s="7" t="str">
        <x:v>MEA-SRC-CHAR</x:v>
      </x:c>
      <x:c r="R14" s="7" t="str">
        <x:v>https://masseffect.fandom.com/wiki/Characters/Mass_Effect%3A_Andromeda</x:v>
      </x:c>
      <x:c r="S14" s="7" t="str">
        <x:v>Spécification à réaliser. Les champs adaptation, gameplay, visual, animation, audio et implementation décrivent le fan game ; ils ne donnent pas des caractéristiques officielles de l’œuvre.</x:v>
      </x:c>
    </x:row>
    <x:row r="15" ht="68" customHeight="1">
      <x:c r="A15" s="18" t="str">
        <x:v>MEA-ZON-NEXUS-COMMON</x:v>
      </x:c>
      <x:c r="B15" s="9" t="str">
        <x:v>Nexus — Common Area</x:v>
      </x:c>
      <x:c r="C15" s="15" t="str">
        <x:v>Défini</x:v>
      </x:c>
      <x:c r="D15" s="16" t="str">
        <x:v>Établi</x:v>
      </x:c>
      <x:c r="E15" s="16" t="str">
        <x:v>P1</x:v>
      </x:c>
      <x:c r="F15" s="9" t="str">
        <x:v>Zone sociale et commerces.</x:v>
      </x:c>
      <x:c r="G15" s="9" t="str">
        <x:v>Bar, magasins et mission markers distincts ; routes libres pour grands sprites krogan.</x:v>
      </x:c>
      <x:c r="H15" s="9" t="str">
        <x:v>Bar, magasins et mission markers distincts ; routes libres pour grands sprites krogan.</x:v>
      </x:c>
      <x:c r="I15" s="9" t="str">
        <x:v>Boutiques, bancs et éclairage chaud.</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mea/zones/nexus-common ; rattacher les ressources et états cités à cet identifiant. Aucun fichier de jeu créé par ce catalogue.</x:v>
      </x:c>
      <x:c r="M15" s="9" t="str"/>
      <x:c r="N15" s="9" t="str">
        <x:v>Le livrable « Nexus — Common Area » possède une scène ou un scénario de contrôle ; ses règles proposées, ses conditions et ses retours visuels sont vérifiables séparément.</x:v>
      </x:c>
      <x:c r="O15" s="9" t="str"/>
      <x:c r="P15" s="9" t="str">
        <x:v>Nexus — Common Area</x:v>
      </x:c>
      <x:c r="Q15" s="9" t="str">
        <x:v>MEA-SRC-LOCATIONS</x:v>
      </x:c>
      <x:c r="R15" s="9" t="str">
        <x:v>https://masseffect.fandom.com/wiki/Codex_%28Mass_Effect%3A_Andromeda%29/Planets_And_Locations</x:v>
      </x:c>
      <x:c r="S15" s="9" t="str">
        <x:v>Spécification à réaliser. Les champs adaptation, gameplay, visual, animation, audio et implementation décrivent le fan game ; ils ne donnent pas des caractéristiques officielles de l’œuvre.</x:v>
      </x:c>
    </x:row>
    <x:row r="16" ht="68" customHeight="1">
      <x:c r="A16" s="19" t="str">
        <x:v>MEA-ZON-NEXUS-MILITIA</x:v>
      </x:c>
      <x:c r="B16" s="7" t="str">
        <x:v>Nexus — bureau de la milice</x:v>
      </x:c>
      <x:c r="C16" s="15" t="str">
        <x:v>Défini</x:v>
      </x:c>
      <x:c r="D16" s="17" t="str">
        <x:v>Établi</x:v>
      </x:c>
      <x:c r="E16" s="17" t="str">
        <x:v>P1</x:v>
      </x:c>
      <x:c r="F16" s="7" t="str">
        <x:v>Lieu d’enquête et sécurité.</x:v>
      </x:c>
      <x:c r="G16" s="7" t="str">
        <x:v>Cellules, Kandros et archives ; interroger un détenu ne déclenche pas jugement sans confirmation.</x:v>
      </x:c>
      <x:c r="H16" s="7" t="str">
        <x:v>Cellules, Kandros et archives ; interroger un détenu ne déclenche pas jugement sans confirmation.</x:v>
      </x:c>
      <x:c r="I16" s="7" t="str">
        <x:v>Barrières et consoles de sécurité.</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mea/zones/nexus-militia ; rattacher les ressources et états cités à cet identifiant. Aucun fichier de jeu créé par ce catalogue.</x:v>
      </x:c>
      <x:c r="M16" s="7" t="str"/>
      <x:c r="N16" s="7" t="str">
        <x:v>Le livrable « Nexus — bureau de la milice » possède une scène ou un scénario de contrôle ; ses règles proposées, ses conditions et ses retours visuels sont vérifiables séparément.</x:v>
      </x:c>
      <x:c r="O16" s="7" t="str"/>
      <x:c r="P16" s="7" t="str">
        <x:v>Nexus — bureau de la milice</x:v>
      </x:c>
      <x:c r="Q16" s="7" t="str">
        <x:v>MEA-SRC-MURDER</x:v>
      </x:c>
      <x:c r="R16" s="7" t="str">
        <x:v>https://masseffect.fandom.com/wiki/First_Murderer</x:v>
      </x:c>
      <x:c r="S16" s="7" t="str">
        <x:v>Spécification à réaliser. Les champs adaptation, gameplay, visual, animation, audio et implementation décrivent le fan game ; ils ne donnent pas des caractéristiques officielles de l’œuvre.</x:v>
      </x:c>
    </x:row>
    <x:row r="17" ht="68" customHeight="1">
      <x:c r="A17" s="18" t="str">
        <x:v>MEA-ZON-EOS-SITE1</x:v>
      </x:c>
      <x:c r="B17" s="9" t="str">
        <x:v>Eos — Site 1 / Promise</x:v>
      </x:c>
      <x:c r="C17" s="15" t="str">
        <x:v>Défini</x:v>
      </x:c>
      <x:c r="D17" s="16" t="str">
        <x:v>Établi</x:v>
      </x:c>
      <x:c r="E17" s="16" t="str">
        <x:v>P1</x:v>
      </x:c>
      <x:c r="F17" s="9" t="str">
        <x:v>Colonie abandonnée.</x:v>
      </x:c>
      <x:c r="G17" s="9" t="str">
        <x:v>Enquête sur traces et chemin de remise en route ; log trouvé reste disponible même après changement de zone.</x:v>
      </x:c>
      <x:c r="H17" s="9" t="str">
        <x:v>Enquête sur traces et chemin de remise en route ; log trouvé reste disponible même après changement de zone.</x:v>
      </x:c>
      <x:c r="I17" s="9" t="str">
        <x:v>Préfabriqués désertés et sable.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mea/zones/eos-site1 ; rattacher les ressources et états cités à cet identifiant. Aucun fichier de jeu créé par ce catalogue.</x:v>
      </x:c>
      <x:c r="M17" s="9" t="str"/>
      <x:c r="N17" s="9" t="str">
        <x:v>Le livrable « Eos — Site 1 / Promise » possède une scène ou un scénario de contrôle ; ses règles proposées, ses conditions et ses retours visuels sont vérifiables séparément.</x:v>
      </x:c>
      <x:c r="O17" s="9" t="str"/>
      <x:c r="P17" s="9" t="str">
        <x:v>Eos — Site 1 / Promise</x:v>
      </x:c>
      <x:c r="Q17" s="9" t="str">
        <x:v>MEA-SRC-GUIDE</x:v>
      </x:c>
      <x:c r="R17" s="9" t="str">
        <x:v>https://masseffect.fandom.com/wiki/Mass_Effect%3A_Andromeda_Guide</x:v>
      </x:c>
      <x:c r="S17" s="9" t="str">
        <x:v>Spécification à réaliser. Les champs adaptation, gameplay, visual, animation, audio et implementation décrivent le fan game ; ils ne donnent pas des caractéristiques officielles de l’œuvre.</x:v>
      </x:c>
    </x:row>
    <x:row r="18" ht="68" customHeight="1">
      <x:c r="A18" s="19" t="str">
        <x:v>MEA-ZON-EOS-SITE2</x:v>
      </x:c>
      <x:c r="B18" s="7" t="str">
        <x:v>Eos — Site 2 / Resilience</x:v>
      </x:c>
      <x:c r="C18" s="15" t="str">
        <x:v>Défini</x:v>
      </x:c>
      <x:c r="D18" s="17" t="str">
        <x:v>Établi</x:v>
      </x:c>
      <x:c r="E18" s="17" t="str">
        <x:v>P1</x:v>
      </x:c>
      <x:c r="F18" s="7" t="str">
        <x:v>Autre site de colonie.</x:v>
      </x:c>
      <x:c r="G18" s="7" t="str">
        <x:v>Parcours de recherche séparé de Promise ; identifiants de morts et de journaux spécifiques au lieu.</x:v>
      </x:c>
      <x:c r="H18" s="7" t="str">
        <x:v>Parcours de recherche séparé de Promise ; identifiants de morts et de journaux spécifiques au lieu.</x:v>
      </x:c>
      <x:c r="I18" s="7" t="str">
        <x:v>Installations endommagées et laboratoire.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mea/zones/eos-site2 ; rattacher les ressources et états cités à cet identifiant. Aucun fichier de jeu créé par ce catalogue.</x:v>
      </x:c>
      <x:c r="M18" s="7" t="str"/>
      <x:c r="N18" s="7" t="str">
        <x:v>Le livrable « Eos — Site 2 / Resilience » possède une scène ou un scénario de contrôle ; ses règles proposées, ses conditions et ses retours visuels sont vérifiables séparément.</x:v>
      </x:c>
      <x:c r="O18" s="7" t="str"/>
      <x:c r="P18" s="7" t="str">
        <x:v>Eos — Site 2 / Resilience</x:v>
      </x:c>
      <x:c r="Q18" s="7" t="str">
        <x:v>MEA-SRC-MISSIONS</x:v>
      </x:c>
      <x:c r="R18" s="7" t="str">
        <x:v>https://masseffect.fandom.com/wiki/Missions_%28Mass_Effect%3A_Andromeda%29</x:v>
      </x:c>
      <x:c r="S18" s="7" t="str">
        <x:v>Spécification à réaliser. Les champs adaptation, gameplay, visual, animation, audio et implementation décrivent le fan game ; ils ne donnent pas des caractéristiques officielles de l’œuvre.</x:v>
      </x:c>
    </x:row>
    <x:row r="19" ht="68" customHeight="1">
      <x:c r="A19" s="18" t="str">
        <x:v>MEA-ZON-PRODROMOS</x:v>
      </x:c>
      <x:c r="B19" s="9" t="str">
        <x:v>Eos — Prodromos</x:v>
      </x:c>
      <x:c r="C19" s="15" t="str">
        <x:v>Défini</x:v>
      </x:c>
      <x:c r="D19" s="16" t="str">
        <x:v>Établi</x:v>
      </x:c>
      <x:c r="E19" s="16" t="str">
        <x:v>P1</x:v>
      </x:c>
      <x:c r="F19" s="9" t="str">
        <x:v>Premier avant-poste.</x:v>
      </x:c>
      <x:c r="G19" s="9" t="str">
        <x:v>Variantes scientifique/militaire proposées fidèles au choix enregistré ; personnel et retour de mission changent selon progression.</x:v>
      </x:c>
      <x:c r="H19" s="9" t="str">
        <x:v>Variantes scientifique/militaire proposées fidèles au choix enregistré ; personnel et retour de mission changent selon progression.</x:v>
      </x:c>
      <x:c r="I19" s="9" t="str">
        <x:v>Habitat neuf et équipements de colonie.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mea/zones/prodromos ; rattacher les ressources et états cités à cet identifiant. Aucun fichier de jeu créé par ce catalogue.</x:v>
      </x:c>
      <x:c r="M19" s="9" t="str"/>
      <x:c r="N19" s="9" t="str">
        <x:v>Le livrable « Eos — Prodromos » possède une scène ou un scénario de contrôle ; ses règles proposées, ses conditions et ses retours visuels sont vérifiables séparément.</x:v>
      </x:c>
      <x:c r="O19" s="9" t="str"/>
      <x:c r="P19" s="9" t="str">
        <x:v>Eos — Prodromos</x:v>
      </x:c>
      <x:c r="Q19" s="9" t="str">
        <x:v>MEA-SRC-GUIDE</x:v>
      </x:c>
      <x:c r="R19" s="9" t="str">
        <x:v>https://masseffect.fandom.com/wiki/Mass_Effect%3A_Andromeda_Guide</x:v>
      </x:c>
      <x:c r="S19" s="9" t="str">
        <x:v>Spécification à réaliser. Les champs adaptation, gameplay, visual, animation, audio et implementation décrivent le fan game ; ils ne donnent pas des caractéristiques officielles de l’œuvre.</x:v>
      </x:c>
    </x:row>
    <x:row r="20" ht="68" customHeight="1">
      <x:c r="A20" s="19" t="str">
        <x:v>MEA-ZON-EOS-VAULT</x:v>
      </x:c>
      <x:c r="B20" s="7" t="str">
        <x:v>Eos — caveau reliquat</x:v>
      </x:c>
      <x:c r="C20" s="15" t="str">
        <x:v>Défini</x:v>
      </x:c>
      <x:c r="D20" s="17" t="str">
        <x:v>Établi</x:v>
      </x:c>
      <x:c r="E20" s="17" t="str">
        <x:v>P1</x:v>
      </x:c>
      <x:c r="F20" s="7" t="str">
        <x:v>Caveau de la première restauration.</x:v>
      </x:c>
      <x:c r="G20" s="7" t="str">
        <x:v>Tutoriel de console, glyphes et purification ; portes de sortie visibles avant déclenchement du danger.</x:v>
      </x:c>
      <x:c r="H20" s="7" t="str">
        <x:v>Tutoriel de console, glyphes et purification ; portes de sortie visibles avant déclenchement du danger.</x:v>
      </x:c>
      <x:c r="I20" s="7" t="str">
        <x:v>Murs noirs, lumière turquoise et plateformes.</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mea/zones/eos-vault ; rattacher les ressources et états cités à cet identifiant. Aucun fichier de jeu créé par ce catalogue.</x:v>
      </x:c>
      <x:c r="M20" s="7" t="str"/>
      <x:c r="N20" s="7" t="str">
        <x:v>Le livrable « Eos — caveau reliquat » possède une scène ou un scénario de contrôle ; ses règles proposées, ses conditions et ses retours visuels sont vérifiables séparément.</x:v>
      </x:c>
      <x:c r="O20" s="7" t="str"/>
      <x:c r="P20" s="7" t="str">
        <x:v>Eos — caveau reliquat</x:v>
      </x:c>
      <x:c r="Q20" s="7" t="str">
        <x:v>MEA-SRC-VAULT</x:v>
      </x:c>
      <x:c r="R20" s="7" t="str">
        <x:v>https://masseffect.fandom.com/wiki/Vault</x:v>
      </x:c>
      <x:c r="S20" s="7" t="str">
        <x:v>Spécification à réaliser. Les champs adaptation, gameplay, visual, animation, audio et implementation décrivent le fan game ; ils ne donnent pas des caractéristiques officielles de l’œuvre.</x:v>
      </x:c>
    </x:row>
    <x:row r="21" ht="68" customHeight="1">
      <x:c r="A21" s="18" t="str">
        <x:v>MEA-ZON-AYA-MARKET</x:v>
      </x:c>
      <x:c r="B21" s="9" t="str">
        <x:v>Aya — marché</x:v>
      </x:c>
      <x:c r="C21" s="15" t="str">
        <x:v>Défini</x:v>
      </x:c>
      <x:c r="D21" s="16" t="str">
        <x:v>Établi</x:v>
      </x:c>
      <x:c r="E21" s="16" t="str">
        <x:v>P1</x:v>
      </x:c>
      <x:c r="F21" s="9" t="str">
        <x:v>Zone de rencontres et d’échange.</x:v>
      </x:c>
      <x:c r="G21" s="9" t="str">
        <x:v>Étals avec objets distincts ; conversations à proximité n’empilent pas les sous-titres.</x:v>
      </x:c>
      <x:c r="H21" s="9" t="str">
        <x:v>Étals avec objets distincts ; conversations à proximité n’empilent pas les sous-titres.</x:v>
      </x:c>
      <x:c r="I21" s="9" t="str">
        <x:v>Textiles, aliments et bassins.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mea/zones/aya-market ; rattacher les ressources et états cités à cet identifiant. Aucun fichier de jeu créé par ce catalogue.</x:v>
      </x:c>
      <x:c r="M21" s="9" t="str"/>
      <x:c r="N21" s="9" t="str">
        <x:v>Le livrable « Aya — marché » possède une scène ou un scénario de contrôle ; ses règles proposées, ses conditions et ses retours visuels sont vérifiables séparément.</x:v>
      </x:c>
      <x:c r="O21" s="9" t="str"/>
      <x:c r="P21" s="9" t="str">
        <x:v>Aya — marché</x:v>
      </x:c>
      <x:c r="Q21" s="9" t="str">
        <x:v>MEA-SRC-MISSIONS</x:v>
      </x:c>
      <x:c r="R21" s="9" t="str">
        <x:v>https://masseffect.fandom.com/wiki/Missions_%28Mass_Effect%3A_Andromeda%29</x:v>
      </x:c>
      <x:c r="S21" s="9" t="str">
        <x:v>Spécification à réaliser. Les champs adaptation, gameplay, visual, animation, audio et implementation décrivent le fan game ; ils ne donnent pas des caractéristiques officielles de l’œuvre.</x:v>
      </x:c>
    </x:row>
    <x:row r="22" ht="68" customHeight="1">
      <x:c r="A22" s="19" t="str">
        <x:v>MEA-ZON-AYA-MUSEUM</x:v>
      </x:c>
      <x:c r="B22" s="7" t="str">
        <x:v>Aya — musée</x:v>
      </x:c>
      <x:c r="C22" s="15" t="str">
        <x:v>Défini</x:v>
      </x:c>
      <x:c r="D22" s="17" t="str">
        <x:v>Établi</x:v>
      </x:c>
      <x:c r="E22" s="17" t="str">
        <x:v>P1</x:v>
      </x:c>
      <x:c r="F22" s="7" t="str">
        <x:v>Lieu de mémoire angara.</x:v>
      </x:c>
      <x:c r="G22" s="7" t="str">
        <x:v>Vitrines et descriptions courtes ; objets récupérés se placent par état de quête sans doublon.</x:v>
      </x:c>
      <x:c r="H22" s="7" t="str">
        <x:v>Vitrines et descriptions courtes ; objets récupérés se placent par état de quête sans doublon.</x:v>
      </x:c>
      <x:c r="I22" s="7" t="str">
        <x:v>Reliques et panneaux culturels.</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mea/zones/aya-museum ; rattacher les ressources et états cités à cet identifiant. Aucun fichier de jeu créé par ce catalogue.</x:v>
      </x:c>
      <x:c r="M22" s="7" t="str"/>
      <x:c r="N22" s="7" t="str">
        <x:v>Le livrable « Aya — musée » possède une scène ou un scénario de contrôle ; ses règles proposées, ses conditions et ses retours visuels sont vérifiables séparément.</x:v>
      </x:c>
      <x:c r="O22" s="7" t="str"/>
      <x:c r="P22" s="7" t="str">
        <x:v>Aya — musée</x:v>
      </x:c>
      <x:c r="Q22" s="7" t="str">
        <x:v>MEA-SRC-MISSIONS</x:v>
      </x:c>
      <x:c r="R22" s="7" t="str">
        <x:v>https://masseffect.fandom.com/wiki/Missions_%28Mass_Effect%3A_Andromeda%29</x:v>
      </x:c>
      <x:c r="S22" s="7" t="str">
        <x:v>Spécification à réaliser. Les champs adaptation, gameplay, visual, animation, audio et implementation décrivent le fan game ; ils ne donnent pas des caractéristiques officielles de l’œuvre.</x:v>
      </x:c>
    </x:row>
    <x:row r="23" ht="68" customHeight="1">
      <x:c r="A23" s="18" t="str">
        <x:v>MEA-ZON-VOELD-RESIST</x:v>
      </x:c>
      <x:c r="B23" s="9" t="str">
        <x:v>Voeld — base de la Résistance</x:v>
      </x:c>
      <x:c r="C23" s="15" t="str">
        <x:v>Défini</x:v>
      </x:c>
      <x:c r="D23" s="16" t="str">
        <x:v>Établi</x:v>
      </x:c>
      <x:c r="E23" s="16" t="str">
        <x:v>P1</x:v>
      </x:c>
      <x:c r="F23" s="9" t="str">
        <x:v>Hub angara du monde froid.</x:v>
      </x:c>
      <x:c r="G23" s="9" t="str">
        <x:v>Salle de commandement, soins et ravitaillement ; zone chaude clairement définie pour jauge de survie.</x:v>
      </x:c>
      <x:c r="H23" s="9" t="str">
        <x:v>Salle de commandement, soins et ravitaillement ; zone chaude clairement définie pour jauge de survie.</x:v>
      </x:c>
      <x:c r="I23" s="9" t="str">
        <x:v>Tunnels de glace et radiateurs.</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mea/zones/voeld-resist ; rattacher les ressources et états cités à cet identifiant. Aucun fichier de jeu créé par ce catalogue.</x:v>
      </x:c>
      <x:c r="M23" s="9" t="str"/>
      <x:c r="N23" s="9" t="str">
        <x:v>Le livrable « Voeld — base de la Résistance » possède une scène ou un scénario de contrôle ; ses règles proposées, ses conditions et ses retours visuels sont vérifiables séparément.</x:v>
      </x:c>
      <x:c r="O23" s="9" t="str"/>
      <x:c r="P23" s="9" t="str">
        <x:v>Voeld — base de la Résistance</x:v>
      </x:c>
      <x:c r="Q23" s="9" t="str">
        <x:v>MEA-SRC-MISSIONS, MEA-SRC-HAZARD</x:v>
      </x:c>
      <x:c r="R23" s="9" t="str">
        <x:v>https://masseffect.fandom.com/wiki/Missions_%28Mass_Effect%3A_Andromeda%29
https://masseffect.fandom.com/wiki/Hazard</x:v>
      </x:c>
      <x:c r="S23" s="9" t="str">
        <x:v>Spécification à réaliser. Les champs adaptation, gameplay, visual, animation, audio et implementation décrivent le fan game ; ils ne donnent pas des caractéristiques officielles de l’œuvre.</x:v>
      </x:c>
    </x:row>
    <x:row r="24" ht="68" customHeight="1">
      <x:c r="A24" s="19" t="str">
        <x:v>MEA-ZON-EXALTATION</x:v>
      </x:c>
      <x:c r="B24" s="7" t="str">
        <x:v>Voeld — installation d’exaltation</x:v>
      </x:c>
      <x:c r="C24" s="15" t="str">
        <x:v>Défini</x:v>
      </x:c>
      <x:c r="D24" s="17" t="str">
        <x:v>Établi</x:v>
      </x:c>
      <x:c r="E24" s="17" t="str">
        <x:v>P1</x:v>
      </x:c>
      <x:c r="F24" s="7" t="str">
        <x:v>Lieu de secours de la Moshae.</x:v>
      </x:c>
      <x:c r="G24" s="7" t="str">
        <x:v>Prison, transformation et salle Cardinal en secteurs ; sortir des captifs reste objectif distinct de tuer le boss.</x:v>
      </x:c>
      <x:c r="H24" s="7" t="str">
        <x:v>Prison, transformation et salle Cardinal en secteurs ; sortir des captifs reste objectif distinct de tuer le boss.</x:v>
      </x:c>
      <x:c r="I24" s="7" t="str">
        <x:v>Pods, métal organique et cages.</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mea/zones/exaltation ; rattacher les ressources et états cités à cet identifiant. Aucun fichier de jeu créé par ce catalogue.</x:v>
      </x:c>
      <x:c r="M24" s="7" t="str"/>
      <x:c r="N24" s="7" t="str">
        <x:v>Le livrable « Voeld — installation d’exaltation » possède une scène ou un scénario de contrôle ; ses règles proposées, ses conditions et ses retours visuels sont vérifiables séparément.</x:v>
      </x:c>
      <x:c r="O24" s="7" t="str"/>
      <x:c r="P24" s="7" t="str">
        <x:v>Voeld — installation d’exaltation</x:v>
      </x:c>
      <x:c r="Q24" s="7" t="str">
        <x:v>MEA-SRC-GUIDE</x:v>
      </x:c>
      <x:c r="R24" s="7" t="str">
        <x:v>https://masseffect.fandom.com/wiki/Mass_Effect%3A_Andromeda_Guide</x:v>
      </x:c>
      <x:c r="S24" s="7" t="str">
        <x:v>Spécification à réaliser. Les champs adaptation, gameplay, visual, animation, audio et implementation décrivent le fan game ; ils ne donnent pas des caractéristiques officielles de l’œuvre.</x:v>
      </x:c>
    </x:row>
    <x:row r="25" ht="68" customHeight="1">
      <x:c r="A25" s="18" t="str">
        <x:v>MEA-ZON-VOELD-VAULT</x:v>
      </x:c>
      <x:c r="B25" s="9" t="str">
        <x:v>Voeld — caveau</x:v>
      </x:c>
      <x:c r="C25" s="15" t="str">
        <x:v>Défini</x:v>
      </x:c>
      <x:c r="D25" s="16" t="str">
        <x:v>Établi</x:v>
      </x:c>
      <x:c r="E25" s="16" t="str">
        <x:v>P1</x:v>
      </x:c>
      <x:c r="F25" s="9" t="str">
        <x:v>Site de restauration.</x:v>
      </x:c>
      <x:c r="G25" s="9" t="str">
        <x:v>Approche froide et intérieur technique ; danger de purification indépendant du froid de surface.</x:v>
      </x:c>
      <x:c r="H25" s="9" t="str">
        <x:v>Approche froide et intérieur technique ; danger de purification indépendant du froid de surface.</x:v>
      </x:c>
      <x:c r="I25" s="9" t="str">
        <x:v>Glace extérieure et réseau turquoise.</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mea/zones/voeld-vault ; rattacher les ressources et états cités à cet identifiant. Aucun fichier de jeu créé par ce catalogue.</x:v>
      </x:c>
      <x:c r="M25" s="9" t="str"/>
      <x:c r="N25" s="9" t="str">
        <x:v>Le livrable « Voeld — caveau » possède une scène ou un scénario de contrôle ; ses règles proposées, ses conditions et ses retours visuels sont vérifiables séparément.</x:v>
      </x:c>
      <x:c r="O25" s="9" t="str"/>
      <x:c r="P25" s="9" t="str">
        <x:v>Voeld — caveau</x:v>
      </x:c>
      <x:c r="Q25" s="9" t="str">
        <x:v>MEA-SRC-VAULT, MEA-SRC-HAZARD</x:v>
      </x:c>
      <x:c r="R25" s="9" t="str">
        <x:v>https://masseffect.fandom.com/wiki/Vault
https://masseffect.fandom.com/wiki/Hazard</x:v>
      </x:c>
      <x:c r="S25" s="9" t="str">
        <x:v>Spécification à réaliser. Les champs adaptation, gameplay, visual, animation, audio et implementation décrivent le fan game ; ils ne donnent pas des caractéristiques officielles de l’œuvre.</x:v>
      </x:c>
    </x:row>
    <x:row r="26" ht="68" customHeight="1">
      <x:c r="A26" s="19" t="str">
        <x:v>MEA-ZON-HAVARL-RESEARCH</x:v>
      </x:c>
      <x:c r="B26" s="7" t="str">
        <x:v>Havarl — poste de recherche</x:v>
      </x:c>
      <x:c r="C26" s="15" t="str">
        <x:v>Défini</x:v>
      </x:c>
      <x:c r="D26" s="17" t="str">
        <x:v>Établi</x:v>
      </x:c>
      <x:c r="E26" s="17" t="str">
        <x:v>P1</x:v>
      </x:c>
      <x:c r="F26" s="7" t="str">
        <x:v>Centre scientifique angara.</x:v>
      </x:c>
      <x:c r="G26" s="7" t="str">
        <x:v>Hub compact au pied de jungle ; contacts et observations accessibles après restauration.</x:v>
      </x:c>
      <x:c r="H26" s="7" t="str">
        <x:v>Hub compact au pied de jungle ; contacts et observations accessibles après restauration.</x:v>
      </x:c>
      <x:c r="I26" s="7" t="str">
        <x:v>Équipements angara sous feuillage.</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mea/zones/havarl-research ; rattacher les ressources et états cités à cet identifiant. Aucun fichier de jeu créé par ce catalogue.</x:v>
      </x:c>
      <x:c r="M26" s="7" t="str"/>
      <x:c r="N26" s="7" t="str">
        <x:v>Le livrable « Havarl — poste de recherche » possède une scène ou un scénario de contrôle ; ses règles proposées, ses conditions et ses retours visuels sont vérifiables séparément.</x:v>
      </x:c>
      <x:c r="O26" s="7" t="str"/>
      <x:c r="P26" s="7" t="str">
        <x:v>Havarl — poste de recherche</x:v>
      </x:c>
      <x:c r="Q26" s="7" t="str">
        <x:v>MEA-SRC-MISSIONS</x:v>
      </x:c>
      <x:c r="R26" s="7" t="str">
        <x:v>https://masseffect.fandom.com/wiki/Missions_%28Mass_Effect%3A_Andromeda%29</x:v>
      </x:c>
      <x:c r="S26" s="7" t="str">
        <x:v>Spécification à réaliser. Les champs adaptation, gameplay, visual, animation, audio et implementation décrivent le fan game ; ils ne donnent pas des caractéristiques officielles de l’œuvre.</x:v>
      </x:c>
    </x:row>
    <x:row r="27" ht="68" customHeight="1">
      <x:c r="A27" s="18" t="str">
        <x:v>MEA-ZON-MITHRAVA</x:v>
      </x:c>
      <x:c r="B27" s="9" t="str">
        <x:v>Havarl — Mithrava</x:v>
      </x:c>
      <x:c r="C27" s="15" t="str">
        <x:v>Défini</x:v>
      </x:c>
      <x:c r="D27" s="16" t="str">
        <x:v>Établi</x:v>
      </x:c>
      <x:c r="E27" s="16" t="str">
        <x:v>P1</x:v>
      </x:c>
      <x:c r="F27" s="9" t="str">
        <x:v>Sanctuaire de sages.</x:v>
      </x:c>
      <x:c r="G27" s="9" t="str">
        <x:v>Ascension à plateformes avec repères d’étage ; raccourci de retour proposé pour éviter refaire tous les sauts.</x:v>
      </x:c>
      <x:c r="H27" s="9" t="str">
        <x:v>Ascension à plateformes avec repères d’étage ; raccourci de retour proposé pour éviter refaire tous les sauts.</x:v>
      </x:c>
      <x:c r="I27" s="9" t="str">
        <x:v>Ruines hautes et passerelles végétales.</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mea/zones/mithrava ; rattacher les ressources et états cités à cet identifiant. Aucun fichier de jeu créé par ce catalogue.</x:v>
      </x:c>
      <x:c r="M27" s="9" t="str"/>
      <x:c r="N27" s="9" t="str">
        <x:v>Le livrable « Havarl — Mithrava » possède une scène ou un scénario de contrôle ; ses règles proposées, ses conditions et ses retours visuels sont vérifiables séparément.</x:v>
      </x:c>
      <x:c r="O27" s="9" t="str"/>
      <x:c r="P27" s="9" t="str">
        <x:v>Havarl — Mithrava</x:v>
      </x:c>
      <x:c r="Q27" s="9" t="str">
        <x:v>MEA-SRC-MISSIONS</x:v>
      </x:c>
      <x:c r="R27" s="9" t="str">
        <x:v>https://masseffect.fandom.com/wiki/Missions_%28Mass_Effect%3A_Andromeda%29</x:v>
      </x:c>
      <x:c r="S27" s="9" t="str">
        <x:v>Spécification à réaliser. Les champs adaptation, gameplay, visual, animation, audio et implementation décrivent le fan game ; ils ne donnent pas des caractéristiques officielles de l’œuvre.</x:v>
      </x:c>
    </x:row>
    <x:row r="28" ht="68" customHeight="1">
      <x:c r="A28" s="19" t="str">
        <x:v>MEA-ZON-HAVARL-VAULT</x:v>
      </x:c>
      <x:c r="B28" s="7" t="str">
        <x:v>Havarl — caveau</x:v>
      </x:c>
      <x:c r="C28" s="15" t="str">
        <x:v>Défini</x:v>
      </x:c>
      <x:c r="D28" s="17" t="str">
        <x:v>Établi</x:v>
      </x:c>
      <x:c r="E28" s="17" t="str">
        <x:v>P1</x:v>
      </x:c>
      <x:c r="F28" s="7" t="str">
        <x:v>Site lié à A Dying Planet.</x:v>
      </x:c>
      <x:c r="G28" s="7" t="str">
        <x:v>Entrée après guide et indices ; liens d’énergie lisibles malgré racines.</x:v>
      </x:c>
      <x:c r="H28" s="7" t="str">
        <x:v>Entrée après guide et indices ; liens d’énergie lisibles malgré racines.</x:v>
      </x:c>
      <x:c r="I28" s="7" t="str">
        <x:v>Tech reliquate mêlée de végétation.</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mea/zones/havarl-vault ; rattacher les ressources et états cités à cet identifiant. Aucun fichier de jeu créé par ce catalogue.</x:v>
      </x:c>
      <x:c r="M28" s="7" t="str"/>
      <x:c r="N28" s="7" t="str">
        <x:v>Le livrable « Havarl — caveau » possède une scène ou un scénario de contrôle ; ses règles proposées, ses conditions et ses retours visuels sont vérifiables séparément.</x:v>
      </x:c>
      <x:c r="O28" s="7" t="str"/>
      <x:c r="P28" s="7" t="str">
        <x:v>Havarl — caveau</x:v>
      </x:c>
      <x:c r="Q28" s="7" t="str">
        <x:v>MEA-SRC-VAULT, MEA-SRC-MISSIONS</x:v>
      </x:c>
      <x:c r="R28" s="7" t="str">
        <x:v>https://masseffect.fandom.com/wiki/Vault
https://masseffect.fandom.com/wiki/Missions_%28Mass_Effect%3A_Andromeda%29</x:v>
      </x:c>
      <x:c r="S28" s="7" t="str">
        <x:v>Spécification à réaliser. Les champs adaptation, gameplay, visual, animation, audio et implementation décrivent le fan game ; ils ne donnent pas des caractéristiques officielles de l’œuvre.</x:v>
      </x:c>
    </x:row>
    <x:row r="29" ht="68" customHeight="1">
      <x:c r="A29" s="18" t="str">
        <x:v>MEA-ZON-KADARA-PORT</x:v>
      </x:c>
      <x:c r="B29" s="9" t="str">
        <x:v>Kadara Port</x:v>
      </x:c>
      <x:c r="C29" s="15" t="str">
        <x:v>Défini</x:v>
      </x:c>
      <x:c r="D29" s="16" t="str">
        <x:v>Établi</x:v>
      </x:c>
      <x:c r="E29" s="16" t="str">
        <x:v>P1</x:v>
      </x:c>
      <x:c r="F29" s="9" t="str">
        <x:v>Hub politique du monde.</x:v>
      </x:c>
      <x:c r="G29" s="9" t="str">
        <x:v>Salle de Sloane, marché, bar et accès bas ; autorité/gardes modifiés après High Noon.</x:v>
      </x:c>
      <x:c r="H29" s="9" t="str">
        <x:v>Salle de Sloane, marché, bar et accès bas ; autorité/gardes modifiés après High Noon.</x:v>
      </x:c>
      <x:c r="I29" s="9" t="str">
        <x:v>Roche orange et structures urbaines.</x:v>
      </x:c>
      <x:c r="J29" s="9" t="str">
        <x:v>Préparer état de repos, anticipation, activation et retour au repos ; aligner les événements visuels sur la résolution de l’action ATB.</x:v>
      </x:c>
      <x:c r="K29" s="9" t="str">
        <x:v>Créer des bruitages et ambiances originaux adaptés au livrable ; sous-titrer les indices utiles et proposer un réglage indépendant des effets. Aucune extraction audio demandée.</x:v>
      </x:c>
      <x:c r="L29" s="9" t="str">
        <x:v>Prévu : fiche de données mea/zones/kadara-port ; rattacher les ressources et états cités à cet identifiant. Aucun fichier de jeu créé par ce catalogue.</x:v>
      </x:c>
      <x:c r="M29" s="9" t="str"/>
      <x:c r="N29" s="9" t="str">
        <x:v>Le livrable « Kadara Port » possède une scène ou un scénario de contrôle ; ses règles proposées, ses conditions et ses retours visuels sont vérifiables séparément.</x:v>
      </x:c>
      <x:c r="O29" s="9" t="str"/>
      <x:c r="P29" s="9" t="str">
        <x:v>Kadara Port</x:v>
      </x:c>
      <x:c r="Q29" s="9" t="str">
        <x:v>MEA-SRC-HIGH-NOON</x:v>
      </x:c>
      <x:c r="R29" s="9" t="str">
        <x:v>https://masseffect.fandom.com/wiki/High_Noon</x:v>
      </x:c>
      <x:c r="S29" s="9" t="str">
        <x:v>Spécification à réaliser. Les champs adaptation, gameplay, visual, animation, audio et implementation décrivent le fan game ; ils ne donnent pas des caractéristiques officielles de l’œuvre.</x:v>
      </x:c>
    </x:row>
    <x:row r="30" ht="68" customHeight="1">
      <x:c r="A30" s="19" t="str">
        <x:v>MEA-ZON-KADARA-BADLANDS</x:v>
      </x:c>
      <x:c r="B30" s="7" t="str">
        <x:v>Kadara — badlands</x:v>
      </x:c>
      <x:c r="C30" s="15" t="str">
        <x:v>Défini</x:v>
      </x:c>
      <x:c r="D30" s="17" t="str">
        <x:v>Établi</x:v>
      </x:c>
      <x:c r="E30" s="17" t="str">
        <x:v>P1</x:v>
      </x:c>
      <x:c r="F30" s="7" t="str">
        <x:v>Région d’exploration.</x:v>
      </x:c>
      <x:c r="G30" s="7" t="str">
        <x:v>Bassins dangereux, camps et voies Nomad ; identifier routes avec ponts sûrs et eau non franchissable à pied.</x:v>
      </x:c>
      <x:c r="H30" s="7" t="str">
        <x:v>Bassins dangereux, camps et voies Nomad ; identifier routes avec ponts sûrs et eau non franchissable à pied.</x:v>
      </x:c>
      <x:c r="I30" s="7" t="str">
        <x:v>Roches rouges et eau acide.</x:v>
      </x:c>
      <x:c r="J30" s="7" t="str">
        <x:v>Préparer état de repos, anticipation, activation et retour au repos ; aligner les événements visuels sur la résolution de l’action ATB.</x:v>
      </x:c>
      <x:c r="K30" s="7" t="str">
        <x:v>Créer des bruitages et ambiances originaux adaptés au livrable ; sous-titrer les indices utiles et proposer un réglage indépendant des effets. Aucune extraction audio demandée.</x:v>
      </x:c>
      <x:c r="L30" s="7" t="str">
        <x:v>Prévu : fiche de données mea/zones/kadara-badlands ; rattacher les ressources et états cités à cet identifiant. Aucun fichier de jeu créé par ce catalogue.</x:v>
      </x:c>
      <x:c r="M30" s="7" t="str"/>
      <x:c r="N30" s="7" t="str">
        <x:v>Le livrable « Kadara — badlands » possède une scène ou un scénario de contrôle ; ses règles proposées, ses conditions et ses retours visuels sont vérifiables séparément.</x:v>
      </x:c>
      <x:c r="O30" s="7" t="str"/>
      <x:c r="P30" s="7" t="str">
        <x:v>Kadara — badlands</x:v>
      </x:c>
      <x:c r="Q30" s="7" t="str">
        <x:v>MEA-SRC-HAZARD</x:v>
      </x:c>
      <x:c r="R30" s="7" t="str">
        <x:v>https://masseffect.fandom.com/wiki/Hazard</x:v>
      </x:c>
      <x:c r="S30" s="7" t="str">
        <x:v>Spécification à réaliser. Les champs adaptation, gameplay, visual, animation, audio et implementation décrivent le fan game ; ils ne donnent pas des caractéristiques officielles de l’œuvre.</x:v>
      </x:c>
    </x:row>
    <x:row r="31" ht="68" customHeight="1">
      <x:c r="A31" s="18" t="str">
        <x:v>MEA-ZON-KADARA-VAULT</x:v>
      </x:c>
      <x:c r="B31" s="9" t="str">
        <x:v>Kadara — caveau</x:v>
      </x:c>
      <x:c r="C31" s="15" t="str">
        <x:v>Défini</x:v>
      </x:c>
      <x:c r="D31" s="16" t="str">
        <x:v>Établi</x:v>
      </x:c>
      <x:c r="E31" s="16" t="str">
        <x:v>P1</x:v>
      </x:c>
      <x:c r="F31" s="9" t="str">
        <x:v>Lieu d’assainissement.</x:v>
      </x:c>
      <x:c r="G31" s="9" t="str">
        <x:v>Circuit de console distinct de l’eau de surface ; restaurer fait évoluer danger selon table dédiée.</x:v>
      </x:c>
      <x:c r="H31" s="9" t="str">
        <x:v>Circuit de console distinct de l’eau de surface ; restaurer fait évoluer danger selon table dédiée.</x:v>
      </x:c>
      <x:c r="I31" s="9" t="str">
        <x:v>Salles noires et lumière reliquate.</x:v>
      </x:c>
      <x:c r="J31" s="9" t="str">
        <x:v>Préparer état de repos, anticipation, activation et retour au repos ; aligner les événements visuels sur la résolution de l’action ATB.</x:v>
      </x:c>
      <x:c r="K31" s="9" t="str">
        <x:v>Créer des bruitages et ambiances originaux adaptés au livrable ; sous-titrer les indices utiles et proposer un réglage indépendant des effets. Aucune extraction audio demandée.</x:v>
      </x:c>
      <x:c r="L31" s="9" t="str">
        <x:v>Prévu : fiche de données mea/zones/kadara-vault ; rattacher les ressources et états cités à cet identifiant. Aucun fichier de jeu créé par ce catalogue.</x:v>
      </x:c>
      <x:c r="M31" s="9" t="str"/>
      <x:c r="N31" s="9" t="str">
        <x:v>Le livrable « Kadara — caveau » possède une scène ou un scénario de contrôle ; ses règles proposées, ses conditions et ses retours visuels sont vérifiables séparément.</x:v>
      </x:c>
      <x:c r="O31" s="9" t="str"/>
      <x:c r="P31" s="9" t="str">
        <x:v>Kadara — caveau</x:v>
      </x:c>
      <x:c r="Q31" s="9" t="str">
        <x:v>MEA-SRC-VAULT</x:v>
      </x:c>
      <x:c r="R31" s="9" t="str">
        <x:v>https://masseffect.fandom.com/wiki/Vault</x:v>
      </x:c>
      <x:c r="S31" s="9" t="str">
        <x:v>Spécification à réaliser. Les champs adaptation, gameplay, visual, animation, audio et implementation décrivent le fan game ; ils ne donnent pas des caractéristiques officielles de l’œuvre.</x:v>
      </x:c>
    </x:row>
    <x:row r="32" ht="68" customHeight="1">
      <x:c r="A32" s="19" t="str">
        <x:v>MEA-ZON-NEW-TUCHANKA</x:v>
      </x:c>
      <x:c r="B32" s="7" t="str">
        <x:v>Elaaden — New Tuchanka</x:v>
      </x:c>
      <x:c r="C32" s="15" t="str">
        <x:v>Défini</x:v>
      </x:c>
      <x:c r="D32" s="17" t="str">
        <x:v>Établi</x:v>
      </x:c>
      <x:c r="E32" s="17" t="str">
        <x:v>P1</x:v>
      </x:c>
      <x:c r="F32" s="7" t="str">
        <x:v>Colonie krogan.</x:v>
      </x:c>
      <x:c r="G32" s="7" t="str">
        <x:v>Grande porte, salle de Morda et serres ; volume adapté aux silhouettes krogans sans rendre humains minuscules.</x:v>
      </x:c>
      <x:c r="H32" s="7" t="str">
        <x:v>Grande porte, salle de Morda et serres ; volume adapté aux silhouettes krogans sans rendre humains minuscules.</x:v>
      </x:c>
      <x:c r="I32" s="7" t="str">
        <x:v>Récupération industrielle et sable.</x:v>
      </x:c>
      <x:c r="J32" s="7" t="str">
        <x:v>Préparer état de repos, anticipation, activation et retour au repos ; aligner les événements visuels sur la résolution de l’action ATB.</x:v>
      </x:c>
      <x:c r="K32" s="7" t="str">
        <x:v>Créer des bruitages et ambiances originaux adaptés au livrable ; sous-titrer les indices utiles et proposer un réglage indépendant des effets. Aucune extraction audio demandée.</x:v>
      </x:c>
      <x:c r="L32" s="7" t="str">
        <x:v>Prévu : fiche de données mea/zones/new-tuchanka ; rattacher les ressources et états cités à cet identifiant. Aucun fichier de jeu créé par ce catalogue.</x:v>
      </x:c>
      <x:c r="M32" s="7" t="str"/>
      <x:c r="N32" s="7" t="str">
        <x:v>Le livrable « Elaaden — New Tuchanka » possède une scène ou un scénario de contrôle ; ses règles proposées, ses conditions et ses retours visuels sont vérifiables séparément.</x:v>
      </x:c>
      <x:c r="O32" s="7" t="str"/>
      <x:c r="P32" s="7" t="str">
        <x:v>Elaaden — New Tuchanka</x:v>
      </x:c>
      <x:c r="Q32" s="7" t="str">
        <x:v>MEA-SRC-MISSIONS</x:v>
      </x:c>
      <x:c r="R32" s="7" t="str">
        <x:v>https://masseffect.fandom.com/wiki/Missions_%28Mass_Effect%3A_Andromeda%29</x:v>
      </x:c>
      <x:c r="S32" s="7" t="str">
        <x:v>Spécification à réaliser. Les champs adaptation, gameplay, visual, animation, audio et implementation décrivent le fan game ; ils ne donnent pas des caractéristiques officielles de l’œuvre.</x:v>
      </x:c>
    </x:row>
    <x:row r="33" ht="68" customHeight="1">
      <x:c r="A33" s="18" t="str">
        <x:v>MEA-ZON-DERELICT</x:v>
      </x:c>
      <x:c r="B33" s="9" t="str">
        <x:v>Elaaden — épave reliquate</x:v>
      </x:c>
      <x:c r="C33" s="15" t="str">
        <x:v>Défini</x:v>
      </x:c>
      <x:c r="D33" s="16" t="str">
        <x:v>Établi</x:v>
      </x:c>
      <x:c r="E33" s="16" t="str">
        <x:v>P1</x:v>
      </x:c>
      <x:c r="F33" s="9" t="str">
        <x:v>Grande structure à explorer.</x:v>
      </x:c>
      <x:c r="G33" s="9" t="str">
        <x:v>Découpage en coque, intérieur et chambre du cœur ; repères pour retour sans fausse liaison au caveau.</x:v>
      </x:c>
      <x:c r="H33" s="9" t="str">
        <x:v>Découpage en coque, intérieur et chambre du cœur ; repères pour retour sans fausse liaison au caveau.</x:v>
      </x:c>
      <x:c r="I33" s="9" t="str">
        <x:v>Volumes géants et passerelles.</x:v>
      </x:c>
      <x:c r="J33" s="9" t="str">
        <x:v>Préparer état de repos, anticipation, activation et retour au repos ; aligner les événements visuels sur la résolution de l’action ATB.</x:v>
      </x:c>
      <x:c r="K33" s="9" t="str">
        <x:v>Créer des bruitages et ambiances originaux adaptés au livrable ; sous-titrer les indices utiles et proposer un réglage indépendant des effets. Aucune extraction audio demandée.</x:v>
      </x:c>
      <x:c r="L33" s="9" t="str">
        <x:v>Prévu : fiche de données mea/zones/derelict ; rattacher les ressources et états cités à cet identifiant. Aucun fichier de jeu créé par ce catalogue.</x:v>
      </x:c>
      <x:c r="M33" s="9" t="str"/>
      <x:c r="N33" s="9" t="str">
        <x:v>Le livrable « Elaaden — épave reliquate » possède une scène ou un scénario de contrôle ; ses règles proposées, ses conditions et ses retours visuels sont vérifiables séparément.</x:v>
      </x:c>
      <x:c r="O33" s="9" t="str"/>
      <x:c r="P33" s="9" t="str">
        <x:v>Elaaden — épave reliquate</x:v>
      </x:c>
      <x:c r="Q33" s="9" t="str">
        <x:v>MEA-SRC-MISSIONS</x:v>
      </x:c>
      <x:c r="R33" s="9" t="str">
        <x:v>https://masseffect.fandom.com/wiki/Missions_%28Mass_Effect%3A_Andromeda%29</x:v>
      </x:c>
      <x:c r="S33" s="9" t="str">
        <x:v>Spécification à réaliser. Les champs adaptation, gameplay, visual, animation, audio et implementation décrivent le fan game ; ils ne donnent pas des caractéristiques officielles de l’œuvre.</x:v>
      </x:c>
    </x:row>
    <x:row r="34" ht="68" customHeight="1">
      <x:c r="A34" s="19" t="str">
        <x:v>MEA-ZON-ELAADEN-VAULT</x:v>
      </x:c>
      <x:c r="B34" s="7" t="str">
        <x:v>Elaaden — caveau</x:v>
      </x:c>
      <x:c r="C34" s="15" t="str">
        <x:v>Défini</x:v>
      </x:c>
      <x:c r="D34" s="17" t="str">
        <x:v>Établi</x:v>
      </x:c>
      <x:c r="E34" s="17" t="str">
        <x:v>P1</x:v>
      </x:c>
      <x:c r="F34" s="7" t="str">
        <x:v>Site de restauration du désert.</x:v>
      </x:c>
      <x:c r="G34" s="7" t="str">
        <x:v>Chaînes d’alimentation et purification ; ombre thermique de surface et sécurité intérieure séparées.</x:v>
      </x:c>
      <x:c r="H34" s="7" t="str">
        <x:v>Chaînes d’alimentation et purification ; ombre thermique de surface et sécurité intérieure séparées.</x:v>
      </x:c>
      <x:c r="I34" s="7" t="str">
        <x:v>Architecture noire sous sable.</x:v>
      </x:c>
      <x:c r="J34" s="7" t="str">
        <x:v>Préparer état de repos, anticipation, activation et retour au repos ; aligner les événements visuels sur la résolution de l’action ATB.</x:v>
      </x:c>
      <x:c r="K34" s="7" t="str">
        <x:v>Créer des bruitages et ambiances originaux adaptés au livrable ; sous-titrer les indices utiles et proposer un réglage indépendant des effets. Aucune extraction audio demandée.</x:v>
      </x:c>
      <x:c r="L34" s="7" t="str">
        <x:v>Prévu : fiche de données mea/zones/elaaden-vault ; rattacher les ressources et états cités à cet identifiant. Aucun fichier de jeu créé par ce catalogue.</x:v>
      </x:c>
      <x:c r="M34" s="7" t="str"/>
      <x:c r="N34" s="7" t="str">
        <x:v>Le livrable « Elaaden — caveau » possède une scène ou un scénario de contrôle ; ses règles proposées, ses conditions et ses retours visuels sont vérifiables séparément.</x:v>
      </x:c>
      <x:c r="O34" s="7" t="str"/>
      <x:c r="P34" s="7" t="str">
        <x:v>Elaaden — caveau</x:v>
      </x:c>
      <x:c r="Q34" s="7" t="str">
        <x:v>MEA-SRC-VAULT, MEA-SRC-HAZARD</x:v>
      </x:c>
      <x:c r="R34" s="7" t="str">
        <x:v>https://masseffect.fandom.com/wiki/Vault
https://masseffect.fandom.com/wiki/Hazard</x:v>
      </x:c>
      <x:c r="S34" s="7" t="str">
        <x:v>Spécification à réaliser. Les champs adaptation, gameplay, visual, animation, audio et implementation décrivent le fan game ; ils ne donnent pas des caractéristiques officielles de l’œuvre.</x:v>
      </x:c>
    </x:row>
    <x:row r="35" ht="68" customHeight="1">
      <x:c r="A35" s="18" t="str">
        <x:v>MEA-ZON-H047C-DOMES</x:v>
      </x:c>
      <x:c r="B35" s="9" t="str">
        <x:v>H-047c — dômes</x:v>
      </x:c>
      <x:c r="C35" s="15" t="str">
        <x:v>Défini</x:v>
      </x:c>
      <x:c r="D35" s="16" t="str">
        <x:v>Établi</x:v>
      </x:c>
      <x:c r="E35" s="16" t="str">
        <x:v>P1</x:v>
      </x:c>
      <x:c r="F35" s="9" t="str">
        <x:v>Zones pressurisées.</x:v>
      </x:c>
      <x:c r="G35" s="9" t="str">
        <x:v>Transition Nomad/pied seulement dans sas admis ; pas d’escouade apparaissant hors air respirable.</x:v>
      </x:c>
      <x:c r="H35" s="9" t="str">
        <x:v>Transition Nomad/pied seulement dans sas admis ; pas d’escouade apparaissant hors air respirable.</x:v>
      </x:c>
      <x:c r="I35" s="9" t="str">
        <x:v>Bulles d’habitat et bases minières.</x:v>
      </x:c>
      <x:c r="J35" s="9" t="str">
        <x:v>Préparer état de repos, anticipation, activation et retour au repos ; aligner les événements visuels sur la résolution de l’action ATB.</x:v>
      </x:c>
      <x:c r="K35" s="9" t="str">
        <x:v>Créer des bruitages et ambiances originaux adaptés au livrable ; sous-titrer les indices utiles et proposer un réglage indépendant des effets. Aucune extraction audio demandée.</x:v>
      </x:c>
      <x:c r="L35" s="9" t="str">
        <x:v>Prévu : fiche de données mea/zones/h047c-domes ; rattacher les ressources et états cités à cet identifiant. Aucun fichier de jeu créé par ce catalogue.</x:v>
      </x:c>
      <x:c r="M35" s="9" t="str"/>
      <x:c r="N35" s="9" t="str">
        <x:v>Le livrable « H-047c — dômes » possède une scène ou un scénario de contrôle ; ses règles proposées, ses conditions et ses retours visuels sont vérifiables séparément.</x:v>
      </x:c>
      <x:c r="O35" s="9" t="str"/>
      <x:c r="P35" s="9" t="str">
        <x:v>H-047c — dômes</x:v>
      </x:c>
      <x:c r="Q35" s="9" t="str">
        <x:v>MEA-SRC-HAZARD</x:v>
      </x:c>
      <x:c r="R35" s="9" t="str">
        <x:v>https://masseffect.fandom.com/wiki/Hazard</x:v>
      </x:c>
      <x:c r="S35" s="9" t="str">
        <x:v>Spécification à réaliser. Les champs adaptation, gameplay, visual, animation, audio et implementation décrivent le fan game ; ils ne donnent pas des caractéristiques officielles de l’œuvre.</x:v>
      </x:c>
    </x:row>
    <x:row r="36" ht="68" customHeight="1">
      <x:c r="A36" s="19" t="str">
        <x:v>MEA-ZON-VETRA-MINE</x:v>
      </x:c>
      <x:c r="B36" s="7" t="str">
        <x:v>H-047c — mine de Meriweather</x:v>
      </x:c>
      <x:c r="C36" s="15" t="str">
        <x:v>Défini</x:v>
      </x:c>
      <x:c r="D36" s="17" t="str">
        <x:v>Établi</x:v>
      </x:c>
      <x:c r="E36" s="17" t="str">
        <x:v>P1</x:v>
      </x:c>
      <x:c r="F36" s="7" t="str">
        <x:v>Lieu de loyauté de Vetra.</x:v>
      </x:c>
      <x:c r="G36" s="7" t="str">
        <x:v>Captifs, ménagerie et atelier vus par caméras ; sabotage change obstacles, dangers et rencontres.</x:v>
      </x:c>
      <x:c r="H36" s="7" t="str">
        <x:v>Captifs, ménagerie et atelier vus par caméras ; sabotage change obstacles, dangers et rencontres.</x:v>
      </x:c>
      <x:c r="I36" s="7" t="str">
        <x:v>Mine à niveaux, moniteurs et Hydra.</x:v>
      </x:c>
      <x:c r="J36" s="7" t="str">
        <x:v>Préparer état de repos, anticipation, activation et retour au repos ; aligner les événements visuels sur la résolution de l’action ATB.</x:v>
      </x:c>
      <x:c r="K36" s="7" t="str">
        <x:v>Créer des bruitages et ambiances originaux adaptés au livrable ; sous-titrer les indices utiles et proposer un réglage indépendant des effets. Aucune extraction audio demandée.</x:v>
      </x:c>
      <x:c r="L36" s="7" t="str">
        <x:v>Prévu : fiche de données mea/zones/vetra-mine ; rattacher les ressources et états cités à cet identifiant. Aucun fichier de jeu créé par ce catalogue.</x:v>
      </x:c>
      <x:c r="M36" s="7" t="str"/>
      <x:c r="N36" s="7" t="str">
        <x:v>Le livrable « H-047c — mine de Meriweather » possède une scène ou un scénario de contrôle ; ses règles proposées, ses conditions et ses retours visuels sont vérifiables séparément.</x:v>
      </x:c>
      <x:c r="O36" s="7" t="str"/>
      <x:c r="P36" s="7" t="str">
        <x:v>H-047c — mine de Meriweather</x:v>
      </x:c>
      <x:c r="Q36" s="7" t="str">
        <x:v>MEA-SRC-VETRA-LOYAL</x:v>
      </x:c>
      <x:c r="R36" s="7" t="str">
        <x:v>https://masseffect.fandom.com/wiki/Vetra_Nyx%3A_Means_and_Ends</x:v>
      </x:c>
      <x:c r="S36" s="7" t="str">
        <x:v>Spécification à réaliser. Les champs adaptation, gameplay, visual, animation, audio et implementation décrivent le fan game ; ils ne donnent pas des caractéristiques officielles de l’œuvre.</x:v>
      </x:c>
    </x:row>
    <x:row r="37" ht="68" customHeight="1">
      <x:c r="A37" s="18" t="str">
        <x:v>MEA-ZON-LIAM-SHIP</x:v>
      </x:c>
      <x:c r="B37" s="9" t="str">
        <x:v>Vaisseau de Calot Gurting</x:v>
      </x:c>
      <x:c r="C37" s="15" t="str">
        <x:v>Défini</x:v>
      </x:c>
      <x:c r="D37" s="16" t="str">
        <x:v>Établi</x:v>
      </x:c>
      <x:c r="E37" s="16" t="str">
        <x:v>P1</x:v>
      </x:c>
      <x:c r="F37" s="9" t="str">
        <x:v>Lieu du secours de Liam.</x:v>
      </x:c>
      <x:c r="G37" s="9" t="str">
        <x:v>Trois états d’orientation de salle avec ancres recalculées ; objets de scan disponibles seulement où ils sont physiquement présents.</x:v>
      </x:c>
      <x:c r="H37" s="9" t="str">
        <x:v>Trois états d’orientation de salle avec ancres recalculées ; objets de scan disponibles seulement où ils sont physiquement présents.</x:v>
      </x:c>
      <x:c r="I37" s="9" t="str">
        <x:v>Containers, grues et plafond devenu sol.</x:v>
      </x:c>
      <x:c r="J37" s="9" t="str">
        <x:v>Préparer état de repos, anticipation, activation et retour au repos ; aligner les événements visuels sur la résolution de l’action ATB.</x:v>
      </x:c>
      <x:c r="K37" s="9" t="str">
        <x:v>Créer des bruitages et ambiances originaux adaptés au livrable ; sous-titrer les indices utiles et proposer un réglage indépendant des effets. Aucune extraction audio demandée.</x:v>
      </x:c>
      <x:c r="L37" s="9" t="str">
        <x:v>Prévu : fiche de données mea/zones/liam-ship ; rattacher les ressources et états cités à cet identifiant. Aucun fichier de jeu créé par ce catalogue.</x:v>
      </x:c>
      <x:c r="M37" s="9" t="str"/>
      <x:c r="N37" s="9" t="str">
        <x:v>Le livrable « Vaisseau de Calot Gurting » possède une scène ou un scénario de contrôle ; ses règles proposées, ses conditions et ses retours visuels sont vérifiables séparément.</x:v>
      </x:c>
      <x:c r="O37" s="9" t="str"/>
      <x:c r="P37" s="9" t="str">
        <x:v>Vaisseau de Calot Gurting</x:v>
      </x:c>
      <x:c r="Q37" s="9" t="str">
        <x:v>MEA-SRC-LIAM-LOYAL</x:v>
      </x:c>
      <x:c r="R37" s="9" t="str">
        <x:v>https://masseffect.fandom.com/wiki/Liam_Kosta%3A_All_In</x:v>
      </x:c>
      <x:c r="S37" s="9" t="str">
        <x:v>Spécification à réaliser. Les champs adaptation, gameplay, visual, animation, audio et implementation décrivent le fan game ; ils ne donnent pas des caractéristiques officielles de l’œuvre.</x:v>
      </x:c>
    </x:row>
    <x:row r="38" ht="68" customHeight="1">
      <x:c r="A38" s="19" t="str">
        <x:v>MEA-ZON-PAS10-CORE</x:v>
      </x:c>
      <x:c r="B38" s="7" t="str">
        <x:v>Pas-10 — dispositif reliquat</x:v>
      </x:c>
      <x:c r="C38" s="15" t="str">
        <x:v>Défini</x:v>
      </x:c>
      <x:c r="D38" s="17" t="str">
        <x:v>Établi</x:v>
      </x:c>
      <x:c r="E38" s="17" t="str">
        <x:v>P1</x:v>
      </x:c>
      <x:c r="F38" s="7" t="str">
        <x:v>Lieu de conclusion Peebee.</x:v>
      </x:c>
      <x:c r="G38" s="7" t="str">
        <x:v>Plateformes au-dessus de lave, choix Kalinda puis route d’évacuation ; temporisation accessible proposée.</x:v>
      </x:c>
      <x:c r="H38" s="7" t="str">
        <x:v>Plateformes au-dessus de lave, choix Kalinda puis route d’évacuation ; temporisation accessible proposée.</x:v>
      </x:c>
      <x:c r="I38" s="7" t="str">
        <x:v>Ponts, appareil et navette.</x:v>
      </x:c>
      <x:c r="J38" s="7" t="str">
        <x:v>Préparer état de repos, anticipation, activation et retour au repos ; aligner les événements visuels sur la résolution de l’action ATB.</x:v>
      </x:c>
      <x:c r="K38" s="7" t="str">
        <x:v>Créer des bruitages et ambiances originaux adaptés au livrable ; sous-titrer les indices utiles et proposer un réglage indépendant des effets. Aucune extraction audio demandée.</x:v>
      </x:c>
      <x:c r="L38" s="7" t="str">
        <x:v>Prévu : fiche de données mea/zones/pas10-core ; rattacher les ressources et états cités à cet identifiant. Aucun fichier de jeu créé par ce catalogue.</x:v>
      </x:c>
      <x:c r="M38" s="7" t="str"/>
      <x:c r="N38" s="7" t="str">
        <x:v>Le livrable « Pas-10 — dispositif reliquat » possède une scène ou un scénario de contrôle ; ses règles proposées, ses conditions et ses retours visuels sont vérifiables séparément.</x:v>
      </x:c>
      <x:c r="O38" s="7" t="str"/>
      <x:c r="P38" s="7" t="str">
        <x:v>Pas-10 — dispositif reliquat</x:v>
      </x:c>
      <x:c r="Q38" s="7" t="str">
        <x:v>MEA-SRC-PEEBEE-LOYAL</x:v>
      </x:c>
      <x:c r="R38" s="7" t="str">
        <x:v>https://masseffect.fandom.com/wiki/Peebee%3A_A_Mysterious_Remnant_Signal</x:v>
      </x:c>
      <x:c r="S38" s="7" t="str">
        <x:v>Spécification à réaliser. Les champs adaptation, gameplay, visual, animation, audio et implementation décrivent le fan game ; ils ne donnent pas des caractéristiques officielles de l’œuvre.</x:v>
      </x:c>
    </x:row>
    <x:row r="39" ht="68" customHeight="1">
      <x:c r="A39" s="18" t="str">
        <x:v>MEA-ZON-KETT-FLAGSHIP</x:v>
      </x:c>
      <x:c r="B39" s="9" t="str">
        <x:v>Vaisseau de l’Archonte</x:v>
      </x:c>
      <x:c r="C39" s="15" t="str">
        <x:v>Défini</x:v>
      </x:c>
      <x:c r="D39" s="16" t="str">
        <x:v>Établi</x:v>
      </x:c>
      <x:c r="E39" s="16" t="str">
        <x:v>P1</x:v>
      </x:c>
      <x:c r="F39" s="9" t="str">
        <x:v>Site du choix de secours.</x:v>
      </x:c>
      <x:c r="G39" s="9" t="str">
        <x:v>Laboratoire, prisonniers et deux routes finales ; afficher clairement l’objectif engagé et irréversibilité de bifurcation.</x:v>
      </x:c>
      <x:c r="H39" s="9" t="str">
        <x:v>Laboratoire, prisonniers et deux routes finales ; afficher clairement l’objectif engagé et irréversibilité de bifurcation.</x:v>
      </x:c>
      <x:c r="I39" s="9" t="str">
        <x:v>Architecture kett et pods d’expérience.</x:v>
      </x:c>
      <x:c r="J39" s="9" t="str">
        <x:v>Préparer état de repos, anticipation, activation et retour au repos ; aligner les événements visuels sur la résolution de l’action ATB.</x:v>
      </x:c>
      <x:c r="K39" s="9" t="str">
        <x:v>Créer des bruitages et ambiances originaux adaptés au livrable ; sous-titrer les indices utiles et proposer un réglage indépendant des effets. Aucune extraction audio demandée.</x:v>
      </x:c>
      <x:c r="L39" s="9" t="str">
        <x:v>Prévu : fiche de données mea/zones/kett-flagship ; rattacher les ressources et états cités à cet identifiant. Aucun fichier de jeu créé par ce catalogue.</x:v>
      </x:c>
      <x:c r="M39" s="9" t="str"/>
      <x:c r="N39" s="9" t="str">
        <x:v>Le livrable « Vaisseau de l’Archonte » possède une scène ou un scénario de contrôle ; ses règles proposées, ses conditions et ses retours visuels sont vérifiables séparément.</x:v>
      </x:c>
      <x:c r="O39" s="9" t="str"/>
      <x:c r="P39" s="9" t="str">
        <x:v>Vaisseau de l’Archonte</x:v>
      </x:c>
      <x:c r="Q39" s="9" t="str">
        <x:v>MEA-SRC-ARCHON</x:v>
      </x:c>
      <x:c r="R39" s="9" t="str">
        <x:v>https://masseffect.fandom.com/wiki/Hunting_the_Archon</x:v>
      </x:c>
      <x:c r="S39" s="9" t="str">
        <x:v>Spécification à réaliser. Les champs adaptation, gameplay, visual, animation, audio et implementation décrivent le fan game ; ils ne donnent pas des caractéristiques officielles de l’œuvre.</x:v>
      </x:c>
    </x:row>
    <x:row r="40" ht="68" customHeight="1">
      <x:c r="A40" s="19" t="str">
        <x:v>MEA-ZON-MERIDIAN-CORE</x:v>
      </x:c>
      <x:c r="B40" s="7" t="str">
        <x:v>Méridiane — noyau final</x:v>
      </x:c>
      <x:c r="C40" s="15" t="str">
        <x:v>Défini</x:v>
      </x:c>
      <x:c r="D40" s="17" t="str">
        <x:v>Établi</x:v>
      </x:c>
      <x:c r="E40" s="17" t="str">
        <x:v>P1</x:v>
      </x:c>
      <x:c r="F40" s="7" t="str">
        <x:v>Arène de l’Archonte.</x:v>
      </x:c>
      <x:c r="G40" s="7" t="str">
        <x:v>Progression d’objectifs de réseau pendant combat ; la cible principale est système de contrôle et machine, pas un simple sac de PV.</x:v>
      </x:c>
      <x:c r="H40" s="7" t="str">
        <x:v>Progression d’objectifs de réseau pendant combat ; la cible principale est système de contrôle et machine, pas un simple sac de PV.</x:v>
      </x:c>
      <x:c r="I40" s="7" t="str">
        <x:v>Noyau, conduits et grande plateforme.</x:v>
      </x:c>
      <x:c r="J40" s="7" t="str">
        <x:v>Préparer état de repos, anticipation, activation et retour au repos ; aligner les événements visuels sur la résolution de l’action ATB.</x:v>
      </x:c>
      <x:c r="K40" s="7" t="str">
        <x:v>Créer des bruitages et ambiances originaux adaptés au livrable ; sous-titrer les indices utiles et proposer un réglage indépendant des effets. Aucune extraction audio demandée.</x:v>
      </x:c>
      <x:c r="L40" s="7" t="str">
        <x:v>Prévu : fiche de données mea/zones/meridian-core ; rattacher les ressources et états cités à cet identifiant. Aucun fichier de jeu créé par ce catalogue.</x:v>
      </x:c>
      <x:c r="M40" s="7" t="str"/>
      <x:c r="N40" s="7" t="str">
        <x:v>Le livrable « Méridiane — noyau final » possède une scène ou un scénario de contrôle ; ses règles proposées, ses conditions et ses retours visuels sont vérifiables séparément.</x:v>
      </x:c>
      <x:c r="O40" s="7" t="str"/>
      <x:c r="P40" s="7" t="str">
        <x:v>Méridiane — noyau final</x:v>
      </x:c>
      <x:c r="Q40" s="7" t="str">
        <x:v>MEA-SRC-MERIDIAN</x:v>
      </x:c>
      <x:c r="R40" s="7" t="str">
        <x:v>https://masseffect.fandom.com/wiki/Meridian%3A_The_Way_Home</x:v>
      </x:c>
      <x:c r="S40" s="7" t="str">
        <x:v>Spécification à réaliser. Les champs adaptation, gameplay, visual, animation, audio et implementation décrivent le fan game ; ils ne donnent pas des caractéristiques officielles de l’œuvre.</x:v>
      </x:c>
    </x:row>
    <x:row r="41" ht="68" customHeight="1">
      <x:c r="A41" s="18" t="str">
        <x:v>MEA-ZON-PORT-MERIDIAN</x:v>
      </x:c>
      <x:c r="B41" s="9" t="str">
        <x:v>Port Meridian</x:v>
      </x:c>
      <x:c r="C41" s="15" t="str">
        <x:v>Défini</x:v>
      </x:c>
      <x:c r="D41" s="16" t="str">
        <x:v>Établi</x:v>
      </x:c>
      <x:c r="E41" s="16" t="str">
        <x:v>P1</x:v>
      </x:c>
      <x:c r="F41" s="9" t="str">
        <x:v>Hub de l’épilogue.</x:v>
      </x:c>
      <x:c r="G41" s="9" t="str">
        <x:v>Arche posée, fête et conversations ; présence du jumeau et fenêtres finales traitées comme scènes d’épilogue limitées.</x:v>
      </x:c>
      <x:c r="H41" s="9" t="str">
        <x:v>Arche posée, fête et conversations ; présence du jumeau et fenêtres finales traitées comme scènes d’épilogue limitées.</x:v>
      </x:c>
      <x:c r="I41" s="9" t="str">
        <x:v>Hyperion au milieu de végétation.</x:v>
      </x:c>
      <x:c r="J41" s="9" t="str">
        <x:v>Préparer état de repos, anticipation, activation et retour au repos ; aligner les événements visuels sur la résolution de l’action ATB.</x:v>
      </x:c>
      <x:c r="K41" s="9" t="str">
        <x:v>Créer des bruitages et ambiances originaux adaptés au livrable ; sous-titrer les indices utiles et proposer un réglage indépendant des effets. Aucune extraction audio demandée.</x:v>
      </x:c>
      <x:c r="L41" s="9" t="str">
        <x:v>Prévu : fiche de données mea/zones/port-meridian ; rattacher les ressources et états cités à cet identifiant. Aucun fichier de jeu créé par ce catalogue.</x:v>
      </x:c>
      <x:c r="M41" s="9" t="str"/>
      <x:c r="N41" s="9" t="str">
        <x:v>Le livrable « Port Meridian » possède une scène ou un scénario de contrôle ; ses règles proposées, ses conditions et ses retours visuels sont vérifiables séparément.</x:v>
      </x:c>
      <x:c r="O41" s="9" t="str"/>
      <x:c r="P41" s="9" t="str">
        <x:v>Port Meridian</x:v>
      </x:c>
      <x:c r="Q41" s="9" t="str">
        <x:v>MEA-SRC-EPILOGUE</x:v>
      </x:c>
      <x:c r="R41" s="9" t="str">
        <x:v>https://masseffect.fandom.com/wiki/Epilogue%3A_Home_and_Away</x:v>
      </x:c>
      <x:c r="S41" s="9" t="str">
        <x:v>Spécification à réaliser. Les champs adaptation, gameplay, visual, animation, audio et implementation décrivent le fan game ; ils ne donnent pas des caractéristiques officielles de l’œuvre.</x:v>
      </x:c>
    </x:row>
    <x:row r="42" ht="68" customHeight="1">
      <x:c r="A42" s="19" t="str">
        <x:v>MEA-ZON-MP-AQUA</x:v>
      </x:c>
      <x:c r="B42" s="7" t="str">
        <x:v>Firebase Aqua</x:v>
      </x:c>
      <x:c r="C42" s="15" t="str">
        <x:v>Défini</x:v>
      </x:c>
      <x:c r="D42" s="17" t="str">
        <x:v>Établi</x:v>
      </x:c>
      <x:c r="E42" s="17" t="str">
        <x:v>P1</x:v>
      </x:c>
      <x:c r="F42" s="7" t="str">
        <x:v>Carte du module multijoueur.</x:v>
      </x:c>
      <x:c r="G42" s="7" t="str">
        <x:v>Arène à vagues distincte du solo ; définir quatre positions de départ, des voies de secours et des objectifs distribués. Relevé exact de géométrie requis avant reproduction fidèle.</x:v>
      </x:c>
      <x:c r="H42" s="7" t="str">
        <x:v>Arène à vagues distincte du solo ; définir quatre positions de départ, des voies de secours et des objectifs distribués. Relevé exact de géométrie requis avant reproduction fidèle.</x:v>
      </x:c>
      <x:c r="I42" s="7" t="str">
        <x:v>Plateformes et eau, conception de quais proposée.</x:v>
      </x:c>
      <x:c r="J42" s="7" t="str">
        <x:v>Préparer état de repos, anticipation, activation et retour au repos ; aligner les événements visuels sur la résolution de l’action ATB.</x:v>
      </x:c>
      <x:c r="K42" s="7" t="str">
        <x:v>Créer des bruitages et ambiances originaux adaptés au livrable ; sous-titrer les indices utiles et proposer un réglage indépendant des effets. Aucune extraction audio demandée.</x:v>
      </x:c>
      <x:c r="L42" s="7" t="str">
        <x:v>Prévu : fiche de données mea/zones/mp-aqua ; rattacher les ressources et états cités à cet identifiant. Aucun fichier de jeu créé par ce catalogue.</x:v>
      </x:c>
      <x:c r="M42" s="7" t="str">
        <x:v>Multijoueur uniquement ; Remnant Ruins associé à missions APEX, disponibilité de service non garantie par ce catalogue.</x:v>
      </x:c>
      <x:c r="N42" s="7" t="str">
        <x:v>Sélection affiche le mode multi et le bon nom ; objectif, renforts, extraction et reprise de partie fonctionnent sans fuite d’états vers la carte solo.</x:v>
      </x:c>
      <x:c r="O42" s="7" t="str"/>
      <x:c r="P42" s="7" t="str">
        <x:v>Firebase Aqua</x:v>
      </x:c>
      <x:c r="Q42" s="7" t="str">
        <x:v>MEA-SRC-MP</x:v>
      </x:c>
      <x:c r="R42" s="7" t="str">
        <x:v>https://masseffect.fandom.com/wiki/Mass_Effect%3A_Andromeda_Multiplayer</x:v>
      </x:c>
      <x:c r="S42" s="7" t="str">
        <x:v>Spécification à réaliser. Les champs adaptation, gameplay, visual, animation, audio et implementation décrivent le fan game ; ils ne donnent pas des caractéristiques officielles de l’œuvre.</x:v>
      </x:c>
    </x:row>
    <x:row r="43" ht="68" customHeight="1">
      <x:c r="A43" s="18" t="str">
        <x:v>MEA-ZON-MP-DERELICT</x:v>
      </x:c>
      <x:c r="B43" s="9" t="str">
        <x:v>Firebase Derelict</x:v>
      </x:c>
      <x:c r="C43" s="15" t="str">
        <x:v>Défini</x:v>
      </x:c>
      <x:c r="D43" s="16" t="str">
        <x:v>Établi</x:v>
      </x:c>
      <x:c r="E43" s="16" t="str">
        <x:v>P1</x:v>
      </x:c>
      <x:c r="F43" s="9" t="str">
        <x:v>Carte du module multijoueur.</x:v>
      </x:c>
      <x:c r="G43" s="9" t="str">
        <x:v>Arène à vagues distincte du solo ; définir quatre positions de départ, des voies de secours et des objectifs distribués. Relevé exact de géométrie requis avant reproduction fidèle.</x:v>
      </x:c>
      <x:c r="H43" s="9" t="str">
        <x:v>Arène à vagues distincte du solo ; définir quatre positions de départ, des voies de secours et des objectifs distribués. Relevé exact de géométrie requis avant reproduction fidèle.</x:v>
      </x:c>
      <x:c r="I43" s="9" t="str">
        <x:v>Installations abandonnées et couverts de récupération proposés.</x:v>
      </x:c>
      <x:c r="J43" s="9" t="str">
        <x:v>Préparer état de repos, anticipation, activation et retour au repos ; aligner les événements visuels sur la résolution de l’action ATB.</x:v>
      </x:c>
      <x:c r="K43" s="9" t="str">
        <x:v>Créer des bruitages et ambiances originaux adaptés au livrable ; sous-titrer les indices utiles et proposer un réglage indépendant des effets. Aucune extraction audio demandée.</x:v>
      </x:c>
      <x:c r="L43" s="9" t="str">
        <x:v>Prévu : fiche de données mea/zones/mp-derelict ; rattacher les ressources et états cités à cet identifiant. Aucun fichier de jeu créé par ce catalogue.</x:v>
      </x:c>
      <x:c r="M43" s="9" t="str">
        <x:v>Multijoueur uniquement ; Remnant Ruins associé à missions APEX, disponibilité de service non garantie par ce catalogue.</x:v>
      </x:c>
      <x:c r="N43" s="9" t="str">
        <x:v>Sélection affiche le mode multi et le bon nom ; objectif, renforts, extraction et reprise de partie fonctionnent sans fuite d’états vers la carte solo.</x:v>
      </x:c>
      <x:c r="O43" s="9" t="str"/>
      <x:c r="P43" s="9" t="str">
        <x:v>Firebase Derelict</x:v>
      </x:c>
      <x:c r="Q43" s="9" t="str">
        <x:v>MEA-SRC-MP</x:v>
      </x:c>
      <x:c r="R43" s="9" t="str">
        <x:v>https://masseffect.fandom.com/wiki/Mass_Effect%3A_Andromeda_Multiplayer</x:v>
      </x:c>
      <x:c r="S43" s="9" t="str">
        <x:v>Spécification à réaliser. Les champs adaptation, gameplay, visual, animation, audio et implementation décrivent le fan game ; ils ne donnent pas des caractéristiques officielles de l’œuvre.</x:v>
      </x:c>
    </x:row>
    <x:row r="44" ht="68" customHeight="1">
      <x:c r="A44" s="19" t="str">
        <x:v>MEA-ZON-MP-ICEBREAKER</x:v>
      </x:c>
      <x:c r="B44" s="7" t="str">
        <x:v>Firebase Icebreaker</x:v>
      </x:c>
      <x:c r="C44" s="15" t="str">
        <x:v>Défini</x:v>
      </x:c>
      <x:c r="D44" s="17" t="str">
        <x:v>Établi</x:v>
      </x:c>
      <x:c r="E44" s="17" t="str">
        <x:v>P1</x:v>
      </x:c>
      <x:c r="F44" s="7" t="str">
        <x:v>Carte du module multijoueur.</x:v>
      </x:c>
      <x:c r="G44" s="7" t="str">
        <x:v>Arène à vagues distincte du solo ; définir quatre positions de départ, des voies de secours et des objectifs distribués. Relevé exact de géométrie requis avant reproduction fidèle.</x:v>
      </x:c>
      <x:c r="H44" s="7" t="str">
        <x:v>Arène à vagues distincte du solo ; définir quatre positions de départ, des voies de secours et des objectifs distribués. Relevé exact de géométrie requis avant reproduction fidèle.</x:v>
      </x:c>
      <x:c r="I44" s="7" t="str">
        <x:v>Environnement glacé, chaleur et abris comme repères visuels proposés.</x:v>
      </x:c>
      <x:c r="J44" s="7" t="str">
        <x:v>Préparer état de repos, anticipation, activation et retour au repos ; aligner les événements visuels sur la résolution de l’action ATB.</x:v>
      </x:c>
      <x:c r="K44" s="7" t="str">
        <x:v>Créer des bruitages et ambiances originaux adaptés au livrable ; sous-titrer les indices utiles et proposer un réglage indépendant des effets. Aucune extraction audio demandée.</x:v>
      </x:c>
      <x:c r="L44" s="7" t="str">
        <x:v>Prévu : fiche de données mea/zones/mp-icebreaker ; rattacher les ressources et états cités à cet identifiant. Aucun fichier de jeu créé par ce catalogue.</x:v>
      </x:c>
      <x:c r="M44" s="7" t="str">
        <x:v>Multijoueur uniquement ; Remnant Ruins associé à missions APEX, disponibilité de service non garantie par ce catalogue.</x:v>
      </x:c>
      <x:c r="N44" s="7" t="str">
        <x:v>Sélection affiche le mode multi et le bon nom ; objectif, renforts, extraction et reprise de partie fonctionnent sans fuite d’états vers la carte solo.</x:v>
      </x:c>
      <x:c r="O44" s="7" t="str"/>
      <x:c r="P44" s="7" t="str">
        <x:v>Firebase Icebreaker</x:v>
      </x:c>
      <x:c r="Q44" s="7" t="str">
        <x:v>MEA-SRC-MP</x:v>
      </x:c>
      <x:c r="R44" s="7" t="str">
        <x:v>https://masseffect.fandom.com/wiki/Mass_Effect%3A_Andromeda_Multiplayer</x:v>
      </x:c>
      <x:c r="S44" s="7" t="str">
        <x:v>Spécification à réaliser. Les champs adaptation, gameplay, visual, animation, audio et implementation décrivent le fan game ; ils ne donnent pas des caractéristiques officielles de l’œuvre.</x:v>
      </x:c>
    </x:row>
    <x:row r="45" ht="68" customHeight="1">
      <x:c r="A45" s="18" t="str">
        <x:v>MEA-ZON-MP-MAGMA</x:v>
      </x:c>
      <x:c r="B45" s="9" t="str">
        <x:v>Firebase Magma</x:v>
      </x:c>
      <x:c r="C45" s="15" t="str">
        <x:v>Défini</x:v>
      </x:c>
      <x:c r="D45" s="16" t="str">
        <x:v>Établi</x:v>
      </x:c>
      <x:c r="E45" s="16" t="str">
        <x:v>P1</x:v>
      </x:c>
      <x:c r="F45" s="9" t="str">
        <x:v>Carte du module multijoueur.</x:v>
      </x:c>
      <x:c r="G45" s="9" t="str">
        <x:v>Arène à vagues distincte du solo ; définir quatre positions de départ, des voies de secours et des objectifs distribués. Relevé exact de géométrie requis avant reproduction fidèle.</x:v>
      </x:c>
      <x:c r="H45" s="9" t="str">
        <x:v>Arène à vagues distincte du solo ; définir quatre positions de départ, des voies de secours et des objectifs distribués. Relevé exact de géométrie requis avant reproduction fidèle.</x:v>
      </x:c>
      <x:c r="I45" s="9" t="str">
        <x:v>Fonderie sur rivière de lave.</x:v>
      </x:c>
      <x:c r="J45" s="9" t="str">
        <x:v>Préparer état de repos, anticipation, activation et retour au repos ; aligner les événements visuels sur la résolution de l’action ATB.</x:v>
      </x:c>
      <x:c r="K45" s="9" t="str">
        <x:v>Créer des bruitages et ambiances originaux adaptés au livrable ; sous-titrer les indices utiles et proposer un réglage indépendant des effets. Aucune extraction audio demandée.</x:v>
      </x:c>
      <x:c r="L45" s="9" t="str">
        <x:v>Prévu : fiche de données mea/zones/mp-magma ; rattacher les ressources et états cités à cet identifiant. Aucun fichier de jeu créé par ce catalogue.</x:v>
      </x:c>
      <x:c r="M45" s="9" t="str">
        <x:v>Multijoueur uniquement ; Remnant Ruins associé à missions APEX, disponibilité de service non garantie par ce catalogue.</x:v>
      </x:c>
      <x:c r="N45" s="9" t="str">
        <x:v>Sélection affiche le mode multi et le bon nom ; objectif, renforts, extraction et reprise de partie fonctionnent sans fuite d’états vers la carte solo.</x:v>
      </x:c>
      <x:c r="O45" s="9" t="str"/>
      <x:c r="P45" s="9" t="str">
        <x:v>Firebase Magma</x:v>
      </x:c>
      <x:c r="Q45" s="9" t="str">
        <x:v>MEA-SRC-MP-MAGMA</x:v>
      </x:c>
      <x:c r="R45" s="9" t="str">
        <x:v>https://masseffect.fandom.com/wiki/Firebase_Magma</x:v>
      </x:c>
      <x:c r="S45" s="9" t="str">
        <x:v>Spécification à réaliser. Les champs adaptation, gameplay, visual, animation, audio et implementation décrivent le fan game ; ils ne donnent pas des caractéristiques officielles de l’œuvre.</x:v>
      </x:c>
    </x:row>
    <x:row r="46" ht="68" customHeight="1">
      <x:c r="A46" s="19" t="str">
        <x:v>MEA-ZON-MP-NIMBUS</x:v>
      </x:c>
      <x:c r="B46" s="7" t="str">
        <x:v>Firebase Nimbus</x:v>
      </x:c>
      <x:c r="C46" s="15" t="str">
        <x:v>Défini</x:v>
      </x:c>
      <x:c r="D46" s="17" t="str">
        <x:v>Établi</x:v>
      </x:c>
      <x:c r="E46" s="17" t="str">
        <x:v>P1</x:v>
      </x:c>
      <x:c r="F46" s="7" t="str">
        <x:v>Carte du module multijoueur.</x:v>
      </x:c>
      <x:c r="G46" s="7" t="str">
        <x:v>Arène à vagues distincte du solo ; définir quatre positions de départ, des voies de secours et des objectifs distribués. Relevé exact de géométrie requis avant reproduction fidèle.</x:v>
      </x:c>
      <x:c r="H46" s="7" t="str">
        <x:v>Arène à vagues distincte du solo ; définir quatre positions de départ, des voies de secours et des objectifs distribués. Relevé exact de géométrie requis avant reproduction fidèle.</x:v>
      </x:c>
      <x:c r="I46" s="7" t="str">
        <x:v>Volumes de station et lignes de hauteur à relever, kit de nuages proposé.</x:v>
      </x:c>
      <x:c r="J46" s="7" t="str">
        <x:v>Préparer état de repos, anticipation, activation et retour au repos ; aligner les événements visuels sur la résolution de l’action ATB.</x:v>
      </x:c>
      <x:c r="K46" s="7" t="str">
        <x:v>Créer des bruitages et ambiances originaux adaptés au livrable ; sous-titrer les indices utiles et proposer un réglage indépendant des effets. Aucune extraction audio demandée.</x:v>
      </x:c>
      <x:c r="L46" s="7" t="str">
        <x:v>Prévu : fiche de données mea/zones/mp-nimbus ; rattacher les ressources et états cités à cet identifiant. Aucun fichier de jeu créé par ce catalogue.</x:v>
      </x:c>
      <x:c r="M46" s="7" t="str">
        <x:v>Multijoueur uniquement ; Remnant Ruins associé à missions APEX, disponibilité de service non garantie par ce catalogue.</x:v>
      </x:c>
      <x:c r="N46" s="7" t="str">
        <x:v>Sélection affiche le mode multi et le bon nom ; objectif, renforts, extraction et reprise de partie fonctionnent sans fuite d’états vers la carte solo.</x:v>
      </x:c>
      <x:c r="O46" s="7" t="str"/>
      <x:c r="P46" s="7" t="str">
        <x:v>Firebase Nimbus</x:v>
      </x:c>
      <x:c r="Q46" s="7" t="str">
        <x:v>MEA-SRC-MP</x:v>
      </x:c>
      <x:c r="R46" s="7" t="str">
        <x:v>https://masseffect.fandom.com/wiki/Mass_Effect%3A_Andromeda_Multiplayer</x:v>
      </x:c>
      <x:c r="S46" s="7" t="str">
        <x:v>Spécification à réaliser. Les champs adaptation, gameplay, visual, animation, audio et implementation décrivent le fan game ; ils ne donnent pas des caractéristiques officielles de l’œuvre.</x:v>
      </x:c>
    </x:row>
    <x:row r="47" ht="68" customHeight="1">
      <x:c r="A47" s="18" t="str">
        <x:v>MEA-ZON-MP-PARADOX</x:v>
      </x:c>
      <x:c r="B47" s="9" t="str">
        <x:v>Firebase Paradox</x:v>
      </x:c>
      <x:c r="C47" s="15" t="str">
        <x:v>Défini</x:v>
      </x:c>
      <x:c r="D47" s="16" t="str">
        <x:v>Établi</x:v>
      </x:c>
      <x:c r="E47" s="16" t="str">
        <x:v>P1</x:v>
      </x:c>
      <x:c r="F47" s="9" t="str">
        <x:v>Carte du module multijoueur.</x:v>
      </x:c>
      <x:c r="G47" s="9" t="str">
        <x:v>Arène à vagues distincte du solo ; définir quatre positions de départ, des voies de secours et des objectifs distribués. Relevé exact de géométrie requis avant reproduction fidèle.</x:v>
      </x:c>
      <x:c r="H47" s="9" t="str">
        <x:v>Arène à vagues distincte du solo ; définir quatre positions de départ, des voies de secours et des objectifs distribués. Relevé exact de géométrie requis avant reproduction fidèle.</x:v>
      </x:c>
      <x:c r="I47" s="9" t="str">
        <x:v>Géométrie reliquate et réseau de plateformes proposé.</x:v>
      </x:c>
      <x:c r="J47" s="9" t="str">
        <x:v>Préparer état de repos, anticipation, activation et retour au repos ; aligner les événements visuels sur la résolution de l’action ATB.</x:v>
      </x:c>
      <x:c r="K47" s="9" t="str">
        <x:v>Créer des bruitages et ambiances originaux adaptés au livrable ; sous-titrer les indices utiles et proposer un réglage indépendant des effets. Aucune extraction audio demandée.</x:v>
      </x:c>
      <x:c r="L47" s="9" t="str">
        <x:v>Prévu : fiche de données mea/zones/mp-paradox ; rattacher les ressources et états cités à cet identifiant. Aucun fichier de jeu créé par ce catalogue.</x:v>
      </x:c>
      <x:c r="M47" s="9" t="str">
        <x:v>Multijoueur uniquement ; Remnant Ruins associé à missions APEX, disponibilité de service non garantie par ce catalogue.</x:v>
      </x:c>
      <x:c r="N47" s="9" t="str">
        <x:v>Sélection affiche le mode multi et le bon nom ; objectif, renforts, extraction et reprise de partie fonctionnent sans fuite d’états vers la carte solo.</x:v>
      </x:c>
      <x:c r="O47" s="9" t="str"/>
      <x:c r="P47" s="9" t="str">
        <x:v>Firebase Paradox</x:v>
      </x:c>
      <x:c r="Q47" s="9" t="str">
        <x:v>MEA-SRC-MP</x:v>
      </x:c>
      <x:c r="R47" s="9" t="str">
        <x:v>https://masseffect.fandom.com/wiki/Mass_Effect%3A_Andromeda_Multiplayer</x:v>
      </x:c>
      <x:c r="S47" s="9" t="str">
        <x:v>Spécification à réaliser. Les champs adaptation, gameplay, visual, animation, audio et implementation décrivent le fan game ; ils ne donnent pas des caractéristiques officielles de l’œuvre.</x:v>
      </x:c>
    </x:row>
    <x:row r="48" ht="68" customHeight="1">
      <x:c r="A48" s="19" t="str">
        <x:v>MEA-ZON-MP-SANDSTORM</x:v>
      </x:c>
      <x:c r="B48" s="7" t="str">
        <x:v>Firebase Sandstorm</x:v>
      </x:c>
      <x:c r="C48" s="15" t="str">
        <x:v>Défini</x:v>
      </x:c>
      <x:c r="D48" s="17" t="str">
        <x:v>Établi</x:v>
      </x:c>
      <x:c r="E48" s="17" t="str">
        <x:v>P1</x:v>
      </x:c>
      <x:c r="F48" s="7" t="str">
        <x:v>Carte du module multijoueur.</x:v>
      </x:c>
      <x:c r="G48" s="7" t="str">
        <x:v>Arène à vagues distincte du solo ; définir quatre positions de départ, des voies de secours et des objectifs distribués. Relevé exact de géométrie requis avant reproduction fidèle.</x:v>
      </x:c>
      <x:c r="H48" s="7" t="str">
        <x:v>Arène à vagues distincte du solo ; définir quatre positions de départ, des voies de secours et des objectifs distribués. Relevé exact de géométrie requis avant reproduction fidèle.</x:v>
      </x:c>
      <x:c r="I48" s="7" t="str">
        <x:v>Structures de désert et visibilité modulée proposées.</x:v>
      </x:c>
      <x:c r="J48" s="7" t="str">
        <x:v>Préparer état de repos, anticipation, activation et retour au repos ; aligner les événements visuels sur la résolution de l’action ATB.</x:v>
      </x:c>
      <x:c r="K48" s="7" t="str">
        <x:v>Créer des bruitages et ambiances originaux adaptés au livrable ; sous-titrer les indices utiles et proposer un réglage indépendant des effets. Aucune extraction audio demandée.</x:v>
      </x:c>
      <x:c r="L48" s="7" t="str">
        <x:v>Prévu : fiche de données mea/zones/mp-sandstorm ; rattacher les ressources et états cités à cet identifiant. Aucun fichier de jeu créé par ce catalogue.</x:v>
      </x:c>
      <x:c r="M48" s="7" t="str">
        <x:v>Multijoueur uniquement ; Remnant Ruins associé à missions APEX, disponibilité de service non garantie par ce catalogue.</x:v>
      </x:c>
      <x:c r="N48" s="7" t="str">
        <x:v>Sélection affiche le mode multi et le bon nom ; objectif, renforts, extraction et reprise de partie fonctionnent sans fuite d’états vers la carte solo.</x:v>
      </x:c>
      <x:c r="O48" s="7" t="str"/>
      <x:c r="P48" s="7" t="str">
        <x:v>Firebase Sandstorm</x:v>
      </x:c>
      <x:c r="Q48" s="7" t="str">
        <x:v>MEA-SRC-MP</x:v>
      </x:c>
      <x:c r="R48" s="7" t="str">
        <x:v>https://masseffect.fandom.com/wiki/Mass_Effect%3A_Andromeda_Multiplayer</x:v>
      </x:c>
      <x:c r="S48" s="7" t="str">
        <x:v>Spécification à réaliser. Les champs adaptation, gameplay, visual, animation, audio et implementation décrivent le fan game ; ils ne donnent pas des caractéristiques officielles de l’œuvre.</x:v>
      </x:c>
    </x:row>
    <x:row r="49" ht="68" customHeight="1">
      <x:c r="A49" s="18" t="str">
        <x:v>MEA-ZON-MP-VERTIGO</x:v>
      </x:c>
      <x:c r="B49" s="9" t="str">
        <x:v>Firebase Vertigo</x:v>
      </x:c>
      <x:c r="C49" s="15" t="str">
        <x:v>Défini</x:v>
      </x:c>
      <x:c r="D49" s="16" t="str">
        <x:v>Établi</x:v>
      </x:c>
      <x:c r="E49" s="16" t="str">
        <x:v>P1</x:v>
      </x:c>
      <x:c r="F49" s="9" t="str">
        <x:v>Carte du module multijoueur.</x:v>
      </x:c>
      <x:c r="G49" s="9" t="str">
        <x:v>Arène à vagues distincte du solo ; définir quatre positions de départ, des voies de secours et des objectifs distribués. Relevé exact de géométrie requis avant reproduction fidèle.</x:v>
      </x:c>
      <x:c r="H49" s="9" t="str">
        <x:v>Arène à vagues distincte du solo ; définir quatre positions de départ, des voies de secours et des objectifs distribués. Relevé exact de géométrie requis avant reproduction fidèle.</x:v>
      </x:c>
      <x:c r="I49" s="9" t="str">
        <x:v>Hauteurs et ponts, zones de chute toujours marquées.</x:v>
      </x:c>
      <x:c r="J49" s="9" t="str">
        <x:v>Préparer état de repos, anticipation, activation et retour au repos ; aligner les événements visuels sur la résolution de l’action ATB.</x:v>
      </x:c>
      <x:c r="K49" s="9" t="str">
        <x:v>Créer des bruitages et ambiances originaux adaptés au livrable ; sous-titrer les indices utiles et proposer un réglage indépendant des effets. Aucune extraction audio demandée.</x:v>
      </x:c>
      <x:c r="L49" s="9" t="str">
        <x:v>Prévu : fiche de données mea/zones/mp-vertigo ; rattacher les ressources et états cités à cet identifiant. Aucun fichier de jeu créé par ce catalogue.</x:v>
      </x:c>
      <x:c r="M49" s="9" t="str">
        <x:v>Multijoueur uniquement ; Remnant Ruins associé à missions APEX, disponibilité de service non garantie par ce catalogue.</x:v>
      </x:c>
      <x:c r="N49" s="9" t="str">
        <x:v>Sélection affiche le mode multi et le bon nom ; objectif, renforts, extraction et reprise de partie fonctionnent sans fuite d’états vers la carte solo.</x:v>
      </x:c>
      <x:c r="O49" s="9" t="str"/>
      <x:c r="P49" s="9" t="str">
        <x:v>Firebase Vertigo</x:v>
      </x:c>
      <x:c r="Q49" s="9" t="str">
        <x:v>MEA-SRC-MP</x:v>
      </x:c>
      <x:c r="R49" s="9" t="str">
        <x:v>https://masseffect.fandom.com/wiki/Mass_Effect%3A_Andromeda_Multiplayer</x:v>
      </x:c>
      <x:c r="S49" s="9" t="str">
        <x:v>Spécification à réaliser. Les champs adaptation, gameplay, visual, animation, audio et implementation décrivent le fan game ; ils ne donnent pas des caractéristiques officielles de l’œuvre.</x:v>
      </x:c>
    </x:row>
    <x:row r="50" ht="68" customHeight="1">
      <x:c r="A50" s="19" t="str">
        <x:v>MEA-ZON-MP-ZERO</x:v>
      </x:c>
      <x:c r="B50" s="7" t="str">
        <x:v>Firebase Zero</x:v>
      </x:c>
      <x:c r="C50" s="15" t="str">
        <x:v>Défini</x:v>
      </x:c>
      <x:c r="D50" s="17" t="str">
        <x:v>Établi</x:v>
      </x:c>
      <x:c r="E50" s="17" t="str">
        <x:v>P1</x:v>
      </x:c>
      <x:c r="F50" s="7" t="str">
        <x:v>Carte du module multijoueur.</x:v>
      </x:c>
      <x:c r="G50" s="7" t="str">
        <x:v>Arène à vagues distincte du solo ; définir quatre positions de départ, des voies de secours et des objectifs distribués. Relevé exact de géométrie requis avant reproduction fidèle.</x:v>
      </x:c>
      <x:c r="H50" s="7" t="str">
        <x:v>Arène à vagues distincte du solo ; définir quatre positions de départ, des voies de secours et des objectifs distribués. Relevé exact de géométrie requis avant reproduction fidèle.</x:v>
      </x:c>
      <x:c r="I50" s="7" t="str">
        <x:v>Avant-poste minier dans un astéroïde.</x:v>
      </x:c>
      <x:c r="J50" s="7" t="str">
        <x:v>Préparer état de repos, anticipation, activation et retour au repos ; aligner les événements visuels sur la résolution de l’action ATB.</x:v>
      </x:c>
      <x:c r="K50" s="7" t="str">
        <x:v>Créer des bruitages et ambiances originaux adaptés au livrable ; sous-titrer les indices utiles et proposer un réglage indépendant des effets. Aucune extraction audio demandée.</x:v>
      </x:c>
      <x:c r="L50" s="7" t="str">
        <x:v>Prévu : fiche de données mea/zones/mp-zero ; rattacher les ressources et états cités à cet identifiant. Aucun fichier de jeu créé par ce catalogue.</x:v>
      </x:c>
      <x:c r="M50" s="7" t="str">
        <x:v>Multijoueur uniquement ; Remnant Ruins associé à missions APEX, disponibilité de service non garantie par ce catalogue.</x:v>
      </x:c>
      <x:c r="N50" s="7" t="str">
        <x:v>Sélection affiche le mode multi et le bon nom ; objectif, renforts, extraction et reprise de partie fonctionnent sans fuite d’états vers la carte solo.</x:v>
      </x:c>
      <x:c r="O50" s="7" t="str"/>
      <x:c r="P50" s="7" t="str">
        <x:v>Firebase Zero</x:v>
      </x:c>
      <x:c r="Q50" s="7" t="str">
        <x:v>MEA-SRC-MP-ZERO</x:v>
      </x:c>
      <x:c r="R50" s="7" t="str">
        <x:v>https://masseffect.fandom.com/wiki/Firebase_Zero</x:v>
      </x:c>
      <x:c r="S50" s="7" t="str">
        <x:v>Spécification à réaliser. Les champs adaptation, gameplay, visual, animation, audio et implementation décrivent le fan game ; ils ne donnent pas des caractéristiques officielles de l’œuvre.</x:v>
      </x:c>
    </x:row>
    <x:row r="51" ht="68" customHeight="1">
      <x:c r="A51" s="18" t="str">
        <x:v>MEA-ZON-MP-REMNANT</x:v>
      </x:c>
      <x:c r="B51" s="9" t="str">
        <x:v>Remnant Ruins</x:v>
      </x:c>
      <x:c r="C51" s="15" t="str">
        <x:v>Défini</x:v>
      </x:c>
      <x:c r="D51" s="16" t="str">
        <x:v>Établi</x:v>
      </x:c>
      <x:c r="E51" s="16" t="str">
        <x:v>P1</x:v>
      </x:c>
      <x:c r="F51" s="9" t="str">
        <x:v>Carte du module multijoueur.</x:v>
      </x:c>
      <x:c r="G51" s="9" t="str">
        <x:v>Arène à vagues distincte du solo ; définir quatre positions de départ, des voies de secours et des objectifs distribués. Relevé exact de géométrie requis avant reproduction fidèle.</x:v>
      </x:c>
      <x:c r="H51" s="9" t="str">
        <x:v>Arène à vagues distincte du solo ; définir quatre positions de départ, des voies de secours et des objectifs distribués. Relevé exact de géométrie requis avant reproduction fidèle.</x:v>
      </x:c>
      <x:c r="I51" s="9" t="str">
        <x:v>Ruines reliquates et objectifs de mission APEX.</x:v>
      </x:c>
      <x:c r="J51" s="9" t="str">
        <x:v>Préparer état de repos, anticipation, activation et retour au repos ; aligner les événements visuels sur la résolution de l’action ATB.</x:v>
      </x:c>
      <x:c r="K51" s="9" t="str">
        <x:v>Créer des bruitages et ambiances originaux adaptés au livrable ; sous-titrer les indices utiles et proposer un réglage indépendant des effets. Aucune extraction audio demandée.</x:v>
      </x:c>
      <x:c r="L51" s="9" t="str">
        <x:v>Prévu : fiche de données mea/zones/mp-remnant ; rattacher les ressources et états cités à cet identifiant. Aucun fichier de jeu créé par ce catalogue.</x:v>
      </x:c>
      <x:c r="M51" s="9" t="str">
        <x:v>Multijoueur uniquement ; Remnant Ruins associé à missions APEX, disponibilité de service non garantie par ce catalogue.</x:v>
      </x:c>
      <x:c r="N51" s="9" t="str">
        <x:v>Sélection affiche le mode multi et le bon nom ; objectif, renforts, extraction et reprise de partie fonctionnent sans fuite d’états vers la carte solo.</x:v>
      </x:c>
      <x:c r="O51" s="9" t="str"/>
      <x:c r="P51" s="9" t="str">
        <x:v>Remnant Ruins</x:v>
      </x:c>
      <x:c r="Q51" s="9" t="str">
        <x:v>MEA-SRC-MP</x:v>
      </x:c>
      <x:c r="R51" s="9" t="str">
        <x:v>https://masseffect.fandom.com/wiki/Mass_Effect%3A_Andromeda_Multiplayer</x:v>
      </x:c>
      <x:c r="S51" s="9" t="str">
        <x:v>Spécification à réaliser. Les champs adaptation, gameplay, visual, animation, audio et implementation décrivent le fan game ; ils ne donnent pas des caractéristiques officielles de l’œuvre.</x:v>
      </x:c>
    </x:row>
  </x:sheetData>
  <x:conditionalFormatting sqref="D7:D51">
    <x:cfRule type="cellIs" dxfId="16" priority="1" operator="equal">
      <x:formula>"À vérifier"</x:formula>
    </x:cfRule>
    <x:cfRule type="cellIs" dxfId="17" priority="2" operator="equal">
      <x:formula>"Extrapolation"</x:formula>
    </x:cfRule>
  </x:conditionalFormatting>
  <x:conditionalFormatting sqref="C7:C51">
    <x:cfRule type="cellIs" dxfId="18" priority="3" operator="equal">
      <x:formula>"Validé"</x:formula>
    </x:cfRule>
  </x:conditionalFormatting>
  <x:conditionalFormatting sqref="E7:E51">
    <x:cfRule type="cellIs" dxfId="19" priority="4" operator="equal">
      <x:formula>"P0"</x:formula>
    </x:cfRule>
  </x:conditionalFormatting>
  <x:dataValidations count="3">
    <x:dataValidation type="list" sqref="C7:C51">
      <x:formula1>"Défini,Prototype,Intégré,Validé"</x:formula1>
    </x:dataValidation>
    <x:dataValidation type="list" sqref="D7:D51">
      <x:formula1>"Établi,À vérifier,Extrapolation,Coupé attesté,Concept abandonné,Allégation écartée"</x:formula1>
    </x:dataValidation>
    <x:dataValidation type="list" sqref="E7:E51">
      <x:formula1>"P0,P1,P2"</x:formula1>
    </x:dataValidation>
  </x:dataValidations>
  <x:pageMargins left="0.7" right="0.7" top="0.75" bottom="0.75" header="0.3" footer="0.3"/>
  <x:tableParts count="1">
    <x:tablePart xmlns:r="http://schemas.openxmlformats.org/officeDocument/2006/relationships" r:id="R3ad70f7a53ae4e27"/>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Andromeda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MEA-LNK-GALAXY</x:v>
      </x:c>
      <x:c r="B7" s="9" t="str">
        <x:v>Tempest ↔ carte de Heleus</x:v>
      </x:c>
      <x:c r="C7" s="15" t="str">
        <x:v>Défini</x:v>
      </x:c>
      <x:c r="D7" s="16" t="str">
        <x:v>Extrapolation</x:v>
      </x:c>
      <x:c r="E7" s="16" t="str">
        <x:v>P1</x:v>
      </x:c>
      <x:c r="F7" s="9" t="str">
        <x:v>Livrable original proposé : Tempest ↔ carte de Heleus.</x:v>
      </x:c>
      <x:c r="G7" s="9" t="str">
        <x:v>Voyage par système puis destination ; distinguer découverte orbitale, approche et atterrissage, conserver scans déjà faits.</x:v>
      </x:c>
      <x:c r="H7" s="9" t="str">
        <x:v>Voyage par système puis destination ; distinguer découverte orbitale, approche et atterrissage, conserver scans déjà faits.</x:v>
      </x:c>
      <x:c r="I7" s="9" t="str">
        <x:v>Carte et transition spatiale courte.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mea/links/galaxy ; rattacher les ressources et états cités à cet identifiant. Aucun fichier de jeu créé par ce catalogue.</x:v>
      </x:c>
      <x:c r="M7" s="9" t="str"/>
      <x:c r="N7" s="9" t="str">
        <x:v>Le livrable « Tempest ↔ carte de Heleus » possède une scène ou un scénario de contrôle ; ses règles proposées, ses conditions et ses retours visuels sont vérifiables séparément.</x:v>
      </x:c>
      <x:c r="O7" s="9" t="str">
        <x:v>MEA-ZON-TEMPEST-BRIDGE</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MEA-LNK-NEXUS</x:v>
      </x:c>
      <x:c r="B8" s="7" t="str">
        <x:v>Tempest ↔ Nexus / Hyperion</x:v>
      </x:c>
      <x:c r="C8" s="15" t="str">
        <x:v>Défini</x:v>
      </x:c>
      <x:c r="D8" s="17" t="str">
        <x:v>Extrapolation</x:v>
      </x:c>
      <x:c r="E8" s="17" t="str">
        <x:v>P1</x:v>
      </x:c>
      <x:c r="F8" s="7" t="str">
        <x:v>Livrable original proposé : Tempest ↔ Nexus / Hyperion.</x:v>
      </x:c>
      <x:c r="G8" s="7" t="str">
        <x:v>Sélecteur de quai et transit de station ; SAM Node reste attaché à Hyperion jusqu’au changement du final.</x:v>
      </x:c>
      <x:c r="H8" s="7" t="str">
        <x:v>Sélecteur de quai et transit de station ; SAM Node reste attaché à Hyperion jusqu’au changement du final.</x:v>
      </x:c>
      <x:c r="I8" s="7" t="str">
        <x:v>Plan de station et icône d’arche.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mea/links/nexus ; rattacher les ressources et états cités à cet identifiant. Aucun fichier de jeu créé par ce catalogue.</x:v>
      </x:c>
      <x:c r="M8" s="7" t="str"/>
      <x:c r="N8" s="7" t="str">
        <x:v>Le livrable « Tempest ↔ Nexus / Hyperion » possède une scène ou un scénario de contrôle ; ses règles proposées, ses conditions et ses retours visuels sont vérifiables séparément.</x:v>
      </x:c>
      <x:c r="O8" s="7" t="str">
        <x:v>MEA-WRL-NEXUS, MEA-WRL-HYPERION</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MEA-LNK-HABITAT</x:v>
      </x:c>
      <x:c r="B9" s="9" t="str">
        <x:v>Atterrissage → sites de Habitat 7</x:v>
      </x:c>
      <x:c r="C9" s="15" t="str">
        <x:v>Défini</x:v>
      </x:c>
      <x:c r="D9" s="16" t="str">
        <x:v>Extrapolation</x:v>
      </x:c>
      <x:c r="E9" s="16" t="str">
        <x:v>P1</x:v>
      </x:c>
      <x:c r="F9" s="9" t="str">
        <x:v>Livrable original proposé : Atterrissage → sites de Habitat 7.</x:v>
      </x:c>
      <x:c r="G9" s="9" t="str">
        <x:v>Branches facultatives vers rescapés puis convergence vers Alec ; sortie finale annoncée avant abandon des recherches.</x:v>
      </x:c>
      <x:c r="H9" s="9" t="str">
        <x:v>Branches facultatives vers rescapés puis convergence vers Alec ; sortie finale annoncée avant abandon des recherches.</x:v>
      </x:c>
      <x:c r="I9" s="9" t="str">
        <x:v>Carte locale et traces d’équipe.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mea/links/habitat ; rattacher les ressources et états cités à cet identifiant. Aucun fichier de jeu créé par ce catalogue.</x:v>
      </x:c>
      <x:c r="M9" s="9" t="str"/>
      <x:c r="N9" s="9" t="str">
        <x:v>Le livrable « Atterrissage → sites de Habitat 7 » possède une scène ou un scénario de contrôle ; ses règles proposées, ses conditions et ses retours visuels sont vérifiables séparément.</x:v>
      </x:c>
      <x:c r="O9" s="9" t="str">
        <x:v>MEA-MQ-PLANETSIDE</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MEA-LNK-FORWARD</x:v>
      </x:c>
      <x:c r="B10" s="7" t="str">
        <x:v>Stations avancées ↔ voyage rapide</x:v>
      </x:c>
      <x:c r="C10" s="15" t="str">
        <x:v>Défini</x:v>
      </x:c>
      <x:c r="D10" s="17" t="str">
        <x:v>Extrapolation</x:v>
      </x:c>
      <x:c r="E10" s="17" t="str">
        <x:v>P1</x:v>
      </x:c>
      <x:c r="F10" s="7" t="str">
        <x:v>Livrable original proposé : Stations avancées ↔ voyage rapide.</x:v>
      </x:c>
      <x:c r="G10" s="7" t="str">
        <x:v>Débloquer à découverte et sécurité ; téléportation de confort hors combat seulement, état météo recalculé à arrivée.</x:v>
      </x:c>
      <x:c r="H10" s="7" t="str">
        <x:v>Débloquer à découverte et sécurité ; téléportation de confort hors combat seulement, état météo recalculé à arrivée.</x:v>
      </x:c>
      <x:c r="I10" s="7" t="str">
        <x:v>Balise et carte de région.</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mea/links/forward ; rattacher les ressources et états cités à cet identifiant. Aucun fichier de jeu créé par ce catalogue.</x:v>
      </x:c>
      <x:c r="M10" s="7" t="str"/>
      <x:c r="N10" s="7" t="str">
        <x:v>Le livrable « Stations avancées ↔ voyage rapide » possède une scène ou un scénario de contrôle ; ses règles proposées, ses conditions et ses retours visuels sont vérifiables séparément.</x:v>
      </x:c>
      <x:c r="O10" s="7" t="str">
        <x:v>MEA-PRP-FORWARD</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MEA-LNK-NOMAD</x:v>
      </x:c>
      <x:c r="B11" s="9" t="str">
        <x:v>Ryder ↔ Nomad</x:v>
      </x:c>
      <x:c r="C11" s="15" t="str">
        <x:v>Défini</x:v>
      </x:c>
      <x:c r="D11" s="16" t="str">
        <x:v>Extrapolation</x:v>
      </x:c>
      <x:c r="E11" s="16" t="str">
        <x:v>P1</x:v>
      </x:c>
      <x:c r="F11" s="9" t="str">
        <x:v>Livrable original proposé : Ryder ↔ Nomad.</x:v>
      </x:c>
      <x:c r="G11" s="9" t="str">
        <x:v>Entrée conserve roster et équipement ; sortie choisit sol sûr et espace pour les trois personnages, interdite dans vide de H-047c.</x:v>
      </x:c>
      <x:c r="H11" s="9" t="str">
        <x:v>Entrée conserve roster et équipement ; sortie choisit sol sûr et espace pour les trois personnages, interdite dans vide de H-047c.</x:v>
      </x:c>
      <x:c r="I11" s="9" t="str">
        <x:v>Portière et points de placement.</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mea/links/nomad ; rattacher les ressources et états cités à cet identifiant. Aucun fichier de jeu créé par ce catalogue.</x:v>
      </x:c>
      <x:c r="M11" s="9" t="str"/>
      <x:c r="N11" s="9" t="str">
        <x:v>Le livrable « Ryder ↔ Nomad » possède une scène ou un scénario de contrôle ; ses règles proposées, ses conditions et ses retours visuels sont vérifiables séparément.</x:v>
      </x:c>
      <x:c r="O11" s="9" t="str">
        <x:v>MEA-WRL-H047C, MEA-SYS-NOMAD</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MEA-LNK-EOS</x:v>
      </x:c>
      <x:c r="B12" s="7" t="str">
        <x:v>Promise → monolithes → caveau → Prodromos</x:v>
      </x:c>
      <x:c r="C12" s="15" t="str">
        <x:v>Défini</x:v>
      </x:c>
      <x:c r="D12" s="17" t="str">
        <x:v>Extrapolation</x:v>
      </x:c>
      <x:c r="E12" s="17" t="str">
        <x:v>P1</x:v>
      </x:c>
      <x:c r="F12" s="7" t="str">
        <x:v>Livrable original proposé : Promise → monolithes → caveau → Prodromos.</x:v>
      </x:c>
      <x:c r="G12" s="7" t="str">
        <x:v>Flux de première implantation avec retours permis avant purification ; restauration et choix de colonie deux étapes distinctes.</x:v>
      </x:c>
      <x:c r="H12" s="7" t="str">
        <x:v>Flux de première implantation avec retours permis avant purification ; restauration et choix de colonie deux étapes distinctes.</x:v>
      </x:c>
      <x:c r="I12" s="7" t="str">
        <x:v>Carte à jalons et réseaux reliquats.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mea/links/eos ; rattacher les ressources et états cités à cet identifiant. Aucun fichier de jeu créé par ce catalogue.</x:v>
      </x:c>
      <x:c r="M12" s="7" t="str"/>
      <x:c r="N12" s="7" t="str">
        <x:v>Le livrable « Promise → monolithes → caveau → Prodromos » possède une scène ou un scénario de contrôle ; ses règles proposées, ses conditions et ses retours visuels sont vérifiables séparément.</x:v>
      </x:c>
      <x:c r="O12" s="7" t="str">
        <x:v>MEA-MQ-EOS</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MEA-LNK-AYA</x:v>
      </x:c>
      <x:c r="B13" s="9" t="str">
        <x:v>Quai d’Aya ↔ quartiers autorisés</x:v>
      </x:c>
      <x:c r="C13" s="15" t="str">
        <x:v>Défini</x:v>
      </x:c>
      <x:c r="D13" s="16" t="str">
        <x:v>Extrapolation</x:v>
      </x:c>
      <x:c r="E13" s="16" t="str">
        <x:v>P1</x:v>
      </x:c>
      <x:c r="F13" s="9" t="str">
        <x:v>Livrable original proposé : Quai d’Aya ↔ quartiers autorisés.</x:v>
      </x:c>
      <x:c r="G13" s="9" t="str">
        <x:v>Gates de confiance explicites aux entrées ; aucune barrière invisible sans explication de restriction locale.</x:v>
      </x:c>
      <x:c r="H13" s="9" t="str">
        <x:v>Gates de confiance explicites aux entrées ; aucune barrière invisible sans explication de restriction locale.</x:v>
      </x:c>
      <x:c r="I13" s="9" t="str">
        <x:v>Gardes, porte et nom de district.</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mea/links/aya ; rattacher les ressources et états cités à cet identifiant. Aucun fichier de jeu créé par ce catalogue.</x:v>
      </x:c>
      <x:c r="M13" s="9" t="str"/>
      <x:c r="N13" s="9" t="str">
        <x:v>Le livrable « Quai d’Aya ↔ quartiers autorisés » possède une scène ou un scénario de contrôle ; ses règles proposées, ses conditions et ses retours visuels sont vérifiables séparément.</x:v>
      </x:c>
      <x:c r="O13" s="9" t="str">
        <x:v>MEA-WRL-AYA</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MEA-LNK-VOELD</x:v>
      </x:c>
      <x:c r="B14" s="7" t="str">
        <x:v>Résistance → camp de captifs → installation</x:v>
      </x:c>
      <x:c r="C14" s="15" t="str">
        <x:v>Défini</x:v>
      </x:c>
      <x:c r="D14" s="17" t="str">
        <x:v>Extrapolation</x:v>
      </x:c>
      <x:c r="E14" s="17" t="str">
        <x:v>P1</x:v>
      </x:c>
      <x:c r="F14" s="7" t="str">
        <x:v>Livrable original proposé : Résistance → camp de captifs → installation.</x:v>
      </x:c>
      <x:c r="G14" s="7" t="str">
        <x:v>Missions de Voeld gardent points d’entrée propres selon ordre Havarl ; secours de la Moshae n’écrase pas les libérations secondaires.</x:v>
      </x:c>
      <x:c r="H14" s="7" t="str">
        <x:v>Missions de Voeld gardent points d’entrée propres selon ordre Havarl ; secours de la Moshae n’écrase pas les libérations secondaires.</x:v>
      </x:c>
      <x:c r="I14" s="7" t="str">
        <x:v>Carte de neige et routes de navette.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mea/links/voeld ; rattacher les ressources et états cités à cet identifiant. Aucun fichier de jeu créé par ce catalogue.</x:v>
      </x:c>
      <x:c r="M14" s="7" t="str"/>
      <x:c r="N14" s="7" t="str">
        <x:v>Le livrable « Résistance → camp de captifs → installation » possède une scène ou un scénario de contrôle ; ses règles proposées, ses conditions et ses retours visuels sont vérifiables séparément.</x:v>
      </x:c>
      <x:c r="O14" s="7" t="str">
        <x:v>MEA-ZON-VOELD-RESIST, MEA-ZON-EXALTATION</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MEA-LNK-MITHRAVA</x:v>
      </x:c>
      <x:c r="B15" s="9" t="str">
        <x:v>Poste Havarl ↔ Mithrava</x:v>
      </x:c>
      <x:c r="C15" s="15" t="str">
        <x:v>Défini</x:v>
      </x:c>
      <x:c r="D15" s="16" t="str">
        <x:v>Extrapolation</x:v>
      </x:c>
      <x:c r="E15" s="16" t="str">
        <x:v>P1</x:v>
      </x:c>
      <x:c r="F15" s="9" t="str">
        <x:v>Livrable original proposé : Poste Havarl ↔ Mithrava.</x:v>
      </x:c>
      <x:c r="G15" s="9" t="str">
        <x:v>Sauts et ascenseurs de ruine à orientation claire ; raccourci de retour proposé après premier parcours réussi.</x:v>
      </x:c>
      <x:c r="H15" s="9" t="str">
        <x:v>Sauts et ascenseurs de ruine à orientation claire ; raccourci de retour proposé après premier parcours réussi.</x:v>
      </x:c>
      <x:c r="I15" s="9" t="str">
        <x:v>Plateformes et numéros d’étage.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mea/links/mithrava ; rattacher les ressources et états cités à cet identifiant. Aucun fichier de jeu créé par ce catalogue.</x:v>
      </x:c>
      <x:c r="M15" s="9" t="str"/>
      <x:c r="N15" s="9" t="str">
        <x:v>Le livrable « Poste Havarl ↔ Mithrava » possède une scène ou un scénario de contrôle ; ses règles proposées, ses conditions et ses retours visuels sont vérifiables séparément.</x:v>
      </x:c>
      <x:c r="O15" s="9" t="str">
        <x:v>MEA-ZON-MITHRAVA</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MEA-LNK-KADARA</x:v>
      </x:c>
      <x:c r="B16" s="7" t="str">
        <x:v>Port → bidonville → badlands</x:v>
      </x:c>
      <x:c r="C16" s="15" t="str">
        <x:v>Défini</x:v>
      </x:c>
      <x:c r="D16" s="17" t="str">
        <x:v>Extrapolation</x:v>
      </x:c>
      <x:c r="E16" s="17" t="str">
        <x:v>P1</x:v>
      </x:c>
      <x:c r="F16" s="7" t="str">
        <x:v>Livrable original proposé : Port → bidonville → badlands.</x:v>
      </x:c>
      <x:c r="G16" s="7" t="str">
        <x:v>Transit vertical et accès Nomad à leur vrai type de zone ; pas de véhicule dans intérieur social.</x:v>
      </x:c>
      <x:c r="H16" s="7" t="str">
        <x:v>Transit vertical et accès Nomad à leur vrai type de zone ; pas de véhicule dans intérieur social.</x:v>
      </x:c>
      <x:c r="I16" s="7" t="str">
        <x:v>Ascenseur, sas et terrain ouvert.</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mea/links/kadara ; rattacher les ressources et états cités à cet identifiant. Aucun fichier de jeu créé par ce catalogue.</x:v>
      </x:c>
      <x:c r="M16" s="7" t="str"/>
      <x:c r="N16" s="7" t="str">
        <x:v>Le livrable « Port → bidonville → badlands » possède une scène ou un scénario de contrôle ; ses règles proposées, ses conditions et ses retours visuels sont vérifiables séparément.</x:v>
      </x:c>
      <x:c r="O16" s="7" t="str">
        <x:v>MEA-ZON-KADARA-PORT, MEA-ZON-KADARA-BADLANDS</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MEA-LNK-ELAADEN</x:v>
      </x:c>
      <x:c r="B17" s="9" t="str">
        <x:v>New Tuchanka ↔ épave ↔ caveau</x:v>
      </x:c>
      <x:c r="C17" s="15" t="str">
        <x:v>Défini</x:v>
      </x:c>
      <x:c r="D17" s="16" t="str">
        <x:v>Extrapolation</x:v>
      </x:c>
      <x:c r="E17" s="16" t="str">
        <x:v>P1</x:v>
      </x:c>
      <x:c r="F17" s="9" t="str">
        <x:v>Livrable original proposé : New Tuchanka ↔ épave ↔ caveau.</x:v>
      </x:c>
      <x:c r="G17" s="9" t="str">
        <x:v>Carte d’exploration reliant objectifs indépendants ; motorcore, restauration et accord de Morda ne fusionnent pas.</x:v>
      </x:c>
      <x:c r="H17" s="9" t="str">
        <x:v>Carte d’exploration reliant objectifs indépendants ; motorcore, restauration et accord de Morda ne fusionnent pas.</x:v>
      </x:c>
      <x:c r="I17" s="9" t="str">
        <x:v>Trois icônes d’objectif et routes désertiques.</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mea/links/elaaden ; rattacher les ressources et états cités à cet identifiant. Aucun fichier de jeu créé par ce catalogue.</x:v>
      </x:c>
      <x:c r="M17" s="9" t="str"/>
      <x:c r="N17" s="9" t="str">
        <x:v>Le livrable « New Tuchanka ↔ épave ↔ caveau » possède une scène ou un scénario de contrôle ; ses règles proposées, ses conditions et ses retours visuels sont vérifiables séparément.</x:v>
      </x:c>
      <x:c r="O17" s="9" t="str">
        <x:v>MEA-ZON-NEW-TUCHANKA, MEA-ZON-DERELICT, MEA-ZON-ELAADEN-VAULT</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MEA-LNK-LEUSINIA</x:v>
      </x:c>
      <x:c r="B18" s="7" t="str">
        <x:v>Tempest → arche asari</x:v>
      </x:c>
      <x:c r="C18" s="15" t="str">
        <x:v>Défini</x:v>
      </x:c>
      <x:c r="D18" s="17" t="str">
        <x:v>Extrapolation</x:v>
      </x:c>
      <x:c r="E18" s="17" t="str">
        <x:v>P1</x:v>
      </x:c>
      <x:c r="F18" s="7" t="str">
        <x:v>Livrable original proposé : Tempest → arche asari.</x:v>
      </x:c>
      <x:c r="G18" s="7" t="str">
        <x:v>Confirmer Cora et loadout avant mission ; retour applique rôle de Sarissa/Vederia et suite de relation.</x:v>
      </x:c>
      <x:c r="H18" s="7" t="str">
        <x:v>Confirmer Cora et loadout avant mission ; retour applique rôle de Sarissa/Vederia et suite de relation.</x:v>
      </x:c>
      <x:c r="I18" s="7" t="str">
        <x:v>Sas d’arche et tableau d’escouade.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mea/links/leusinia ; rattacher les ressources et états cités à cet identifiant. Aucun fichier de jeu créé par ce catalogue.</x:v>
      </x:c>
      <x:c r="M18" s="7" t="str"/>
      <x:c r="N18" s="7" t="str">
        <x:v>Le livrable « Tempest → arche asari » possède une scène ou un scénario de contrôle ; ses règles proposées, ses conditions et ses retours visuels sont vérifiables séparément.</x:v>
      </x:c>
      <x:c r="O18" s="7" t="str">
        <x:v>MEA-SQ-CORA-EDGE</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MEA-LNK-LIAM-GRAVITY</x:v>
      </x:c>
      <x:c r="B19" s="9" t="str">
        <x:v>Transitions de gravité du vaisseau de Liam</x:v>
      </x:c>
      <x:c r="C19" s="15" t="str">
        <x:v>Défini</x:v>
      </x:c>
      <x:c r="D19" s="16" t="str">
        <x:v>Extrapolation</x:v>
      </x:c>
      <x:c r="E19" s="16" t="str">
        <x:v>P1</x:v>
      </x:c>
      <x:c r="F19" s="9" t="str">
        <x:v>Livrable original proposé : Transitions de gravité du vaisseau de Liam.</x:v>
      </x:c>
      <x:c r="G19" s="9" t="str">
        <x:v>Trois états de carte avec ancres sol recalculées ; ranger sprites, caméra, projectiles et loot avant rotation de scène.</x:v>
      </x:c>
      <x:c r="H19" s="9" t="str">
        <x:v>Trois états de carte avec ancres sol recalculées ; ranger sprites, caméra, projectiles et loot avant rotation de scène.</x:v>
      </x:c>
      <x:c r="I19" s="9" t="str">
        <x:v>Grue, containers et nouvelle orientation.</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mea/links/liam-gravity ; rattacher les ressources et états cités à cet identifiant. Aucun fichier de jeu créé par ce catalogue.</x:v>
      </x:c>
      <x:c r="M19" s="9" t="str"/>
      <x:c r="N19" s="9" t="str">
        <x:v>Le livrable « Transitions de gravité du vaisseau de Liam » possède une scène ou un scénario de contrôle ; ses règles proposées, ses conditions et ses retours visuels sont vérifiables séparément.</x:v>
      </x:c>
      <x:c r="O19" s="9" t="str">
        <x:v>MEA-ZON-LIAM-SHIP</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MEA-LNK-PAS10</x:v>
      </x:c>
      <x:c r="B20" s="7" t="str">
        <x:v>Capsule → ruines de Pas-10 → navette</x:v>
      </x:c>
      <x:c r="C20" s="15" t="str">
        <x:v>Défini</x:v>
      </x:c>
      <x:c r="D20" s="17" t="str">
        <x:v>Extrapolation</x:v>
      </x:c>
      <x:c r="E20" s="17" t="str">
        <x:v>P1</x:v>
      </x:c>
      <x:c r="F20" s="7" t="str">
        <x:v>Livrable original proposé : Capsule → ruines de Pas-10 → navette.</x:v>
      </x:c>
      <x:c r="G20" s="7" t="str">
        <x:v>Départ narratif, itinéraire et évacuation ; retour rend l’accès au Tempest sans restaurer l’appareil perdu dans lave.</x:v>
      </x:c>
      <x:c r="H20" s="7" t="str">
        <x:v>Départ narratif, itinéraire et évacuation ; retour rend l’accès au Tempest sans restaurer l’appareil perdu dans lave.</x:v>
      </x:c>
      <x:c r="I20" s="7" t="str">
        <x:v>Capsule, pont et navette.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mea/links/pas10 ; rattacher les ressources et états cités à cet identifiant. Aucun fichier de jeu créé par ce catalogue.</x:v>
      </x:c>
      <x:c r="M20" s="7" t="str"/>
      <x:c r="N20" s="7" t="str">
        <x:v>Le livrable « Capsule → ruines de Pas-10 → navette » possède une scène ou un scénario de contrôle ; ses règles proposées, ses conditions et ses retours visuels sont vérifiables séparément.</x:v>
      </x:c>
      <x:c r="O20" s="7" t="str">
        <x:v>MEA-SQ-PEEBEE-SIGNAL</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MEA-LNK-ARCHON</x:v>
      </x:c>
      <x:c r="B21" s="9" t="str">
        <x:v>Arche galarienne ↔ vaisseau kett</x:v>
      </x:c>
      <x:c r="C21" s="15" t="str">
        <x:v>Défini</x:v>
      </x:c>
      <x:c r="D21" s="16" t="str">
        <x:v>Extrapolation</x:v>
      </x:c>
      <x:c r="E21" s="16" t="str">
        <x:v>P1</x:v>
      </x:c>
      <x:c r="F21" s="9" t="str">
        <x:v>Livrable original proposé : Arche galarienne ↔ vaisseau kett.</x:v>
      </x:c>
      <x:c r="G21" s="9" t="str">
        <x:v>Transitions de groupes de captifs et embranchement final ; point d’engagement sauvegardé avant secours exclusif.</x:v>
      </x:c>
      <x:c r="H21" s="9" t="str">
        <x:v>Transitions de groupes de captifs et embranchement final ; point d’engagement sauvegardé avant secours exclusif.</x:v>
      </x:c>
      <x:c r="I21" s="9" t="str">
        <x:v>Sas, cellules et deux routes.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mea/links/archon ; rattacher les ressources et états cités à cet identifiant. Aucun fichier de jeu créé par ce catalogue.</x:v>
      </x:c>
      <x:c r="M21" s="9" t="str"/>
      <x:c r="N21" s="9" t="str">
        <x:v>Le livrable « Arche galarienne ↔ vaisseau kett » possède une scène ou un scénario de contrôle ; ses règles proposées, ses conditions et ses retours visuels sont vérifiables séparément.</x:v>
      </x:c>
      <x:c r="O21" s="9" t="str">
        <x:v>MEA-MQ-ARCHON</x:v>
      </x:c>
      <x:c r="P21" s="9" t="str">
        <x:v>Adaptation originale — spécification de production</x:v>
      </x:c>
      <x:c r="Q21" s="9" t="str"/>
      <x:c r="R21" s="9" t="str"/>
      <x:c r="S21" s="9" t="str">
        <x:v>Spécification à réaliser. Les champs adaptation, gameplay, visual, animation, audio et implementation décrivent le fan game ; ils ne donnent pas des caractéristiques officielles de l’œuvre.</x:v>
      </x:c>
    </x:row>
    <x:row r="22" ht="68" customHeight="1">
      <x:c r="A22" s="19" t="str">
        <x:v>MEA-LNK-MERIDIAN</x:v>
      </x:c>
      <x:c r="B22" s="7" t="str">
        <x:v>Khi Tasira → véritable Méridiane</x:v>
      </x:c>
      <x:c r="C22" s="15" t="str">
        <x:v>Défini</x:v>
      </x:c>
      <x:c r="D22" s="17" t="str">
        <x:v>Extrapolation</x:v>
      </x:c>
      <x:c r="E22" s="17" t="str">
        <x:v>P1</x:v>
      </x:c>
      <x:c r="F22" s="7" t="str">
        <x:v>Livrable original proposé : Khi Tasira → véritable Méridiane.</x:v>
      </x:c>
      <x:c r="G22" s="7" t="str">
        <x:v>Carte et dénomination distinguent découverte du site et destination ; relais du jumeau conserve protagoniste original à retour.</x:v>
      </x:c>
      <x:c r="H22" s="7" t="str">
        <x:v>Carte et dénomination distinguent découverte du site et destination ; relais du jumeau conserve protagoniste original à retour.</x:v>
      </x:c>
      <x:c r="I22" s="7" t="str">
        <x:v>Réseau spatial et trajectoire Hyperion.</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mea/links/meridian ; rattacher les ressources et états cités à cet identifiant. Aucun fichier de jeu créé par ce catalogue.</x:v>
      </x:c>
      <x:c r="M22" s="7" t="str"/>
      <x:c r="N22" s="7" t="str">
        <x:v>Le livrable « Khi Tasira → véritable Méridiane » possède une scène ou un scénario de contrôle ; ses règles proposées, ses conditions et ses retours visuels sont vérifiables séparément.</x:v>
      </x:c>
      <x:c r="O22" s="7" t="str">
        <x:v>MEA-WRL-KHI-TASIRA, MEA-WRL-MERIDIAN</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sheetData>
  <x:conditionalFormatting sqref="D7:D22">
    <x:cfRule type="cellIs" dxfId="20" priority="1" operator="equal">
      <x:formula>"À vérifier"</x:formula>
    </x:cfRule>
    <x:cfRule type="cellIs" dxfId="21" priority="2" operator="equal">
      <x:formula>"Extrapolation"</x:formula>
    </x:cfRule>
  </x:conditionalFormatting>
  <x:conditionalFormatting sqref="C7:C22">
    <x:cfRule type="cellIs" dxfId="22" priority="3" operator="equal">
      <x:formula>"Validé"</x:formula>
    </x:cfRule>
  </x:conditionalFormatting>
  <x:conditionalFormatting sqref="E7:E22">
    <x:cfRule type="cellIs" dxfId="23"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7cfe205b37864e73"/>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Andromeda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MEA-SCN-TEMPEST</x:v>
      </x:c>
      <x:c r="B7" s="9" t="str">
        <x:v>Kit 3D — Tempest</x:v>
      </x:c>
      <x:c r="C7" s="15" t="str">
        <x:v>Défini</x:v>
      </x:c>
      <x:c r="D7" s="16" t="str">
        <x:v>Extrapolation</x:v>
      </x:c>
      <x:c r="E7" s="16" t="str">
        <x:v>P1</x:v>
      </x:c>
      <x:c r="F7" s="9" t="str">
        <x:v>Livrable original proposé : Kit 3D — Tempest.</x:v>
      </x:c>
      <x:c r="G7" s="9" t="str">
        <x:v>Modules de cabine, pont et moteur avec toit escamotable ; circulation continue entre conversations, grandes silhouettes sans blocage.</x:v>
      </x:c>
      <x:c r="H7" s="9" t="str">
        <x:v>Modules de cabine, pont et moteur avec toit escamotable ; circulation continue entre conversations, grandes silhouettes sans blocage.</x:v>
      </x:c>
      <x:c r="I7" s="9" t="str">
        <x:v>Blanc, verre et éclairage d’exploration.</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mea/scenery/tempest ; rattacher les ressources et états cités à cet identifiant. Aucun fichier de jeu créé par ce catalogue.</x:v>
      </x:c>
      <x:c r="M7" s="9" t="str"/>
      <x:c r="N7" s="9" t="str">
        <x:v>Le livrable « Kit 3D — Tempest » possède une scène ou un scénario de contrôle ; ses règles proposées, ses conditions et ses retours visuels sont vérifiables séparément.</x:v>
      </x:c>
      <x:c r="O7" s="9" t="str">
        <x:v>MEA-ZON-TEMPEST-CREW</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MEA-SCN-NEXUS</x:v>
      </x:c>
      <x:c r="B8" s="7" t="str">
        <x:v>Kit 3D — Nexus incomplet</x:v>
      </x:c>
      <x:c r="C8" s="15" t="str">
        <x:v>Défini</x:v>
      </x:c>
      <x:c r="D8" s="17" t="str">
        <x:v>Extrapolation</x:v>
      </x:c>
      <x:c r="E8" s="17" t="str">
        <x:v>P1</x:v>
      </x:c>
      <x:c r="F8" s="7" t="str">
        <x:v>Livrable original proposé : Kit 3D — Nexus incomplet.</x:v>
      </x:c>
      <x:c r="G8" s="7" t="str">
        <x:v>Sections administratives et structures en chantier ; variantes de population et réparations par progression.</x:v>
      </x:c>
      <x:c r="H8" s="7" t="str">
        <x:v>Sections administratives et structures en chantier ; variantes de population et réparations par progression.</x:v>
      </x:c>
      <x:c r="I8" s="7" t="str">
        <x:v>Métal clair, échafaudages et hologrammes.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mea/scenery/nexus ; rattacher les ressources et états cités à cet identifiant. Aucun fichier de jeu créé par ce catalogue.</x:v>
      </x:c>
      <x:c r="M8" s="7" t="str"/>
      <x:c r="N8" s="7" t="str">
        <x:v>Le livrable « Kit 3D — Nexus incomplet » possède une scène ou un scénario de contrôle ; ses règles proposées, ses conditions et ses retours visuels sont vérifiables séparément.</x:v>
      </x:c>
      <x:c r="O8" s="7" t="str">
        <x:v>MEA-WRL-NEXUS</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MEA-SCN-HYPERION</x:v>
      </x:c>
      <x:c r="B9" s="9" t="str">
        <x:v>Kit 3D — arche humaine</x:v>
      </x:c>
      <x:c r="C9" s="15" t="str">
        <x:v>Défini</x:v>
      </x:c>
      <x:c r="D9" s="16" t="str">
        <x:v>Extrapolation</x:v>
      </x:c>
      <x:c r="E9" s="16" t="str">
        <x:v>P1</x:v>
      </x:c>
      <x:c r="F9" s="9" t="str">
        <x:v>Livrable original proposé : Kit 3D — arche humaine.</x:v>
      </x:c>
      <x:c r="G9" s="9" t="str">
        <x:v>Cryostase répétable sans tous pods interactifs ; passerelle et SAM Node à identité propre.</x:v>
      </x:c>
      <x:c r="H9" s="9" t="str">
        <x:v>Cryostase répétable sans tous pods interactifs ; passerelle et SAM Node à identité propre.</x:v>
      </x:c>
      <x:c r="I9" s="9" t="str">
        <x:v>Volumes blancs, brume et lumière bleue.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mea/scenery/hyperion ; rattacher les ressources et états cités à cet identifiant. Aucun fichier de jeu créé par ce catalogue.</x:v>
      </x:c>
      <x:c r="M9" s="9" t="str"/>
      <x:c r="N9" s="9" t="str">
        <x:v>Le livrable « Kit 3D — arche humaine » possède une scène ou un scénario de contrôle ; ses règles proposées, ses conditions et ses retours visuels sont vérifiables séparément.</x:v>
      </x:c>
      <x:c r="O9" s="9" t="str">
        <x:v>MEA-WRL-HYPERION</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MEA-SCN-HABITAT</x:v>
      </x:c>
      <x:c r="B10" s="7" t="str">
        <x:v>Kit 3D — Habitat 7</x:v>
      </x:c>
      <x:c r="C10" s="15" t="str">
        <x:v>Défini</x:v>
      </x:c>
      <x:c r="D10" s="17" t="str">
        <x:v>Extrapolation</x:v>
      </x:c>
      <x:c r="E10" s="17" t="str">
        <x:v>P1</x:v>
      </x:c>
      <x:c r="F10" s="7" t="str">
        <x:v>Livrable original proposé : Kit 3D — Habitat 7.</x:v>
      </x:c>
      <x:c r="G10" s="7" t="str">
        <x:v>Rochers, sol brisé et tours avec flottements décoratifs ; masque de collision clairement séparé de débris en vol.</x:v>
      </x:c>
      <x:c r="H10" s="7" t="str">
        <x:v>Rochers, sol brisé et tours avec flottements décoratifs ; masque de collision clairement séparé de débris en vol.</x:v>
      </x:c>
      <x:c r="I10" s="7" t="str">
        <x:v>Noir, rouge de ciel et éclairs.</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mea/scenery/habitat ; rattacher les ressources et états cités à cet identifiant. Aucun fichier de jeu créé par ce catalogue.</x:v>
      </x:c>
      <x:c r="M10" s="7" t="str"/>
      <x:c r="N10" s="7" t="str">
        <x:v>Le livrable « Kit 3D — Habitat 7 » possède une scène ou un scénario de contrôle ; ses règles proposées, ses conditions et ses retours visuels sont vérifiables séparément.</x:v>
      </x:c>
      <x:c r="O10" s="7" t="str">
        <x:v>MEA-WRL-HABITAT7</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MEA-SCN-EOS</x:v>
      </x:c>
      <x:c r="B11" s="9" t="str">
        <x:v>Kit 3D — Eos</x:v>
      </x:c>
      <x:c r="C11" s="15" t="str">
        <x:v>Défini</x:v>
      </x:c>
      <x:c r="D11" s="16" t="str">
        <x:v>Extrapolation</x:v>
      </x:c>
      <x:c r="E11" s="16" t="str">
        <x:v>P1</x:v>
      </x:c>
      <x:c r="F11" s="9" t="str">
        <x:v>Livrable original proposé : Kit 3D — Eos.</x:v>
      </x:c>
      <x:c r="G11" s="9" t="str">
        <x:v>Mesas, préfabriqués et dunes ; routes Nomad larges, couvert ATB local défini dans arènes de pied.</x:v>
      </x:c>
      <x:c r="H11" s="9" t="str">
        <x:v>Mesas, préfabriqués et dunes ; routes Nomad larges, couvert ATB local défini dans arènes de pied.</x:v>
      </x:c>
      <x:c r="I11" s="9" t="str">
        <x:v>Sable orange et blanc Initiative.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mea/scenery/eos ; rattacher les ressources et états cités à cet identifiant. Aucun fichier de jeu créé par ce catalogue.</x:v>
      </x:c>
      <x:c r="M11" s="9" t="str"/>
      <x:c r="N11" s="9" t="str">
        <x:v>Le livrable « Kit 3D — Eos » possède une scène ou un scénario de contrôle ; ses règles proposées, ses conditions et ses retours visuels sont vérifiables séparément.</x:v>
      </x:c>
      <x:c r="O11" s="9" t="str">
        <x:v>MEA-WRL-EOS</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MEA-SCN-AYA</x:v>
      </x:c>
      <x:c r="B12" s="7" t="str">
        <x:v>Kit 3D — Aya</x:v>
      </x:c>
      <x:c r="C12" s="15" t="str">
        <x:v>Défini</x:v>
      </x:c>
      <x:c r="D12" s="17" t="str">
        <x:v>Extrapolation</x:v>
      </x:c>
      <x:c r="E12" s="17" t="str">
        <x:v>P1</x:v>
      </x:c>
      <x:c r="F12" s="7" t="str">
        <x:v>Livrable original proposé : Kit 3D — Aya.</x:v>
      </x:c>
      <x:c r="G12" s="7" t="str">
        <x:v>Terrasses, canaux et marché sous cascade ; volumes de foule et stands permettent lecture de portraits.</x:v>
      </x:c>
      <x:c r="H12" s="7" t="str">
        <x:v>Terrasses, canaux et marché sous cascade ; volumes de foule et stands permettent lecture de portraits.</x:v>
      </x:c>
      <x:c r="I12" s="7" t="str">
        <x:v>Végétation, textile et architecture angara.</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mea/scenery/aya ; rattacher les ressources et états cités à cet identifiant. Aucun fichier de jeu créé par ce catalogue.</x:v>
      </x:c>
      <x:c r="M12" s="7" t="str"/>
      <x:c r="N12" s="7" t="str">
        <x:v>Le livrable « Kit 3D — Aya » possède une scène ou un scénario de contrôle ; ses règles proposées, ses conditions et ses retours visuels sont vérifiables séparément.</x:v>
      </x:c>
      <x:c r="O12" s="7" t="str">
        <x:v>MEA-WRL-AYA</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MEA-SCN-VOELD</x:v>
      </x:c>
      <x:c r="B13" s="9" t="str">
        <x:v>Kit 3D — Voeld</x:v>
      </x:c>
      <x:c r="C13" s="15" t="str">
        <x:v>Défini</x:v>
      </x:c>
      <x:c r="D13" s="16" t="str">
        <x:v>Extrapolation</x:v>
      </x:c>
      <x:c r="E13" s="16" t="str">
        <x:v>P1</x:v>
      </x:c>
      <x:c r="F13" s="9" t="str">
        <x:v>Livrable original proposé : Kit 3D — Voeld.</x:v>
      </x:c>
      <x:c r="G13" s="9" t="str">
        <x:v>Neige, grottes et bases ; surfaces bleues glissantes décoratives ne deviennent pas mécaniques sans règle annoncée.</x:v>
      </x:c>
      <x:c r="H13" s="9" t="str">
        <x:v>Neige, grottes et bases ; surfaces bleues glissantes décoratives ne deviennent pas mécaniques sans règle annoncée.</x:v>
      </x:c>
      <x:c r="I13" s="9" t="str">
        <x:v>Glace cyan, abris chauds et ciel froid.</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mea/scenery/voeld ; rattacher les ressources et états cités à cet identifiant. Aucun fichier de jeu créé par ce catalogue.</x:v>
      </x:c>
      <x:c r="M13" s="9" t="str"/>
      <x:c r="N13" s="9" t="str">
        <x:v>Le livrable « Kit 3D — Voeld » possède une scène ou un scénario de contrôle ; ses règles proposées, ses conditions et ses retours visuels sont vérifiables séparément.</x:v>
      </x:c>
      <x:c r="O13" s="9" t="str">
        <x:v>MEA-WRL-VOELD</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MEA-SCN-HAVARL</x:v>
      </x:c>
      <x:c r="B14" s="7" t="str">
        <x:v>Kit 3D — Havarl</x:v>
      </x:c>
      <x:c r="C14" s="15" t="str">
        <x:v>Défini</x:v>
      </x:c>
      <x:c r="D14" s="17" t="str">
        <x:v>Extrapolation</x:v>
      </x:c>
      <x:c r="E14" s="17" t="str">
        <x:v>P1</x:v>
      </x:c>
      <x:c r="F14" s="7" t="str">
        <x:v>Livrable original proposé : Kit 3D — Havarl.</x:v>
      </x:c>
      <x:c r="G14" s="7" t="str">
        <x:v>Forêt dense à étages, lianes et reliquats ; transparence de feuillage proche caméra sans disparition des indices.</x:v>
      </x:c>
      <x:c r="H14" s="7" t="str">
        <x:v>Forêt dense à étages, lianes et reliquats ; transparence de feuillage proche caméra sans disparition des indices.</x:v>
      </x:c>
      <x:c r="I14" s="7" t="str">
        <x:v>Vert, magenta et lumière de ruine.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mea/scenery/havarl ; rattacher les ressources et états cités à cet identifiant. Aucun fichier de jeu créé par ce catalogue.</x:v>
      </x:c>
      <x:c r="M14" s="7" t="str"/>
      <x:c r="N14" s="7" t="str">
        <x:v>Le livrable « Kit 3D — Havarl » possède une scène ou un scénario de contrôle ; ses règles proposées, ses conditions et ses retours visuels sont vérifiables séparément.</x:v>
      </x:c>
      <x:c r="O14" s="7" t="str">
        <x:v>MEA-WRL-HAVARL</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MEA-SCN-KADARA</x:v>
      </x:c>
      <x:c r="B15" s="9" t="str">
        <x:v>Kit 3D — Kadara</x:v>
      </x:c>
      <x:c r="C15" s="15" t="str">
        <x:v>Défini</x:v>
      </x:c>
      <x:c r="D15" s="16" t="str">
        <x:v>Extrapolation</x:v>
      </x:c>
      <x:c r="E15" s="16" t="str">
        <x:v>P1</x:v>
      </x:c>
      <x:c r="F15" s="9" t="str">
        <x:v>Livrable original proposé : Kit 3D — Kadara.</x:v>
      </x:c>
      <x:c r="G15" s="9" t="str">
        <x:v>Roches multicolores, port et bassins ; eau dangereuse bordée par forme/texture, pas couleur seule.</x:v>
      </x:c>
      <x:c r="H15" s="9" t="str">
        <x:v>Roches multicolores, port et bassins ; eau dangereuse bordée par forme/texture, pas couleur seule.</x:v>
      </x:c>
      <x:c r="I15" s="9" t="str">
        <x:v>Orange, violet et reflets acides.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mea/scenery/kadara ; rattacher les ressources et états cités à cet identifiant. Aucun fichier de jeu créé par ce catalogue.</x:v>
      </x:c>
      <x:c r="M15" s="9" t="str"/>
      <x:c r="N15" s="9" t="str">
        <x:v>Le livrable « Kit 3D — Kadara » possède une scène ou un scénario de contrôle ; ses règles proposées, ses conditions et ses retours visuels sont vérifiables séparément.</x:v>
      </x:c>
      <x:c r="O15" s="9" t="str">
        <x:v>MEA-WRL-KADARA</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MEA-SCN-ELAADEN</x:v>
      </x:c>
      <x:c r="B16" s="7" t="str">
        <x:v>Kit 3D — Elaaden</x:v>
      </x:c>
      <x:c r="C16" s="15" t="str">
        <x:v>Défini</x:v>
      </x:c>
      <x:c r="D16" s="17" t="str">
        <x:v>Extrapolation</x:v>
      </x:c>
      <x:c r="E16" s="17" t="str">
        <x:v>P1</x:v>
      </x:c>
      <x:c r="F16" s="7" t="str">
        <x:v>Livrable original proposé : Kit 3D — Elaaden.</x:v>
      </x:c>
      <x:c r="G16" s="7" t="str">
        <x:v>Dunes claires, gigantesque épave et colonie ; ombres jouables cohérentes avec protection contre chaleur proposée.</x:v>
      </x:c>
      <x:c r="H16" s="7" t="str">
        <x:v>Dunes claires, gigantesque épave et colonie ; ombres jouables cohérentes avec protection contre chaleur proposée.</x:v>
      </x:c>
      <x:c r="I16" s="7" t="str">
        <x:v>Sable pâle et métal de récupération.</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mea/scenery/elaaden ; rattacher les ressources et états cités à cet identifiant. Aucun fichier de jeu créé par ce catalogue.</x:v>
      </x:c>
      <x:c r="M16" s="7" t="str"/>
      <x:c r="N16" s="7" t="str">
        <x:v>Le livrable « Kit 3D — Elaaden » possède une scène ou un scénario de contrôle ; ses règles proposées, ses conditions et ses retours visuels sont vérifiables séparément.</x:v>
      </x:c>
      <x:c r="O16" s="7" t="str">
        <x:v>MEA-WRL-ELAADEN</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MEA-SCN-H047C</x:v>
      </x:c>
      <x:c r="B17" s="9" t="str">
        <x:v>Kit 3D — H-047c</x:v>
      </x:c>
      <x:c r="C17" s="15" t="str">
        <x:v>Défini</x:v>
      </x:c>
      <x:c r="D17" s="16" t="str">
        <x:v>Extrapolation</x:v>
      </x:c>
      <x:c r="E17" s="16" t="str">
        <x:v>P1</x:v>
      </x:c>
      <x:c r="F17" s="9" t="str">
        <x:v>Livrable original proposé : Kit 3D — H-047c.</x:v>
      </x:c>
      <x:c r="G17" s="9" t="str">
        <x:v>Fragments, dômes et mine ; horizon spatial et rochers de fond ne créent pas de fausse plateforme praticable.</x:v>
      </x:c>
      <x:c r="H17" s="9" t="str">
        <x:v>Fragments, dômes et mine ; horizon spatial et rochers de fond ne créent pas de fausse plateforme praticable.</x:v>
      </x:c>
      <x:c r="I17" s="9" t="str">
        <x:v>Vide noir et minéraux lumineux.</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mea/scenery/h047c ; rattacher les ressources et états cités à cet identifiant. Aucun fichier de jeu créé par ce catalogue.</x:v>
      </x:c>
      <x:c r="M17" s="9" t="str"/>
      <x:c r="N17" s="9" t="str">
        <x:v>Le livrable « Kit 3D — H-047c » possède une scène ou un scénario de contrôle ; ses règles proposées, ses conditions et ses retours visuels sont vérifiables séparément.</x:v>
      </x:c>
      <x:c r="O17" s="9" t="str">
        <x:v>MEA-WRL-H047C</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MEA-SCN-KETT</x:v>
      </x:c>
      <x:c r="B18" s="7" t="str">
        <x:v>Kit 3D — architecture kett</x:v>
      </x:c>
      <x:c r="C18" s="15" t="str">
        <x:v>Défini</x:v>
      </x:c>
      <x:c r="D18" s="17" t="str">
        <x:v>Extrapolation</x:v>
      </x:c>
      <x:c r="E18" s="17" t="str">
        <x:v>P1</x:v>
      </x:c>
      <x:c r="F18" s="7" t="str">
        <x:v>Livrable original proposé : Kit 3D — architecture kett.</x:v>
      </x:c>
      <x:c r="G18" s="7" t="str">
        <x:v>Parois organiques modulaires, prisons et laboratoire ; système de portes clairement distinct des consoles reliquates.</x:v>
      </x:c>
      <x:c r="H18" s="7" t="str">
        <x:v>Parois organiques modulaires, prisons et laboratoire ; système de portes clairement distinct des consoles reliquates.</x:v>
      </x:c>
      <x:c r="I18" s="7" t="str">
        <x:v>Os, vert sourd et lumière clinique.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mea/scenery/kett ; rattacher les ressources et états cités à cet identifiant. Aucun fichier de jeu créé par ce catalogue.</x:v>
      </x:c>
      <x:c r="M18" s="7" t="str"/>
      <x:c r="N18" s="7" t="str">
        <x:v>Le livrable « Kit 3D — architecture kett » possède une scène ou un scénario de contrôle ; ses règles proposées, ses conditions et ses retours visuels sont vérifiables séparément.</x:v>
      </x:c>
      <x:c r="O18" s="7" t="str">
        <x:v>MEA-ZON-KETT-FLAGSHIP</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MEA-SCN-REMNANT</x:v>
      </x:c>
      <x:c r="B19" s="9" t="str">
        <x:v>Kit 3D — caveaux reliquats</x:v>
      </x:c>
      <x:c r="C19" s="15" t="str">
        <x:v>Défini</x:v>
      </x:c>
      <x:c r="D19" s="16" t="str">
        <x:v>Extrapolation</x:v>
      </x:c>
      <x:c r="E19" s="16" t="str">
        <x:v>P1</x:v>
      </x:c>
      <x:c r="F19" s="9" t="str">
        <x:v>Livrable original proposé : Kit 3D — caveaux reliquats.</x:v>
      </x:c>
      <x:c r="G19" s="9" t="str">
        <x:v>Piliers noirs, dalles mobiles, portes et lignes d’énergie ; chaque pièce fonctionne à plusieurs orientations de caméra.</x:v>
      </x:c>
      <x:c r="H19" s="9" t="str">
        <x:v>Piliers noirs, dalles mobiles, portes et lignes d’énergie ; chaque pièce fonctionne à plusieurs orientations de caméra.</x:v>
      </x:c>
      <x:c r="I19" s="9" t="str">
        <x:v>Noir poli et turquoise géométrique.</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mea/scenery/remnant ; rattacher les ressources et états cités à cet identifiant. Aucun fichier de jeu créé par ce catalogue.</x:v>
      </x:c>
      <x:c r="M19" s="9" t="str"/>
      <x:c r="N19" s="9" t="str">
        <x:v>Le livrable « Kit 3D — caveaux reliquats » possède une scène ou un scénario de contrôle ; ses règles proposées, ses conditions et ses retours visuels sont vérifiables séparément.</x:v>
      </x:c>
      <x:c r="O19" s="9" t="str">
        <x:v>MEA-LOR-VAULTS</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MEA-SCN-MERIDIAN</x:v>
      </x:c>
      <x:c r="B20" s="7" t="str">
        <x:v>Kit 3D — Méridiane</x:v>
      </x:c>
      <x:c r="C20" s="15" t="str">
        <x:v>Défini</x:v>
      </x:c>
      <x:c r="D20" s="17" t="str">
        <x:v>Extrapolation</x:v>
      </x:c>
      <x:c r="E20" s="17" t="str">
        <x:v>P1</x:v>
      </x:c>
      <x:c r="F20" s="7" t="str">
        <x:v>Livrable original proposé : Kit 3D — Méridiane.</x:v>
      </x:c>
      <x:c r="G20" s="7" t="str">
        <x:v>Intérieur habitable et réseau monumental ; final technique puis épilogue verdoyant en cartes distinctes.</x:v>
      </x:c>
      <x:c r="H20" s="7" t="str">
        <x:v>Intérieur habitable et réseau monumental ; final technique puis épilogue verdoyant en cartes distinctes.</x:v>
      </x:c>
      <x:c r="I20" s="7" t="str">
        <x:v>Lumière intérieure, eau et architecture géante.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mea/scenery/meridian ; rattacher les ressources et états cités à cet identifiant. Aucun fichier de jeu créé par ce catalogue.</x:v>
      </x:c>
      <x:c r="M20" s="7" t="str"/>
      <x:c r="N20" s="7" t="str">
        <x:v>Le livrable « Kit 3D — Méridiane » possède une scène ou un scénario de contrôle ; ses règles proposées, ses conditions et ses retours visuels sont vérifiables séparément.</x:v>
      </x:c>
      <x:c r="O20" s="7" t="str">
        <x:v>MEA-WRL-MERIDIAN</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sheetData>
  <x:conditionalFormatting sqref="D7:D20">
    <x:cfRule type="cellIs" dxfId="24" priority="1" operator="equal">
      <x:formula>"À vérifier"</x:formula>
    </x:cfRule>
    <x:cfRule type="cellIs" dxfId="25" priority="2" operator="equal">
      <x:formula>"Extrapolation"</x:formula>
    </x:cfRule>
  </x:conditionalFormatting>
  <x:conditionalFormatting sqref="C7:C20">
    <x:cfRule type="cellIs" dxfId="26" priority="3" operator="equal">
      <x:formula>"Validé"</x:formula>
    </x:cfRule>
  </x:conditionalFormatting>
  <x:conditionalFormatting sqref="E7:E20">
    <x:cfRule type="cellIs" dxfId="27" priority="4" operator="equal">
      <x:formula>"P0"</x:formula>
    </x:cfRule>
  </x:conditionalFormatting>
  <x:dataValidations count="3">
    <x:dataValidation type="list" sqref="C7:C20">
      <x:formula1>"Défini,Prototype,Intégré,Validé"</x:formula1>
    </x:dataValidation>
    <x:dataValidation type="list" sqref="D7:D20">
      <x:formula1>"Établi,À vérifier,Extrapolation,Coupé attesté,Concept abandonné,Allégation écartée"</x:formula1>
    </x:dataValidation>
    <x:dataValidation type="list" sqref="E7:E20">
      <x:formula1>"P0,P1,P2"</x:formula1>
    </x:dataValidation>
  </x:dataValidations>
  <x:pageMargins left="0.7" right="0.7" top="0.75" bottom="0.75" header="0.3" footer="0.3"/>
  <x:tableParts count="1">
    <x:tablePart xmlns:r="http://schemas.openxmlformats.org/officeDocument/2006/relationships" r:id="R63112ff0335f4bc9"/>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Andromeda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MEA-PRP-SCANNER</x:v>
      </x:c>
      <x:c r="B7" s="9" t="str">
        <x:v>Scanner du Pionnier</x:v>
      </x:c>
      <x:c r="C7" s="15" t="str">
        <x:v>Défini</x:v>
      </x:c>
      <x:c r="D7" s="16" t="str">
        <x:v>Extrapolation</x:v>
      </x:c>
      <x:c r="E7" s="16" t="str">
        <x:v>P1</x:v>
      </x:c>
      <x:c r="F7" s="9" t="str">
        <x:v>Livrable original proposé : Scanner du Pionnier.</x:v>
      </x:c>
      <x:c r="G7" s="9" t="str">
        <x:v>Mode d’observation avec silhouette de cible, catégorie de données et statut déjà scanné ; grandes zones interactives accessibles.</x:v>
      </x:c>
      <x:c r="H7" s="9" t="str">
        <x:v>Mode d’observation avec silhouette de cible, catégorie de données et statut déjà scanné ; grandes zones interactives accessibles.</x:v>
      </x:c>
      <x:c r="I7" s="9" t="str">
        <x:v>Cadre orange et nom lisible.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mea/props/scanner ; rattacher les ressources et états cités à cet identifiant. Aucun fichier de jeu créé par ce catalogue.</x:v>
      </x:c>
      <x:c r="M7" s="9" t="str"/>
      <x:c r="N7" s="9" t="str">
        <x:v>Le livrable « Scanner du Pionnier » possède une scène ou un scénario de contrôle ; ses règles proposées, ses conditions et ses retours visuels sont vérifiables séparément.</x:v>
      </x:c>
      <x:c r="O7" s="9" t="str">
        <x:v>MEA-SYS-SCAN</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MEA-PRP-FORWARD</x:v>
      </x:c>
      <x:c r="B8" s="7" t="str">
        <x:v>Station avancée</x:v>
      </x:c>
      <x:c r="C8" s="15" t="str">
        <x:v>Défini</x:v>
      </x:c>
      <x:c r="D8" s="17" t="str">
        <x:v>Extrapolation</x:v>
      </x:c>
      <x:c r="E8" s="17" t="str">
        <x:v>P1</x:v>
      </x:c>
      <x:c r="F8" s="7" t="str">
        <x:v>Livrable original proposé : Station avancée.</x:v>
      </x:c>
      <x:c r="G8" s="7" t="str">
        <x:v>Déploiement, repos et loadout en interactions séparées ; ne pas consommer ressource en consultant la carte.</x:v>
      </x:c>
      <x:c r="H8" s="7" t="str">
        <x:v>Déploiement, repos et loadout en interactions séparées ; ne pas consommer ressource en consultant la carte.</x:v>
      </x:c>
      <x:c r="I8" s="7" t="str">
        <x:v>Balise Initiative et modules déployés.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mea/props/forward ; rattacher les ressources et états cités à cet identifiant. Aucun fichier de jeu créé par ce catalogue.</x:v>
      </x:c>
      <x:c r="M8" s="7" t="str"/>
      <x:c r="N8" s="7" t="str">
        <x:v>Le livrable « Station avancée » possède une scène ou un scénario de contrôle ; ses règles proposées, ses conditions et ses retours visuels sont vérifiables séparément.</x:v>
      </x:c>
      <x:c r="O8" s="7" t="str">
        <x:v>MEA-SYS-FORWARD</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MEA-PRP-MONOLITH</x:v>
      </x:c>
      <x:c r="B9" s="9" t="str">
        <x:v>Monolithe reliquat</x:v>
      </x:c>
      <x:c r="C9" s="15" t="str">
        <x:v>Défini</x:v>
      </x:c>
      <x:c r="D9" s="16" t="str">
        <x:v>Extrapolation</x:v>
      </x:c>
      <x:c r="E9" s="16" t="str">
        <x:v>P1</x:v>
      </x:c>
      <x:c r="F9" s="9" t="str">
        <x:v>Livrable original proposé : Monolithe reliquat.</x:v>
      </x:c>
      <x:c r="G9" s="9" t="str">
        <x:v>États inactif, glyphes acquis, puzzle résolu et réseau ouvert ; aucun simple clic ne saute une étape sans option explicite.</x:v>
      </x:c>
      <x:c r="H9" s="9" t="str">
        <x:v>États inactif, glyphes acquis, puzzle résolu et réseau ouvert ; aucun simple clic ne saute une étape sans option explicite.</x:v>
      </x:c>
      <x:c r="I9" s="9" t="str">
        <x:v>Piliers et lignes d’énergie.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mea/props/monolith ; rattacher les ressources et états cités à cet identifiant. Aucun fichier de jeu créé par ce catalogue.</x:v>
      </x:c>
      <x:c r="M9" s="9" t="str"/>
      <x:c r="N9" s="9" t="str">
        <x:v>Le livrable « Monolithe reliquat » possède une scène ou un scénario de contrôle ; ses règles proposées, ses conditions et ses retours visuels sont vérifiables séparément.</x:v>
      </x:c>
      <x:c r="O9" s="9" t="str">
        <x:v>MEA-SYS-PUZZLES</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MEA-PRP-GLYPH</x:v>
      </x:c>
      <x:c r="B10" s="7" t="str">
        <x:v>Glyphe à scanner</x:v>
      </x:c>
      <x:c r="C10" s="15" t="str">
        <x:v>Défini</x:v>
      </x:c>
      <x:c r="D10" s="17" t="str">
        <x:v>Extrapolation</x:v>
      </x:c>
      <x:c r="E10" s="17" t="str">
        <x:v>P1</x:v>
      </x:c>
      <x:c r="F10" s="7" t="str">
        <x:v>Livrable original proposé : Glyphe à scanner.</x:v>
      </x:c>
      <x:c r="G10" s="7" t="str">
        <x:v>Surface assez large pour pointage et alternative de liste ; identifiant unique de découverte et symbole indépendant de couleur.</x:v>
      </x:c>
      <x:c r="H10" s="7" t="str">
        <x:v>Surface assez large pour pointage et alternative de liste ; identifiant unique de découverte et symbole indépendant de couleur.</x:v>
      </x:c>
      <x:c r="I10" s="7" t="str">
        <x:v>Symbole géométrique sur pierre.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mea/props/glyph ; rattacher les ressources et états cités à cet identifiant. Aucun fichier de jeu créé par ce catalogue.</x:v>
      </x:c>
      <x:c r="M10" s="7" t="str"/>
      <x:c r="N10" s="7" t="str">
        <x:v>Le livrable « Glyphe à scanner » possède une scène ou un scénario de contrôle ; ses règles proposées, ses conditions et ses retours visuels sont vérifiables séparément.</x:v>
      </x:c>
      <x:c r="O10" s="7" t="str">
        <x:v>MEA-SYS-PUZZLES</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MEA-PRP-VAULT-CONSOLE</x:v>
      </x:c>
      <x:c r="B11" s="9" t="str">
        <x:v>Console de caveau</x:v>
      </x:c>
      <x:c r="C11" s="15" t="str">
        <x:v>Défini</x:v>
      </x:c>
      <x:c r="D11" s="16" t="str">
        <x:v>Extrapolation</x:v>
      </x:c>
      <x:c r="E11" s="16" t="str">
        <x:v>P1</x:v>
      </x:c>
      <x:c r="F11" s="9" t="str">
        <x:v>Livrable original proposé : Console de caveau.</x:v>
      </x:c>
      <x:c r="G11" s="9" t="str">
        <x:v>Interface avec effet visible sur porte, champ ou machine ; afficher conséquence d’interaction avant déclenchement de purification.</x:v>
      </x:c>
      <x:c r="H11" s="9" t="str">
        <x:v>Interface avec effet visible sur porte, champ ou machine ; afficher conséquence d’interaction avant déclenchement de purification.</x:v>
      </x:c>
      <x:c r="I11" s="9" t="str">
        <x:v>Pupitre noir et hologramme turquoise.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mea/props/vault-console ; rattacher les ressources et états cités à cet identifiant. Aucun fichier de jeu créé par ce catalogue.</x:v>
      </x:c>
      <x:c r="M11" s="9" t="str"/>
      <x:c r="N11" s="9" t="str">
        <x:v>Le livrable « Console de caveau » possède une scène ou un scénario de contrôle ; ses règles proposées, ses conditions et ses retours visuels sont vérifiables séparément.</x:v>
      </x:c>
      <x:c r="O11" s="9" t="str">
        <x:v>MEA-SYS-VAULTS</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MEA-PRP-PURIFICATION</x:v>
      </x:c>
      <x:c r="B12" s="7" t="str">
        <x:v>Champ de purification</x:v>
      </x:c>
      <x:c r="C12" s="15" t="str">
        <x:v>Défini</x:v>
      </x:c>
      <x:c r="D12" s="17" t="str">
        <x:v>Extrapolation</x:v>
      </x:c>
      <x:c r="E12" s="17" t="str">
        <x:v>P1</x:v>
      </x:c>
      <x:c r="F12" s="7" t="str">
        <x:v>Livrable original proposé : Champ de purification.</x:v>
      </x:c>
      <x:c r="G12" s="7" t="str">
        <x:v>Danger de déplacement avec front lisible et compte à rebours facultatif proposé ; route de sortie pas dissimulée derrière sprite géant.</x:v>
      </x:c>
      <x:c r="H12" s="7" t="str">
        <x:v>Danger de déplacement avec front lisible et compte à rebours facultatif proposé ; route de sortie pas dissimulée derrière sprite géant.</x:v>
      </x:c>
      <x:c r="I12" s="7" t="str">
        <x:v>Mur d’énergie et sol de fuite.</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mea/props/purification ; rattacher les ressources et états cités à cet identifiant. Aucun fichier de jeu créé par ce catalogue.</x:v>
      </x:c>
      <x:c r="M12" s="7" t="str"/>
      <x:c r="N12" s="7" t="str">
        <x:v>Le livrable « Champ de purification » possède une scène ou un scénario de contrôle ; ses règles proposées, ses conditions et ses retours visuels sont vérifiables séparément.</x:v>
      </x:c>
      <x:c r="O12" s="7" t="str">
        <x:v>MEA-SYS-VAULTS</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MEA-PRP-LIFE-SUPPORT</x:v>
      </x:c>
      <x:c r="B13" s="9" t="str">
        <x:v>Indicateur de survie</x:v>
      </x:c>
      <x:c r="C13" s="15" t="str">
        <x:v>Défini</x:v>
      </x:c>
      <x:c r="D13" s="16" t="str">
        <x:v>Extrapolation</x:v>
      </x:c>
      <x:c r="E13" s="16" t="str">
        <x:v>P1</x:v>
      </x:c>
      <x:c r="F13" s="9" t="str">
        <x:v>Livrable original proposé : Indicateur de survie.</x:v>
      </x:c>
      <x:c r="G13" s="9" t="str">
        <x:v>Radiation, froid, chaleur et vide ont noms et symboles propres ; avertissement gradué sans répétition vocale constante.</x:v>
      </x:c>
      <x:c r="H13" s="9" t="str">
        <x:v>Radiation, froid, chaleur et vide ont noms et symboles propres ; avertissement gradué sans répétition vocale constante.</x:v>
      </x:c>
      <x:c r="I13" s="9" t="str">
        <x:v>Jauge de combinaison et icône de danger.</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mea/props/life-support ; rattacher les ressources et états cités à cet identifiant. Aucun fichier de jeu créé par ce catalogue.</x:v>
      </x:c>
      <x:c r="M13" s="9" t="str"/>
      <x:c r="N13" s="9" t="str">
        <x:v>Le livrable « Indicateur de survie » possède une scène ou un scénario de contrôle ; ses règles proposées, ses conditions et ses retours visuels sont vérifiables séparément.</x:v>
      </x:c>
      <x:c r="O13" s="9" t="str">
        <x:v>MEA-SYS-HAZARDS</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MEA-PRP-MINING</x:v>
      </x:c>
      <x:c r="B14" s="7" t="str">
        <x:v>Gisement et drone minier</x:v>
      </x:c>
      <x:c r="C14" s="15" t="str">
        <x:v>Défini</x:v>
      </x:c>
      <x:c r="D14" s="17" t="str">
        <x:v>Extrapolation</x:v>
      </x:c>
      <x:c r="E14" s="17" t="str">
        <x:v>P1</x:v>
      </x:c>
      <x:c r="F14" s="7" t="str">
        <x:v>Livrable original proposé : Gisement et drone minier.</x:v>
      </x:c>
      <x:c r="G14" s="7" t="str">
        <x:v>Scanner de zone et extraction avec aperçu ; inventaire confirme quantité du fan game, aucun forage d’un gisement déjà vide.</x:v>
      </x:c>
      <x:c r="H14" s="7" t="str">
        <x:v>Scanner de zone et extraction avec aperçu ; inventaire confirme quantité du fan game, aucun forage d’un gisement déjà vide.</x:v>
      </x:c>
      <x:c r="I14" s="7" t="str">
        <x:v>Sonde, minerai et carte d’intensité.</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mea/props/mining ; rattacher les ressources et états cités à cet identifiant. Aucun fichier de jeu créé par ce catalogue.</x:v>
      </x:c>
      <x:c r="M14" s="7" t="str"/>
      <x:c r="N14" s="7" t="str">
        <x:v>Le livrable « Gisement et drone minier » possède une scène ou un scénario de contrôle ; ses règles proposées, ses conditions et ses retours visuels sont vérifiables séparément.</x:v>
      </x:c>
      <x:c r="O14" s="7" t="str">
        <x:v>MEA-SYS-RESEARCH</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MEA-PRP-MEMORY</x:v>
      </x:c>
      <x:c r="B15" s="9" t="str">
        <x:v>Déclencheur de mémoire d’Alec</x:v>
      </x:c>
      <x:c r="C15" s="15" t="str">
        <x:v>Défini</x:v>
      </x:c>
      <x:c r="D15" s="16" t="str">
        <x:v>Extrapolation</x:v>
      </x:c>
      <x:c r="E15" s="16" t="str">
        <x:v>P1</x:v>
      </x:c>
      <x:c r="F15" s="9" t="str">
        <x:v>Livrable original proposé : Déclencheur de mémoire d’Alec.</x:v>
      </x:c>
      <x:c r="G15" s="9" t="str">
        <x:v>Objet de collecte à silhouette distincte des données reliquates ; débloque seuil d’archive sans jouer mémoire sur place par accident.</x:v>
      </x:c>
      <x:c r="H15" s="9" t="str">
        <x:v>Objet de collecte à silhouette distincte des données reliquates ; débloque seuil d’archive sans jouer mémoire sur place par accident.</x:v>
      </x:c>
      <x:c r="I15" s="9" t="str">
        <x:v>Halo de mémoire et progression SAM.</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mea/props/memory ; rattacher les ressources et états cités à cet identifiant. Aucun fichier de jeu créé par ce catalogue.</x:v>
      </x:c>
      <x:c r="M15" s="9" t="str"/>
      <x:c r="N15" s="9" t="str">
        <x:v>Le livrable « Déclencheur de mémoire d’Alec » possède une scène ou un scénario de contrôle ; ses règles proposées, ses conditions et ses retours visuels sont vérifiables séparément.</x:v>
      </x:c>
      <x:c r="O15" s="9" t="str">
        <x:v>MEA-SQ-FAMILY</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MEA-PRP-CRYO-POD</x:v>
      </x:c>
      <x:c r="B16" s="7" t="str">
        <x:v>Pod de cryostase</x:v>
      </x:c>
      <x:c r="C16" s="15" t="str">
        <x:v>Défini</x:v>
      </x:c>
      <x:c r="D16" s="17" t="str">
        <x:v>Extrapolation</x:v>
      </x:c>
      <x:c r="E16" s="17" t="str">
        <x:v>P1</x:v>
      </x:c>
      <x:c r="F16" s="7" t="str">
        <x:v>Livrable original proposé : Pod de cryostase.</x:v>
      </x:c>
      <x:c r="G16" s="7" t="str">
        <x:v>Personne, statut et autorisation de réveil séparés ; enregistrements Ellen restent cachés avant révélation familiale.</x:v>
      </x:c>
      <x:c r="H16" s="7" t="str">
        <x:v>Personne, statut et autorisation de réveil séparés ; enregistrements Ellen restent cachés avant révélation familiale.</x:v>
      </x:c>
      <x:c r="I16" s="7" t="str">
        <x:v>Capsule vitrée et étiquette.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mea/props/cryo-pod ; rattacher les ressources et états cités à cet identifiant. Aucun fichier de jeu créé par ce catalogue.</x:v>
      </x:c>
      <x:c r="M16" s="7" t="str"/>
      <x:c r="N16" s="7" t="str">
        <x:v>Le livrable « Pod de cryostase » possède une scène ou un scénario de contrôle ; ses règles proposées, ses conditions et ses retours visuels sont vérifiables séparément.</x:v>
      </x:c>
      <x:c r="O16" s="7" t="str">
        <x:v>MEA-CHO-ELLEN</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MEA-PRP-SEED-VAULT</x:v>
      </x:c>
      <x:c r="B17" s="9" t="str">
        <x:v>Banque de graines krogan</x:v>
      </x:c>
      <x:c r="C17" s="15" t="str">
        <x:v>Défini</x:v>
      </x:c>
      <x:c r="D17" s="16" t="str">
        <x:v>Extrapolation</x:v>
      </x:c>
      <x:c r="E17" s="16" t="str">
        <x:v>P1</x:v>
      </x:c>
      <x:c r="F17" s="9" t="str">
        <x:v>Livrable original proposé : Banque de graines krogan.</x:v>
      </x:c>
      <x:c r="G17" s="9" t="str">
        <x:v>Objet central du transport ; visualiser conservation et chargement, pas un sac de loot pouvant être vendu.</x:v>
      </x:c>
      <x:c r="H17" s="9" t="str">
        <x:v>Objet central du transport ; visualiser conservation et chargement, pas un sac de loot pouvant être vendu.</x:v>
      </x:c>
      <x:c r="I17" s="9" t="str">
        <x:v>Serre, capsules de semences et éclairage doux.</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mea/props/seed-vault ; rattacher les ressources et états cités à cet identifiant. Aucun fichier de jeu créé par ce catalogue.</x:v>
      </x:c>
      <x:c r="M17" s="9" t="str"/>
      <x:c r="N17" s="9" t="str">
        <x:v>Le livrable « Banque de graines krogan » possède une scène ou un scénario de contrôle ; ses règles proposées, ses conditions et ses retours visuels sont vérifiables séparément.</x:v>
      </x:c>
      <x:c r="O17" s="9" t="str">
        <x:v>MEA-SQ-DRACK-FUTURE</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MEA-PRP-DRIVE-CORE</x:v>
      </x:c>
      <x:c r="B18" s="7" t="str">
        <x:v>Cœur de propulsion reliquat</x:v>
      </x:c>
      <x:c r="C18" s="15" t="str">
        <x:v>Défini</x:v>
      </x:c>
      <x:c r="D18" s="17" t="str">
        <x:v>Extrapolation</x:v>
      </x:c>
      <x:c r="E18" s="17" t="str">
        <x:v>P1</x:v>
      </x:c>
      <x:c r="F18" s="7" t="str">
        <x:v>Livrable original proposé : Cœur de propulsion reliquat.</x:v>
      </x:c>
      <x:c r="G18" s="7" t="str">
        <x:v>Inventaire de quête unique, transfert de possession explicite vers Morda ou Initiative ; objet retiré une seule fois.</x:v>
      </x:c>
      <x:c r="H18" s="7" t="str">
        <x:v>Inventaire de quête unique, transfert de possession explicite vers Morda ou Initiative ; objet retiré une seule fois.</x:v>
      </x:c>
      <x:c r="I18" s="7" t="str">
        <x:v>Noyau lumineux en support.</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mea/props/drive-core ; rattacher les ressources et états cités à cet identifiant. Aucun fichier de jeu créé par ce catalogue.</x:v>
      </x:c>
      <x:c r="M18" s="7" t="str"/>
      <x:c r="N18" s="7" t="str">
        <x:v>Le livrable « Cœur de propulsion reliquat » possède une scène ou un scénario de contrôle ; ses règles proposées, ses conditions et ses retours visuels sont vérifiables séparément.</x:v>
      </x:c>
      <x:c r="O18" s="7" t="str">
        <x:v>MEA-CHO-CORE</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MEA-PRP-SID-CAMERA</x:v>
      </x:c>
      <x:c r="B19" s="9" t="str">
        <x:v>Caméra de sécurité de Sid</x:v>
      </x:c>
      <x:c r="C19" s="15" t="str">
        <x:v>Défini</x:v>
      </x:c>
      <x:c r="D19" s="16" t="str">
        <x:v>Extrapolation</x:v>
      </x:c>
      <x:c r="E19" s="16" t="str">
        <x:v>P1</x:v>
      </x:c>
      <x:c r="F19" s="9" t="str">
        <x:v>Livrable original proposé : Caméra de sécurité de Sid.</x:v>
      </x:c>
      <x:c r="G19" s="9" t="str">
        <x:v>Prévisualiser salle, danger et sabotage possible ; choix verrouille dispositif exact avant entrée du groupe.</x:v>
      </x:c>
      <x:c r="H19" s="9" t="str">
        <x:v>Prévisualiser salle, danger et sabotage possible ; choix verrouille dispositif exact avant entrée du groupe.</x:v>
      </x:c>
      <x:c r="I19" s="9" t="str">
        <x:v>Écran quadrillé et cibles nommées.</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mea/props/sid-camera ; rattacher les ressources et états cités à cet identifiant. Aucun fichier de jeu créé par ce catalogue.</x:v>
      </x:c>
      <x:c r="M19" s="9" t="str"/>
      <x:c r="N19" s="9" t="str">
        <x:v>Le livrable « Caméra de sécurité de Sid » possède une scène ou un scénario de contrôle ; ses règles proposées, ses conditions et ses retours visuels sont vérifiables séparément.</x:v>
      </x:c>
      <x:c r="O19" s="9" t="str">
        <x:v>MEA-CHO-SID</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MEA-PRP-EXALT-POD</x:v>
      </x:c>
      <x:c r="B20" s="7" t="str">
        <x:v>Capsule d’exaltation</x:v>
      </x:c>
      <x:c r="C20" s="15" t="str">
        <x:v>Défini</x:v>
      </x:c>
      <x:c r="D20" s="17" t="str">
        <x:v>Extrapolation</x:v>
      </x:c>
      <x:c r="E20" s="17" t="str">
        <x:v>P1</x:v>
      </x:c>
      <x:c r="F20" s="7" t="str">
        <x:v>Livrable original proposé : Capsule d’exaltation.</x:v>
      </x:c>
      <x:c r="G20" s="7" t="str">
        <x:v>États prisonnier/libéré/vide séparés ; scan fournit découverte sans effacer l’action de secours.</x:v>
      </x:c>
      <x:c r="H20" s="7" t="str">
        <x:v>États prisonnier/libéré/vide séparés ; scan fournit découverte sans effacer l’action de secours.</x:v>
      </x:c>
      <x:c r="I20" s="7" t="str">
        <x:v>Cuve kett et silhouette angara.</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mea/props/exalt-pod ; rattacher les ressources et états cités à cet identifiant. Aucun fichier de jeu créé par ce catalogue.</x:v>
      </x:c>
      <x:c r="M20" s="7" t="str"/>
      <x:c r="N20" s="7" t="str">
        <x:v>Le livrable « Capsule d’exaltation » possède une scène ou un scénario de contrôle ; ses règles proposées, ses conditions et ses retours visuels sont vérifiables séparément.</x:v>
      </x:c>
      <x:c r="O20" s="7" t="str">
        <x:v>MEA-CHO-MOSHAE</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MEA-PRP-ASCENDANT-ORB</x:v>
      </x:c>
      <x:c r="B21" s="9" t="str">
        <x:v>Orbe d’Ascendant</x:v>
      </x:c>
      <x:c r="C21" s="15" t="str">
        <x:v>Défini</x:v>
      </x:c>
      <x:c r="D21" s="16" t="str">
        <x:v>Extrapolation</x:v>
      </x:c>
      <x:c r="E21" s="16" t="str">
        <x:v>P1</x:v>
      </x:c>
      <x:c r="F21" s="9" t="str">
        <x:v>Livrable original proposé : Orbe d’Ascendant.</x:v>
      </x:c>
      <x:c r="G21" s="9" t="str">
        <x:v>Cible orbitale distincte avec chemin prévisible ; protection du porteur réagit au vrai état de l’orbe.</x:v>
      </x:c>
      <x:c r="H21" s="9" t="str">
        <x:v>Cible orbitale distincte avec chemin prévisible ; protection du porteur réagit au vrai état de l’orbe.</x:v>
      </x:c>
      <x:c r="I21" s="9" t="str">
        <x:v>Sphère lumineuse et lien de champ.</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mea/props/ascendant-orb ; rattacher les ressources et états cités à cet identifiant. Aucun fichier de jeu créé par ce catalogue.</x:v>
      </x:c>
      <x:c r="M21" s="9" t="str"/>
      <x:c r="N21" s="9" t="str">
        <x:v>Le livrable « Orbe d’Ascendant » possède une scène ou un scénario de contrôle ; ses règles proposées, ses conditions et ses retours visuels sont vérifiables séparément.</x:v>
      </x:c>
      <x:c r="O21" s="9" t="str">
        <x:v>MEA-ENM-ASCENDANT</x:v>
      </x:c>
      <x:c r="P21" s="9" t="str">
        <x:v>Adaptation originale — spécification de production</x:v>
      </x:c>
      <x:c r="Q21" s="9" t="str"/>
      <x:c r="R21" s="9" t="str"/>
      <x:c r="S21" s="9" t="str">
        <x:v>Spécification à réaliser. Les champs adaptation, gameplay, visual, animation, audio et implementation décrivent le fan game ; ils ne donnent pas des caractéristiques officielles de l’œuvre.</x:v>
      </x:c>
    </x:row>
    <x:row r="22" ht="68" customHeight="1">
      <x:c r="A22" s="19" t="str">
        <x:v>MEA-PRP-ARCHITECT-NODES</x:v>
      </x:c>
      <x:c r="B22" s="7" t="str">
        <x:v>Membres et tête d’Architecte</x:v>
      </x:c>
      <x:c r="C22" s="15" t="str">
        <x:v>Défini</x:v>
      </x:c>
      <x:c r="D22" s="17" t="str">
        <x:v>Extrapolation</x:v>
      </x:c>
      <x:c r="E22" s="17" t="str">
        <x:v>P1</x:v>
      </x:c>
      <x:c r="F22" s="7" t="str">
        <x:v>Livrable original proposé : Membres et tête d’Architecte.</x:v>
      </x:c>
      <x:c r="G22" s="7" t="str">
        <x:v>Sous-cibles à barres séparées, repères projetés au sol ; ouverture de tête annoncée et durée suffisante pour décision ATB.</x:v>
      </x:c>
      <x:c r="H22" s="7" t="str">
        <x:v>Sous-cibles à barres séparées, repères projetés au sol ; ouverture de tête annoncée et durée suffisante pour décision ATB.</x:v>
      </x:c>
      <x:c r="I22" s="7" t="str">
        <x:v>Noyaux rouge/turquoise et attaches massives.</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mea/props/architect-nodes ; rattacher les ressources et états cités à cet identifiant. Aucun fichier de jeu créé par ce catalogue.</x:v>
      </x:c>
      <x:c r="M22" s="7" t="str"/>
      <x:c r="N22" s="7" t="str">
        <x:v>Le livrable « Membres et tête d’Architecte » possède une scène ou un scénario de contrôle ; ses règles proposées, ses conditions et ses retours visuels sont vérifiables séparément.</x:v>
      </x:c>
      <x:c r="O22" s="7" t="str">
        <x:v>MEA-ENM-ARCHITECT</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row r="23" ht="68" customHeight="1">
      <x:c r="A23" s="18" t="str">
        <x:v>MEA-PRP-MOVIE-KIT</x:v>
      </x:c>
      <x:c r="B23" s="9" t="str">
        <x:v>Écran et installation de soirée film</x:v>
      </x:c>
      <x:c r="C23" s="15" t="str">
        <x:v>Défini</x:v>
      </x:c>
      <x:c r="D23" s="16" t="str">
        <x:v>Extrapolation</x:v>
      </x:c>
      <x:c r="E23" s="16" t="str">
        <x:v>P1</x:v>
      </x:c>
      <x:c r="F23" s="9" t="str">
        <x:v>Livrable original proposé : Écran et installation de soirée film.</x:v>
      </x:c>
      <x:c r="G23" s="9" t="str">
        <x:v>Chaque objet de la chaîne trouve une place et confirme préparation ; version complète rassemble les sièges sans chevauchement.</x:v>
      </x:c>
      <x:c r="H23" s="9" t="str">
        <x:v>Chaque objet de la chaîne trouve une place et confirme préparation ; version complète rassemble les sièges sans chevauchement.</x:v>
      </x:c>
      <x:c r="I23" s="9" t="str">
        <x:v>Écran, enceintes et nourriture.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mea/props/movie-kit ; rattacher les ressources et états cités à cet identifiant. Aucun fichier de jeu créé par ce catalogue.</x:v>
      </x:c>
      <x:c r="M23" s="9" t="str"/>
      <x:c r="N23" s="9" t="str">
        <x:v>Le livrable « Écran et installation de soirée film » possède une scène ou un scénario de contrôle ; ses règles proposées, ses conditions et ses retours visuels sont vérifiables séparément.</x:v>
      </x:c>
      <x:c r="O23" s="9" t="str">
        <x:v>MEA-SQ-MOVIE</x:v>
      </x:c>
      <x:c r="P23" s="9" t="str">
        <x:v>Adaptation originale — spécification de production</x:v>
      </x:c>
      <x:c r="Q23" s="9" t="str"/>
      <x:c r="R23" s="9" t="str"/>
      <x:c r="S23" s="9" t="str">
        <x:v>Spécification à réaliser. Les champs adaptation, gameplay, visual, animation, audio et implementation décrivent le fan game ; ils ne donnent pas des caractéristiques officielles de l’œuvre.</x:v>
      </x:c>
    </x:row>
    <x:row r="24" ht="68" customHeight="1">
      <x:c r="A24" s="19" t="str">
        <x:v>MEA-PRP-QUARIAN-SIGNAL</x:v>
      </x:c>
      <x:c r="B24" s="7" t="str">
        <x:v>Terminal du signal quarien</x:v>
      </x:c>
      <x:c r="C24" s="15" t="str">
        <x:v>Défini</x:v>
      </x:c>
      <x:c r="D24" s="17" t="str">
        <x:v>Extrapolation</x:v>
      </x:c>
      <x:c r="E24" s="17" t="str">
        <x:v>P1</x:v>
      </x:c>
      <x:c r="F24" s="7" t="str">
        <x:v>Livrable original proposé : Terminal du signal quarien.</x:v>
      </x:c>
      <x:c r="G24" s="7" t="str">
        <x:v>Lecture unique mémorisée puis replay autorisé ; aucune flèche vers une mission solo inexistante.</x:v>
      </x:c>
      <x:c r="H24" s="7" t="str">
        <x:v>Lecture unique mémorisée puis replay autorisé ; aucune flèche vers une mission solo inexistante.</x:v>
      </x:c>
      <x:c r="I24" s="7" t="str">
        <x:v>Signal codé et étiquette Keelah Si’yah.</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mea/props/quarian-signal ; rattacher les ressources et états cités à cet identifiant. Aucun fichier de jeu créé par ce catalogue.</x:v>
      </x:c>
      <x:c r="M24" s="7" t="str"/>
      <x:c r="N24" s="7" t="str">
        <x:v>Le livrable « Terminal du signal quarien » possède une scène ou un scénario de contrôle ; ses règles proposées, ses conditions et ses retours visuels sont vérifiables séparément.</x:v>
      </x:c>
      <x:c r="O24" s="7" t="str">
        <x:v>MEA-NPC-RYNN</x:v>
      </x:c>
      <x:c r="P24" s="7" t="str">
        <x:v>Adaptation originale — spécification de production</x:v>
      </x:c>
      <x:c r="Q24" s="7" t="str"/>
      <x:c r="R24" s="7" t="str"/>
      <x:c r="S24" s="7" t="str">
        <x:v>Spécification à réaliser. Les champs adaptation, gameplay, visual, animation, audio et implementation décrivent le fan game ; ils ne donnent pas des caractéristiques officielles de l’œuvre.</x:v>
      </x:c>
    </x:row>
  </x:sheetData>
  <x:conditionalFormatting sqref="D7:D24">
    <x:cfRule type="cellIs" dxfId="28" priority="1" operator="equal">
      <x:formula>"À vérifier"</x:formula>
    </x:cfRule>
    <x:cfRule type="cellIs" dxfId="29" priority="2" operator="equal">
      <x:formula>"Extrapolation"</x:formula>
    </x:cfRule>
  </x:conditionalFormatting>
  <x:conditionalFormatting sqref="C7:C24">
    <x:cfRule type="cellIs" dxfId="30" priority="3" operator="equal">
      <x:formula>"Validé"</x:formula>
    </x:cfRule>
  </x:conditionalFormatting>
  <x:conditionalFormatting sqref="E7:E24">
    <x:cfRule type="cellIs" dxfId="31" priority="4" operator="equal">
      <x:formula>"P0"</x:formula>
    </x:cfRule>
  </x:conditionalFormatting>
  <x:dataValidations count="3">
    <x:dataValidation type="list" sqref="C7:C24">
      <x:formula1>"Défini,Prototype,Intégré,Validé"</x:formula1>
    </x:dataValidation>
    <x:dataValidation type="list" sqref="D7:D24">
      <x:formula1>"Établi,À vérifier,Extrapolation,Coupé attesté,Concept abandonné,Allégation écartée"</x:formula1>
    </x:dataValidation>
    <x:dataValidation type="list" sqref="E7:E24">
      <x:formula1>"P0,P1,P2"</x:formula1>
    </x:dataValidation>
  </x:dataValidations>
  <x:pageMargins left="0.7" right="0.7" top="0.75" bottom="0.75" header="0.3" footer="0.3"/>
  <x:tableParts count="1">
    <x:tablePart xmlns:r="http://schemas.openxmlformats.org/officeDocument/2006/relationships" r:id="R3240145e1ec0428b"/>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Andromeda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96" customHeight="1">
      <x:c r="A7" s="18" t="str">
        <x:v>MEA-ENM-CHOSEN</x:v>
      </x:c>
      <x:c r="B7" s="9" t="str">
        <x:v>Kett Chosen</x:v>
      </x:c>
      <x:c r="C7" s="15" t="str">
        <x:v>Défini</x:v>
      </x:c>
      <x:c r="D7" s="16" t="str">
        <x:v>Établi</x:v>
      </x:c>
      <x:c r="E7" s="16" t="str">
        <x:v>P1</x:v>
      </x:c>
      <x:c r="F7" s="9" t="str">
        <x:v>Infanterie kett.</x:v>
      </x:c>
      <x:c r="G7" s="9" t="str">
        <x:v>Avance par petits groupes et tir de ligne ; annonce de grenade proposée pour déloger un couvert sans sortie forcée hors carte.</x:v>
      </x:c>
      <x:c r="H7" s="9" t="str">
        <x:v>Avance par petits groupes et tir de ligne ; annonce de grenade proposée pour déloger un couvert sans sortie forcée hors carte.</x:v>
      </x:c>
      <x:c r="I7" s="9" t="str">
        <x:v>Armure organique claire et visage kett.</x:v>
      </x:c>
      <x:c r="J7" s="9" t="str">
        <x:v>Préparer une anticipation orientée, un événement de résolution, une récupération et une réaction interrompue propres à ce comportement : Avance par petits groupes et tir de ligne ; annonce de grenade proposée pour déloger un couvert sans sortie forcée hors carte.</x:v>
      </x:c>
      <x:c r="K7" s="9" t="str">
        <x:v>Créer un signal distinct de préparation et une indication visuelle équivalente ; signaux de créature, machine et tir allié restent différenciés.</x:v>
      </x:c>
      <x:c r="L7" s="9" t="str">
        <x:v>Prévu : fiche de données mea/enemies/chosen ; rattacher les ressources et états cités à cet identifiant. Aucun fichier de jeu créé par ce catalogue.</x:v>
      </x:c>
      <x:c r="M7" s="9" t="str">
        <x:v>Campagne / multi selon rencontre.</x:v>
      </x:c>
      <x:c r="N7" s="9" t="str">
        <x:v>Kett Chosen : tester la menace annoncée, une réponse de déplacement, un contre compatible et la sortie de combat ; cible, faction et phase ne changent jamais sans retour visible.</x:v>
      </x:c>
      <x:c r="O7" s="9" t="str"/>
      <x:c r="P7" s="9" t="str">
        <x:v>Kett Chosen</x:v>
      </x:c>
      <x:c r="Q7" s="9" t="str">
        <x:v>MEA-SRC-CHOSEN</x:v>
      </x:c>
      <x:c r="R7" s="9" t="str">
        <x:v>https://masseffect.fandom.com/wiki/Chosen</x:v>
      </x:c>
      <x:c r="S7" s="9" t="str">
        <x:v>Spécification à réaliser. Les champs adaptation, gameplay, visual, animation, audio et implementation décrivent le fan game ; ils ne donnent pas des caractéristiques officielles de l’œuvre.</x:v>
      </x:c>
    </x:row>
    <x:row r="8" ht="96" customHeight="1">
      <x:c r="A8" s="19" t="str">
        <x:v>MEA-ENM-ANOINTED</x:v>
      </x:c>
      <x:c r="B8" s="7" t="str">
        <x:v>Kett Anointed</x:v>
      </x:c>
      <x:c r="C8" s="15" t="str">
        <x:v>Défini</x:v>
      </x:c>
      <x:c r="D8" s="17" t="str">
        <x:v>Établi</x:v>
      </x:c>
      <x:c r="E8" s="17" t="str">
        <x:v>P1</x:v>
      </x:c>
      <x:c r="F8" s="7" t="str">
        <x:v>Unité kett.</x:v>
      </x:c>
      <x:c r="G8" s="7" t="str">
        <x:v>Rafale soutenue et repositionnement ; les arrêts de tir ouvrent une fenêtre de flanc distincte de la simple recharge du joueur.</x:v>
      </x:c>
      <x:c r="H8" s="7" t="str">
        <x:v>Rafale soutenue et repositionnement ; les arrêts de tir ouvrent une fenêtre de flanc distincte de la simple recharge du joueur.</x:v>
      </x:c>
      <x:c r="I8" s="7" t="str">
        <x:v>Arme lourde et plaques osseuses.</x:v>
      </x:c>
      <x:c r="J8" s="7" t="str">
        <x:v>Préparer une anticipation orientée, un événement de résolution, une récupération et une réaction interrompue propres à ce comportement : Rafale soutenue et repositionnement ; les arrêts de tir ouvrent une fenêtre de flanc distincte de la simple recharge du joueur.</x:v>
      </x:c>
      <x:c r="K8" s="7" t="str">
        <x:v>Créer un signal distinct de préparation et une indication visuelle équivalente ; signaux de créature, machine et tir allié restent différenciés.</x:v>
      </x:c>
      <x:c r="L8" s="7" t="str">
        <x:v>Prévu : fiche de données mea/enemies/anointed ; rattacher les ressources et états cités à cet identifiant. Aucun fichier de jeu créé par ce catalogue.</x:v>
      </x:c>
      <x:c r="M8" s="7" t="str">
        <x:v>Campagne / multi selon rencontre.</x:v>
      </x:c>
      <x:c r="N8" s="7" t="str">
        <x:v>Kett Anointed : tester la menace annoncée, une réponse de déplacement, un contre compatible et la sortie de combat ; cible, faction et phase ne changent jamais sans retour visible.</x:v>
      </x:c>
      <x:c r="O8" s="7" t="str"/>
      <x:c r="P8" s="7" t="str">
        <x:v>Kett Anointed</x:v>
      </x:c>
      <x:c r="Q8" s="7" t="str">
        <x:v>MEA-SRC-CHOSEN</x:v>
      </x:c>
      <x:c r="R8" s="7" t="str">
        <x:v>https://masseffect.fandom.com/wiki/Chosen</x:v>
      </x:c>
      <x:c r="S8" s="7" t="str">
        <x:v>Spécification à réaliser. Les champs adaptation, gameplay, visual, animation, audio et implementation décrivent le fan game ; ils ne donnent pas des caractéristiques officielles de l’œuvre.</x:v>
      </x:c>
    </x:row>
    <x:row r="9" ht="96" customHeight="1">
      <x:c r="A9" s="18" t="str">
        <x:v>MEA-ENM-DESTINED</x:v>
      </x:c>
      <x:c r="B9" s="9" t="str">
        <x:v>Kett Destined</x:v>
      </x:c>
      <x:c r="C9" s="15" t="str">
        <x:v>Défini</x:v>
      </x:c>
      <x:c r="D9" s="16" t="str">
        <x:v>Établi</x:v>
      </x:c>
      <x:c r="E9" s="16" t="str">
        <x:v>P1</x:v>
      </x:c>
      <x:c r="F9" s="9" t="str">
        <x:v>Unité de soutien kett.</x:v>
      </x:c>
      <x:c r="G9" s="9" t="str">
        <x:v>Soutenir un groupe puis se replier ; une zone de brouillage proposée masque visée, jamais les icônes de danger essentielles.</x:v>
      </x:c>
      <x:c r="H9" s="9" t="str">
        <x:v>Soutenir un groupe puis se replier ; une zone de brouillage proposée masque visée, jamais les icônes de danger essentielles.</x:v>
      </x:c>
      <x:c r="I9" s="9" t="str">
        <x:v>Silhouette de commandement et effets de voile.</x:v>
      </x:c>
      <x:c r="J9" s="9" t="str">
        <x:v>Préparer une anticipation orientée, un événement de résolution, une récupération et une réaction interrompue propres à ce comportement : Soutenir un groupe puis se replier ; une zone de brouillage proposée masque visée, jamais les icônes de danger essentielles.</x:v>
      </x:c>
      <x:c r="K9" s="9" t="str">
        <x:v>Créer un signal distinct de préparation et une indication visuelle équivalente ; signaux de créature, machine et tir allié restent différenciés.</x:v>
      </x:c>
      <x:c r="L9" s="9" t="str">
        <x:v>Prévu : fiche de données mea/enemies/destined ; rattacher les ressources et états cités à cet identifiant. Aucun fichier de jeu créé par ce catalogue.</x:v>
      </x:c>
      <x:c r="M9" s="9" t="str">
        <x:v>Campagne / multi selon rencontre.</x:v>
      </x:c>
      <x:c r="N9" s="9" t="str">
        <x:v>Kett Destined : tester la menace annoncée, une réponse de déplacement, un contre compatible et la sortie de combat ; cible, faction et phase ne changent jamais sans retour visible.</x:v>
      </x:c>
      <x:c r="O9" s="9" t="str"/>
      <x:c r="P9" s="9" t="str">
        <x:v>Kett Destined</x:v>
      </x:c>
      <x:c r="Q9" s="9" t="str">
        <x:v>MEA-SRC-CHOSEN</x:v>
      </x:c>
      <x:c r="R9" s="9" t="str">
        <x:v>https://masseffect.fandom.com/wiki/Chosen</x:v>
      </x:c>
      <x:c r="S9" s="9" t="str">
        <x:v>Spécification à réaliser. Les champs adaptation, gameplay, visual, animation, audio et implementation décrivent le fan game ; ils ne donnent pas des caractéristiques officielles de l’œuvre.</x:v>
      </x:c>
    </x:row>
    <x:row r="10" ht="96" customHeight="1">
      <x:c r="A10" s="19" t="str">
        <x:v>MEA-ENM-WRAITH</x:v>
      </x:c>
      <x:c r="B10" s="7" t="str">
        <x:v>Kett Wraith</x:v>
      </x:c>
      <x:c r="C10" s="15" t="str">
        <x:v>Défini</x:v>
      </x:c>
      <x:c r="D10" s="17" t="str">
        <x:v>Établi</x:v>
      </x:c>
      <x:c r="E10" s="17" t="str">
        <x:v>P1</x:v>
      </x:c>
      <x:c r="F10" s="7" t="str">
        <x:v>Créature kett camouflée.</x:v>
      </x:c>
      <x:c r="G10" s="7" t="str">
        <x:v>Approche basse puis bond ; perturbation au sol et zone d’arrivée permettent de réagir sans distinguer un sprite transparent.</x:v>
      </x:c>
      <x:c r="H10" s="7" t="str">
        <x:v>Approche basse puis bond ; perturbation au sol et zone d’arrivée permettent de réagir sans distinguer un sprite transparent.</x:v>
      </x:c>
      <x:c r="I10" s="7" t="str">
        <x:v>Quadrupède et contour de camouflage.</x:v>
      </x:c>
      <x:c r="J10" s="7" t="str">
        <x:v>Préparer une anticipation orientée, un événement de résolution, une récupération et une réaction interrompue propres à ce comportement : Approche basse puis bond ; perturbation au sol et zone d’arrivée permettent de réagir sans distinguer un sprite transparent.</x:v>
      </x:c>
      <x:c r="K10" s="7" t="str">
        <x:v>Créer un signal distinct de préparation et une indication visuelle équivalente ; signaux de créature, machine et tir allié restent différenciés.</x:v>
      </x:c>
      <x:c r="L10" s="7" t="str">
        <x:v>Prévu : fiche de données mea/enemies/wraith ; rattacher les ressources et états cités à cet identifiant. Aucun fichier de jeu créé par ce catalogue.</x:v>
      </x:c>
      <x:c r="M10" s="7" t="str">
        <x:v>Campagne / multi selon rencontre.</x:v>
      </x:c>
      <x:c r="N10" s="7" t="str">
        <x:v>Kett Wraith : tester la menace annoncée, une réponse de déplacement, un contre compatible et la sortie de combat ; cible, faction et phase ne changent jamais sans retour visible.</x:v>
      </x:c>
      <x:c r="O10" s="7" t="str"/>
      <x:c r="P10" s="7" t="str">
        <x:v>Kett Wraith</x:v>
      </x:c>
      <x:c r="Q10" s="7" t="str">
        <x:v>MEA-SRC-CHOSEN</x:v>
      </x:c>
      <x:c r="R10" s="7" t="str">
        <x:v>https://masseffect.fandom.com/wiki/Chosen</x:v>
      </x:c>
      <x:c r="S10" s="7" t="str">
        <x:v>Spécification à réaliser. Les champs adaptation, gameplay, visual, animation, audio et implementation décrivent le fan game ; ils ne donnent pas des caractéristiques officielles de l’œuvre.</x:v>
      </x:c>
    </x:row>
    <x:row r="11" ht="96" customHeight="1">
      <x:c r="A11" s="18" t="str">
        <x:v>MEA-ENM-FIEND</x:v>
      </x:c>
      <x:c r="B11" s="9" t="str">
        <x:v>Kett Fiend</x:v>
      </x:c>
      <x:c r="C11" s="15" t="str">
        <x:v>Défini</x:v>
      </x:c>
      <x:c r="D11" s="16" t="str">
        <x:v>Établi</x:v>
      </x:c>
      <x:c r="E11" s="16" t="str">
        <x:v>P1</x:v>
      </x:c>
      <x:c r="F11" s="9" t="str">
        <x:v>Grande créature kett.</x:v>
      </x:c>
      <x:c r="G11" s="9" t="str">
        <x:v>Charge, balayage et menace de prise ; réservation du trajet avant départ, phase de secours d’allié proposée avant mise hors combat.</x:v>
      </x:c>
      <x:c r="H11" s="9" t="str">
        <x:v>Charge, balayage et menace de prise ; réservation du trajet avant départ, phase de secours d’allié proposée avant mise hors combat.</x:v>
      </x:c>
      <x:c r="I11" s="9" t="str">
        <x:v>Masse quadrupède et bras puissants.</x:v>
      </x:c>
      <x:c r="J11" s="9" t="str">
        <x:v>Préparer une anticipation orientée, un événement de résolution, une récupération et une réaction interrompue propres à ce comportement : Charge, balayage et menace de prise ; réservation du trajet avant départ, phase de secours d’allié proposée avant mise hors combat.</x:v>
      </x:c>
      <x:c r="K11" s="9" t="str">
        <x:v>Créer un signal distinct de préparation et une indication visuelle équivalente ; signaux de créature, machine et tir allié restent différenciés.</x:v>
      </x:c>
      <x:c r="L11" s="9" t="str">
        <x:v>Prévu : fiche de données mea/enemies/fiend ; rattacher les ressources et états cités à cet identifiant. Aucun fichier de jeu créé par ce catalogue.</x:v>
      </x:c>
      <x:c r="M11" s="9" t="str">
        <x:v>Campagne / multi selon rencontre.</x:v>
      </x:c>
      <x:c r="N11" s="9" t="str">
        <x:v>Kett Fiend : tester la menace annoncée, une réponse de déplacement, un contre compatible et la sortie de combat ; cible, faction et phase ne changent jamais sans retour visible.</x:v>
      </x:c>
      <x:c r="O11" s="9" t="str"/>
      <x:c r="P11" s="9" t="str">
        <x:v>Kett Fiend</x:v>
      </x:c>
      <x:c r="Q11" s="9" t="str">
        <x:v>MEA-SRC-CHOSEN</x:v>
      </x:c>
      <x:c r="R11" s="9" t="str">
        <x:v>https://masseffect.fandom.com/wiki/Chosen</x:v>
      </x:c>
      <x:c r="S11" s="9" t="str">
        <x:v>Spécification à réaliser. Les champs adaptation, gameplay, visual, animation, audio et implementation décrivent le fan game ; ils ne donnent pas des caractéristiques officielles de l’œuvre.</x:v>
      </x:c>
    </x:row>
    <x:row r="12" ht="96" customHeight="1">
      <x:c r="A12" s="19" t="str">
        <x:v>MEA-ENM-ASCENDANT</x:v>
      </x:c>
      <x:c r="B12" s="7" t="str">
        <x:v>Ascendant</x:v>
      </x:c>
      <x:c r="C12" s="15" t="str">
        <x:v>Défini</x:v>
      </x:c>
      <x:c r="D12" s="17" t="str">
        <x:v>Établi</x:v>
      </x:c>
      <x:c r="E12" s="17" t="str">
        <x:v>P1</x:v>
      </x:c>
      <x:c r="F12" s="7" t="str">
        <x:v>Unité kett protégée par un orbe.</x:v>
      </x:c>
      <x:c r="G12" s="7" t="str">
        <x:v>Orbe comme cible mobile séparée, champ de protection et attaque électrique ; après rupture, vraie fenêtre d’attaque puis retour signalé.</x:v>
      </x:c>
      <x:c r="H12" s="7" t="str">
        <x:v>Orbe comme cible mobile séparée, champ de protection et attaque électrique ; après rupture, vraie fenêtre d’attaque puis retour signalé.</x:v>
      </x:c>
      <x:c r="I12" s="7" t="str">
        <x:v>Kett flottant et sphère orbitale.</x:v>
      </x:c>
      <x:c r="J12" s="7" t="str">
        <x:v>Préparer une anticipation orientée, un événement de résolution, une récupération et une réaction interrompue propres à ce comportement : Orbe comme cible mobile séparée, champ de protection et attaque électrique ; après rupture, vraie fenêtre d’attaque puis retour signalé.</x:v>
      </x:c>
      <x:c r="K12" s="7" t="str">
        <x:v>Créer un signal distinct de préparation et une indication visuelle équivalente ; signaux de créature, machine et tir allié restent différenciés.</x:v>
      </x:c>
      <x:c r="L12" s="7" t="str">
        <x:v>Prévu : fiche de données mea/enemies/ascendant ; rattacher les ressources et états cités à cet identifiant. Aucun fichier de jeu créé par ce catalogue.</x:v>
      </x:c>
      <x:c r="M12" s="7" t="str">
        <x:v>Campagne / multi selon rencontre.</x:v>
      </x:c>
      <x:c r="N12" s="7" t="str">
        <x:v>Ascendant : tester la menace annoncée, une réponse de déplacement, un contre compatible et la sortie de combat ; cible, faction et phase ne changent jamais sans retour visible.</x:v>
      </x:c>
      <x:c r="O12" s="7" t="str"/>
      <x:c r="P12" s="7" t="str">
        <x:v>Ascendant</x:v>
      </x:c>
      <x:c r="Q12" s="7" t="str">
        <x:v>MEA-SRC-ASCENDANT</x:v>
      </x:c>
      <x:c r="R12" s="7" t="str">
        <x:v>https://masseffect.fandom.com/wiki/Ascendant</x:v>
      </x:c>
      <x:c r="S12" s="7" t="str">
        <x:v>Spécification à réaliser. Les champs adaptation, gameplay, visual, animation, audio et implementation décrivent le fan game ; ils ne donnent pas des caractéristiques officielles de l’œuvre.</x:v>
      </x:c>
    </x:row>
    <x:row r="13" ht="96" customHeight="1">
      <x:c r="A13" s="18" t="str">
        <x:v>MEA-ENM-CARDINAL</x:v>
      </x:c>
      <x:c r="B13" s="9" t="str">
        <x:v>Le Cardinal</x:v>
      </x:c>
      <x:c r="C13" s="15" t="str">
        <x:v>Défini</x:v>
      </x:c>
      <x:c r="D13" s="16" t="str">
        <x:v>Établi</x:v>
      </x:c>
      <x:c r="E13" s="16" t="str">
        <x:v>P1</x:v>
      </x:c>
      <x:c r="F13" s="9" t="str">
        <x:v>Boss de l’installation d’exaltation.</x:v>
      </x:c>
      <x:c r="G13" s="9" t="str">
        <x:v>Variante Ascendant avec renforts limités et phases de protection lisibles ; résolution du boss ouvre la décision sur le site.</x:v>
      </x:c>
      <x:c r="H13" s="9" t="str">
        <x:v>Variante Ascendant avec renforts limités et phases de protection lisibles ; résolution du boss ouvre la décision sur le site.</x:v>
      </x:c>
      <x:c r="I13" s="9" t="str">
        <x:v>Armure de commandement et orbe.</x:v>
      </x:c>
      <x:c r="J13" s="9" t="str">
        <x:v>Préparer une anticipation orientée, un événement de résolution, une récupération et une réaction interrompue propres à ce comportement : Variante Ascendant avec renforts limités et phases de protection lisibles ; résolution du boss ouvre la décision sur le site.</x:v>
      </x:c>
      <x:c r="K13" s="9" t="str">
        <x:v>Créer un signal distinct de préparation et une indication visuelle équivalente ; signaux de créature, machine et tir allié restent différenciés.</x:v>
      </x:c>
      <x:c r="L13" s="9" t="str">
        <x:v>Prévu : fiche de données mea/enemies/cardinal ; rattacher les ressources et états cités à cet identifiant. Aucun fichier de jeu créé par ce catalogue.</x:v>
      </x:c>
      <x:c r="M13" s="9" t="str">
        <x:v>A Trail of Hope II.</x:v>
      </x:c>
      <x:c r="N13" s="9" t="str">
        <x:v>Le Cardinal : tester la menace annoncée, une réponse de déplacement, un contre compatible et la sortie de combat ; cible, faction et phase ne changent jamais sans retour visible.</x:v>
      </x:c>
      <x:c r="O13" s="9" t="str"/>
      <x:c r="P13" s="9" t="str">
        <x:v>Le Cardinal</x:v>
      </x:c>
      <x:c r="Q13" s="9" t="str">
        <x:v>MEA-SRC-ASCENDANT, MEA-SRC-GUIDE</x:v>
      </x:c>
      <x:c r="R13" s="9" t="str">
        <x:v>https://masseffect.fandom.com/wiki/Ascendant
https://masseffect.fandom.com/wiki/Mass_Effect%3A_Andromeda_Guide</x:v>
      </x:c>
      <x:c r="S13" s="9" t="str">
        <x:v>Spécification à réaliser. Les champs adaptation, gameplay, visual, animation, audio et implementation décrivent le fan game ; ils ne donnent pas des caractéristiques officielles de l’œuvre.</x:v>
      </x:c>
    </x:row>
    <x:row r="14" ht="96" customHeight="1">
      <x:c r="A14" s="19" t="str">
        <x:v>MEA-ENM-INVICTOR</x:v>
      </x:c>
      <x:c r="B14" s="7" t="str">
        <x:v>Invictor</x:v>
      </x:c>
      <x:c r="C14" s="15" t="str">
        <x:v>Défini</x:v>
      </x:c>
      <x:c r="D14" s="17" t="str">
        <x:v>Établi</x:v>
      </x:c>
      <x:c r="E14" s="17" t="str">
        <x:v>P1</x:v>
      </x:c>
      <x:c r="F14" s="7" t="str">
        <x:v>Boss kett d’Eos.</x:v>
      </x:c>
      <x:c r="G14" s="7" t="str">
        <x:v>Variante lourde de commandement : traiter protections, renforts puis fenêtre d’exposition ; réglage original sans nombres copiés.</x:v>
      </x:c>
      <x:c r="H14" s="7" t="str">
        <x:v>Variante lourde de commandement : traiter protections, renforts puis fenêtre d’exposition ; réglage original sans nombres copiés.</x:v>
      </x:c>
      <x:c r="I14" s="7" t="str">
        <x:v>Silhouette kett et halo de boss.</x:v>
      </x:c>
      <x:c r="J14" s="7" t="str">
        <x:v>Préparer une anticipation orientée, un événement de résolution, une récupération et une réaction interrompue propres à ce comportement : Variante lourde de commandement : traiter protections, renforts puis fenêtre d’exposition ; réglage original sans nombres copiés.</x:v>
      </x:c>
      <x:c r="K14" s="7" t="str">
        <x:v>Créer un signal distinct de préparation et une indication visuelle équivalente ; signaux de créature, machine et tir allié restent différenciés.</x:v>
      </x:c>
      <x:c r="L14" s="7" t="str">
        <x:v>Prévu : fiche de données mea/enemies/invictor ; rattacher les ressources et états cités à cet identifiant. Aucun fichier de jeu créé par ce catalogue.</x:v>
      </x:c>
      <x:c r="M14" s="7" t="str">
        <x:v>Defeating the Kett.</x:v>
      </x:c>
      <x:c r="N14" s="7" t="str">
        <x:v>Invictor : tester la menace annoncée, une réponse de déplacement, un contre compatible et la sortie de combat ; cible, faction et phase ne changent jamais sans retour visible.</x:v>
      </x:c>
      <x:c r="O14" s="7" t="str"/>
      <x:c r="P14" s="7" t="str">
        <x:v>Invictor</x:v>
      </x:c>
      <x:c r="Q14" s="7" t="str">
        <x:v>MEA-SRC-CHOSEN</x:v>
      </x:c>
      <x:c r="R14" s="7" t="str">
        <x:v>https://masseffect.fandom.com/wiki/Chosen</x:v>
      </x:c>
      <x:c r="S14" s="7" t="str">
        <x:v>Spécification à réaliser. Les champs adaptation, gameplay, visual, animation, audio et implementation décrivent le fan game ; ils ne donnent pas des caractéristiques officielles de l’œuvre.</x:v>
      </x:c>
    </x:row>
    <x:row r="15" ht="82" customHeight="1">
      <x:c r="A15" s="18" t="str">
        <x:v>MEA-ENM-ARCHON-SWORD</x:v>
      </x:c>
      <x:c r="B15" s="9" t="str">
        <x:v>Archon’s Sword</x:v>
      </x:c>
      <x:c r="C15" s="15" t="str">
        <x:v>Défini</x:v>
      </x:c>
      <x:c r="D15" s="16" t="str">
        <x:v>Établi</x:v>
      </x:c>
      <x:c r="E15" s="16" t="str">
        <x:v>P1</x:v>
      </x:c>
      <x:c r="F15" s="9" t="str">
        <x:v>Adversaire kett nommé.</x:v>
      </x:c>
      <x:c r="G15" s="9" t="str">
        <x:v>Offensive de commandement avec changements d’angle annoncés ; éviter téléportation sans signal hors champ.</x:v>
      </x:c>
      <x:c r="H15" s="9" t="str">
        <x:v>Offensive de commandement avec changements d’angle annoncés ; éviter téléportation sans signal hors champ.</x:v>
      </x:c>
      <x:c r="I15" s="9" t="str">
        <x:v>Armure kett distincte et effets d’énergie.</x:v>
      </x:c>
      <x:c r="J15" s="9" t="str">
        <x:v>Préparer une anticipation orientée, un événement de résolution, une récupération et une réaction interrompue propres à ce comportement : Offensive de commandement avec changements d’angle annoncés ; éviter téléportation sans signal hors champ.</x:v>
      </x:c>
      <x:c r="K15" s="9" t="str">
        <x:v>Créer un signal distinct de préparation et une indication visuelle équivalente ; signaux de créature, machine et tir allié restent différenciés.</x:v>
      </x:c>
      <x:c r="L15" s="9" t="str">
        <x:v>Prévu : fiche de données mea/enemies/archon-sword ; rattacher les ressources et états cités à cet identifiant. Aucun fichier de jeu créé par ce catalogue.</x:v>
      </x:c>
      <x:c r="M15" s="9" t="str">
        <x:v>Rencontre de campagne.</x:v>
      </x:c>
      <x:c r="N15" s="9" t="str">
        <x:v>Archon’s Sword : tester la menace annoncée, une réponse de déplacement, un contre compatible et la sortie de combat ; cible, faction et phase ne changent jamais sans retour visible.</x:v>
      </x:c>
      <x:c r="O15" s="9" t="str"/>
      <x:c r="P15" s="9" t="str">
        <x:v>Archon’s Sword</x:v>
      </x:c>
      <x:c r="Q15" s="9" t="str">
        <x:v>MEA-SRC-CHOSEN</x:v>
      </x:c>
      <x:c r="R15" s="9" t="str">
        <x:v>https://masseffect.fandom.com/wiki/Chosen</x:v>
      </x:c>
      <x:c r="S15" s="9" t="str">
        <x:v>Spécification à réaliser. Les champs adaptation, gameplay, visual, animation, audio et implementation décrivent le fan game ; ils ne donnent pas des caractéristiques officielles de l’œuvre.</x:v>
      </x:c>
    </x:row>
    <x:row r="16" ht="96" customHeight="1">
      <x:c r="A16" s="19" t="str">
        <x:v>MEA-ENM-VALIANT</x:v>
      </x:c>
      <x:c r="B16" s="7" t="str">
        <x:v>Valiant</x:v>
      </x:c>
      <x:c r="C16" s="15" t="str">
        <x:v>Défini</x:v>
      </x:c>
      <x:c r="D16" s="17" t="str">
        <x:v>Établi</x:v>
      </x:c>
      <x:c r="E16" s="17" t="str">
        <x:v>P1</x:v>
      </x:c>
      <x:c r="F16" s="7" t="str">
        <x:v>Adversaire kett nommé.</x:v>
      </x:c>
      <x:c r="G16" s="7" t="str">
        <x:v>Variante d’élite à cible prioritaire ; fenêtre de charge/attaque affichée même si renforts remplissent l’arène.</x:v>
      </x:c>
      <x:c r="H16" s="7" t="str">
        <x:v>Variante d’élite à cible prioritaire ; fenêtre de charge/attaque affichée même si renforts remplissent l’arène.</x:v>
      </x:c>
      <x:c r="I16" s="7" t="str">
        <x:v>Kett renforcé et marque d’élite.</x:v>
      </x:c>
      <x:c r="J16" s="7" t="str">
        <x:v>Préparer une anticipation orientée, un événement de résolution, une récupération et une réaction interrompue propres à ce comportement : Variante d’élite à cible prioritaire ; fenêtre de charge/attaque affichée même si renforts remplissent l’arène.</x:v>
      </x:c>
      <x:c r="K16" s="7" t="str">
        <x:v>Créer un signal distinct de préparation et une indication visuelle équivalente ; signaux de créature, machine et tir allié restent différenciés.</x:v>
      </x:c>
      <x:c r="L16" s="7" t="str">
        <x:v>Prévu : fiche de données mea/enemies/valiant ; rattacher les ressources et états cités à cet identifiant. Aucun fichier de jeu créé par ce catalogue.</x:v>
      </x:c>
      <x:c r="M16" s="7" t="str">
        <x:v>Rencontre liée à l’arche asari.</x:v>
      </x:c>
      <x:c r="N16" s="7" t="str">
        <x:v>Valiant : tester la menace annoncée, une réponse de déplacement, un contre compatible et la sortie de combat ; cible, faction et phase ne changent jamais sans retour visible.</x:v>
      </x:c>
      <x:c r="O16" s="7" t="str"/>
      <x:c r="P16" s="7" t="str">
        <x:v>Valiant</x:v>
      </x:c>
      <x:c r="Q16" s="7" t="str">
        <x:v>MEA-SRC-CHOSEN, MEA-SRC-CORA-LOYAL</x:v>
      </x:c>
      <x:c r="R16" s="7" t="str">
        <x:v>https://masseffect.fandom.com/wiki/Chosen
https://masseffect.fandom.com/wiki/Cora_Harper%3A_At_Duty%27s_Edge</x:v>
      </x:c>
      <x:c r="S16" s="7" t="str">
        <x:v>Spécification à réaliser. Les champs adaptation, gameplay, visual, animation, audio et implementation décrivent le fan game ; ils ne donnent pas des caractéristiques officielles de l’œuvre.</x:v>
      </x:c>
    </x:row>
    <x:row r="17" ht="96" customHeight="1">
      <x:c r="A17" s="18" t="str">
        <x:v>MEA-ENM-BEHEMOTH</x:v>
      </x:c>
      <x:c r="B17" s="9" t="str">
        <x:v>Behemoth</x:v>
      </x:c>
      <x:c r="C17" s="15" t="str">
        <x:v>Défini</x:v>
      </x:c>
      <x:c r="D17" s="16" t="str">
        <x:v>Établi</x:v>
      </x:c>
      <x:c r="E17" s="16" t="str">
        <x:v>P1</x:v>
      </x:c>
      <x:c r="F17" s="9" t="str">
        <x:v>Créature lourde kett.</x:v>
      </x:c>
      <x:c r="G17" s="9" t="str">
        <x:v>Assaut rapproché et dégâts de zone ; corps imposant ne doit pas cacher cibles secondaires ni sortie de cône.</x:v>
      </x:c>
      <x:c r="H17" s="9" t="str">
        <x:v>Assaut rapproché et dégâts de zone ; corps imposant ne doit pas cacher cibles secondaires ni sortie de cône.</x:v>
      </x:c>
      <x:c r="I17" s="9" t="str">
        <x:v>Très grande silhouette et armure organique.</x:v>
      </x:c>
      <x:c r="J17" s="9" t="str">
        <x:v>Préparer une anticipation orientée, un événement de résolution, une récupération et une réaction interrompue propres à ce comportement : Assaut rapproché et dégâts de zone ; corps imposant ne doit pas cacher cibles secondaires ni sortie de cône.</x:v>
      </x:c>
      <x:c r="K17" s="9" t="str">
        <x:v>Créer un signal distinct de préparation et une indication visuelle équivalente ; signaux de créature, machine et tir allié restent différenciés.</x:v>
      </x:c>
      <x:c r="L17" s="9" t="str">
        <x:v>Prévu : fiche de données mea/enemies/behemoth ; rattacher les ressources et états cités à cet identifiant. Aucun fichier de jeu créé par ce catalogue.</x:v>
      </x:c>
      <x:c r="M17" s="9" t="str">
        <x:v>Rencontres de campagne / multi selon profil.</x:v>
      </x:c>
      <x:c r="N17" s="9" t="str">
        <x:v>Behemoth : tester la menace annoncée, une réponse de déplacement, un contre compatible et la sortie de combat ; cible, faction et phase ne changent jamais sans retour visible.</x:v>
      </x:c>
      <x:c r="O17" s="9" t="str"/>
      <x:c r="P17" s="9" t="str">
        <x:v>Behemoth</x:v>
      </x:c>
      <x:c r="Q17" s="9" t="str">
        <x:v>MEA-SRC-CHOSEN</x:v>
      </x:c>
      <x:c r="R17" s="9" t="str">
        <x:v>https://masseffect.fandom.com/wiki/Chosen</x:v>
      </x:c>
      <x:c r="S17" s="9" t="str">
        <x:v>Spécification à réaliser. Les champs adaptation, gameplay, visual, animation, audio et implementation décrivent le fan game ; ils ne donnent pas des caractéristiques officielles de l’œuvre.</x:v>
      </x:c>
    </x:row>
    <x:row r="18" ht="96" customHeight="1">
      <x:c r="A18" s="19" t="str">
        <x:v>MEA-ENM-SCIENTIST</x:v>
      </x:c>
      <x:c r="B18" s="7" t="str">
        <x:v>Scientifique kett</x:v>
      </x:c>
      <x:c r="C18" s="15" t="str">
        <x:v>Défini</x:v>
      </x:c>
      <x:c r="D18" s="17" t="str">
        <x:v>Établi</x:v>
      </x:c>
      <x:c r="E18" s="17" t="str">
        <x:v>P1</x:v>
      </x:c>
      <x:c r="F18" s="7" t="str">
        <x:v>Unité kett répertoriée.</x:v>
      </x:c>
      <x:c r="G18" s="7" t="str">
        <x:v>Rôle de laboratoire avec fuite et alarme proposés ; distinguer non-combattant narratif et ennemi actif selon scène.</x:v>
      </x:c>
      <x:c r="H18" s="7" t="str">
        <x:v>Rôle de laboratoire avec fuite et alarme proposés ; distinguer non-combattant narratif et ennemi actif selon scène.</x:v>
      </x:c>
      <x:c r="I18" s="7" t="str">
        <x:v>Tenue scientifique et instruments.</x:v>
      </x:c>
      <x:c r="J18" s="7" t="str">
        <x:v>Préparer une anticipation orientée, un événement de résolution, une récupération et une réaction interrompue propres à ce comportement : Rôle de laboratoire avec fuite et alarme proposés ; distinguer non-combattant narratif et ennemi actif selon scène.</x:v>
      </x:c>
      <x:c r="K18" s="7" t="str">
        <x:v>Créer un signal distinct de préparation et une indication visuelle équivalente ; signaux de créature, machine et tir allié restent différenciés.</x:v>
      </x:c>
      <x:c r="L18" s="7" t="str">
        <x:v>Prévu : fiche de données mea/enemies/scientist ; rattacher les ressources et états cités à cet identifiant. Aucun fichier de jeu créé par ce catalogue.</x:v>
      </x:c>
      <x:c r="M18" s="7" t="str">
        <x:v>Identité de rencontre à confirmer avant combat automatique.</x:v>
      </x:c>
      <x:c r="N18" s="7" t="str">
        <x:v>Scientifique kett : tester la menace annoncée, une réponse de déplacement, un contre compatible et la sortie de combat ; cible, faction et phase ne changent jamais sans retour visible.</x:v>
      </x:c>
      <x:c r="O18" s="7" t="str"/>
      <x:c r="P18" s="7" t="str">
        <x:v>Scientifique kett</x:v>
      </x:c>
      <x:c r="Q18" s="7" t="str">
        <x:v>MEA-SRC-CHOSEN</x:v>
      </x:c>
      <x:c r="R18" s="7" t="str">
        <x:v>https://masseffect.fandom.com/wiki/Chosen</x:v>
      </x:c>
      <x:c r="S18" s="7" t="str">
        <x:v>Spécification à réaliser. Les champs adaptation, gameplay, visual, animation, audio et implementation décrivent le fan game ; ils ne donnent pas des caractéristiques officielles de l’œuvre.</x:v>
      </x:c>
    </x:row>
    <x:row r="19" ht="96" customHeight="1">
      <x:c r="A19" s="18" t="str">
        <x:v>MEA-ENM-KETT-TURRET</x:v>
      </x:c>
      <x:c r="B19" s="9" t="str">
        <x:v>Tourelle kett</x:v>
      </x:c>
      <x:c r="C19" s="15" t="str">
        <x:v>Défini</x:v>
      </x:c>
      <x:c r="D19" s="16" t="str">
        <x:v>Établi</x:v>
      </x:c>
      <x:c r="E19" s="16" t="str">
        <x:v>P1</x:v>
      </x:c>
      <x:c r="F19" s="9" t="str">
        <x:v>Défense fixe kett.</x:v>
      </x:c>
      <x:c r="G19" s="9" t="str">
        <x:v>Pivot puis rafale dans cône ; alimentation et piratage proposés seulement sur objets explicitement interactifs.</x:v>
      </x:c>
      <x:c r="H19" s="9" t="str">
        <x:v>Pivot puis rafale dans cône ; alimentation et piratage proposés seulement sur objets explicitement interactifs.</x:v>
      </x:c>
      <x:c r="I19" s="9" t="str">
        <x:v>Socle organique et canon.</x:v>
      </x:c>
      <x:c r="J19" s="9" t="str">
        <x:v>Préparer une anticipation orientée, un événement de résolution, une récupération et une réaction interrompue propres à ce comportement : Pivot puis rafale dans cône ; alimentation et piratage proposés seulement sur objets explicitement interactifs.</x:v>
      </x:c>
      <x:c r="K19" s="9" t="str">
        <x:v>Créer un signal distinct de préparation et une indication visuelle équivalente ; signaux de créature, machine et tir allié restent différenciés.</x:v>
      </x:c>
      <x:c r="L19" s="9" t="str">
        <x:v>Prévu : fiche de données mea/enemies/kett-turret ; rattacher les ressources et états cités à cet identifiant. Aucun fichier de jeu créé par ce catalogue.</x:v>
      </x:c>
      <x:c r="M19" s="9" t="str">
        <x:v>Rencontres kett.</x:v>
      </x:c>
      <x:c r="N19" s="9" t="str">
        <x:v>Tourelle kett : tester la menace annoncée, une réponse de déplacement, un contre compatible et la sortie de combat ; cible, faction et phase ne changent jamais sans retour visible.</x:v>
      </x:c>
      <x:c r="O19" s="9" t="str"/>
      <x:c r="P19" s="9" t="str">
        <x:v>Tourelle kett</x:v>
      </x:c>
      <x:c r="Q19" s="9" t="str">
        <x:v>MEA-SRC-CHOSEN</x:v>
      </x:c>
      <x:c r="R19" s="9" t="str">
        <x:v>https://masseffect.fandom.com/wiki/Chosen</x:v>
      </x:c>
      <x:c r="S19" s="9" t="str">
        <x:v>Spécification à réaliser. Les champs adaptation, gameplay, visual, animation, audio et implementation décrivent le fan game ; ils ne donnent pas des caractéristiques officielles de l’œuvre.</x:v>
      </x:c>
    </x:row>
    <x:row r="20" ht="82" customHeight="1">
      <x:c r="A20" s="19" t="str">
        <x:v>MEA-ENM-RAIDER</x:v>
      </x:c>
      <x:c r="B20" s="7" t="str">
        <x:v>Raider hors-la-loi</x:v>
      </x:c>
      <x:c r="C20" s="15" t="str">
        <x:v>Défini</x:v>
      </x:c>
      <x:c r="D20" s="17" t="str">
        <x:v>Établi</x:v>
      </x:c>
      <x:c r="E20" s="17" t="str">
        <x:v>P1</x:v>
      </x:c>
      <x:c r="F20" s="7" t="str">
        <x:v>Infanterie de hors-la-loi.</x:v>
      </x:c>
      <x:c r="G20" s="7" t="str">
        <x:v>Tir de couvert et déplacement latéral ; faction et espèce indiquées séparément pour variantes d’apparence.</x:v>
      </x:c>
      <x:c r="H20" s="7" t="str">
        <x:v>Tir de couvert et déplacement latéral ; faction et espèce indiquées séparément pour variantes d’apparence.</x:v>
      </x:c>
      <x:c r="I20" s="7" t="str">
        <x:v>Armure de récupération et fusil.</x:v>
      </x:c>
      <x:c r="J20" s="7" t="str">
        <x:v>Préparer une anticipation orientée, un événement de résolution, une récupération et une réaction interrompue propres à ce comportement : Tir de couvert et déplacement latéral ; faction et espèce indiquées séparément pour variantes d’apparence.</x:v>
      </x:c>
      <x:c r="K20" s="7" t="str">
        <x:v>Créer un signal distinct de préparation et une indication visuelle équivalente ; signaux de créature, machine et tir allié restent différenciés.</x:v>
      </x:c>
      <x:c r="L20" s="7" t="str">
        <x:v>Prévu : fiche de données mea/enemies/raider ; rattacher les ressources et états cités à cet identifiant. Aucun fichier de jeu créé par ce catalogue.</x:v>
      </x:c>
      <x:c r="M20" s="7" t="str">
        <x:v>Campagne / multi selon rencontre.</x:v>
      </x:c>
      <x:c r="N20" s="7" t="str">
        <x:v>Raider hors-la-loi : tester la menace annoncée, une réponse de déplacement, un contre compatible et la sortie de combat ; cible, faction et phase ne changent jamais sans retour visible.</x:v>
      </x:c>
      <x:c r="O20" s="7" t="str"/>
      <x:c r="P20" s="7" t="str">
        <x:v>Raider hors-la-loi</x:v>
      </x:c>
      <x:c r="Q20" s="7" t="str">
        <x:v>MEA-SRC-AGENT</x:v>
      </x:c>
      <x:c r="R20" s="7" t="str">
        <x:v>https://masseffect.fandom.com/wiki/Agent</x:v>
      </x:c>
      <x:c r="S20" s="7" t="str">
        <x:v>Spécification à réaliser. Les champs adaptation, gameplay, visual, animation, audio et implementation décrivent le fan game ; ils ne donnent pas des caractéristiques officielles de l’œuvre.</x:v>
      </x:c>
    </x:row>
    <x:row r="21" ht="82" customHeight="1">
      <x:c r="A21" s="18" t="str">
        <x:v>MEA-ENM-BERSERKER</x:v>
      </x:c>
      <x:c r="B21" s="9" t="str">
        <x:v>Berserker hors-la-loi</x:v>
      </x:c>
      <x:c r="C21" s="15" t="str">
        <x:v>Défini</x:v>
      </x:c>
      <x:c r="D21" s="16" t="str">
        <x:v>Établi</x:v>
      </x:c>
      <x:c r="E21" s="16" t="str">
        <x:v>P1</x:v>
      </x:c>
      <x:c r="F21" s="9" t="str">
        <x:v>Unité lourde hors-la-loi.</x:v>
      </x:c>
      <x:c r="G21" s="9" t="str">
        <x:v>Avance de rupture et coup proche ; annoncer l’engagement et laisser exploiter l’angle arrière.</x:v>
      </x:c>
      <x:c r="H21" s="9" t="str">
        <x:v>Avance de rupture et coup proche ; annoncer l’engagement et laisser exploiter l’angle arrière.</x:v>
      </x:c>
      <x:c r="I21" s="9" t="str">
        <x:v>Grande armure et silhouette krogan.</x:v>
      </x:c>
      <x:c r="J21" s="9" t="str">
        <x:v>Préparer une anticipation orientée, un événement de résolution, une récupération et une réaction interrompue propres à ce comportement : Avance de rupture et coup proche ; annoncer l’engagement et laisser exploiter l’angle arrière.</x:v>
      </x:c>
      <x:c r="K21" s="9" t="str">
        <x:v>Créer un signal distinct de préparation et une indication visuelle équivalente ; signaux de créature, machine et tir allié restent différenciés.</x:v>
      </x:c>
      <x:c r="L21" s="9" t="str">
        <x:v>Prévu : fiche de données mea/enemies/berserker ; rattacher les ressources et états cités à cet identifiant. Aucun fichier de jeu créé par ce catalogue.</x:v>
      </x:c>
      <x:c r="M21" s="9" t="str">
        <x:v>Campagne / multi selon rencontre.</x:v>
      </x:c>
      <x:c r="N21" s="9" t="str">
        <x:v>Berserker hors-la-loi : tester la menace annoncée, une réponse de déplacement, un contre compatible et la sortie de combat ; cible, faction et phase ne changent jamais sans retour visible.</x:v>
      </x:c>
      <x:c r="O21" s="9" t="str"/>
      <x:c r="P21" s="9" t="str">
        <x:v>Berserker hors-la-loi</x:v>
      </x:c>
      <x:c r="Q21" s="9" t="str">
        <x:v>MEA-SRC-AGENT</x:v>
      </x:c>
      <x:c r="R21" s="9" t="str">
        <x:v>https://masseffect.fandom.com/wiki/Agent</x:v>
      </x:c>
      <x:c r="S21" s="9" t="str">
        <x:v>Spécification à réaliser. Les champs adaptation, gameplay, visual, animation, audio et implementation décrivent le fan game ; ils ne donnent pas des caractéristiques officielles de l’œuvre.</x:v>
      </x:c>
    </x:row>
    <x:row r="22" ht="82" customHeight="1">
      <x:c r="A22" s="19" t="str">
        <x:v>MEA-ENM-AGENT</x:v>
      </x:c>
      <x:c r="B22" s="7" t="str">
        <x:v>Agent hors-la-loi</x:v>
      </x:c>
      <x:c r="C22" s="15" t="str">
        <x:v>Défini</x:v>
      </x:c>
      <x:c r="D22" s="17" t="str">
        <x:v>Établi</x:v>
      </x:c>
      <x:c r="E22" s="17" t="str">
        <x:v>P1</x:v>
      </x:c>
      <x:c r="F22" s="7" t="str">
        <x:v>Unité de soutien.</x:v>
      </x:c>
      <x:c r="G22" s="7" t="str">
        <x:v>Soutien technique et diversion ; lien visuel vers construction ou cible affectée dans l’adaptation.</x:v>
      </x:c>
      <x:c r="H22" s="7" t="str">
        <x:v>Soutien technique et diversion ; lien visuel vers construction ou cible affectée dans l’adaptation.</x:v>
      </x:c>
      <x:c r="I22" s="7" t="str">
        <x:v>Armure légère et omni-outil.</x:v>
      </x:c>
      <x:c r="J22" s="7" t="str">
        <x:v>Préparer une anticipation orientée, un événement de résolution, une récupération et une réaction interrompue propres à ce comportement : Soutien technique et diversion ; lien visuel vers construction ou cible affectée dans l’adaptation.</x:v>
      </x:c>
      <x:c r="K22" s="7" t="str">
        <x:v>Créer un signal distinct de préparation et une indication visuelle équivalente ; signaux de créature, machine et tir allié restent différenciés.</x:v>
      </x:c>
      <x:c r="L22" s="7" t="str">
        <x:v>Prévu : fiche de données mea/enemies/agent ; rattacher les ressources et états cités à cet identifiant. Aucun fichier de jeu créé par ce catalogue.</x:v>
      </x:c>
      <x:c r="M22" s="7" t="str">
        <x:v>Campagne / multi selon rencontre.</x:v>
      </x:c>
      <x:c r="N22" s="7" t="str">
        <x:v>Agent hors-la-loi : tester la menace annoncée, une réponse de déplacement, un contre compatible et la sortie de combat ; cible, faction et phase ne changent jamais sans retour visible.</x:v>
      </x:c>
      <x:c r="O22" s="7" t="str"/>
      <x:c r="P22" s="7" t="str">
        <x:v>Agent hors-la-loi</x:v>
      </x:c>
      <x:c r="Q22" s="7" t="str">
        <x:v>MEA-SRC-AGENT</x:v>
      </x:c>
      <x:c r="R22" s="7" t="str">
        <x:v>https://masseffect.fandom.com/wiki/Agent</x:v>
      </x:c>
      <x:c r="S22" s="7" t="str">
        <x:v>Spécification à réaliser. Les champs adaptation, gameplay, visual, animation, audio et implementation décrivent le fan game ; ils ne donnent pas des caractéristiques officielles de l’œuvre.</x:v>
      </x:c>
    </x:row>
    <x:row r="23" ht="96" customHeight="1">
      <x:c r="A23" s="18" t="str">
        <x:v>MEA-ENM-ANARCHIST</x:v>
      </x:c>
      <x:c r="B23" s="9" t="str">
        <x:v>Anarchist</x:v>
      </x:c>
      <x:c r="C23" s="15" t="str">
        <x:v>Défini</x:v>
      </x:c>
      <x:c r="D23" s="16" t="str">
        <x:v>Établi</x:v>
      </x:c>
      <x:c r="E23" s="16" t="str">
        <x:v>P1</x:v>
      </x:c>
      <x:c r="F23" s="9" t="str">
        <x:v>Unité explosive hors-la-loi.</x:v>
      </x:c>
      <x:c r="G23" s="9" t="str">
        <x:v>Projectiles de zone à trajectoire et délai visibles ; cadence limitée pour ne pas couvrir tout sol praticable.</x:v>
      </x:c>
      <x:c r="H23" s="9" t="str">
        <x:v>Projectiles de zone à trajectoire et délai visibles ; cadence limitée pour ne pas couvrir tout sol praticable.</x:v>
      </x:c>
      <x:c r="I23" s="9" t="str">
        <x:v>Charges, grenades et équipement irrégulier.</x:v>
      </x:c>
      <x:c r="J23" s="9" t="str">
        <x:v>Préparer une anticipation orientée, un événement de résolution, une récupération et une réaction interrompue propres à ce comportement : Projectiles de zone à trajectoire et délai visibles ; cadence limitée pour ne pas couvrir tout sol praticable.</x:v>
      </x:c>
      <x:c r="K23" s="9" t="str">
        <x:v>Créer un signal distinct de préparation et une indication visuelle équivalente ; signaux de créature, machine et tir allié restent différenciés.</x:v>
      </x:c>
      <x:c r="L23" s="9" t="str">
        <x:v>Prévu : fiche de données mea/enemies/anarchist ; rattacher les ressources et états cités à cet identifiant. Aucun fichier de jeu créé par ce catalogue.</x:v>
      </x:c>
      <x:c r="M23" s="9" t="str">
        <x:v>Campagne / multi selon rencontre.</x:v>
      </x:c>
      <x:c r="N23" s="9" t="str">
        <x:v>Anarchist : tester la menace annoncée, une réponse de déplacement, un contre compatible et la sortie de combat ; cible, faction et phase ne changent jamais sans retour visible.</x:v>
      </x:c>
      <x:c r="O23" s="9" t="str"/>
      <x:c r="P23" s="9" t="str">
        <x:v>Anarchist</x:v>
      </x:c>
      <x:c r="Q23" s="9" t="str">
        <x:v>MEA-SRC-AGENT</x:v>
      </x:c>
      <x:c r="R23" s="9" t="str">
        <x:v>https://masseffect.fandom.com/wiki/Agent</x:v>
      </x:c>
      <x:c r="S23" s="9" t="str">
        <x:v>Spécification à réaliser. Les champs adaptation, gameplay, visual, animation, audio et implementation décrivent le fan game ; ils ne donnent pas des caractéristiques officielles de l’œuvre.</x:v>
      </x:c>
    </x:row>
    <x:row r="24" ht="96" customHeight="1">
      <x:c r="A24" s="19" t="str">
        <x:v>MEA-ENM-HYDRA</x:v>
      </x:c>
      <x:c r="B24" s="7" t="str">
        <x:v>Hydra</x:v>
      </x:c>
      <x:c r="C24" s="15" t="str">
        <x:v>Défini</x:v>
      </x:c>
      <x:c r="D24" s="17" t="str">
        <x:v>Établi</x:v>
      </x:c>
      <x:c r="E24" s="17" t="str">
        <x:v>P1</x:v>
      </x:c>
      <x:c r="F24" s="7" t="str">
        <x:v>Méca des hors-la-loi.</x:v>
      </x:c>
      <x:c r="G24" s="7" t="str">
        <x:v>Salve de missiles, canon puis refroidissement ; tir à travers couvert uniquement si matériau marqué destructible.</x:v>
      </x:c>
      <x:c r="H24" s="7" t="str">
        <x:v>Salve de missiles, canon puis refroidissement ; tir à travers couvert uniquement si matériau marqué destructible.</x:v>
      </x:c>
      <x:c r="I24" s="7" t="str">
        <x:v>Méca large et lanceurs.</x:v>
      </x:c>
      <x:c r="J24" s="7" t="str">
        <x:v>Préparer une anticipation orientée, un événement de résolution, une récupération et une réaction interrompue propres à ce comportement : Salve de missiles, canon puis refroidissement ; tir à travers couvert uniquement si matériau marqué destructible.</x:v>
      </x:c>
      <x:c r="K24" s="7" t="str">
        <x:v>Créer un signal distinct de préparation et une indication visuelle équivalente ; signaux de créature, machine et tir allié restent différenciés.</x:v>
      </x:c>
      <x:c r="L24" s="7" t="str">
        <x:v>Prévu : fiche de données mea/enemies/hydra ; rattacher les ressources et états cités à cet identifiant. Aucun fichier de jeu créé par ce catalogue.</x:v>
      </x:c>
      <x:c r="M24" s="7" t="str">
        <x:v>Campagne / multi selon rencontre.</x:v>
      </x:c>
      <x:c r="N24" s="7" t="str">
        <x:v>Hydra : tester la menace annoncée, une réponse de déplacement, un contre compatible et la sortie de combat ; cible, faction et phase ne changent jamais sans retour visible.</x:v>
      </x:c>
      <x:c r="O24" s="7" t="str"/>
      <x:c r="P24" s="7" t="str">
        <x:v>Hydra</x:v>
      </x:c>
      <x:c r="Q24" s="7" t="str">
        <x:v>MEA-SRC-AGENT</x:v>
      </x:c>
      <x:c r="R24" s="7" t="str">
        <x:v>https://masseffect.fandom.com/wiki/Agent</x:v>
      </x:c>
      <x:c r="S24" s="7" t="str">
        <x:v>Spécification à réaliser. Les champs adaptation, gameplay, visual, animation, audio et implementation décrivent le fan game ; ils ne donnent pas des caractéristiques officielles de l’œuvre.</x:v>
      </x:c>
    </x:row>
    <x:row r="25" ht="96" customHeight="1">
      <x:c r="A25" s="18" t="str">
        <x:v>MEA-ENM-PARIAH</x:v>
      </x:c>
      <x:c r="B25" s="9" t="str">
        <x:v>Pariah</x:v>
      </x:c>
      <x:c r="C25" s="15" t="str">
        <x:v>Défini</x:v>
      </x:c>
      <x:c r="D25" s="16" t="str">
        <x:v>Établi</x:v>
      </x:c>
      <x:c r="E25" s="16" t="str">
        <x:v>P1</x:v>
      </x:c>
      <x:c r="F25" s="9" t="str">
        <x:v>Unité biotique hors-la-loi.</x:v>
      </x:c>
      <x:c r="G25" s="9" t="str">
        <x:v>Contrôle de zone et projection ; contre visible avant déplacement forcé, résistance des gros alliés annoncée.</x:v>
      </x:c>
      <x:c r="H25" s="9" t="str">
        <x:v>Contrôle de zone et projection ; contre visible avant déplacement forcé, résistance des gros alliés annoncée.</x:v>
      </x:c>
      <x:c r="I25" s="9" t="str">
        <x:v>Asari en tenue de mercenaire.</x:v>
      </x:c>
      <x:c r="J25" s="9" t="str">
        <x:v>Préparer une anticipation orientée, un événement de résolution, une récupération et une réaction interrompue propres à ce comportement : Contrôle de zone et projection ; contre visible avant déplacement forcé, résistance des gros alliés annoncée.</x:v>
      </x:c>
      <x:c r="K25" s="9" t="str">
        <x:v>Créer un signal distinct de préparation et une indication visuelle équivalente ; signaux de créature, machine et tir allié restent différenciés.</x:v>
      </x:c>
      <x:c r="L25" s="9" t="str">
        <x:v>Prévu : fiche de données mea/enemies/pariah ; rattacher les ressources et états cités à cet identifiant. Aucun fichier de jeu créé par ce catalogue.</x:v>
      </x:c>
      <x:c r="M25" s="9" t="str">
        <x:v>Campagne / multi selon rencontre.</x:v>
      </x:c>
      <x:c r="N25" s="9" t="str">
        <x:v>Pariah : tester la menace annoncée, une réponse de déplacement, un contre compatible et la sortie de combat ; cible, faction et phase ne changent jamais sans retour visible.</x:v>
      </x:c>
      <x:c r="O25" s="9" t="str"/>
      <x:c r="P25" s="9" t="str">
        <x:v>Pariah</x:v>
      </x:c>
      <x:c r="Q25" s="9" t="str">
        <x:v>MEA-SRC-AGENT</x:v>
      </x:c>
      <x:c r="R25" s="9" t="str">
        <x:v>https://masseffect.fandom.com/wiki/Agent</x:v>
      </x:c>
      <x:c r="S25" s="9" t="str">
        <x:v>Spécification à réaliser. Les champs adaptation, gameplay, visual, animation, audio et implementation décrivent le fan game ; ils ne donnent pas des caractéristiques officielles de l’œuvre.</x:v>
      </x:c>
    </x:row>
    <x:row r="26" ht="82" customHeight="1">
      <x:c r="A26" s="19" t="str">
        <x:v>MEA-ENM-SABOTEUR</x:v>
      </x:c>
      <x:c r="B26" s="7" t="str">
        <x:v>Saboteur</x:v>
      </x:c>
      <x:c r="C26" s="15" t="str">
        <x:v>Défini</x:v>
      </x:c>
      <x:c r="D26" s="17" t="str">
        <x:v>Établi</x:v>
      </x:c>
      <x:c r="E26" s="17" t="str">
        <x:v>P1</x:v>
      </x:c>
      <x:c r="F26" s="7" t="str">
        <x:v>Unité technique hors-la-loi.</x:v>
      </x:c>
      <x:c r="G26" s="7" t="str">
        <x:v>Pose de zone dangereuse et brouillage ; l’objet placé possède sa propre cible et peut être neutralisé.</x:v>
      </x:c>
      <x:c r="H26" s="7" t="str">
        <x:v>Pose de zone dangereuse et brouillage ; l’objet placé possède sa propre cible et peut être neutralisé.</x:v>
      </x:c>
      <x:c r="I26" s="7" t="str">
        <x:v>Omni-outil et matériel de terrain.</x:v>
      </x:c>
      <x:c r="J26" s="7" t="str">
        <x:v>Préparer une anticipation orientée, un événement de résolution, une récupération et une réaction interrompue propres à ce comportement : Pose de zone dangereuse et brouillage ; l’objet placé possède sa propre cible et peut être neutralisé.</x:v>
      </x:c>
      <x:c r="K26" s="7" t="str">
        <x:v>Créer un signal distinct de préparation et une indication visuelle équivalente ; signaux de créature, machine et tir allié restent différenciés.</x:v>
      </x:c>
      <x:c r="L26" s="7" t="str">
        <x:v>Prévu : fiche de données mea/enemies/saboteur ; rattacher les ressources et états cités à cet identifiant. Aucun fichier de jeu créé par ce catalogue.</x:v>
      </x:c>
      <x:c r="M26" s="7" t="str">
        <x:v>Campagne / multi selon rencontre.</x:v>
      </x:c>
      <x:c r="N26" s="7" t="str">
        <x:v>Saboteur : tester la menace annoncée, une réponse de déplacement, un contre compatible et la sortie de combat ; cible, faction et phase ne changent jamais sans retour visible.</x:v>
      </x:c>
      <x:c r="O26" s="7" t="str"/>
      <x:c r="P26" s="7" t="str">
        <x:v>Saboteur</x:v>
      </x:c>
      <x:c r="Q26" s="7" t="str">
        <x:v>MEA-SRC-AGENT</x:v>
      </x:c>
      <x:c r="R26" s="7" t="str">
        <x:v>https://masseffect.fandom.com/wiki/Agent</x:v>
      </x:c>
      <x:c r="S26" s="7" t="str">
        <x:v>Spécification à réaliser. Les champs adaptation, gameplay, visual, animation, audio et implementation décrivent le fan game ; ils ne donnent pas des caractéristiques officielles de l’œuvre.</x:v>
      </x:c>
    </x:row>
    <x:row r="27" ht="82" customHeight="1">
      <x:c r="A27" s="18" t="str">
        <x:v>MEA-ENM-SHARPSHOOTER</x:v>
      </x:c>
      <x:c r="B27" s="9" t="str">
        <x:v>Sharpshooter</x:v>
      </x:c>
      <x:c r="C27" s="15" t="str">
        <x:v>Défini</x:v>
      </x:c>
      <x:c r="D27" s="16" t="str">
        <x:v>Établi</x:v>
      </x:c>
      <x:c r="E27" s="16" t="str">
        <x:v>P1</x:v>
      </x:c>
      <x:c r="F27" s="9" t="str">
        <x:v>Tireur de précision hors-la-loi.</x:v>
      </x:c>
      <x:c r="G27" s="9" t="str">
        <x:v>Laser de visée avant tir ; casser la ligne annule la résolution sans conserver impact fantôme.</x:v>
      </x:c>
      <x:c r="H27" s="9" t="str">
        <x:v>Laser de visée avant tir ; casser la ligne annule la résolution sans conserver impact fantôme.</x:v>
      </x:c>
      <x:c r="I27" s="9" t="str">
        <x:v>Lunette et arme longue.</x:v>
      </x:c>
      <x:c r="J27" s="9" t="str">
        <x:v>Préparer une anticipation orientée, un événement de résolution, une récupération et une réaction interrompue propres à ce comportement : Laser de visée avant tir ; casser la ligne annule la résolution sans conserver impact fantôme.</x:v>
      </x:c>
      <x:c r="K27" s="9" t="str">
        <x:v>Créer un signal distinct de préparation et une indication visuelle équivalente ; signaux de créature, machine et tir allié restent différenciés.</x:v>
      </x:c>
      <x:c r="L27" s="9" t="str">
        <x:v>Prévu : fiche de données mea/enemies/sharpshooter ; rattacher les ressources et états cités à cet identifiant. Aucun fichier de jeu créé par ce catalogue.</x:v>
      </x:c>
      <x:c r="M27" s="9" t="str">
        <x:v>Campagne / multi selon rencontre.</x:v>
      </x:c>
      <x:c r="N27" s="9" t="str">
        <x:v>Sharpshooter : tester la menace annoncée, une réponse de déplacement, un contre compatible et la sortie de combat ; cible, faction et phase ne changent jamais sans retour visible.</x:v>
      </x:c>
      <x:c r="O27" s="9" t="str"/>
      <x:c r="P27" s="9" t="str">
        <x:v>Sharpshooter</x:v>
      </x:c>
      <x:c r="Q27" s="9" t="str">
        <x:v>MEA-SRC-AGENT</x:v>
      </x:c>
      <x:c r="R27" s="9" t="str">
        <x:v>https://masseffect.fandom.com/wiki/Agent</x:v>
      </x:c>
      <x:c r="S27" s="9" t="str">
        <x:v>Spécification à réaliser. Les champs adaptation, gameplay, visual, animation, audio et implementation décrivent le fan game ; ils ne donnent pas des caractéristiques officielles de l’œuvre.</x:v>
      </x:c>
    </x:row>
    <x:row r="28" ht="82" customHeight="1">
      <x:c r="A28" s="19" t="str">
        <x:v>MEA-ENM-OUTLAW-TURRET</x:v>
      </x:c>
      <x:c r="B28" s="7" t="str">
        <x:v>Tourelle de hors-la-loi</x:v>
      </x:c>
      <x:c r="C28" s="15" t="str">
        <x:v>Défini</x:v>
      </x:c>
      <x:c r="D28" s="17" t="str">
        <x:v>Établi</x:v>
      </x:c>
      <x:c r="E28" s="17" t="str">
        <x:v>P1</x:v>
      </x:c>
      <x:c r="F28" s="7" t="str">
        <x:v>Défense fixe.</x:v>
      </x:c>
      <x:c r="G28" s="7" t="str">
        <x:v>Cône limité, rechargement puis reprise ; couleur de faction différente de l’Assault Turret de Ryder.</x:v>
      </x:c>
      <x:c r="H28" s="7" t="str">
        <x:v>Cône limité, rechargement puis reprise ; couleur de faction différente de l’Assault Turret de Ryder.</x:v>
      </x:c>
      <x:c r="I28" s="7" t="str">
        <x:v>Trépied de récupération.</x:v>
      </x:c>
      <x:c r="J28" s="7" t="str">
        <x:v>Préparer une anticipation orientée, un événement de résolution, une récupération et une réaction interrompue propres à ce comportement : Cône limité, rechargement puis reprise ; couleur de faction différente de l’Assault Turret de Ryder.</x:v>
      </x:c>
      <x:c r="K28" s="7" t="str">
        <x:v>Créer un signal distinct de préparation et une indication visuelle équivalente ; signaux de créature, machine et tir allié restent différenciés.</x:v>
      </x:c>
      <x:c r="L28" s="7" t="str">
        <x:v>Prévu : fiche de données mea/enemies/outlaw-turret ; rattacher les ressources et états cités à cet identifiant. Aucun fichier de jeu créé par ce catalogue.</x:v>
      </x:c>
      <x:c r="M28" s="7" t="str">
        <x:v>Campagne / multi selon rencontre.</x:v>
      </x:c>
      <x:c r="N28" s="7" t="str">
        <x:v>Tourelle de hors-la-loi : tester la menace annoncée, une réponse de déplacement, un contre compatible et la sortie de combat ; cible, faction et phase ne changent jamais sans retour visible.</x:v>
      </x:c>
      <x:c r="O28" s="7" t="str"/>
      <x:c r="P28" s="7" t="str">
        <x:v>Tourelle de hors-la-loi</x:v>
      </x:c>
      <x:c r="Q28" s="7" t="str">
        <x:v>MEA-SRC-AGENT</x:v>
      </x:c>
      <x:c r="R28" s="7" t="str">
        <x:v>https://masseffect.fandom.com/wiki/Agent</x:v>
      </x:c>
      <x:c r="S28" s="7" t="str">
        <x:v>Spécification à réaliser. Les champs adaptation, gameplay, visual, animation, audio et implementation décrivent le fan game ; ils ne donnent pas des caractéristiques officielles de l’œuvre.</x:v>
      </x:c>
    </x:row>
    <x:row r="29" ht="96" customHeight="1">
      <x:c r="A29" s="18" t="str">
        <x:v>MEA-ENM-ADHI-TRAINED</x:v>
      </x:c>
      <x:c r="B29" s="9" t="str">
        <x:v>Adhi dressé</x:v>
      </x:c>
      <x:c r="C29" s="15" t="str">
        <x:v>Défini</x:v>
      </x:c>
      <x:c r="D29" s="16" t="str">
        <x:v>Établi</x:v>
      </x:c>
      <x:c r="E29" s="16" t="str">
        <x:v>P1</x:v>
      </x:c>
      <x:c r="F29" s="9" t="str">
        <x:v>Animal utilisé par des groupes ennemis.</x:v>
      </x:c>
      <x:c r="G29" s="9" t="str">
        <x:v>Course, morsure puis recul ; prise à l’avant-bras convertie en état secourable sans martèlement de touche.</x:v>
      </x:c>
      <x:c r="H29" s="9" t="str">
        <x:v>Course, morsure puis recul ; prise à l’avant-bras convertie en état secourable sans martèlement de touche.</x:v>
      </x:c>
      <x:c r="I29" s="9" t="str">
        <x:v>Quadrupède bas et harnais selon variante.</x:v>
      </x:c>
      <x:c r="J29" s="9" t="str">
        <x:v>Préparer une anticipation orientée, un événement de résolution, une récupération et une réaction interrompue propres à ce comportement : Course, morsure puis recul ; prise à l’avant-bras convertie en état secourable sans martèlement de touche.</x:v>
      </x:c>
      <x:c r="K29" s="9" t="str">
        <x:v>Créer un signal distinct de préparation et une indication visuelle équivalente ; signaux de créature, machine et tir allié restent différenciés.</x:v>
      </x:c>
      <x:c r="L29" s="9" t="str">
        <x:v>Prévu : fiche de données mea/enemies/adhi-trained ; rattacher les ressources et états cités à cet identifiant. Aucun fichier de jeu créé par ce catalogue.</x:v>
      </x:c>
      <x:c r="M29" s="9" t="str">
        <x:v>Faction de la rencontre distincte de faune sauvage.</x:v>
      </x:c>
      <x:c r="N29" s="9" t="str">
        <x:v>Adhi dressé : tester la menace annoncée, une réponse de déplacement, un contre compatible et la sortie de combat ; cible, faction et phase ne changent jamais sans retour visible.</x:v>
      </x:c>
      <x:c r="O29" s="9" t="str"/>
      <x:c r="P29" s="9" t="str">
        <x:v>Adhi dressé</x:v>
      </x:c>
      <x:c r="Q29" s="9" t="str">
        <x:v>MEA-SRC-ADHI</x:v>
      </x:c>
      <x:c r="R29" s="9" t="str">
        <x:v>https://masseffect.fandom.com/wiki/Adhi</x:v>
      </x:c>
      <x:c r="S29" s="9" t="str">
        <x:v>Spécification à réaliser. Les champs adaptation, gameplay, visual, animation, audio et implementation décrivent le fan game ; ils ne donnent pas des caractéristiques officielles de l’œuvre.</x:v>
      </x:c>
    </x:row>
    <x:row r="30" ht="96" customHeight="1">
      <x:c r="A30" s="19" t="str">
        <x:v>MEA-ENM-ASSEMBLER</x:v>
      </x:c>
      <x:c r="B30" s="7" t="str">
        <x:v>Assembler</x:v>
      </x:c>
      <x:c r="C30" s="15" t="str">
        <x:v>Défini</x:v>
      </x:c>
      <x:c r="D30" s="17" t="str">
        <x:v>Établi</x:v>
      </x:c>
      <x:c r="E30" s="17" t="str">
        <x:v>P1</x:v>
      </x:c>
      <x:c r="F30" s="7" t="str">
        <x:v>Machine reliquate.</x:v>
      </x:c>
      <x:c r="G30" s="7" t="str">
        <x:v>Production de renforts avec cycle annoncé et emplacements réservés ; interruption de fabrication ne crée pas d’unité invisible.</x:v>
      </x:c>
      <x:c r="H30" s="7" t="str">
        <x:v>Production de renforts avec cycle annoncé et emplacements réservés ; interruption de fabrication ne crée pas d’unité invisible.</x:v>
      </x:c>
      <x:c r="I30" s="7" t="str">
        <x:v>Machine flottante et éléments rotatifs.</x:v>
      </x:c>
      <x:c r="J30" s="7" t="str">
        <x:v>Préparer une anticipation orientée, un événement de résolution, une récupération et une réaction interrompue propres à ce comportement : Production de renforts avec cycle annoncé et emplacements réservés ; interruption de fabrication ne crée pas d’unité invisible.</x:v>
      </x:c>
      <x:c r="K30" s="7" t="str">
        <x:v>Créer un signal distinct de préparation et une indication visuelle équivalente ; signaux de créature, machine et tir allié restent différenciés.</x:v>
      </x:c>
      <x:c r="L30" s="7" t="str">
        <x:v>Prévu : fiche de données mea/enemies/assembler ; rattacher les ressources et états cités à cet identifiant. Aucun fichier de jeu créé par ce catalogue.</x:v>
      </x:c>
      <x:c r="M30" s="7" t="str">
        <x:v>Sites reliquats.</x:v>
      </x:c>
      <x:c r="N30" s="7" t="str">
        <x:v>Assembler : tester la menace annoncée, une réponse de déplacement, un contre compatible et la sortie de combat ; cible, faction et phase ne changent jamais sans retour visible.</x:v>
      </x:c>
      <x:c r="O30" s="7" t="str"/>
      <x:c r="P30" s="7" t="str">
        <x:v>Assembler</x:v>
      </x:c>
      <x:c r="Q30" s="7" t="str">
        <x:v>MEA-SRC-ASSEMBLER</x:v>
      </x:c>
      <x:c r="R30" s="7" t="str">
        <x:v>https://masseffect.fandom.com/wiki/Assembler</x:v>
      </x:c>
      <x:c r="S30" s="7" t="str">
        <x:v>Spécification à réaliser. Les champs adaptation, gameplay, visual, animation, audio et implementation décrivent le fan game ; ils ne donnent pas des caractéristiques officielles de l’œuvre.</x:v>
      </x:c>
    </x:row>
    <x:row r="31" ht="82" customHeight="1">
      <x:c r="A31" s="18" t="str">
        <x:v>MEA-ENM-BREACHER</x:v>
      </x:c>
      <x:c r="B31" s="9" t="str">
        <x:v>Breacher</x:v>
      </x:c>
      <x:c r="C31" s="15" t="str">
        <x:v>Défini</x:v>
      </x:c>
      <x:c r="D31" s="16" t="str">
        <x:v>Établi</x:v>
      </x:c>
      <x:c r="E31" s="16" t="str">
        <x:v>P1</x:v>
      </x:c>
      <x:c r="F31" s="9" t="str">
        <x:v>Unité reliquate.</x:v>
      </x:c>
      <x:c r="G31" s="9" t="str">
        <x:v>Approche de contact puis onde courte proposée ; forme basse reste sélectionnable par icône de cible.</x:v>
      </x:c>
      <x:c r="H31" s="9" t="str">
        <x:v>Approche de contact puis onde courte proposée ; forme basse reste sélectionnable par icône de cible.</x:v>
      </x:c>
      <x:c r="I31" s="9" t="str">
        <x:v>Petite machine segmentée.</x:v>
      </x:c>
      <x:c r="J31" s="9" t="str">
        <x:v>Préparer une anticipation orientée, un événement de résolution, une récupération et une réaction interrompue propres à ce comportement : Approche de contact puis onde courte proposée ; forme basse reste sélectionnable par icône de cible.</x:v>
      </x:c>
      <x:c r="K31" s="9" t="str">
        <x:v>Créer un signal distinct de préparation et une indication visuelle équivalente ; signaux de créature, machine et tir allié restent différenciés.</x:v>
      </x:c>
      <x:c r="L31" s="9" t="str">
        <x:v>Prévu : fiche de données mea/enemies/breacher ; rattacher les ressources et états cités à cet identifiant. Aucun fichier de jeu créé par ce catalogue.</x:v>
      </x:c>
      <x:c r="M31" s="9" t="str">
        <x:v>Sites reliquats.</x:v>
      </x:c>
      <x:c r="N31" s="9" t="str">
        <x:v>Breacher : tester la menace annoncée, une réponse de déplacement, un contre compatible et la sortie de combat ; cible, faction et phase ne changent jamais sans retour visible.</x:v>
      </x:c>
      <x:c r="O31" s="9" t="str"/>
      <x:c r="P31" s="9" t="str">
        <x:v>Breacher</x:v>
      </x:c>
      <x:c r="Q31" s="9" t="str">
        <x:v>MEA-SRC-ASSEMBLER</x:v>
      </x:c>
      <x:c r="R31" s="9" t="str">
        <x:v>https://masseffect.fandom.com/wiki/Assembler</x:v>
      </x:c>
      <x:c r="S31" s="9" t="str">
        <x:v>Spécification à réaliser. Les champs adaptation, gameplay, visual, animation, audio et implementation décrivent le fan game ; ils ne donnent pas des caractéristiques officielles de l’œuvre.</x:v>
      </x:c>
    </x:row>
    <x:row r="32" ht="82" customHeight="1">
      <x:c r="A32" s="19" t="str">
        <x:v>MEA-ENM-CREEPER</x:v>
      </x:c>
      <x:c r="B32" s="7" t="str">
        <x:v>Creeper</x:v>
      </x:c>
      <x:c r="C32" s="15" t="str">
        <x:v>Défini</x:v>
      </x:c>
      <x:c r="D32" s="17" t="str">
        <x:v>Établi</x:v>
      </x:c>
      <x:c r="E32" s="17" t="str">
        <x:v>P1</x:v>
      </x:c>
      <x:c r="F32" s="7" t="str">
        <x:v>Unité reliquate de proximité.</x:v>
      </x:c>
      <x:c r="G32" s="7" t="str">
        <x:v>Avance sur sol puis attaque de contact ; déplacement de mur purement visuel si collision non gérée.</x:v>
      </x:c>
      <x:c r="H32" s="7" t="str">
        <x:v>Avance sur sol puis attaque de contact ; déplacement de mur purement visuel si collision non gérée.</x:v>
      </x:c>
      <x:c r="I32" s="7" t="str">
        <x:v>Petite silhouette mécanique et pattes.</x:v>
      </x:c>
      <x:c r="J32" s="7" t="str">
        <x:v>Préparer une anticipation orientée, un événement de résolution, une récupération et une réaction interrompue propres à ce comportement : Avance sur sol puis attaque de contact ; déplacement de mur purement visuel si collision non gérée.</x:v>
      </x:c>
      <x:c r="K32" s="7" t="str">
        <x:v>Créer un signal distinct de préparation et une indication visuelle équivalente ; signaux de créature, machine et tir allié restent différenciés.</x:v>
      </x:c>
      <x:c r="L32" s="7" t="str">
        <x:v>Prévu : fiche de données mea/enemies/creeper ; rattacher les ressources et états cités à cet identifiant. Aucun fichier de jeu créé par ce catalogue.</x:v>
      </x:c>
      <x:c r="M32" s="7" t="str">
        <x:v>Sites reliquats.</x:v>
      </x:c>
      <x:c r="N32" s="7" t="str">
        <x:v>Creeper : tester la menace annoncée, une réponse de déplacement, un contre compatible et la sortie de combat ; cible, faction et phase ne changent jamais sans retour visible.</x:v>
      </x:c>
      <x:c r="O32" s="7" t="str"/>
      <x:c r="P32" s="7" t="str">
        <x:v>Creeper</x:v>
      </x:c>
      <x:c r="Q32" s="7" t="str">
        <x:v>MEA-SRC-ASSEMBLER</x:v>
      </x:c>
      <x:c r="R32" s="7" t="str">
        <x:v>https://masseffect.fandom.com/wiki/Assembler</x:v>
      </x:c>
      <x:c r="S32" s="7" t="str">
        <x:v>Spécification à réaliser. Les champs adaptation, gameplay, visual, animation, audio et implementation décrivent le fan game ; ils ne donnent pas des caractéristiques officielles de l’œuvre.</x:v>
      </x:c>
    </x:row>
    <x:row r="33" ht="96" customHeight="1">
      <x:c r="A33" s="18" t="str">
        <x:v>MEA-ENM-DESTROYER</x:v>
      </x:c>
      <x:c r="B33" s="9" t="str">
        <x:v>Destroyer</x:v>
      </x:c>
      <x:c r="C33" s="15" t="str">
        <x:v>Défini</x:v>
      </x:c>
      <x:c r="D33" s="16" t="str">
        <x:v>Établi</x:v>
      </x:c>
      <x:c r="E33" s="16" t="str">
        <x:v>P1</x:v>
      </x:c>
      <x:c r="F33" s="9" t="str">
        <x:v>Machine reliquate lourde.</x:v>
      </x:c>
      <x:c r="G33" s="9" t="str">
        <x:v>Tourelles latérales, salves et noyau ; pièces ciblables ont barres et projections au sol indépendantes du corps.</x:v>
      </x:c>
      <x:c r="H33" s="9" t="str">
        <x:v>Tourelles latérales, salves et noyau ; pièces ciblables ont barres et projections au sol indépendantes du corps.</x:v>
      </x:c>
      <x:c r="I33" s="9" t="str">
        <x:v>Châssis massif et lumière turquoise.</x:v>
      </x:c>
      <x:c r="J33" s="9" t="str">
        <x:v>Préparer une anticipation orientée, un événement de résolution, une récupération et une réaction interrompue propres à ce comportement : Tourelles latérales, salves et noyau ; pièces ciblables ont barres et projections au sol indépendantes du corps.</x:v>
      </x:c>
      <x:c r="K33" s="9" t="str">
        <x:v>Créer un signal distinct de préparation et une indication visuelle équivalente ; signaux de créature, machine et tir allié restent différenciés.</x:v>
      </x:c>
      <x:c r="L33" s="9" t="str">
        <x:v>Prévu : fiche de données mea/enemies/destroyer ; rattacher les ressources et états cités à cet identifiant. Aucun fichier de jeu créé par ce catalogue.</x:v>
      </x:c>
      <x:c r="M33" s="9" t="str">
        <x:v>Sites reliquats.</x:v>
      </x:c>
      <x:c r="N33" s="9" t="str">
        <x:v>Destroyer : tester la menace annoncée, une réponse de déplacement, un contre compatible et la sortie de combat ; cible, faction et phase ne changent jamais sans retour visible.</x:v>
      </x:c>
      <x:c r="O33" s="9" t="str"/>
      <x:c r="P33" s="9" t="str">
        <x:v>Destroyer</x:v>
      </x:c>
      <x:c r="Q33" s="9" t="str">
        <x:v>MEA-SRC-ASSEMBLER</x:v>
      </x:c>
      <x:c r="R33" s="9" t="str">
        <x:v>https://masseffect.fandom.com/wiki/Assembler</x:v>
      </x:c>
      <x:c r="S33" s="9" t="str">
        <x:v>Spécification à réaliser. Les champs adaptation, gameplay, visual, animation, audio et implementation décrivent le fan game ; ils ne donnent pas des caractéristiques officielles de l’œuvre.</x:v>
      </x:c>
    </x:row>
    <x:row r="34" ht="96" customHeight="1">
      <x:c r="A34" s="19" t="str">
        <x:v>MEA-ENM-NULLIFIER</x:v>
      </x:c>
      <x:c r="B34" s="7" t="str">
        <x:v>Nullifier</x:v>
      </x:c>
      <x:c r="C34" s="15" t="str">
        <x:v>Défini</x:v>
      </x:c>
      <x:c r="D34" s="17" t="str">
        <x:v>Établi</x:v>
      </x:c>
      <x:c r="E34" s="17" t="str">
        <x:v>P1</x:v>
      </x:c>
      <x:c r="F34" s="7" t="str">
        <x:v>Machine reliquate protégée.</x:v>
      </x:c>
      <x:c r="G34" s="7" t="str">
        <x:v>Déploiement de barrière puis tir ; exposer flanc et intervalle de reconfiguration plutôt qu’immunité totale opaque.</x:v>
      </x:c>
      <x:c r="H34" s="7" t="str">
        <x:v>Déploiement de barrière puis tir ; exposer flanc et intervalle de reconfiguration plutôt qu’immunité totale opaque.</x:v>
      </x:c>
      <x:c r="I34" s="7" t="str">
        <x:v>Bouclier frontal et corps mécanique.</x:v>
      </x:c>
      <x:c r="J34" s="7" t="str">
        <x:v>Préparer une anticipation orientée, un événement de résolution, une récupération et une réaction interrompue propres à ce comportement : Déploiement de barrière puis tir ; exposer flanc et intervalle de reconfiguration plutôt qu’immunité totale opaque.</x:v>
      </x:c>
      <x:c r="K34" s="7" t="str">
        <x:v>Créer un signal distinct de préparation et une indication visuelle équivalente ; signaux de créature, machine et tir allié restent différenciés.</x:v>
      </x:c>
      <x:c r="L34" s="7" t="str">
        <x:v>Prévu : fiche de données mea/enemies/nullifier ; rattacher les ressources et états cités à cet identifiant. Aucun fichier de jeu créé par ce catalogue.</x:v>
      </x:c>
      <x:c r="M34" s="7" t="str">
        <x:v>Sites reliquats.</x:v>
      </x:c>
      <x:c r="N34" s="7" t="str">
        <x:v>Nullifier : tester la menace annoncée, une réponse de déplacement, un contre compatible et la sortie de combat ; cible, faction et phase ne changent jamais sans retour visible.</x:v>
      </x:c>
      <x:c r="O34" s="7" t="str"/>
      <x:c r="P34" s="7" t="str">
        <x:v>Nullifier</x:v>
      </x:c>
      <x:c r="Q34" s="7" t="str">
        <x:v>MEA-SRC-ASSEMBLER</x:v>
      </x:c>
      <x:c r="R34" s="7" t="str">
        <x:v>https://masseffect.fandom.com/wiki/Assembler</x:v>
      </x:c>
      <x:c r="S34" s="7" t="str">
        <x:v>Spécification à réaliser. Les champs adaptation, gameplay, visual, animation, audio et implementation décrivent le fan game ; ils ne donnent pas des caractéristiques officielles de l’œuvre.</x:v>
      </x:c>
    </x:row>
    <x:row r="35" ht="82" customHeight="1">
      <x:c r="A35" s="18" t="str">
        <x:v>MEA-ENM-OBSERVER</x:v>
      </x:c>
      <x:c r="B35" s="9" t="str">
        <x:v>Observer</x:v>
      </x:c>
      <x:c r="C35" s="15" t="str">
        <x:v>Défini</x:v>
      </x:c>
      <x:c r="D35" s="16" t="str">
        <x:v>Établi</x:v>
      </x:c>
      <x:c r="E35" s="16" t="str">
        <x:v>P1</x:v>
      </x:c>
      <x:c r="F35" s="9" t="str">
        <x:v>Machine reliquate volante.</x:v>
      </x:c>
      <x:c r="G35" s="9" t="str">
        <x:v>Rayon continu à préparation visible ; version alliée étiquetée et contours de faction distincts.</x:v>
      </x:c>
      <x:c r="H35" s="9" t="str">
        <x:v>Rayon continu à préparation visible ; version alliée étiquetée et contours de faction distincts.</x:v>
      </x:c>
      <x:c r="I35" s="9" t="str">
        <x:v>Petit œil flottant et faisceau.</x:v>
      </x:c>
      <x:c r="J35" s="9" t="str">
        <x:v>Préparer une anticipation orientée, un événement de résolution, une récupération et une réaction interrompue propres à ce comportement : Rayon continu à préparation visible ; version alliée étiquetée et contours de faction distincts.</x:v>
      </x:c>
      <x:c r="K35" s="9" t="str">
        <x:v>Créer un signal distinct de préparation et une indication visuelle équivalente ; signaux de créature, machine et tir allié restent différenciés.</x:v>
      </x:c>
      <x:c r="L35" s="9" t="str">
        <x:v>Prévu : fiche de données mea/enemies/observer ; rattacher les ressources et états cités à cet identifiant. Aucun fichier de jeu créé par ce catalogue.</x:v>
      </x:c>
      <x:c r="M35" s="9" t="str">
        <x:v>Hostile ou allié selon console / mission.</x:v>
      </x:c>
      <x:c r="N35" s="9" t="str">
        <x:v>Observer : tester la menace annoncée, une réponse de déplacement, un contre compatible et la sortie de combat ; cible, faction et phase ne changent jamais sans retour visible.</x:v>
      </x:c>
      <x:c r="O35" s="9" t="str"/>
      <x:c r="P35" s="9" t="str">
        <x:v>Observer</x:v>
      </x:c>
      <x:c r="Q35" s="9" t="str">
        <x:v>MEA-SRC-ASSEMBLER, MEA-SRC-PEEBEE-LOYAL</x:v>
      </x:c>
      <x:c r="R35" s="9" t="str">
        <x:v>https://masseffect.fandom.com/wiki/Assembler
https://masseffect.fandom.com/wiki/Peebee%3A_A_Mysterious_Remnant_Signal</x:v>
      </x:c>
      <x:c r="S35" s="9" t="str">
        <x:v>Spécification à réaliser. Les champs adaptation, gameplay, visual, animation, audio et implementation décrivent le fan game ; ils ne donnent pas des caractéristiques officielles de l’œuvre.</x:v>
      </x:c>
    </x:row>
    <x:row r="36" ht="96" customHeight="1">
      <x:c r="A36" s="19" t="str">
        <x:v>MEA-ENM-REM-TURRET</x:v>
      </x:c>
      <x:c r="B36" s="7" t="str">
        <x:v>Tourelle reliquate</x:v>
      </x:c>
      <x:c r="C36" s="15" t="str">
        <x:v>Défini</x:v>
      </x:c>
      <x:c r="D36" s="17" t="str">
        <x:v>Établi</x:v>
      </x:c>
      <x:c r="E36" s="17" t="str">
        <x:v>P1</x:v>
      </x:c>
      <x:c r="F36" s="7" t="str">
        <x:v>Défense de site.</x:v>
      </x:c>
      <x:c r="G36" s="7" t="str">
        <x:v>Commande de console change faction explicitement ; conserver cible réservée ou annuler proprement lors de conversion.</x:v>
      </x:c>
      <x:c r="H36" s="7" t="str">
        <x:v>Commande de console change faction explicitement ; conserver cible réservée ou annuler proprement lors de conversion.</x:v>
      </x:c>
      <x:c r="I36" s="7" t="str">
        <x:v>Pylône et canon géométriques.</x:v>
      </x:c>
      <x:c r="J36" s="7" t="str">
        <x:v>Préparer une anticipation orientée, un événement de résolution, une récupération et une réaction interrompue propres à ce comportement : Commande de console change faction explicitement ; conserver cible réservée ou annuler proprement lors de conversion.</x:v>
      </x:c>
      <x:c r="K36" s="7" t="str">
        <x:v>Créer un signal distinct de préparation et une indication visuelle équivalente ; signaux de créature, machine et tir allié restent différenciés.</x:v>
      </x:c>
      <x:c r="L36" s="7" t="str">
        <x:v>Prévu : fiche de données mea/enemies/rem-turret ; rattacher les ressources et états cités à cet identifiant. Aucun fichier de jeu créé par ce catalogue.</x:v>
      </x:c>
      <x:c r="M36" s="7" t="str">
        <x:v>Sites reliquats.</x:v>
      </x:c>
      <x:c r="N36" s="7" t="str">
        <x:v>Tourelle reliquate : tester la menace annoncée, une réponse de déplacement, un contre compatible et la sortie de combat ; cible, faction et phase ne changent jamais sans retour visible.</x:v>
      </x:c>
      <x:c r="O36" s="7" t="str"/>
      <x:c r="P36" s="7" t="str">
        <x:v>Tourelle reliquate</x:v>
      </x:c>
      <x:c r="Q36" s="7" t="str">
        <x:v>MEA-SRC-ASSEMBLER</x:v>
      </x:c>
      <x:c r="R36" s="7" t="str">
        <x:v>https://masseffect.fandom.com/wiki/Assembler</x:v>
      </x:c>
      <x:c r="S36" s="7" t="str">
        <x:v>Spécification à réaliser. Les champs adaptation, gameplay, visual, animation, audio et implementation décrivent le fan game ; ils ne donnent pas des caractéristiques officielles de l’œuvre.</x:v>
      </x:c>
    </x:row>
    <x:row r="37" ht="96" customHeight="1">
      <x:c r="A37" s="18" t="str">
        <x:v>MEA-ENM-ARCHITECT</x:v>
      </x:c>
      <x:c r="B37" s="9" t="str">
        <x:v>Architecte reliquat</x:v>
      </x:c>
      <x:c r="C37" s="15" t="str">
        <x:v>Défini</x:v>
      </x:c>
      <x:c r="D37" s="16" t="str">
        <x:v>Établi</x:v>
      </x:c>
      <x:c r="E37" s="16" t="str">
        <x:v>P1</x:v>
      </x:c>
      <x:c r="F37" s="9" t="str">
        <x:v>Machine géante de plusieurs mondes.</x:v>
      </x:c>
      <x:c r="G37" s="9" t="str">
        <x:v>Membres puis tête exposée, repositionnement et renforts ; attaque au sol lisible en vue isométrique, distance visuelle ne cache pas portée réelle.</x:v>
      </x:c>
      <x:c r="H37" s="9" t="str">
        <x:v>Membres puis tête exposée, repositionnement et renforts ; attaque au sol lisible en vue isométrique, distance visuelle ne cache pas portée réelle.</x:v>
      </x:c>
      <x:c r="I37" s="9" t="str">
        <x:v>Long corps et trois membres monumentaux.</x:v>
      </x:c>
      <x:c r="J37" s="9" t="str">
        <x:v>Préparer une anticipation orientée, un événement de résolution, une récupération et une réaction interrompue propres à ce comportement : Membres puis tête exposée, repositionnement et renforts ; attaque au sol lisible en vue isométrique, distance visuelle ne cache pas portée réelle.</x:v>
      </x:c>
      <x:c r="K37" s="9" t="str">
        <x:v>Créer un signal distinct de préparation et une indication visuelle équivalente ; signaux de créature, machine et tir allié restent différenciés.</x:v>
      </x:c>
      <x:c r="L37" s="9" t="str">
        <x:v>Prévu : fiche de données mea/enemies/architect ; rattacher les ressources et états cités à cet identifiant. Aucun fichier de jeu créé par ce catalogue.</x:v>
      </x:c>
      <x:c r="M37" s="9" t="str">
        <x:v>Rencontres Eos/Voeld/Kadara/Elaaden à parametrer séparément.</x:v>
      </x:c>
      <x:c r="N37" s="9" t="str">
        <x:v>Architecte reliquat : tester la menace annoncée, une réponse de déplacement, un contre compatible et la sortie de combat ; cible, faction et phase ne changent jamais sans retour visible.</x:v>
      </x:c>
      <x:c r="O37" s="9" t="str"/>
      <x:c r="P37" s="9" t="str">
        <x:v>Architecte reliquat</x:v>
      </x:c>
      <x:c r="Q37" s="9" t="str">
        <x:v>MEA-SRC-ASSEMBLER, MEA-SRC-MISSIONS</x:v>
      </x:c>
      <x:c r="R37" s="9" t="str">
        <x:v>https://masseffect.fandom.com/wiki/Assembler
https://masseffect.fandom.com/wiki/Missions_%28Mass_Effect%3A_Andromeda%29</x:v>
      </x:c>
      <x:c r="S37" s="9" t="str">
        <x:v>Spécification à réaliser. Les champs adaptation, gameplay, visual, animation, audio et implementation décrivent le fan game ; ils ne donnent pas des caractéristiques officielles de l’œuvre.</x:v>
      </x:c>
    </x:row>
    <x:row r="38" ht="82" customHeight="1">
      <x:c r="A38" s="19" t="str">
        <x:v>MEA-ENM-PROGENITOR</x:v>
      </x:c>
      <x:c r="B38" s="7" t="str">
        <x:v>Progenitor</x:v>
      </x:c>
      <x:c r="C38" s="15" t="str">
        <x:v>Défini</x:v>
      </x:c>
      <x:c r="D38" s="17" t="str">
        <x:v>Établi</x:v>
      </x:c>
      <x:c r="E38" s="17" t="str">
        <x:v>P1</x:v>
      </x:c>
      <x:c r="F38" s="7" t="str">
        <x:v>Boss reliquat nommé.</x:v>
      </x:c>
      <x:c r="G38" s="7" t="str">
        <x:v>Variante Destroyer à phases propres, objectifs latéraux puis cœur ; aucune nouvelle espèce inventée.</x:v>
      </x:c>
      <x:c r="H38" s="7" t="str">
        <x:v>Variante Destroyer à phases propres, objectifs latéraux puis cœur ; aucune nouvelle espèce inventée.</x:v>
      </x:c>
      <x:c r="I38" s="7" t="str">
        <x:v>Machine lourde aux points lumineux.</x:v>
      </x:c>
      <x:c r="J38" s="7" t="str">
        <x:v>Préparer une anticipation orientée, un événement de résolution, une récupération et une réaction interrompue propres à ce comportement : Variante Destroyer à phases propres, objectifs latéraux puis cœur ; aucune nouvelle espèce inventée.</x:v>
      </x:c>
      <x:c r="K38" s="7" t="str">
        <x:v>Créer un signal distinct de préparation et une indication visuelle équivalente ; signaux de créature, machine et tir allié restent différenciés.</x:v>
      </x:c>
      <x:c r="L38" s="7" t="str">
        <x:v>Prévu : fiche de données mea/enemies/progenitor ; rattacher les ressources et états cités à cet identifiant. Aucun fichier de jeu créé par ce catalogue.</x:v>
      </x:c>
      <x:c r="M38" s="7" t="str">
        <x:v>The Remnant Tiller.</x:v>
      </x:c>
      <x:c r="N38" s="7" t="str">
        <x:v>Progenitor : tester la menace annoncée, une réponse de déplacement, un contre compatible et la sortie de combat ; cible, faction et phase ne changent jamais sans retour visible.</x:v>
      </x:c>
      <x:c r="O38" s="7" t="str"/>
      <x:c r="P38" s="7" t="str">
        <x:v>Progenitor</x:v>
      </x:c>
      <x:c r="Q38" s="7" t="str">
        <x:v>MEA-SRC-ASSEMBLER, MEA-SRC-MISSIONS</x:v>
      </x:c>
      <x:c r="R38" s="7" t="str">
        <x:v>https://masseffect.fandom.com/wiki/Assembler
https://masseffect.fandom.com/wiki/Missions_%28Mass_Effect%3A_Andromeda%29</x:v>
      </x:c>
      <x:c r="S38" s="7" t="str">
        <x:v>Spécification à réaliser. Les champs adaptation, gameplay, visual, animation, audio et implementation décrivent le fan game ; ils ne donnent pas des caractéristiques officielles de l’œuvre.</x:v>
      </x:c>
    </x:row>
    <x:row r="39" ht="96" customHeight="1">
      <x:c r="A39" s="18" t="str">
        <x:v>MEA-ENM-ARCHON-FINAL</x:v>
      </x:c>
      <x:c r="B39" s="9" t="str">
        <x:v>Archonte et réseau de Méridiane</x:v>
      </x:c>
      <x:c r="C39" s="15" t="str">
        <x:v>Défini</x:v>
      </x:c>
      <x:c r="D39" s="16" t="str">
        <x:v>Établi</x:v>
      </x:c>
      <x:c r="E39" s="16" t="str">
        <x:v>P1</x:v>
      </x:c>
      <x:c r="F39" s="9" t="str">
        <x:v>Confrontation finale.</x:v>
      </x:c>
      <x:c r="G39" s="9" t="str">
        <x:v>Boss à objectifs : survivre aux machines, ouvrir relais puis couper contrôle ; ne pas traiter l’Archonte comme fantassin à abattre directement.</x:v>
      </x:c>
      <x:c r="H39" s="9" t="str">
        <x:v>Boss à objectifs : survivre aux machines, ouvrir relais puis couper contrôle ; ne pas traiter l’Archonte comme fantassin à abattre directement.</x:v>
      </x:c>
      <x:c r="I39" s="9" t="str">
        <x:v>Plateforme de contrôle et machine géante.</x:v>
      </x:c>
      <x:c r="J39" s="9" t="str">
        <x:v>Préparer une anticipation orientée, un événement de résolution, une récupération et une réaction interrompue propres à ce comportement : Boss à objectifs : survivre aux machines, ouvrir relais puis couper contrôle ; ne pas traiter l’Archonte comme fantassin à abattre directement.</x:v>
      </x:c>
      <x:c r="K39" s="9" t="str">
        <x:v>Créer un signal distinct de préparation et une indication visuelle équivalente ; signaux de créature, machine et tir allié restent différenciés.</x:v>
      </x:c>
      <x:c r="L39" s="9" t="str">
        <x:v>Prévu : fiche de données mea/enemies/archon-final ; rattacher les ressources et états cités à cet identifiant. Aucun fichier de jeu créé par ce catalogue.</x:v>
      </x:c>
      <x:c r="M39" s="9" t="str">
        <x:v>Final solo uniquement.</x:v>
      </x:c>
      <x:c r="N39" s="9" t="str">
        <x:v>Archonte et réseau de Méridiane : tester la menace annoncée, une réponse de déplacement, un contre compatible et la sortie de combat ; cible, faction et phase ne changent jamais sans retour visible.</x:v>
      </x:c>
      <x:c r="O39" s="9" t="str"/>
      <x:c r="P39" s="9" t="str">
        <x:v>Archonte et réseau de Méridiane</x:v>
      </x:c>
      <x:c r="Q39" s="9" t="str">
        <x:v>MEA-SRC-MERIDIAN</x:v>
      </x:c>
      <x:c r="R39" s="9" t="str">
        <x:v>https://masseffect.fandom.com/wiki/Meridian%3A_The_Way_Home</x:v>
      </x:c>
      <x:c r="S39" s="9" t="str">
        <x:v>Spécification à réaliser. Les champs adaptation, gameplay, visual, animation, audio et implementation décrivent le fan game ; ils ne donnent pas des caractéristiques officielles de l’œuvre.</x:v>
      </x:c>
    </x:row>
    <x:row r="40" ht="96" customHeight="1">
      <x:c r="A40" s="19" t="str">
        <x:v>MEA-ENM-CALOT</x:v>
      </x:c>
      <x:c r="B40" s="7" t="str">
        <x:v>Calot Gurting</x:v>
      </x:c>
      <x:c r="C40" s="15" t="str">
        <x:v>Défini</x:v>
      </x:c>
      <x:c r="D40" s="17" t="str">
        <x:v>Établi</x:v>
      </x:c>
      <x:c r="E40" s="17" t="str">
        <x:v>P1</x:v>
      </x:c>
      <x:c r="F40" s="7" t="str">
        <x:v>Chef du vaisseau de Liam.</x:v>
      </x:c>
      <x:c r="G40" s="7" t="str">
        <x:v>Bouclier à neutraliser par point de piratage défendu ; couvrir l’opérateur et repousser les vagues limitées.</x:v>
      </x:c>
      <x:c r="H40" s="7" t="str">
        <x:v>Bouclier à neutraliser par point de piratage défendu ; couvrir l’opérateur et repousser les vagues limitées.</x:v>
      </x:c>
      <x:c r="I40" s="7" t="str">
        <x:v>Angara de commandement et champ protecteur.</x:v>
      </x:c>
      <x:c r="J40" s="7" t="str">
        <x:v>Préparer une anticipation orientée, un événement de résolution, une récupération et une réaction interrompue propres à ce comportement : Bouclier à neutraliser par point de piratage défendu ; couvrir l’opérateur et repousser les vagues limitées.</x:v>
      </x:c>
      <x:c r="K40" s="7" t="str">
        <x:v>Créer un signal distinct de préparation et une indication visuelle équivalente ; signaux de créature, machine et tir allié restent différenciés.</x:v>
      </x:c>
      <x:c r="L40" s="7" t="str">
        <x:v>Prévu : fiche de données mea/enemies/calot ; rattacher les ressources et états cités à cet identifiant. Aucun fichier de jeu créé par ce catalogue.</x:v>
      </x:c>
      <x:c r="M40" s="7" t="str">
        <x:v>Liam: All In.</x:v>
      </x:c>
      <x:c r="N40" s="7" t="str">
        <x:v>Calot Gurting : tester la menace annoncée, une réponse de déplacement, un contre compatible et la sortie de combat ; cible, faction et phase ne changent jamais sans retour visible.</x:v>
      </x:c>
      <x:c r="O40" s="7" t="str"/>
      <x:c r="P40" s="7" t="str">
        <x:v>Calot Gurting</x:v>
      </x:c>
      <x:c r="Q40" s="7" t="str">
        <x:v>MEA-SRC-LIAM-LOYAL</x:v>
      </x:c>
      <x:c r="R40" s="7" t="str">
        <x:v>https://masseffect.fandom.com/wiki/Liam_Kosta%3A_All_In</x:v>
      </x:c>
      <x:c r="S40" s="7" t="str">
        <x:v>Spécification à réaliser. Les champs adaptation, gameplay, visual, animation, audio et implementation décrivent le fan game ; ils ne donnent pas des caractéristiques officielles de l’œuvre.</x:v>
      </x:c>
    </x:row>
    <x:row r="41" ht="96" customHeight="1">
      <x:c r="A41" s="18" t="str">
        <x:v>MEA-ENM-MERIWEATHER</x:v>
      </x:c>
      <x:c r="B41" s="9" t="str">
        <x:v>Meriweather</x:v>
      </x:c>
      <x:c r="C41" s="15" t="str">
        <x:v>Défini</x:v>
      </x:c>
      <x:c r="D41" s="16" t="str">
        <x:v>Établi</x:v>
      </x:c>
      <x:c r="E41" s="16" t="str">
        <x:v>P1</x:v>
      </x:c>
      <x:c r="F41" s="9" t="str">
        <x:v>Antagoniste de la mission de Vetra.</x:v>
      </x:c>
      <x:c r="G41" s="9" t="str">
        <x:v>Rencontre conditionnée aux sabotages de Sid ; renforts et dangers correspondent aux salles réellement préparées.</x:v>
      </x:c>
      <x:c r="H41" s="9" t="str">
        <x:v>Rencontre conditionnée aux sabotages de Sid ; renforts et dangers correspondent aux salles réellement préparées.</x:v>
      </x:c>
      <x:c r="I41" s="9" t="str">
        <x:v>Chef de groupe et mine industrielle.</x:v>
      </x:c>
      <x:c r="J41" s="9" t="str">
        <x:v>Préparer une anticipation orientée, un événement de résolution, une récupération et une réaction interrompue propres à ce comportement : Rencontre conditionnée aux sabotages de Sid ; renforts et dangers correspondent aux salles réellement préparées.</x:v>
      </x:c>
      <x:c r="K41" s="9" t="str">
        <x:v>Créer un signal distinct de préparation et une indication visuelle équivalente ; signaux de créature, machine et tir allié restent différenciés.</x:v>
      </x:c>
      <x:c r="L41" s="9" t="str">
        <x:v>Prévu : fiche de données mea/enemies/meriweather ; rattacher les ressources et états cités à cet identifiant. Aucun fichier de jeu créé par ce catalogue.</x:v>
      </x:c>
      <x:c r="M41" s="9" t="str">
        <x:v>Vetra: Means and Ends.</x:v>
      </x:c>
      <x:c r="N41" s="9" t="str">
        <x:v>Meriweather : tester la menace annoncée, une réponse de déplacement, un contre compatible et la sortie de combat ; cible, faction et phase ne changent jamais sans retour visible.</x:v>
      </x:c>
      <x:c r="O41" s="9" t="str"/>
      <x:c r="P41" s="9" t="str">
        <x:v>Meriweather</x:v>
      </x:c>
      <x:c r="Q41" s="9" t="str">
        <x:v>MEA-SRC-VETRA-LOYAL</x:v>
      </x:c>
      <x:c r="R41" s="9" t="str">
        <x:v>https://masseffect.fandom.com/wiki/Vetra_Nyx%3A_Means_and_Ends</x:v>
      </x:c>
      <x:c r="S41" s="9" t="str">
        <x:v>Spécification à réaliser. Les champs adaptation, gameplay, visual, animation, audio et implementation décrivent le fan game ; ils ne donnent pas des caractéristiques officielles de l’œuvre.</x:v>
      </x:c>
    </x:row>
    <x:row r="42" ht="96" customHeight="1">
      <x:c r="A42" s="19" t="str">
        <x:v>MEA-ENM-ADHI-WILD</x:v>
      </x:c>
      <x:c r="B42" s="7" t="str">
        <x:v>Adhi sauvage</x:v>
      </x:c>
      <x:c r="C42" s="15" t="str">
        <x:v>Défini</x:v>
      </x:c>
      <x:c r="D42" s="17" t="str">
        <x:v>Établi</x:v>
      </x:c>
      <x:c r="E42" s="17" t="str">
        <x:v>P1</x:v>
      </x:c>
      <x:c r="F42" s="7" t="str">
        <x:v>Faune de Heleus.</x:v>
      </x:c>
      <x:c r="G42" s="7" t="str">
        <x:v>Territoire et avertissement avant poursuite ; possibilité d’observation sans combat si le joueur reste hors zone proposée.</x:v>
      </x:c>
      <x:c r="H42" s="7" t="str">
        <x:v>Territoire et avertissement avant poursuite ; possibilité d’observation sans combat si le joueur reste hors zone proposée.</x:v>
      </x:c>
      <x:c r="I42" s="7" t="str">
        <x:v>Quadrupède nerveux.</x:v>
      </x:c>
      <x:c r="J42" s="7" t="str">
        <x:v>Préparer une anticipation orientée, un événement de résolution, une récupération et une réaction interrompue propres à ce comportement : Territoire et avertissement avant poursuite ; possibilité d’observation sans combat si le joueur reste hors zone proposée.</x:v>
      </x:c>
      <x:c r="K42" s="7" t="str">
        <x:v>Créer un signal distinct de préparation et une indication visuelle équivalente ; signaux de créature, machine et tir allié restent différenciés.</x:v>
      </x:c>
      <x:c r="L42" s="7" t="str">
        <x:v>Prévu : fiche de données mea/enemies/adhi-wild ; rattacher les ressources et états cités à cet identifiant. Aucun fichier de jeu créé par ce catalogue.</x:v>
      </x:c>
      <x:c r="M42" s="7" t="str">
        <x:v>Faune, pas faction kett par défaut.</x:v>
      </x:c>
      <x:c r="N42" s="7" t="str">
        <x:v>Adhi sauvage : tester la menace annoncée, une réponse de déplacement, un contre compatible et la sortie de combat ; cible, faction et phase ne changent jamais sans retour visible.</x:v>
      </x:c>
      <x:c r="O42" s="7" t="str"/>
      <x:c r="P42" s="7" t="str">
        <x:v>Adhi sauvage</x:v>
      </x:c>
      <x:c r="Q42" s="7" t="str">
        <x:v>MEA-SRC-ADHI</x:v>
      </x:c>
      <x:c r="R42" s="7" t="str">
        <x:v>https://masseffect.fandom.com/wiki/Adhi</x:v>
      </x:c>
      <x:c r="S42" s="7" t="str">
        <x:v>Spécification à réaliser. Les champs adaptation, gameplay, visual, animation, audio et implementation décrivent le fan game ; ils ne donnent pas des caractéristiques officielles de l’œuvre.</x:v>
      </x:c>
    </x:row>
    <x:row r="43" ht="96" customHeight="1">
      <x:c r="A43" s="18" t="str">
        <x:v>MEA-ENM-ANCIENT-EIROCH</x:v>
      </x:c>
      <x:c r="B43" s="9" t="str">
        <x:v>Ancient Eiroch</x:v>
      </x:c>
      <x:c r="C43" s="15" t="str">
        <x:v>Défini</x:v>
      </x:c>
      <x:c r="D43" s="16" t="str">
        <x:v>Établi</x:v>
      </x:c>
      <x:c r="E43" s="16" t="str">
        <x:v>P1</x:v>
      </x:c>
      <x:c r="F43" s="9" t="str">
        <x:v>Créature massive.</x:v>
      </x:c>
      <x:c r="G43" s="9" t="str">
        <x:v>Charge et balayage à cône large ; faiblesse proposée après collision, champ de cible indépendant de hauteur du sprite.</x:v>
      </x:c>
      <x:c r="H43" s="9" t="str">
        <x:v>Charge et balayage à cône large ; faiblesse proposée après collision, champ de cible indépendant de hauteur du sprite.</x:v>
      </x:c>
      <x:c r="I43" s="9" t="str">
        <x:v>Grand quadrupède et tête massive.</x:v>
      </x:c>
      <x:c r="J43" s="9" t="str">
        <x:v>Préparer une anticipation orientée, un événement de résolution, une récupération et une réaction interrompue propres à ce comportement : Charge et balayage à cône large ; faiblesse proposée après collision, champ de cible indépendant de hauteur du sprite.</x:v>
      </x:c>
      <x:c r="K43" s="9" t="str">
        <x:v>Créer un signal distinct de préparation et une indication visuelle équivalente ; signaux de créature, machine et tir allié restent différenciés.</x:v>
      </x:c>
      <x:c r="L43" s="9" t="str">
        <x:v>Prévu : fiche de données mea/enemies/ancient-eiroch ; rattacher les ressources et états cités à cet identifiant. Aucun fichier de jeu créé par ce catalogue.</x:v>
      </x:c>
      <x:c r="M43" s="9" t="str">
        <x:v>Rencontre de faune.</x:v>
      </x:c>
      <x:c r="N43" s="9" t="str">
        <x:v>Ancient Eiroch : tester la menace annoncée, une réponse de déplacement, un contre compatible et la sortie de combat ; cible, faction et phase ne changent jamais sans retour visible.</x:v>
      </x:c>
      <x:c r="O43" s="9" t="str"/>
      <x:c r="P43" s="9" t="str">
        <x:v>Ancient Eiroch</x:v>
      </x:c>
      <x:c r="Q43" s="9" t="str">
        <x:v>MEA-SRC-EIROCH</x:v>
      </x:c>
      <x:c r="R43" s="9" t="str">
        <x:v>https://masseffect.fandom.com/wiki/Ancient_Eiroch</x:v>
      </x:c>
      <x:c r="S43" s="9" t="str">
        <x:v>Spécification à réaliser. Les champs adaptation, gameplay, visual, animation, audio et implementation décrivent le fan game ; ils ne donnent pas des caractéristiques officielles de l’œuvre.</x:v>
      </x:c>
    </x:row>
    <x:row r="44" ht="96" customHeight="1">
      <x:c r="A44" s="19" t="str">
        <x:v>MEA-ENM-KAERKYN</x:v>
      </x:c>
      <x:c r="B44" s="7" t="str">
        <x:v>Kaerkyn</x:v>
      </x:c>
      <x:c r="C44" s="15" t="str">
        <x:v>Défini</x:v>
      </x:c>
      <x:c r="D44" s="17" t="str">
        <x:v>Établi</x:v>
      </x:c>
      <x:c r="E44" s="17" t="str">
        <x:v>P1</x:v>
      </x:c>
      <x:c r="F44" s="7" t="str">
        <x:v>Faune locale.</x:v>
      </x:c>
      <x:c r="G44" s="7" t="str">
        <x:v>Réaction de défense et déplacement court proposés ; comportement non hostile par défaut tant que rencontre ne le requiert.</x:v>
      </x:c>
      <x:c r="H44" s="7" t="str">
        <x:v>Réaction de défense et déplacement court proposés ; comportement non hostile par défaut tant que rencontre ne le requiert.</x:v>
      </x:c>
      <x:c r="I44" s="7" t="str">
        <x:v>Créature locale à silhouette distincte.</x:v>
      </x:c>
      <x:c r="J44" s="7" t="str">
        <x:v>Préparer une anticipation orientée, un événement de résolution, une récupération et une réaction interrompue propres à ce comportement : Réaction de défense et déplacement court proposés ; comportement non hostile par défaut tant que rencontre ne le requiert.</x:v>
      </x:c>
      <x:c r="K44" s="7" t="str">
        <x:v>Créer un signal distinct de préparation et une indication visuelle équivalente ; signaux de créature, machine et tir allié restent différenciés.</x:v>
      </x:c>
      <x:c r="L44" s="7" t="str">
        <x:v>Prévu : fiche de données mea/enemies/kaerkyn ; rattacher les ressources et états cités à cet identifiant. Aucun fichier de jeu créé par ce catalogue.</x:v>
      </x:c>
      <x:c r="M44" s="7" t="str">
        <x:v>Paramètres d’hostilité à vérifier par lieu.</x:v>
      </x:c>
      <x:c r="N44" s="7" t="str">
        <x:v>Kaerkyn : tester la menace annoncée, une réponse de déplacement, un contre compatible et la sortie de combat ; cible, faction et phase ne changent jamais sans retour visible.</x:v>
      </x:c>
      <x:c r="O44" s="7" t="str"/>
      <x:c r="P44" s="7" t="str">
        <x:v>Kaerkyn</x:v>
      </x:c>
      <x:c r="Q44" s="7" t="str">
        <x:v>MEA-SRC-KAERKYN</x:v>
      </x:c>
      <x:c r="R44" s="7" t="str">
        <x:v>https://masseffect.fandom.com/wiki/Kaerkyn</x:v>
      </x:c>
      <x:c r="S44" s="7" t="str">
        <x:v>Spécification à réaliser. Les champs adaptation, gameplay, visual, animation, audio et implementation décrivent le fan game ; ils ne donnent pas des caractéristiques officielles de l’œuvre.</x:v>
      </x:c>
    </x:row>
    <x:row r="45" ht="82" customHeight="1">
      <x:c r="A45" s="18" t="str">
        <x:v>MEA-ENM-SPITBUG</x:v>
      </x:c>
      <x:c r="B45" s="9" t="str">
        <x:v>Spitbug</x:v>
      </x:c>
      <x:c r="C45" s="15" t="str">
        <x:v>Défini</x:v>
      </x:c>
      <x:c r="D45" s="16" t="str">
        <x:v>Établi</x:v>
      </x:c>
      <x:c r="E45" s="16" t="str">
        <x:v>P1</x:v>
      </x:c>
      <x:c r="F45" s="9" t="str">
        <x:v>Créature projetant une substance.</x:v>
      </x:c>
      <x:c r="G45" s="9" t="str">
        <x:v>Jet arqué puis zone persistante proposée ; trace au sol donne durée et contournement.</x:v>
      </x:c>
      <x:c r="H45" s="9" t="str">
        <x:v>Jet arqué puis zone persistante proposée ; trace au sol donne durée et contournement.</x:v>
      </x:c>
      <x:c r="I45" s="9" t="str">
        <x:v>Insectoïde et projectile visible.</x:v>
      </x:c>
      <x:c r="J45" s="9" t="str">
        <x:v>Préparer une anticipation orientée, un événement de résolution, une récupération et une réaction interrompue propres à ce comportement : Jet arqué puis zone persistante proposée ; trace au sol donne durée et contournement.</x:v>
      </x:c>
      <x:c r="K45" s="9" t="str">
        <x:v>Créer un signal distinct de préparation et une indication visuelle équivalente ; signaux de créature, machine et tir allié restent différenciés.</x:v>
      </x:c>
      <x:c r="L45" s="9" t="str">
        <x:v>Prévu : fiche de données mea/enemies/spitbug ; rattacher les ressources et états cités à cet identifiant. Aucun fichier de jeu créé par ce catalogue.</x:v>
      </x:c>
      <x:c r="M45" s="9" t="str">
        <x:v>Faune.</x:v>
      </x:c>
      <x:c r="N45" s="9" t="str">
        <x:v>Spitbug : tester la menace annoncée, une réponse de déplacement, un contre compatible et la sortie de combat ; cible, faction et phase ne changent jamais sans retour visible.</x:v>
      </x:c>
      <x:c r="O45" s="9" t="str"/>
      <x:c r="P45" s="9" t="str">
        <x:v>Spitbug</x:v>
      </x:c>
      <x:c r="Q45" s="9" t="str">
        <x:v>MEA-SRC-SPITBUG</x:v>
      </x:c>
      <x:c r="R45" s="9" t="str">
        <x:v>https://masseffect.fandom.com/wiki/Spitbug</x:v>
      </x:c>
      <x:c r="S45" s="9" t="str">
        <x:v>Spécification à réaliser. Les champs adaptation, gameplay, visual, animation, audio et implementation décrivent le fan game ; ils ne donnent pas des caractéristiques officielles de l’œuvre.</x:v>
      </x:c>
    </x:row>
    <x:row r="46" ht="96" customHeight="1">
      <x:c r="A46" s="19" t="str">
        <x:v>MEA-ENM-TAURG</x:v>
      </x:c>
      <x:c r="B46" s="7" t="str">
        <x:v>Taurg</x:v>
      </x:c>
      <x:c r="C46" s="15" t="str">
        <x:v>Défini</x:v>
      </x:c>
      <x:c r="D46" s="17" t="str">
        <x:v>Établi</x:v>
      </x:c>
      <x:c r="E46" s="17" t="str">
        <x:v>P1</x:v>
      </x:c>
      <x:c r="F46" s="7" t="str">
        <x:v>Faune locale.</x:v>
      </x:c>
      <x:c r="G46" s="7" t="str">
        <x:v>Patrouille territoriale et recul d’avertissement proposés ; conservation d’une distance d’observation pour scanner.</x:v>
      </x:c>
      <x:c r="H46" s="7" t="str">
        <x:v>Patrouille territoriale et recul d’avertissement proposés ; conservation d’une distance d’observation pour scanner.</x:v>
      </x:c>
      <x:c r="I46" s="7" t="str">
        <x:v>Grande silhouette de faune.</x:v>
      </x:c>
      <x:c r="J46" s="7" t="str">
        <x:v>Préparer une anticipation orientée, un événement de résolution, une récupération et une réaction interrompue propres à ce comportement : Patrouille territoriale et recul d’avertissement proposés ; conservation d’une distance d’observation pour scanner.</x:v>
      </x:c>
      <x:c r="K46" s="7" t="str">
        <x:v>Créer un signal distinct de préparation et une indication visuelle équivalente ; signaux de créature, machine et tir allié restent différenciés.</x:v>
      </x:c>
      <x:c r="L46" s="7" t="str">
        <x:v>Prévu : fiche de données mea/enemies/taurg ; rattacher les ressources et états cités à cet identifiant. Aucun fichier de jeu créé par ce catalogue.</x:v>
      </x:c>
      <x:c r="M46" s="7" t="str">
        <x:v>Hostilité déterminée par variante documentée.</x:v>
      </x:c>
      <x:c r="N46" s="7" t="str">
        <x:v>Taurg : tester la menace annoncée, une réponse de déplacement, un contre compatible et la sortie de combat ; cible, faction et phase ne changent jamais sans retour visible.</x:v>
      </x:c>
      <x:c r="O46" s="7" t="str"/>
      <x:c r="P46" s="7" t="str">
        <x:v>Taurg</x:v>
      </x:c>
      <x:c r="Q46" s="7" t="str">
        <x:v>MEA-SRC-TAURG</x:v>
      </x:c>
      <x:c r="R46" s="7" t="str">
        <x:v>https://masseffect.fandom.com/wiki/Taurg</x:v>
      </x:c>
      <x:c r="S46" s="7" t="str">
        <x:v>Spécification à réaliser. Les champs adaptation, gameplay, visual, animation, audio et implementation décrivent le fan game ; ils ne donnent pas des caractéristiques officielles de l’œuvre.</x:v>
      </x:c>
    </x:row>
    <x:row r="47" ht="96" customHeight="1">
      <x:c r="A47" s="18" t="str">
        <x:v>MEA-ENM-CHALLYRION</x:v>
      </x:c>
      <x:c r="B47" s="9" t="str">
        <x:v>Challyrion</x:v>
      </x:c>
      <x:c r="C47" s="15" t="str">
        <x:v>Défini</x:v>
      </x:c>
      <x:c r="D47" s="16" t="str">
        <x:v>Établi</x:v>
      </x:c>
      <x:c r="E47" s="16" t="str">
        <x:v>P1</x:v>
      </x:c>
      <x:c r="F47" s="9" t="str">
        <x:v>Faune de Havarl.</x:v>
      </x:c>
      <x:c r="G47" s="9" t="str">
        <x:v>Variante normale observable et variante mutée dangereuse séparées ; analyser avant action reste une vraie option.</x:v>
      </x:c>
      <x:c r="H47" s="9" t="str">
        <x:v>Variante normale observable et variante mutée dangereuse séparées ; analyser avant action reste une vraie option.</x:v>
      </x:c>
      <x:c r="I47" s="9" t="str">
        <x:v>Créature de jungle et variante plus grande.</x:v>
      </x:c>
      <x:c r="J47" s="9" t="str">
        <x:v>Préparer une anticipation orientée, un événement de résolution, une récupération et une réaction interrompue propres à ce comportement : Variante normale observable et variante mutée dangereuse séparées ; analyser avant action reste une vraie option.</x:v>
      </x:c>
      <x:c r="K47" s="9" t="str">
        <x:v>Créer un signal distinct de préparation et une indication visuelle équivalente ; signaux de créature, machine et tir allié restent différenciés.</x:v>
      </x:c>
      <x:c r="L47" s="9" t="str">
        <x:v>Prévu : fiche de données mea/enemies/challyrion ; rattacher les ressources et états cités à cet identifiant. Aucun fichier de jeu créé par ce catalogue.</x:v>
      </x:c>
      <x:c r="M47" s="9" t="str">
        <x:v>Overgrown pour variante mutée.</x:v>
      </x:c>
      <x:c r="N47" s="9" t="str">
        <x:v>Challyrion : tester la menace annoncée, une réponse de déplacement, un contre compatible et la sortie de combat ; cible, faction et phase ne changent jamais sans retour visible.</x:v>
      </x:c>
      <x:c r="O47" s="9" t="str"/>
      <x:c r="P47" s="9" t="str">
        <x:v>Challyrion</x:v>
      </x:c>
      <x:c r="Q47" s="9" t="str">
        <x:v>MEA-SRC-CHALLYRION, MEA-SRC-OVERGROWN</x:v>
      </x:c>
      <x:c r="R47" s="9" t="str">
        <x:v>https://masseffect.fandom.com/wiki/Challyrion
https://masseffect.fandom.com/wiki/Overgrown</x:v>
      </x:c>
      <x:c r="S47" s="9" t="str">
        <x:v>Spécification à réaliser. Les champs adaptation, gameplay, visual, animation, audio et implementation décrivent le fan game ; ils ne donnent pas des caractéristiques officielles de l’œuvre.</x:v>
      </x:c>
    </x:row>
  </x:sheetData>
  <x:conditionalFormatting sqref="D7:D47">
    <x:cfRule type="cellIs" dxfId="32" priority="1" operator="equal">
      <x:formula>"À vérifier"</x:formula>
    </x:cfRule>
    <x:cfRule type="cellIs" dxfId="33" priority="2" operator="equal">
      <x:formula>"Extrapolation"</x:formula>
    </x:cfRule>
  </x:conditionalFormatting>
  <x:conditionalFormatting sqref="C7:C47">
    <x:cfRule type="cellIs" dxfId="34" priority="3" operator="equal">
      <x:formula>"Validé"</x:formula>
    </x:cfRule>
  </x:conditionalFormatting>
  <x:conditionalFormatting sqref="E7:E47">
    <x:cfRule type="cellIs" dxfId="35" priority="4" operator="equal">
      <x:formula>"P0"</x:formula>
    </x:cfRule>
  </x:conditionalFormatting>
  <x:dataValidations count="3">
    <x:dataValidation type="list" sqref="C7:C47">
      <x:formula1>"Défini,Prototype,Intégré,Validé"</x:formula1>
    </x:dataValidation>
    <x:dataValidation type="list" sqref="D7:D47">
      <x:formula1>"Établi,À vérifier,Extrapolation,Coupé attesté,Concept abandonné,Allégation écartée"</x:formula1>
    </x:dataValidation>
    <x:dataValidation type="list" sqref="E7:E47">
      <x:formula1>"P0,P1,P2"</x:formula1>
    </x:dataValidation>
  </x:dataValidations>
  <x:pageMargins left="0.7" right="0.7" top="0.75" bottom="0.75" header="0.3" footer="0.3"/>
  <x:tableParts count="1">
    <x:tablePart xmlns:r="http://schemas.openxmlformats.org/officeDocument/2006/relationships" r:id="R5dfdeba12f9b4d47"/>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Andromeda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MEA-MQ-HYPERION</x:v>
      </x:c>
      <x:c r="B7" s="9" t="str">
        <x:v>Prologue: Hyperion</x:v>
      </x:c>
      <x:c r="C7" s="15" t="str">
        <x:v>Défini</x:v>
      </x:c>
      <x:c r="D7" s="16" t="str">
        <x:v>Établi</x:v>
      </x:c>
      <x:c r="E7" s="16" t="str">
        <x:v>P1</x:v>
      </x:c>
      <x:c r="F7" s="9" t="str">
        <x:v>Réveil sur l’arche humaine.</x:v>
      </x:c>
      <x:c r="G7" s="9" t="str">
        <x:v>Tutoriel dialogue, déplacement et scanner avec étapes courtes ; personnalisation confirmée avant entrée sur terrain.</x:v>
      </x:c>
      <x:c r="H7" s="9" t="str">
        <x:v>Tutoriel dialogue, déplacement et scanner avec étapes courtes ; personnalisation confirmée avant entrée sur terrain.</x:v>
      </x:c>
      <x:c r="I7" s="9" t="str">
        <x:v>Cryostase, passerelle et fenêtres spatiales.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mea/main_quests/hyperion ; rattacher les ressources et états cités à cet identifiant. Aucun fichier de jeu créé par ce catalogue.</x:v>
      </x:c>
      <x:c r="M7" s="9" t="str"/>
      <x:c r="N7" s="9" t="str">
        <x:v>Le livrable « Prologue: Hyperion » possède une scène ou un scénario de contrôle ; ses règles proposées, ses conditions et ses retours visuels sont vérifiables séparément.</x:v>
      </x:c>
      <x:c r="O7" s="9" t="str"/>
      <x:c r="P7" s="9" t="str">
        <x:v>Prologue: Hyperion</x:v>
      </x:c>
      <x:c r="Q7" s="9" t="str">
        <x:v>MEA-SRC-GUIDE</x:v>
      </x:c>
      <x:c r="R7" s="9" t="str">
        <x:v>https://masseffect.fandom.com/wiki/Mass_Effect%3A_Andromeda_Guide</x:v>
      </x:c>
      <x:c r="S7" s="9" t="str">
        <x:v>Spécification à réaliser. Les champs adaptation, gameplay, visual, animation, audio et implementation décrivent le fan game ; ils ne donnent pas des caractéristiques officielles de l’œuvre.</x:v>
      </x:c>
    </x:row>
    <x:row r="8" ht="68" customHeight="1">
      <x:c r="A8" s="19" t="str">
        <x:v>MEA-MQ-PLANETSIDE</x:v>
      </x:c>
      <x:c r="B8" s="7" t="str">
        <x:v>Planetside — Habitat 7</x:v>
      </x:c>
      <x:c r="C8" s="15" t="str">
        <x:v>Défini</x:v>
      </x:c>
      <x:c r="D8" s="17" t="str">
        <x:v>Établi</x:v>
      </x:c>
      <x:c r="E8" s="17" t="str">
        <x:v>P1</x:v>
      </x:c>
      <x:c r="F8" s="7" t="str">
        <x:v>Première exploration planétaire.</x:v>
      </x:c>
      <x:c r="G8" s="7" t="str">
        <x:v>Décomposer atterrissage, recherche d’équipe, premier combat et tour reliquate ; dangers météo lisibles avant mouvement.</x:v>
      </x:c>
      <x:c r="H8" s="7" t="str">
        <x:v>Décomposer atterrissage, recherche d’équipe, premier combat et tour reliquate ; dangers météo lisibles avant mouvement.</x:v>
      </x:c>
      <x:c r="I8" s="7" t="str">
        <x:v>Roches flottantes, éclairs et ruines.</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mea/main_quests/planetside ; rattacher les ressources et états cités à cet identifiant. Aucun fichier de jeu créé par ce catalogue.</x:v>
      </x:c>
      <x:c r="M8" s="7" t="str"/>
      <x:c r="N8" s="7" t="str">
        <x:v>Le livrable « Planetside — Habitat 7 » possède une scène ou un scénario de contrôle ; ses règles proposées, ses conditions et ses retours visuels sont vérifiables séparément.</x:v>
      </x:c>
      <x:c r="O8" s="7" t="str"/>
      <x:c r="P8" s="7" t="str">
        <x:v>Planetside — Habitat 7</x:v>
      </x:c>
      <x:c r="Q8" s="7" t="str">
        <x:v>MEA-SRC-GUIDE</x:v>
      </x:c>
      <x:c r="R8" s="7" t="str">
        <x:v>https://masseffect.fandom.com/wiki/Mass_Effect%3A_Andromeda_Guide</x:v>
      </x:c>
      <x:c r="S8" s="7" t="str">
        <x:v>Spécification à réaliser. Les champs adaptation, gameplay, visual, animation, audio et implementation décrivent le fan game ; ils ne donnent pas des caractéristiques officielles de l’œuvre.</x:v>
      </x:c>
    </x:row>
    <x:row r="9" ht="68" customHeight="1">
      <x:c r="A9" s="18" t="str">
        <x:v>MEA-MQ-NEXUS</x:v>
      </x:c>
      <x:c r="B9" s="9" t="str">
        <x:v>Nexus Reunion</x:v>
      </x:c>
      <x:c r="C9" s="15" t="str">
        <x:v>Défini</x:v>
      </x:c>
      <x:c r="D9" s="16" t="str">
        <x:v>Établi</x:v>
      </x:c>
      <x:c r="E9" s="16" t="str">
        <x:v>P1</x:v>
      </x:c>
      <x:c r="F9" s="9" t="str">
        <x:v>Premier contact avec le Nexus.</x:v>
      </x:c>
      <x:c r="G9" s="9" t="str">
        <x:v>Hub de présentation avec parcours libre et interlocuteurs repérables ; toutes les missions obtenues gardent leur provenance.</x:v>
      </x:c>
      <x:c r="H9" s="9" t="str">
        <x:v>Hub de présentation avec parcours libre et interlocuteurs repérables ; toutes les missions obtenues gardent leur provenance.</x:v>
      </x:c>
      <x:c r="I9" s="9" t="str">
        <x:v>Station incomplète et bureaux.</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mea/main_quests/nexus ; rattacher les ressources et états cités à cet identifiant. Aucun fichier de jeu créé par ce catalogue.</x:v>
      </x:c>
      <x:c r="M9" s="9" t="str"/>
      <x:c r="N9" s="9" t="str">
        <x:v>Le livrable « Nexus Reunion » possède une scène ou un scénario de contrôle ; ses règles proposées, ses conditions et ses retours visuels sont vérifiables séparément.</x:v>
      </x:c>
      <x:c r="O9" s="9" t="str"/>
      <x:c r="P9" s="9" t="str">
        <x:v>Nexus Reunion</x:v>
      </x:c>
      <x:c r="Q9" s="9" t="str">
        <x:v>MEA-SRC-GUIDE</x:v>
      </x:c>
      <x:c r="R9" s="9" t="str">
        <x:v>https://masseffect.fandom.com/wiki/Mass_Effect%3A_Andromeda_Guide</x:v>
      </x:c>
      <x:c r="S9" s="9" t="str">
        <x:v>Spécification à réaliser. Les champs adaptation, gameplay, visual, animation, audio et implementation décrivent le fan game ; ils ne donnent pas des caractéristiques officielles de l’œuvre.</x:v>
      </x:c>
    </x:row>
    <x:row r="10" ht="68" customHeight="1">
      <x:c r="A10" s="19" t="str">
        <x:v>MEA-MQ-FIRST-STRIKE</x:v>
      </x:c>
      <x:c r="B10" s="7" t="str">
        <x:v>First Strike</x:v>
      </x:c>
      <x:c r="C10" s="15" t="str">
        <x:v>Défini</x:v>
      </x:c>
      <x:c r="D10" s="17" t="str">
        <x:v>Établi</x:v>
      </x:c>
      <x:c r="E10" s="17" t="str">
        <x:v>P1</x:v>
      </x:c>
      <x:c r="F10" s="7" t="str">
        <x:v>Introduction aux équipes d’intervention.</x:v>
      </x:c>
      <x:c r="G10" s="7" t="str">
        <x:v>Tutoriel d’envoi de Strike Team et explication du mode APEX facultatif ; aucun lancement multijoueur imposé.</x:v>
      </x:c>
      <x:c r="H10" s="7" t="str">
        <x:v>Tutoriel d’envoi de Strike Team et explication du mode APEX facultatif ; aucun lancement multijoueur imposé.</x:v>
      </x:c>
      <x:c r="I10" s="7" t="str">
        <x:v>Table de mission et succès estimé.</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mea/main_quests/first-strike ; rattacher les ressources et états cités à cet identifiant. Aucun fichier de jeu créé par ce catalogue.</x:v>
      </x:c>
      <x:c r="M10" s="7" t="str"/>
      <x:c r="N10" s="7" t="str">
        <x:v>Le livrable « First Strike » possède une scène ou un scénario de contrôle ; ses règles proposées, ses conditions et ses retours visuels sont vérifiables séparément.</x:v>
      </x:c>
      <x:c r="O10" s="7" t="str"/>
      <x:c r="P10" s="7" t="str">
        <x:v>First Strike</x:v>
      </x:c>
      <x:c r="Q10" s="7" t="str">
        <x:v>MEA-SRC-MISSIONS, MEA-SRC-MP</x:v>
      </x:c>
      <x:c r="R10" s="7" t="str">
        <x:v>https://masseffect.fandom.com/wiki/Missions_%28Mass_Effect%3A_Andromeda%29
https://masseffect.fandom.com/wiki/Mass_Effect%3A_Andromeda_Multiplayer</x:v>
      </x:c>
      <x:c r="S10" s="7" t="str">
        <x:v>Spécification à réaliser. Les champs adaptation, gameplay, visual, animation, audio et implementation décrivent le fan game ; ils ne donnent pas des caractéristiques officielles de l’œuvre.</x:v>
      </x:c>
    </x:row>
    <x:row r="11" ht="82" customHeight="1">
      <x:c r="A11" s="18" t="str">
        <x:v>MEA-MQ-EOS</x:v>
      </x:c>
      <x:c r="B11" s="9" t="str">
        <x:v>A Better Beginning</x:v>
      </x:c>
      <x:c r="C11" s="15" t="str">
        <x:v>Défini</x:v>
      </x:c>
      <x:c r="D11" s="16" t="str">
        <x:v>Établi</x:v>
      </x:c>
      <x:c r="E11" s="16" t="str">
        <x:v>P1</x:v>
      </x:c>
      <x:c r="F11" s="9" t="str">
        <x:v>L’opération d’Eos fonde le premier avant-poste.</x:v>
      </x:c>
      <x:c r="G11" s="9" t="str">
        <x:v>Site abandonné, monolithes, caveau puis implantation ; séparer étapes de viabilité et choix de fonction de colonie.</x:v>
      </x:c>
      <x:c r="H11" s="9" t="str">
        <x:v>Site abandonné, monolithes, caveau puis implantation ; séparer étapes de viabilité et choix de fonction de colonie.</x:v>
      </x:c>
      <x:c r="I11" s="9" t="str">
        <x:v>Désert irradié, ruines et Prodromos.</x:v>
      </x:c>
      <x:c r="J11" s="9" t="str">
        <x:v>Nommer les variantes de scène et leurs positions finales ; saut de cinématique, réduction de mouvement et lecture complète appliquent le même état. Désert irradié, ruines et Prodromos.</x:v>
      </x:c>
      <x:c r="K11" s="9" t="str">
        <x:v>Répliques originales par branche et sous-titres nominatifs ; supprimer les voix d’acteurs absents avant mixage et conserver les informations de danger en texte.</x:v>
      </x:c>
      <x:c r="L11" s="9" t="str">
        <x:v>Prévu : fiche de données mea/main_quests/eos ; rattacher les ressources et états cités à cet identifiant. Aucun fichier de jeu créé par ce catalogue.</x:v>
      </x:c>
      <x:c r="M11" s="9" t="str"/>
      <x:c r="N11" s="9" t="str">
        <x:v>Scanner, monolithes, décryptage, purification puis type d’avant-poste sont cinq états distincts ; une reprise dans le caveau conserve la solution et aucune colonie n’est créée avant choix. Radiation et accès se mettent à jour selon le bon état de restauration.</x:v>
      </x:c>
      <x:c r="O11" s="9" t="str"/>
      <x:c r="P11" s="9" t="str">
        <x:v>A Better Beginning</x:v>
      </x:c>
      <x:c r="Q11" s="9" t="str">
        <x:v>MEA-SRC-GUIDE</x:v>
      </x:c>
      <x:c r="R11" s="9" t="str">
        <x:v>https://masseffect.fandom.com/wiki/Mass_Effect%3A_Andromeda_Guide</x:v>
      </x:c>
      <x:c r="S11" s="9" t="str">
        <x:v>Spécification à réaliser. Les champs adaptation, gameplay, visual, animation, audio et implementation décrivent le fan game ; ils ne donnent pas des caractéristiques officielles de l’œuvre.</x:v>
      </x:c>
    </x:row>
    <x:row r="12" ht="68" customHeight="1">
      <x:c r="A12" s="19" t="str">
        <x:v>MEA-MQ-AVP</x:v>
      </x:c>
      <x:c r="B12" s="7" t="str">
        <x:v>AVP Cryo Deployment Perks</x:v>
      </x:c>
      <x:c r="C12" s="15" t="str">
        <x:v>Défini</x:v>
      </x:c>
      <x:c r="D12" s="17" t="str">
        <x:v>Établi</x:v>
      </x:c>
      <x:c r="E12" s="17" t="str">
        <x:v>P1</x:v>
      </x:c>
      <x:c r="F12" s="7" t="str">
        <x:v>La progression déverrouille des avantages de cryostase.</x:v>
      </x:c>
      <x:c r="G12" s="7" t="str">
        <x:v>Écran de spécialistes et bénéfices, confirmation réversible de lecture ; réveil n’est pas recrutement d’un équipier de terrain.</x:v>
      </x:c>
      <x:c r="H12" s="7" t="str">
        <x:v>Écran de spécialistes et bénéfices, confirmation réversible de lecture ; réveil n’est pas recrutement d’un équipier de terrain.</x:v>
      </x:c>
      <x:c r="I12" s="7" t="str">
        <x:v>Pod, liste de rôles et avantage.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mea/main_quests/avp ; rattacher les ressources et états cités à cet identifiant. Aucun fichier de jeu créé par ce catalogue.</x:v>
      </x:c>
      <x:c r="M12" s="7" t="str"/>
      <x:c r="N12" s="7" t="str">
        <x:v>Le livrable « AVP Cryo Deployment Perks » possède une scène ou un scénario de contrôle ; ses règles proposées, ses conditions et ses retours visuels sont vérifiables séparément.</x:v>
      </x:c>
      <x:c r="O12" s="7" t="str"/>
      <x:c r="P12" s="7" t="str">
        <x:v>AVP Cryo Deployment Perks</x:v>
      </x:c>
      <x:c r="Q12" s="7" t="str">
        <x:v>MEA-SRC-MISSIONS</x:v>
      </x:c>
      <x:c r="R12" s="7" t="str">
        <x:v>https://masseffect.fandom.com/wiki/Missions_%28Mass_Effect%3A_Andromeda%29</x:v>
      </x:c>
      <x:c r="S12" s="7" t="str">
        <x:v>Spécification à réaliser. Les champs adaptation, gameplay, visual, animation, audio et implementation décrivent le fan game ; ils ne donnent pas des caractéristiques officielles de l’œuvre.</x:v>
      </x:c>
    </x:row>
    <x:row r="13" ht="68" customHeight="1">
      <x:c r="A13" s="18" t="str">
        <x:v>MEA-MQ-AYA</x:v>
      </x:c>
      <x:c r="B13" s="9" t="str">
        <x:v>A Trail of Hope I</x:v>
      </x:c>
      <x:c r="C13" s="15" t="str">
        <x:v>Défini</x:v>
      </x:c>
      <x:c r="D13" s="16" t="str">
        <x:v>Établi</x:v>
      </x:c>
      <x:c r="E13" s="16" t="str">
        <x:v>P1</x:v>
      </x:c>
      <x:c r="F13" s="9" t="str">
        <x:v>Premier accueil sur Aya.</x:v>
      </x:c>
      <x:c r="G13" s="9" t="str">
        <x:v>Présenter angara, restrictions et contacts ; confiance obtenue par missions, pas par simple traversée du hub.</x:v>
      </x:c>
      <x:c r="H13" s="9" t="str">
        <x:v>Présenter angara, restrictions et contacts ; confiance obtenue par missions, pas par simple traversée du hub.</x:v>
      </x:c>
      <x:c r="I13" s="9" t="str">
        <x:v>Ville sous cascade et contrôle d’accès.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mea/main_quests/aya ; rattacher les ressources et états cités à cet identifiant. Aucun fichier de jeu créé par ce catalogue.</x:v>
      </x:c>
      <x:c r="M13" s="9" t="str"/>
      <x:c r="N13" s="9" t="str">
        <x:v>Le livrable « A Trail of Hope I » possède une scène ou un scénario de contrôle ; ses règles proposées, ses conditions et ses retours visuels sont vérifiables séparément.</x:v>
      </x:c>
      <x:c r="O13" s="9" t="str"/>
      <x:c r="P13" s="9" t="str">
        <x:v>A Trail of Hope I</x:v>
      </x:c>
      <x:c r="Q13" s="9" t="str">
        <x:v>MEA-SRC-GUIDE</x:v>
      </x:c>
      <x:c r="R13" s="9" t="str">
        <x:v>https://masseffect.fandom.com/wiki/Mass_Effect%3A_Andromeda_Guide</x:v>
      </x:c>
      <x:c r="S13" s="9" t="str">
        <x:v>Spécification à réaliser. Les champs adaptation, gameplay, visual, animation, audio et implementation décrivent le fan game ; ils ne donnent pas des caractéristiques officielles de l’œuvre.</x:v>
      </x:c>
    </x:row>
    <x:row r="14" ht="68" customHeight="1">
      <x:c r="A14" s="19" t="str">
        <x:v>MEA-MQ-RESISTANCE</x:v>
      </x:c>
      <x:c r="B14" s="7" t="str">
        <x:v>Meet the Resistance</x:v>
      </x:c>
      <x:c r="C14" s="15" t="str">
        <x:v>Défini</x:v>
      </x:c>
      <x:c r="D14" s="17" t="str">
        <x:v>Établi</x:v>
      </x:c>
      <x:c r="E14" s="17" t="str">
        <x:v>P1</x:v>
      </x:c>
      <x:c r="F14" s="7" t="str">
        <x:v>Arc de Résistance sur Voeld.</x:v>
      </x:c>
      <x:c r="G14" s="7" t="str">
        <x:v>Mission dont catégorie dépend de l’ordre Havarl/Voeld ; même identifiant de progression sous deux vues de journal.</x:v>
      </x:c>
      <x:c r="H14" s="7" t="str">
        <x:v>Mission dont catégorie dépend de l’ordre Havarl/Voeld ; même identifiant de progression sous deux vues de journal.</x:v>
      </x:c>
      <x:c r="I14" s="7" t="str">
        <x:v>Base angara enneigée.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mea/main_quests/resistance ; rattacher les ressources et états cités à cet identifiant. Aucun fichier de jeu créé par ce catalogue.</x:v>
      </x:c>
      <x:c r="M14" s="7" t="str">
        <x:v>Priority Ops ou Heleus selon parcours.</x:v>
      </x:c>
      <x:c r="N14" s="7" t="str">
        <x:v>Le livrable « Meet the Resistance » possède une scène ou un scénario de contrôle ; ses règles proposées, ses conditions et ses retours visuels sont vérifiables séparément.</x:v>
      </x:c>
      <x:c r="O14" s="7" t="str"/>
      <x:c r="P14" s="7" t="str">
        <x:v>Meet the Resistance</x:v>
      </x:c>
      <x:c r="Q14" s="7" t="str">
        <x:v>MEA-SRC-MISSIONS</x:v>
      </x:c>
      <x:c r="R14" s="7" t="str">
        <x:v>https://masseffect.fandom.com/wiki/Missions_%28Mass_Effect%3A_Andromeda%29</x:v>
      </x:c>
      <x:c r="S14" s="7" t="str">
        <x:v>Spécification à réaliser. Les champs adaptation, gameplay, visual, animation, audio et implementation décrivent le fan game ; ils ne donnent pas des caractéristiques officielles de l’œuvre.</x:v>
      </x:c>
    </x:row>
    <x:row r="15" ht="68" customHeight="1">
      <x:c r="A15" s="18" t="str">
        <x:v>MEA-MQ-FRONTLINES</x:v>
      </x:c>
      <x:c r="B15" s="9" t="str">
        <x:v>On the Frontlines</x:v>
      </x:c>
      <x:c r="C15" s="15" t="str">
        <x:v>Défini</x:v>
      </x:c>
      <x:c r="D15" s="16" t="str">
        <x:v>Établi</x:v>
      </x:c>
      <x:c r="E15" s="16" t="str">
        <x:v>P1</x:v>
      </x:c>
      <x:c r="F15" s="9" t="str">
        <x:v>Étape de Voeld selon ordre choisi.</x:v>
      </x:c>
      <x:c r="G15" s="9" t="str">
        <x:v>Contact militaire et route de sauvetage ; ne pas la rendre obligatoire si le parcours Havarl l’a remplacée.</x:v>
      </x:c>
      <x:c r="H15" s="9" t="str">
        <x:v>Contact militaire et route de sauvetage ; ne pas la rendre obligatoire si le parcours Havarl l’a remplacée.</x:v>
      </x:c>
      <x:c r="I15" s="9" t="str">
        <x:v>Avant-poste enneigé et radio.</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mea/main_quests/frontlines ; rattacher les ressources et états cités à cet identifiant. Aucun fichier de jeu créé par ce catalogue.</x:v>
      </x:c>
      <x:c r="M15" s="9" t="str">
        <x:v>Si Voeld traité avant Havarl.</x:v>
      </x:c>
      <x:c r="N15" s="9" t="str">
        <x:v>Le livrable « On the Frontlines » possède une scène ou un scénario de contrôle ; ses règles proposées, ses conditions et ses retours visuels sont vérifiables séparément.</x:v>
      </x:c>
      <x:c r="O15" s="9" t="str"/>
      <x:c r="P15" s="9" t="str">
        <x:v>On the Frontlines</x:v>
      </x:c>
      <x:c r="Q15" s="9" t="str">
        <x:v>MEA-SRC-MISSIONS</x:v>
      </x:c>
      <x:c r="R15" s="9" t="str">
        <x:v>https://masseffect.fandom.com/wiki/Missions_%28Mass_Effect%3A_Andromeda%29</x:v>
      </x:c>
      <x:c r="S15" s="9" t="str">
        <x:v>Spécification à réaliser. Les champs adaptation, gameplay, visual, animation, audio et implementation décrivent le fan game ; ils ne donnent pas des caractéristiques officielles de l’œuvre.</x:v>
      </x:c>
    </x:row>
    <x:row r="16" ht="68" customHeight="1">
      <x:c r="A16" s="19" t="str">
        <x:v>MEA-MQ-RESCUE</x:v>
      </x:c>
      <x:c r="B16" s="7" t="str">
        <x:v>Stage a Rescue</x:v>
      </x:c>
      <x:c r="C16" s="15" t="str">
        <x:v>Défini</x:v>
      </x:c>
      <x:c r="D16" s="17" t="str">
        <x:v>Établi</x:v>
      </x:c>
      <x:c r="E16" s="17" t="str">
        <x:v>P1</x:v>
      </x:c>
      <x:c r="F16" s="7" t="str">
        <x:v>Opération de secours angara.</x:v>
      </x:c>
      <x:c r="G16" s="7" t="str">
        <x:v>Préparer assaut, libérer groupes et valider extraction ; peut apparaître sous catégorie différente selon donneur.</x:v>
      </x:c>
      <x:c r="H16" s="7" t="str">
        <x:v>Préparer assaut, libérer groupes et valider extraction ; peut apparaître sous catégorie différente selon donneur.</x:v>
      </x:c>
      <x:c r="I16" s="7" t="str">
        <x:v>Prison kett et cellule d’otages.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mea/main_quests/rescue ; rattacher les ressources et états cités à cet identifiant. Aucun fichier de jeu créé par ce catalogue.</x:v>
      </x:c>
      <x:c r="M16" s="7" t="str">
        <x:v>Catégorie conditionnelle selon parcours.</x:v>
      </x:c>
      <x:c r="N16" s="7" t="str">
        <x:v>Le livrable « Stage a Rescue » possède une scène ou un scénario de contrôle ; ses règles proposées, ses conditions et ses retours visuels sont vérifiables séparément.</x:v>
      </x:c>
      <x:c r="O16" s="7" t="str"/>
      <x:c r="P16" s="7" t="str">
        <x:v>Stage a Rescue</x:v>
      </x:c>
      <x:c r="Q16" s="7" t="str">
        <x:v>MEA-SRC-MISSIONS</x:v>
      </x:c>
      <x:c r="R16" s="7" t="str">
        <x:v>https://masseffect.fandom.com/wiki/Missions_%28Mass_Effect%3A_Andromeda%29</x:v>
      </x:c>
      <x:c r="S16" s="7" t="str">
        <x:v>Spécification à réaliser. Les champs adaptation, gameplay, visual, animation, audio et implementation décrivent le fan game ; ils ne donnent pas des caractéristiques officielles de l’œuvre.</x:v>
      </x:c>
    </x:row>
    <x:row r="17" ht="68" customHeight="1">
      <x:c r="A17" s="18" t="str">
        <x:v>MEA-MQ-HAVARL</x:v>
      </x:c>
      <x:c r="B17" s="9" t="str">
        <x:v>Helping Havarl’s Scientists</x:v>
      </x:c>
      <x:c r="C17" s="15" t="str">
        <x:v>Défini</x:v>
      </x:c>
      <x:c r="D17" s="16" t="str">
        <x:v>Établi</x:v>
      </x:c>
      <x:c r="E17" s="16" t="str">
        <x:v>P1</x:v>
      </x:c>
      <x:c r="F17" s="9" t="str">
        <x:v>Mission scientifique de Havarl.</x:v>
      </x:c>
      <x:c r="G17" s="9" t="str">
        <x:v>Inspecter l’anomalie reliquate et libérer les chercheurs ; résolution du puzzle et sécurité du groupe sont deux validations.</x:v>
      </x:c>
      <x:c r="H17" s="9" t="str">
        <x:v>Inspecter l’anomalie reliquate et libérer les chercheurs ; résolution du puzzle et sécurité du groupe sont deux validations.</x:v>
      </x:c>
      <x:c r="I17" s="9" t="str">
        <x:v>Jungle, chercheurs et dispositif reliquat.</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mea/main_quests/havarl ; rattacher les ressources et états cités à cet identifiant. Aucun fichier de jeu créé par ce catalogue.</x:v>
      </x:c>
      <x:c r="M17" s="9" t="str">
        <x:v>Priority Ops ou Heleus selon ordre.</x:v>
      </x:c>
      <x:c r="N17" s="9" t="str">
        <x:v>Le livrable « Helping Havarl’s Scientists » possède une scène ou un scénario de contrôle ; ses règles proposées, ses conditions et ses retours visuels sont vérifiables séparément.</x:v>
      </x:c>
      <x:c r="O17" s="9" t="str"/>
      <x:c r="P17" s="9" t="str">
        <x:v>Helping Havarl’s Scientists</x:v>
      </x:c>
      <x:c r="Q17" s="9" t="str">
        <x:v>MEA-SRC-MISSIONS</x:v>
      </x:c>
      <x:c r="R17" s="9" t="str">
        <x:v>https://masseffect.fandom.com/wiki/Missions_%28Mass_Effect%3A_Andromeda%29</x:v>
      </x:c>
      <x:c r="S17" s="9" t="str">
        <x:v>Spécification à réaliser. Les champs adaptation, gameplay, visual, animation, audio et implementation décrivent le fan game ; ils ne donnent pas des caractéristiques officielles de l’œuvre.</x:v>
      </x:c>
    </x:row>
    <x:row r="18" ht="82" customHeight="1">
      <x:c r="A18" s="19" t="str">
        <x:v>MEA-MQ-MOSHAE</x:v>
      </x:c>
      <x:c r="B18" s="7" t="str">
        <x:v>A Trail of Hope II</x:v>
      </x:c>
      <x:c r="C18" s="15" t="str">
        <x:v>Défini</x:v>
      </x:c>
      <x:c r="D18" s="17" t="str">
        <x:v>Établi</x:v>
      </x:c>
      <x:c r="E18" s="17" t="str">
        <x:v>P1</x:v>
      </x:c>
      <x:c r="F18" s="7" t="str">
        <x:v>Le secours de la Moshae mène à une révélation.</x:v>
      </x:c>
      <x:c r="G18" s="7" t="str">
        <x:v>Installation d’exaltation, Cardinal puis décision de sort du site ; annoncer les alternatives avant engagement.</x:v>
      </x:c>
      <x:c r="H18" s="7" t="str">
        <x:v>Installation d’exaltation, Cardinal puis décision de sort du site ; annoncer les alternatives avant engagement.</x:v>
      </x:c>
      <x:c r="I18" s="7" t="str">
        <x:v>Complexe kett et capsules angara.</x:v>
      </x:c>
      <x:c r="J18" s="7" t="str">
        <x:v>Nommer les variantes de scène et leurs positions finales ; saut de cinématique, réduction de mouvement et lecture complète appliquent le même état. Complexe kett et capsules angara.</x:v>
      </x:c>
      <x:c r="K18" s="7" t="str">
        <x:v>Répliques originales par branche et sous-titres nominatifs ; supprimer les voix d’acteurs absents avant mixage et conserver les informations de danger en texte.</x:v>
      </x:c>
      <x:c r="L18" s="7" t="str">
        <x:v>Prévu : fiche de données mea/main_quests/moshae ; rattacher les ressources et états cités à cet identifiant. Aucun fichier de jeu créé par ce catalogue.</x:v>
      </x:c>
      <x:c r="M18" s="7" t="str"/>
      <x:c r="N18" s="7" t="str">
        <x:v>Le Cardinal possède orbe et protection cohérentes ; à victoire, choix de captifs/site puis sort du Cardinal sont enregistrés séparément. Le débrief de la Moshae, les retours angara et les prochains objectifs suivent ces valeurs.</x:v>
      </x:c>
      <x:c r="O18" s="7" t="str"/>
      <x:c r="P18" s="7" t="str">
        <x:v>A Trail of Hope II</x:v>
      </x:c>
      <x:c r="Q18" s="7" t="str">
        <x:v>MEA-SRC-GUIDE</x:v>
      </x:c>
      <x:c r="R18" s="7" t="str">
        <x:v>https://masseffect.fandom.com/wiki/Mass_Effect%3A_Andromeda_Guide</x:v>
      </x:c>
      <x:c r="S18" s="7" t="str">
        <x:v>Spécification à réaliser. Les champs adaptation, gameplay, visual, animation, audio et implementation décrivent le fan game ; ils ne donnent pas des caractéristiques officielles de l’œuvre.</x:v>
      </x:c>
    </x:row>
    <x:row r="19" ht="82" customHeight="1">
      <x:c r="A19" s="18" t="str">
        <x:v>MEA-MQ-ARCHON</x:v>
      </x:c>
      <x:c r="B19" s="9" t="str">
        <x:v>Hunting the Archon</x:v>
      </x:c>
      <x:c r="C19" s="15" t="str">
        <x:v>Défini</x:v>
      </x:c>
      <x:c r="D19" s="16" t="str">
        <x:v>Établi</x:v>
      </x:c>
      <x:c r="E19" s="16" t="str">
        <x:v>P1</x:v>
      </x:c>
      <x:c r="F19" s="9" t="str">
        <x:v>La traque mène à l’arche galarienne.</x:v>
      </x:c>
      <x:c r="G19" s="9" t="str">
        <x:v>Enquête Kadara, abordage, piège et choix de secours ; les deux objectifs finaux ne sont pas simultanément sauvables par défaut.</x:v>
      </x:c>
      <x:c r="H19" s="9" t="str">
        <x:v>Enquête Kadara, abordage, piège et choix de secours ; les deux objectifs finaux ne sont pas simultanément sauvables par défaut.</x:v>
      </x:c>
      <x:c r="I19" s="9" t="str">
        <x:v>Vaisseau kett, arche et laboratoire.</x:v>
      </x:c>
      <x:c r="J19" s="9" t="str">
        <x:v>Nommer les variantes de scène et leurs positions finales ; saut de cinématique, réduction de mouvement et lecture complète appliquent le même état. Vaisseau kett, arche et laboratoire.</x:v>
      </x:c>
      <x:c r="K19" s="9" t="str">
        <x:v>Répliques originales par branche et sous-titres nominatifs ; supprimer les voix d’acteurs absents avant mixage et conserver les informations de danger en texte.</x:v>
      </x:c>
      <x:c r="L19" s="9" t="str">
        <x:v>Prévu : fiche de données mea/main_quests/archon ; rattacher les ressources et états cités à cet identifiant. Aucun fichier de jeu créé par ce catalogue.</x:v>
      </x:c>
      <x:c r="M19" s="9" t="str"/>
      <x:c r="N19" s="9" t="str">
        <x:v>Le choix Raeka/scouts n’accomplit jamais les deux secours ; la réaction de Drack, la fonction galarienne et les communications finales sont cohérentes après sauvegarde/reprise. Aucun effet de piège de SAM ne reste bloqué après sortie.</x:v>
      </x:c>
      <x:c r="O19" s="9" t="str"/>
      <x:c r="P19" s="9" t="str">
        <x:v>Hunting the Archon</x:v>
      </x:c>
      <x:c r="Q19" s="9" t="str">
        <x:v>MEA-SRC-ARCHON</x:v>
      </x:c>
      <x:c r="R19" s="9" t="str">
        <x:v>https://masseffect.fandom.com/wiki/Hunting_the_Archon</x:v>
      </x:c>
      <x:c r="S19" s="9" t="str">
        <x:v>Spécification à réaliser. Les champs adaptation, gameplay, visual, animation, audio et implementation décrivent le fan game ; ils ne donnent pas des caractéristiques officielles de l’œuvre.</x:v>
      </x:c>
    </x:row>
    <x:row r="20" ht="68" customHeight="1">
      <x:c r="A20" s="19" t="str">
        <x:v>MEA-MQ-ELAADEN</x:v>
      </x:c>
      <x:c r="B20" s="7" t="str">
        <x:v>Elaaden: A New World</x:v>
      </x:c>
      <x:c r="C20" s="15" t="str">
        <x:v>Défini</x:v>
      </x:c>
      <x:c r="D20" s="17" t="str">
        <x:v>Établi</x:v>
      </x:c>
      <x:c r="E20" s="17" t="str">
        <x:v>P1</x:v>
      </x:c>
      <x:c r="F20" s="7" t="str">
        <x:v>Introduction au monde désertique.</x:v>
      </x:c>
      <x:c r="G20" s="7" t="str">
        <x:v>Accès aux krogans, points de survie et conflits locaux ; ne pas forcer tout arc du monde comme priorité principale.</x:v>
      </x:c>
      <x:c r="H20" s="7" t="str">
        <x:v>Accès aux krogans, points de survie et conflits locaux ; ne pas forcer tout arc du monde comme priorité principale.</x:v>
      </x:c>
      <x:c r="I20" s="7" t="str">
        <x:v>Sable, New Tuchanka et épave reliquate.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mea/main_quests/elaaden ; rattacher les ressources et états cités à cet identifiant. Aucun fichier de jeu créé par ce catalogue.</x:v>
      </x:c>
      <x:c r="M20" s="7" t="str"/>
      <x:c r="N20" s="7" t="str">
        <x:v>Le livrable « Elaaden: A New World » possède une scène ou un scénario de contrôle ; ses règles proposées, ses conditions et ses retours visuels sont vérifiables séparément.</x:v>
      </x:c>
      <x:c r="O20" s="7" t="str"/>
      <x:c r="P20" s="7" t="str">
        <x:v>Elaaden: A New World</x:v>
      </x:c>
      <x:c r="Q20" s="7" t="str">
        <x:v>MEA-SRC-MISSIONS</x:v>
      </x:c>
      <x:c r="R20" s="7" t="str">
        <x:v>https://masseffect.fandom.com/wiki/Missions_%28Mass_Effect%3A_Andromeda%29</x:v>
      </x:c>
      <x:c r="S20" s="7" t="str">
        <x:v>Spécification à réaliser. Les champs adaptation, gameplay, visual, animation, audio et implementation décrivent le fan game ; ils ne donnent pas des caractéristiques officielles de l’œuvre.</x:v>
      </x:c>
    </x:row>
    <x:row r="21" ht="68" customHeight="1">
      <x:c r="A21" s="18" t="str">
        <x:v>MEA-MQ-H047C</x:v>
      </x:c>
      <x:c r="B21" s="9" t="str">
        <x:v>H-047c: A New World</x:v>
      </x:c>
      <x:c r="C21" s="15" t="str">
        <x:v>Défini</x:v>
      </x:c>
      <x:c r="D21" s="16" t="str">
        <x:v>Établi</x:v>
      </x:c>
      <x:c r="E21" s="16" t="str">
        <x:v>P1</x:v>
      </x:c>
      <x:c r="F21" s="9" t="str">
        <x:v>Exploration d’un monde fragmenté.</x:v>
      </x:c>
      <x:c r="G21" s="9" t="str">
        <x:v>Nomad obligatoire hors dôme, entrée de terrain sûr explicitée ; ressources et mission Tiller distinctes.</x:v>
      </x:c>
      <x:c r="H21" s="9" t="str">
        <x:v>Nomad obligatoire hors dôme, entrée de terrain sûr explicitée ; ressources et mission Tiller distinctes.</x:v>
      </x:c>
      <x:c r="I21" s="9" t="str">
        <x:v>Astéroïdes, vide et dômes.</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mea/main_quests/h047c ; rattacher les ressources et états cités à cet identifiant. Aucun fichier de jeu créé par ce catalogue.</x:v>
      </x:c>
      <x:c r="M21" s="9" t="str"/>
      <x:c r="N21" s="9" t="str">
        <x:v>Le livrable « H-047c: A New World » possède une scène ou un scénario de contrôle ; ses règles proposées, ses conditions et ses retours visuels sont vérifiables séparément.</x:v>
      </x:c>
      <x:c r="O21" s="9" t="str"/>
      <x:c r="P21" s="9" t="str">
        <x:v>H-047c: A New World</x:v>
      </x:c>
      <x:c r="Q21" s="9" t="str">
        <x:v>MEA-SRC-MISSIONS, MEA-SRC-HAZARD</x:v>
      </x:c>
      <x:c r="R21" s="9" t="str">
        <x:v>https://masseffect.fandom.com/wiki/Missions_%28Mass_Effect%3A_Andromeda%29
https://masseffect.fandom.com/wiki/Hazard</x:v>
      </x:c>
      <x:c r="S21" s="9" t="str">
        <x:v>Spécification à réaliser. Les champs adaptation, gameplay, visual, animation, audio et implementation décrivent le fan game ; ils ne donnent pas des caractéristiques officielles de l’œuvre.</x:v>
      </x:c>
    </x:row>
    <x:row r="22" ht="68" customHeight="1">
      <x:c r="A22" s="19" t="str">
        <x:v>MEA-MQ-JOURNEY</x:v>
      </x:c>
      <x:c r="B22" s="7" t="str">
        <x:v>The Journey to Meridian</x:v>
      </x:c>
      <x:c r="C22" s="15" t="str">
        <x:v>Défini</x:v>
      </x:c>
      <x:c r="D22" s="17" t="str">
        <x:v>Établi</x:v>
      </x:c>
      <x:c r="E22" s="17" t="str">
        <x:v>P1</x:v>
      </x:c>
      <x:c r="F22" s="7" t="str">
        <x:v>La recherche vise le réseau de Méridiane.</x:v>
      </x:c>
      <x:c r="G22" s="7" t="str">
        <x:v>Assaut et activation du site reliquat ; identifier ville/centre découvert et véritable destination pour éviter confusion de carte.</x:v>
      </x:c>
      <x:c r="H22" s="7" t="str">
        <x:v>Assaut et activation du site reliquat ; identifier ville/centre découvert et véritable destination pour éviter confusion de carte.</x:v>
      </x:c>
      <x:c r="I22" s="7" t="str">
        <x:v>Structures reliquates et architecture géante.</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mea/main_quests/journey ; rattacher les ressources et états cités à cet identifiant. Aucun fichier de jeu créé par ce catalogue.</x:v>
      </x:c>
      <x:c r="M22" s="7" t="str"/>
      <x:c r="N22" s="7" t="str">
        <x:v>Le livrable « The Journey to Meridian » possède une scène ou un scénario de contrôle ; ses règles proposées, ses conditions et ses retours visuels sont vérifiables séparément.</x:v>
      </x:c>
      <x:c r="O22" s="7" t="str"/>
      <x:c r="P22" s="7" t="str">
        <x:v>The Journey to Meridian</x:v>
      </x:c>
      <x:c r="Q22" s="7" t="str">
        <x:v>MEA-SRC-GUIDE</x:v>
      </x:c>
      <x:c r="R22" s="7" t="str">
        <x:v>https://masseffect.fandom.com/wiki/Mass_Effect%3A_Andromeda_Guide</x:v>
      </x:c>
      <x:c r="S22" s="7" t="str">
        <x:v>Spécification à réaliser. Les champs adaptation, gameplay, visual, animation, audio et implementation décrivent le fan game ; ils ne donnent pas des caractéristiques officielles de l’œuvre.</x:v>
      </x:c>
    </x:row>
    <x:row r="23" ht="68" customHeight="1">
      <x:c r="A23" s="18" t="str">
        <x:v>MEA-MQ-MERIDIAN</x:v>
      </x:c>
      <x:c r="B23" s="9" t="str">
        <x:v>Meridian: The Way Home</x:v>
      </x:c>
      <x:c r="C23" s="15" t="str">
        <x:v>Défini</x:v>
      </x:c>
      <x:c r="D23" s="16" t="str">
        <x:v>Établi</x:v>
      </x:c>
      <x:c r="E23" s="16" t="str">
        <x:v>P1</x:v>
      </x:c>
      <x:c r="F23" s="9" t="str">
        <x:v>Opération finale contre l’Archonte.</x:v>
      </x:c>
      <x:c r="G23" s="9" t="str">
        <x:v>Perte de SAM, relais du jumeau, secours Hyperion puis combat final à objectifs ; alliés acquis conditionnent apparitions.</x:v>
      </x:c>
      <x:c r="H23" s="9" t="str">
        <x:v>Perte de SAM, relais du jumeau, secours Hyperion puis combat final à objectifs ; alliés acquis conditionnent apparitions.</x:v>
      </x:c>
      <x:c r="I23" s="9" t="str">
        <x:v>Hyperion, sphère habitable et noyau.</x:v>
      </x:c>
      <x:c r="J23" s="9" t="str">
        <x:v>Nommer les variantes de scène et leurs positions finales ; saut de cinématique, réduction de mouvement et lecture complète appliquent le même état. Hyperion, sphère habitable et noyau.</x:v>
      </x:c>
      <x:c r="K23" s="9" t="str">
        <x:v>Répliques originales par branche et sous-titres nominatifs ; supprimer les voix d’acteurs absents avant mixage et conserver les informations de danger en texte.</x:v>
      </x:c>
      <x:c r="L23" s="9" t="str">
        <x:v>Prévu : fiche de données mea/main_quests/meridian ; rattacher les ressources et états cités à cet identifiant. Aucun fichier de jeu créé par ce catalogue.</x:v>
      </x:c>
      <x:c r="M23" s="9" t="str"/>
      <x:c r="N23" s="9" t="str">
        <x:v>Le relais du jumeau utilise le bon nom/modèle puis rend le contrôle au bon Ryder ; chaque Pionnier présent a un état valide, l’arène se termine par objectifs de réseau et le destin de Dunn concorde dans montage et épilogue.</x:v>
      </x:c>
      <x:c r="O23" s="9" t="str"/>
      <x:c r="P23" s="9" t="str">
        <x:v>Meridian: The Way Home</x:v>
      </x:c>
      <x:c r="Q23" s="9" t="str">
        <x:v>MEA-SRC-MERIDIAN</x:v>
      </x:c>
      <x:c r="R23" s="9" t="str">
        <x:v>https://masseffect.fandom.com/wiki/Meridian%3A_The_Way_Home</x:v>
      </x:c>
      <x:c r="S23" s="9" t="str">
        <x:v>Spécification à réaliser. Les champs adaptation, gameplay, visual, animation, audio et implementation décrivent le fan game ; ils ne donnent pas des caractéristiques officielles de l’œuvre.</x:v>
      </x:c>
    </x:row>
    <x:row r="24" ht="68" customHeight="1">
      <x:c r="A24" s="19" t="str">
        <x:v>MEA-MQ-EPILOGUE</x:v>
      </x:c>
      <x:c r="B24" s="7" t="str">
        <x:v>Epilogue: Home and Away</x:v>
      </x:c>
      <x:c r="C24" s="15" t="str">
        <x:v>Défini</x:v>
      </x:c>
      <x:c r="D24" s="17" t="str">
        <x:v>Établi</x:v>
      </x:c>
      <x:c r="E24" s="17" t="str">
        <x:v>P1</x:v>
      </x:c>
      <x:c r="F24" s="7" t="str">
        <x:v>Retrouvailles à Port Meridian.</x:v>
      </x:c>
      <x:c r="G24" s="7" t="str">
        <x:v>Dialogue du jumeau, ambassadeur et équipage ; étapes de conversation obligatoires et facultatives distinguées.</x:v>
      </x:c>
      <x:c r="H24" s="7" t="str">
        <x:v>Dialogue du jumeau, ambassadeur et équipage ; étapes de conversation obligatoires et facultatives distinguées.</x:v>
      </x:c>
      <x:c r="I24" s="7" t="str">
        <x:v>Arche posée, fête et plateforme.</x:v>
      </x:c>
      <x:c r="J24" s="7" t="str">
        <x:v>Nommer les variantes de scène et leurs positions finales ; saut de cinématique, réduction de mouvement et lecture complète appliquent le même état. Arche posée, fête et plateforme.</x:v>
      </x:c>
      <x:c r="K24" s="7" t="str">
        <x:v>Répliques originales par branche et sous-titres nominatifs ; supprimer les voix d’acteurs absents avant mixage et conserver les informations de danger en texte.</x:v>
      </x:c>
      <x:c r="L24" s="7" t="str">
        <x:v>Prévu : fiche de données mea/main_quests/epilogue ; rattacher les ressources et états cités à cet identifiant. Aucun fichier de jeu créé par ce catalogue.</x:v>
      </x:c>
      <x:c r="M24" s="7" t="str"/>
      <x:c r="N24" s="7" t="str">
        <x:v>Ambassadeur choisi dans liste disponible, conversations d’équipage marquées distinctement et signal quarien relisible ; sortie ne crée aucune quête de DLC fictive et les morts/absents ne réapparaissent pas à la fête.</x:v>
      </x:c>
      <x:c r="O24" s="7" t="str"/>
      <x:c r="P24" s="7" t="str">
        <x:v>Epilogue: Home and Away</x:v>
      </x:c>
      <x:c r="Q24" s="7" t="str">
        <x:v>MEA-SRC-EPILOGUE</x:v>
      </x:c>
      <x:c r="R24" s="7" t="str">
        <x:v>https://masseffect.fandom.com/wiki/Epilogue%3A_Home_and_Away</x:v>
      </x:c>
      <x:c r="S24" s="7" t="str">
        <x:v>Spécification à réaliser. Les champs adaptation, gameplay, visual, animation, audio et implementation décrivent le fan game ; ils ne donnent pas des caractéristiques officielles de l’œuvre.</x:v>
      </x:c>
    </x:row>
    <x:row r="25" ht="68" customHeight="1">
      <x:c r="A25" s="18" t="str">
        <x:v>MEA-MQ-WORLD-WAITING</x:v>
      </x:c>
      <x:c r="B25" s="9" t="str">
        <x:v>The World is Waiting</x:v>
      </x:c>
      <x:c r="C25" s="15" t="str">
        <x:v>Défini</x:v>
      </x:c>
      <x:c r="D25" s="16" t="str">
        <x:v>Établi</x:v>
      </x:c>
      <x:c r="E25" s="16" t="str">
        <x:v>P1</x:v>
      </x:c>
      <x:c r="F25" s="9" t="str">
        <x:v>Le jeu permet de poursuivre l’exploration.</x:v>
      </x:c>
      <x:c r="G25" s="9" t="str">
        <x:v>Retour au Tempest et activités restantes ; ne pas rouvrir automatiquement les choix irréversibles du final.</x:v>
      </x:c>
      <x:c r="H25" s="9" t="str">
        <x:v>Retour au Tempest et activités restantes ; ne pas rouvrir automatiquement les choix irréversibles du final.</x:v>
      </x:c>
      <x:c r="I25" s="9" t="str">
        <x:v>Carte de Heleus avec objectifs restants.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mea/main_quests/world-waiting ; rattacher les ressources et états cités à cet identifiant. Aucun fichier de jeu créé par ce catalogue.</x:v>
      </x:c>
      <x:c r="M25" s="9" t="str"/>
      <x:c r="N25" s="9" t="str">
        <x:v>Le livrable « The World is Waiting » possède une scène ou un scénario de contrôle ; ses règles proposées, ses conditions et ses retours visuels sont vérifiables séparément.</x:v>
      </x:c>
      <x:c r="O25" s="9" t="str"/>
      <x:c r="P25" s="9" t="str">
        <x:v>The World is Waiting</x:v>
      </x:c>
      <x:c r="Q25" s="9" t="str">
        <x:v>MEA-SRC-MISSIONS</x:v>
      </x:c>
      <x:c r="R25" s="9" t="str">
        <x:v>https://masseffect.fandom.com/wiki/Missions_%28Mass_Effect%3A_Andromeda%29</x:v>
      </x:c>
      <x:c r="S25" s="9" t="str">
        <x:v>Spécification à réaliser. Les champs adaptation, gameplay, visual, animation, audio et implementation décrivent le fan game ; ils ne donnent pas des caractéristiques officielles de l’œuvre.</x:v>
      </x:c>
    </x:row>
  </x:sheetData>
  <x:conditionalFormatting sqref="D7:D25">
    <x:cfRule type="cellIs" dxfId="36" priority="1" operator="equal">
      <x:formula>"À vérifier"</x:formula>
    </x:cfRule>
    <x:cfRule type="cellIs" dxfId="37" priority="2" operator="equal">
      <x:formula>"Extrapolation"</x:formula>
    </x:cfRule>
  </x:conditionalFormatting>
  <x:conditionalFormatting sqref="C7:C25">
    <x:cfRule type="cellIs" dxfId="38" priority="3" operator="equal">
      <x:formula>"Validé"</x:formula>
    </x:cfRule>
  </x:conditionalFormatting>
  <x:conditionalFormatting sqref="E7:E25">
    <x:cfRule type="cellIs" dxfId="39" priority="4" operator="equal">
      <x:formula>"P0"</x:formula>
    </x:cfRule>
  </x:conditionalFormatting>
  <x:dataValidations count="3">
    <x:dataValidation type="list" sqref="C7:C25">
      <x:formula1>"Défini,Prototype,Intégré,Validé"</x:formula1>
    </x:dataValidation>
    <x:dataValidation type="list" sqref="D7:D25">
      <x:formula1>"Établi,À vérifier,Extrapolation,Coupé attesté,Concept abandonné,Allégation écartée"</x:formula1>
    </x:dataValidation>
    <x:dataValidation type="list" sqref="E7:E25">
      <x:formula1>"P0,P1,P2"</x:formula1>
    </x:dataValidation>
  </x:dataValidations>
  <x:pageMargins left="0.7" right="0.7" top="0.75" bottom="0.75" header="0.3" footer="0.3"/>
  <x:tableParts count="1">
    <x:tablePart xmlns:r="http://schemas.openxmlformats.org/officeDocument/2006/relationships" r:id="Rd323077407e34b40"/>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Andromeda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MEA-SQ-CORA-ARK</x:v>
      </x:c>
      <x:c r="B7" s="9" t="str">
        <x:v>Cora Harper: Asari Ark</x:v>
      </x:c>
      <x:c r="C7" s="15" t="str">
        <x:v>Défini</x:v>
      </x:c>
      <x:c r="D7" s="16" t="str">
        <x:v>Établi</x:v>
      </x:c>
      <x:c r="E7" s="16" t="str">
        <x:v>P1</x:v>
      </x:c>
      <x:c r="F7" s="9" t="str">
        <x:v>Recherche de l’arche asari.</x:v>
      </x:c>
      <x:c r="G7" s="9" t="str">
        <x:v>Chaîne d’indices avec contacts et balises ; journal montre la prochaine piste sans révéler le rôle de Sarissa.</x:v>
      </x:c>
      <x:c r="H7" s="9" t="str">
        <x:v>Chaîne d’indices avec contacts et balises ; journal montre la prochaine piste sans révéler le rôle de Sarissa.</x:v>
      </x:c>
      <x:c r="I7" s="9" t="str">
        <x:v>Hologrammes d’arche et traces de voyage.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mea/side_quests/cora-ark ; rattacher les ressources et états cités à cet identifiant. Aucun fichier de jeu créé par ce catalogue.</x:v>
      </x:c>
      <x:c r="M7" s="9" t="str"/>
      <x:c r="N7" s="9" t="str">
        <x:v>Le livrable « Cora Harper: Asari Ark » possède une scène ou un scénario de contrôle ; ses règles proposées, ses conditions et ses retours visuels sont vérifiables séparément.</x:v>
      </x:c>
      <x:c r="O7" s="9" t="str"/>
      <x:c r="P7" s="9" t="str">
        <x:v>Cora Harper: Asari Ark</x:v>
      </x:c>
      <x:c r="Q7" s="9" t="str">
        <x:v>MEA-SRC-MISSIONS</x:v>
      </x:c>
      <x:c r="R7" s="9" t="str">
        <x:v>https://masseffect.fandom.com/wiki/Missions_%28Mass_Effect%3A_Andromeda%29</x:v>
      </x:c>
      <x:c r="S7" s="9" t="str">
        <x:v>Spécification à réaliser. Les champs adaptation, gameplay, visual, animation, audio et implementation décrivent le fan game ; ils ne donnent pas des caractéristiques officielles de l’œuvre.</x:v>
      </x:c>
    </x:row>
    <x:row r="8" ht="82" customHeight="1">
      <x:c r="A8" s="19" t="str">
        <x:v>MEA-SQ-CORA-EDGE</x:v>
      </x:c>
      <x:c r="B8" s="7" t="str">
        <x:v>Cora Harper: At Duty’s Edge</x:v>
      </x:c>
      <x:c r="C8" s="15" t="str">
        <x:v>Défini</x:v>
      </x:c>
      <x:c r="D8" s="17" t="str">
        <x:v>Établi</x:v>
      </x:c>
      <x:c r="E8" s="17" t="str">
        <x:v>P1</x:v>
      </x:c>
      <x:c r="F8" s="7" t="str">
        <x:v>Mission de loyauté de Cora.</x:v>
      </x:c>
      <x:c r="G8" s="7" t="str">
        <x:v>Assaut du Leusinia, réparation, révélation du journal et choix de succession ; chaque étape sauve un état de mission distinct.</x:v>
      </x:c>
      <x:c r="H8" s="7" t="str">
        <x:v>Assaut du Leusinia, réparation, révélation du journal et choix de succession ; chaque étape sauve un état de mission distinct.</x:v>
      </x:c>
      <x:c r="I8" s="7" t="str">
        <x:v>Passerelle asari, champ de masse et couloirs.</x:v>
      </x:c>
      <x:c r="J8" s="7" t="str">
        <x:v>Nommer les variantes de scène et leurs positions finales ; saut de cinématique, réduction de mouvement et lecture complète appliquent le même état. Passerelle asari, champ de masse et couloirs.</x:v>
      </x:c>
      <x:c r="K8" s="7" t="str">
        <x:v>Répliques originales par branche et sous-titres nominatifs ; supprimer les voix d’acteurs absents avant mixage et conserver les informations de danger en texte.</x:v>
      </x:c>
      <x:c r="L8" s="7" t="str">
        <x:v>Prévu : fiche de données mea/side_quests/cora-edge ; rattacher les ressources et états cités à cet identifiant. Aucun fichier de jeu créé par ce catalogue.</x:v>
      </x:c>
      <x:c r="M8" s="7" t="str"/>
      <x:c r="N8" s="7" t="str">
        <x:v>Réparer les systèmes ouvre le bon parcours ; révélation du journal et rôle de Pionnière sont deux décisions sauvegardées. Rangs avancés de Cora et apparition de Sarissa/Vederia au final correspondent aux états réels.</x:v>
      </x:c>
      <x:c r="O8" s="7" t="str"/>
      <x:c r="P8" s="7" t="str">
        <x:v>Cora Harper: At Duty’s Edge</x:v>
      </x:c>
      <x:c r="Q8" s="7" t="str">
        <x:v>MEA-SRC-CORA-LOYAL</x:v>
      </x:c>
      <x:c r="R8" s="7" t="str">
        <x:v>https://masseffect.fandom.com/wiki/Cora_Harper%3A_At_Duty%27s_Edge</x:v>
      </x:c>
      <x:c r="S8" s="7" t="str">
        <x:v>Spécification à réaliser. Les champs adaptation, gameplay, visual, animation, audio et implementation décrivent le fan game ; ils ne donnent pas des caractéristiques officielles de l’œuvre.</x:v>
      </x:c>
    </x:row>
    <x:row r="9" ht="68" customHeight="1">
      <x:c r="A9" s="18" t="str">
        <x:v>MEA-SQ-CORA-DUTY</x:v>
      </x:c>
      <x:c r="B9" s="9" t="str">
        <x:v>Cora Harper: Duty Calls</x:v>
      </x:c>
      <x:c r="C9" s="15" t="str">
        <x:v>Défini</x:v>
      </x:c>
      <x:c r="D9" s="16" t="str">
        <x:v>Établi</x:v>
      </x:c>
      <x:c r="E9" s="16" t="str">
        <x:v>P1</x:v>
      </x:c>
      <x:c r="F9" s="9" t="str">
        <x:v>Étape personnelle de Cora.</x:v>
      </x:c>
      <x:c r="G9" s="9" t="str">
        <x:v>Invitation après progression compatible ; laisser distinguer conversation amicale et engagement romantique.</x:v>
      </x:c>
      <x:c r="H9" s="9" t="str">
        <x:v>Invitation après progression compatible ; laisser distinguer conversation amicale et engagement romantique.</x:v>
      </x:c>
      <x:c r="I9" s="9" t="str">
        <x:v>Lieu de rendez-vous et portrait de Cora.</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mea/side_quests/cora-duty ; rattacher les ressources et états cités à cet identifiant. Aucun fichier de jeu créé par ce catalogue.</x:v>
      </x:c>
      <x:c r="M9" s="9" t="str"/>
      <x:c r="N9" s="9" t="str">
        <x:v>Le livrable « Cora Harper: Duty Calls » possède une scène ou un scénario de contrôle ; ses règles proposées, ses conditions et ses retours visuels sont vérifiables séparément.</x:v>
      </x:c>
      <x:c r="O9" s="9" t="str"/>
      <x:c r="P9" s="9" t="str">
        <x:v>Cora Harper: Duty Calls</x:v>
      </x:c>
      <x:c r="Q9" s="9" t="str">
        <x:v>MEA-SRC-MISSIONS</x:v>
      </x:c>
      <x:c r="R9" s="9" t="str">
        <x:v>https://masseffect.fandom.com/wiki/Missions_%28Mass_Effect%3A_Andromeda%29</x:v>
      </x:c>
      <x:c r="S9" s="9" t="str">
        <x:v>Spécification à réaliser. Les champs adaptation, gameplay, visual, animation, audio et implementation décrivent le fan game ; ils ne donnent pas des caractéristiques officielles de l’œuvre.</x:v>
      </x:c>
    </x:row>
    <x:row r="10" ht="68" customHeight="1">
      <x:c r="A10" s="19" t="str">
        <x:v>MEA-SQ-CORA-FOUNDATION</x:v>
      </x:c>
      <x:c r="B10" s="7" t="str">
        <x:v>Cora Harper: A Foundation</x:v>
      </x:c>
      <x:c r="C10" s="15" t="str">
        <x:v>Défini</x:v>
      </x:c>
      <x:c r="D10" s="17" t="str">
        <x:v>Établi</x:v>
      </x:c>
      <x:c r="E10" s="17" t="str">
        <x:v>P1</x:v>
      </x:c>
      <x:c r="F10" s="7" t="str">
        <x:v>Étape personnelle de Cora.</x:v>
      </x:c>
      <x:c r="G10" s="7" t="str">
        <x:v>Scène de projection vers l’avenir après sa loyauté ; aucune récompense de survie du final inventée.</x:v>
      </x:c>
      <x:c r="H10" s="7" t="str">
        <x:v>Scène de projection vers l’avenir après sa loyauté ; aucune récompense de survie du final inventée.</x:v>
      </x:c>
      <x:c r="I10" s="7" t="str">
        <x:v>Avant-poste et geste de construction.</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mea/side_quests/cora-foundation ; rattacher les ressources et états cités à cet identifiant. Aucun fichier de jeu créé par ce catalogue.</x:v>
      </x:c>
      <x:c r="M10" s="7" t="str"/>
      <x:c r="N10" s="7" t="str">
        <x:v>Le livrable « Cora Harper: A Foundation » possède une scène ou un scénario de contrôle ; ses règles proposées, ses conditions et ses retours visuels sont vérifiables séparément.</x:v>
      </x:c>
      <x:c r="O10" s="7" t="str"/>
      <x:c r="P10" s="7" t="str">
        <x:v>Cora Harper: A Foundation</x:v>
      </x:c>
      <x:c r="Q10" s="7" t="str">
        <x:v>MEA-SRC-MISSIONS</x:v>
      </x:c>
      <x:c r="R10" s="7" t="str">
        <x:v>https://masseffect.fandom.com/wiki/Missions_%28Mass_Effect%3A_Andromeda%29</x:v>
      </x:c>
      <x:c r="S10" s="7" t="str">
        <x:v>Spécification à réaliser. Les champs adaptation, gameplay, visual, animation, audio et implementation décrivent le fan game ; ils ne donnent pas des caractéristiques officielles de l’œuvre.</x:v>
      </x:c>
    </x:row>
    <x:row r="11" ht="68" customHeight="1">
      <x:c r="A11" s="18" t="str">
        <x:v>MEA-SQ-LIAM-ARMOR</x:v>
      </x:c>
      <x:c r="B11" s="9" t="str">
        <x:v>Liam Kosta: Armor Diplomacy</x:v>
      </x:c>
      <x:c r="C11" s="15" t="str">
        <x:v>Défini</x:v>
      </x:c>
      <x:c r="D11" s="16" t="str">
        <x:v>Établi</x:v>
      </x:c>
      <x:c r="E11" s="16" t="str">
        <x:v>P1</x:v>
      </x:c>
      <x:c r="F11" s="9" t="str">
        <x:v>Mission sociale de Liam.</x:v>
      </x:c>
      <x:c r="G11" s="9" t="str">
        <x:v>Échange culturel et fabrication ciblée ; objet de mission séparé du meilleur équipement de combat.</x:v>
      </x:c>
      <x:c r="H11" s="9" t="str">
        <x:v>Échange culturel et fabrication ciblée ; objet de mission séparé du meilleur équipement de combat.</x:v>
      </x:c>
      <x:c r="I11" s="9" t="str">
        <x:v>Armures présentées et scène à bord.</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mea/side_quests/liam-armor ; rattacher les ressources et états cités à cet identifiant. Aucun fichier de jeu créé par ce catalogue.</x:v>
      </x:c>
      <x:c r="M11" s="9" t="str"/>
      <x:c r="N11" s="9" t="str">
        <x:v>Le livrable « Liam Kosta: Armor Diplomacy » possède une scène ou un scénario de contrôle ; ses règles proposées, ses conditions et ses retours visuels sont vérifiables séparément.</x:v>
      </x:c>
      <x:c r="O11" s="9" t="str"/>
      <x:c r="P11" s="9" t="str">
        <x:v>Liam Kosta: Armor Diplomacy</x:v>
      </x:c>
      <x:c r="Q11" s="9" t="str">
        <x:v>MEA-SRC-MISSIONS</x:v>
      </x:c>
      <x:c r="R11" s="9" t="str">
        <x:v>https://masseffect.fandom.com/wiki/Missions_%28Mass_Effect%3A_Andromeda%29</x:v>
      </x:c>
      <x:c r="S11" s="9" t="str">
        <x:v>Spécification à réaliser. Les champs adaptation, gameplay, visual, animation, audio et implementation décrivent le fan game ; ils ne donnent pas des caractéristiques officielles de l’œuvre.</x:v>
      </x:c>
    </x:row>
    <x:row r="12" ht="68" customHeight="1">
      <x:c r="A12" s="19" t="str">
        <x:v>MEA-SQ-LIAM-AYA</x:v>
      </x:c>
      <x:c r="B12" s="7" t="str">
        <x:v>Liam Kosta: Day out on Aya</x:v>
      </x:c>
      <x:c r="C12" s="15" t="str">
        <x:v>Défini</x:v>
      </x:c>
      <x:c r="D12" s="17" t="str">
        <x:v>Établi</x:v>
      </x:c>
      <x:c r="E12" s="17" t="str">
        <x:v>P1</x:v>
      </x:c>
      <x:c r="F12" s="7" t="str">
        <x:v>Rencontre de Liam sur Aya.</x:v>
      </x:c>
      <x:c r="G12" s="7" t="str">
        <x:v>Parcours social dans le marché avec sujets facultatifs ; journal évite de guider hors zone autorisée.</x:v>
      </x:c>
      <x:c r="H12" s="7" t="str">
        <x:v>Parcours social dans le marché avec sujets facultatifs ; journal évite de guider hors zone autorisée.</x:v>
      </x:c>
      <x:c r="I12" s="7" t="str">
        <x:v>Marché angara et conversation en promenade.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mea/side_quests/liam-aya ; rattacher les ressources et états cités à cet identifiant. Aucun fichier de jeu créé par ce catalogue.</x:v>
      </x:c>
      <x:c r="M12" s="7" t="str"/>
      <x:c r="N12" s="7" t="str">
        <x:v>Le livrable « Liam Kosta: Day out on Aya » possède une scène ou un scénario de contrôle ; ses règles proposées, ses conditions et ses retours visuels sont vérifiables séparément.</x:v>
      </x:c>
      <x:c r="O12" s="7" t="str"/>
      <x:c r="P12" s="7" t="str">
        <x:v>Liam Kosta: Day out on Aya</x:v>
      </x:c>
      <x:c r="Q12" s="7" t="str">
        <x:v>MEA-SRC-MISSIONS</x:v>
      </x:c>
      <x:c r="R12" s="7" t="str">
        <x:v>https://masseffect.fandom.com/wiki/Missions_%28Mass_Effect%3A_Andromeda%29</x:v>
      </x:c>
      <x:c r="S12" s="7" t="str">
        <x:v>Spécification à réaliser. Les champs adaptation, gameplay, visual, animation, audio et implementation décrivent le fan game ; ils ne donnent pas des caractéristiques officielles de l’œuvre.</x:v>
      </x:c>
    </x:row>
    <x:row r="13" ht="68" customHeight="1">
      <x:c r="A13" s="18" t="str">
        <x:v>MEA-SQ-LIAM-OUTPOST</x:v>
      </x:c>
      <x:c r="B13" s="9" t="str">
        <x:v>Liam Kosta: Outpost Worlds</x:v>
      </x:c>
      <x:c r="C13" s="15" t="str">
        <x:v>Défini</x:v>
      </x:c>
      <x:c r="D13" s="16" t="str">
        <x:v>Établi</x:v>
      </x:c>
      <x:c r="E13" s="16" t="str">
        <x:v>P1</x:v>
      </x:c>
      <x:c r="F13" s="9" t="str">
        <x:v>Étape d’implantation liée à Liam.</x:v>
      </x:c>
      <x:c r="G13" s="9" t="str">
        <x:v>Détecter avant-poste réellement fondé, pas seule viabilité ; même événement n’incrémente qu’une fois l’objectif.</x:v>
      </x:c>
      <x:c r="H13" s="9" t="str">
        <x:v>Détecter avant-poste réellement fondé, pas seule viabilité ; même événement n’incrémente qu’une fois l’objectif.</x:v>
      </x:c>
      <x:c r="I13" s="9" t="str">
        <x:v>Carte des colonies et message de Liam.</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mea/side_quests/liam-outpost ; rattacher les ressources et états cités à cet identifiant. Aucun fichier de jeu créé par ce catalogue.</x:v>
      </x:c>
      <x:c r="M13" s="9" t="str"/>
      <x:c r="N13" s="9" t="str">
        <x:v>Le livrable « Liam Kosta: Outpost Worlds » possède une scène ou un scénario de contrôle ; ses règles proposées, ses conditions et ses retours visuels sont vérifiables séparément.</x:v>
      </x:c>
      <x:c r="O13" s="9" t="str"/>
      <x:c r="P13" s="9" t="str">
        <x:v>Liam Kosta: Outpost Worlds</x:v>
      </x:c>
      <x:c r="Q13" s="9" t="str">
        <x:v>MEA-SRC-LIAM-OUTPOST</x:v>
      </x:c>
      <x:c r="R13" s="9" t="str">
        <x:v>https://masseffect.fandom.com/wiki/Liam_Kosta%3A_Outpost_Worlds</x:v>
      </x:c>
      <x:c r="S13" s="9" t="str">
        <x:v>Spécification à réaliser. Les champs adaptation, gameplay, visual, animation, audio et implementation décrivent le fan game ; ils ne donnent pas des caractéristiques officielles de l’œuvre.</x:v>
      </x:c>
    </x:row>
    <x:row r="14" ht="68" customHeight="1">
      <x:c r="A14" s="19" t="str">
        <x:v>MEA-SQ-LIAM-ALLIN</x:v>
      </x:c>
      <x:c r="B14" s="7" t="str">
        <x:v>Liam Kosta: All In</x:v>
      </x:c>
      <x:c r="C14" s="15" t="str">
        <x:v>Défini</x:v>
      </x:c>
      <x:c r="D14" s="17" t="str">
        <x:v>Établi</x:v>
      </x:c>
      <x:c r="E14" s="17" t="str">
        <x:v>P1</x:v>
      </x:c>
      <x:c r="F14" s="7" t="str">
        <x:v>Mission de loyauté de Liam.</x:v>
      </x:c>
      <x:c r="G14" s="7" t="str">
        <x:v>Infiltration cargo, changement de gravité, secours puis boss sous bouclier ; chaque orientation conserve un axe de sol cohérent pour sprites.</x:v>
      </x:c>
      <x:c r="H14" s="7" t="str">
        <x:v>Infiltration cargo, changement de gravité, secours puis boss sous bouclier ; chaque orientation conserve un axe de sol cohérent pour sprites.</x:v>
      </x:c>
      <x:c r="I14" s="7" t="str">
        <x:v>Intérieur de vaisseau tourné et containers.</x:v>
      </x:c>
      <x:c r="J14" s="7" t="str">
        <x:v>Nommer les variantes de scène et leurs positions finales ; saut de cinématique, réduction de mouvement et lecture complète appliquent le même état. Intérieur de vaisseau tourné et containers.</x:v>
      </x:c>
      <x:c r="K14" s="7" t="str">
        <x:v>Répliques originales par branche et sous-titres nominatifs ; supprimer les voix d’acteurs absents avant mixage et conserver les informations de danger en texte.</x:v>
      </x:c>
      <x:c r="L14" s="7" t="str">
        <x:v>Prévu : fiche de données mea/side_quests/liam-allin ; rattacher les ressources et états cités à cet identifiant. Aucun fichier de jeu créé par ce catalogue.</x:v>
      </x:c>
      <x:c r="M14" s="7" t="str"/>
      <x:c r="N14" s="7" t="str">
        <x:v>Chaque orientation de gravité conserve corps, caméra, projectiles et scanner dans le même repère ; consoles du bouclier et secours validés une fois. Relire le debrief ne duplique pas captifs ni récompenses.</x:v>
      </x:c>
      <x:c r="O14" s="7" t="str"/>
      <x:c r="P14" s="7" t="str">
        <x:v>Liam Kosta: All In</x:v>
      </x:c>
      <x:c r="Q14" s="7" t="str">
        <x:v>MEA-SRC-LIAM-LOYAL</x:v>
      </x:c>
      <x:c r="R14" s="7" t="str">
        <x:v>https://masseffect.fandom.com/wiki/Liam_Kosta%3A_All_In</x:v>
      </x:c>
      <x:c r="S14" s="7" t="str">
        <x:v>Spécification à réaliser. Les champs adaptation, gameplay, visual, animation, audio et implementation décrivent le fan game ; ils ne donnent pas des caractéristiques officielles de l’œuvre.</x:v>
      </x:c>
    </x:row>
    <x:row r="15" ht="68" customHeight="1">
      <x:c r="A15" s="18" t="str">
        <x:v>MEA-SQ-LIAM-NEIGHBORS</x:v>
      </x:c>
      <x:c r="B15" s="9" t="str">
        <x:v>Liam Kosta: Something for the Neighbors</x:v>
      </x:c>
      <x:c r="C15" s="15" t="str">
        <x:v>Défini</x:v>
      </x:c>
      <x:c r="D15" s="16" t="str">
        <x:v>Établi</x:v>
      </x:c>
      <x:c r="E15" s="16" t="str">
        <x:v>P1</x:v>
      </x:c>
      <x:c r="F15" s="9" t="str">
        <x:v>Étape sociale de Liam.</x:v>
      </x:c>
      <x:c r="G15" s="9" t="str">
        <x:v>Réponse à son projet collectif ; objets de décor montrant progrès sans nouvelle colonie fictive.</x:v>
      </x:c>
      <x:c r="H15" s="9" t="str">
        <x:v>Réponse à son projet collectif ; objets de décor montrant progrès sans nouvelle colonie fictive.</x:v>
      </x:c>
      <x:c r="I15" s="9" t="str">
        <x:v>Espace communautaire et équipage.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mea/side_quests/liam-neighbors ; rattacher les ressources et états cités à cet identifiant. Aucun fichier de jeu créé par ce catalogue.</x:v>
      </x:c>
      <x:c r="M15" s="9" t="str"/>
      <x:c r="N15" s="9" t="str">
        <x:v>Le livrable « Liam Kosta: Something for the Neighbors » possède une scène ou un scénario de contrôle ; ses règles proposées, ses conditions et ses retours visuels sont vérifiables séparément.</x:v>
      </x:c>
      <x:c r="O15" s="9" t="str"/>
      <x:c r="P15" s="9" t="str">
        <x:v>Liam Kosta: Something for the Neighbors</x:v>
      </x:c>
      <x:c r="Q15" s="9" t="str">
        <x:v>MEA-SRC-MISSIONS</x:v>
      </x:c>
      <x:c r="R15" s="9" t="str">
        <x:v>https://masseffect.fandom.com/wiki/Missions_%28Mass_Effect%3A_Andromeda%29</x:v>
      </x:c>
      <x:c r="S15" s="9" t="str">
        <x:v>Spécification à réaliser. Les champs adaptation, gameplay, visual, animation, audio et implementation décrivent le fan game ; ils ne donnent pas des caractéristiques officielles de l’œuvre.</x:v>
      </x:c>
    </x:row>
    <x:row r="16" ht="68" customHeight="1">
      <x:c r="A16" s="19" t="str">
        <x:v>MEA-SQ-LIAM-COMMUNITY</x:v>
      </x:c>
      <x:c r="B16" s="7" t="str">
        <x:v>Liam Kosta: Community</x:v>
      </x:c>
      <x:c r="C16" s="15" t="str">
        <x:v>Défini</x:v>
      </x:c>
      <x:c r="D16" s="17" t="str">
        <x:v>Établi</x:v>
      </x:c>
      <x:c r="E16" s="17" t="str">
        <x:v>P1</x:v>
      </x:c>
      <x:c r="F16" s="7" t="str">
        <x:v>Étape personnelle de Liam.</x:v>
      </x:c>
      <x:c r="G16" s="7" t="str">
        <x:v>Scène sociale après ses initiatives ; conditions de relation séparées de validation de mission.</x:v>
      </x:c>
      <x:c r="H16" s="7" t="str">
        <x:v>Scène sociale après ses initiatives ; conditions de relation séparées de validation de mission.</x:v>
      </x:c>
      <x:c r="I16" s="7" t="str">
        <x:v>Lieu collectif et posture détendue.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mea/side_quests/liam-community ; rattacher les ressources et états cités à cet identifiant. Aucun fichier de jeu créé par ce catalogue.</x:v>
      </x:c>
      <x:c r="M16" s="7" t="str"/>
      <x:c r="N16" s="7" t="str">
        <x:v>Le livrable « Liam Kosta: Community » possède une scène ou un scénario de contrôle ; ses règles proposées, ses conditions et ses retours visuels sont vérifiables séparément.</x:v>
      </x:c>
      <x:c r="O16" s="7" t="str"/>
      <x:c r="P16" s="7" t="str">
        <x:v>Liam Kosta: Community</x:v>
      </x:c>
      <x:c r="Q16" s="7" t="str">
        <x:v>MEA-SRC-MISSIONS</x:v>
      </x:c>
      <x:c r="R16" s="7" t="str">
        <x:v>https://masseffect.fandom.com/wiki/Missions_%28Mass_Effect%3A_Andromeda%29</x:v>
      </x:c>
      <x:c r="S16" s="7" t="str">
        <x:v>Spécification à réaliser. Les champs adaptation, gameplay, visual, animation, audio et implementation décrivent le fan game ; ils ne donnent pas des caractéristiques officielles de l’œuvre.</x:v>
      </x:c>
    </x:row>
    <x:row r="17" ht="68" customHeight="1">
      <x:c r="A17" s="18" t="str">
        <x:v>MEA-SQ-LIAM-US</x:v>
      </x:c>
      <x:c r="B17" s="9" t="str">
        <x:v>Liam Kosta: Something for Us</x:v>
      </x:c>
      <x:c r="C17" s="15" t="str">
        <x:v>Défini</x:v>
      </x:c>
      <x:c r="D17" s="16" t="str">
        <x:v>Établi</x:v>
      </x:c>
      <x:c r="E17" s="16" t="str">
        <x:v>P1</x:v>
      </x:c>
      <x:c r="F17" s="9" t="str">
        <x:v>Étape de relation avec Liam.</x:v>
      </x:c>
      <x:c r="G17" s="9" t="str">
        <x:v>Interaction privée uniquement si état relationnel admissible ; refus explicite ne bloque pas les missions d’équipe.</x:v>
      </x:c>
      <x:c r="H17" s="9" t="str">
        <x:v>Interaction privée uniquement si état relationnel admissible ; refus explicite ne bloque pas les missions d’équipe.</x:v>
      </x:c>
      <x:c r="I17" s="9" t="str">
        <x:v>Rendez-vous et cadrage intime non explicite.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mea/side_quests/liam-us ; rattacher les ressources et états cités à cet identifiant. Aucun fichier de jeu créé par ce catalogue.</x:v>
      </x:c>
      <x:c r="M17" s="9" t="str"/>
      <x:c r="N17" s="9" t="str">
        <x:v>Le livrable « Liam Kosta: Something for Us » possède une scène ou un scénario de contrôle ; ses règles proposées, ses conditions et ses retours visuels sont vérifiables séparément.</x:v>
      </x:c>
      <x:c r="O17" s="9" t="str"/>
      <x:c r="P17" s="9" t="str">
        <x:v>Liam Kosta: Something for Us</x:v>
      </x:c>
      <x:c r="Q17" s="9" t="str">
        <x:v>MEA-SRC-MISSIONS, MEA-SRC-ROMANCE</x:v>
      </x:c>
      <x:c r="R17" s="9" t="str">
        <x:v>https://masseffect.fandom.com/wiki/Missions_%28Mass_Effect%3A_Andromeda%29
https://masseffect.fandom.com/wiki/Romance_%28Mass_Effect%3A_Andromeda%29</x:v>
      </x:c>
      <x:c r="S17" s="9" t="str">
        <x:v>Spécification à réaliser. Les champs adaptation, gameplay, visual, animation, audio et implementation décrivent le fan game ; ils ne donnent pas des caractéristiques officielles de l’œuvre.</x:v>
      </x:c>
    </x:row>
    <x:row r="18" ht="68" customHeight="1">
      <x:c r="A18" s="19" t="str">
        <x:v>MEA-SQ-JAAL-FRIEND</x:v>
      </x:c>
      <x:c r="B18" s="7" t="str">
        <x:v>Jaal Ama Darav: Friend or Foe? I–III</x:v>
      </x:c>
      <x:c r="C18" s="15" t="str">
        <x:v>Défini</x:v>
      </x:c>
      <x:c r="D18" s="17" t="str">
        <x:v>Établi</x:v>
      </x:c>
      <x:c r="E18" s="17" t="str">
        <x:v>P1</x:v>
      </x:c>
      <x:c r="F18" s="7" t="str">
        <x:v>Chaîne de préparation de Jaal.</x:v>
      </x:c>
      <x:c r="G18" s="7" t="str">
        <x:v>Trois sous-états conservés dans une même fiche de chaîne ; ordre, message et rencontre ont accusé de progression.</x:v>
      </x:c>
      <x:c r="H18" s="7" t="str">
        <x:v>Trois sous-états conservés dans une même fiche de chaîne ; ordre, message et rencontre ont accusé de progression.</x:v>
      </x:c>
      <x:c r="I18" s="7" t="str">
        <x:v>Famille, messages et préoccupations Roekaar.</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mea/side_quests/jaal-friend ; rattacher les ressources et états cités à cet identifiant. Aucun fichier de jeu créé par ce catalogue.</x:v>
      </x:c>
      <x:c r="M18" s="7" t="str"/>
      <x:c r="N18" s="7" t="str">
        <x:v>Le livrable « Jaal Ama Darav: Friend or Foe? I–III » possède une scène ou un scénario de contrôle ; ses règles proposées, ses conditions et ses retours visuels sont vérifiables séparément.</x:v>
      </x:c>
      <x:c r="O18" s="7" t="str"/>
      <x:c r="P18" s="7" t="str">
        <x:v>Jaal Ama Darav: Friend or Foe? I–III</x:v>
      </x:c>
      <x:c r="Q18" s="7" t="str">
        <x:v>MEA-SRC-MISSIONS, MEA-SRC-JAAL-LOYAL</x:v>
      </x:c>
      <x:c r="R18" s="7" t="str">
        <x:v>https://masseffect.fandom.com/wiki/Missions_%28Mass_Effect%3A_Andromeda%29
https://masseffect.fandom.com/wiki/Jaal_Ama_Darav%3A_Flesh_and_Blood</x:v>
      </x:c>
      <x:c r="S18" s="7" t="str">
        <x:v>Spécification à réaliser. Les champs adaptation, gameplay, visual, animation, audio et implementation décrivent le fan game ; ils ne donnent pas des caractéristiques officielles de l’œuvre.</x:v>
      </x:c>
    </x:row>
    <x:row r="19" ht="68" customHeight="1">
      <x:c r="A19" s="18" t="str">
        <x:v>MEA-SQ-JAAL-FLESH</x:v>
      </x:c>
      <x:c r="B19" s="9" t="str">
        <x:v>Jaal Ama Darav: Flesh and Blood</x:v>
      </x:c>
      <x:c r="C19" s="15" t="str">
        <x:v>Défini</x:v>
      </x:c>
      <x:c r="D19" s="16" t="str">
        <x:v>Établi</x:v>
      </x:c>
      <x:c r="E19" s="16" t="str">
        <x:v>P1</x:v>
      </x:c>
      <x:c r="F19" s="9" t="str">
        <x:v>Mission de loyauté de Jaal.</x:v>
      </x:c>
      <x:c r="G19" s="9" t="str">
        <x:v>Recherche familiale, combats Roekaar et confrontation avec Akksul ; fenêtre de tir accessible sans confirmer un choix par accident.</x:v>
      </x:c>
      <x:c r="H19" s="9" t="str">
        <x:v>Recherche familiale, combats Roekaar et confrontation avec Akksul ; fenêtre de tir accessible sans confirmer un choix par accident.</x:v>
      </x:c>
      <x:c r="I19" s="9" t="str">
        <x:v>Village angara et famille rassemblée.</x:v>
      </x:c>
      <x:c r="J19" s="9" t="str">
        <x:v>Nommer les variantes de scène et leurs positions finales ; saut de cinématique, réduction de mouvement et lecture complète appliquent le même état. Village angara et famille rassemblée.</x:v>
      </x:c>
      <x:c r="K19" s="9" t="str">
        <x:v>Répliques originales par branche et sous-titres nominatifs ; supprimer les voix d’acteurs absents avant mixage et conserver les informations de danger en texte.</x:v>
      </x:c>
      <x:c r="L19" s="9" t="str">
        <x:v>Prévu : fiche de données mea/side_quests/jaal-flesh ; rattacher les ressources et états cités à cet identifiant. Aucun fichier de jeu créé par ce catalogue.</x:v>
      </x:c>
      <x:c r="M19" s="9" t="str"/>
      <x:c r="N19" s="9" t="str">
        <x:v>Tir et abstention produisent la bonne scène Akksul/Jaal ; alternative sans délai proposée garde le même choix. La loyauté ne modifie pas les conditions de romance avant dialogue explicite.</x:v>
      </x:c>
      <x:c r="O19" s="9" t="str"/>
      <x:c r="P19" s="9" t="str">
        <x:v>Jaal Ama Darav: Flesh and Blood</x:v>
      </x:c>
      <x:c r="Q19" s="9" t="str">
        <x:v>MEA-SRC-JAAL-LOYAL</x:v>
      </x:c>
      <x:c r="R19" s="9" t="str">
        <x:v>https://masseffect.fandom.com/wiki/Jaal_Ama_Darav%3A_Flesh_and_Blood</x:v>
      </x:c>
      <x:c r="S19" s="9" t="str">
        <x:v>Spécification à réaliser. Les champs adaptation, gameplay, visual, animation, audio et implementation décrivent le fan game ; ils ne donnent pas des caractéristiques officielles de l’œuvre.</x:v>
      </x:c>
    </x:row>
    <x:row r="20" ht="68" customHeight="1">
      <x:c r="A20" s="19" t="str">
        <x:v>MEA-SQ-JAAL-FAMILY</x:v>
      </x:c>
      <x:c r="B20" s="7" t="str">
        <x:v>Jaal Ama Darav: Runs in the Family</x:v>
      </x:c>
      <x:c r="C20" s="15" t="str">
        <x:v>Défini</x:v>
      </x:c>
      <x:c r="D20" s="17" t="str">
        <x:v>Établi</x:v>
      </x:c>
      <x:c r="E20" s="17" t="str">
        <x:v>P1</x:v>
      </x:c>
      <x:c r="F20" s="7" t="str">
        <x:v>Rencontre familiale.</x:v>
      </x:c>
      <x:c r="G20" s="7" t="str">
        <x:v>Dialogue de groupe original et placement de nombreux interlocuteurs ; conserver leurs noms et liens lisibles.</x:v>
      </x:c>
      <x:c r="H20" s="7" t="str">
        <x:v>Dialogue de groupe original et placement de nombreux interlocuteurs ; conserver leurs noms et liens lisibles.</x:v>
      </x:c>
      <x:c r="I20" s="7" t="str">
        <x:v>Maison angara et textiles.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mea/side_quests/jaal-family ; rattacher les ressources et états cités à cet identifiant. Aucun fichier de jeu créé par ce catalogue.</x:v>
      </x:c>
      <x:c r="M20" s="7" t="str"/>
      <x:c r="N20" s="7" t="str">
        <x:v>Le livrable « Jaal Ama Darav: Runs in the Family » possède une scène ou un scénario de contrôle ; ses règles proposées, ses conditions et ses retours visuels sont vérifiables séparément.</x:v>
      </x:c>
      <x:c r="O20" s="7" t="str"/>
      <x:c r="P20" s="7" t="str">
        <x:v>Jaal Ama Darav: Runs in the Family</x:v>
      </x:c>
      <x:c r="Q20" s="7" t="str">
        <x:v>MEA-SRC-MISSIONS</x:v>
      </x:c>
      <x:c r="R20" s="7" t="str">
        <x:v>https://masseffect.fandom.com/wiki/Missions_%28Mass_Effect%3A_Andromeda%29</x:v>
      </x:c>
      <x:c r="S20" s="7" t="str">
        <x:v>Spécification à réaliser. Les champs adaptation, gameplay, visual, animation, audio et implementation décrivent le fan game ; ils ne donnent pas des caractéristiques officielles de l’œuvre.</x:v>
      </x:c>
    </x:row>
    <x:row r="21" ht="68" customHeight="1">
      <x:c r="A21" s="18" t="str">
        <x:v>MEA-SQ-JAAL-AFFECTION</x:v>
      </x:c>
      <x:c r="B21" s="9" t="str">
        <x:v>Jaal Ama Darav: Angaran Affection</x:v>
      </x:c>
      <x:c r="C21" s="15" t="str">
        <x:v>Défini</x:v>
      </x:c>
      <x:c r="D21" s="16" t="str">
        <x:v>Établi</x:v>
      </x:c>
      <x:c r="E21" s="16" t="str">
        <x:v>P1</x:v>
      </x:c>
      <x:c r="F21" s="9" t="str">
        <x:v>Étape relationnelle de Jaal.</x:v>
      </x:c>
      <x:c r="G21" s="9" t="str">
        <x:v>Conditions compatibles avec patch 1.08 pour Scott ; séparer amitié, flirt et scène de couple.</x:v>
      </x:c>
      <x:c r="H21" s="9" t="str">
        <x:v>Conditions compatibles avec patch 1.08 pour Scott ; séparer amitié, flirt et scène de couple.</x:v>
      </x:c>
      <x:c r="I21" s="9" t="str">
        <x:v>Rendez-vous et portrait angara.</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mea/side_quests/jaal-affection ; rattacher les ressources et états cités à cet identifiant. Aucun fichier de jeu créé par ce catalogue.</x:v>
      </x:c>
      <x:c r="M21" s="9" t="str">
        <x:v>Version de romance explicite.</x:v>
      </x:c>
      <x:c r="N21" s="9" t="str">
        <x:v>Le livrable « Jaal Ama Darav: Angaran Affection » possède une scène ou un scénario de contrôle ; ses règles proposées, ses conditions et ses retours visuels sont vérifiables séparément.</x:v>
      </x:c>
      <x:c r="O21" s="9" t="str"/>
      <x:c r="P21" s="9" t="str">
        <x:v>Jaal Ama Darav: Angaran Affection</x:v>
      </x:c>
      <x:c r="Q21" s="9" t="str">
        <x:v>MEA-SRC-MISSIONS, MEA-SRC-BW-108</x:v>
      </x:c>
      <x:c r="R21" s="9" t="str">
        <x:v>https://masseffect.fandom.com/wiki/Missions_%28Mass_Effect%3A_Andromeda%29
https://blog.bioware.com/2017/06/06/mass-effect-andromeda-patch-1-08-notes/</x:v>
      </x:c>
      <x:c r="S21" s="9" t="str">
        <x:v>Spécification à réaliser. Les champs adaptation, gameplay, visual, animation, audio et implementation décrivent le fan game ; ils ne donnent pas des caractéristiques officielles de l’œuvre.</x:v>
      </x:c>
    </x:row>
    <x:row r="22" ht="68" customHeight="1">
      <x:c r="A22" s="19" t="str">
        <x:v>MEA-SQ-DRACK-BETRAYAL</x:v>
      </x:c>
      <x:c r="B22" s="7" t="str">
        <x:v>Nakmor Drack: Krogan Betrayal</x:v>
      </x:c>
      <x:c r="C22" s="15" t="str">
        <x:v>Défini</x:v>
      </x:c>
      <x:c r="D22" s="17" t="str">
        <x:v>Établi</x:v>
      </x:c>
      <x:c r="E22" s="17" t="str">
        <x:v>P1</x:v>
      </x:c>
      <x:c r="F22" s="7" t="str">
        <x:v>Enquête liée à Spender.</x:v>
      </x:c>
      <x:c r="G22" s="7" t="str">
        <x:v>Collecter preuves et comparer témoignages ; aucune accusation finale sur un unique indice facultatif.</x:v>
      </x:c>
      <x:c r="H22" s="7" t="str">
        <x:v>Collecter preuves et comparer témoignages ; aucune accusation finale sur un unique indice facultatif.</x:v>
      </x:c>
      <x:c r="I22" s="7" t="str">
        <x:v>Nexus, vidéo et dossiers.</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mea/side_quests/drack-betrayal ; rattacher les ressources et états cités à cet identifiant. Aucun fichier de jeu créé par ce catalogue.</x:v>
      </x:c>
      <x:c r="M22" s="7" t="str"/>
      <x:c r="N22" s="7" t="str">
        <x:v>Le livrable « Nakmor Drack: Krogan Betrayal » possède une scène ou un scénario de contrôle ; ses règles proposées, ses conditions et ses retours visuels sont vérifiables séparément.</x:v>
      </x:c>
      <x:c r="O22" s="7" t="str"/>
      <x:c r="P22" s="7" t="str">
        <x:v>Nakmor Drack: Krogan Betrayal</x:v>
      </x:c>
      <x:c r="Q22" s="7" t="str">
        <x:v>MEA-SRC-MISSIONS, MEA-SRC-DRACK-LOYAL</x:v>
      </x:c>
      <x:c r="R22" s="7" t="str">
        <x:v>https://masseffect.fandom.com/wiki/Missions_%28Mass_Effect%3A_Andromeda%29
https://masseffect.fandom.com/wiki/Nakmor_Drack%3A_A_Future_for_our_People</x:v>
      </x:c>
      <x:c r="S22" s="7" t="str">
        <x:v>Spécification à réaliser. Les champs adaptation, gameplay, visual, animation, audio et implementation décrivent le fan game ; ils ne donnent pas des caractéristiques officielles de l’œuvre.</x:v>
      </x:c>
    </x:row>
    <x:row r="23" ht="68" customHeight="1">
      <x:c r="A23" s="18" t="str">
        <x:v>MEA-SQ-DRACK-FUTURE</x:v>
      </x:c>
      <x:c r="B23" s="9" t="str">
        <x:v>Nakmor Drack: A Future for our People</x:v>
      </x:c>
      <x:c r="C23" s="15" t="str">
        <x:v>Défini</x:v>
      </x:c>
      <x:c r="D23" s="16" t="str">
        <x:v>Établi</x:v>
      </x:c>
      <x:c r="E23" s="16" t="str">
        <x:v>P1</x:v>
      </x:c>
      <x:c r="F23" s="9" t="str">
        <x:v>Mission de loyauté de Drack.</x:v>
      </x:c>
      <x:c r="G23" s="9" t="str">
        <x:v>Récupérer le transport de graines, secourir Vorn puis traiter Aroane/Spender ; loyauté et clôture administrative séparées.</x:v>
      </x:c>
      <x:c r="H23" s="9" t="str">
        <x:v>Récupérer le transport de graines, secourir Vorn puis traiter Aroane/Spender ; loyauté et clôture administrative séparées.</x:v>
      </x:c>
      <x:c r="I23" s="9" t="str">
        <x:v>Chantier lunaire, transport et serre.</x:v>
      </x:c>
      <x:c r="J23" s="9" t="str">
        <x:v>Nommer les variantes de scène et leurs positions finales ; saut de cinématique, réduction de mouvement et lecture complète appliquent le même état. Chantier lunaire, transport et serre.</x:v>
      </x:c>
      <x:c r="K23" s="9" t="str">
        <x:v>Répliques originales par branche et sous-titres nominatifs ; supprimer les voix d’acteurs absents avant mixage et conserver les informations de danger en texte.</x:v>
      </x:c>
      <x:c r="L23" s="9" t="str">
        <x:v>Prévu : fiche de données mea/side_quests/drack-future ; rattacher les ressources et états cités à cet identifiant. Aucun fichier de jeu créé par ce catalogue.</x:v>
      </x:c>
      <x:c r="M23" s="9" t="str"/>
      <x:c r="N23" s="9" t="str">
        <x:v>Vorn et transport sécurisés avant retour, graines retirées du registre de vol, loyauté débloquée à son jalon et Spender jugé à son propre jalon ; les deux statuts ne se remplacent pas.</x:v>
      </x:c>
      <x:c r="O23" s="9" t="str"/>
      <x:c r="P23" s="9" t="str">
        <x:v>Nakmor Drack: A Future for our People</x:v>
      </x:c>
      <x:c r="Q23" s="9" t="str">
        <x:v>MEA-SRC-DRACK-LOYAL</x:v>
      </x:c>
      <x:c r="R23" s="9" t="str">
        <x:v>https://masseffect.fandom.com/wiki/Nakmor_Drack%3A_A_Future_for_our_People</x:v>
      </x:c>
      <x:c r="S23" s="9" t="str">
        <x:v>Spécification à réaliser. Les champs adaptation, gameplay, visual, animation, audio et implementation décrivent le fan game ; ils ne donnent pas des caractéristiques officielles de l’œuvre.</x:v>
      </x:c>
    </x:row>
    <x:row r="24" ht="68" customHeight="1">
      <x:c r="A24" s="19" t="str">
        <x:v>MEA-SQ-DRACK-KNOCK</x:v>
      </x:c>
      <x:c r="B24" s="7" t="str">
        <x:v>Nakmor Drack: Knock ’em Down</x:v>
      </x:c>
      <x:c r="C24" s="15" t="str">
        <x:v>Défini</x:v>
      </x:c>
      <x:c r="D24" s="17" t="str">
        <x:v>Établi</x:v>
      </x:c>
      <x:c r="E24" s="17" t="str">
        <x:v>P1</x:v>
      </x:c>
      <x:c r="F24" s="7" t="str">
        <x:v>Étape personnelle de Drack.</x:v>
      </x:c>
      <x:c r="G24" s="7" t="str">
        <x:v>Réception d’invitation indépendante de la dernière formalité sur Spender ; verrouiller seulement selon règles confirmées du patch.</x:v>
      </x:c>
      <x:c r="H24" s="7" t="str">
        <x:v>Réception d’invitation indépendante de la dernière formalité sur Spender ; verrouiller seulement selon règles confirmées du patch.</x:v>
      </x:c>
      <x:c r="I24" s="7" t="str">
        <x:v>Rencontre de détente et silhouette krogan.</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mea/side_quests/drack-knock ; rattacher les ressources et états cités à cet identifiant. Aucun fichier de jeu créé par ce catalogue.</x:v>
      </x:c>
      <x:c r="M24" s="7" t="str"/>
      <x:c r="N24" s="7" t="str">
        <x:v>Le livrable « Nakmor Drack: Knock ’em Down » possède une scène ou un scénario de contrôle ; ses règles proposées, ses conditions et ses retours visuels sont vérifiables séparément.</x:v>
      </x:c>
      <x:c r="O24" s="7" t="str"/>
      <x:c r="P24" s="7" t="str">
        <x:v>Nakmor Drack: Knock ’em Down</x:v>
      </x:c>
      <x:c r="Q24" s="7" t="str">
        <x:v>MEA-SRC-MISSIONS, MEA-SRC-DRACK-LOYAL</x:v>
      </x:c>
      <x:c r="R24" s="7" t="str">
        <x:v>https://masseffect.fandom.com/wiki/Missions_%28Mass_Effect%3A_Andromeda%29
https://masseffect.fandom.com/wiki/Nakmor_Drack%3A_A_Future_for_our_People</x:v>
      </x:c>
      <x:c r="S24" s="7" t="str">
        <x:v>Spécification à réaliser. Les champs adaptation, gameplay, visual, animation, audio et implementation décrivent le fan game ; ils ne donnent pas des caractéristiques officielles de l’œuvre.</x:v>
      </x:c>
    </x:row>
    <x:row r="25" ht="68" customHeight="1">
      <x:c r="A25" s="18" t="str">
        <x:v>MEA-SQ-DRACK-TOUGH</x:v>
      </x:c>
      <x:c r="B25" s="9" t="str">
        <x:v>Nakmor Drack: How to Act Tough</x:v>
      </x:c>
      <x:c r="C25" s="15" t="str">
        <x:v>Défini</x:v>
      </x:c>
      <x:c r="D25" s="16" t="str">
        <x:v>Établi</x:v>
      </x:c>
      <x:c r="E25" s="16" t="str">
        <x:v>P1</x:v>
      </x:c>
      <x:c r="F25" s="9" t="str">
        <x:v>Échange de Drack.</x:v>
      </x:c>
      <x:c r="G25" s="9" t="str">
        <x:v>Conversation courte et gestuelle originale ; ne pas convertir plaisanterie en bonus canon permanent.</x:v>
      </x:c>
      <x:c r="H25" s="9" t="str">
        <x:v>Conversation courte et gestuelle originale ; ne pas convertir plaisanterie en bonus canon permanent.</x:v>
      </x:c>
      <x:c r="I25" s="9" t="str">
        <x:v>Krogan en posture de démonstration.</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mea/side_quests/drack-tough ; rattacher les ressources et états cités à cet identifiant. Aucun fichier de jeu créé par ce catalogue.</x:v>
      </x:c>
      <x:c r="M25" s="9" t="str"/>
      <x:c r="N25" s="9" t="str">
        <x:v>Le livrable « Nakmor Drack: How to Act Tough » possède une scène ou un scénario de contrôle ; ses règles proposées, ses conditions et ses retours visuels sont vérifiables séparément.</x:v>
      </x:c>
      <x:c r="O25" s="9" t="str"/>
      <x:c r="P25" s="9" t="str">
        <x:v>Nakmor Drack: How to Act Tough</x:v>
      </x:c>
      <x:c r="Q25" s="9" t="str">
        <x:v>MEA-SRC-MISSIONS</x:v>
      </x:c>
      <x:c r="R25" s="9" t="str">
        <x:v>https://masseffect.fandom.com/wiki/Missions_%28Mass_Effect%3A_Andromeda%29</x:v>
      </x:c>
      <x:c r="S25" s="9" t="str">
        <x:v>Spécification à réaliser. Les champs adaptation, gameplay, visual, animation, audio et implementation décrivent le fan game ; ils ne donnent pas des caractéristiques officielles de l’œuvre.</x:v>
      </x:c>
    </x:row>
    <x:row r="26" ht="68" customHeight="1">
      <x:c r="A26" s="19" t="str">
        <x:v>MEA-SQ-DRACK-MAWS</x:v>
      </x:c>
      <x:c r="B26" s="7" t="str">
        <x:v>Nakmor Drack: Firebreathing Thresher Maws</x:v>
      </x:c>
      <x:c r="C26" s="15" t="str">
        <x:v>Défini</x:v>
      </x:c>
      <x:c r="D26" s="17" t="str">
        <x:v>Établi</x:v>
      </x:c>
      <x:c r="E26" s="17" t="str">
        <x:v>P1</x:v>
      </x:c>
      <x:c r="F26" s="7" t="str">
        <x:v>Étape personnelle de Drack.</x:v>
      </x:c>
      <x:c r="G26" s="7" t="str">
        <x:v>Séquence de conversation avec option de sortie ; nom de mission ne crée pas une créature de combat non attestée.</x:v>
      </x:c>
      <x:c r="H26" s="7" t="str">
        <x:v>Séquence de conversation avec option de sortie ; nom de mission ne crée pas une créature de combat non attestée.</x:v>
      </x:c>
      <x:c r="I26" s="7" t="str">
        <x:v>Scène sociale et objets de boisson.</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mea/side_quests/drack-maws ; rattacher les ressources et états cités à cet identifiant. Aucun fichier de jeu créé par ce catalogue.</x:v>
      </x:c>
      <x:c r="M26" s="7" t="str"/>
      <x:c r="N26" s="7" t="str">
        <x:v>Le livrable « Nakmor Drack: Firebreathing Thresher Maws » possède une scène ou un scénario de contrôle ; ses règles proposées, ses conditions et ses retours visuels sont vérifiables séparément.</x:v>
      </x:c>
      <x:c r="O26" s="7" t="str"/>
      <x:c r="P26" s="7" t="str">
        <x:v>Nakmor Drack: Firebreathing Thresher Maws</x:v>
      </x:c>
      <x:c r="Q26" s="7" t="str">
        <x:v>MEA-SRC-MISSIONS</x:v>
      </x:c>
      <x:c r="R26" s="7" t="str">
        <x:v>https://masseffect.fandom.com/wiki/Missions_%28Mass_Effect%3A_Andromeda%29</x:v>
      </x:c>
      <x:c r="S26" s="7" t="str">
        <x:v>Spécification à réaliser. Les champs adaptation, gameplay, visual, animation, audio et implementation décrivent le fan game ; ils ne donnent pas des caractéristiques officielles de l’œuvre.</x:v>
      </x:c>
    </x:row>
    <x:row r="27" ht="68" customHeight="1">
      <x:c r="A27" s="18" t="str">
        <x:v>MEA-SQ-DRACK-CLUTCH</x:v>
      </x:c>
      <x:c r="B27" s="9" t="str">
        <x:v>Nakmor Drack: Clutch Moment</x:v>
      </x:c>
      <x:c r="C27" s="15" t="str">
        <x:v>Défini</x:v>
      </x:c>
      <x:c r="D27" s="16" t="str">
        <x:v>Établi</x:v>
      </x:c>
      <x:c r="E27" s="16" t="str">
        <x:v>P1</x:v>
      </x:c>
      <x:c r="F27" s="9" t="str">
        <x:v>Étape familiale krogan.</x:v>
      </x:c>
      <x:c r="G27" s="9" t="str">
        <x:v>Conversation d’avenir, Kesh et liens de clan ; respect des révélations déjà obtenues.</x:v>
      </x:c>
      <x:c r="H27" s="9" t="str">
        <x:v>Conversation d’avenir, Kesh et liens de clan ; respect des révélations déjà obtenues.</x:v>
      </x:c>
      <x:c r="I27" s="9" t="str">
        <x:v>Nexus, portraits krogan et ton calme.</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mea/side_quests/drack-clutch ; rattacher les ressources et états cités à cet identifiant. Aucun fichier de jeu créé par ce catalogue.</x:v>
      </x:c>
      <x:c r="M27" s="9" t="str"/>
      <x:c r="N27" s="9" t="str">
        <x:v>Le livrable « Nakmor Drack: Clutch Moment » possède une scène ou un scénario de contrôle ; ses règles proposées, ses conditions et ses retours visuels sont vérifiables séparément.</x:v>
      </x:c>
      <x:c r="O27" s="9" t="str"/>
      <x:c r="P27" s="9" t="str">
        <x:v>Nakmor Drack: Clutch Moment</x:v>
      </x:c>
      <x:c r="Q27" s="9" t="str">
        <x:v>MEA-SRC-MISSIONS</x:v>
      </x:c>
      <x:c r="R27" s="9" t="str">
        <x:v>https://masseffect.fandom.com/wiki/Missions_%28Mass_Effect%3A_Andromeda%29</x:v>
      </x:c>
      <x:c r="S27" s="9" t="str">
        <x:v>Spécification à réaliser. Les champs adaptation, gameplay, visual, animation, audio et implementation décrivent le fan game ; ils ne donnent pas des caractéristiques officielles de l’œuvre.</x:v>
      </x:c>
    </x:row>
    <x:row r="28" ht="68" customHeight="1">
      <x:c r="A28" s="19" t="str">
        <x:v>MEA-SQ-PEEBEE-SCANNER</x:v>
      </x:c>
      <x:c r="B28" s="7" t="str">
        <x:v>Peebee: Remnant Scanner</x:v>
      </x:c>
      <x:c r="C28" s="15" t="str">
        <x:v>Défini</x:v>
      </x:c>
      <x:c r="D28" s="17" t="str">
        <x:v>Établi</x:v>
      </x:c>
      <x:c r="E28" s="17" t="str">
        <x:v>P1</x:v>
      </x:c>
      <x:c r="F28" s="7" t="str">
        <x:v>Étape de recherche de Peebee.</x:v>
      </x:c>
      <x:c r="G28" s="7" t="str">
        <x:v>Chercher composants selon planètes débloquées ; scanner distingue objet déjà acquis et donnée nouvelle.</x:v>
      </x:c>
      <x:c r="H28" s="7" t="str">
        <x:v>Chercher composants selon planètes débloquées ; scanner distingue objet déjà acquis et donnée nouvelle.</x:v>
      </x:c>
      <x:c r="I28" s="7" t="str">
        <x:v>Pièces reliquates et marqueur de scan.</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mea/side_quests/peebee-scanner ; rattacher les ressources et états cités à cet identifiant. Aucun fichier de jeu créé par ce catalogue.</x:v>
      </x:c>
      <x:c r="M28" s="7" t="str"/>
      <x:c r="N28" s="7" t="str">
        <x:v>Le livrable « Peebee: Remnant Scanner » possède une scène ou un scénario de contrôle ; ses règles proposées, ses conditions et ses retours visuels sont vérifiables séparément.</x:v>
      </x:c>
      <x:c r="O28" s="7" t="str"/>
      <x:c r="P28" s="7" t="str">
        <x:v>Peebee: Remnant Scanner</x:v>
      </x:c>
      <x:c r="Q28" s="7" t="str">
        <x:v>MEA-SRC-MISSIONS</x:v>
      </x:c>
      <x:c r="R28" s="7" t="str">
        <x:v>https://masseffect.fandom.com/wiki/Missions_%28Mass_Effect%3A_Andromeda%29</x:v>
      </x:c>
      <x:c r="S28" s="7" t="str">
        <x:v>Spécification à réaliser. Les champs adaptation, gameplay, visual, animation, audio et implementation décrivent le fan game ; ils ne donnent pas des caractéristiques officielles de l’œuvre.</x:v>
      </x:c>
    </x:row>
    <x:row r="29" ht="68" customHeight="1">
      <x:c r="A29" s="18" t="str">
        <x:v>MEA-SQ-PEEBEE-SECRET</x:v>
      </x:c>
      <x:c r="B29" s="9" t="str">
        <x:v>Peebee: Secret Project</x:v>
      </x:c>
      <x:c r="C29" s="15" t="str">
        <x:v>Défini</x:v>
      </x:c>
      <x:c r="D29" s="16" t="str">
        <x:v>Établi</x:v>
      </x:c>
      <x:c r="E29" s="16" t="str">
        <x:v>P1</x:v>
      </x:c>
      <x:c r="F29" s="9" t="str">
        <x:v>Projet personnel de Peebee.</x:v>
      </x:c>
      <x:c r="G29" s="9" t="str">
        <x:v>Acquisition et présentation de Poc ; l’outil ne devient pas compagnon humain ni septième équipier.</x:v>
      </x:c>
      <x:c r="H29" s="9" t="str">
        <x:v>Acquisition et présentation de Poc ; l’outil ne devient pas compagnon humain ni septième équipier.</x:v>
      </x:c>
      <x:c r="I29" s="9" t="str">
        <x:v>Atelier de capsule et petit robot.</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mea/side_quests/peebee-secret ; rattacher les ressources et états cités à cet identifiant. Aucun fichier de jeu créé par ce catalogue.</x:v>
      </x:c>
      <x:c r="M29" s="9" t="str"/>
      <x:c r="N29" s="9" t="str">
        <x:v>Le livrable « Peebee: Secret Project » possède une scène ou un scénario de contrôle ; ses règles proposées, ses conditions et ses retours visuels sont vérifiables séparément.</x:v>
      </x:c>
      <x:c r="O29" s="9" t="str"/>
      <x:c r="P29" s="9" t="str">
        <x:v>Peebee: Secret Project</x:v>
      </x:c>
      <x:c r="Q29" s="9" t="str">
        <x:v>MEA-SRC-MISSIONS</x:v>
      </x:c>
      <x:c r="R29" s="9" t="str">
        <x:v>https://masseffect.fandom.com/wiki/Missions_%28Mass_Effect%3A_Andromeda%29</x:v>
      </x:c>
      <x:c r="S29" s="9" t="str">
        <x:v>Spécification à réaliser. Les champs adaptation, gameplay, visual, animation, audio et implementation décrivent le fan game ; ils ne donnent pas des caractéristiques officielles de l’œuvre.</x:v>
      </x:c>
    </x:row>
    <x:row r="30" ht="68" customHeight="1">
      <x:c r="A30" s="19" t="str">
        <x:v>MEA-SQ-PEEBEE-POC</x:v>
      </x:c>
      <x:c r="B30" s="7" t="str">
        <x:v>Peebee: Reclaiming Poc</x:v>
      </x:c>
      <x:c r="C30" s="15" t="str">
        <x:v>Défini</x:v>
      </x:c>
      <x:c r="D30" s="17" t="str">
        <x:v>Établi</x:v>
      </x:c>
      <x:c r="E30" s="17" t="str">
        <x:v>P1</x:v>
      </x:c>
      <x:c r="F30" s="7" t="str">
        <x:v>Récupération de Poc.</x:v>
      </x:c>
      <x:c r="G30" s="7" t="str">
        <x:v>Poursuite de Kalinda et réparation ; valider cette étape ouvre la recherche du signal sans double mission en journal.</x:v>
      </x:c>
      <x:c r="H30" s="7" t="str">
        <x:v>Poursuite de Kalinda et réparation ; valider cette étape ouvre la recherche du signal sans double mission en journal.</x:v>
      </x:c>
      <x:c r="I30" s="7" t="str">
        <x:v>Robot endommagé et message privé.</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mea/side_quests/peebee-poc ; rattacher les ressources et états cités à cet identifiant. Aucun fichier de jeu créé par ce catalogue.</x:v>
      </x:c>
      <x:c r="M30" s="7" t="str"/>
      <x:c r="N30" s="7" t="str">
        <x:v>Le livrable « Peebee: Reclaiming Poc » possède une scène ou un scénario de contrôle ; ses règles proposées, ses conditions et ses retours visuels sont vérifiables séparément.</x:v>
      </x:c>
      <x:c r="O30" s="7" t="str"/>
      <x:c r="P30" s="7" t="str">
        <x:v>Peebee: Reclaiming Poc</x:v>
      </x:c>
      <x:c r="Q30" s="7" t="str">
        <x:v>MEA-SRC-PEEBEE-POC</x:v>
      </x:c>
      <x:c r="R30" s="7" t="str">
        <x:v>https://masseffect.fandom.com/wiki/Peebee%3A_Reclaiming_Poc</x:v>
      </x:c>
      <x:c r="S30" s="7" t="str">
        <x:v>Spécification à réaliser. Les champs adaptation, gameplay, visual, animation, audio et implementation décrivent le fan game ; ils ne donnent pas des caractéristiques officielles de l’œuvre.</x:v>
      </x:c>
    </x:row>
    <x:row r="31" ht="82" customHeight="1">
      <x:c r="A31" s="18" t="str">
        <x:v>MEA-SQ-PEEBEE-SIGNAL</x:v>
      </x:c>
      <x:c r="B31" s="9" t="str">
        <x:v>Peebee: A Mysterious Remnant Signal</x:v>
      </x:c>
      <x:c r="C31" s="15" t="str">
        <x:v>Défini</x:v>
      </x:c>
      <x:c r="D31" s="16" t="str">
        <x:v>Établi</x:v>
      </x:c>
      <x:c r="E31" s="16" t="str">
        <x:v>P1</x:v>
      </x:c>
      <x:c r="F31" s="9" t="str">
        <x:v>Mission de loyauté de Peebee.</x:v>
      </x:c>
      <x:c r="G31" s="9" t="str">
        <x:v>Pas-10, Observers alliés, rivalité Kalinda puis fuite ; différencier sauvegarde de la personne et acquisition de l’appareil.</x:v>
      </x:c>
      <x:c r="H31" s="9" t="str">
        <x:v>Pas-10, Observers alliés, rivalité Kalinda puis fuite ; différencier sauvegarde de la personne et acquisition de l’appareil.</x:v>
      </x:c>
      <x:c r="I31" s="9" t="str">
        <x:v>Cavernes volcaniques et plateformes reliquates.</x:v>
      </x:c>
      <x:c r="J31" s="9" t="str">
        <x:v>Nommer les variantes de scène et leurs positions finales ; saut de cinématique, réduction de mouvement et lecture complète appliquent le même état. Cavernes volcaniques et plateformes reliquates.</x:v>
      </x:c>
      <x:c r="K31" s="9" t="str">
        <x:v>Répliques originales par branche et sous-titres nominatifs ; supprimer les voix d’acteurs absents avant mixage et conserver les informations de danger en texte.</x:v>
      </x:c>
      <x:c r="L31" s="9" t="str">
        <x:v>Prévu : fiche de données mea/side_quests/peebee-signal ; rattacher les ressources et états cités à cet identifiant. Aucun fichier de jeu créé par ce catalogue.</x:v>
      </x:c>
      <x:c r="M31" s="9" t="str"/>
      <x:c r="N31" s="9" t="str">
        <x:v>Tir Kalinda = personnage perdu/appareil acquis ; abstention = Kalinda sauvée/appareil perdu. Après fuite, inventaire, dialogue et aide éventuelle au final restent compatibles avec la branche.</x:v>
      </x:c>
      <x:c r="O31" s="9" t="str"/>
      <x:c r="P31" s="9" t="str">
        <x:v>Peebee: A Mysterious Remnant Signal</x:v>
      </x:c>
      <x:c r="Q31" s="9" t="str">
        <x:v>MEA-SRC-PEEBEE-LOYAL</x:v>
      </x:c>
      <x:c r="R31" s="9" t="str">
        <x:v>https://masseffect.fandom.com/wiki/Peebee%3A_A_Mysterious_Remnant_Signal</x:v>
      </x:c>
      <x:c r="S31" s="9" t="str">
        <x:v>Spécification à réaliser. Les champs adaptation, gameplay, visual, animation, audio et implementation décrivent le fan game ; ils ne donnent pas des caractéristiques officielles de l’œuvre.</x:v>
      </x:c>
    </x:row>
    <x:row r="32" ht="68" customHeight="1">
      <x:c r="A32" s="19" t="str">
        <x:v>MEA-SQ-PEEBEE-SPIRITS</x:v>
      </x:c>
      <x:c r="B32" s="7" t="str">
        <x:v>Peebee: Spirits</x:v>
      </x:c>
      <x:c r="C32" s="15" t="str">
        <x:v>Défini</x:v>
      </x:c>
      <x:c r="D32" s="17" t="str">
        <x:v>Établi</x:v>
      </x:c>
      <x:c r="E32" s="17" t="str">
        <x:v>P1</x:v>
      </x:c>
      <x:c r="F32" s="7" t="str">
        <x:v>Étape personnelle de Peebee.</x:v>
      </x:c>
      <x:c r="G32" s="7" t="str">
        <x:v>Rencontre après son arc ; état amitié/romance conservé, aucune option implicite dans un dialogue seulement humoristique.</x:v>
      </x:c>
      <x:c r="H32" s="7" t="str">
        <x:v>Rencontre après son arc ; état amitié/romance conservé, aucune option implicite dans un dialogue seulement humoristique.</x:v>
      </x:c>
      <x:c r="I32" s="7" t="str">
        <x:v>Lieu de détente et langage corporel asari.</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mea/side_quests/peebee-spirits ; rattacher les ressources et états cités à cet identifiant. Aucun fichier de jeu créé par ce catalogue.</x:v>
      </x:c>
      <x:c r="M32" s="7" t="str"/>
      <x:c r="N32" s="7" t="str">
        <x:v>Le livrable « Peebee: Spirits » possède une scène ou un scénario de contrôle ; ses règles proposées, ses conditions et ses retours visuels sont vérifiables séparément.</x:v>
      </x:c>
      <x:c r="O32" s="7" t="str"/>
      <x:c r="P32" s="7" t="str">
        <x:v>Peebee: Spirits</x:v>
      </x:c>
      <x:c r="Q32" s="7" t="str">
        <x:v>MEA-SRC-MISSIONS</x:v>
      </x:c>
      <x:c r="R32" s="7" t="str">
        <x:v>https://masseffect.fandom.com/wiki/Missions_%28Mass_Effect%3A_Andromeda%29</x:v>
      </x:c>
      <x:c r="S32" s="7" t="str">
        <x:v>Spécification à réaliser. Les champs adaptation, gameplay, visual, animation, audio et implementation décrivent le fan game ; ils ne donnent pas des caractéristiques officielles de l’œuvre.</x:v>
      </x:c>
    </x:row>
    <x:row r="33" ht="68" customHeight="1">
      <x:c r="A33" s="18" t="str">
        <x:v>MEA-SQ-PEEBEE-MUSEUM</x:v>
      </x:c>
      <x:c r="B33" s="9" t="str">
        <x:v>Peebee: The Museum Trip</x:v>
      </x:c>
      <x:c r="C33" s="15" t="str">
        <x:v>Défini</x:v>
      </x:c>
      <x:c r="D33" s="16" t="str">
        <x:v>Établi</x:v>
      </x:c>
      <x:c r="E33" s="16" t="str">
        <x:v>P1</x:v>
      </x:c>
      <x:c r="F33" s="9" t="str">
        <x:v>Visite liée à Peebee.</x:v>
      </x:c>
      <x:c r="G33" s="9" t="str">
        <x:v>Parcours d’observation avec pauses facultatives ; les connaissances affichées dépendent des découvertes.</x:v>
      </x:c>
      <x:c r="H33" s="9" t="str">
        <x:v>Parcours d’observation avec pauses facultatives ; les connaissances affichées dépendent des découvertes.</x:v>
      </x:c>
      <x:c r="I33" s="9" t="str">
        <x:v>Musée angara et objets exposés.</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mea/side_quests/peebee-museum ; rattacher les ressources et états cités à cet identifiant. Aucun fichier de jeu créé par ce catalogue.</x:v>
      </x:c>
      <x:c r="M33" s="9" t="str"/>
      <x:c r="N33" s="9" t="str">
        <x:v>Le livrable « Peebee: The Museum Trip » possède une scène ou un scénario de contrôle ; ses règles proposées, ses conditions et ses retours visuels sont vérifiables séparément.</x:v>
      </x:c>
      <x:c r="O33" s="9" t="str"/>
      <x:c r="P33" s="9" t="str">
        <x:v>Peebee: The Museum Trip</x:v>
      </x:c>
      <x:c r="Q33" s="9" t="str">
        <x:v>MEA-SRC-MISSIONS</x:v>
      </x:c>
      <x:c r="R33" s="9" t="str">
        <x:v>https://masseffect.fandom.com/wiki/Missions_%28Mass_Effect%3A_Andromeda%29</x:v>
      </x:c>
      <x:c r="S33" s="9" t="str">
        <x:v>Spécification à réaliser. Les champs adaptation, gameplay, visual, animation, audio et implementation décrivent le fan game ; ils ne donnent pas des caractéristiques officielles de l’œuvre.</x:v>
      </x:c>
    </x:row>
    <x:row r="34" ht="68" customHeight="1">
      <x:c r="A34" s="19" t="str">
        <x:v>MEA-SQ-VETRA-MEANS</x:v>
      </x:c>
      <x:c r="B34" s="7" t="str">
        <x:v>Vetra Nyx: Means and Ends</x:v>
      </x:c>
      <x:c r="C34" s="15" t="str">
        <x:v>Défini</x:v>
      </x:c>
      <x:c r="D34" s="17" t="str">
        <x:v>Établi</x:v>
      </x:c>
      <x:c r="E34" s="17" t="str">
        <x:v>P1</x:v>
      </x:c>
      <x:c r="F34" s="7" t="str">
        <x:v>Mission de loyauté de Vetra.</x:v>
      </x:c>
      <x:c r="G34" s="7" t="str">
        <x:v>Mine de H-047c, captifs et caméras de Sid ; chaque sabotage de sécurité modifie réellement la salle suivante.</x:v>
      </x:c>
      <x:c r="H34" s="7" t="str">
        <x:v>Mine de H-047c, captifs et caméras de Sid ; chaque sabotage de sécurité modifie réellement la salle suivante.</x:v>
      </x:c>
      <x:c r="I34" s="7" t="str">
        <x:v>Mine fermée, ateliers et moniteurs.</x:v>
      </x:c>
      <x:c r="J34" s="7" t="str">
        <x:v>Nommer les variantes de scène et leurs positions finales ; saut de cinématique, réduction de mouvement et lecture complète appliquent le même état. Mine fermée, ateliers et moniteurs.</x:v>
      </x:c>
      <x:c r="K34" s="7" t="str">
        <x:v>Répliques originales par branche et sous-titres nominatifs ; supprimer les voix d’acteurs absents avant mixage et conserver les informations de danger en texte.</x:v>
      </x:c>
      <x:c r="L34" s="7" t="str">
        <x:v>Prévu : fiche de données mea/side_quests/vetra-means ; rattacher les ressources et états cités à cet identifiant. Aucun fichier de jeu créé par ce catalogue.</x:v>
      </x:c>
      <x:c r="M34" s="7" t="str"/>
      <x:c r="N34" s="7" t="str">
        <x:v>Chaque intervention de Sid modifie la salle attendue, y compris gaz dangereux et Hydra neutralisée ; caméra preview correspond à carte jouée, aucun captif placé dans danger créé sans route de secours.</x:v>
      </x:c>
      <x:c r="O34" s="7" t="str"/>
      <x:c r="P34" s="7" t="str">
        <x:v>Vetra Nyx: Means and Ends</x:v>
      </x:c>
      <x:c r="Q34" s="7" t="str">
        <x:v>MEA-SRC-VETRA-LOYAL</x:v>
      </x:c>
      <x:c r="R34" s="7" t="str">
        <x:v>https://masseffect.fandom.com/wiki/Vetra_Nyx%3A_Means_and_Ends</x:v>
      </x:c>
      <x:c r="S34" s="7" t="str">
        <x:v>Spécification à réaliser. Les champs adaptation, gameplay, visual, animation, audio et implementation décrivent le fan game ; ils ne donnent pas des caractéristiques officielles de l’œuvre.</x:v>
      </x:c>
    </x:row>
    <x:row r="35" ht="68" customHeight="1">
      <x:c r="A35" s="18" t="str">
        <x:v>MEA-SQ-VETRA-PLANET</x:v>
      </x:c>
      <x:c r="B35" s="9" t="str">
        <x:v>Vetra Nyx: A Moment Planetside</x:v>
      </x:c>
      <x:c r="C35" s="15" t="str">
        <x:v>Défini</x:v>
      </x:c>
      <x:c r="D35" s="16" t="str">
        <x:v>Établi</x:v>
      </x:c>
      <x:c r="E35" s="16" t="str">
        <x:v>P1</x:v>
      </x:c>
      <x:c r="F35" s="9" t="str">
        <x:v>Rencontre personnelle de Vetra.</x:v>
      </x:c>
      <x:c r="G35" s="9" t="str">
        <x:v>Scène de repos avec branches relationnelles ; ne pas imposer une exclusivité non choisie.</x:v>
      </x:c>
      <x:c r="H35" s="9" t="str">
        <x:v>Scène de repos avec branches relationnelles ; ne pas imposer une exclusivité non choisie.</x:v>
      </x:c>
      <x:c r="I35" s="9" t="str">
        <x:v>Paysage et deux silhouettes assises.</x:v>
      </x:c>
      <x:c r="J35" s="9" t="str">
        <x:v>Transitions de caméra et d’interface interruptibles ; aucun délai d’animation ne doit consommer une décision encore ouverte.</x:v>
      </x:c>
      <x:c r="K35" s="9" t="str">
        <x:v>Créer des bruitages et ambiances originaux adaptés au livrable ; sous-titrer les indices utiles et proposer un réglage indépendant des effets. Aucune extraction audio demandée.</x:v>
      </x:c>
      <x:c r="L35" s="9" t="str">
        <x:v>Prévu : fiche de données mea/side_quests/vetra-planet ; rattacher les ressources et états cités à cet identifiant. Aucun fichier de jeu créé par ce catalogue.</x:v>
      </x:c>
      <x:c r="M35" s="9" t="str"/>
      <x:c r="N35" s="9" t="str">
        <x:v>Le livrable « Vetra Nyx: A Moment Planetside » possède une scène ou un scénario de contrôle ; ses règles proposées, ses conditions et ses retours visuels sont vérifiables séparément.</x:v>
      </x:c>
      <x:c r="O35" s="9" t="str"/>
      <x:c r="P35" s="9" t="str">
        <x:v>Vetra Nyx: A Moment Planetside</x:v>
      </x:c>
      <x:c r="Q35" s="9" t="str">
        <x:v>MEA-SRC-MISSIONS, MEA-SRC-ROMANCE</x:v>
      </x:c>
      <x:c r="R35" s="9" t="str">
        <x:v>https://masseffect.fandom.com/wiki/Missions_%28Mass_Effect%3A_Andromeda%29
https://masseffect.fandom.com/wiki/Romance_%28Mass_Effect%3A_Andromeda%29</x:v>
      </x:c>
      <x:c r="S35" s="9" t="str">
        <x:v>Spécification à réaliser. Les champs adaptation, gameplay, visual, animation, audio et implementation décrivent le fan game ; ils ne donnent pas des caractéristiques officielles de l’œuvre.</x:v>
      </x:c>
    </x:row>
    <x:row r="36" ht="68" customHeight="1">
      <x:c r="A36" s="19" t="str">
        <x:v>MEA-SQ-FAMILY</x:v>
      </x:c>
      <x:c r="B36" s="7" t="str">
        <x:v>Ryder Family Secrets</x:v>
      </x:c>
      <x:c r="C36" s="15" t="str">
        <x:v>Défini</x:v>
      </x:c>
      <x:c r="D36" s="17" t="str">
        <x:v>Établi</x:v>
      </x:c>
      <x:c r="E36" s="17" t="str">
        <x:v>P1</x:v>
      </x:c>
      <x:c r="F36" s="7" t="str">
        <x:v>Arc des souvenirs d’Alec.</x:v>
      </x:c>
      <x:c r="G36" s="7" t="str">
        <x:v>Déverrouiller mémoires par collecte ; séparer connaissance sur Ellen, Garson et le Bienfaiteur, sans inventer résolution de ce dernier.</x:v>
      </x:c>
      <x:c r="H36" s="7" t="str">
        <x:v>Déverrouiller mémoires par collecte ; séparer connaissance sur Ellen, Garson et le Bienfaiteur, sans inventer résolution de ce dernier.</x:v>
      </x:c>
      <x:c r="I36" s="7" t="str">
        <x:v>SAM Node et enregistrements familiaux.</x:v>
      </x:c>
      <x:c r="J36" s="7" t="str">
        <x:v>Nommer les variantes de scène et leurs positions finales ; saut de cinématique, réduction de mouvement et lecture complète appliquent le même état. SAM Node et enregistrements familiaux.</x:v>
      </x:c>
      <x:c r="K36" s="7" t="str">
        <x:v>Répliques originales par branche et sous-titres nominatifs ; supprimer les voix d’acteurs absents avant mixage et conserver les informations de danger en texte.</x:v>
      </x:c>
      <x:c r="L36" s="7" t="str">
        <x:v>Prévu : fiche de données mea/side_quests/family ; rattacher les ressources et états cités à cet identifiant. Aucun fichier de jeu créé par ce catalogue.</x:v>
      </x:c>
      <x:c r="M36" s="7" t="str"/>
      <x:c r="N36" s="7" t="str">
        <x:v>Collecte, lecture des logs, déblocage de mémoire et rencontre familiale sont des étapes distinctes ; identité d’Ellen n’apparaît pas avant révélation et aucune identité de Bienfaiteur n’est produite par défaut.</x:v>
      </x:c>
      <x:c r="O36" s="7" t="str"/>
      <x:c r="P36" s="7" t="str">
        <x:v>Ryder Family Secrets</x:v>
      </x:c>
      <x:c r="Q36" s="7" t="str">
        <x:v>MEA-SRC-FAMILY</x:v>
      </x:c>
      <x:c r="R36" s="7" t="str">
        <x:v>https://masseffect.fandom.com/wiki/Ryder_Family_Secrets</x:v>
      </x:c>
      <x:c r="S36" s="7" t="str">
        <x:v>Spécification à réaliser. Les champs adaptation, gameplay, visual, animation, audio et implementation décrivent le fan game ; ils ne donnent pas des caractéristiques officielles de l’œuvre.</x:v>
      </x:c>
    </x:row>
    <x:row r="37" ht="68" customHeight="1">
      <x:c r="A37" s="18" t="str">
        <x:v>MEA-SQ-ARKS</x:v>
      </x:c>
      <x:c r="B37" s="9" t="str">
        <x:v>Missing Arks</x:v>
      </x:c>
      <x:c r="C37" s="15" t="str">
        <x:v>Défini</x:v>
      </x:c>
      <x:c r="D37" s="16" t="str">
        <x:v>Établi</x:v>
      </x:c>
      <x:c r="E37" s="16" t="str">
        <x:v>P1</x:v>
      </x:c>
      <x:c r="F37" s="9" t="str">
        <x:v>Recherche des autres arches.</x:v>
      </x:c>
      <x:c r="G37" s="9" t="str">
        <x:v>Dossier maître reliant Leusinia, Natanus et Paarchero ; Keelah Si’yah demeure signal distinct sans mission de sauvetage livrée.</x:v>
      </x:c>
      <x:c r="H37" s="9" t="str">
        <x:v>Dossier maître reliant Leusinia, Natanus et Paarchero ; Keelah Si’yah demeure signal distinct sans mission de sauvetage livrée.</x:v>
      </x:c>
      <x:c r="I37" s="9" t="str">
        <x:v>Carte des arches et statuts connus.</x:v>
      </x:c>
      <x:c r="J37" s="9" t="str">
        <x:v>Transitions de caméra et d’interface interruptibles ; aucun délai d’animation ne doit consommer une décision encore ouverte.</x:v>
      </x:c>
      <x:c r="K37" s="9" t="str">
        <x:v>Créer des bruitages et ambiances originaux adaptés au livrable ; sous-titrer les indices utiles et proposer un réglage indépendant des effets. Aucune extraction audio demandée.</x:v>
      </x:c>
      <x:c r="L37" s="9" t="str">
        <x:v>Prévu : fiche de données mea/side_quests/arks ; rattacher les ressources et états cités à cet identifiant. Aucun fichier de jeu créé par ce catalogue.</x:v>
      </x:c>
      <x:c r="M37" s="9" t="str"/>
      <x:c r="N37" s="9" t="str">
        <x:v>Le livrable « Missing Arks » possède une scène ou un scénario de contrôle ; ses règles proposées, ses conditions et ses retours visuels sont vérifiables séparément.</x:v>
      </x:c>
      <x:c r="O37" s="9" t="str"/>
      <x:c r="P37" s="9" t="str">
        <x:v>Missing Arks</x:v>
      </x:c>
      <x:c r="Q37" s="9" t="str">
        <x:v>MEA-SRC-MISSING-ARKS, MEA-SRC-EPILOGUE</x:v>
      </x:c>
      <x:c r="R37" s="9" t="str">
        <x:v>https://masseffect.fandom.com/wiki/Missing_Arks
https://masseffect.fandom.com/wiki/Epilogue%3A_Home_and_Away</x:v>
      </x:c>
      <x:c r="S37" s="9" t="str">
        <x:v>Spécification à réaliser. Les champs adaptation, gameplay, visual, animation, audio et implementation décrivent le fan game ; ils ne donnent pas des caractéristiques officielles de l’œuvre.</x:v>
      </x:c>
    </x:row>
    <x:row r="38" ht="68" customHeight="1">
      <x:c r="A38" s="19" t="str">
        <x:v>MEA-SQ-TURIAN-DEAD</x:v>
      </x:c>
      <x:c r="B38" s="7" t="str">
        <x:v>Turian Ark: Not Dead Yet</x:v>
      </x:c>
      <x:c r="C38" s="15" t="str">
        <x:v>Défini</x:v>
      </x:c>
      <x:c r="D38" s="17" t="str">
        <x:v>Établi</x:v>
      </x:c>
      <x:c r="E38" s="17" t="str">
        <x:v>P1</x:v>
      </x:c>
      <x:c r="F38" s="7" t="str">
        <x:v>Premières pistes de l’arche turienne.</x:v>
      </x:c>
      <x:c r="G38" s="7" t="str">
        <x:v>Contacts et traces de rescapés ; progression persistante entre Havarl et Nexus.</x:v>
      </x:c>
      <x:c r="H38" s="7" t="str">
        <x:v>Contacts et traces de rescapés ; progression persistante entre Havarl et Nexus.</x:v>
      </x:c>
      <x:c r="I38" s="7" t="str">
        <x:v>Balises de détresse et camp turien.</x:v>
      </x:c>
      <x:c r="J38" s="7" t="str">
        <x:v>Transitions de caméra et d’interface interruptibles ; aucun délai d’animation ne doit consommer une décision encore ouverte.</x:v>
      </x:c>
      <x:c r="K38" s="7" t="str">
        <x:v>Créer des bruitages et ambiances originaux adaptés au livrable ; sous-titrer les indices utiles et proposer un réglage indépendant des effets. Aucune extraction audio demandée.</x:v>
      </x:c>
      <x:c r="L38" s="7" t="str">
        <x:v>Prévu : fiche de données mea/side_quests/turian-dead ; rattacher les ressources et états cités à cet identifiant. Aucun fichier de jeu créé par ce catalogue.</x:v>
      </x:c>
      <x:c r="M38" s="7" t="str"/>
      <x:c r="N38" s="7" t="str">
        <x:v>Le livrable « Turian Ark: Not Dead Yet » possède une scène ou un scénario de contrôle ; ses règles proposées, ses conditions et ses retours visuels sont vérifiables séparément.</x:v>
      </x:c>
      <x:c r="O38" s="7" t="str"/>
      <x:c r="P38" s="7" t="str">
        <x:v>Turian Ark: Not Dead Yet</x:v>
      </x:c>
      <x:c r="Q38" s="7" t="str">
        <x:v>MEA-SRC-MISSING-ARKS</x:v>
      </x:c>
      <x:c r="R38" s="7" t="str">
        <x:v>https://masseffect.fandom.com/wiki/Missing_Arks</x:v>
      </x:c>
      <x:c r="S38" s="7" t="str">
        <x:v>Spécification à réaliser. Les champs adaptation, gameplay, visual, animation, audio et implementation décrivent le fan game ; ils ne donnent pas des caractéristiques officielles de l’œuvre.</x:v>
      </x:c>
    </x:row>
    <x:row r="39" ht="68" customHeight="1">
      <x:c r="A39" s="18" t="str">
        <x:v>MEA-SQ-TURIAN-LOST</x:v>
      </x:c>
      <x:c r="B39" s="9" t="str">
        <x:v>Turian Ark: Lost But Not Forgotten</x:v>
      </x:c>
      <x:c r="C39" s="15" t="str">
        <x:v>Défini</x:v>
      </x:c>
      <x:c r="D39" s="16" t="str">
        <x:v>Établi</x:v>
      </x:c>
      <x:c r="E39" s="16" t="str">
        <x:v>P1</x:v>
      </x:c>
      <x:c r="F39" s="9" t="str">
        <x:v>Arc de Macen et Avitus.</x:v>
      </x:c>
      <x:c r="G39" s="9" t="str">
        <x:v>Explorer l’arche et découvrir le sort du Pionnier ; succession comme décision séparée du sauvetage.</x:v>
      </x:c>
      <x:c r="H39" s="9" t="str">
        <x:v>Explorer l’arche et découvrir le sort du Pionnier ; succession comme décision séparée du sauvetage.</x:v>
      </x:c>
      <x:c r="I39" s="9" t="str">
        <x:v>Couloirs endommagés et SAM turien.</x:v>
      </x:c>
      <x:c r="J39" s="9" t="str">
        <x:v>Transitions de caméra et d’interface interruptibles ; aucun délai d’animation ne doit consommer une décision encore ouverte.</x:v>
      </x:c>
      <x:c r="K39" s="9" t="str">
        <x:v>Créer des bruitages et ambiances originaux adaptés au livrable ; sous-titrer les indices utiles et proposer un réglage indépendant des effets. Aucune extraction audio demandée.</x:v>
      </x:c>
      <x:c r="L39" s="9" t="str">
        <x:v>Prévu : fiche de données mea/side_quests/turian-lost ; rattacher les ressources et états cités à cet identifiant. Aucun fichier de jeu créé par ce catalogue.</x:v>
      </x:c>
      <x:c r="M39" s="9" t="str"/>
      <x:c r="N39" s="9" t="str">
        <x:v>Le livrable « Turian Ark: Lost But Not Forgotten » possède une scène ou un scénario de contrôle ; ses règles proposées, ses conditions et ses retours visuels sont vérifiables séparément.</x:v>
      </x:c>
      <x:c r="O39" s="9" t="str"/>
      <x:c r="P39" s="9" t="str">
        <x:v>Turian Ark: Lost But Not Forgotten</x:v>
      </x:c>
      <x:c r="Q39" s="9" t="str">
        <x:v>MEA-SRC-MISSING-ARKS</x:v>
      </x:c>
      <x:c r="R39" s="9" t="str">
        <x:v>https://masseffect.fandom.com/wiki/Missing_Arks</x:v>
      </x:c>
      <x:c r="S39" s="9" t="str">
        <x:v>Spécification à réaliser. Les champs adaptation, gameplay, visual, animation, audio et implementation décrivent le fan game ; ils ne donnent pas des caractéristiques officielles de l’œuvre.</x:v>
      </x:c>
    </x:row>
    <x:row r="40" ht="68" customHeight="1">
      <x:c r="A40" s="19" t="str">
        <x:v>MEA-SQ-GIL-POKER</x:v>
      </x:c>
      <x:c r="B40" s="7" t="str">
        <x:v>Gil Brodie: A Game of Poker</x:v>
      </x:c>
      <x:c r="C40" s="15" t="str">
        <x:v>Défini</x:v>
      </x:c>
      <x:c r="D40" s="17" t="str">
        <x:v>Établi</x:v>
      </x:c>
      <x:c r="E40" s="17" t="str">
        <x:v>P1</x:v>
      </x:c>
      <x:c r="F40" s="7" t="str">
        <x:v>Moment personnel avec Gil.</x:v>
      </x:c>
      <x:c r="G40" s="7" t="str">
        <x:v>Minijeu original facultatif avec option de résolution rapide ; résultat de partie et relation ne sont pas le même drapeau.</x:v>
      </x:c>
      <x:c r="H40" s="7" t="str">
        <x:v>Minijeu original facultatif avec option de résolution rapide ; résultat de partie et relation ne sont pas le même drapeau.</x:v>
      </x:c>
      <x:c r="I40" s="7" t="str">
        <x:v>Table de cartes et visages.</x:v>
      </x:c>
      <x:c r="J40" s="7" t="str">
        <x:v>Transitions de caméra et d’interface interruptibles ; aucun délai d’animation ne doit consommer une décision encore ouverte.</x:v>
      </x:c>
      <x:c r="K40" s="7" t="str">
        <x:v>Créer des bruitages et ambiances originaux adaptés au livrable ; sous-titrer les indices utiles et proposer un réglage indépendant des effets. Aucune extraction audio demandée.</x:v>
      </x:c>
      <x:c r="L40" s="7" t="str">
        <x:v>Prévu : fiche de données mea/side_quests/gil-poker ; rattacher les ressources et états cités à cet identifiant. Aucun fichier de jeu créé par ce catalogue.</x:v>
      </x:c>
      <x:c r="M40" s="7" t="str"/>
      <x:c r="N40" s="7" t="str">
        <x:v>Le livrable « Gil Brodie: A Game of Poker » possède une scène ou un scénario de contrôle ; ses règles proposées, ses conditions et ses retours visuels sont vérifiables séparément.</x:v>
      </x:c>
      <x:c r="O40" s="7" t="str"/>
      <x:c r="P40" s="7" t="str">
        <x:v>Gil Brodie: A Game of Poker</x:v>
      </x:c>
      <x:c r="Q40" s="7" t="str">
        <x:v>MEA-SRC-MISSIONS</x:v>
      </x:c>
      <x:c r="R40" s="7" t="str">
        <x:v>https://masseffect.fandom.com/wiki/Missions_%28Mass_Effect%3A_Andromeda%29</x:v>
      </x:c>
      <x:c r="S40" s="7" t="str">
        <x:v>Spécification à réaliser. Les champs adaptation, gameplay, visual, animation, audio et implementation décrivent le fan game ; ils ne donnent pas des caractéristiques officielles de l’œuvre.</x:v>
      </x:c>
    </x:row>
    <x:row r="41" ht="68" customHeight="1">
      <x:c r="A41" s="18" t="str">
        <x:v>MEA-SQ-GIL-FRIEND</x:v>
      </x:c>
      <x:c r="B41" s="9" t="str">
        <x:v>Gil Brodie: The Friend</x:v>
      </x:c>
      <x:c r="C41" s="15" t="str">
        <x:v>Défini</x:v>
      </x:c>
      <x:c r="D41" s="16" t="str">
        <x:v>Établi</x:v>
      </x:c>
      <x:c r="E41" s="16" t="str">
        <x:v>P1</x:v>
      </x:c>
      <x:c r="F41" s="9" t="str">
        <x:v>Rencontre liée à Jill.</x:v>
      </x:c>
      <x:c r="G41" s="9" t="str">
        <x:v>Dialogue à plusieurs personnages ; choix de conseil sans sanction romantique inventée.</x:v>
      </x:c>
      <x:c r="H41" s="9" t="str">
        <x:v>Dialogue à plusieurs personnages ; choix de conseil sans sanction romantique inventée.</x:v>
      </x:c>
      <x:c r="I41" s="9" t="str">
        <x:v>Conversation à bord et messages.</x:v>
      </x:c>
      <x:c r="J41" s="9" t="str">
        <x:v>Transitions de caméra et d’interface interruptibles ; aucun délai d’animation ne doit consommer une décision encore ouverte.</x:v>
      </x:c>
      <x:c r="K41" s="9" t="str">
        <x:v>Créer des bruitages et ambiances originaux adaptés au livrable ; sous-titrer les indices utiles et proposer un réglage indépendant des effets. Aucune extraction audio demandée.</x:v>
      </x:c>
      <x:c r="L41" s="9" t="str">
        <x:v>Prévu : fiche de données mea/side_quests/gil-friend ; rattacher les ressources et états cités à cet identifiant. Aucun fichier de jeu créé par ce catalogue.</x:v>
      </x:c>
      <x:c r="M41" s="9" t="str"/>
      <x:c r="N41" s="9" t="str">
        <x:v>Le livrable « Gil Brodie: The Friend » possède une scène ou un scénario de contrôle ; ses règles proposées, ses conditions et ses retours visuels sont vérifiables séparément.</x:v>
      </x:c>
      <x:c r="O41" s="9" t="str"/>
      <x:c r="P41" s="9" t="str">
        <x:v>Gil Brodie: The Friend</x:v>
      </x:c>
      <x:c r="Q41" s="9" t="str">
        <x:v>MEA-SRC-MISSIONS</x:v>
      </x:c>
      <x:c r="R41" s="9" t="str">
        <x:v>https://masseffect.fandom.com/wiki/Missions_%28Mass_Effect%3A_Andromeda%29</x:v>
      </x:c>
      <x:c r="S41" s="9" t="str">
        <x:v>Spécification à réaliser. Les champs adaptation, gameplay, visual, animation, audio et implementation décrivent le fan game ; ils ne donnent pas des caractéristiques officielles de l’œuvre.</x:v>
      </x:c>
    </x:row>
    <x:row r="42" ht="68" customHeight="1">
      <x:c r="A42" s="19" t="str">
        <x:v>MEA-SQ-LEXI</x:v>
      </x:c>
      <x:c r="B42" s="7" t="str">
        <x:v>Lexi T’Perro: Bottom of a Bottle</x:v>
      </x:c>
      <x:c r="C42" s="15" t="str">
        <x:v>Défini</x:v>
      </x:c>
      <x:c r="D42" s="17" t="str">
        <x:v>Établi</x:v>
      </x:c>
      <x:c r="E42" s="17" t="str">
        <x:v>P1</x:v>
      </x:c>
      <x:c r="F42" s="7" t="str">
        <x:v>Étape personnelle de Lexi.</x:v>
      </x:c>
      <x:c r="G42" s="7" t="str">
        <x:v>Retrouver et écouter ; contraste entre médecin et personne, pas de combat ni loot d’alcool ajouté.</x:v>
      </x:c>
      <x:c r="H42" s="7" t="str">
        <x:v>Retrouver et écouter ; contraste entre médecin et personne, pas de combat ni loot d’alcool ajouté.</x:v>
      </x:c>
      <x:c r="I42" s="7" t="str">
        <x:v>Bar et éclairage doux.</x:v>
      </x:c>
      <x:c r="J42" s="7" t="str">
        <x:v>Transitions de caméra et d’interface interruptibles ; aucun délai d’animation ne doit consommer une décision encore ouverte.</x:v>
      </x:c>
      <x:c r="K42" s="7" t="str">
        <x:v>Créer des bruitages et ambiances originaux adaptés au livrable ; sous-titrer les indices utiles et proposer un réglage indépendant des effets. Aucune extraction audio demandée.</x:v>
      </x:c>
      <x:c r="L42" s="7" t="str">
        <x:v>Prévu : fiche de données mea/side_quests/lexi ; rattacher les ressources et états cités à cet identifiant. Aucun fichier de jeu créé par ce catalogue.</x:v>
      </x:c>
      <x:c r="M42" s="7" t="str"/>
      <x:c r="N42" s="7" t="str">
        <x:v>Le livrable « Lexi T’Perro: Bottom of a Bottle » possède une scène ou un scénario de contrôle ; ses règles proposées, ses conditions et ses retours visuels sont vérifiables séparément.</x:v>
      </x:c>
      <x:c r="O42" s="7" t="str"/>
      <x:c r="P42" s="7" t="str">
        <x:v>Lexi T’Perro: Bottom of a Bottle</x:v>
      </x:c>
      <x:c r="Q42" s="7" t="str">
        <x:v>MEA-SRC-MISSIONS</x:v>
      </x:c>
      <x:c r="R42" s="7" t="str">
        <x:v>https://masseffect.fandom.com/wiki/Missions_%28Mass_Effect%3A_Andromeda%29</x:v>
      </x:c>
      <x:c r="S42" s="7" t="str">
        <x:v>Spécification à réaliser. Les champs adaptation, gameplay, visual, animation, audio et implementation décrivent le fan game ; ils ne donnent pas des caractéristiques officielles de l’œuvre.</x:v>
      </x:c>
    </x:row>
    <x:row r="43" ht="68" customHeight="1">
      <x:c r="A43" s="18" t="str">
        <x:v>MEA-SQ-SUVI</x:v>
      </x:c>
      <x:c r="B43" s="9" t="str">
        <x:v>Suvi Anwar: New Discoveries</x:v>
      </x:c>
      <x:c r="C43" s="15" t="str">
        <x:v>Défini</x:v>
      </x:c>
      <x:c r="D43" s="16" t="str">
        <x:v>Établi</x:v>
      </x:c>
      <x:c r="E43" s="16" t="str">
        <x:v>P1</x:v>
      </x:c>
      <x:c r="F43" s="9" t="str">
        <x:v>Étape personnelle de Suvi.</x:v>
      </x:c>
      <x:c r="G43" s="9" t="str">
        <x:v>Conversation de découverte et relation selon conditions ; journal ne transforme pas une discussion scientifique en romance automatique.</x:v>
      </x:c>
      <x:c r="H43" s="9" t="str">
        <x:v>Conversation de découverte et relation selon conditions ; journal ne transforme pas une discussion scientifique en romance automatique.</x:v>
      </x:c>
      <x:c r="I43" s="9" t="str">
        <x:v>Table de recherche et vue spatiale.</x:v>
      </x:c>
      <x:c r="J43" s="9" t="str">
        <x:v>Transitions de caméra et d’interface interruptibles ; aucun délai d’animation ne doit consommer une décision encore ouverte.</x:v>
      </x:c>
      <x:c r="K43" s="9" t="str">
        <x:v>Créer des bruitages et ambiances originaux adaptés au livrable ; sous-titrer les indices utiles et proposer un réglage indépendant des effets. Aucune extraction audio demandée.</x:v>
      </x:c>
      <x:c r="L43" s="9" t="str">
        <x:v>Prévu : fiche de données mea/side_quests/suvi ; rattacher les ressources et états cités à cet identifiant. Aucun fichier de jeu créé par ce catalogue.</x:v>
      </x:c>
      <x:c r="M43" s="9" t="str"/>
      <x:c r="N43" s="9" t="str">
        <x:v>Le livrable « Suvi Anwar: New Discoveries » possède une scène ou un scénario de contrôle ; ses règles proposées, ses conditions et ses retours visuels sont vérifiables séparément.</x:v>
      </x:c>
      <x:c r="O43" s="9" t="str"/>
      <x:c r="P43" s="9" t="str">
        <x:v>Suvi Anwar: New Discoveries</x:v>
      </x:c>
      <x:c r="Q43" s="9" t="str">
        <x:v>MEA-SRC-MISSIONS</x:v>
      </x:c>
      <x:c r="R43" s="9" t="str">
        <x:v>https://masseffect.fandom.com/wiki/Missions_%28Mass_Effect%3A_Andromeda%29</x:v>
      </x:c>
      <x:c r="S43" s="9" t="str">
        <x:v>Spécification à réaliser. Les champs adaptation, gameplay, visual, animation, audio et implementation décrivent le fan game ; ils ne donnent pas des caractéristiques officielles de l’œuvre.</x:v>
      </x:c>
    </x:row>
    <x:row r="44" ht="68" customHeight="1">
      <x:c r="A44" s="19" t="str">
        <x:v>MEA-SQ-TRUTH</x:v>
      </x:c>
      <x:c r="B44" s="7" t="str">
        <x:v>Truth and Trespass</x:v>
      </x:c>
      <x:c r="C44" s="15" t="str">
        <x:v>Défini</x:v>
      </x:c>
      <x:c r="D44" s="17" t="str">
        <x:v>Établi</x:v>
      </x:c>
      <x:c r="E44" s="17" t="str">
        <x:v>P1</x:v>
      </x:c>
      <x:c r="F44" s="7" t="str">
        <x:v>Mission d’enquête liée au Tempest.</x:v>
      </x:c>
      <x:c r="G44" s="7" t="str">
        <x:v>Chaîne de messages et preuves, identité d’interlocuteur révélée au moment prévu ; conserver dossier consultable.</x:v>
      </x:c>
      <x:c r="H44" s="7" t="str">
        <x:v>Chaîne de messages et preuves, identité d’interlocuteur révélée au moment prévu ; conserver dossier consultable.</x:v>
      </x:c>
      <x:c r="I44" s="7" t="str">
        <x:v>Terminaux et transmission codée.</x:v>
      </x:c>
      <x:c r="J44" s="7" t="str">
        <x:v>Transitions de caméra et d’interface interruptibles ; aucun délai d’animation ne doit consommer une décision encore ouverte.</x:v>
      </x:c>
      <x:c r="K44" s="7" t="str">
        <x:v>Créer des bruitages et ambiances originaux adaptés au livrable ; sous-titrer les indices utiles et proposer un réglage indépendant des effets. Aucune extraction audio demandée.</x:v>
      </x:c>
      <x:c r="L44" s="7" t="str">
        <x:v>Prévu : fiche de données mea/side_quests/truth ; rattacher les ressources et états cités à cet identifiant. Aucun fichier de jeu créé par ce catalogue.</x:v>
      </x:c>
      <x:c r="M44" s="7" t="str"/>
      <x:c r="N44" s="7" t="str">
        <x:v>Le livrable « Truth and Trespass » possède une scène ou un scénario de contrôle ; ses règles proposées, ses conditions et ses retours visuels sont vérifiables séparément.</x:v>
      </x:c>
      <x:c r="O44" s="7" t="str"/>
      <x:c r="P44" s="7" t="str">
        <x:v>Truth and Trespass</x:v>
      </x:c>
      <x:c r="Q44" s="7" t="str">
        <x:v>MEA-SRC-MISSIONS</x:v>
      </x:c>
      <x:c r="R44" s="7" t="str">
        <x:v>https://masseffect.fandom.com/wiki/Missions_%28Mass_Effect%3A_Andromeda%29</x:v>
      </x:c>
      <x:c r="S44" s="7" t="str">
        <x:v>Spécification à réaliser. Les champs adaptation, gameplay, visual, animation, audio et implementation décrivent le fan game ; ils ne donnent pas des caractéristiques officielles de l’œuvre.</x:v>
      </x:c>
    </x:row>
    <x:row r="45" ht="68" customHeight="1">
      <x:c r="A45" s="18" t="str">
        <x:v>MEA-SQ-LITTLE-THINGS</x:v>
      </x:c>
      <x:c r="B45" s="9" t="str">
        <x:v>The Little Things That Matter</x:v>
      </x:c>
      <x:c r="C45" s="15" t="str">
        <x:v>Défini</x:v>
      </x:c>
      <x:c r="D45" s="16" t="str">
        <x:v>Établi</x:v>
      </x:c>
      <x:c r="E45" s="16" t="str">
        <x:v>P1</x:v>
      </x:c>
      <x:c r="F45" s="9" t="str">
        <x:v>Mission d’Addison.</x:v>
      </x:c>
      <x:c r="G45" s="9" t="str">
        <x:v>Suivre personnes et appels plutôt qu’un compteur abstrait ; entretien final tient compte des contacts réellement retrouvés.</x:v>
      </x:c>
      <x:c r="H45" s="9" t="str">
        <x:v>Suivre personnes et appels plutôt qu’un compteur abstrait ; entretien final tient compte des contacts réellement retrouvés.</x:v>
      </x:c>
      <x:c r="I45" s="9" t="str">
        <x:v>Bureaux de colonie et logs.</x:v>
      </x:c>
      <x:c r="J45" s="9" t="str">
        <x:v>Transitions de caméra et d’interface interruptibles ; aucun délai d’animation ne doit consommer une décision encore ouverte.</x:v>
      </x:c>
      <x:c r="K45" s="9" t="str">
        <x:v>Créer des bruitages et ambiances originaux adaptés au livrable ; sous-titrer les indices utiles et proposer un réglage indépendant des effets. Aucune extraction audio demandée.</x:v>
      </x:c>
      <x:c r="L45" s="9" t="str">
        <x:v>Prévu : fiche de données mea/side_quests/little-things ; rattacher les ressources et états cités à cet identifiant. Aucun fichier de jeu créé par ce catalogue.</x:v>
      </x:c>
      <x:c r="M45" s="9" t="str"/>
      <x:c r="N45" s="9" t="str">
        <x:v>Le livrable « The Little Things That Matter » possède une scène ou un scénario de contrôle ; ses règles proposées, ses conditions et ses retours visuels sont vérifiables séparément.</x:v>
      </x:c>
      <x:c r="O45" s="9" t="str"/>
      <x:c r="P45" s="9" t="str">
        <x:v>The Little Things That Matter</x:v>
      </x:c>
      <x:c r="Q45" s="9" t="str">
        <x:v>MEA-SRC-MISSIONS</x:v>
      </x:c>
      <x:c r="R45" s="9" t="str">
        <x:v>https://masseffect.fandom.com/wiki/Missions_%28Mass_Effect%3A_Andromeda%29</x:v>
      </x:c>
      <x:c r="S45" s="9" t="str">
        <x:v>Spécification à réaliser. Les champs adaptation, gameplay, visual, animation, audio et implementation décrivent le fan game ; ils ne donnent pas des caractéristiques officielles de l’œuvre.</x:v>
      </x:c>
    </x:row>
    <x:row r="46" ht="68" customHeight="1">
      <x:c r="A46" s="19" t="str">
        <x:v>MEA-SQ-DISSENSION</x:v>
      </x:c>
      <x:c r="B46" s="7" t="str">
        <x:v>Dissension in the Ranks</x:v>
      </x:c>
      <x:c r="C46" s="15" t="str">
        <x:v>Défini</x:v>
      </x:c>
      <x:c r="D46" s="17" t="str">
        <x:v>Établi</x:v>
      </x:c>
      <x:c r="E46" s="17" t="str">
        <x:v>P1</x:v>
      </x:c>
      <x:c r="F46" s="7" t="str">
        <x:v>Mission de renseignement kett.</x:v>
      </x:c>
      <x:c r="G46" s="7" t="str">
        <x:v>Recherche d’informations et proposition de coopération ; décision conservée pour assaut final si compatible.</x:v>
      </x:c>
      <x:c r="H46" s="7" t="str">
        <x:v>Recherche d’informations et proposition de coopération ; décision conservée pour assaut final si compatible.</x:v>
      </x:c>
      <x:c r="I46" s="7" t="str">
        <x:v>Canal kett et preuves de dissension.</x:v>
      </x:c>
      <x:c r="J46" s="7" t="str">
        <x:v>Transitions de caméra et d’interface interruptibles ; aucun délai d’animation ne doit consommer une décision encore ouverte.</x:v>
      </x:c>
      <x:c r="K46" s="7" t="str">
        <x:v>Créer des bruitages et ambiances originaux adaptés au livrable ; sous-titrer les indices utiles et proposer un réglage indépendant des effets. Aucune extraction audio demandée.</x:v>
      </x:c>
      <x:c r="L46" s="7" t="str">
        <x:v>Prévu : fiche de données mea/side_quests/dissension ; rattacher les ressources et états cités à cet identifiant. Aucun fichier de jeu créé par ce catalogue.</x:v>
      </x:c>
      <x:c r="M46" s="7" t="str"/>
      <x:c r="N46" s="7" t="str">
        <x:v>Le livrable « Dissension in the Ranks » possède une scène ou un scénario de contrôle ; ses règles proposées, ses conditions et ses retours visuels sont vérifiables séparément.</x:v>
      </x:c>
      <x:c r="O46" s="7" t="str"/>
      <x:c r="P46" s="7" t="str">
        <x:v>Dissension in the Ranks</x:v>
      </x:c>
      <x:c r="Q46" s="7" t="str">
        <x:v>MEA-SRC-MISSIONS</x:v>
      </x:c>
      <x:c r="R46" s="7" t="str">
        <x:v>https://masseffect.fandom.com/wiki/Missions_%28Mass_Effect%3A_Andromeda%29</x:v>
      </x:c>
      <x:c r="S46" s="7" t="str">
        <x:v>Spécification à réaliser. Les champs adaptation, gameplay, visual, animation, audio et implementation décrivent le fan game ; ils ne donnent pas des caractéristiques officielles de l’œuvre.</x:v>
      </x:c>
    </x:row>
    <x:row r="47" ht="68" customHeight="1">
      <x:c r="A47" s="18" t="str">
        <x:v>MEA-SQ-KNOW-ENEMY</x:v>
      </x:c>
      <x:c r="B47" s="9" t="str">
        <x:v>Know Your Enemy</x:v>
      </x:c>
      <x:c r="C47" s="15" t="str">
        <x:v>Défini</x:v>
      </x:c>
      <x:c r="D47" s="16" t="str">
        <x:v>Établi</x:v>
      </x:c>
      <x:c r="E47" s="16" t="str">
        <x:v>P1</x:v>
      </x:c>
      <x:c r="F47" s="9" t="str">
        <x:v>Mission de renseignement.</x:v>
      </x:c>
      <x:c r="G47" s="9" t="str">
        <x:v>Scanner preuves et livrer une synthèse à Raelis ; éviter de traiter tout objet kett comme preuve suffisante.</x:v>
      </x:c>
      <x:c r="H47" s="9" t="str">
        <x:v>Scanner preuves et livrer une synthèse à Raelis ; éviter de traiter tout objet kett comme preuve suffisante.</x:v>
      </x:c>
      <x:c r="I47" s="9" t="str">
        <x:v>Laboratoire et traces kett.</x:v>
      </x:c>
      <x:c r="J47" s="9" t="str">
        <x:v>Transitions de caméra et d’interface interruptibles ; aucun délai d’animation ne doit consommer une décision encore ouverte.</x:v>
      </x:c>
      <x:c r="K47" s="9" t="str">
        <x:v>Créer des bruitages et ambiances originaux adaptés au livrable ; sous-titrer les indices utiles et proposer un réglage indépendant des effets. Aucune extraction audio demandée.</x:v>
      </x:c>
      <x:c r="L47" s="9" t="str">
        <x:v>Prévu : fiche de données mea/side_quests/know-enemy ; rattacher les ressources et états cités à cet identifiant. Aucun fichier de jeu créé par ce catalogue.</x:v>
      </x:c>
      <x:c r="M47" s="9" t="str"/>
      <x:c r="N47" s="9" t="str">
        <x:v>Le livrable « Know Your Enemy » possède une scène ou un scénario de contrôle ; ses règles proposées, ses conditions et ses retours visuels sont vérifiables séparément.</x:v>
      </x:c>
      <x:c r="O47" s="9" t="str"/>
      <x:c r="P47" s="9" t="str">
        <x:v>Know Your Enemy</x:v>
      </x:c>
      <x:c r="Q47" s="9" t="str">
        <x:v>MEA-SRC-MISSIONS</x:v>
      </x:c>
      <x:c r="R47" s="9" t="str">
        <x:v>https://masseffect.fandom.com/wiki/Missions_%28Mass_Effect%3A_Andromeda%29</x:v>
      </x:c>
      <x:c r="S47" s="9" t="str">
        <x:v>Spécification à réaliser. Les champs adaptation, gameplay, visual, animation, audio et implementation décrivent le fan game ; ils ne donnent pas des caractéristiques officielles de l’œuvre.</x:v>
      </x:c>
    </x:row>
    <x:row r="48" ht="68" customHeight="1">
      <x:c r="A48" s="19" t="str">
        <x:v>MEA-SQ-MOVIE</x:v>
      </x:c>
      <x:c r="B48" s="7" t="str">
        <x:v>Movie Night — chaîne de préparation</x:v>
      </x:c>
      <x:c r="C48" s="15" t="str">
        <x:v>Défini</x:v>
      </x:c>
      <x:c r="D48" s="17" t="str">
        <x:v>Établi</x:v>
      </x:c>
      <x:c r="E48" s="17" t="str">
        <x:v>P1</x:v>
      </x:c>
      <x:c r="F48" s="7" t="str">
        <x:v>Suite de missions sociales du Tempest.</x:v>
      </x:c>
      <x:c r="G48" s="7" t="str">
        <x:v>Six sous-étapes nommées : Getting Started, Snacks, Better Snacks, The Right Setup, Raise a Glass, The Final Piece ; objets et donneurs distincts, soirée ouverte après validation complète.</x:v>
      </x:c>
      <x:c r="H48" s="7" t="str">
        <x:v>Six sous-étapes nommées : Getting Started, Snacks, Better Snacks, The Right Setup, Raise a Glass, The Final Piece ; objets et donneurs distincts, soirée ouverte après validation complète.</x:v>
      </x:c>
      <x:c r="I48" s="7" t="str">
        <x:v>Écran, sièges, snacks et boissons.</x:v>
      </x:c>
      <x:c r="J48" s="7" t="str">
        <x:v>Transitions de caméra et d’interface interruptibles ; aucun délai d’animation ne doit consommer une décision encore ouverte.</x:v>
      </x:c>
      <x:c r="K48" s="7" t="str">
        <x:v>Créer des bruitages et ambiances originaux adaptés au livrable ; sous-titrer les indices utiles et proposer un réglage indépendant des effets. Aucune extraction audio demandée.</x:v>
      </x:c>
      <x:c r="L48" s="7" t="str">
        <x:v>Prévu : fiche de données mea/side_quests/movie ; rattacher les ressources et états cités à cet identifiant. Aucun fichier de jeu créé par ce catalogue.</x:v>
      </x:c>
      <x:c r="M48" s="7" t="str"/>
      <x:c r="N48" s="7" t="str">
        <x:v>Le livrable « Movie Night — chaîne de préparation » possède une scène ou un scénario de contrôle ; ses règles proposées, ses conditions et ses retours visuels sont vérifiables séparément.</x:v>
      </x:c>
      <x:c r="O48" s="7" t="str"/>
      <x:c r="P48" s="7" t="str">
        <x:v>Movie Night — chaîne de préparation</x:v>
      </x:c>
      <x:c r="Q48" s="7" t="str">
        <x:v>MEA-SRC-MOVIE</x:v>
      </x:c>
      <x:c r="R48" s="7" t="str">
        <x:v>https://masseffect.fandom.com/wiki/Movie_Night</x:v>
      </x:c>
      <x:c r="S48" s="7" t="str">
        <x:v>Spécification à réaliser. Les champs adaptation, gameplay, visual, animation, audio et implementation décrivent le fan game ; ils ne donnent pas des caractéristiques officielles de l’œuvre.</x:v>
      </x:c>
    </x:row>
    <x:row r="49" ht="68" customHeight="1">
      <x:c r="A49" s="18" t="str">
        <x:v>MEA-SQ-EOS-KETT</x:v>
      </x:c>
      <x:c r="B49" s="9" t="str">
        <x:v>Defeating the Kett</x:v>
      </x:c>
      <x:c r="C49" s="15" t="str">
        <x:v>Défini</x:v>
      </x:c>
      <x:c r="D49" s="16" t="str">
        <x:v>Établi</x:v>
      </x:c>
      <x:c r="E49" s="16" t="str">
        <x:v>P1</x:v>
      </x:c>
      <x:c r="F49" s="9" t="str">
        <x:v>Opération d’Eos.</x:v>
      </x:c>
      <x:c r="G49" s="9" t="str">
        <x:v>Assaut d’installation avec désactivation de défenses et commandement ; garantir plusieurs angles pour sprites sur plateformes.</x:v>
      </x:c>
      <x:c r="H49" s="9" t="str">
        <x:v>Assaut d’installation avec désactivation de défenses et commandement ; garantir plusieurs angles pour sprites sur plateformes.</x:v>
      </x:c>
      <x:c r="I49" s="9" t="str">
        <x:v>Base kett dans falaises.</x:v>
      </x:c>
      <x:c r="J49" s="9" t="str">
        <x:v>Transitions de caméra et d’interface interruptibles ; aucun délai d’animation ne doit consommer une décision encore ouverte.</x:v>
      </x:c>
      <x:c r="K49" s="9" t="str">
        <x:v>Créer des bruitages et ambiances originaux adaptés au livrable ; sous-titrer les indices utiles et proposer un réglage indépendant des effets. Aucune extraction audio demandée.</x:v>
      </x:c>
      <x:c r="L49" s="9" t="str">
        <x:v>Prévu : fiche de données mea/side_quests/eos-kett ; rattacher les ressources et états cités à cet identifiant. Aucun fichier de jeu créé par ce catalogue.</x:v>
      </x:c>
      <x:c r="M49" s="9" t="str"/>
      <x:c r="N49" s="9" t="str">
        <x:v>Le livrable « Defeating the Kett » possède une scène ou un scénario de contrôle ; ses règles proposées, ses conditions et ses retours visuels sont vérifiables séparément.</x:v>
      </x:c>
      <x:c r="O49" s="9" t="str"/>
      <x:c r="P49" s="9" t="str">
        <x:v>Defeating the Kett</x:v>
      </x:c>
      <x:c r="Q49" s="9" t="str">
        <x:v>MEA-SRC-EOS-PAGE</x:v>
      </x:c>
      <x:c r="R49" s="9" t="str">
        <x:v>https://masseffect.fandom.com/wiki/Eos</x:v>
      </x:c>
      <x:c r="S49" s="9" t="str">
        <x:v>Spécification à réaliser. Les champs adaptation, gameplay, visual, animation, audio et implementation décrivent le fan game ; ils ne donnent pas des caractéristiques officielles de l’œuvre.</x:v>
      </x:c>
    </x:row>
    <x:row r="50" ht="68" customHeight="1">
      <x:c r="A50" s="19" t="str">
        <x:v>MEA-SQ-EOS-IMPRESSION</x:v>
      </x:c>
      <x:c r="B50" s="7" t="str">
        <x:v>Making an Impression</x:v>
      </x:c>
      <x:c r="C50" s="15" t="str">
        <x:v>Défini</x:v>
      </x:c>
      <x:c r="D50" s="17" t="str">
        <x:v>Établi</x:v>
      </x:c>
      <x:c r="E50" s="17" t="str">
        <x:v>P1</x:v>
      </x:c>
      <x:c r="F50" s="7" t="str">
        <x:v>Mission de retour à Eos.</x:v>
      </x:c>
      <x:c r="G50" s="7" t="str">
        <x:v>Équipements scientifiques et rencontre d’Architecte ; choix locaux et combat géant ont états séparés.</x:v>
      </x:c>
      <x:c r="H50" s="7" t="str">
        <x:v>Équipements scientifiques et rencontre d’Architecte ; choix locaux et combat géant ont états séparés.</x:v>
      </x:c>
      <x:c r="I50" s="7" t="str">
        <x:v>Sondes sismiques et désert.</x:v>
      </x:c>
      <x:c r="J50" s="7" t="str">
        <x:v>Transitions de caméra et d’interface interruptibles ; aucun délai d’animation ne doit consommer une décision encore ouverte.</x:v>
      </x:c>
      <x:c r="K50" s="7" t="str">
        <x:v>Créer des bruitages et ambiances originaux adaptés au livrable ; sous-titrer les indices utiles et proposer un réglage indépendant des effets. Aucune extraction audio demandée.</x:v>
      </x:c>
      <x:c r="L50" s="7" t="str">
        <x:v>Prévu : fiche de données mea/side_quests/eos-impression ; rattacher les ressources et états cités à cet identifiant. Aucun fichier de jeu créé par ce catalogue.</x:v>
      </x:c>
      <x:c r="M50" s="7" t="str"/>
      <x:c r="N50" s="7" t="str">
        <x:v>Le livrable « Making an Impression » possède une scène ou un scénario de contrôle ; ses règles proposées, ses conditions et ses retours visuels sont vérifiables séparément.</x:v>
      </x:c>
      <x:c r="O50" s="7" t="str"/>
      <x:c r="P50" s="7" t="str">
        <x:v>Making an Impression</x:v>
      </x:c>
      <x:c r="Q50" s="7" t="str">
        <x:v>MEA-SRC-EOS-PAGE</x:v>
      </x:c>
      <x:c r="R50" s="7" t="str">
        <x:v>https://masseffect.fandom.com/wiki/Eos</x:v>
      </x:c>
      <x:c r="S50" s="7" t="str">
        <x:v>Spécification à réaliser. Les champs adaptation, gameplay, visual, animation, audio et implementation décrivent le fan game ; ils ne donnent pas des caractéristiques officielles de l’œuvre.</x:v>
      </x:c>
    </x:row>
    <x:row r="51" ht="68" customHeight="1">
      <x:c r="A51" s="18" t="str">
        <x:v>MEA-SQ-EOS-BANE</x:v>
      </x:c>
      <x:c r="B51" s="9" t="str">
        <x:v>Kett’s Bane</x:v>
      </x:c>
      <x:c r="C51" s="15" t="str">
        <x:v>Défini</x:v>
      </x:c>
      <x:c r="D51" s="16" t="str">
        <x:v>Établi</x:v>
      </x:c>
      <x:c r="E51" s="16" t="str">
        <x:v>P1</x:v>
      </x:c>
      <x:c r="F51" s="9" t="str">
        <x:v>Mission d’Eos.</x:v>
      </x:c>
      <x:c r="G51" s="9" t="str">
        <x:v>Contact et infiltration ciblée ; l’information de route ne supprime pas tout combat sans règle annoncée.</x:v>
      </x:c>
      <x:c r="H51" s="9" t="str">
        <x:v>Contact et infiltration ciblée ; l’information de route ne supprime pas tout combat sans règle annoncée.</x:v>
      </x:c>
      <x:c r="I51" s="9" t="str">
        <x:v>Camp et entrée de base.</x:v>
      </x:c>
      <x:c r="J51" s="9" t="str">
        <x:v>Transitions de caméra et d’interface interruptibles ; aucun délai d’animation ne doit consommer une décision encore ouverte.</x:v>
      </x:c>
      <x:c r="K51" s="9" t="str">
        <x:v>Créer des bruitages et ambiances originaux adaptés au livrable ; sous-titrer les indices utiles et proposer un réglage indépendant des effets. Aucune extraction audio demandée.</x:v>
      </x:c>
      <x:c r="L51" s="9" t="str">
        <x:v>Prévu : fiche de données mea/side_quests/eos-bane ; rattacher les ressources et états cités à cet identifiant. Aucun fichier de jeu créé par ce catalogue.</x:v>
      </x:c>
      <x:c r="M51" s="9" t="str"/>
      <x:c r="N51" s="9" t="str">
        <x:v>Le livrable « Kett’s Bane » possède une scène ou un scénario de contrôle ; ses règles proposées, ses conditions et ses retours visuels sont vérifiables séparément.</x:v>
      </x:c>
      <x:c r="O51" s="9" t="str"/>
      <x:c r="P51" s="9" t="str">
        <x:v>Kett’s Bane</x:v>
      </x:c>
      <x:c r="Q51" s="9" t="str">
        <x:v>MEA-SRC-EOS-PAGE</x:v>
      </x:c>
      <x:c r="R51" s="9" t="str">
        <x:v>https://masseffect.fandom.com/wiki/Eos</x:v>
      </x:c>
      <x:c r="S51" s="9" t="str">
        <x:v>Spécification à réaliser. Les champs adaptation, gameplay, visual, animation, audio et implementation décrivent le fan game ; ils ne donnent pas des caractéristiques officielles de l’œuvre.</x:v>
      </x:c>
    </x:row>
    <x:row r="52" ht="68" customHeight="1">
      <x:c r="A52" s="19" t="str">
        <x:v>MEA-SQ-EOS-SHOCK</x:v>
      </x:c>
      <x:c r="B52" s="7" t="str">
        <x:v>Shock Treatment</x:v>
      </x:c>
      <x:c r="C52" s="15" t="str">
        <x:v>Défini</x:v>
      </x:c>
      <x:c r="D52" s="17" t="str">
        <x:v>Établi</x:v>
      </x:c>
      <x:c r="E52" s="17" t="str">
        <x:v>P1</x:v>
      </x:c>
      <x:c r="F52" s="7" t="str">
        <x:v>Mission d’Eos.</x:v>
      </x:c>
      <x:c r="G52" s="7" t="str">
        <x:v>Enquête de blessure et matériel ; scanner fournit indices lisibles, conclusion rattachée au bon dossier.</x:v>
      </x:c>
      <x:c r="H52" s="7" t="str">
        <x:v>Enquête de blessure et matériel ; scanner fournit indices lisibles, conclusion rattachée au bon dossier.</x:v>
      </x:c>
      <x:c r="I52" s="7" t="str">
        <x:v>Infirmerie d’avant-poste et installations électriques.</x:v>
      </x:c>
      <x:c r="J52" s="7" t="str">
        <x:v>Transitions de caméra et d’interface interruptibles ; aucun délai d’animation ne doit consommer une décision encore ouverte.</x:v>
      </x:c>
      <x:c r="K52" s="7" t="str">
        <x:v>Créer des bruitages et ambiances originaux adaptés au livrable ; sous-titrer les indices utiles et proposer un réglage indépendant des effets. Aucune extraction audio demandée.</x:v>
      </x:c>
      <x:c r="L52" s="7" t="str">
        <x:v>Prévu : fiche de données mea/side_quests/eos-shock ; rattacher les ressources et états cités à cet identifiant. Aucun fichier de jeu créé par ce catalogue.</x:v>
      </x:c>
      <x:c r="M52" s="7" t="str"/>
      <x:c r="N52" s="7" t="str">
        <x:v>Le livrable « Shock Treatment » possède une scène ou un scénario de contrôle ; ses règles proposées, ses conditions et ses retours visuels sont vérifiables séparément.</x:v>
      </x:c>
      <x:c r="O52" s="7" t="str"/>
      <x:c r="P52" s="7" t="str">
        <x:v>Shock Treatment</x:v>
      </x:c>
      <x:c r="Q52" s="7" t="str">
        <x:v>MEA-SRC-EOS-PAGE</x:v>
      </x:c>
      <x:c r="R52" s="7" t="str">
        <x:v>https://masseffect.fandom.com/wiki/Eos</x:v>
      </x:c>
      <x:c r="S52" s="7" t="str">
        <x:v>Spécification à réaliser. Les champs adaptation, gameplay, visual, animation, audio et implementation décrivent le fan game ; ils ne donnent pas des caractéristiques officielles de l’œuvre.</x:v>
      </x:c>
    </x:row>
    <x:row r="53" ht="68" customHeight="1">
      <x:c r="A53" s="18" t="str">
        <x:v>MEA-SQ-EOS-SECRET</x:v>
      </x:c>
      <x:c r="B53" s="9" t="str">
        <x:v>The Secret Project</x:v>
      </x:c>
      <x:c r="C53" s="15" t="str">
        <x:v>Défini</x:v>
      </x:c>
      <x:c r="D53" s="16" t="str">
        <x:v>Établi</x:v>
      </x:c>
      <x:c r="E53" s="16" t="str">
        <x:v>P1</x:v>
      </x:c>
      <x:c r="F53" s="9" t="str">
        <x:v>Mission d’Eos.</x:v>
      </x:c>
      <x:c r="G53" s="9" t="str">
        <x:v>Explorer le site et sécuriser le prototype ; secret ne devient pas arme universelle du groupe sans déblocage documenté.</x:v>
      </x:c>
      <x:c r="H53" s="9" t="str">
        <x:v>Explorer le site et sécuriser le prototype ; secret ne devient pas arme universelle du groupe sans déblocage documenté.</x:v>
      </x:c>
      <x:c r="I53" s="9" t="str">
        <x:v>Site de recherche abandonné.</x:v>
      </x:c>
      <x:c r="J53" s="9" t="str">
        <x:v>Transitions de caméra et d’interface interruptibles ; aucun délai d’animation ne doit consommer une décision encore ouverte.</x:v>
      </x:c>
      <x:c r="K53" s="9" t="str">
        <x:v>Créer des bruitages et ambiances originaux adaptés au livrable ; sous-titrer les indices utiles et proposer un réglage indépendant des effets. Aucune extraction audio demandée.</x:v>
      </x:c>
      <x:c r="L53" s="9" t="str">
        <x:v>Prévu : fiche de données mea/side_quests/eos-secret ; rattacher les ressources et états cités à cet identifiant. Aucun fichier de jeu créé par ce catalogue.</x:v>
      </x:c>
      <x:c r="M53" s="9" t="str"/>
      <x:c r="N53" s="9" t="str">
        <x:v>Le livrable « The Secret Project » possède une scène ou un scénario de contrôle ; ses règles proposées, ses conditions et ses retours visuels sont vérifiables séparément.</x:v>
      </x:c>
      <x:c r="O53" s="9" t="str"/>
      <x:c r="P53" s="9" t="str">
        <x:v>The Secret Project</x:v>
      </x:c>
      <x:c r="Q53" s="9" t="str">
        <x:v>MEA-SRC-EOS-PAGE</x:v>
      </x:c>
      <x:c r="R53" s="9" t="str">
        <x:v>https://masseffect.fandom.com/wiki/Eos</x:v>
      </x:c>
      <x:c r="S53" s="9" t="str">
        <x:v>Spécification à réaliser. Les champs adaptation, gameplay, visual, animation, audio et implementation décrivent le fan game ; ils ne donnent pas des caractéristiques officielles de l’œuvre.</x:v>
      </x:c>
    </x:row>
    <x:row r="54" ht="68" customHeight="1">
      <x:c r="A54" s="19" t="str">
        <x:v>MEA-SQ-EOS-DANNY</x:v>
      </x:c>
      <x:c r="B54" s="7" t="str">
        <x:v>A Job for Danny Messier</x:v>
      </x:c>
      <x:c r="C54" s="15" t="str">
        <x:v>Défini</x:v>
      </x:c>
      <x:c r="D54" s="17" t="str">
        <x:v>Établi</x:v>
      </x:c>
      <x:c r="E54" s="17" t="str">
        <x:v>P1</x:v>
      </x:c>
      <x:c r="F54" s="7" t="str">
        <x:v>Mission d’Eos.</x:v>
      </x:c>
      <x:c r="G54" s="7" t="str">
        <x:v>Demande locale avec objet et retour ciblés ; signal de remise distinct du voyage de recherche.</x:v>
      </x:c>
      <x:c r="H54" s="7" t="str">
        <x:v>Demande locale avec objet et retour ciblés ; signal de remise distinct du voyage de recherche.</x:v>
      </x:c>
      <x:c r="I54" s="7" t="str">
        <x:v>Avant-poste et carte locale.</x:v>
      </x:c>
      <x:c r="J54" s="7" t="str">
        <x:v>Transitions de caméra et d’interface interruptibles ; aucun délai d’animation ne doit consommer une décision encore ouverte.</x:v>
      </x:c>
      <x:c r="K54" s="7" t="str">
        <x:v>Créer des bruitages et ambiances originaux adaptés au livrable ; sous-titrer les indices utiles et proposer un réglage indépendant des effets. Aucune extraction audio demandée.</x:v>
      </x:c>
      <x:c r="L54" s="7" t="str">
        <x:v>Prévu : fiche de données mea/side_quests/eos-danny ; rattacher les ressources et états cités à cet identifiant. Aucun fichier de jeu créé par ce catalogue.</x:v>
      </x:c>
      <x:c r="M54" s="7" t="str"/>
      <x:c r="N54" s="7" t="str">
        <x:v>Le livrable « A Job for Danny Messier » possède une scène ou un scénario de contrôle ; ses règles proposées, ses conditions et ses retours visuels sont vérifiables séparément.</x:v>
      </x:c>
      <x:c r="O54" s="7" t="str"/>
      <x:c r="P54" s="7" t="str">
        <x:v>A Job for Danny Messier</x:v>
      </x:c>
      <x:c r="Q54" s="7" t="str">
        <x:v>MEA-SRC-EOS-PAGE</x:v>
      </x:c>
      <x:c r="R54" s="7" t="str">
        <x:v>https://masseffect.fandom.com/wiki/Eos</x:v>
      </x:c>
      <x:c r="S54" s="7" t="str">
        <x:v>Spécification à réaliser. Les champs adaptation, gameplay, visual, animation, audio et implementation décrivent le fan game ; ils ne donnent pas des caractéristiques officielles de l’œuvre.</x:v>
      </x:c>
    </x:row>
    <x:row r="55" ht="68" customHeight="1">
      <x:c r="A55" s="18" t="str">
        <x:v>MEA-SQ-EOS-ADDUP</x:v>
      </x:c>
      <x:c r="B55" s="9" t="str">
        <x:v>Doesn’t Add Up</x:v>
      </x:c>
      <x:c r="C55" s="15" t="str">
        <x:v>Défini</x:v>
      </x:c>
      <x:c r="D55" s="16" t="str">
        <x:v>Établi</x:v>
      </x:c>
      <x:c r="E55" s="16" t="str">
        <x:v>P1</x:v>
      </x:c>
      <x:c r="F55" s="9" t="str">
        <x:v>Mission d’Eos.</x:v>
      </x:c>
      <x:c r="G55" s="9" t="str">
        <x:v>Analyser anomalie via plusieurs éléments ; validation de scan atomique sans doublon de preuve.</x:v>
      </x:c>
      <x:c r="H55" s="9" t="str">
        <x:v>Analyser anomalie via plusieurs éléments ; validation de scan atomique sans doublon de preuve.</x:v>
      </x:c>
      <x:c r="I55" s="9" t="str">
        <x:v>Terminal et relevés scientifiques.</x:v>
      </x:c>
      <x:c r="J55" s="9" t="str">
        <x:v>Transitions de caméra et d’interface interruptibles ; aucun délai d’animation ne doit consommer une décision encore ouverte.</x:v>
      </x:c>
      <x:c r="K55" s="9" t="str">
        <x:v>Créer des bruitages et ambiances originaux adaptés au livrable ; sous-titrer les indices utiles et proposer un réglage indépendant des effets. Aucune extraction audio demandée.</x:v>
      </x:c>
      <x:c r="L55" s="9" t="str">
        <x:v>Prévu : fiche de données mea/side_quests/eos-addup ; rattacher les ressources et états cités à cet identifiant. Aucun fichier de jeu créé par ce catalogue.</x:v>
      </x:c>
      <x:c r="M55" s="9" t="str"/>
      <x:c r="N55" s="9" t="str">
        <x:v>Le livrable « Doesn’t Add Up » possède une scène ou un scénario de contrôle ; ses règles proposées, ses conditions et ses retours visuels sont vérifiables séparément.</x:v>
      </x:c>
      <x:c r="O55" s="9" t="str"/>
      <x:c r="P55" s="9" t="str">
        <x:v>Doesn’t Add Up</x:v>
      </x:c>
      <x:c r="Q55" s="9" t="str">
        <x:v>MEA-SRC-EOS-PAGE</x:v>
      </x:c>
      <x:c r="R55" s="9" t="str">
        <x:v>https://masseffect.fandom.com/wiki/Eos</x:v>
      </x:c>
      <x:c r="S55" s="9" t="str">
        <x:v>Spécification à réaliser. Les champs adaptation, gameplay, visual, animation, audio et implementation décrivent le fan game ; ils ne donnent pas des caractéristiques officielles de l’œuvre.</x:v>
      </x:c>
    </x:row>
    <x:row r="56" ht="68" customHeight="1">
      <x:c r="A56" s="19" t="str">
        <x:v>MEA-SQ-EOS-PERSONNEL</x:v>
      </x:c>
      <x:c r="B56" s="7" t="str">
        <x:v>Something Personnel</x:v>
      </x:c>
      <x:c r="C56" s="15" t="str">
        <x:v>Défini</x:v>
      </x:c>
      <x:c r="D56" s="17" t="str">
        <x:v>Établi</x:v>
      </x:c>
      <x:c r="E56" s="17" t="str">
        <x:v>P1</x:v>
      </x:c>
      <x:c r="F56" s="7" t="str">
        <x:v>Mission d’Eos.</x:v>
      </x:c>
      <x:c r="G56" s="7" t="str">
        <x:v>Suivi de personnel par identifiants et messages ; objet de quête jamais vendu comme butin ordinaire.</x:v>
      </x:c>
      <x:c r="H56" s="7" t="str">
        <x:v>Suivi de personnel par identifiants et messages ; objet de quête jamais vendu comme butin ordinaire.</x:v>
      </x:c>
      <x:c r="I56" s="7" t="str">
        <x:v>Poste de colonie et dossier.</x:v>
      </x:c>
      <x:c r="J56" s="7" t="str">
        <x:v>Transitions de caméra et d’interface interruptibles ; aucun délai d’animation ne doit consommer une décision encore ouverte.</x:v>
      </x:c>
      <x:c r="K56" s="7" t="str">
        <x:v>Créer des bruitages et ambiances originaux adaptés au livrable ; sous-titrer les indices utiles et proposer un réglage indépendant des effets. Aucune extraction audio demandée.</x:v>
      </x:c>
      <x:c r="L56" s="7" t="str">
        <x:v>Prévu : fiche de données mea/side_quests/eos-personnel ; rattacher les ressources et états cités à cet identifiant. Aucun fichier de jeu créé par ce catalogue.</x:v>
      </x:c>
      <x:c r="M56" s="7" t="str"/>
      <x:c r="N56" s="7" t="str">
        <x:v>Le livrable « Something Personnel » possède une scène ou un scénario de contrôle ; ses règles proposées, ses conditions et ses retours visuels sont vérifiables séparément.</x:v>
      </x:c>
      <x:c r="O56" s="7" t="str"/>
      <x:c r="P56" s="7" t="str">
        <x:v>Something Personnel</x:v>
      </x:c>
      <x:c r="Q56" s="7" t="str">
        <x:v>MEA-SRC-EOS-PAGE</x:v>
      </x:c>
      <x:c r="R56" s="7" t="str">
        <x:v>https://masseffect.fandom.com/wiki/Eos</x:v>
      </x:c>
      <x:c r="S56" s="7" t="str">
        <x:v>Spécification à réaliser. Les champs adaptation, gameplay, visual, animation, audio et implementation décrivent le fan game ; ils ne donnent pas des caractéristiques officielles de l’œuvre.</x:v>
      </x:c>
    </x:row>
    <x:row r="57" ht="68" customHeight="1">
      <x:c r="A57" s="18" t="str">
        <x:v>MEA-SQ-HAVARL-DYING</x:v>
      </x:c>
      <x:c r="B57" s="9" t="str">
        <x:v>A Dying Planet</x:v>
      </x:c>
      <x:c r="C57" s="15" t="str">
        <x:v>Défini</x:v>
      </x:c>
      <x:c r="D57" s="16" t="str">
        <x:v>Établi</x:v>
      </x:c>
      <x:c r="E57" s="16" t="str">
        <x:v>P1</x:v>
      </x:c>
      <x:c r="F57" s="9" t="str">
        <x:v>Arc de restauration de Havarl.</x:v>
      </x:c>
      <x:c r="G57" s="9" t="str">
        <x:v>Recherche de savoir, trajet de Mithrava, guide puis caveau ; restauration change écologie visuelle et accès de façon contrôlée.</x:v>
      </x:c>
      <x:c r="H57" s="9" t="str">
        <x:v>Recherche de savoir, trajet de Mithrava, guide puis caveau ; restauration change écologie visuelle et accès de façon contrôlée.</x:v>
      </x:c>
      <x:c r="I57" s="9" t="str">
        <x:v>Jungle envahie et ruines anciennes.</x:v>
      </x:c>
      <x:c r="J57" s="9" t="str">
        <x:v>Transitions de caméra et d’interface interruptibles ; aucun délai d’animation ne doit consommer une décision encore ouverte.</x:v>
      </x:c>
      <x:c r="K57" s="9" t="str">
        <x:v>Créer des bruitages et ambiances originaux adaptés au livrable ; sous-titrer les indices utiles et proposer un réglage indépendant des effets. Aucune extraction audio demandée.</x:v>
      </x:c>
      <x:c r="L57" s="9" t="str">
        <x:v>Prévu : fiche de données mea/side_quests/havarl-dying ; rattacher les ressources et états cités à cet identifiant. Aucun fichier de jeu créé par ce catalogue.</x:v>
      </x:c>
      <x:c r="M57" s="9" t="str"/>
      <x:c r="N57" s="9" t="str">
        <x:v>Le livrable « A Dying Planet » possède une scène ou un scénario de contrôle ; ses règles proposées, ses conditions et ses retours visuels sont vérifiables séparément.</x:v>
      </x:c>
      <x:c r="O57" s="9" t="str"/>
      <x:c r="P57" s="9" t="str">
        <x:v>A Dying Planet</x:v>
      </x:c>
      <x:c r="Q57" s="9" t="str">
        <x:v>MEA-SRC-HAVARL-PAGE</x:v>
      </x:c>
      <x:c r="R57" s="9" t="str">
        <x:v>https://masseffect.fandom.com/wiki/Havarl</x:v>
      </x:c>
      <x:c r="S57" s="9" t="str">
        <x:v>Spécification à réaliser. Les champs adaptation, gameplay, visual, animation, audio et implementation décrivent le fan game ; ils ne donnent pas des caractéristiques officielles de l’œuvre.</x:v>
      </x:c>
    </x:row>
    <x:row r="58" ht="68" customHeight="1">
      <x:c r="A58" s="19" t="str">
        <x:v>MEA-SQ-HAVARL-SISTER</x:v>
      </x:c>
      <x:c r="B58" s="7" t="str">
        <x:v>A Lost Sister</x:v>
      </x:c>
      <x:c r="C58" s="15" t="str">
        <x:v>Défini</x:v>
      </x:c>
      <x:c r="D58" s="17" t="str">
        <x:v>Établi</x:v>
      </x:c>
      <x:c r="E58" s="17" t="str">
        <x:v>P1</x:v>
      </x:c>
      <x:c r="F58" s="7" t="str">
        <x:v>Mission de Havarl.</x:v>
      </x:c>
      <x:c r="G58" s="7" t="str">
        <x:v>Recherche familiale et information de départ ; résultat présenté comme personne retrouvée/information obtenue, pas seulement objet livré.</x:v>
      </x:c>
      <x:c r="H58" s="7" t="str">
        <x:v>Recherche familiale et information de départ ; résultat présenté comme personne retrouvée/information obtenue, pas seulement objet livré.</x:v>
      </x:c>
      <x:c r="I58" s="7" t="str">
        <x:v>Sanctuaire et zone de jungle.</x:v>
      </x:c>
      <x:c r="J58" s="7" t="str">
        <x:v>Transitions de caméra et d’interface interruptibles ; aucun délai d’animation ne doit consommer une décision encore ouverte.</x:v>
      </x:c>
      <x:c r="K58" s="7" t="str">
        <x:v>Créer des bruitages et ambiances originaux adaptés au livrable ; sous-titrer les indices utiles et proposer un réglage indépendant des effets. Aucune extraction audio demandée.</x:v>
      </x:c>
      <x:c r="L58" s="7" t="str">
        <x:v>Prévu : fiche de données mea/side_quests/havarl-sister ; rattacher les ressources et états cités à cet identifiant. Aucun fichier de jeu créé par ce catalogue.</x:v>
      </x:c>
      <x:c r="M58" s="7" t="str"/>
      <x:c r="N58" s="7" t="str">
        <x:v>Le livrable « A Lost Sister » possède une scène ou un scénario de contrôle ; ses règles proposées, ses conditions et ses retours visuels sont vérifiables séparément.</x:v>
      </x:c>
      <x:c r="O58" s="7" t="str"/>
      <x:c r="P58" s="7" t="str">
        <x:v>A Lost Sister</x:v>
      </x:c>
      <x:c r="Q58" s="7" t="str">
        <x:v>MEA-SRC-HAVARL-PAGE</x:v>
      </x:c>
      <x:c r="R58" s="7" t="str">
        <x:v>https://masseffect.fandom.com/wiki/Havarl</x:v>
      </x:c>
      <x:c r="S58" s="7" t="str">
        <x:v>Spécification à réaliser. Les champs adaptation, gameplay, visual, animation, audio et implementation décrivent le fan game ; ils ne donnent pas des caractéristiques officielles de l’œuvre.</x:v>
      </x:c>
    </x:row>
    <x:row r="59" ht="68" customHeight="1">
      <x:c r="A59" s="18" t="str">
        <x:v>MEA-SQ-HAVARL-ALLIANCES</x:v>
      </x:c>
      <x:c r="B59" s="9" t="str">
        <x:v>Cross-Cultural Alliances</x:v>
      </x:c>
      <x:c r="C59" s="15" t="str">
        <x:v>Défini</x:v>
      </x:c>
      <x:c r="D59" s="16" t="str">
        <x:v>Établi</x:v>
      </x:c>
      <x:c r="E59" s="16" t="str">
        <x:v>P1</x:v>
      </x:c>
      <x:c r="F59" s="9" t="str">
        <x:v>Mission de Havarl.</x:v>
      </x:c>
      <x:c r="G59" s="9" t="str">
        <x:v>Collaboration entre chercheurs ; conditions d’accès après aide initiale et dialogue de confiance.</x:v>
      </x:c>
      <x:c r="H59" s="9" t="str">
        <x:v>Collaboration entre chercheurs ; conditions d’accès après aide initiale et dialogue de confiance.</x:v>
      </x:c>
      <x:c r="I59" s="9" t="str">
        <x:v>Poste scientifique partagé.</x:v>
      </x:c>
      <x:c r="J59" s="9" t="str">
        <x:v>Transitions de caméra et d’interface interruptibles ; aucun délai d’animation ne doit consommer une décision encore ouverte.</x:v>
      </x:c>
      <x:c r="K59" s="9" t="str">
        <x:v>Créer des bruitages et ambiances originaux adaptés au livrable ; sous-titrer les indices utiles et proposer un réglage indépendant des effets. Aucune extraction audio demandée.</x:v>
      </x:c>
      <x:c r="L59" s="9" t="str">
        <x:v>Prévu : fiche de données mea/side_quests/havarl-alliances ; rattacher les ressources et états cités à cet identifiant. Aucun fichier de jeu créé par ce catalogue.</x:v>
      </x:c>
      <x:c r="M59" s="9" t="str"/>
      <x:c r="N59" s="9" t="str">
        <x:v>Le livrable « Cross-Cultural Alliances » possède une scène ou un scénario de contrôle ; ses règles proposées, ses conditions et ses retours visuels sont vérifiables séparément.</x:v>
      </x:c>
      <x:c r="O59" s="9" t="str"/>
      <x:c r="P59" s="9" t="str">
        <x:v>Cross-Cultural Alliances</x:v>
      </x:c>
      <x:c r="Q59" s="9" t="str">
        <x:v>MEA-SRC-HAVARL-PAGE</x:v>
      </x:c>
      <x:c r="R59" s="9" t="str">
        <x:v>https://masseffect.fandom.com/wiki/Havarl</x:v>
      </x:c>
      <x:c r="S59" s="9" t="str">
        <x:v>Spécification à réaliser. Les champs adaptation, gameplay, visual, animation, audio et implementation décrivent le fan game ; ils ne donnent pas des caractéristiques officielles de l’œuvre.</x:v>
      </x:c>
    </x:row>
    <x:row r="60" ht="68" customHeight="1">
      <x:c r="A60" s="19" t="str">
        <x:v>MEA-SQ-HAVARL-STARS</x:v>
      </x:c>
      <x:c r="B60" s="7" t="str">
        <x:v>Forgotten Stars</x:v>
      </x:c>
      <x:c r="C60" s="15" t="str">
        <x:v>Défini</x:v>
      </x:c>
      <x:c r="D60" s="17" t="str">
        <x:v>Établi</x:v>
      </x:c>
      <x:c r="E60" s="17" t="str">
        <x:v>P1</x:v>
      </x:c>
      <x:c r="F60" s="7" t="str">
        <x:v>Mission de Havarl.</x:v>
      </x:c>
      <x:c r="G60" s="7" t="str">
        <x:v>Exploration de mémoire et observation ; éléments scannables gardent titre scientifique propre.</x:v>
      </x:c>
      <x:c r="H60" s="7" t="str">
        <x:v>Exploration de mémoire et observation ; éléments scannables gardent titre scientifique propre.</x:v>
      </x:c>
      <x:c r="I60" s="7" t="str">
        <x:v>Données anciennes et ciel.</x:v>
      </x:c>
      <x:c r="J60" s="7" t="str">
        <x:v>Transitions de caméra et d’interface interruptibles ; aucun délai d’animation ne doit consommer une décision encore ouverte.</x:v>
      </x:c>
      <x:c r="K60" s="7" t="str">
        <x:v>Créer des bruitages et ambiances originaux adaptés au livrable ; sous-titrer les indices utiles et proposer un réglage indépendant des effets. Aucune extraction audio demandée.</x:v>
      </x:c>
      <x:c r="L60" s="7" t="str">
        <x:v>Prévu : fiche de données mea/side_quests/havarl-stars ; rattacher les ressources et états cités à cet identifiant. Aucun fichier de jeu créé par ce catalogue.</x:v>
      </x:c>
      <x:c r="M60" s="7" t="str"/>
      <x:c r="N60" s="7" t="str">
        <x:v>Le livrable « Forgotten Stars » possède une scène ou un scénario de contrôle ; ses règles proposées, ses conditions et ses retours visuels sont vérifiables séparément.</x:v>
      </x:c>
      <x:c r="O60" s="7" t="str"/>
      <x:c r="P60" s="7" t="str">
        <x:v>Forgotten Stars</x:v>
      </x:c>
      <x:c r="Q60" s="7" t="str">
        <x:v>MEA-SRC-HAVARL-PAGE</x:v>
      </x:c>
      <x:c r="R60" s="7" t="str">
        <x:v>https://masseffect.fandom.com/wiki/Havarl</x:v>
      </x:c>
      <x:c r="S60" s="7" t="str">
        <x:v>Spécification à réaliser. Les champs adaptation, gameplay, visual, animation, audio et implementation décrivent le fan game ; ils ne donnent pas des caractéristiques officielles de l’œuvre.</x:v>
      </x:c>
    </x:row>
    <x:row r="61" ht="68" customHeight="1">
      <x:c r="A61" s="18" t="str">
        <x:v>MEA-SQ-HAVARL-OVERGROWN</x:v>
      </x:c>
      <x:c r="B61" s="9" t="str">
        <x:v>Overgrown</x:v>
      </x:c>
      <x:c r="C61" s="15" t="str">
        <x:v>Défini</x:v>
      </x:c>
      <x:c r="D61" s="16" t="str">
        <x:v>Établi</x:v>
      </x:c>
      <x:c r="E61" s="16" t="str">
        <x:v>P1</x:v>
      </x:c>
      <x:c r="F61" s="9" t="str">
        <x:v>Mission de Havarl.</x:v>
      </x:c>
      <x:c r="G61" s="9" t="str">
        <x:v>Analyser les marqueurs génétiques puis rechercher la faune mutée ; les trois pistes de créatures restent distinctes et chaque analyse est relisible dans le scanner.</x:v>
      </x:c>
      <x:c r="H61" s="9" t="str">
        <x:v>Analyser les marqueurs génétiques puis rechercher la faune mutée ; les trois pistes de créatures restent distinctes et chaque analyse est relisible dans le scanner.</x:v>
      </x:c>
      <x:c r="I61" s="9" t="str">
        <x:v>Archives génétiques, indices de tanières et créatures marquées.</x:v>
      </x:c>
      <x:c r="J61" s="9" t="str">
        <x:v>Transitions de caméra et d’interface interruptibles ; aucun délai d’animation ne doit consommer une décision encore ouverte.</x:v>
      </x:c>
      <x:c r="K61" s="9" t="str">
        <x:v>Créer des bruitages et ambiances originaux adaptés au livrable ; sous-titrer les indices utiles et proposer un réglage indépendant des effets. Aucune extraction audio demandée.</x:v>
      </x:c>
      <x:c r="L61" s="9" t="str">
        <x:v>Prévu : fiche de données mea/side_quests/havarl-overgrown ; rattacher les ressources et états cités à cet identifiant. Aucun fichier de jeu créé par ce catalogue.</x:v>
      </x:c>
      <x:c r="M61" s="9" t="str"/>
      <x:c r="N61" s="9" t="str">
        <x:v>Le livrable « Overgrown » possède une scène ou un scénario de contrôle ; ses règles proposées, ses conditions et ses retours visuels sont vérifiables séparément.</x:v>
      </x:c>
      <x:c r="O61" s="9" t="str"/>
      <x:c r="P61" s="9" t="str">
        <x:v>Overgrown</x:v>
      </x:c>
      <x:c r="Q61" s="9" t="str">
        <x:v>MEA-SRC-OVERGROWN</x:v>
      </x:c>
      <x:c r="R61" s="9" t="str">
        <x:v>https://masseffect.fandom.com/wiki/Overgrown</x:v>
      </x:c>
      <x:c r="S61" s="9" t="str">
        <x:v>Spécification à réaliser. Les champs adaptation, gameplay, visual, animation, audio et implementation décrivent le fan game ; ils ne donnent pas des caractéristiques officielles de l’œuvre.</x:v>
      </x:c>
    </x:row>
    <x:row r="62" ht="68" customHeight="1">
      <x:c r="A62" s="19" t="str">
        <x:v>MEA-SQ-VOELD-RESTORE</x:v>
      </x:c>
      <x:c r="B62" s="7" t="str">
        <x:v>Restoring a World</x:v>
      </x:c>
      <x:c r="C62" s="15" t="str">
        <x:v>Défini</x:v>
      </x:c>
      <x:c r="D62" s="17" t="str">
        <x:v>Établi</x:v>
      </x:c>
      <x:c r="E62" s="17" t="str">
        <x:v>P1</x:v>
      </x:c>
      <x:c r="F62" s="7" t="str">
        <x:v>Arc du caveau de Voeld.</x:v>
      </x:c>
      <x:c r="G62" s="7" t="str">
        <x:v>Monolithes, puzzle et course de purification ; distinguer amélioration du climat et disparition totale du froid non promise.</x:v>
      </x:c>
      <x:c r="H62" s="7" t="str">
        <x:v>Monolithes, puzzle et course de purification ; distinguer amélioration du climat et disparition totale du froid non promise.</x:v>
      </x:c>
      <x:c r="I62" s="7" t="str">
        <x:v>Glace et architecture reliquate.</x:v>
      </x:c>
      <x:c r="J62" s="7" t="str">
        <x:v>Transitions de caméra et d’interface interruptibles ; aucun délai d’animation ne doit consommer une décision encore ouverte.</x:v>
      </x:c>
      <x:c r="K62" s="7" t="str">
        <x:v>Créer des bruitages et ambiances originaux adaptés au livrable ; sous-titrer les indices utiles et proposer un réglage indépendant des effets. Aucune extraction audio demandée.</x:v>
      </x:c>
      <x:c r="L62" s="7" t="str">
        <x:v>Prévu : fiche de données mea/side_quests/voeld-restore ; rattacher les ressources et états cités à cet identifiant. Aucun fichier de jeu créé par ce catalogue.</x:v>
      </x:c>
      <x:c r="M62" s="7" t="str"/>
      <x:c r="N62" s="7" t="str">
        <x:v>Le livrable « Restoring a World » possède une scène ou un scénario de contrôle ; ses règles proposées, ses conditions et ses retours visuels sont vérifiables séparément.</x:v>
      </x:c>
      <x:c r="O62" s="7" t="str"/>
      <x:c r="P62" s="7" t="str">
        <x:v>Restoring a World</x:v>
      </x:c>
      <x:c r="Q62" s="7" t="str">
        <x:v>MEA-SRC-VOELD-PAGE, MEA-SRC-HAZARD</x:v>
      </x:c>
      <x:c r="R62" s="7" t="str">
        <x:v>https://masseffect.fandom.com/wiki/Voeld
https://masseffect.fandom.com/wiki/Hazard</x:v>
      </x:c>
      <x:c r="S62" s="7" t="str">
        <x:v>Spécification à réaliser. Les champs adaptation, gameplay, visual, animation, audio et implementation décrivent le fan game ; ils ne donnent pas des caractéristiques officielles de l’œuvre.</x:v>
      </x:c>
    </x:row>
    <x:row r="63" ht="68" customHeight="1">
      <x:c r="A63" s="18" t="str">
        <x:v>MEA-SQ-VOELD-SETTLE</x:v>
      </x:c>
      <x:c r="B63" s="9" t="str">
        <x:v>Settling Voeld</x:v>
      </x:c>
      <x:c r="C63" s="15" t="str">
        <x:v>Défini</x:v>
      </x:c>
      <x:c r="D63" s="16" t="str">
        <x:v>Établi</x:v>
      </x:c>
      <x:c r="E63" s="16" t="str">
        <x:v>P1</x:v>
      </x:c>
      <x:c r="F63" s="9" t="str">
        <x:v>Fondation d’avant-poste.</x:v>
      </x:c>
      <x:c r="G63" s="9" t="str">
        <x:v>Liste de prérequis locaux visibles, validation avec site et ressources ; colonie n’apparaît qu’après décision.</x:v>
      </x:c>
      <x:c r="H63" s="9" t="str">
        <x:v>Liste de prérequis locaux visibles, validation avec site et ressources ; colonie n’apparaît qu’après décision.</x:v>
      </x:c>
      <x:c r="I63" s="9" t="str">
        <x:v>Habitat polaire et balise.</x:v>
      </x:c>
      <x:c r="J63" s="9" t="str">
        <x:v>Transitions de caméra et d’interface interruptibles ; aucun délai d’animation ne doit consommer une décision encore ouverte.</x:v>
      </x:c>
      <x:c r="K63" s="9" t="str">
        <x:v>Créer des bruitages et ambiances originaux adaptés au livrable ; sous-titrer les indices utiles et proposer un réglage indépendant des effets. Aucune extraction audio demandée.</x:v>
      </x:c>
      <x:c r="L63" s="9" t="str">
        <x:v>Prévu : fiche de données mea/side_quests/voeld-settle ; rattacher les ressources et états cités à cet identifiant. Aucun fichier de jeu créé par ce catalogue.</x:v>
      </x:c>
      <x:c r="M63" s="9" t="str"/>
      <x:c r="N63" s="9" t="str">
        <x:v>Le livrable « Settling Voeld » possède une scène ou un scénario de contrôle ; ses règles proposées, ses conditions et ses retours visuels sont vérifiables séparément.</x:v>
      </x:c>
      <x:c r="O63" s="9" t="str"/>
      <x:c r="P63" s="9" t="str">
        <x:v>Settling Voeld</x:v>
      </x:c>
      <x:c r="Q63" s="9" t="str">
        <x:v>MEA-SRC-VOELD-PAGE</x:v>
      </x:c>
      <x:c r="R63" s="9" t="str">
        <x:v>https://masseffect.fandom.com/wiki/Voeld</x:v>
      </x:c>
      <x:c r="S63" s="9" t="str">
        <x:v>Spécification à réaliser. Les champs adaptation, gameplay, visual, animation, audio et implementation décrivent le fan game ; ils ne donnent pas des caractéristiques officielles de l’œuvre.</x:v>
      </x:c>
    </x:row>
    <x:row r="64" ht="68" customHeight="1">
      <x:c r="A64" s="19" t="str">
        <x:v>MEA-SQ-VOELD-HEART</x:v>
      </x:c>
      <x:c r="B64" s="7" t="str">
        <x:v>Remove the Heart</x:v>
      </x:c>
      <x:c r="C64" s="15" t="str">
        <x:v>Défini</x:v>
      </x:c>
      <x:c r="D64" s="17" t="str">
        <x:v>Établi</x:v>
      </x:c>
      <x:c r="E64" s="17" t="str">
        <x:v>P1</x:v>
      </x:c>
      <x:c r="F64" s="7" t="str">
        <x:v>Assaut d’installation kett.</x:v>
      </x:c>
      <x:c r="G64" s="7" t="str">
        <x:v>Approche, brèches et neutralisation du commandement ; libération n’efface pas tout ennemi aléatoire du monde par hypothèse.</x:v>
      </x:c>
      <x:c r="H64" s="7" t="str">
        <x:v>Approche, brèches et neutralisation du commandement ; libération n’efface pas tout ennemi aléatoire du monde par hypothèse.</x:v>
      </x:c>
      <x:c r="I64" s="7" t="str">
        <x:v>Base fortifiée sous neige.</x:v>
      </x:c>
      <x:c r="J64" s="7" t="str">
        <x:v>Transitions de caméra et d’interface interruptibles ; aucun délai d’animation ne doit consommer une décision encore ouverte.</x:v>
      </x:c>
      <x:c r="K64" s="7" t="str">
        <x:v>Créer des bruitages et ambiances originaux adaptés au livrable ; sous-titrer les indices utiles et proposer un réglage indépendant des effets. Aucune extraction audio demandée.</x:v>
      </x:c>
      <x:c r="L64" s="7" t="str">
        <x:v>Prévu : fiche de données mea/side_quests/voeld-heart ; rattacher les ressources et états cités à cet identifiant. Aucun fichier de jeu créé par ce catalogue.</x:v>
      </x:c>
      <x:c r="M64" s="7" t="str"/>
      <x:c r="N64" s="7" t="str">
        <x:v>Le livrable « Remove the Heart » possède une scène ou un scénario de contrôle ; ses règles proposées, ses conditions et ses retours visuels sont vérifiables séparément.</x:v>
      </x:c>
      <x:c r="O64" s="7" t="str"/>
      <x:c r="P64" s="7" t="str">
        <x:v>Remove the Heart</x:v>
      </x:c>
      <x:c r="Q64" s="7" t="str">
        <x:v>MEA-SRC-VOELD-PAGE</x:v>
      </x:c>
      <x:c r="R64" s="7" t="str">
        <x:v>https://masseffect.fandom.com/wiki/Voeld</x:v>
      </x:c>
      <x:c r="S64" s="7" t="str">
        <x:v>Spécification à réaliser. Les champs adaptation, gameplay, visual, animation, audio et implementation décrivent le fan game ; ils ne donnent pas des caractéristiques officielles de l’œuvre.</x:v>
      </x:c>
    </x:row>
    <x:row r="65" ht="68" customHeight="1">
      <x:c r="A65" s="18" t="str">
        <x:v>MEA-SQ-VOELD-PAST</x:v>
      </x:c>
      <x:c r="B65" s="9" t="str">
        <x:v>Uncovering the Past</x:v>
      </x:c>
      <x:c r="C65" s="15" t="str">
        <x:v>Défini</x:v>
      </x:c>
      <x:c r="D65" s="16" t="str">
        <x:v>Établi</x:v>
      </x:c>
      <x:c r="E65" s="16" t="str">
        <x:v>P1</x:v>
      </x:c>
      <x:c r="F65" s="9" t="str">
        <x:v>Mission de ruines sous la glace.</x:v>
      </x:c>
      <x:c r="G65" s="9" t="str">
        <x:v>Découverte d’IA et décision de conservation/remise ; implications connues exposées sans attribuer conséquences futures non écrites.</x:v>
      </x:c>
      <x:c r="H65" s="9" t="str">
        <x:v>Découverte d’IA et décision de conservation/remise ; implications connues exposées sans attribuer conséquences futures non écrites.</x:v>
      </x:c>
      <x:c r="I65" s="9" t="str">
        <x:v>Caverne glacée et terminal ancien.</x:v>
      </x:c>
      <x:c r="J65" s="9" t="str">
        <x:v>Transitions de caméra et d’interface interruptibles ; aucun délai d’animation ne doit consommer une décision encore ouverte.</x:v>
      </x:c>
      <x:c r="K65" s="9" t="str">
        <x:v>Créer des bruitages et ambiances originaux adaptés au livrable ; sous-titrer les indices utiles et proposer un réglage indépendant des effets. Aucune extraction audio demandée.</x:v>
      </x:c>
      <x:c r="L65" s="9" t="str">
        <x:v>Prévu : fiche de données mea/side_quests/voeld-past ; rattacher les ressources et états cités à cet identifiant. Aucun fichier de jeu créé par ce catalogue.</x:v>
      </x:c>
      <x:c r="M65" s="9" t="str"/>
      <x:c r="N65" s="9" t="str">
        <x:v>Le livrable « Uncovering the Past » possède une scène ou un scénario de contrôle ; ses règles proposées, ses conditions et ses retours visuels sont vérifiables séparément.</x:v>
      </x:c>
      <x:c r="O65" s="9" t="str"/>
      <x:c r="P65" s="9" t="str">
        <x:v>Uncovering the Past</x:v>
      </x:c>
      <x:c r="Q65" s="9" t="str">
        <x:v>MEA-SRC-VOELD-PAGE</x:v>
      </x:c>
      <x:c r="R65" s="9" t="str">
        <x:v>https://masseffect.fandom.com/wiki/Voeld</x:v>
      </x:c>
      <x:c r="S65" s="9" t="str">
        <x:v>Spécification à réaliser. Les champs adaptation, gameplay, visual, animation, audio et implementation décrivent le fan game ; ils ne donnent pas des caractéristiques officielles de l’œuvre.</x:v>
      </x:c>
    </x:row>
    <x:row r="66" ht="68" customHeight="1">
      <x:c r="A66" s="19" t="str">
        <x:v>MEA-SQ-VOELD-SCOUT</x:v>
      </x:c>
      <x:c r="B66" s="7" t="str">
        <x:v>The Lost Scout</x:v>
      </x:c>
      <x:c r="C66" s="15" t="str">
        <x:v>Défini</x:v>
      </x:c>
      <x:c r="D66" s="17" t="str">
        <x:v>Établi</x:v>
      </x:c>
      <x:c r="E66" s="17" t="str">
        <x:v>P1</x:v>
      </x:c>
      <x:c r="F66" s="7" t="str">
        <x:v>Mission de secours angara.</x:v>
      </x:c>
      <x:c r="G66" s="7" t="str">
        <x:v>Repérage par signaux, approche du lieu puis résolution ; un cadavre ne peut pas être traité comme PNJ vivant par fallback.</x:v>
      </x:c>
      <x:c r="H66" s="7" t="str">
        <x:v>Repérage par signaux, approche du lieu puis résolution ; un cadavre ne peut pas être traité comme PNJ vivant par fallback.</x:v>
      </x:c>
      <x:c r="I66" s="7" t="str">
        <x:v>Abri enneigé et traces.</x:v>
      </x:c>
      <x:c r="J66" s="7" t="str">
        <x:v>Transitions de caméra et d’interface interruptibles ; aucun délai d’animation ne doit consommer une décision encore ouverte.</x:v>
      </x:c>
      <x:c r="K66" s="7" t="str">
        <x:v>Créer des bruitages et ambiances originaux adaptés au livrable ; sous-titrer les indices utiles et proposer un réglage indépendant des effets. Aucune extraction audio demandée.</x:v>
      </x:c>
      <x:c r="L66" s="7" t="str">
        <x:v>Prévu : fiche de données mea/side_quests/voeld-scout ; rattacher les ressources et états cités à cet identifiant. Aucun fichier de jeu créé par ce catalogue.</x:v>
      </x:c>
      <x:c r="M66" s="7" t="str"/>
      <x:c r="N66" s="7" t="str">
        <x:v>Le livrable « The Lost Scout » possède une scène ou un scénario de contrôle ; ses règles proposées, ses conditions et ses retours visuels sont vérifiables séparément.</x:v>
      </x:c>
      <x:c r="O66" s="7" t="str"/>
      <x:c r="P66" s="7" t="str">
        <x:v>The Lost Scout</x:v>
      </x:c>
      <x:c r="Q66" s="7" t="str">
        <x:v>MEA-SRC-VOELD-PAGE</x:v>
      </x:c>
      <x:c r="R66" s="7" t="str">
        <x:v>https://masseffect.fandom.com/wiki/Voeld</x:v>
      </x:c>
      <x:c r="S66" s="7" t="str">
        <x:v>Spécification à réaliser. Les champs adaptation, gameplay, visual, animation, audio et implementation décrivent le fan game ; ils ne donnent pas des caractéristiques officielles de l’œuvre.</x:v>
      </x:c>
    </x:row>
    <x:row r="67" ht="68" customHeight="1">
      <x:c r="A67" s="18" t="str">
        <x:v>MEA-SQ-VOELD-SONG</x:v>
      </x:c>
      <x:c r="B67" s="9" t="str">
        <x:v>The Lost Song</x:v>
      </x:c>
      <x:c r="C67" s="15" t="str">
        <x:v>Défini</x:v>
      </x:c>
      <x:c r="D67" s="16" t="str">
        <x:v>Établi</x:v>
      </x:c>
      <x:c r="E67" s="16" t="str">
        <x:v>P1</x:v>
      </x:c>
      <x:c r="F67" s="9" t="str">
        <x:v>Mission de faune et culture.</x:v>
      </x:c>
      <x:c r="G67" s="9" t="str">
        <x:v>Recherche, scans et conflit de pratique ; cibles animales distinguées des adversaires d’objectif.</x:v>
      </x:c>
      <x:c r="H67" s="9" t="str">
        <x:v>Recherche, scans et conflit de pratique ; cibles animales distinguées des adversaires d’objectif.</x:v>
      </x:c>
      <x:c r="I67" s="9" t="str">
        <x:v>Faune polaire et piste de chasse.</x:v>
      </x:c>
      <x:c r="J67" s="9" t="str">
        <x:v>Transitions de caméra et d’interface interruptibles ; aucun délai d’animation ne doit consommer une décision encore ouverte.</x:v>
      </x:c>
      <x:c r="K67" s="9" t="str">
        <x:v>Créer des bruitages et ambiances originaux adaptés au livrable ; sous-titrer les indices utiles et proposer un réglage indépendant des effets. Aucune extraction audio demandée.</x:v>
      </x:c>
      <x:c r="L67" s="9" t="str">
        <x:v>Prévu : fiche de données mea/side_quests/voeld-song ; rattacher les ressources et états cités à cet identifiant. Aucun fichier de jeu créé par ce catalogue.</x:v>
      </x:c>
      <x:c r="M67" s="9" t="str"/>
      <x:c r="N67" s="9" t="str">
        <x:v>Le livrable « The Lost Song » possède une scène ou un scénario de contrôle ; ses règles proposées, ses conditions et ses retours visuels sont vérifiables séparément.</x:v>
      </x:c>
      <x:c r="O67" s="9" t="str"/>
      <x:c r="P67" s="9" t="str">
        <x:v>The Lost Song</x:v>
      </x:c>
      <x:c r="Q67" s="9" t="str">
        <x:v>MEA-SRC-VOELD-PAGE</x:v>
      </x:c>
      <x:c r="R67" s="9" t="str">
        <x:v>https://masseffect.fandom.com/wiki/Voeld</x:v>
      </x:c>
      <x:c r="S67" s="9" t="str">
        <x:v>Spécification à réaliser. Les champs adaptation, gameplay, visual, animation, audio et implementation décrivent le fan game ; ils ne donnent pas des caractéristiques officielles de l’œuvre.</x:v>
      </x:c>
    </x:row>
    <x:row r="68" ht="68" customHeight="1">
      <x:c r="A68" s="19" t="str">
        <x:v>MEA-SQ-VOELD-VANISHED</x:v>
      </x:c>
      <x:c r="B68" s="7" t="str">
        <x:v>The Vanished</x:v>
      </x:c>
      <x:c r="C68" s="15" t="str">
        <x:v>Défini</x:v>
      </x:c>
      <x:c r="D68" s="17" t="str">
        <x:v>Établi</x:v>
      </x:c>
      <x:c r="E68" s="17" t="str">
        <x:v>P1</x:v>
      </x:c>
      <x:c r="F68" s="7" t="str">
        <x:v>Mission de personnes disparues.</x:v>
      </x:c>
      <x:c r="G68" s="7" t="str">
        <x:v>Chaîne d’indices nommés et journal de victimes ; pas de génération aléatoire rendant la solution introuvable.</x:v>
      </x:c>
      <x:c r="H68" s="7" t="str">
        <x:v>Chaîne d’indices nommés et journal de victimes ; pas de génération aléatoire rendant la solution introuvable.</x:v>
      </x:c>
      <x:c r="I68" s="7" t="str">
        <x:v>Traces, camp et communications.</x:v>
      </x:c>
      <x:c r="J68" s="7" t="str">
        <x:v>Transitions de caméra et d’interface interruptibles ; aucun délai d’animation ne doit consommer une décision encore ouverte.</x:v>
      </x:c>
      <x:c r="K68" s="7" t="str">
        <x:v>Créer des bruitages et ambiances originaux adaptés au livrable ; sous-titrer les indices utiles et proposer un réglage indépendant des effets. Aucune extraction audio demandée.</x:v>
      </x:c>
      <x:c r="L68" s="7" t="str">
        <x:v>Prévu : fiche de données mea/side_quests/voeld-vanished ; rattacher les ressources et états cités à cet identifiant. Aucun fichier de jeu créé par ce catalogue.</x:v>
      </x:c>
      <x:c r="M68" s="7" t="str"/>
      <x:c r="N68" s="7" t="str">
        <x:v>Le livrable « The Vanished » possède une scène ou un scénario de contrôle ; ses règles proposées, ses conditions et ses retours visuels sont vérifiables séparément.</x:v>
      </x:c>
      <x:c r="O68" s="7" t="str"/>
      <x:c r="P68" s="7" t="str">
        <x:v>The Vanished</x:v>
      </x:c>
      <x:c r="Q68" s="7" t="str">
        <x:v>MEA-SRC-VOELD-PAGE</x:v>
      </x:c>
      <x:c r="R68" s="7" t="str">
        <x:v>https://masseffect.fandom.com/wiki/Voeld</x:v>
      </x:c>
      <x:c r="S68" s="7" t="str">
        <x:v>Spécification à réaliser. Les champs adaptation, gameplay, visual, animation, audio et implementation décrivent le fan game ; ils ne donnent pas des caractéristiques officielles de l’œuvre.</x:v>
      </x:c>
    </x:row>
    <x:row r="69" ht="68" customHeight="1">
      <x:c r="A69" s="18" t="str">
        <x:v>MEA-SQ-VOELD-MEDICAL</x:v>
      </x:c>
      <x:c r="B69" s="9" t="str">
        <x:v>Medical Caches</x:v>
      </x:c>
      <x:c r="C69" s="15" t="str">
        <x:v>Défini</x:v>
      </x:c>
      <x:c r="D69" s="16" t="str">
        <x:v>Établi</x:v>
      </x:c>
      <x:c r="E69" s="16" t="str">
        <x:v>P1</x:v>
      </x:c>
      <x:c r="F69" s="9" t="str">
        <x:v>Mission de ravitaillement.</x:v>
      </x:c>
      <x:c r="G69" s="9" t="str">
        <x:v>Caches avec validation unique puis remise ; accès conditionnés au terrain et aux contrôles locaux.</x:v>
      </x:c>
      <x:c r="H69" s="9" t="str">
        <x:v>Caches avec validation unique puis remise ; accès conditionnés au terrain et aux contrôles locaux.</x:v>
      </x:c>
      <x:c r="I69" s="9" t="str">
        <x:v>Caisse médicale sous neige.</x:v>
      </x:c>
      <x:c r="J69" s="9" t="str">
        <x:v>Transitions de caméra et d’interface interruptibles ; aucun délai d’animation ne doit consommer une décision encore ouverte.</x:v>
      </x:c>
      <x:c r="K69" s="9" t="str">
        <x:v>Créer des bruitages et ambiances originaux adaptés au livrable ; sous-titrer les indices utiles et proposer un réglage indépendant des effets. Aucune extraction audio demandée.</x:v>
      </x:c>
      <x:c r="L69" s="9" t="str">
        <x:v>Prévu : fiche de données mea/side_quests/voeld-medical ; rattacher les ressources et états cités à cet identifiant. Aucun fichier de jeu créé par ce catalogue.</x:v>
      </x:c>
      <x:c r="M69" s="9" t="str"/>
      <x:c r="N69" s="9" t="str">
        <x:v>Le livrable « Medical Caches » possède une scène ou un scénario de contrôle ; ses règles proposées, ses conditions et ses retours visuels sont vérifiables séparément.</x:v>
      </x:c>
      <x:c r="O69" s="9" t="str"/>
      <x:c r="P69" s="9" t="str">
        <x:v>Medical Caches</x:v>
      </x:c>
      <x:c r="Q69" s="9" t="str">
        <x:v>MEA-SRC-VOELD-PAGE</x:v>
      </x:c>
      <x:c r="R69" s="9" t="str">
        <x:v>https://masseffect.fandom.com/wiki/Voeld</x:v>
      </x:c>
      <x:c r="S69" s="9" t="str">
        <x:v>Spécification à réaliser. Les champs adaptation, gameplay, visual, animation, audio et implementation décrivent le fan game ; ils ne donnent pas des caractéristiques officielles de l’œuvre.</x:v>
      </x:c>
    </x:row>
    <x:row r="70" ht="68" customHeight="1">
      <x:c r="A70" s="19" t="str">
        <x:v>MEA-SQ-VOELD-BRIDGE</x:v>
      </x:c>
      <x:c r="B70" s="7" t="str">
        <x:v>Bridge Sabotage</x:v>
      </x:c>
      <x:c r="C70" s="15" t="str">
        <x:v>Défini</x:v>
      </x:c>
      <x:c r="D70" s="17" t="str">
        <x:v>Établi</x:v>
      </x:c>
      <x:c r="E70" s="17" t="str">
        <x:v>P1</x:v>
      </x:c>
      <x:c r="F70" s="7" t="str">
        <x:v>Mission de sabotage.</x:v>
      </x:c>
      <x:c r="G70" s="7" t="str">
        <x:v>Approche et interaction sur infrastructure ; le pont ne coupe pas l’unique route de retour après explosion.</x:v>
      </x:c>
      <x:c r="H70" s="7" t="str">
        <x:v>Approche et interaction sur infrastructure ; le pont ne coupe pas l’unique route de retour après explosion.</x:v>
      </x:c>
      <x:c r="I70" s="7" t="str">
        <x:v>Pont et charges.</x:v>
      </x:c>
      <x:c r="J70" s="7" t="str">
        <x:v>Transitions de caméra et d’interface interruptibles ; aucun délai d’animation ne doit consommer une décision encore ouverte.</x:v>
      </x:c>
      <x:c r="K70" s="7" t="str">
        <x:v>Créer des bruitages et ambiances originaux adaptés au livrable ; sous-titrer les indices utiles et proposer un réglage indépendant des effets. Aucune extraction audio demandée.</x:v>
      </x:c>
      <x:c r="L70" s="7" t="str">
        <x:v>Prévu : fiche de données mea/side_quests/voeld-bridge ; rattacher les ressources et états cités à cet identifiant. Aucun fichier de jeu créé par ce catalogue.</x:v>
      </x:c>
      <x:c r="M70" s="7" t="str"/>
      <x:c r="N70" s="7" t="str">
        <x:v>Le livrable « Bridge Sabotage » possède une scène ou un scénario de contrôle ; ses règles proposées, ses conditions et ses retours visuels sont vérifiables séparément.</x:v>
      </x:c>
      <x:c r="O70" s="7" t="str"/>
      <x:c r="P70" s="7" t="str">
        <x:v>Bridge Sabotage</x:v>
      </x:c>
      <x:c r="Q70" s="7" t="str">
        <x:v>MEA-SRC-VOELD-PAGE</x:v>
      </x:c>
      <x:c r="R70" s="7" t="str">
        <x:v>https://masseffect.fandom.com/wiki/Voeld</x:v>
      </x:c>
      <x:c r="S70" s="7" t="str">
        <x:v>Spécification à réaliser. Les champs adaptation, gameplay, visual, animation, audio et implementation décrivent le fan game ; ils ne donnent pas des caractéristiques officielles de l’œuvre.</x:v>
      </x:c>
    </x:row>
    <x:row r="71" ht="68" customHeight="1">
      <x:c r="A71" s="18" t="str">
        <x:v>MEA-SQ-VOELD-INTERCEPT</x:v>
      </x:c>
      <x:c r="B71" s="9" t="str">
        <x:v>Intercepted</x:v>
      </x:c>
      <x:c r="C71" s="15" t="str">
        <x:v>Défini</x:v>
      </x:c>
      <x:c r="D71" s="16" t="str">
        <x:v>Établi</x:v>
      </x:c>
      <x:c r="E71" s="16" t="str">
        <x:v>P1</x:v>
      </x:c>
      <x:c r="F71" s="9" t="str">
        <x:v>Mission de renseignement.</x:v>
      </x:c>
      <x:c r="G71" s="9" t="str">
        <x:v>Décoder transmission puis visiter la destination ; conserver texte de piste et coordonnées accessibles.</x:v>
      </x:c>
      <x:c r="H71" s="9" t="str">
        <x:v>Décoder transmission puis visiter la destination ; conserver texte de piste et coordonnées accessibles.</x:v>
      </x:c>
      <x:c r="I71" s="9" t="str">
        <x:v>Radio et poste de liaison.</x:v>
      </x:c>
      <x:c r="J71" s="9" t="str">
        <x:v>Transitions de caméra et d’interface interruptibles ; aucun délai d’animation ne doit consommer une décision encore ouverte.</x:v>
      </x:c>
      <x:c r="K71" s="9" t="str">
        <x:v>Créer des bruitages et ambiances originaux adaptés au livrable ; sous-titrer les indices utiles et proposer un réglage indépendant des effets. Aucune extraction audio demandée.</x:v>
      </x:c>
      <x:c r="L71" s="9" t="str">
        <x:v>Prévu : fiche de données mea/side_quests/voeld-intercept ; rattacher les ressources et états cités à cet identifiant. Aucun fichier de jeu créé par ce catalogue.</x:v>
      </x:c>
      <x:c r="M71" s="9" t="str"/>
      <x:c r="N71" s="9" t="str">
        <x:v>Le livrable « Intercepted » possède une scène ou un scénario de contrôle ; ses règles proposées, ses conditions et ses retours visuels sont vérifiables séparément.</x:v>
      </x:c>
      <x:c r="O71" s="9" t="str"/>
      <x:c r="P71" s="9" t="str">
        <x:v>Intercepted</x:v>
      </x:c>
      <x:c r="Q71" s="9" t="str">
        <x:v>MEA-SRC-VOELD-PAGE</x:v>
      </x:c>
      <x:c r="R71" s="9" t="str">
        <x:v>https://masseffect.fandom.com/wiki/Voeld</x:v>
      </x:c>
      <x:c r="S71" s="9" t="str">
        <x:v>Spécification à réaliser. Les champs adaptation, gameplay, visual, animation, audio et implementation décrivent le fan game ; ils ne donnent pas des caractéristiques officielles de l’œuvre.</x:v>
      </x:c>
    </x:row>
    <x:row r="72" ht="68" customHeight="1">
      <x:c r="A72" s="19" t="str">
        <x:v>MEA-SQ-VOELD-MISSING</x:v>
      </x:c>
      <x:c r="B72" s="7" t="str">
        <x:v>Missing Science Crew</x:v>
      </x:c>
      <x:c r="C72" s="15" t="str">
        <x:v>Défini</x:v>
      </x:c>
      <x:c r="D72" s="17" t="str">
        <x:v>Établi</x:v>
      </x:c>
      <x:c r="E72" s="17" t="str">
        <x:v>P1</x:v>
      </x:c>
      <x:c r="F72" s="7" t="str">
        <x:v>Mission de recherche.</x:v>
      </x:c>
      <x:c r="G72" s="7" t="str">
        <x:v>Suivre équipe et données ; marqueurs de chercheurs nommés plutôt que confondus avec ressources de scan.</x:v>
      </x:c>
      <x:c r="H72" s="7" t="str">
        <x:v>Suivre équipe et données ; marqueurs de chercheurs nommés plutôt que confondus avec ressources de scan.</x:v>
      </x:c>
      <x:c r="I72" s="7" t="str">
        <x:v>Matériel scientifique dans glace.</x:v>
      </x:c>
      <x:c r="J72" s="7" t="str">
        <x:v>Transitions de caméra et d’interface interruptibles ; aucun délai d’animation ne doit consommer une décision encore ouverte.</x:v>
      </x:c>
      <x:c r="K72" s="7" t="str">
        <x:v>Créer des bruitages et ambiances originaux adaptés au livrable ; sous-titrer les indices utiles et proposer un réglage indépendant des effets. Aucune extraction audio demandée.</x:v>
      </x:c>
      <x:c r="L72" s="7" t="str">
        <x:v>Prévu : fiche de données mea/side_quests/voeld-missing ; rattacher les ressources et états cités à cet identifiant. Aucun fichier de jeu créé par ce catalogue.</x:v>
      </x:c>
      <x:c r="M72" s="7" t="str"/>
      <x:c r="N72" s="7" t="str">
        <x:v>Le livrable « Missing Science Crew » possède une scène ou un scénario de contrôle ; ses règles proposées, ses conditions et ses retours visuels sont vérifiables séparément.</x:v>
      </x:c>
      <x:c r="O72" s="7" t="str"/>
      <x:c r="P72" s="7" t="str">
        <x:v>Missing Science Crew</x:v>
      </x:c>
      <x:c r="Q72" s="7" t="str">
        <x:v>MEA-SRC-VOELD-PAGE</x:v>
      </x:c>
      <x:c r="R72" s="7" t="str">
        <x:v>https://masseffect.fandom.com/wiki/Voeld</x:v>
      </x:c>
      <x:c r="S72" s="7" t="str">
        <x:v>Spécification à réaliser. Les champs adaptation, gameplay, visual, animation, audio et implementation décrivent le fan game ; ils ne donnent pas des caractéristiques officielles de l’œuvre.</x:v>
      </x:c>
    </x:row>
    <x:row r="73" ht="68" customHeight="1">
      <x:c r="A73" s="18" t="str">
        <x:v>MEA-SQ-VOELD-REFORM</x:v>
      </x:c>
      <x:c r="B73" s="9" t="str">
        <x:v>Reformation</x:v>
      </x:c>
      <x:c r="C73" s="15" t="str">
        <x:v>Défini</x:v>
      </x:c>
      <x:c r="D73" s="16" t="str">
        <x:v>Établi</x:v>
      </x:c>
      <x:c r="E73" s="16" t="str">
        <x:v>P1</x:v>
      </x:c>
      <x:c r="F73" s="9" t="str">
        <x:v>Mission de Voeld.</x:v>
      </x:c>
      <x:c r="G73" s="9" t="str">
        <x:v>Parcours d’enquête puis confrontation ; choix de réponse rattaché au groupe présent.</x:v>
      </x:c>
      <x:c r="H73" s="9" t="str">
        <x:v>Parcours d’enquête puis confrontation ; choix de réponse rattaché au groupe présent.</x:v>
      </x:c>
      <x:c r="I73" s="9" t="str">
        <x:v>Avant-poste angara et terminal.</x:v>
      </x:c>
      <x:c r="J73" s="9" t="str">
        <x:v>Transitions de caméra et d’interface interruptibles ; aucun délai d’animation ne doit consommer une décision encore ouverte.</x:v>
      </x:c>
      <x:c r="K73" s="9" t="str">
        <x:v>Créer des bruitages et ambiances originaux adaptés au livrable ; sous-titrer les indices utiles et proposer un réglage indépendant des effets. Aucune extraction audio demandée.</x:v>
      </x:c>
      <x:c r="L73" s="9" t="str">
        <x:v>Prévu : fiche de données mea/side_quests/voeld-reform ; rattacher les ressources et états cités à cet identifiant. Aucun fichier de jeu créé par ce catalogue.</x:v>
      </x:c>
      <x:c r="M73" s="9" t="str"/>
      <x:c r="N73" s="9" t="str">
        <x:v>Le livrable « Reformation » possède une scène ou un scénario de contrôle ; ses règles proposées, ses conditions et ses retours visuels sont vérifiables séparément.</x:v>
      </x:c>
      <x:c r="O73" s="9" t="str"/>
      <x:c r="P73" s="9" t="str">
        <x:v>Reformation</x:v>
      </x:c>
      <x:c r="Q73" s="9" t="str">
        <x:v>MEA-SRC-VOELD-PAGE</x:v>
      </x:c>
      <x:c r="R73" s="9" t="str">
        <x:v>https://masseffect.fandom.com/wiki/Voeld</x:v>
      </x:c>
      <x:c r="S73" s="9" t="str">
        <x:v>Spécification à réaliser. Les champs adaptation, gameplay, visual, animation, audio et implementation décrivent le fan game ; ils ne donnent pas des caractéristiques officielles de l’œuvre.</x:v>
      </x:c>
    </x:row>
    <x:row r="74" ht="68" customHeight="1">
      <x:c r="A74" s="19" t="str">
        <x:v>MEA-SQ-VOELD-BEACON</x:v>
      </x:c>
      <x:c r="B74" s="7" t="str">
        <x:v>Strange Beacon</x:v>
      </x:c>
      <x:c r="C74" s="15" t="str">
        <x:v>Défini</x:v>
      </x:c>
      <x:c r="D74" s="17" t="str">
        <x:v>Établi</x:v>
      </x:c>
      <x:c r="E74" s="17" t="str">
        <x:v>P1</x:v>
      </x:c>
      <x:c r="F74" s="7" t="str">
        <x:v>Mission de signal.</x:v>
      </x:c>
      <x:c r="G74" s="7" t="str">
        <x:v>Triangulation avec scanner et confirmation du dispositif ; intensité doublée d’un indicateur textuel.</x:v>
      </x:c>
      <x:c r="H74" s="7" t="str">
        <x:v>Triangulation avec scanner et confirmation du dispositif ; intensité doublée d’un indicateur textuel.</x:v>
      </x:c>
      <x:c r="I74" s="7" t="str">
        <x:v>Balise sous la neige.</x:v>
      </x:c>
      <x:c r="J74" s="7" t="str">
        <x:v>Transitions de caméra et d’interface interruptibles ; aucun délai d’animation ne doit consommer une décision encore ouverte.</x:v>
      </x:c>
      <x:c r="K74" s="7" t="str">
        <x:v>Créer des bruitages et ambiances originaux adaptés au livrable ; sous-titrer les indices utiles et proposer un réglage indépendant des effets. Aucune extraction audio demandée.</x:v>
      </x:c>
      <x:c r="L74" s="7" t="str">
        <x:v>Prévu : fiche de données mea/side_quests/voeld-beacon ; rattacher les ressources et états cités à cet identifiant. Aucun fichier de jeu créé par ce catalogue.</x:v>
      </x:c>
      <x:c r="M74" s="7" t="str"/>
      <x:c r="N74" s="7" t="str">
        <x:v>Le livrable « Strange Beacon » possède une scène ou un scénario de contrôle ; ses règles proposées, ses conditions et ses retours visuels sont vérifiables séparément.</x:v>
      </x:c>
      <x:c r="O74" s="7" t="str"/>
      <x:c r="P74" s="7" t="str">
        <x:v>Strange Beacon</x:v>
      </x:c>
      <x:c r="Q74" s="7" t="str">
        <x:v>MEA-SRC-VOELD-PAGE</x:v>
      </x:c>
      <x:c r="R74" s="7" t="str">
        <x:v>https://masseffect.fandom.com/wiki/Voeld</x:v>
      </x:c>
      <x:c r="S74" s="7" t="str">
        <x:v>Spécification à réaliser. Les champs adaptation, gameplay, visual, animation, audio et implementation décrivent le fan game ; ils ne donnent pas des caractéristiques officielles de l’œuvre.</x:v>
      </x:c>
    </x:row>
    <x:row r="75" ht="68" customHeight="1">
      <x:c r="A75" s="18" t="str">
        <x:v>MEA-SQ-VOELD-TRAP</x:v>
      </x:c>
      <x:c r="B75" s="9" t="str">
        <x:v>Resistance Trap</x:v>
      </x:c>
      <x:c r="C75" s="15" t="str">
        <x:v>Défini</x:v>
      </x:c>
      <x:c r="D75" s="16" t="str">
        <x:v>Établi</x:v>
      </x:c>
      <x:c r="E75" s="16" t="str">
        <x:v>P1</x:v>
      </x:c>
      <x:c r="F75" s="9" t="str">
        <x:v>Mission de Voeld.</x:v>
      </x:c>
      <x:c r="G75" s="9" t="str">
        <x:v>Préparation d’une embuscade avec zone de danger lisible ; aucun allié ne stationne au point d’explosion annoncé.</x:v>
      </x:c>
      <x:c r="H75" s="9" t="str">
        <x:v>Préparation d’une embuscade avec zone de danger lisible ; aucun allié ne stationne au point d’explosion annoncé.</x:v>
      </x:c>
      <x:c r="I75" s="9" t="str">
        <x:v>Couvert de glace et dispositif piégé.</x:v>
      </x:c>
      <x:c r="J75" s="9" t="str">
        <x:v>Transitions de caméra et d’interface interruptibles ; aucun délai d’animation ne doit consommer une décision encore ouverte.</x:v>
      </x:c>
      <x:c r="K75" s="9" t="str">
        <x:v>Créer des bruitages et ambiances originaux adaptés au livrable ; sous-titrer les indices utiles et proposer un réglage indépendant des effets. Aucune extraction audio demandée.</x:v>
      </x:c>
      <x:c r="L75" s="9" t="str">
        <x:v>Prévu : fiche de données mea/side_quests/voeld-trap ; rattacher les ressources et états cités à cet identifiant. Aucun fichier de jeu créé par ce catalogue.</x:v>
      </x:c>
      <x:c r="M75" s="9" t="str"/>
      <x:c r="N75" s="9" t="str">
        <x:v>Le livrable « Resistance Trap » possède une scène ou un scénario de contrôle ; ses règles proposées, ses conditions et ses retours visuels sont vérifiables séparément.</x:v>
      </x:c>
      <x:c r="O75" s="9" t="str"/>
      <x:c r="P75" s="9" t="str">
        <x:v>Resistance Trap</x:v>
      </x:c>
      <x:c r="Q75" s="9" t="str">
        <x:v>MEA-SRC-VOELD-PAGE</x:v>
      </x:c>
      <x:c r="R75" s="9" t="str">
        <x:v>https://masseffect.fandom.com/wiki/Voeld</x:v>
      </x:c>
      <x:c r="S75" s="9" t="str">
        <x:v>Spécification à réaliser. Les champs adaptation, gameplay, visual, animation, audio et implementation décrivent le fan game ; ils ne donnent pas des caractéristiques officielles de l’œuvre.</x:v>
      </x:c>
    </x:row>
    <x:row r="76" ht="68" customHeight="1">
      <x:c r="A76" s="19" t="str">
        <x:v>MEA-SQ-KADARA-HEART</x:v>
      </x:c>
      <x:c r="B76" s="7" t="str">
        <x:v>Healing Kadara’s Heart</x:v>
      </x:c>
      <x:c r="C76" s="15" t="str">
        <x:v>Défini</x:v>
      </x:c>
      <x:c r="D76" s="17" t="str">
        <x:v>Établi</x:v>
      </x:c>
      <x:c r="E76" s="17" t="str">
        <x:v>P1</x:v>
      </x:c>
      <x:c r="F76" s="7" t="str">
        <x:v>Arc de restauration de Kadara.</x:v>
      </x:c>
      <x:c r="G76" s="7" t="str">
        <x:v>Monolithes et caveau reliquat ; rendre eaux toxiques et zones assainies identifiables avant déplacement.</x:v>
      </x:c>
      <x:c r="H76" s="7" t="str">
        <x:v>Monolithes et caveau reliquat ; rendre eaux toxiques et zones assainies identifiables avant déplacement.</x:v>
      </x:c>
      <x:c r="I76" s="7" t="str">
        <x:v>Bassins acides et réseau reliquat.</x:v>
      </x:c>
      <x:c r="J76" s="7" t="str">
        <x:v>Transitions de caméra et d’interface interruptibles ; aucun délai d’animation ne doit consommer une décision encore ouverte.</x:v>
      </x:c>
      <x:c r="K76" s="7" t="str">
        <x:v>Créer des bruitages et ambiances originaux adaptés au livrable ; sous-titrer les indices utiles et proposer un réglage indépendant des effets. Aucune extraction audio demandée.</x:v>
      </x:c>
      <x:c r="L76" s="7" t="str">
        <x:v>Prévu : fiche de données mea/side_quests/kadara-heart ; rattacher les ressources et états cités à cet identifiant. Aucun fichier de jeu créé par ce catalogue.</x:v>
      </x:c>
      <x:c r="M76" s="7" t="str"/>
      <x:c r="N76" s="7" t="str">
        <x:v>Le livrable « Healing Kadara’s Heart » possède une scène ou un scénario de contrôle ; ses règles proposées, ses conditions et ses retours visuels sont vérifiables séparément.</x:v>
      </x:c>
      <x:c r="O76" s="7" t="str"/>
      <x:c r="P76" s="7" t="str">
        <x:v>Healing Kadara’s Heart</x:v>
      </x:c>
      <x:c r="Q76" s="7" t="str">
        <x:v>MEA-SRC-KADARA-PAGE, MEA-SRC-HAZARD</x:v>
      </x:c>
      <x:c r="R76" s="7" t="str">
        <x:v>https://masseffect.fandom.com/wiki/Kadara
https://masseffect.fandom.com/wiki/Hazard</x:v>
      </x:c>
      <x:c r="S76" s="7" t="str">
        <x:v>Spécification à réaliser. Les champs adaptation, gameplay, visual, animation, audio et implementation décrivent le fan game ; ils ne donnent pas des caractéristiques officielles de l’œuvre.</x:v>
      </x:c>
    </x:row>
    <x:row r="77" ht="68" customHeight="1">
      <x:c r="A77" s="18" t="str">
        <x:v>MEA-SQ-KADARA-SETTLE</x:v>
      </x:c>
      <x:c r="B77" s="9" t="str">
        <x:v>Settling Kadara</x:v>
      </x:c>
      <x:c r="C77" s="15" t="str">
        <x:v>Défini</x:v>
      </x:c>
      <x:c r="D77" s="16" t="str">
        <x:v>Établi</x:v>
      </x:c>
      <x:c r="E77" s="16" t="str">
        <x:v>P1</x:v>
      </x:c>
      <x:c r="F77" s="9" t="str">
        <x:v>Fondation d’avant-poste.</x:v>
      </x:c>
      <x:c r="G77" s="9" t="str">
        <x:v>Résolution de critères de sécurité et de politique ; régime de Kadara reste cohérent après construction.</x:v>
      </x:c>
      <x:c r="H77" s="9" t="str">
        <x:v>Résolution de critères de sécurité et de politique ; régime de Kadara reste cohérent après construction.</x:v>
      </x:c>
      <x:c r="I77" s="9" t="str">
        <x:v>Site d’implantation dans badlands.</x:v>
      </x:c>
      <x:c r="J77" s="9" t="str">
        <x:v>Transitions de caméra et d’interface interruptibles ; aucun délai d’animation ne doit consommer une décision encore ouverte.</x:v>
      </x:c>
      <x:c r="K77" s="9" t="str">
        <x:v>Créer des bruitages et ambiances originaux adaptés au livrable ; sous-titrer les indices utiles et proposer un réglage indépendant des effets. Aucune extraction audio demandée.</x:v>
      </x:c>
      <x:c r="L77" s="9" t="str">
        <x:v>Prévu : fiche de données mea/side_quests/kadara-settle ; rattacher les ressources et états cités à cet identifiant. Aucun fichier de jeu créé par ce catalogue.</x:v>
      </x:c>
      <x:c r="M77" s="9" t="str"/>
      <x:c r="N77" s="9" t="str">
        <x:v>Le livrable « Settling Kadara » possède une scène ou un scénario de contrôle ; ses règles proposées, ses conditions et ses retours visuels sont vérifiables séparément.</x:v>
      </x:c>
      <x:c r="O77" s="9" t="str"/>
      <x:c r="P77" s="9" t="str">
        <x:v>Settling Kadara</x:v>
      </x:c>
      <x:c r="Q77" s="9" t="str">
        <x:v>MEA-SRC-KADARA-PAGE</x:v>
      </x:c>
      <x:c r="R77" s="9" t="str">
        <x:v>https://masseffect.fandom.com/wiki/Kadara</x:v>
      </x:c>
      <x:c r="S77" s="9" t="str">
        <x:v>Spécification à réaliser. Les champs adaptation, gameplay, visual, animation, audio et implementation décrivent le fan game ; ils ne donnent pas des caractéristiques officielles de l’œuvre.</x:v>
      </x:c>
    </x:row>
    <x:row r="78" ht="68" customHeight="1">
      <x:c r="A78" s="19" t="str">
        <x:v>MEA-SQ-HIGH-NOON</x:v>
      </x:c>
      <x:c r="B78" s="7" t="str">
        <x:v>High Noon</x:v>
      </x:c>
      <x:c r="C78" s="15" t="str">
        <x:v>Défini</x:v>
      </x:c>
      <x:c r="D78" s="17" t="str">
        <x:v>Établi</x:v>
      </x:c>
      <x:c r="E78" s="17" t="str">
        <x:v>P1</x:v>
      </x:c>
      <x:c r="F78" s="7" t="str">
        <x:v>Duel politique de Kadara.</x:v>
      </x:c>
      <x:c r="G78" s="7" t="str">
        <x:v>Scène avec Sloane/Reyes, interruption et issue de pouvoir ; l’accès ultérieur aux quêtes tient compte du dirigeant.</x:v>
      </x:c>
      <x:c r="H78" s="7" t="str">
        <x:v>Scène avec Sloane/Reyes, interruption et issue de pouvoir ; l’accès ultérieur aux quêtes tient compte du dirigeant.</x:v>
      </x:c>
      <x:c r="I78" s="7" t="str">
        <x:v>Grotte de rendez-vous et ligne de tir.</x:v>
      </x:c>
      <x:c r="J78" s="7" t="str">
        <x:v>Transitions de caméra et d’interface interruptibles ; aucun délai d’animation ne doit consommer une décision encore ouverte.</x:v>
      </x:c>
      <x:c r="K78" s="7" t="str">
        <x:v>Créer des bruitages et ambiances originaux adaptés au livrable ; sous-titrer les indices utiles et proposer un réglage indépendant des effets. Aucune extraction audio demandée.</x:v>
      </x:c>
      <x:c r="L78" s="7" t="str">
        <x:v>Prévu : fiche de données mea/side_quests/high-noon ; rattacher les ressources et états cités à cet identifiant. Aucun fichier de jeu créé par ce catalogue.</x:v>
      </x:c>
      <x:c r="M78" s="7" t="str"/>
      <x:c r="N78" s="7" t="str">
        <x:v>Le livrable « High Noon » possède une scène ou un scénario de contrôle ; ses règles proposées, ses conditions et ses retours visuels sont vérifiables séparément.</x:v>
      </x:c>
      <x:c r="O78" s="7" t="str"/>
      <x:c r="P78" s="7" t="str">
        <x:v>High Noon</x:v>
      </x:c>
      <x:c r="Q78" s="7" t="str">
        <x:v>MEA-SRC-HIGH-NOON</x:v>
      </x:c>
      <x:c r="R78" s="7" t="str">
        <x:v>https://masseffect.fandom.com/wiki/High_Noon</x:v>
      </x:c>
      <x:c r="S78" s="7" t="str">
        <x:v>Spécification à réaliser. Les champs adaptation, gameplay, visual, animation, audio et implementation décrivent le fan game ; ils ne donnent pas des caractéristiques officielles de l’œuvre.</x:v>
      </x:c>
    </x:row>
    <x:row r="79" ht="68" customHeight="1">
      <x:c r="A79" s="18" t="str">
        <x:v>MEA-SQ-KADARA-MURDER</x:v>
      </x:c>
      <x:c r="B79" s="9" t="str">
        <x:v>Murder in Kadara Port</x:v>
      </x:c>
      <x:c r="C79" s="15" t="str">
        <x:v>Défini</x:v>
      </x:c>
      <x:c r="D79" s="16" t="str">
        <x:v>Établi</x:v>
      </x:c>
      <x:c r="E79" s="16" t="str">
        <x:v>P1</x:v>
      </x:c>
      <x:c r="F79" s="9" t="str">
        <x:v>Enquête locale.</x:v>
      </x:c>
      <x:c r="G79" s="9" t="str">
        <x:v>Recueillir témoignages et indices, identifier adversaires ; solution liée au dossier plutôt qu’à un scan générique.</x:v>
      </x:c>
      <x:c r="H79" s="9" t="str">
        <x:v>Recueillir témoignages et indices, identifier adversaires ; solution liée au dossier plutôt qu’à un scan générique.</x:v>
      </x:c>
      <x:c r="I79" s="9" t="str">
        <x:v>Rue de port et traces médico-légales.</x:v>
      </x:c>
      <x:c r="J79" s="9" t="str">
        <x:v>Transitions de caméra et d’interface interruptibles ; aucun délai d’animation ne doit consommer une décision encore ouverte.</x:v>
      </x:c>
      <x:c r="K79" s="9" t="str">
        <x:v>Créer des bruitages et ambiances originaux adaptés au livrable ; sous-titrer les indices utiles et proposer un réglage indépendant des effets. Aucune extraction audio demandée.</x:v>
      </x:c>
      <x:c r="L79" s="9" t="str">
        <x:v>Prévu : fiche de données mea/side_quests/kadara-murder ; rattacher les ressources et états cités à cet identifiant. Aucun fichier de jeu créé par ce catalogue.</x:v>
      </x:c>
      <x:c r="M79" s="9" t="str"/>
      <x:c r="N79" s="9" t="str">
        <x:v>Le livrable « Murder in Kadara Port » possède une scène ou un scénario de contrôle ; ses règles proposées, ses conditions et ses retours visuels sont vérifiables séparément.</x:v>
      </x:c>
      <x:c r="O79" s="9" t="str"/>
      <x:c r="P79" s="9" t="str">
        <x:v>Murder in Kadara Port</x:v>
      </x:c>
      <x:c r="Q79" s="9" t="str">
        <x:v>MEA-SRC-KADARA-PAGE</x:v>
      </x:c>
      <x:c r="R79" s="9" t="str">
        <x:v>https://masseffect.fandom.com/wiki/Kadara</x:v>
      </x:c>
      <x:c r="S79" s="9" t="str">
        <x:v>Spécification à réaliser. Les champs adaptation, gameplay, visual, animation, audio et implementation décrivent le fan game ; ils ne donnent pas des caractéristiques officielles de l’œuvre.</x:v>
      </x:c>
    </x:row>
    <x:row r="80" ht="68" customHeight="1">
      <x:c r="A80" s="19" t="str">
        <x:v>MEA-SQ-KADARA-DIVIDED</x:v>
      </x:c>
      <x:c r="B80" s="7" t="str">
        <x:v>A People Divided</x:v>
      </x:c>
      <x:c r="C80" s="15" t="str">
        <x:v>Défini</x:v>
      </x:c>
      <x:c r="D80" s="17" t="str">
        <x:v>Établi</x:v>
      </x:c>
      <x:c r="E80" s="17" t="str">
        <x:v>P1</x:v>
      </x:c>
      <x:c r="F80" s="7" t="str">
        <x:v>Mission de Kadara.</x:v>
      </x:c>
      <x:c r="G80" s="7" t="str">
        <x:v>Poursuite d’enquête vers un groupe hostile ; la culpabilité de celui-ci ne s’étend pas à tous les angara.</x:v>
      </x:c>
      <x:c r="H80" s="7" t="str">
        <x:v>Poursuite d’enquête vers un groupe hostile ; la culpabilité de celui-ci ne s’étend pas à tous les angara.</x:v>
      </x:c>
      <x:c r="I80" s="7" t="str">
        <x:v>Cache et réunion clandestine.</x:v>
      </x:c>
      <x:c r="J80" s="7" t="str">
        <x:v>Transitions de caméra et d’interface interruptibles ; aucun délai d’animation ne doit consommer une décision encore ouverte.</x:v>
      </x:c>
      <x:c r="K80" s="7" t="str">
        <x:v>Créer des bruitages et ambiances originaux adaptés au livrable ; sous-titrer les indices utiles et proposer un réglage indépendant des effets. Aucune extraction audio demandée.</x:v>
      </x:c>
      <x:c r="L80" s="7" t="str">
        <x:v>Prévu : fiche de données mea/side_quests/kadara-divided ; rattacher les ressources et états cités à cet identifiant. Aucun fichier de jeu créé par ce catalogue.</x:v>
      </x:c>
      <x:c r="M80" s="7" t="str"/>
      <x:c r="N80" s="7" t="str">
        <x:v>Le livrable « A People Divided » possède une scène ou un scénario de contrôle ; ses règles proposées, ses conditions et ses retours visuels sont vérifiables séparément.</x:v>
      </x:c>
      <x:c r="O80" s="7" t="str"/>
      <x:c r="P80" s="7" t="str">
        <x:v>A People Divided</x:v>
      </x:c>
      <x:c r="Q80" s="7" t="str">
        <x:v>MEA-SRC-KADARA-PAGE</x:v>
      </x:c>
      <x:c r="R80" s="7" t="str">
        <x:v>https://masseffect.fandom.com/wiki/Kadara</x:v>
      </x:c>
      <x:c r="S80" s="7" t="str">
        <x:v>Spécification à réaliser. Les champs adaptation, gameplay, visual, animation, audio et implementation décrivent le fan game ; ils ne donnent pas des caractéristiques officielles de l’œuvre.</x:v>
      </x:c>
    </x:row>
    <x:row r="81" ht="68" customHeight="1">
      <x:c r="A81" s="18" t="str">
        <x:v>MEA-SQ-KADARA-MIND</x:v>
      </x:c>
      <x:c r="B81" s="9" t="str">
        <x:v>Mind Games</x:v>
      </x:c>
      <x:c r="C81" s="15" t="str">
        <x:v>Défini</x:v>
      </x:c>
      <x:c r="D81" s="16" t="str">
        <x:v>Établi</x:v>
      </x:c>
      <x:c r="E81" s="16" t="str">
        <x:v>P1</x:v>
      </x:c>
      <x:c r="F81" s="9" t="str">
        <x:v>Mission d’expérience locale.</x:v>
      </x:c>
      <x:c r="G81" s="9" t="str">
        <x:v>Enquête et réaction au dispositif ; information de consentement et résultats suivis sans modifier la personnalité du joueur arbitrairement.</x:v>
      </x:c>
      <x:c r="H81" s="9" t="str">
        <x:v>Enquête et réaction au dispositif ; information de consentement et résultats suivis sans modifier la personnalité du joueur arbitrairement.</x:v>
      </x:c>
      <x:c r="I81" s="9" t="str">
        <x:v>Expérience, sujets et console.</x:v>
      </x:c>
      <x:c r="J81" s="9" t="str">
        <x:v>Transitions de caméra et d’interface interruptibles ; aucun délai d’animation ne doit consommer une décision encore ouverte.</x:v>
      </x:c>
      <x:c r="K81" s="9" t="str">
        <x:v>Créer des bruitages et ambiances originaux adaptés au livrable ; sous-titrer les indices utiles et proposer un réglage indépendant des effets. Aucune extraction audio demandée.</x:v>
      </x:c>
      <x:c r="L81" s="9" t="str">
        <x:v>Prévu : fiche de données mea/side_quests/kadara-mind ; rattacher les ressources et états cités à cet identifiant. Aucun fichier de jeu créé par ce catalogue.</x:v>
      </x:c>
      <x:c r="M81" s="9" t="str"/>
      <x:c r="N81" s="9" t="str">
        <x:v>Le livrable « Mind Games » possède une scène ou un scénario de contrôle ; ses règles proposées, ses conditions et ses retours visuels sont vérifiables séparément.</x:v>
      </x:c>
      <x:c r="O81" s="9" t="str"/>
      <x:c r="P81" s="9" t="str">
        <x:v>Mind Games</x:v>
      </x:c>
      <x:c r="Q81" s="9" t="str">
        <x:v>MEA-SRC-KADARA-PAGE</x:v>
      </x:c>
      <x:c r="R81" s="9" t="str">
        <x:v>https://masseffect.fandom.com/wiki/Kadara</x:v>
      </x:c>
      <x:c r="S81" s="9" t="str">
        <x:v>Spécification à réaliser. Les champs adaptation, gameplay, visual, animation, audio et implementation décrivent le fan game ; ils ne donnent pas des caractéristiques officielles de l’œuvre.</x:v>
      </x:c>
    </x:row>
    <x:row r="82" ht="68" customHeight="1">
      <x:c r="A82" s="19" t="str">
        <x:v>MEA-SQ-KADARA-MEDICINE</x:v>
      </x:c>
      <x:c r="B82" s="7" t="str">
        <x:v>Modern Medicine</x:v>
      </x:c>
      <x:c r="C82" s="15" t="str">
        <x:v>Défini</x:v>
      </x:c>
      <x:c r="D82" s="17" t="str">
        <x:v>Établi</x:v>
      </x:c>
      <x:c r="E82" s="17" t="str">
        <x:v>P1</x:v>
      </x:c>
      <x:c r="F82" s="7" t="str">
        <x:v>Mission de recherche médicale.</x:v>
      </x:c>
      <x:c r="G82" s="7" t="str">
        <x:v>Collecter substance et décider de remise selon contexte ; inventaire garde l’objet de mission hors du commerce.</x:v>
      </x:c>
      <x:c r="H82" s="7" t="str">
        <x:v>Collecter substance et décider de remise selon contexte ; inventaire garde l’objet de mission hors du commerce.</x:v>
      </x:c>
      <x:c r="I82" s="7" t="str">
        <x:v>Laboratoire de fortune et échantillon.</x:v>
      </x:c>
      <x:c r="J82" s="7" t="str">
        <x:v>Transitions de caméra et d’interface interruptibles ; aucun délai d’animation ne doit consommer une décision encore ouverte.</x:v>
      </x:c>
      <x:c r="K82" s="7" t="str">
        <x:v>Créer des bruitages et ambiances originaux adaptés au livrable ; sous-titrer les indices utiles et proposer un réglage indépendant des effets. Aucune extraction audio demandée.</x:v>
      </x:c>
      <x:c r="L82" s="7" t="str">
        <x:v>Prévu : fiche de données mea/side_quests/kadara-medicine ; rattacher les ressources et états cités à cet identifiant. Aucun fichier de jeu créé par ce catalogue.</x:v>
      </x:c>
      <x:c r="M82" s="7" t="str"/>
      <x:c r="N82" s="7" t="str">
        <x:v>Le livrable « Modern Medicine » possède une scène ou un scénario de contrôle ; ses règles proposées, ses conditions et ses retours visuels sont vérifiables séparément.</x:v>
      </x:c>
      <x:c r="O82" s="7" t="str"/>
      <x:c r="P82" s="7" t="str">
        <x:v>Modern Medicine</x:v>
      </x:c>
      <x:c r="Q82" s="7" t="str">
        <x:v>MEA-SRC-KADARA-PAGE</x:v>
      </x:c>
      <x:c r="R82" s="7" t="str">
        <x:v>https://masseffect.fandom.com/wiki/Kadara</x:v>
      </x:c>
      <x:c r="S82" s="7" t="str">
        <x:v>Spécification à réaliser. Les champs adaptation, gameplay, visual, animation, audio et implementation décrivent le fan game ; ils ne donnent pas des caractéristiques officielles de l’œuvre.</x:v>
      </x:c>
    </x:row>
    <x:row r="83" ht="68" customHeight="1">
      <x:c r="A83" s="18" t="str">
        <x:v>MEA-SQ-KADARA-WATER</x:v>
      </x:c>
      <x:c r="B83" s="9" t="str">
        <x:v>Something in the Water</x:v>
      </x:c>
      <x:c r="C83" s="15" t="str">
        <x:v>Défini</x:v>
      </x:c>
      <x:c r="D83" s="16" t="str">
        <x:v>Établi</x:v>
      </x:c>
      <x:c r="E83" s="16" t="str">
        <x:v>P1</x:v>
      </x:c>
      <x:c r="F83" s="9" t="str">
        <x:v>Mission environnementale.</x:v>
      </x:c>
      <x:c r="G83" s="9" t="str">
        <x:v>Prélever échantillons sur lieux distincts ; scanner distingue eau à risque et eau sans objectif restant.</x:v>
      </x:c>
      <x:c r="H83" s="9" t="str">
        <x:v>Prélever échantillons sur lieux distincts ; scanner distingue eau à risque et eau sans objectif restant.</x:v>
      </x:c>
      <x:c r="I83" s="9" t="str">
        <x:v>Bassins et analyse de prélèvement.</x:v>
      </x:c>
      <x:c r="J83" s="9" t="str">
        <x:v>Transitions de caméra et d’interface interruptibles ; aucun délai d’animation ne doit consommer une décision encore ouverte.</x:v>
      </x:c>
      <x:c r="K83" s="9" t="str">
        <x:v>Créer des bruitages et ambiances originaux adaptés au livrable ; sous-titrer les indices utiles et proposer un réglage indépendant des effets. Aucune extraction audio demandée.</x:v>
      </x:c>
      <x:c r="L83" s="9" t="str">
        <x:v>Prévu : fiche de données mea/side_quests/kadara-water ; rattacher les ressources et états cités à cet identifiant. Aucun fichier de jeu créé par ce catalogue.</x:v>
      </x:c>
      <x:c r="M83" s="9" t="str"/>
      <x:c r="N83" s="9" t="str">
        <x:v>Le livrable « Something in the Water » possède une scène ou un scénario de contrôle ; ses règles proposées, ses conditions et ses retours visuels sont vérifiables séparément.</x:v>
      </x:c>
      <x:c r="O83" s="9" t="str"/>
      <x:c r="P83" s="9" t="str">
        <x:v>Something in the Water</x:v>
      </x:c>
      <x:c r="Q83" s="9" t="str">
        <x:v>MEA-SRC-KADARA-PAGE</x:v>
      </x:c>
      <x:c r="R83" s="9" t="str">
        <x:v>https://masseffect.fandom.com/wiki/Kadara</x:v>
      </x:c>
      <x:c r="S83" s="9" t="str">
        <x:v>Spécification à réaliser. Les champs adaptation, gameplay, visual, animation, audio et implementation décrivent le fan game ; ils ne donnent pas des caractéristiques officielles de l’œuvre.</x:v>
      </x:c>
    </x:row>
    <x:row r="84" ht="68" customHeight="1">
      <x:c r="A84" s="19" t="str">
        <x:v>MEA-SQ-KADARA-CARGO</x:v>
      </x:c>
      <x:c r="B84" s="7" t="str">
        <x:v>Precious Cargo</x:v>
      </x:c>
      <x:c r="C84" s="15" t="str">
        <x:v>Défini</x:v>
      </x:c>
      <x:c r="D84" s="17" t="str">
        <x:v>Établi</x:v>
      </x:c>
      <x:c r="E84" s="17" t="str">
        <x:v>P1</x:v>
      </x:c>
      <x:c r="F84" s="7" t="str">
        <x:v>Mission de cargaison.</x:v>
      </x:c>
      <x:c r="G84" s="7" t="str">
        <x:v>Recherche puis découverte liée au contenu ; retour et récompense ne se déclenchent pas à la seule prise d’une caisse quelconque.</x:v>
      </x:c>
      <x:c r="H84" s="7" t="str">
        <x:v>Recherche puis découverte liée au contenu ; retour et récompense ne se déclenchent pas à la seule prise d’une caisse quelconque.</x:v>
      </x:c>
      <x:c r="I84" s="7" t="str">
        <x:v>Épave, caisse et piste.</x:v>
      </x:c>
      <x:c r="J84" s="7" t="str">
        <x:v>Transitions de caméra et d’interface interruptibles ; aucun délai d’animation ne doit consommer une décision encore ouverte.</x:v>
      </x:c>
      <x:c r="K84" s="7" t="str">
        <x:v>Créer des bruitages et ambiances originaux adaptés au livrable ; sous-titrer les indices utiles et proposer un réglage indépendant des effets. Aucune extraction audio demandée.</x:v>
      </x:c>
      <x:c r="L84" s="7" t="str">
        <x:v>Prévu : fiche de données mea/side_quests/kadara-cargo ; rattacher les ressources et états cités à cet identifiant. Aucun fichier de jeu créé par ce catalogue.</x:v>
      </x:c>
      <x:c r="M84" s="7" t="str"/>
      <x:c r="N84" s="7" t="str">
        <x:v>Le livrable « Precious Cargo » possède une scène ou un scénario de contrôle ; ses règles proposées, ses conditions et ses retours visuels sont vérifiables séparément.</x:v>
      </x:c>
      <x:c r="O84" s="7" t="str"/>
      <x:c r="P84" s="7" t="str">
        <x:v>Precious Cargo</x:v>
      </x:c>
      <x:c r="Q84" s="7" t="str">
        <x:v>MEA-SRC-KADARA-PAGE</x:v>
      </x:c>
      <x:c r="R84" s="7" t="str">
        <x:v>https://masseffect.fandom.com/wiki/Kadara</x:v>
      </x:c>
      <x:c r="S84" s="7" t="str">
        <x:v>Spécification à réaliser. Les champs adaptation, gameplay, visual, animation, audio et implementation décrivent le fan game ; ils ne donnent pas des caractéristiques officielles de l’œuvre.</x:v>
      </x:c>
    </x:row>
    <x:row r="85" ht="68" customHeight="1">
      <x:c r="A85" s="18" t="str">
        <x:v>MEA-SQ-KADARA-NIGHT</x:v>
      </x:c>
      <x:c r="B85" s="9" t="str">
        <x:v>Night on the Town</x:v>
      </x:c>
      <x:c r="C85" s="15" t="str">
        <x:v>Défini</x:v>
      </x:c>
      <x:c r="D85" s="16" t="str">
        <x:v>Établi</x:v>
      </x:c>
      <x:c r="E85" s="16" t="str">
        <x:v>P1</x:v>
      </x:c>
      <x:c r="F85" s="9" t="str">
        <x:v>Scène sociale de Kadara.</x:v>
      </x:c>
      <x:c r="G85" s="9" t="str">
        <x:v>Rencontre selon relation avec Reyes ; conversations privées ne bloquent pas l’exploration après clôture.</x:v>
      </x:c>
      <x:c r="H85" s="9" t="str">
        <x:v>Rencontre selon relation avec Reyes ; conversations privées ne bloquent pas l’exploration après clôture.</x:v>
      </x:c>
      <x:c r="I85" s="9" t="str">
        <x:v>Bar et lumières du port.</x:v>
      </x:c>
      <x:c r="J85" s="9" t="str">
        <x:v>Transitions de caméra et d’interface interruptibles ; aucun délai d’animation ne doit consommer une décision encore ouverte.</x:v>
      </x:c>
      <x:c r="K85" s="9" t="str">
        <x:v>Créer des bruitages et ambiances originaux adaptés au livrable ; sous-titrer les indices utiles et proposer un réglage indépendant des effets. Aucune extraction audio demandée.</x:v>
      </x:c>
      <x:c r="L85" s="9" t="str">
        <x:v>Prévu : fiche de données mea/side_quests/kadara-night ; rattacher les ressources et états cités à cet identifiant. Aucun fichier de jeu créé par ce catalogue.</x:v>
      </x:c>
      <x:c r="M85" s="9" t="str"/>
      <x:c r="N85" s="9" t="str">
        <x:v>Le livrable « Night on the Town » possède une scène ou un scénario de contrôle ; ses règles proposées, ses conditions et ses retours visuels sont vérifiables séparément.</x:v>
      </x:c>
      <x:c r="O85" s="9" t="str"/>
      <x:c r="P85" s="9" t="str">
        <x:v>Night on the Town</x:v>
      </x:c>
      <x:c r="Q85" s="9" t="str">
        <x:v>MEA-SRC-KADARA-PAGE</x:v>
      </x:c>
      <x:c r="R85" s="9" t="str">
        <x:v>https://masseffect.fandom.com/wiki/Kadara</x:v>
      </x:c>
      <x:c r="S85" s="9" t="str">
        <x:v>Spécification à réaliser. Les champs adaptation, gameplay, visual, animation, audio et implementation décrivent le fan game ; ils ne donnent pas des caractéristiques officielles de l’œuvre.</x:v>
      </x:c>
    </x:row>
    <x:row r="86" ht="68" customHeight="1">
      <x:c r="A86" s="19" t="str">
        <x:v>MEA-SQ-KADARA-MIXED</x:v>
      </x:c>
      <x:c r="B86" s="7" t="str">
        <x:v>Mixed Messages</x:v>
      </x:c>
      <x:c r="C86" s="15" t="str">
        <x:v>Défini</x:v>
      </x:c>
      <x:c r="D86" s="17" t="str">
        <x:v>Établi</x:v>
      </x:c>
      <x:c r="E86" s="17" t="str">
        <x:v>P1</x:v>
      </x:c>
      <x:c r="F86" s="7" t="str">
        <x:v>Mission de Kadara.</x:v>
      </x:c>
      <x:c r="G86" s="7" t="str">
        <x:v>Fenêtre de disponibilité liée à la politique locale ; prévenir qu’une avancée de High Noon peut la fermer.</x:v>
      </x:c>
      <x:c r="H86" s="7" t="str">
        <x:v>Fenêtre de disponibilité liée à la politique locale ; prévenir qu’une avancée de High Noon peut la fermer.</x:v>
      </x:c>
      <x:c r="I86" s="7" t="str">
        <x:v>Message, interlocuteur et rue du port.</x:v>
      </x:c>
      <x:c r="J86" s="7" t="str">
        <x:v>Transitions de caméra et d’interface interruptibles ; aucun délai d’animation ne doit consommer une décision encore ouverte.</x:v>
      </x:c>
      <x:c r="K86" s="7" t="str">
        <x:v>Créer des bruitages et ambiances originaux adaptés au livrable ; sous-titrer les indices utiles et proposer un réglage indépendant des effets. Aucune extraction audio demandée.</x:v>
      </x:c>
      <x:c r="L86" s="7" t="str">
        <x:v>Prévu : fiche de données mea/side_quests/kadara-mixed ; rattacher les ressources et états cités à cet identifiant. Aucun fichier de jeu créé par ce catalogue.</x:v>
      </x:c>
      <x:c r="M86" s="7" t="str">
        <x:v>Conditions précises de régime à vérifier.</x:v>
      </x:c>
      <x:c r="N86" s="7" t="str">
        <x:v>Le livrable « Mixed Messages » possède une scène ou un scénario de contrôle ; ses règles proposées, ses conditions et ses retours visuels sont vérifiables séparément.</x:v>
      </x:c>
      <x:c r="O86" s="7" t="str"/>
      <x:c r="P86" s="7" t="str">
        <x:v>Mixed Messages</x:v>
      </x:c>
      <x:c r="Q86" s="7" t="str">
        <x:v>MEA-SRC-KADARA-PAGE, MEA-SRC-HIGH-NOON</x:v>
      </x:c>
      <x:c r="R86" s="7" t="str">
        <x:v>https://masseffect.fandom.com/wiki/Kadara
https://masseffect.fandom.com/wiki/High_Noon</x:v>
      </x:c>
      <x:c r="S86" s="7" t="str">
        <x:v>Spécification à réaliser. Les champs adaptation, gameplay, visual, animation, audio et implementation décrivent le fan game ; ils ne donnent pas des caractéristiques officielles de l’œuvre.</x:v>
      </x:c>
    </x:row>
    <x:row r="87" ht="68" customHeight="1">
      <x:c r="A87" s="18" t="str">
        <x:v>MEA-SQ-KADARA-BASE</x:v>
      </x:c>
      <x:c r="B87" s="9" t="str">
        <x:v>The Collective Base</x:v>
      </x:c>
      <x:c r="C87" s="15" t="str">
        <x:v>Défini</x:v>
      </x:c>
      <x:c r="D87" s="16" t="str">
        <x:v>Établi</x:v>
      </x:c>
      <x:c r="E87" s="16" t="str">
        <x:v>P1</x:v>
      </x:c>
      <x:c r="F87" s="9" t="str">
        <x:v>Mission liée au Collectif.</x:v>
      </x:c>
      <x:c r="G87" s="9" t="str">
        <x:v>Enquête d’accès puis choix local ; identité du groupe révélée dans le journal au moment approprié.</x:v>
      </x:c>
      <x:c r="H87" s="9" t="str">
        <x:v>Enquête d’accès puis choix local ; identité du groupe révélée dans le journal au moment approprié.</x:v>
      </x:c>
      <x:c r="I87" s="9" t="str">
        <x:v>Base cachée et signes de faction.</x:v>
      </x:c>
      <x:c r="J87" s="9" t="str">
        <x:v>Transitions de caméra et d’interface interruptibles ; aucun délai d’animation ne doit consommer une décision encore ouverte.</x:v>
      </x:c>
      <x:c r="K87" s="9" t="str">
        <x:v>Créer des bruitages et ambiances originaux adaptés au livrable ; sous-titrer les indices utiles et proposer un réglage indépendant des effets. Aucune extraction audio demandée.</x:v>
      </x:c>
      <x:c r="L87" s="9" t="str">
        <x:v>Prévu : fiche de données mea/side_quests/kadara-base ; rattacher les ressources et états cités à cet identifiant. Aucun fichier de jeu créé par ce catalogue.</x:v>
      </x:c>
      <x:c r="M87" s="9" t="str"/>
      <x:c r="N87" s="9" t="str">
        <x:v>Le livrable « The Collective Base » possède une scène ou un scénario de contrôle ; ses règles proposées, ses conditions et ses retours visuels sont vérifiables séparément.</x:v>
      </x:c>
      <x:c r="O87" s="9" t="str"/>
      <x:c r="P87" s="9" t="str">
        <x:v>The Collective Base</x:v>
      </x:c>
      <x:c r="Q87" s="9" t="str">
        <x:v>MEA-SRC-KADARA-PAGE</x:v>
      </x:c>
      <x:c r="R87" s="9" t="str">
        <x:v>https://masseffect.fandom.com/wiki/Kadara</x:v>
      </x:c>
      <x:c r="S87" s="9" t="str">
        <x:v>Spécification à réaliser. Les champs adaptation, gameplay, visual, animation, audio et implementation décrivent le fan game ; ils ne donnent pas des caractéristiques officielles de l’œuvre.</x:v>
      </x:c>
    </x:row>
    <x:row r="88" ht="68" customHeight="1">
      <x:c r="A88" s="19" t="str">
        <x:v>MEA-SQ-ELAADEN-CORE</x:v>
      </x:c>
      <x:c r="B88" s="7" t="str">
        <x:v>Search for the Stolen Remnant Drive Core</x:v>
      </x:c>
      <x:c r="C88" s="15" t="str">
        <x:v>Défini</x:v>
      </x:c>
      <x:c r="D88" s="17" t="str">
        <x:v>Établi</x:v>
      </x:c>
      <x:c r="E88" s="17" t="str">
        <x:v>P1</x:v>
      </x:c>
      <x:c r="F88" s="7" t="str">
        <x:v>Recherche du moteur reliquat.</x:v>
      </x:c>
      <x:c r="G88" s="7" t="str">
        <x:v>Trajet d’indices et récupération ; objet unique conservé jusqu’à décision de négociation avec Morda.</x:v>
      </x:c>
      <x:c r="H88" s="7" t="str">
        <x:v>Trajet d’indices et récupération ; objet unique conservé jusqu’à décision de négociation avec Morda.</x:v>
      </x:c>
      <x:c r="I88" s="7" t="str">
        <x:v>Cœur de moteur et conteneur de transport.</x:v>
      </x:c>
      <x:c r="J88" s="7" t="str">
        <x:v>Transitions de caméra et d’interface interruptibles ; aucun délai d’animation ne doit consommer une décision encore ouverte.</x:v>
      </x:c>
      <x:c r="K88" s="7" t="str">
        <x:v>Créer des bruitages et ambiances originaux adaptés au livrable ; sous-titrer les indices utiles et proposer un réglage indépendant des effets. Aucune extraction audio demandée.</x:v>
      </x:c>
      <x:c r="L88" s="7" t="str">
        <x:v>Prévu : fiche de données mea/side_quests/elaaden-core ; rattacher les ressources et états cités à cet identifiant. Aucun fichier de jeu créé par ce catalogue.</x:v>
      </x:c>
      <x:c r="M88" s="7" t="str"/>
      <x:c r="N88" s="7" t="str">
        <x:v>Le livrable « Search for the Stolen Remnant Drive Core » possède une scène ou un scénario de contrôle ; ses règles proposées, ses conditions et ses retours visuels sont vérifiables séparément.</x:v>
      </x:c>
      <x:c r="O88" s="7" t="str"/>
      <x:c r="P88" s="7" t="str">
        <x:v>Search for the Stolen Remnant Drive Core</x:v>
      </x:c>
      <x:c r="Q88" s="7" t="str">
        <x:v>MEA-SRC-ELAADEN-PAGE</x:v>
      </x:c>
      <x:c r="R88" s="7" t="str">
        <x:v>https://masseffect.fandom.com/wiki/Elaaden</x:v>
      </x:c>
      <x:c r="S88" s="7" t="str">
        <x:v>Spécification à réaliser. Les champs adaptation, gameplay, visual, animation, audio et implementation décrivent le fan game ; ils ne donnent pas des caractéristiques officielles de l’œuvre.</x:v>
      </x:c>
    </x:row>
    <x:row r="89" ht="68" customHeight="1">
      <x:c r="A89" s="18" t="str">
        <x:v>MEA-SQ-ELAADEN-DERELICT</x:v>
      </x:c>
      <x:c r="B89" s="9" t="str">
        <x:v>Investigate Remnant Derelict</x:v>
      </x:c>
      <x:c r="C89" s="15" t="str">
        <x:v>Défini</x:v>
      </x:c>
      <x:c r="D89" s="16" t="str">
        <x:v>Établi</x:v>
      </x:c>
      <x:c r="E89" s="16" t="str">
        <x:v>P1</x:v>
      </x:c>
      <x:c r="F89" s="9" t="str">
        <x:v>Exploration de l’épave d’Elaaden.</x:v>
      </x:c>
      <x:c r="G89" s="9" t="str">
        <x:v>Intérieur en niveaux avec chemins de sortie repérables ; scan du cœur ne vaut pas possession.</x:v>
      </x:c>
      <x:c r="H89" s="9" t="str">
        <x:v>Intérieur en niveaux avec chemins de sortie repérables ; scan du cœur ne vaut pas possession.</x:v>
      </x:c>
      <x:c r="I89" s="9" t="str">
        <x:v>Épave gigantesque et conduits.</x:v>
      </x:c>
      <x:c r="J89" s="9" t="str">
        <x:v>Transitions de caméra et d’interface interruptibles ; aucun délai d’animation ne doit consommer une décision encore ouverte.</x:v>
      </x:c>
      <x:c r="K89" s="9" t="str">
        <x:v>Créer des bruitages et ambiances originaux adaptés au livrable ; sous-titrer les indices utiles et proposer un réglage indépendant des effets. Aucune extraction audio demandée.</x:v>
      </x:c>
      <x:c r="L89" s="9" t="str">
        <x:v>Prévu : fiche de données mea/side_quests/elaaden-derelict ; rattacher les ressources et états cités à cet identifiant. Aucun fichier de jeu créé par ce catalogue.</x:v>
      </x:c>
      <x:c r="M89" s="9" t="str"/>
      <x:c r="N89" s="9" t="str">
        <x:v>Le livrable « Investigate Remnant Derelict » possède une scène ou un scénario de contrôle ; ses règles proposées, ses conditions et ses retours visuels sont vérifiables séparément.</x:v>
      </x:c>
      <x:c r="O89" s="9" t="str"/>
      <x:c r="P89" s="9" t="str">
        <x:v>Investigate Remnant Derelict</x:v>
      </x:c>
      <x:c r="Q89" s="9" t="str">
        <x:v>MEA-SRC-ELAADEN-PAGE</x:v>
      </x:c>
      <x:c r="R89" s="9" t="str">
        <x:v>https://masseffect.fandom.com/wiki/Elaaden</x:v>
      </x:c>
      <x:c r="S89" s="9" t="str">
        <x:v>Spécification à réaliser. Les champs adaptation, gameplay, visual, animation, audio et implementation décrivent le fan game ; ils ne donnent pas des caractéristiques officielles de l’œuvre.</x:v>
      </x:c>
    </x:row>
    <x:row r="90" ht="68" customHeight="1">
      <x:c r="A90" s="19" t="str">
        <x:v>MEA-SQ-ELAADEN-PARLAY</x:v>
      </x:c>
      <x:c r="B90" s="7" t="str">
        <x:v>Parlay with the Krogan</x:v>
      </x:c>
      <x:c r="C90" s="15" t="str">
        <x:v>Défini</x:v>
      </x:c>
      <x:c r="D90" s="17" t="str">
        <x:v>Établi</x:v>
      </x:c>
      <x:c r="E90" s="17" t="str">
        <x:v>P1</x:v>
      </x:c>
      <x:c r="F90" s="7" t="str">
        <x:v>Négociation locale.</x:v>
      </x:c>
      <x:c r="G90" s="7" t="str">
        <x:v>Accès au dirigeant et clarification des demandes ; refus conserve piste d’objectifs restants.</x:v>
      </x:c>
      <x:c r="H90" s="7" t="str">
        <x:v>Accès au dirigeant et clarification des demandes ; refus conserve piste d’objectifs restants.</x:v>
      </x:c>
      <x:c r="I90" s="7" t="str">
        <x:v>Salle de Morda à New Tuchanka.</x:v>
      </x:c>
      <x:c r="J90" s="7" t="str">
        <x:v>Transitions de caméra et d’interface interruptibles ; aucun délai d’animation ne doit consommer une décision encore ouverte.</x:v>
      </x:c>
      <x:c r="K90" s="7" t="str">
        <x:v>Créer des bruitages et ambiances originaux adaptés au livrable ; sous-titrer les indices utiles et proposer un réglage indépendant des effets. Aucune extraction audio demandée.</x:v>
      </x:c>
      <x:c r="L90" s="7" t="str">
        <x:v>Prévu : fiche de données mea/side_quests/elaaden-parlay ; rattacher les ressources et états cités à cet identifiant. Aucun fichier de jeu créé par ce catalogue.</x:v>
      </x:c>
      <x:c r="M90" s="7" t="str"/>
      <x:c r="N90" s="7" t="str">
        <x:v>Le livrable « Parlay with the Krogan » possède une scène ou un scénario de contrôle ; ses règles proposées, ses conditions et ses retours visuels sont vérifiables séparément.</x:v>
      </x:c>
      <x:c r="O90" s="7" t="str"/>
      <x:c r="P90" s="7" t="str">
        <x:v>Parlay with the Krogan</x:v>
      </x:c>
      <x:c r="Q90" s="7" t="str">
        <x:v>MEA-SRC-ELAADEN-PAGE</x:v>
      </x:c>
      <x:c r="R90" s="7" t="str">
        <x:v>https://masseffect.fandom.com/wiki/Elaaden</x:v>
      </x:c>
      <x:c r="S90" s="7" t="str">
        <x:v>Spécification à réaliser. Les champs adaptation, gameplay, visual, animation, audio et implementation décrivent le fan game ; ils ne donnent pas des caractéristiques officielles de l’œuvre.</x:v>
      </x:c>
    </x:row>
    <x:row r="91" ht="68" customHeight="1">
      <x:c r="A91" s="18" t="str">
        <x:v>MEA-SQ-ELAADEN-SETTLE</x:v>
      </x:c>
      <x:c r="B91" s="9" t="str">
        <x:v>Settling Elaaden</x:v>
      </x:c>
      <x:c r="C91" s="15" t="str">
        <x:v>Défini</x:v>
      </x:c>
      <x:c r="D91" s="16" t="str">
        <x:v>Établi</x:v>
      </x:c>
      <x:c r="E91" s="16" t="str">
        <x:v>P1</x:v>
      </x:c>
      <x:c r="F91" s="9" t="str">
        <x:v>Fondation d’avant-poste.</x:v>
      </x:c>
      <x:c r="G91" s="9" t="str">
        <x:v>Accord local et conditions environnementales visibles ; ne pas faire surgir une colonie si le moteur est gardé et accord manquant.</x:v>
      </x:c>
      <x:c r="H91" s="9" t="str">
        <x:v>Accord local et conditions environnementales visibles ; ne pas faire surgir une colonie si le moteur est gardé et accord manquant.</x:v>
      </x:c>
      <x:c r="I91" s="9" t="str">
        <x:v>Site désertique et balise.</x:v>
      </x:c>
      <x:c r="J91" s="9" t="str">
        <x:v>Transitions de caméra et d’interface interruptibles ; aucun délai d’animation ne doit consommer une décision encore ouverte.</x:v>
      </x:c>
      <x:c r="K91" s="9" t="str">
        <x:v>Créer des bruitages et ambiances originaux adaptés au livrable ; sous-titrer les indices utiles et proposer un réglage indépendant des effets. Aucune extraction audio demandée.</x:v>
      </x:c>
      <x:c r="L91" s="9" t="str">
        <x:v>Prévu : fiche de données mea/side_quests/elaaden-settle ; rattacher les ressources et états cités à cet identifiant. Aucun fichier de jeu créé par ce catalogue.</x:v>
      </x:c>
      <x:c r="M91" s="9" t="str"/>
      <x:c r="N91" s="9" t="str">
        <x:v>Le livrable « Settling Elaaden » possède une scène ou un scénario de contrôle ; ses règles proposées, ses conditions et ses retours visuels sont vérifiables séparément.</x:v>
      </x:c>
      <x:c r="O91" s="9" t="str"/>
      <x:c r="P91" s="9" t="str">
        <x:v>Settling Elaaden</x:v>
      </x:c>
      <x:c r="Q91" s="9" t="str">
        <x:v>MEA-SRC-ELAADEN-PAGE</x:v>
      </x:c>
      <x:c r="R91" s="9" t="str">
        <x:v>https://masseffect.fandom.com/wiki/Elaaden</x:v>
      </x:c>
      <x:c r="S91" s="9" t="str">
        <x:v>Spécification à réaliser. Les champs adaptation, gameplay, visual, animation, audio et implementation décrivent le fan game ; ils ne donnent pas des caractéristiques officielles de l’œuvre.</x:v>
      </x:c>
    </x:row>
    <x:row r="92" ht="68" customHeight="1">
      <x:c r="A92" s="19" t="str">
        <x:v>MEA-SQ-ELAADEN-TAME</x:v>
      </x:c>
      <x:c r="B92" s="7" t="str">
        <x:v>Taming a Desert</x:v>
      </x:c>
      <x:c r="C92" s="15" t="str">
        <x:v>Défini</x:v>
      </x:c>
      <x:c r="D92" s="17" t="str">
        <x:v>Établi</x:v>
      </x:c>
      <x:c r="E92" s="17" t="str">
        <x:v>P1</x:v>
      </x:c>
      <x:c r="F92" s="7" t="str">
        <x:v>Arc du caveau d’Elaaden.</x:v>
      </x:c>
      <x:c r="G92" s="7" t="str">
        <x:v>Monolithes et caveau, purification puis mise à jour de danger ; les zones sous abri restent visuellement distinctes.</x:v>
      </x:c>
      <x:c r="H92" s="7" t="str">
        <x:v>Monolithes et caveau, purification puis mise à jour de danger ; les zones sous abri restent visuellement distinctes.</x:v>
      </x:c>
      <x:c r="I92" s="7" t="str">
        <x:v>Dunes et piliers reliquats.</x:v>
      </x:c>
      <x:c r="J92" s="7" t="str">
        <x:v>Transitions de caméra et d’interface interruptibles ; aucun délai d’animation ne doit consommer une décision encore ouverte.</x:v>
      </x:c>
      <x:c r="K92" s="7" t="str">
        <x:v>Créer des bruitages et ambiances originaux adaptés au livrable ; sous-titrer les indices utiles et proposer un réglage indépendant des effets. Aucune extraction audio demandée.</x:v>
      </x:c>
      <x:c r="L92" s="7" t="str">
        <x:v>Prévu : fiche de données mea/side_quests/elaaden-tame ; rattacher les ressources et états cités à cet identifiant. Aucun fichier de jeu créé par ce catalogue.</x:v>
      </x:c>
      <x:c r="M92" s="7" t="str"/>
      <x:c r="N92" s="7" t="str">
        <x:v>Le livrable « Taming a Desert » possède une scène ou un scénario de contrôle ; ses règles proposées, ses conditions et ses retours visuels sont vérifiables séparément.</x:v>
      </x:c>
      <x:c r="O92" s="7" t="str"/>
      <x:c r="P92" s="7" t="str">
        <x:v>Taming a Desert</x:v>
      </x:c>
      <x:c r="Q92" s="7" t="str">
        <x:v>MEA-SRC-ELAADEN-PAGE, MEA-SRC-HAZARD</x:v>
      </x:c>
      <x:c r="R92" s="7" t="str">
        <x:v>https://masseffect.fandom.com/wiki/Elaaden
https://masseffect.fandom.com/wiki/Hazard</x:v>
      </x:c>
      <x:c r="S92" s="7" t="str">
        <x:v>Spécification à réaliser. Les champs adaptation, gameplay, visual, animation, audio et implementation décrivent le fan game ; ils ne donnent pas des caractéristiques officielles de l’œuvre.</x:v>
      </x:c>
    </x:row>
    <x:row r="93" ht="68" customHeight="1">
      <x:c r="A93" s="18" t="str">
        <x:v>MEA-SQ-ELAADEN-WATER</x:v>
      </x:c>
      <x:c r="B93" s="9" t="str">
        <x:v>Water Supply</x:v>
      </x:c>
      <x:c r="C93" s="15" t="str">
        <x:v>Défini</x:v>
      </x:c>
      <x:c r="D93" s="16" t="str">
        <x:v>Établi</x:v>
      </x:c>
      <x:c r="E93" s="16" t="str">
        <x:v>P1</x:v>
      </x:c>
      <x:c r="F93" s="9" t="str">
        <x:v>Mission sur la distribution d’eau.</x:v>
      </x:c>
      <x:c r="G93" s="9" t="str">
        <x:v>Enquête puis décision de contrôle ; l’eau comme ressource narrative reste distincte d’un consommable de survie inventé.</x:v>
      </x:c>
      <x:c r="H93" s="9" t="str">
        <x:v>Enquête puis décision de contrôle ; l’eau comme ressource narrative reste distincte d’un consommable de survie inventé.</x:v>
      </x:c>
      <x:c r="I93" s="9" t="str">
        <x:v>Réservoir, pompe et échange local.</x:v>
      </x:c>
      <x:c r="J93" s="9" t="str">
        <x:v>Transitions de caméra et d’interface interruptibles ; aucun délai d’animation ne doit consommer une décision encore ouverte.</x:v>
      </x:c>
      <x:c r="K93" s="9" t="str">
        <x:v>Créer des bruitages et ambiances originaux adaptés au livrable ; sous-titrer les indices utiles et proposer un réglage indépendant des effets. Aucune extraction audio demandée.</x:v>
      </x:c>
      <x:c r="L93" s="9" t="str">
        <x:v>Prévu : fiche de données mea/side_quests/elaaden-water ; rattacher les ressources et états cités à cet identifiant. Aucun fichier de jeu créé par ce catalogue.</x:v>
      </x:c>
      <x:c r="M93" s="9" t="str"/>
      <x:c r="N93" s="9" t="str">
        <x:v>Le livrable « Water Supply » possède une scène ou un scénario de contrôle ; ses règles proposées, ses conditions et ses retours visuels sont vérifiables séparément.</x:v>
      </x:c>
      <x:c r="O93" s="9" t="str"/>
      <x:c r="P93" s="9" t="str">
        <x:v>Water Supply</x:v>
      </x:c>
      <x:c r="Q93" s="9" t="str">
        <x:v>MEA-SRC-ELAADEN-PAGE</x:v>
      </x:c>
      <x:c r="R93" s="9" t="str">
        <x:v>https://masseffect.fandom.com/wiki/Elaaden</x:v>
      </x:c>
      <x:c r="S93" s="9" t="str">
        <x:v>Spécification à réaliser. Les champs adaptation, gameplay, visual, animation, audio et implementation décrivent le fan game ; ils ne donnent pas des caractéristiques officielles de l’œuvre.</x:v>
      </x:c>
    </x:row>
    <x:row r="94" ht="68" customHeight="1">
      <x:c r="A94" s="19" t="str">
        <x:v>MEA-SQ-ELAADEN-ARCH</x:v>
      </x:c>
      <x:c r="B94" s="7" t="str">
        <x:v>Architect on Elaaden</x:v>
      </x:c>
      <x:c r="C94" s="15" t="str">
        <x:v>Défini</x:v>
      </x:c>
      <x:c r="D94" s="17" t="str">
        <x:v>Établi</x:v>
      </x:c>
      <x:c r="E94" s="17" t="str">
        <x:v>P1</x:v>
      </x:c>
      <x:c r="F94" s="7" t="str">
        <x:v>Combat d’Architecte.</x:v>
      </x:c>
      <x:c r="G94" s="7" t="str">
        <x:v>Déclencher arène hors routes civiles, objectifs membres/noyau lisibles ; sauvegarder avant lancement proposé.</x:v>
      </x:c>
      <x:c r="H94" s="7" t="str">
        <x:v>Déclencher arène hors routes civiles, objectifs membres/noyau lisibles ; sauvegarder avant lancement proposé.</x:v>
      </x:c>
      <x:c r="I94" s="7" t="str">
        <x:v>Machine géante au-dessus des dunes.</x:v>
      </x:c>
      <x:c r="J94" s="7" t="str">
        <x:v>Transitions de caméra et d’interface interruptibles ; aucun délai d’animation ne doit consommer une décision encore ouverte.</x:v>
      </x:c>
      <x:c r="K94" s="7" t="str">
        <x:v>Créer des bruitages et ambiances originaux adaptés au livrable ; sous-titrer les indices utiles et proposer un réglage indépendant des effets. Aucune extraction audio demandée.</x:v>
      </x:c>
      <x:c r="L94" s="7" t="str">
        <x:v>Prévu : fiche de données mea/side_quests/elaaden-arch ; rattacher les ressources et états cités à cet identifiant. Aucun fichier de jeu créé par ce catalogue.</x:v>
      </x:c>
      <x:c r="M94" s="7" t="str"/>
      <x:c r="N94" s="7" t="str">
        <x:v>Le livrable « Architect on Elaaden » possède une scène ou un scénario de contrôle ; ses règles proposées, ses conditions et ses retours visuels sont vérifiables séparément.</x:v>
      </x:c>
      <x:c r="O94" s="7" t="str"/>
      <x:c r="P94" s="7" t="str">
        <x:v>Architect on Elaaden</x:v>
      </x:c>
      <x:c r="Q94" s="7" t="str">
        <x:v>MEA-SRC-ELAADEN-PAGE</x:v>
      </x:c>
      <x:c r="R94" s="7" t="str">
        <x:v>https://masseffect.fandom.com/wiki/Elaaden</x:v>
      </x:c>
      <x:c r="S94" s="7" t="str">
        <x:v>Spécification à réaliser. Les champs adaptation, gameplay, visual, animation, audio et implementation décrivent le fan game ; ils ne donnent pas des caractéristiques officielles de l’œuvre.</x:v>
      </x:c>
    </x:row>
    <x:row r="95" ht="68" customHeight="1">
      <x:c r="A95" s="18" t="str">
        <x:v>MEA-SQ-ELAADEN-FLOP</x:v>
      </x:c>
      <x:c r="B95" s="9" t="str">
        <x:v>The Flophouse</x:v>
      </x:c>
      <x:c r="C95" s="15" t="str">
        <x:v>Défini</x:v>
      </x:c>
      <x:c r="D95" s="16" t="str">
        <x:v>Établi</x:v>
      </x:c>
      <x:c r="E95" s="16" t="str">
        <x:v>P1</x:v>
      </x:c>
      <x:c r="F95" s="9" t="str">
        <x:v>Mission contre un repaire.</x:v>
      </x:c>
      <x:c r="G95" s="9" t="str">
        <x:v>Reconnaissance puis assaut à plusieurs entrées ; contrôler renforts et retours Nomad pour éviter réinitialisation abusive.</x:v>
      </x:c>
      <x:c r="H95" s="9" t="str">
        <x:v>Reconnaissance puis assaut à plusieurs entrées ; contrôler renforts et retours Nomad pour éviter réinitialisation abusive.</x:v>
      </x:c>
      <x:c r="I95" s="9" t="str">
        <x:v>Base de hors-la-loi et containers.</x:v>
      </x:c>
      <x:c r="J95" s="9" t="str">
        <x:v>Transitions de caméra et d’interface interruptibles ; aucun délai d’animation ne doit consommer une décision encore ouverte.</x:v>
      </x:c>
      <x:c r="K95" s="9" t="str">
        <x:v>Créer des bruitages et ambiances originaux adaptés au livrable ; sous-titrer les indices utiles et proposer un réglage indépendant des effets. Aucune extraction audio demandée.</x:v>
      </x:c>
      <x:c r="L95" s="9" t="str">
        <x:v>Prévu : fiche de données mea/side_quests/elaaden-flop ; rattacher les ressources et états cités à cet identifiant. Aucun fichier de jeu créé par ce catalogue.</x:v>
      </x:c>
      <x:c r="M95" s="9" t="str"/>
      <x:c r="N95" s="9" t="str">
        <x:v>Le livrable « The Flophouse » possède une scène ou un scénario de contrôle ; ses règles proposées, ses conditions et ses retours visuels sont vérifiables séparément.</x:v>
      </x:c>
      <x:c r="O95" s="9" t="str"/>
      <x:c r="P95" s="9" t="str">
        <x:v>The Flophouse</x:v>
      </x:c>
      <x:c r="Q95" s="9" t="str">
        <x:v>MEA-SRC-ELAADEN-PAGE</x:v>
      </x:c>
      <x:c r="R95" s="9" t="str">
        <x:v>https://masseffect.fandom.com/wiki/Elaaden</x:v>
      </x:c>
      <x:c r="S95" s="9" t="str">
        <x:v>Spécification à réaliser. Les champs adaptation, gameplay, visual, animation, audio et implementation décrivent le fan game ; ils ne donnent pas des caractéristiques officielles de l’œuvre.</x:v>
      </x:c>
    </x:row>
    <x:row r="96" ht="68" customHeight="1">
      <x:c r="A96" s="19" t="str">
        <x:v>MEA-SQ-ELAADEN-OKEER</x:v>
      </x:c>
      <x:c r="B96" s="7" t="str">
        <x:v>Save Dr. Okeer’s Krogan Research</x:v>
      </x:c>
      <x:c r="C96" s="15" t="str">
        <x:v>Défini</x:v>
      </x:c>
      <x:c r="D96" s="17" t="str">
        <x:v>Établi</x:v>
      </x:c>
      <x:c r="E96" s="17" t="str">
        <x:v>P1</x:v>
      </x:c>
      <x:c r="F96" s="7" t="str">
        <x:v>Mission de données d’Okeer.</x:v>
      </x:c>
      <x:c r="G96" s="7" t="str">
        <x:v>Récupérer archives avec provenance ; n’implique ni présence vivante d’Okeer ni rencontre avec Grunt.</x:v>
      </x:c>
      <x:c r="H96" s="7" t="str">
        <x:v>Récupérer archives avec provenance ; n’implique ni présence vivante d’Okeer ni rencontre avec Grunt.</x:v>
      </x:c>
      <x:c r="I96" s="7" t="str">
        <x:v>Support de recherche krogan.</x:v>
      </x:c>
      <x:c r="J96" s="7" t="str">
        <x:v>Transitions de caméra et d’interface interruptibles ; aucun délai d’animation ne doit consommer une décision encore ouverte.</x:v>
      </x:c>
      <x:c r="K96" s="7" t="str">
        <x:v>Créer des bruitages et ambiances originaux adaptés au livrable ; sous-titrer les indices utiles et proposer un réglage indépendant des effets. Aucune extraction audio demandée.</x:v>
      </x:c>
      <x:c r="L96" s="7" t="str">
        <x:v>Prévu : fiche de données mea/side_quests/elaaden-okeer ; rattacher les ressources et états cités à cet identifiant. Aucun fichier de jeu créé par ce catalogue.</x:v>
      </x:c>
      <x:c r="M96" s="7" t="str"/>
      <x:c r="N96" s="7" t="str">
        <x:v>Le livrable « Save Dr. Okeer’s Krogan Research » possède une scène ou un scénario de contrôle ; ses règles proposées, ses conditions et ses retours visuels sont vérifiables séparément.</x:v>
      </x:c>
      <x:c r="O96" s="7" t="str"/>
      <x:c r="P96" s="7" t="str">
        <x:v>Save Dr. Okeer’s Krogan Research</x:v>
      </x:c>
      <x:c r="Q96" s="7" t="str">
        <x:v>MEA-SRC-ELAADEN-PAGE</x:v>
      </x:c>
      <x:c r="R96" s="7" t="str">
        <x:v>https://masseffect.fandom.com/wiki/Elaaden</x:v>
      </x:c>
      <x:c r="S96" s="7" t="str">
        <x:v>Spécification à réaliser. Les champs adaptation, gameplay, visual, animation, audio et implementation décrivent le fan game ; ils ne donnent pas des caractéristiques officielles de l’œuvre.</x:v>
      </x:c>
    </x:row>
    <x:row r="97" ht="68" customHeight="1">
      <x:c r="A97" s="18" t="str">
        <x:v>MEA-SQ-ELAADEN-CONFLICT</x:v>
      </x:c>
      <x:c r="B97" s="9" t="str">
        <x:v>Conflict in the Colony</x:v>
      </x:c>
      <x:c r="C97" s="15" t="str">
        <x:v>Défini</x:v>
      </x:c>
      <x:c r="D97" s="16" t="str">
        <x:v>Établi</x:v>
      </x:c>
      <x:c r="E97" s="16" t="str">
        <x:v>P1</x:v>
      </x:c>
      <x:c r="F97" s="9" t="str">
        <x:v>Mission de New Tuchanka.</x:v>
      </x:c>
      <x:c r="G97" s="9" t="str">
        <x:v>Entretiens de conflit interne et preuves ; décision finale conservée distinctement de la relation globale Initiative/krogans.</x:v>
      </x:c>
      <x:c r="H97" s="9" t="str">
        <x:v>Entretiens de conflit interne et preuves ; décision finale conservée distinctement de la relation globale Initiative/krogans.</x:v>
      </x:c>
      <x:c r="I97" s="9" t="str">
        <x:v>Quartier de colonie et témoignages.</x:v>
      </x:c>
      <x:c r="J97" s="9" t="str">
        <x:v>Transitions de caméra et d’interface interruptibles ; aucun délai d’animation ne doit consommer une décision encore ouverte.</x:v>
      </x:c>
      <x:c r="K97" s="9" t="str">
        <x:v>Créer des bruitages et ambiances originaux adaptés au livrable ; sous-titrer les indices utiles et proposer un réglage indépendant des effets. Aucune extraction audio demandée.</x:v>
      </x:c>
      <x:c r="L97" s="9" t="str">
        <x:v>Prévu : fiche de données mea/side_quests/elaaden-conflict ; rattacher les ressources et états cités à cet identifiant. Aucun fichier de jeu créé par ce catalogue.</x:v>
      </x:c>
      <x:c r="M97" s="9" t="str"/>
      <x:c r="N97" s="9" t="str">
        <x:v>Le livrable « Conflict in the Colony » possède une scène ou un scénario de contrôle ; ses règles proposées, ses conditions et ses retours visuels sont vérifiables séparément.</x:v>
      </x:c>
      <x:c r="O97" s="9" t="str"/>
      <x:c r="P97" s="9" t="str">
        <x:v>Conflict in the Colony</x:v>
      </x:c>
      <x:c r="Q97" s="9" t="str">
        <x:v>MEA-SRC-ELAADEN-PAGE</x:v>
      </x:c>
      <x:c r="R97" s="9" t="str">
        <x:v>https://masseffect.fandom.com/wiki/Elaaden</x:v>
      </x:c>
      <x:c r="S97" s="9" t="str">
        <x:v>Spécification à réaliser. Les champs adaptation, gameplay, visual, animation, audio et implementation décrivent le fan game ; ils ne donnent pas des caractéristiques officielles de l’œuvre.</x:v>
      </x:c>
    </x:row>
    <x:row r="98" ht="68" customHeight="1">
      <x:c r="A98" s="19" t="str">
        <x:v>MEA-SQ-ELAADEN-LJETA</x:v>
      </x:c>
      <x:c r="B98" s="7" t="str">
        <x:v>The Search for Ljeta</x:v>
      </x:c>
      <x:c r="C98" s="15" t="str">
        <x:v>Défini</x:v>
      </x:c>
      <x:c r="D98" s="17" t="str">
        <x:v>Établi</x:v>
      </x:c>
      <x:c r="E98" s="17" t="str">
        <x:v>P1</x:v>
      </x:c>
      <x:c r="F98" s="7" t="str">
        <x:v>Mission de recherche personnelle.</x:v>
      </x:c>
      <x:c r="G98" s="7" t="str">
        <x:v>Suivi d’une personne par informations nommées ; issue sociale sans boss ajouté par convenance.</x:v>
      </x:c>
      <x:c r="H98" s="7" t="str">
        <x:v>Suivi d’une personne par informations nommées ; issue sociale sans boss ajouté par convenance.</x:v>
      </x:c>
      <x:c r="I98" s="7" t="str">
        <x:v>Camp et piste de voyage.</x:v>
      </x:c>
      <x:c r="J98" s="7" t="str">
        <x:v>Transitions de caméra et d’interface interruptibles ; aucun délai d’animation ne doit consommer une décision encore ouverte.</x:v>
      </x:c>
      <x:c r="K98" s="7" t="str">
        <x:v>Créer des bruitages et ambiances originaux adaptés au livrable ; sous-titrer les indices utiles et proposer un réglage indépendant des effets. Aucune extraction audio demandée.</x:v>
      </x:c>
      <x:c r="L98" s="7" t="str">
        <x:v>Prévu : fiche de données mea/side_quests/elaaden-ljeta ; rattacher les ressources et états cités à cet identifiant. Aucun fichier de jeu créé par ce catalogue.</x:v>
      </x:c>
      <x:c r="M98" s="7" t="str"/>
      <x:c r="N98" s="7" t="str">
        <x:v>Le livrable « The Search for Ljeta » possède une scène ou un scénario de contrôle ; ses règles proposées, ses conditions et ses retours visuels sont vérifiables séparément.</x:v>
      </x:c>
      <x:c r="O98" s="7" t="str"/>
      <x:c r="P98" s="7" t="str">
        <x:v>The Search for Ljeta</x:v>
      </x:c>
      <x:c r="Q98" s="7" t="str">
        <x:v>MEA-SRC-ELAADEN-PAGE</x:v>
      </x:c>
      <x:c r="R98" s="7" t="str">
        <x:v>https://masseffect.fandom.com/wiki/Elaaden</x:v>
      </x:c>
      <x:c r="S98" s="7" t="str">
        <x:v>Spécification à réaliser. Les champs adaptation, gameplay, visual, animation, audio et implementation décrivent le fan game ; ils ne donnent pas des caractéristiques officielles de l’œuvre.</x:v>
      </x:c>
    </x:row>
    <x:row r="99" ht="68" customHeight="1">
      <x:c r="A99" s="18" t="str">
        <x:v>MEA-SQ-ELAADEN-GRAY</x:v>
      </x:c>
      <x:c r="B99" s="9" t="str">
        <x:v>Gray Matter</x:v>
      </x:c>
      <x:c r="C99" s="15" t="str">
        <x:v>Défini</x:v>
      </x:c>
      <x:c r="D99" s="16" t="str">
        <x:v>Établi</x:v>
      </x:c>
      <x:c r="E99" s="16" t="str">
        <x:v>P1</x:v>
      </x:c>
      <x:c r="F99" s="9" t="str">
        <x:v>Mission d’Elaaden.</x:v>
      </x:c>
      <x:c r="G99" s="9" t="str">
        <x:v>Recherche de matériel et conversation technique ; scan confirme la bonne pièce avant récupération.</x:v>
      </x:c>
      <x:c r="H99" s="9" t="str">
        <x:v>Recherche de matériel et conversation technique ; scan confirme la bonne pièce avant récupération.</x:v>
      </x:c>
      <x:c r="I99" s="9" t="str">
        <x:v>Pièces et atelier improvisé.</x:v>
      </x:c>
      <x:c r="J99" s="9" t="str">
        <x:v>Transitions de caméra et d’interface interruptibles ; aucun délai d’animation ne doit consommer une décision encore ouverte.</x:v>
      </x:c>
      <x:c r="K99" s="9" t="str">
        <x:v>Créer des bruitages et ambiances originaux adaptés au livrable ; sous-titrer les indices utiles et proposer un réglage indépendant des effets. Aucune extraction audio demandée.</x:v>
      </x:c>
      <x:c r="L99" s="9" t="str">
        <x:v>Prévu : fiche de données mea/side_quests/elaaden-gray ; rattacher les ressources et états cités à cet identifiant. Aucun fichier de jeu créé par ce catalogue.</x:v>
      </x:c>
      <x:c r="M99" s="9" t="str"/>
      <x:c r="N99" s="9" t="str">
        <x:v>Le livrable « Gray Matter » possède une scène ou un scénario de contrôle ; ses règles proposées, ses conditions et ses retours visuels sont vérifiables séparément.</x:v>
      </x:c>
      <x:c r="O99" s="9" t="str"/>
      <x:c r="P99" s="9" t="str">
        <x:v>Gray Matter</x:v>
      </x:c>
      <x:c r="Q99" s="9" t="str">
        <x:v>MEA-SRC-ELAADEN-PAGE</x:v>
      </x:c>
      <x:c r="R99" s="9" t="str">
        <x:v>https://masseffect.fandom.com/wiki/Elaaden</x:v>
      </x:c>
      <x:c r="S99" s="9" t="str">
        <x:v>Spécification à réaliser. Les champs adaptation, gameplay, visual, animation, audio et implementation décrivent le fan game ; ils ne donnent pas des caractéristiques officielles de l’œuvre.</x:v>
      </x:c>
    </x:row>
    <x:row r="100" ht="68" customHeight="1">
      <x:c r="A100" s="19" t="str">
        <x:v>MEA-SQ-H047C-DUST</x:v>
      </x:c>
      <x:c r="B100" s="7" t="str">
        <x:v>From the Dust</x:v>
      </x:c>
      <x:c r="C100" s="15" t="str">
        <x:v>Défini</x:v>
      </x:c>
      <x:c r="D100" s="17" t="str">
        <x:v>Établi</x:v>
      </x:c>
      <x:c r="E100" s="17" t="str">
        <x:v>P1</x:v>
      </x:c>
      <x:c r="F100" s="7" t="str">
        <x:v>Mission sur H-047c.</x:v>
      </x:c>
      <x:c r="G100" s="7" t="str">
        <x:v>Conduite entre dômes et récupération dans sites pressurisés ; sortie Nomad impossible dans le vide hors transition sûre.</x:v>
      </x:c>
      <x:c r="H100" s="7" t="str">
        <x:v>Conduite entre dômes et récupération dans sites pressurisés ; sortie Nomad impossible dans le vide hors transition sûre.</x:v>
      </x:c>
      <x:c r="I100" s="7" t="str">
        <x:v>Dômes miniers et minerai.</x:v>
      </x:c>
      <x:c r="J100" s="7" t="str">
        <x:v>Transitions de caméra et d’interface interruptibles ; aucun délai d’animation ne doit consommer une décision encore ouverte.</x:v>
      </x:c>
      <x:c r="K100" s="7" t="str">
        <x:v>Créer des bruitages et ambiances originaux adaptés au livrable ; sous-titrer les indices utiles et proposer un réglage indépendant des effets. Aucune extraction audio demandée.</x:v>
      </x:c>
      <x:c r="L100" s="7" t="str">
        <x:v>Prévu : fiche de données mea/side_quests/h047c-dust ; rattacher les ressources et états cités à cet identifiant. Aucun fichier de jeu créé par ce catalogue.</x:v>
      </x:c>
      <x:c r="M100" s="7" t="str"/>
      <x:c r="N100" s="7" t="str">
        <x:v>Le livrable « From the Dust » possède une scène ou un scénario de contrôle ; ses règles proposées, ses conditions et ses retours visuels sont vérifiables séparément.</x:v>
      </x:c>
      <x:c r="O100" s="7" t="str"/>
      <x:c r="P100" s="7" t="str">
        <x:v>From the Dust</x:v>
      </x:c>
      <x:c r="Q100" s="7" t="str">
        <x:v>MEA-SRC-MISSIONS, MEA-SRC-HAZARD</x:v>
      </x:c>
      <x:c r="R100" s="7" t="str">
        <x:v>https://masseffect.fandom.com/wiki/Missions_%28Mass_Effect%3A_Andromeda%29
https://masseffect.fandom.com/wiki/Hazard</x:v>
      </x:c>
      <x:c r="S100" s="7" t="str">
        <x:v>Spécification à réaliser. Les champs adaptation, gameplay, visual, animation, audio et implementation décrivent le fan game ; ils ne donnent pas des caractéristiques officielles de l’œuvre.</x:v>
      </x:c>
    </x:row>
    <x:row r="101" ht="68" customHeight="1">
      <x:c r="A101" s="18" t="str">
        <x:v>MEA-SQ-H047C-TILLER</x:v>
      </x:c>
      <x:c r="B101" s="9" t="str">
        <x:v>The Remnant Tiller</x:v>
      </x:c>
      <x:c r="C101" s="15" t="str">
        <x:v>Défini</x:v>
      </x:c>
      <x:c r="D101" s="16" t="str">
        <x:v>Établi</x:v>
      </x:c>
      <x:c r="E101" s="16" t="str">
        <x:v>P1</x:v>
      </x:c>
      <x:c r="F101" s="9" t="str">
        <x:v>Mission reliquate sur H-047c.</x:v>
      </x:c>
      <x:c r="G101" s="9" t="str">
        <x:v>Caveau avec machines et accès interne ; sommet de plateforme et sol distincts pour sélection ATB.</x:v>
      </x:c>
      <x:c r="H101" s="9" t="str">
        <x:v>Caveau avec machines et accès interne ; sommet de plateforme et sol distincts pour sélection ATB.</x:v>
      </x:c>
      <x:c r="I101" s="9" t="str">
        <x:v>Foreuse reliquate et salle géométrique.</x:v>
      </x:c>
      <x:c r="J101" s="9" t="str">
        <x:v>Transitions de caméra et d’interface interruptibles ; aucun délai d’animation ne doit consommer une décision encore ouverte.</x:v>
      </x:c>
      <x:c r="K101" s="9" t="str">
        <x:v>Créer des bruitages et ambiances originaux adaptés au livrable ; sous-titrer les indices utiles et proposer un réglage indépendant des effets. Aucune extraction audio demandée.</x:v>
      </x:c>
      <x:c r="L101" s="9" t="str">
        <x:v>Prévu : fiche de données mea/side_quests/h047c-tiller ; rattacher les ressources et états cités à cet identifiant. Aucun fichier de jeu créé par ce catalogue.</x:v>
      </x:c>
      <x:c r="M101" s="9" t="str"/>
      <x:c r="N101" s="9" t="str">
        <x:v>Le livrable « The Remnant Tiller » possède une scène ou un scénario de contrôle ; ses règles proposées, ses conditions et ses retours visuels sont vérifiables séparément.</x:v>
      </x:c>
      <x:c r="O101" s="9" t="str"/>
      <x:c r="P101" s="9" t="str">
        <x:v>The Remnant Tiller</x:v>
      </x:c>
      <x:c r="Q101" s="9" t="str">
        <x:v>MEA-SRC-MISSIONS</x:v>
      </x:c>
      <x:c r="R101" s="9" t="str">
        <x:v>https://masseffect.fandom.com/wiki/Missions_%28Mass_Effect%3A_Andromeda%29</x:v>
      </x:c>
      <x:c r="S101" s="9" t="str">
        <x:v>Spécification à réaliser. Les champs adaptation, gameplay, visual, animation, audio et implementation décrivent le fan game ; ils ne donnent pas des caractéristiques officielles de l’œuvre.</x:v>
      </x:c>
    </x:row>
    <x:row r="102" ht="68" customHeight="1">
      <x:c r="A102" s="19" t="str">
        <x:v>MEA-SQ-AYA-HISTORY</x:v>
      </x:c>
      <x:c r="B102" s="7" t="str">
        <x:v>Forgotten History</x:v>
      </x:c>
      <x:c r="C102" s="15" t="str">
        <x:v>Défini</x:v>
      </x:c>
      <x:c r="D102" s="17" t="str">
        <x:v>Établi</x:v>
      </x:c>
      <x:c r="E102" s="17" t="str">
        <x:v>P1</x:v>
      </x:c>
      <x:c r="F102" s="7" t="str">
        <x:v>Mission d’archives sur Aya.</x:v>
      </x:c>
      <x:c r="G102" s="7" t="str">
        <x:v>Examiner objets culturels avec descriptions originales courtes ; aucune extraction de longs textes de codex.</x:v>
      </x:c>
      <x:c r="H102" s="7" t="str">
        <x:v>Examiner objets culturels avec descriptions originales courtes ; aucune extraction de longs textes de codex.</x:v>
      </x:c>
      <x:c r="I102" s="7" t="str">
        <x:v>Musée et vitrines.</x:v>
      </x:c>
      <x:c r="J102" s="7" t="str">
        <x:v>Transitions de caméra et d’interface interruptibles ; aucun délai d’animation ne doit consommer une décision encore ouverte.</x:v>
      </x:c>
      <x:c r="K102" s="7" t="str">
        <x:v>Créer des bruitages et ambiances originaux adaptés au livrable ; sous-titrer les indices utiles et proposer un réglage indépendant des effets. Aucune extraction audio demandée.</x:v>
      </x:c>
      <x:c r="L102" s="7" t="str">
        <x:v>Prévu : fiche de données mea/side_quests/aya-history ; rattacher les ressources et états cités à cet identifiant. Aucun fichier de jeu créé par ce catalogue.</x:v>
      </x:c>
      <x:c r="M102" s="7" t="str"/>
      <x:c r="N102" s="7" t="str">
        <x:v>Le livrable « Forgotten History » possède une scène ou un scénario de contrôle ; ses règles proposées, ses conditions et ses retours visuels sont vérifiables séparément.</x:v>
      </x:c>
      <x:c r="O102" s="7" t="str"/>
      <x:c r="P102" s="7" t="str">
        <x:v>Forgotten History</x:v>
      </x:c>
      <x:c r="Q102" s="7" t="str">
        <x:v>MEA-SRC-AYA-PAGE</x:v>
      </x:c>
      <x:c r="R102" s="7" t="str">
        <x:v>https://masseffect.fandom.com/wiki/Aya</x:v>
      </x:c>
      <x:c r="S102" s="7" t="str">
        <x:v>Spécification à réaliser. Les champs adaptation, gameplay, visual, animation, audio et implementation décrivent le fan game ; ils ne donnent pas des caractéristiques officielles de l’œuvre.</x:v>
      </x:c>
    </x:row>
    <x:row r="103" ht="68" customHeight="1">
      <x:c r="A103" s="18" t="str">
        <x:v>MEA-SQ-AYA-PAST</x:v>
      </x:c>
      <x:c r="B103" s="9" t="str">
        <x:v>Recovering the Past</x:v>
      </x:c>
      <x:c r="C103" s="15" t="str">
        <x:v>Défini</x:v>
      </x:c>
      <x:c r="D103" s="16" t="str">
        <x:v>Établi</x:v>
      </x:c>
      <x:c r="E103" s="16" t="str">
        <x:v>P1</x:v>
      </x:c>
      <x:c r="F103" s="9" t="str">
        <x:v>Mission d’exploration historique.</x:v>
      </x:c>
      <x:c r="G103" s="9" t="str">
        <x:v>Collecter preuves de passé local puis remise ; chaque objet porte une provenance et un destinataire.</x:v>
      </x:c>
      <x:c r="H103" s="9" t="str">
        <x:v>Collecter preuves de passé local puis remise ; chaque objet porte une provenance et un destinataire.</x:v>
      </x:c>
      <x:c r="I103" s="9" t="str">
        <x:v>Artefacts et témoignages angara.</x:v>
      </x:c>
      <x:c r="J103" s="9" t="str">
        <x:v>Transitions de caméra et d’interface interruptibles ; aucun délai d’animation ne doit consommer une décision encore ouverte.</x:v>
      </x:c>
      <x:c r="K103" s="9" t="str">
        <x:v>Créer des bruitages et ambiances originaux adaptés au livrable ; sous-titrer les indices utiles et proposer un réglage indépendant des effets. Aucune extraction audio demandée.</x:v>
      </x:c>
      <x:c r="L103" s="9" t="str">
        <x:v>Prévu : fiche de données mea/side_quests/aya-past ; rattacher les ressources et états cités à cet identifiant. Aucun fichier de jeu créé par ce catalogue.</x:v>
      </x:c>
      <x:c r="M103" s="9" t="str"/>
      <x:c r="N103" s="9" t="str">
        <x:v>Le livrable « Recovering the Past » possède une scène ou un scénario de contrôle ; ses règles proposées, ses conditions et ses retours visuels sont vérifiables séparément.</x:v>
      </x:c>
      <x:c r="O103" s="9" t="str"/>
      <x:c r="P103" s="9" t="str">
        <x:v>Recovering the Past</x:v>
      </x:c>
      <x:c r="Q103" s="9" t="str">
        <x:v>MEA-SRC-AYA-PAGE</x:v>
      </x:c>
      <x:c r="R103" s="9" t="str">
        <x:v>https://masseffect.fandom.com/wiki/Aya</x:v>
      </x:c>
      <x:c r="S103" s="9" t="str">
        <x:v>Spécification à réaliser. Les champs adaptation, gameplay, visual, animation, audio et implementation décrivent le fan game ; ils ne donnent pas des caractéristiques officielles de l’œuvre.</x:v>
      </x:c>
    </x:row>
    <x:row r="104" ht="68" customHeight="1">
      <x:c r="A104" s="19" t="str">
        <x:v>MEA-SQ-AYA-JOURNEYS</x:v>
      </x:c>
      <x:c r="B104" s="7" t="str">
        <x:v>Safe Journeys</x:v>
      </x:c>
      <x:c r="C104" s="15" t="str">
        <x:v>Défini</x:v>
      </x:c>
      <x:c r="D104" s="17" t="str">
        <x:v>Établi</x:v>
      </x:c>
      <x:c r="E104" s="17" t="str">
        <x:v>P1</x:v>
      </x:c>
      <x:c r="F104" s="7" t="str">
        <x:v>Mission de voyage angara.</x:v>
      </x:c>
      <x:c r="G104" s="7" t="str">
        <x:v>Suivre disparition ou route de voyage par balises ; distinguer objectif scanné et rapport remis.</x:v>
      </x:c>
      <x:c r="H104" s="7" t="str">
        <x:v>Suivre disparition ou route de voyage par balises ; distinguer objectif scanné et rapport remis.</x:v>
      </x:c>
      <x:c r="I104" s="7" t="str">
        <x:v>Carte, traces et camp.</x:v>
      </x:c>
      <x:c r="J104" s="7" t="str">
        <x:v>Transitions de caméra et d’interface interruptibles ; aucun délai d’animation ne doit consommer une décision encore ouverte.</x:v>
      </x:c>
      <x:c r="K104" s="7" t="str">
        <x:v>Créer des bruitages et ambiances originaux adaptés au livrable ; sous-titrer les indices utiles et proposer un réglage indépendant des effets. Aucune extraction audio demandée.</x:v>
      </x:c>
      <x:c r="L104" s="7" t="str">
        <x:v>Prévu : fiche de données mea/side_quests/aya-journeys ; rattacher les ressources et états cités à cet identifiant. Aucun fichier de jeu créé par ce catalogue.</x:v>
      </x:c>
      <x:c r="M104" s="7" t="str"/>
      <x:c r="N104" s="7" t="str">
        <x:v>Le livrable « Safe Journeys » possède une scène ou un scénario de contrôle ; ses règles proposées, ses conditions et ses retours visuels sont vérifiables séparément.</x:v>
      </x:c>
      <x:c r="O104" s="7" t="str"/>
      <x:c r="P104" s="7" t="str">
        <x:v>Safe Journeys</x:v>
      </x:c>
      <x:c r="Q104" s="7" t="str">
        <x:v>MEA-SRC-AYA-PAGE</x:v>
      </x:c>
      <x:c r="R104" s="7" t="str">
        <x:v>https://masseffect.fandom.com/wiki/Aya</x:v>
      </x:c>
      <x:c r="S104" s="7" t="str">
        <x:v>Spécification à réaliser. Les champs adaptation, gameplay, visual, animation, audio et implementation décrivent le fan game ; ils ne donnent pas des caractéristiques officielles de l’œuvre.</x:v>
      </x:c>
    </x:row>
    <x:row r="105" ht="68" customHeight="1">
      <x:c r="A105" s="18" t="str">
        <x:v>MEA-SQ-AYA-VESAAL</x:v>
      </x:c>
      <x:c r="B105" s="9" t="str">
        <x:v>The Vesaal</x:v>
      </x:c>
      <x:c r="C105" s="15" t="str">
        <x:v>Défini</x:v>
      </x:c>
      <x:c r="D105" s="16" t="str">
        <x:v>Établi</x:v>
      </x:c>
      <x:c r="E105" s="16" t="str">
        <x:v>P1</x:v>
      </x:c>
      <x:c r="F105" s="9" t="str">
        <x:v>Mission culturelle angara.</x:v>
      </x:c>
      <x:c r="G105" s="9" t="str">
        <x:v>Interroger les personnes concernées par l’équilibre des arrivées et départs sur Aya ; journal explicite cette règle locale sans inventer un artefact à rapporter.</x:v>
      </x:c>
      <x:c r="H105" s="9" t="str">
        <x:v>Interroger les personnes concernées par l’équilibre des arrivées et départs sur Aya ; journal explicite cette règle locale sans inventer un artefact à rapporter.</x:v>
      </x:c>
      <x:c r="I105" s="9" t="str">
        <x:v>Résidents d’Aya, interlocuteurs de l’Initiative et registre de population.</x:v>
      </x:c>
      <x:c r="J105" s="9" t="str">
        <x:v>Transitions de caméra et d’interface interruptibles ; aucun délai d’animation ne doit consommer une décision encore ouverte.</x:v>
      </x:c>
      <x:c r="K105" s="9" t="str">
        <x:v>Créer des bruitages et ambiances originaux adaptés au livrable ; sous-titrer les indices utiles et proposer un réglage indépendant des effets. Aucune extraction audio demandée.</x:v>
      </x:c>
      <x:c r="L105" s="9" t="str">
        <x:v>Prévu : fiche de données mea/side_quests/aya-vesaal ; rattacher les ressources et états cités à cet identifiant. Aucun fichier de jeu créé par ce catalogue.</x:v>
      </x:c>
      <x:c r="M105" s="9" t="str"/>
      <x:c r="N105" s="9" t="str">
        <x:v>Le livrable « The Vesaal » possède une scène ou un scénario de contrôle ; ses règles proposées, ses conditions et ses retours visuels sont vérifiables séparément.</x:v>
      </x:c>
      <x:c r="O105" s="9" t="str"/>
      <x:c r="P105" s="9" t="str">
        <x:v>The Vesaal</x:v>
      </x:c>
      <x:c r="Q105" s="9" t="str">
        <x:v>MEA-SRC-VESAAL</x:v>
      </x:c>
      <x:c r="R105" s="9" t="str">
        <x:v>https://masseffect.fandom.com/wiki/The_Vesaal</x:v>
      </x:c>
      <x:c r="S105" s="9" t="str">
        <x:v>Spécification à réaliser. Les champs adaptation, gameplay, visual, animation, audio et implementation décrivent le fan game ; ils ne donnent pas des caractéristiques officielles de l’œuvre.</x:v>
      </x:c>
    </x:row>
    <x:row r="106" ht="68" customHeight="1">
      <x:c r="A106" s="19" t="str">
        <x:v>MEA-SQ-AYA-TRADE</x:v>
      </x:c>
      <x:c r="B106" s="7" t="str">
        <x:v>Trading Favors</x:v>
      </x:c>
      <x:c r="C106" s="15" t="str">
        <x:v>Défini</x:v>
      </x:c>
      <x:c r="D106" s="17" t="str">
        <x:v>Établi</x:v>
      </x:c>
      <x:c r="E106" s="17" t="str">
        <x:v>P1</x:v>
      </x:c>
      <x:c r="F106" s="7" t="str">
        <x:v>Mission d’échange.</x:v>
      </x:c>
      <x:c r="G106" s="7" t="str">
        <x:v>Chaîne d’interlocuteurs sans multiplication de trajet obligatoire ; journal précise ce qui est donné et reçu à chaque étape.</x:v>
      </x:c>
      <x:c r="H106" s="7" t="str">
        <x:v>Chaîne d’interlocuteurs sans multiplication de trajet obligatoire ; journal précise ce qui est donné et reçu à chaque étape.</x:v>
      </x:c>
      <x:c r="I106" s="7" t="str">
        <x:v>Marché et petits objets d’échange.</x:v>
      </x:c>
      <x:c r="J106" s="7" t="str">
        <x:v>Transitions de caméra et d’interface interruptibles ; aucun délai d’animation ne doit consommer une décision encore ouverte.</x:v>
      </x:c>
      <x:c r="K106" s="7" t="str">
        <x:v>Créer des bruitages et ambiances originaux adaptés au livrable ; sous-titrer les indices utiles et proposer un réglage indépendant des effets. Aucune extraction audio demandée.</x:v>
      </x:c>
      <x:c r="L106" s="7" t="str">
        <x:v>Prévu : fiche de données mea/side_quests/aya-trade ; rattacher les ressources et états cités à cet identifiant. Aucun fichier de jeu créé par ce catalogue.</x:v>
      </x:c>
      <x:c r="M106" s="7" t="str"/>
      <x:c r="N106" s="7" t="str">
        <x:v>Le livrable « Trading Favors » possède une scène ou un scénario de contrôle ; ses règles proposées, ses conditions et ses retours visuels sont vérifiables séparément.</x:v>
      </x:c>
      <x:c r="O106" s="7" t="str"/>
      <x:c r="P106" s="7" t="str">
        <x:v>Trading Favors</x:v>
      </x:c>
      <x:c r="Q106" s="7" t="str">
        <x:v>MEA-SRC-AYA-PAGE</x:v>
      </x:c>
      <x:c r="R106" s="7" t="str">
        <x:v>https://masseffect.fandom.com/wiki/Aya</x:v>
      </x:c>
      <x:c r="S106" s="7" t="str">
        <x:v>Spécification à réaliser. Les champs adaptation, gameplay, visual, animation, audio et implementation décrivent le fan game ; ils ne donnent pas des caractéristiques officielles de l’œuvre.</x:v>
      </x:c>
    </x:row>
    <x:row r="107" ht="68" customHeight="1">
      <x:c r="A107" s="18" t="str">
        <x:v>MEA-SQ-NEXUS-MURDER</x:v>
      </x:c>
      <x:c r="B107" s="9" t="str">
        <x:v>First Murderer</x:v>
      </x:c>
      <x:c r="C107" s="15" t="str">
        <x:v>Défini</x:v>
      </x:c>
      <x:c r="D107" s="16" t="str">
        <x:v>Établi</x:v>
      </x:c>
      <x:c r="E107" s="16" t="str">
        <x:v>P1</x:v>
      </x:c>
      <x:c r="F107" s="9" t="str">
        <x:v>Enquête sur Nilken Rensus.</x:v>
      </x:c>
      <x:c r="G107" s="9" t="str">
        <x:v>Scène de prison, preuves d’Eos puis verdict ; séparer intention de tirer et auteur réel du décès dans l’interface d’enquête.</x:v>
      </x:c>
      <x:c r="H107" s="9" t="str">
        <x:v>Scène de prison, preuves d’Eos puis verdict ; séparer intention de tirer et auteur réel du décès dans l’interface d’enquête.</x:v>
      </x:c>
      <x:c r="I107" s="9" t="str">
        <x:v>Cellule, logs et théâtre des faits.</x:v>
      </x:c>
      <x:c r="J107" s="9" t="str">
        <x:v>Transitions de caméra et d’interface interruptibles ; aucun délai d’animation ne doit consommer une décision encore ouverte.</x:v>
      </x:c>
      <x:c r="K107" s="9" t="str">
        <x:v>Créer des bruitages et ambiances originaux adaptés au livrable ; sous-titrer les indices utiles et proposer un réglage indépendant des effets. Aucune extraction audio demandée.</x:v>
      </x:c>
      <x:c r="L107" s="9" t="str">
        <x:v>Prévu : fiche de données mea/side_quests/nexus-murder ; rattacher les ressources et états cités à cet identifiant. Aucun fichier de jeu créé par ce catalogue.</x:v>
      </x:c>
      <x:c r="M107" s="9" t="str"/>
      <x:c r="N107" s="9" t="str">
        <x:v>Le livrable « First Murderer » possède une scène ou un scénario de contrôle ; ses règles proposées, ses conditions et ses retours visuels sont vérifiables séparément.</x:v>
      </x:c>
      <x:c r="O107" s="9" t="str"/>
      <x:c r="P107" s="9" t="str">
        <x:v>First Murderer</x:v>
      </x:c>
      <x:c r="Q107" s="9" t="str">
        <x:v>MEA-SRC-MURDER</x:v>
      </x:c>
      <x:c r="R107" s="9" t="str">
        <x:v>https://masseffect.fandom.com/wiki/First_Murderer</x:v>
      </x:c>
      <x:c r="S107" s="9" t="str">
        <x:v>Spécification à réaliser. Les champs adaptation, gameplay, visual, animation, audio et implementation décrivent le fan game ; ils ne donnent pas des caractéristiques officielles de l’œuvre.</x:v>
      </x:c>
    </x:row>
    <x:row r="108" ht="68" customHeight="1">
      <x:c r="A108" s="19" t="str">
        <x:v>MEA-SQ-NEXUS-CONTAGION</x:v>
      </x:c>
      <x:c r="B108" s="7" t="str">
        <x:v>Contagion</x:v>
      </x:c>
      <x:c r="C108" s="15" t="str">
        <x:v>Défini</x:v>
      </x:c>
      <x:c r="D108" s="17" t="str">
        <x:v>Établi</x:v>
      </x:c>
      <x:c r="E108" s="17" t="str">
        <x:v>P1</x:v>
      </x:c>
      <x:c r="F108" s="7" t="str">
        <x:v>Mission d’urgence médicale.</x:v>
      </x:c>
      <x:c r="G108" s="7" t="str">
        <x:v>Suivre patient et déplacement avec dossier d’état ; aucune épidémie en simulation hors règles réellement choisies.</x:v>
      </x:c>
      <x:c r="H108" s="7" t="str">
        <x:v>Suivre patient et déplacement avec dossier d’état ; aucune épidémie en simulation hors règles réellement choisies.</x:v>
      </x:c>
      <x:c r="I108" s="7" t="str">
        <x:v>Infirmerie, navette et traces.</x:v>
      </x:c>
      <x:c r="J108" s="7" t="str">
        <x:v>Transitions de caméra et d’interface interruptibles ; aucun délai d’animation ne doit consommer une décision encore ouverte.</x:v>
      </x:c>
      <x:c r="K108" s="7" t="str">
        <x:v>Créer des bruitages et ambiances originaux adaptés au livrable ; sous-titrer les indices utiles et proposer un réglage indépendant des effets. Aucune extraction audio demandée.</x:v>
      </x:c>
      <x:c r="L108" s="7" t="str">
        <x:v>Prévu : fiche de données mea/side_quests/nexus-contagion ; rattacher les ressources et états cités à cet identifiant. Aucun fichier de jeu créé par ce catalogue.</x:v>
      </x:c>
      <x:c r="M108" s="7" t="str"/>
      <x:c r="N108" s="7" t="str">
        <x:v>Le livrable « Contagion » possède une scène ou un scénario de contrôle ; ses règles proposées, ses conditions et ses retours visuels sont vérifiables séparément.</x:v>
      </x:c>
      <x:c r="O108" s="7" t="str"/>
      <x:c r="P108" s="7" t="str">
        <x:v>Contagion</x:v>
      </x:c>
      <x:c r="Q108" s="7" t="str">
        <x:v>MEA-SRC-MISSIONS</x:v>
      </x:c>
      <x:c r="R108" s="7" t="str">
        <x:v>https://masseffect.fandom.com/wiki/Missions_%28Mass_Effect%3A_Andromeda%29</x:v>
      </x:c>
      <x:c r="S108" s="7" t="str">
        <x:v>Spécification à réaliser. Les champs adaptation, gameplay, visual, animation, audio et implementation décrivent le fan game ; ils ne donnent pas des caractéristiques officielles de l’œuvre.</x:v>
      </x:c>
    </x:row>
    <x:row r="109" ht="68" customHeight="1">
      <x:c r="A109" s="18" t="str">
        <x:v>MEA-SQ-NEXUS-DRAGONS</x:v>
      </x:c>
      <x:c r="B109" s="9" t="str">
        <x:v>Sleeping Dragons</x:v>
      </x:c>
      <x:c r="C109" s="15" t="str">
        <x:v>Défini</x:v>
      </x:c>
      <x:c r="D109" s="16" t="str">
        <x:v>Établi</x:v>
      </x:c>
      <x:c r="E109" s="16" t="str">
        <x:v>P1</x:v>
      </x:c>
      <x:c r="F109" s="9" t="str">
        <x:v>Conflit de cryostase.</x:v>
      </x:c>
      <x:c r="G109" s="9" t="str">
        <x:v>Entretien collectif et décision de réveil ; afficher personnes concernées sans transformer morale en score Paragon/Renegade.</x:v>
      </x:c>
      <x:c r="H109" s="9" t="str">
        <x:v>Entretien collectif et décision de réveil ; afficher personnes concernées sans transformer morale en score Paragon/Renegade.</x:v>
      </x:c>
      <x:c r="I109" s="9" t="str">
        <x:v>Zone de protestation et pods.</x:v>
      </x:c>
      <x:c r="J109" s="9" t="str">
        <x:v>Transitions de caméra et d’interface interruptibles ; aucun délai d’animation ne doit consommer une décision encore ouverte.</x:v>
      </x:c>
      <x:c r="K109" s="9" t="str">
        <x:v>Créer des bruitages et ambiances originaux adaptés au livrable ; sous-titrer les indices utiles et proposer un réglage indépendant des effets. Aucune extraction audio demandée.</x:v>
      </x:c>
      <x:c r="L109" s="9" t="str">
        <x:v>Prévu : fiche de données mea/side_quests/nexus-dragons ; rattacher les ressources et états cités à cet identifiant. Aucun fichier de jeu créé par ce catalogue.</x:v>
      </x:c>
      <x:c r="M109" s="9" t="str"/>
      <x:c r="N109" s="9" t="str">
        <x:v>Le livrable « Sleeping Dragons » possède une scène ou un scénario de contrôle ; ses règles proposées, ses conditions et ses retours visuels sont vérifiables séparément.</x:v>
      </x:c>
      <x:c r="O109" s="9" t="str"/>
      <x:c r="P109" s="9" t="str">
        <x:v>Sleeping Dragons</x:v>
      </x:c>
      <x:c r="Q109" s="9" t="str">
        <x:v>MEA-SRC-DRAGONS</x:v>
      </x:c>
      <x:c r="R109" s="9" t="str">
        <x:v>https://masseffect.fandom.com/wiki/Sleeping_Dragons</x:v>
      </x:c>
      <x:c r="S109" s="9" t="str">
        <x:v>Spécification à réaliser. Les champs adaptation, gameplay, visual, animation, audio et implementation décrivent le fan game ; ils ne donnent pas des caractéristiques officielles de l’œuvre.</x:v>
      </x:c>
    </x:row>
    <x:row r="110" ht="68" customHeight="1">
      <x:c r="A110" s="19" t="str">
        <x:v>MEA-SQ-NEXUS-SABOTAGE</x:v>
      </x:c>
      <x:c r="B110" s="7" t="str">
        <x:v>Station Sabotage</x:v>
      </x:c>
      <x:c r="C110" s="15" t="str">
        <x:v>Défini</x:v>
      </x:c>
      <x:c r="D110" s="17" t="str">
        <x:v>Établi</x:v>
      </x:c>
      <x:c r="E110" s="17" t="str">
        <x:v>P1</x:v>
      </x:c>
      <x:c r="F110" s="7" t="str">
        <x:v>Enquête technique du Nexus.</x:v>
      </x:c>
      <x:c r="G110" s="7" t="str">
        <x:v>Scanner composants puis interroger ; sélectionner preuves avant accusation pour éviter validation involontaire.</x:v>
      </x:c>
      <x:c r="H110" s="7" t="str">
        <x:v>Scanner composants puis interroger ; sélectionner preuves avant accusation pour éviter validation involontaire.</x:v>
      </x:c>
      <x:c r="I110" s="7" t="str">
        <x:v>Conduites, consoles et traces d’énergie.</x:v>
      </x:c>
      <x:c r="J110" s="7" t="str">
        <x:v>Transitions de caméra et d’interface interruptibles ; aucun délai d’animation ne doit consommer une décision encore ouverte.</x:v>
      </x:c>
      <x:c r="K110" s="7" t="str">
        <x:v>Créer des bruitages et ambiances originaux adaptés au livrable ; sous-titrer les indices utiles et proposer un réglage indépendant des effets. Aucune extraction audio demandée.</x:v>
      </x:c>
      <x:c r="L110" s="7" t="str">
        <x:v>Prévu : fiche de données mea/side_quests/nexus-sabotage ; rattacher les ressources et états cités à cet identifiant. Aucun fichier de jeu créé par ce catalogue.</x:v>
      </x:c>
      <x:c r="M110" s="7" t="str"/>
      <x:c r="N110" s="7" t="str">
        <x:v>Le livrable « Station Sabotage » possède une scène ou un scénario de contrôle ; ses règles proposées, ses conditions et ses retours visuels sont vérifiables séparément.</x:v>
      </x:c>
      <x:c r="O110" s="7" t="str"/>
      <x:c r="P110" s="7" t="str">
        <x:v>Station Sabotage</x:v>
      </x:c>
      <x:c r="Q110" s="7" t="str">
        <x:v>MEA-SRC-MISSIONS</x:v>
      </x:c>
      <x:c r="R110" s="7" t="str">
        <x:v>https://masseffect.fandom.com/wiki/Missions_%28Mass_Effect%3A_Andromeda%29</x:v>
      </x:c>
      <x:c r="S110" s="7" t="str">
        <x:v>Spécification à réaliser. Les champs adaptation, gameplay, visual, animation, audio et implementation décrivent le fan game ; ils ne donnent pas des caractéristiques officielles de l’œuvre.</x:v>
      </x:c>
    </x:row>
    <x:row r="111" ht="68" customHeight="1">
      <x:c r="A111" s="18" t="str">
        <x:v>MEA-SQ-NEXUS-FIREFIGHT</x:v>
      </x:c>
      <x:c r="B111" s="9" t="str">
        <x:v>The Firefighters</x:v>
      </x:c>
      <x:c r="C111" s="15" t="str">
        <x:v>Défini</x:v>
      </x:c>
      <x:c r="D111" s="16" t="str">
        <x:v>Établi</x:v>
      </x:c>
      <x:c r="E111" s="16" t="str">
        <x:v>P1</x:v>
      </x:c>
      <x:c r="F111" s="9" t="str">
        <x:v>Mission liée à SAM.</x:v>
      </x:c>
      <x:c r="G111" s="9" t="str">
        <x:v>Enquête d’opposition à l’IA, infiltration et résolution ; capacités désactivées affichées si scénario les retire.</x:v>
      </x:c>
      <x:c r="H111" s="9" t="str">
        <x:v>Enquête d’opposition à l’IA, infiltration et résolution ; capacités désactivées affichées si scénario les retire.</x:v>
      </x:c>
      <x:c r="I111" s="9" t="str">
        <x:v>Signal informatique et installation.</x:v>
      </x:c>
      <x:c r="J111" s="9" t="str">
        <x:v>Transitions de caméra et d’interface interruptibles ; aucun délai d’animation ne doit consommer une décision encore ouverte.</x:v>
      </x:c>
      <x:c r="K111" s="9" t="str">
        <x:v>Créer des bruitages et ambiances originaux adaptés au livrable ; sous-titrer les indices utiles et proposer un réglage indépendant des effets. Aucune extraction audio demandée.</x:v>
      </x:c>
      <x:c r="L111" s="9" t="str">
        <x:v>Prévu : fiche de données mea/side_quests/nexus-firefight ; rattacher les ressources et états cités à cet identifiant. Aucun fichier de jeu créé par ce catalogue.</x:v>
      </x:c>
      <x:c r="M111" s="9" t="str"/>
      <x:c r="N111" s="9" t="str">
        <x:v>Le livrable « The Firefighters » possède une scène ou un scénario de contrôle ; ses règles proposées, ses conditions et ses retours visuels sont vérifiables séparément.</x:v>
      </x:c>
      <x:c r="O111" s="9" t="str"/>
      <x:c r="P111" s="9" t="str">
        <x:v>The Firefighters</x:v>
      </x:c>
      <x:c r="Q111" s="9" t="str">
        <x:v>MEA-SRC-MISSIONS</x:v>
      </x:c>
      <x:c r="R111" s="9" t="str">
        <x:v>https://masseffect.fandom.com/wiki/Missions_%28Mass_Effect%3A_Andromeda%29</x:v>
      </x:c>
      <x:c r="S111" s="9" t="str">
        <x:v>Spécification à réaliser. Les champs adaptation, gameplay, visual, animation, audio et implementation décrivent le fan game ; ils ne donnent pas des caractéristiques officielles de l’œuvre.</x:v>
      </x:c>
    </x:row>
    <x:row r="112" ht="68" customHeight="1">
      <x:c r="A112" s="19" t="str">
        <x:v>MEA-SQ-NEXUS-FRONTIER</x:v>
      </x:c>
      <x:c r="B112" s="7" t="str">
        <x:v>Life on the Frontier</x:v>
      </x:c>
      <x:c r="C112" s="15" t="str">
        <x:v>Défini</x:v>
      </x:c>
      <x:c r="D112" s="17" t="str">
        <x:v>Établi</x:v>
      </x:c>
      <x:c r="E112" s="17" t="str">
        <x:v>P1</x:v>
      </x:c>
      <x:c r="F112" s="7" t="str">
        <x:v>Mission de disparitions et exilés.</x:v>
      </x:c>
      <x:c r="G112" s="7" t="str">
        <x:v>Comparer témoignages avec dossiers de personnel ; distinguer volontaires et victimes dans le journal.</x:v>
      </x:c>
      <x:c r="H112" s="7" t="str">
        <x:v>Comparer témoignages avec dossiers de personnel ; distinguer volontaires et victimes dans le journal.</x:v>
      </x:c>
      <x:c r="I112" s="7" t="str">
        <x:v>Bureaux, camps et communications.</x:v>
      </x:c>
      <x:c r="J112" s="7" t="str">
        <x:v>Transitions de caméra et d’interface interruptibles ; aucun délai d’animation ne doit consommer une décision encore ouverte.</x:v>
      </x:c>
      <x:c r="K112" s="7" t="str">
        <x:v>Créer des bruitages et ambiances originaux adaptés au livrable ; sous-titrer les indices utiles et proposer un réglage indépendant des effets. Aucune extraction audio demandée.</x:v>
      </x:c>
      <x:c r="L112" s="7" t="str">
        <x:v>Prévu : fiche de données mea/side_quests/nexus-frontier ; rattacher les ressources et états cités à cet identifiant. Aucun fichier de jeu créé par ce catalogue.</x:v>
      </x:c>
      <x:c r="M112" s="7" t="str"/>
      <x:c r="N112" s="7" t="str">
        <x:v>Le livrable « Life on the Frontier » possède une scène ou un scénario de contrôle ; ses règles proposées, ses conditions et ses retours visuels sont vérifiables séparément.</x:v>
      </x:c>
      <x:c r="O112" s="7" t="str"/>
      <x:c r="P112" s="7" t="str">
        <x:v>Life on the Frontier</x:v>
      </x:c>
      <x:c r="Q112" s="7" t="str">
        <x:v>MEA-SRC-MISSIONS</x:v>
      </x:c>
      <x:c r="R112" s="7" t="str">
        <x:v>https://masseffect.fandom.com/wiki/Missions_%28Mass_Effect%3A_Andromeda%29</x:v>
      </x:c>
      <x:c r="S112" s="7" t="str">
        <x:v>Spécification à réaliser. Les champs adaptation, gameplay, visual, animation, audio et implementation décrivent le fan game ; ils ne donnent pas des caractéristiques officielles de l’œuvre.</x:v>
      </x:c>
    </x:row>
    <x:row r="113" ht="68" customHeight="1">
      <x:c r="A113" s="18" t="str">
        <x:v>MEA-SQ-NEXUS-APEX</x:v>
      </x:c>
      <x:c r="B113" s="9" t="str">
        <x:v>Aid APEX</x:v>
      </x:c>
      <x:c r="C113" s="15" t="str">
        <x:v>Défini</x:v>
      </x:c>
      <x:c r="D113" s="16" t="str">
        <x:v>Établi</x:v>
      </x:c>
      <x:c r="E113" s="16" t="str">
        <x:v>P1</x:v>
      </x:c>
      <x:c r="F113" s="9" t="str">
        <x:v>Mission de soutien aux forces APEX.</x:v>
      </x:c>
      <x:c r="G113" s="9" t="str">
        <x:v>Présenter alternative d’équipes d’intervention ; ne pas forcer connexion multi pour progresser la campagne.</x:v>
      </x:c>
      <x:c r="H113" s="9" t="str">
        <x:v>Présenter alternative d’équipes d’intervention ; ne pas forcer connexion multi pour progresser la campagne.</x:v>
      </x:c>
      <x:c r="I113" s="9" t="str">
        <x:v>Table de missions et badges de groupe.</x:v>
      </x:c>
      <x:c r="J113" s="9" t="str">
        <x:v>Transitions de caméra et d’interface interruptibles ; aucun délai d’animation ne doit consommer une décision encore ouverte.</x:v>
      </x:c>
      <x:c r="K113" s="9" t="str">
        <x:v>Créer des bruitages et ambiances originaux adaptés au livrable ; sous-titrer les indices utiles et proposer un réglage indépendant des effets. Aucune extraction audio demandée.</x:v>
      </x:c>
      <x:c r="L113" s="9" t="str">
        <x:v>Prévu : fiche de données mea/side_quests/nexus-apex ; rattacher les ressources et états cités à cet identifiant. Aucun fichier de jeu créé par ce catalogue.</x:v>
      </x:c>
      <x:c r="M113" s="9" t="str"/>
      <x:c r="N113" s="9" t="str">
        <x:v>Le livrable « Aid APEX » possède une scène ou un scénario de contrôle ; ses règles proposées, ses conditions et ses retours visuels sont vérifiables séparément.</x:v>
      </x:c>
      <x:c r="O113" s="9" t="str"/>
      <x:c r="P113" s="9" t="str">
        <x:v>Aid APEX</x:v>
      </x:c>
      <x:c r="Q113" s="9" t="str">
        <x:v>MEA-SRC-MISSIONS, MEA-SRC-MP</x:v>
      </x:c>
      <x:c r="R113" s="9" t="str">
        <x:v>https://masseffect.fandom.com/wiki/Missions_%28Mass_Effect%3A_Andromeda%29
https://masseffect.fandom.com/wiki/Mass_Effect%3A_Andromeda_Multiplayer</x:v>
      </x:c>
      <x:c r="S113" s="9" t="str">
        <x:v>Spécification à réaliser. Les champs adaptation, gameplay, visual, animation, audio et implementation décrivent le fan game ; ils ne donnent pas des caractéristiques officielles de l’œuvre.</x:v>
      </x:c>
    </x:row>
    <x:row r="114" ht="68" customHeight="1">
      <x:c r="A114" s="19" t="str">
        <x:v>MEA-SQ-TEMPEST-PYJAK</x:v>
      </x:c>
      <x:c r="B114" s="7" t="str">
        <x:v>Monkeys in Space</x:v>
      </x:c>
      <x:c r="C114" s="15" t="str">
        <x:v>Défini</x:v>
      </x:c>
      <x:c r="D114" s="17" t="str">
        <x:v>Établi</x:v>
      </x:c>
      <x:c r="E114" s="17" t="str">
        <x:v>P1</x:v>
      </x:c>
      <x:c r="F114" s="7" t="str">
        <x:v>Mission de pyjak de l’édition Deluxe.</x:v>
      </x:c>
      <x:c r="G114" s="7" t="str">
        <x:v>Livraison et présence de l’animal à bord ; aucune stat de combat ou compagnon sélectionnable inventé.</x:v>
      </x:c>
      <x:c r="H114" s="7" t="str">
        <x:v>Livraison et présence de l’animal à bord ; aucune stat de combat ou compagnon sélectionnable inventé.</x:v>
      </x:c>
      <x:c r="I114" s="7" t="str">
        <x:v>Petit pyjak et caisse de transport.</x:v>
      </x:c>
      <x:c r="J114" s="7" t="str">
        <x:v>Transitions de caméra et d’interface interruptibles ; aucun délai d’animation ne doit consommer une décision encore ouverte.</x:v>
      </x:c>
      <x:c r="K114" s="7" t="str">
        <x:v>Créer des bruitages et ambiances originaux adaptés au livrable ; sous-titrer les indices utiles et proposer un réglage indépendant des effets. Aucune extraction audio demandée.</x:v>
      </x:c>
      <x:c r="L114" s="7" t="str">
        <x:v>Prévu : fiche de données mea/side_quests/tempest-pyjak ; rattacher les ressources et états cités à cet identifiant. Aucun fichier de jeu créé par ce catalogue.</x:v>
      </x:c>
      <x:c r="M114" s="7" t="str">
        <x:v>Deluxe / contenu correspondant.</x:v>
      </x:c>
      <x:c r="N114" s="7" t="str">
        <x:v>Le livrable « Monkeys in Space » possède une scène ou un scénario de contrôle ; ses règles proposées, ses conditions et ses retours visuels sont vérifiables séparément.</x:v>
      </x:c>
      <x:c r="O114" s="7" t="str"/>
      <x:c r="P114" s="7" t="str">
        <x:v>Monkeys in Space</x:v>
      </x:c>
      <x:c r="Q114" s="7" t="str">
        <x:v>MEA-SRC-EA-DELUXE, MEA-SRC-TEMPEST-PAGE</x:v>
      </x:c>
      <x:c r="R114" s="7" t="str">
        <x:v>https://store.steampowered.com/app/1238000/Mass_EffectAndromeda/
https://masseffect.fandom.com/wiki/Tempest</x:v>
      </x:c>
      <x:c r="S114" s="7" t="str">
        <x:v>Spécification à réaliser. Les champs adaptation, gameplay, visual, animation, audio et implementation décrivent le fan game ; ils ne donnent pas des caractéristiques officielles de l’œuvre.</x:v>
      </x:c>
    </x:row>
    <x:row r="115" ht="68" customHeight="1">
      <x:c r="A115" s="18" t="str">
        <x:v>MEA-SQ-TEMPEST-VISITOR</x:v>
      </x:c>
      <x:c r="B115" s="9" t="str">
        <x:v>The Visitor</x:v>
      </x:c>
      <x:c r="C115" s="15" t="str">
        <x:v>Défini</x:v>
      </x:c>
      <x:c r="D115" s="16" t="str">
        <x:v>Établi</x:v>
      </x:c>
      <x:c r="E115" s="16" t="str">
        <x:v>P1</x:v>
      </x:c>
      <x:c r="F115" s="9" t="str">
        <x:v>Mission de présence inattendue.</x:v>
      </x:c>
      <x:c r="G115" s="9" t="str">
        <x:v>Recherche dans le vaisseau et choix de traitement ; interaction ne bloque pas le chemin de l’équipage.</x:v>
      </x:c>
      <x:c r="H115" s="9" t="str">
        <x:v>Recherche dans le vaisseau et choix de traitement ; interaction ne bloque pas le chemin de l’équipage.</x:v>
      </x:c>
      <x:c r="I115" s="9" t="str">
        <x:v>Recoin du Tempest et créature.</x:v>
      </x:c>
      <x:c r="J115" s="9" t="str">
        <x:v>Transitions de caméra et d’interface interruptibles ; aucun délai d’animation ne doit consommer une décision encore ouverte.</x:v>
      </x:c>
      <x:c r="K115" s="9" t="str">
        <x:v>Créer des bruitages et ambiances originaux adaptés au livrable ; sous-titrer les indices utiles et proposer un réglage indépendant des effets. Aucune extraction audio demandée.</x:v>
      </x:c>
      <x:c r="L115" s="9" t="str">
        <x:v>Prévu : fiche de données mea/side_quests/tempest-visitor ; rattacher les ressources et états cités à cet identifiant. Aucun fichier de jeu créé par ce catalogue.</x:v>
      </x:c>
      <x:c r="M115" s="9" t="str"/>
      <x:c r="N115" s="9" t="str">
        <x:v>Le livrable « The Visitor » possède une scène ou un scénario de contrôle ; ses règles proposées, ses conditions et ses retours visuels sont vérifiables séparément.</x:v>
      </x:c>
      <x:c r="O115" s="9" t="str"/>
      <x:c r="P115" s="9" t="str">
        <x:v>The Visitor</x:v>
      </x:c>
      <x:c r="Q115" s="9" t="str">
        <x:v>MEA-SRC-TEMPEST-PAGE</x:v>
      </x:c>
      <x:c r="R115" s="9" t="str">
        <x:v>https://masseffect.fandom.com/wiki/Tempest</x:v>
      </x:c>
      <x:c r="S115" s="9" t="str">
        <x:v>Spécification à réaliser. Les champs adaptation, gameplay, visual, animation, audio et implementation décrivent le fan game ; ils ne donnent pas des caractéristiques officielles de l’œuvre.</x:v>
      </x:c>
    </x:row>
    <x:row r="116" ht="68" customHeight="1">
      <x:c r="A116" s="19" t="str">
        <x:v>MEA-SQ-TEMPEST-BAGGAGE</x:v>
      </x:c>
      <x:c r="B116" s="7" t="str">
        <x:v>Excess Baggage</x:v>
      </x:c>
      <x:c r="C116" s="15" t="str">
        <x:v>Défini</x:v>
      </x:c>
      <x:c r="D116" s="17" t="str">
        <x:v>Établi</x:v>
      </x:c>
      <x:c r="E116" s="17" t="str">
        <x:v>P1</x:v>
      </x:c>
      <x:c r="F116" s="7" t="str">
        <x:v>Mission du Tempest.</x:v>
      </x:c>
      <x:c r="G116" s="7" t="str">
        <x:v>Examiner fret et dialogue responsable ; validateur ne vend pas un objet requis au marchand.</x:v>
      </x:c>
      <x:c r="H116" s="7" t="str">
        <x:v>Examiner fret et dialogue responsable ; validateur ne vend pas un objet requis au marchand.</x:v>
      </x:c>
      <x:c r="I116" s="7" t="str">
        <x:v>Soute et cargaison.</x:v>
      </x:c>
      <x:c r="J116" s="7" t="str">
        <x:v>Transitions de caméra et d’interface interruptibles ; aucun délai d’animation ne doit consommer une décision encore ouverte.</x:v>
      </x:c>
      <x:c r="K116" s="7" t="str">
        <x:v>Créer des bruitages et ambiances originaux adaptés au livrable ; sous-titrer les indices utiles et proposer un réglage indépendant des effets. Aucune extraction audio demandée.</x:v>
      </x:c>
      <x:c r="L116" s="7" t="str">
        <x:v>Prévu : fiche de données mea/side_quests/tempest-baggage ; rattacher les ressources et états cités à cet identifiant. Aucun fichier de jeu créé par ce catalogue.</x:v>
      </x:c>
      <x:c r="M116" s="7" t="str"/>
      <x:c r="N116" s="7" t="str">
        <x:v>Le livrable « Excess Baggage » possède une scène ou un scénario de contrôle ; ses règles proposées, ses conditions et ses retours visuels sont vérifiables séparément.</x:v>
      </x:c>
      <x:c r="O116" s="7" t="str"/>
      <x:c r="P116" s="7" t="str">
        <x:v>Excess Baggage</x:v>
      </x:c>
      <x:c r="Q116" s="7" t="str">
        <x:v>MEA-SRC-TEMPEST-PAGE</x:v>
      </x:c>
      <x:c r="R116" s="7" t="str">
        <x:v>https://masseffect.fandom.com/wiki/Tempest</x:v>
      </x:c>
      <x:c r="S116" s="7" t="str">
        <x:v>Spécification à réaliser. Les champs adaptation, gameplay, visual, animation, audio et implementation décrivent le fan game ; ils ne donnent pas des caractéristiques officielles de l’œuvre.</x:v>
      </x:c>
    </x:row>
    <x:row r="117" ht="68" customHeight="1">
      <x:c r="A117" s="18" t="str">
        <x:v>MEA-SQ-TASK-NAMING</x:v>
      </x:c>
      <x:c r="B117" s="9" t="str">
        <x:v>Task: Naming the Dead</x:v>
      </x:c>
      <x:c r="C117" s="15" t="str">
        <x:v>Défini</x:v>
      </x:c>
      <x:c r="D117" s="16" t="str">
        <x:v>Établi</x:v>
      </x:c>
      <x:c r="E117" s="16" t="str">
        <x:v>P1</x:v>
      </x:c>
      <x:c r="F117" s="9" t="str">
        <x:v>Tâche d’Eos.</x:v>
      </x:c>
      <x:c r="G117" s="9" t="str">
        <x:v>Identifier les personnes par scan avec liste consultable ; ne pas les réduire à des ressources anonymes.</x:v>
      </x:c>
      <x:c r="H117" s="9" t="str">
        <x:v>Identifier les personnes par scan avec liste consultable ; ne pas les réduire à des ressources anonymes.</x:v>
      </x:c>
      <x:c r="I117" s="9" t="str">
        <x:v>Balise mémorielle et scanner.</x:v>
      </x:c>
      <x:c r="J117" s="9" t="str">
        <x:v>Transitions de caméra et d’interface interruptibles ; aucun délai d’animation ne doit consommer une décision encore ouverte.</x:v>
      </x:c>
      <x:c r="K117" s="9" t="str">
        <x:v>Créer des bruitages et ambiances originaux adaptés au livrable ; sous-titrer les indices utiles et proposer un réglage indépendant des effets. Aucune extraction audio demandée.</x:v>
      </x:c>
      <x:c r="L117" s="9" t="str">
        <x:v>Prévu : fiche de données mea/side_quests/task-naming ; rattacher les ressources et états cités à cet identifiant. Aucun fichier de jeu créé par ce catalogue.</x:v>
      </x:c>
      <x:c r="M117" s="9" t="str"/>
      <x:c r="N117" s="9" t="str">
        <x:v>Le livrable « Task: Naming the Dead » possède une scène ou un scénario de contrôle ; ses règles proposées, ses conditions et ses retours visuels sont vérifiables séparément.</x:v>
      </x:c>
      <x:c r="O117" s="9" t="str"/>
      <x:c r="P117" s="9" t="str">
        <x:v>Task: Naming the Dead</x:v>
      </x:c>
      <x:c r="Q117" s="9" t="str">
        <x:v>MEA-SRC-MISSIONS</x:v>
      </x:c>
      <x:c r="R117" s="9" t="str">
        <x:v>https://masseffect.fandom.com/wiki/Missions_%28Mass_Effect%3A_Andromeda%29</x:v>
      </x:c>
      <x:c r="S117" s="9" t="str">
        <x:v>Spécification à réaliser. Les champs adaptation, gameplay, visual, animation, audio et implementation décrivent le fan game ; ils ne donnent pas des caractéristiques officielles de l’œuvre.</x:v>
      </x:c>
    </x:row>
    <x:row r="118" ht="68" customHeight="1">
      <x:c r="A118" s="19" t="str">
        <x:v>MEA-SQ-TASK-GHOST</x:v>
      </x:c>
      <x:c r="B118" s="7" t="str">
        <x:v>Task: The Ghost of Promise</x:v>
      </x:c>
      <x:c r="C118" s="15" t="str">
        <x:v>Défini</x:v>
      </x:c>
      <x:c r="D118" s="17" t="str">
        <x:v>Établi</x:v>
      </x:c>
      <x:c r="E118" s="17" t="str">
        <x:v>P1</x:v>
      </x:c>
      <x:c r="F118" s="7" t="str">
        <x:v>Tâche d’Eos.</x:v>
      </x:c>
      <x:c r="G118" s="7" t="str">
        <x:v>Enregistrements dispersés suivis par identifiants ; replay d’un log n’incrémente pas une collecte.</x:v>
      </x:c>
      <x:c r="H118" s="7" t="str">
        <x:v>Enregistrements dispersés suivis par identifiants ; replay d’un log n’incrémente pas une collecte.</x:v>
      </x:c>
      <x:c r="I118" s="7" t="str">
        <x:v>Journaux de colonie et écran d’écoute.</x:v>
      </x:c>
      <x:c r="J118" s="7" t="str">
        <x:v>Transitions de caméra et d’interface interruptibles ; aucun délai d’animation ne doit consommer une décision encore ouverte.</x:v>
      </x:c>
      <x:c r="K118" s="7" t="str">
        <x:v>Créer des bruitages et ambiances originaux adaptés au livrable ; sous-titrer les indices utiles et proposer un réglage indépendant des effets. Aucune extraction audio demandée.</x:v>
      </x:c>
      <x:c r="L118" s="7" t="str">
        <x:v>Prévu : fiche de données mea/side_quests/task-ghost ; rattacher les ressources et états cités à cet identifiant. Aucun fichier de jeu créé par ce catalogue.</x:v>
      </x:c>
      <x:c r="M118" s="7" t="str"/>
      <x:c r="N118" s="7" t="str">
        <x:v>Le livrable « Task: The Ghost of Promise » possède une scène ou un scénario de contrôle ; ses règles proposées, ses conditions et ses retours visuels sont vérifiables séparément.</x:v>
      </x:c>
      <x:c r="O118" s="7" t="str"/>
      <x:c r="P118" s="7" t="str">
        <x:v>Task: The Ghost of Promise</x:v>
      </x:c>
      <x:c r="Q118" s="7" t="str">
        <x:v>MEA-SRC-MISSIONS</x:v>
      </x:c>
      <x:c r="R118" s="7" t="str">
        <x:v>https://masseffect.fandom.com/wiki/Missions_%28Mass_Effect%3A_Andromeda%29</x:v>
      </x:c>
      <x:c r="S118" s="7" t="str">
        <x:v>Spécification à réaliser. Les champs adaptation, gameplay, visual, animation, audio et implementation décrivent le fan game ; ils ne donnent pas des caractéristiques officielles de l’œuvre.</x:v>
      </x:c>
    </x:row>
    <x:row r="119" ht="68" customHeight="1">
      <x:c r="A119" s="18" t="str">
        <x:v>MEA-SQ-TASK-DRONE</x:v>
      </x:c>
      <x:c r="B119" s="9" t="str">
        <x:v>Task: Drone Recovery</x:v>
      </x:c>
      <x:c r="C119" s="15" t="str">
        <x:v>Défini</x:v>
      </x:c>
      <x:c r="D119" s="16" t="str">
        <x:v>Établi</x:v>
      </x:c>
      <x:c r="E119" s="16" t="str">
        <x:v>P1</x:v>
      </x:c>
      <x:c r="F119" s="9" t="str">
        <x:v>Tâche d’Eos.</x:v>
      </x:c>
      <x:c r="G119" s="9" t="str">
        <x:v>Repérer drones, sécuriser puis récupérer données ; distinguer carcasse décorative et objectif actif.</x:v>
      </x:c>
      <x:c r="H119" s="9" t="str">
        <x:v>Repérer drones, sécuriser puis récupérer données ; distinguer carcasse décorative et objectif actif.</x:v>
      </x:c>
      <x:c r="I119" s="9" t="str">
        <x:v>Drones au sol et halo de scan.</x:v>
      </x:c>
      <x:c r="J119" s="9" t="str">
        <x:v>Transitions de caméra et d’interface interruptibles ; aucun délai d’animation ne doit consommer une décision encore ouverte.</x:v>
      </x:c>
      <x:c r="K119" s="9" t="str">
        <x:v>Créer des bruitages et ambiances originaux adaptés au livrable ; sous-titrer les indices utiles et proposer un réglage indépendant des effets. Aucune extraction audio demandée.</x:v>
      </x:c>
      <x:c r="L119" s="9" t="str">
        <x:v>Prévu : fiche de données mea/side_quests/task-drone ; rattacher les ressources et états cités à cet identifiant. Aucun fichier de jeu créé par ce catalogue.</x:v>
      </x:c>
      <x:c r="M119" s="9" t="str"/>
      <x:c r="N119" s="9" t="str">
        <x:v>Le livrable « Task: Drone Recovery » possède une scène ou un scénario de contrôle ; ses règles proposées, ses conditions et ses retours visuels sont vérifiables séparément.</x:v>
      </x:c>
      <x:c r="O119" s="9" t="str"/>
      <x:c r="P119" s="9" t="str">
        <x:v>Task: Drone Recovery</x:v>
      </x:c>
      <x:c r="Q119" s="9" t="str">
        <x:v>MEA-SRC-MISSIONS</x:v>
      </x:c>
      <x:c r="R119" s="9" t="str">
        <x:v>https://masseffect.fandom.com/wiki/Missions_%28Mass_Effect%3A_Andromeda%29</x:v>
      </x:c>
      <x:c r="S119" s="9" t="str">
        <x:v>Spécification à réaliser. Les champs adaptation, gameplay, visual, animation, audio et implementation décrivent le fan game ; ils ne donnent pas des caractéristiques officielles de l’œuvre.</x:v>
      </x:c>
    </x:row>
    <x:row r="120" ht="68" customHeight="1">
      <x:c r="A120" s="19" t="str">
        <x:v>MEA-SQ-TASK-REMCORES</x:v>
      </x:c>
      <x:c r="B120" s="7" t="str">
        <x:v>Task: Remnant Data Cores</x:v>
      </x:c>
      <x:c r="C120" s="15" t="str">
        <x:v>Défini</x:v>
      </x:c>
      <x:c r="D120" s="17" t="str">
        <x:v>Établi</x:v>
      </x:c>
      <x:c r="E120" s="17" t="str">
        <x:v>P1</x:v>
      </x:c>
      <x:c r="F120" s="7" t="str">
        <x:v>Tâche de technologie reliquate.</x:v>
      </x:c>
      <x:c r="G120" s="7" t="str">
        <x:v>Objets rares suivis par lieu avec prévention de vente ; couverture explicitement non exhaustive des caches.</x:v>
      </x:c>
      <x:c r="H120" s="7" t="str">
        <x:v>Objets rares suivis par lieu avec prévention de vente ; couverture explicitement non exhaustive des caches.</x:v>
      </x:c>
      <x:c r="I120" s="7" t="str">
        <x:v>Noyaux reliquats et liste de collecte.</x:v>
      </x:c>
      <x:c r="J120" s="7" t="str">
        <x:v>Transitions de caméra et d’interface interruptibles ; aucun délai d’animation ne doit consommer une décision encore ouverte.</x:v>
      </x:c>
      <x:c r="K120" s="7" t="str">
        <x:v>Créer des bruitages et ambiances originaux adaptés au livrable ; sous-titrer les indices utiles et proposer un réglage indépendant des effets. Aucune extraction audio demandée.</x:v>
      </x:c>
      <x:c r="L120" s="7" t="str">
        <x:v>Prévu : fiche de données mea/side_quests/task-remcores ; rattacher les ressources et états cités à cet identifiant. Aucun fichier de jeu créé par ce catalogue.</x:v>
      </x:c>
      <x:c r="M120" s="7" t="str"/>
      <x:c r="N120" s="7" t="str">
        <x:v>Le livrable « Task: Remnant Data Cores » possède une scène ou un scénario de contrôle ; ses règles proposées, ses conditions et ses retours visuels sont vérifiables séparément.</x:v>
      </x:c>
      <x:c r="O120" s="7" t="str"/>
      <x:c r="P120" s="7" t="str">
        <x:v>Task: Remnant Data Cores</x:v>
      </x:c>
      <x:c r="Q120" s="7" t="str">
        <x:v>MEA-SRC-MISSIONS</x:v>
      </x:c>
      <x:c r="R120" s="7" t="str">
        <x:v>https://masseffect.fandom.com/wiki/Missions_%28Mass_Effect%3A_Andromeda%29</x:v>
      </x:c>
      <x:c r="S120" s="7" t="str">
        <x:v>Spécification à réaliser. Les champs adaptation, gameplay, visual, animation, audio et implementation décrivent le fan game ; ils ne donnent pas des caractéristiques officielles de l’œuvre.</x:v>
      </x:c>
    </x:row>
    <x:row r="121" ht="68" customHeight="1">
      <x:c r="A121" s="18" t="str">
        <x:v>MEA-SQ-TASK-SUPPLY</x:v>
      </x:c>
      <x:c r="B121" s="9" t="str">
        <x:v>Task: Supply Loss and Recovery</x:v>
      </x:c>
      <x:c r="C121" s="15" t="str">
        <x:v>Défini</x:v>
      </x:c>
      <x:c r="D121" s="16" t="str">
        <x:v>Établi</x:v>
      </x:c>
      <x:c r="E121" s="16" t="str">
        <x:v>P1</x:v>
      </x:c>
      <x:c r="F121" s="9" t="str">
        <x:v>Tâche d’Eos.</x:v>
      </x:c>
      <x:c r="G121" s="9" t="str">
        <x:v>Récupération de ravitaillement avec routes de retour et contrôle de volume ; pas de caisse dupliquée au chargement.</x:v>
      </x:c>
      <x:c r="H121" s="9" t="str">
        <x:v>Récupération de ravitaillement avec routes de retour et contrôle de volume ; pas de caisse dupliquée au chargement.</x:v>
      </x:c>
      <x:c r="I121" s="9" t="str">
        <x:v>Caisse Initiative et marque de destination.</x:v>
      </x:c>
      <x:c r="J121" s="9" t="str">
        <x:v>Transitions de caméra et d’interface interruptibles ; aucun délai d’animation ne doit consommer une décision encore ouverte.</x:v>
      </x:c>
      <x:c r="K121" s="9" t="str">
        <x:v>Créer des bruitages et ambiances originaux adaptés au livrable ; sous-titrer les indices utiles et proposer un réglage indépendant des effets. Aucune extraction audio demandée.</x:v>
      </x:c>
      <x:c r="L121" s="9" t="str">
        <x:v>Prévu : fiche de données mea/side_quests/task-supply ; rattacher les ressources et états cités à cet identifiant. Aucun fichier de jeu créé par ce catalogue.</x:v>
      </x:c>
      <x:c r="M121" s="9" t="str"/>
      <x:c r="N121" s="9" t="str">
        <x:v>Le livrable « Task: Supply Loss and Recovery » possède une scène ou un scénario de contrôle ; ses règles proposées, ses conditions et ses retours visuels sont vérifiables séparément.</x:v>
      </x:c>
      <x:c r="O121" s="9" t="str"/>
      <x:c r="P121" s="9" t="str">
        <x:v>Task: Supply Loss and Recovery</x:v>
      </x:c>
      <x:c r="Q121" s="9" t="str">
        <x:v>MEA-SRC-MISSIONS</x:v>
      </x:c>
      <x:c r="R121" s="9" t="str">
        <x:v>https://masseffect.fandom.com/wiki/Missions_%28Mass_Effect%3A_Andromeda%29</x:v>
      </x:c>
      <x:c r="S121" s="9" t="str">
        <x:v>Spécification à réaliser. Les champs adaptation, gameplay, visual, animation, audio et implementation décrivent le fan game ; ils ne donnent pas des caractéristiques officielles de l’œuvre.</x:v>
      </x:c>
    </x:row>
    <x:row r="122" ht="68" customHeight="1">
      <x:c r="A122" s="19" t="str">
        <x:v>MEA-SQ-TASK-ROEKAAR</x:v>
      </x:c>
      <x:c r="B122" s="7" t="str">
        <x:v>Task: Roekaar Manifestos</x:v>
      </x:c>
      <x:c r="C122" s="15" t="str">
        <x:v>Défini</x:v>
      </x:c>
      <x:c r="D122" s="17" t="str">
        <x:v>Établi</x:v>
      </x:c>
      <x:c r="E122" s="17" t="str">
        <x:v>P1</x:v>
      </x:c>
      <x:c r="F122" s="7" t="str">
        <x:v>Tâche de Havarl.</x:v>
      </x:c>
      <x:c r="G122" s="7" t="str">
        <x:v>Collecter documents et synthétiser brièvement ; ne pas copier manifestes intégraux ni uniformiser tous les angara.</x:v>
      </x:c>
      <x:c r="H122" s="7" t="str">
        <x:v>Collecter documents et synthétiser brièvement ; ne pas copier manifestes intégraux ni uniformiser tous les angara.</x:v>
      </x:c>
      <x:c r="I122" s="7" t="str">
        <x:v>Supports écrits et icône de dossier.</x:v>
      </x:c>
      <x:c r="J122" s="7" t="str">
        <x:v>Transitions de caméra et d’interface interruptibles ; aucun délai d’animation ne doit consommer une décision encore ouverte.</x:v>
      </x:c>
      <x:c r="K122" s="7" t="str">
        <x:v>Créer des bruitages et ambiances originaux adaptés au livrable ; sous-titrer les indices utiles et proposer un réglage indépendant des effets. Aucune extraction audio demandée.</x:v>
      </x:c>
      <x:c r="L122" s="7" t="str">
        <x:v>Prévu : fiche de données mea/side_quests/task-roekaar ; rattacher les ressources et états cités à cet identifiant. Aucun fichier de jeu créé par ce catalogue.</x:v>
      </x:c>
      <x:c r="M122" s="7" t="str"/>
      <x:c r="N122" s="7" t="str">
        <x:v>Le livrable « Task: Roekaar Manifestos » possède une scène ou un scénario de contrôle ; ses règles proposées, ses conditions et ses retours visuels sont vérifiables séparément.</x:v>
      </x:c>
      <x:c r="O122" s="7" t="str"/>
      <x:c r="P122" s="7" t="str">
        <x:v>Task: Roekaar Manifestos</x:v>
      </x:c>
      <x:c r="Q122" s="7" t="str">
        <x:v>MEA-SRC-MISSIONS</x:v>
      </x:c>
      <x:c r="R122" s="7" t="str">
        <x:v>https://masseffect.fandom.com/wiki/Missions_%28Mass_Effect%3A_Andromeda%29</x:v>
      </x:c>
      <x:c r="S122" s="7" t="str">
        <x:v>Spécification à réaliser. Les champs adaptation, gameplay, visual, animation, audio et implementation décrivent le fan game ; ils ne donnent pas des caractéristiques officielles de l’œuvre.</x:v>
      </x:c>
    </x:row>
    <x:row r="123" ht="68" customHeight="1">
      <x:c r="A123" s="18" t="str">
        <x:v>MEA-SQ-TASK-TURIAN</x:v>
      </x:c>
      <x:c r="B123" s="9" t="str">
        <x:v>Task: Turian Salvage</x:v>
      </x:c>
      <x:c r="C123" s="15" t="str">
        <x:v>Défini</x:v>
      </x:c>
      <x:c r="D123" s="16" t="str">
        <x:v>Établi</x:v>
      </x:c>
      <x:c r="E123" s="16" t="str">
        <x:v>P1</x:v>
      </x:c>
      <x:c r="F123" s="9" t="str">
        <x:v>Tâche de Havarl.</x:v>
      </x:c>
      <x:c r="G123" s="9" t="str">
        <x:v>Pièces de rescapés turiens à scan lisible sous végétation ; route indépendante du choix d’Avitus.</x:v>
      </x:c>
      <x:c r="H123" s="9" t="str">
        <x:v>Pièces de rescapés turiens à scan lisible sous végétation ; route indépendante du choix d’Avitus.</x:v>
      </x:c>
      <x:c r="I123" s="9" t="str">
        <x:v>Épaves et matériel turien.</x:v>
      </x:c>
      <x:c r="J123" s="9" t="str">
        <x:v>Transitions de caméra et d’interface interruptibles ; aucun délai d’animation ne doit consommer une décision encore ouverte.</x:v>
      </x:c>
      <x:c r="K123" s="9" t="str">
        <x:v>Créer des bruitages et ambiances originaux adaptés au livrable ; sous-titrer les indices utiles et proposer un réglage indépendant des effets. Aucune extraction audio demandée.</x:v>
      </x:c>
      <x:c r="L123" s="9" t="str">
        <x:v>Prévu : fiche de données mea/side_quests/task-turian ; rattacher les ressources et états cités à cet identifiant. Aucun fichier de jeu créé par ce catalogue.</x:v>
      </x:c>
      <x:c r="M123" s="9" t="str"/>
      <x:c r="N123" s="9" t="str">
        <x:v>Le livrable « Task: Turian Salvage » possède une scène ou un scénario de contrôle ; ses règles proposées, ses conditions et ses retours visuels sont vérifiables séparément.</x:v>
      </x:c>
      <x:c r="O123" s="9" t="str"/>
      <x:c r="P123" s="9" t="str">
        <x:v>Task: Turian Salvage</x:v>
      </x:c>
      <x:c r="Q123" s="9" t="str">
        <x:v>MEA-SRC-MISSIONS</x:v>
      </x:c>
      <x:c r="R123" s="9" t="str">
        <x:v>https://masseffect.fandom.com/wiki/Missions_%28Mass_Effect%3A_Andromeda%29</x:v>
      </x:c>
      <x:c r="S123" s="9" t="str">
        <x:v>Spécification à réaliser. Les champs adaptation, gameplay, visual, animation, audio et implementation décrivent le fan game ; ils ne donnent pas des caractéristiques officielles de l’œuvre.</x:v>
      </x:c>
    </x:row>
    <x:row r="124" ht="68" customHeight="1">
      <x:c r="A124" s="19" t="str">
        <x:v>MEA-SQ-TASK-UNEARTHED</x:v>
      </x:c>
      <x:c r="B124" s="7" t="str">
        <x:v>Task: Unearthed</x:v>
      </x:c>
      <x:c r="C124" s="15" t="str">
        <x:v>Défini</x:v>
      </x:c>
      <x:c r="D124" s="17" t="str">
        <x:v>Établi</x:v>
      </x:c>
      <x:c r="E124" s="17" t="str">
        <x:v>P1</x:v>
      </x:c>
      <x:c r="F124" s="7" t="str">
        <x:v>Tâche de Havarl.</x:v>
      </x:c>
      <x:c r="G124" s="7" t="str">
        <x:v>Repérer objets enfouis avec carte de proximité accessible ; terrain ne nécessite pas de pixel hunt.</x:v>
      </x:c>
      <x:c r="H124" s="7" t="str">
        <x:v>Repérer objets enfouis avec carte de proximité accessible ; terrain ne nécessite pas de pixel hunt.</x:v>
      </x:c>
      <x:c r="I124" s="7" t="str">
        <x:v>Sol de jungle et reliques.</x:v>
      </x:c>
      <x:c r="J124" s="7" t="str">
        <x:v>Transitions de caméra et d’interface interruptibles ; aucun délai d’animation ne doit consommer une décision encore ouverte.</x:v>
      </x:c>
      <x:c r="K124" s="7" t="str">
        <x:v>Créer des bruitages et ambiances originaux adaptés au livrable ; sous-titrer les indices utiles et proposer un réglage indépendant des effets. Aucune extraction audio demandée.</x:v>
      </x:c>
      <x:c r="L124" s="7" t="str">
        <x:v>Prévu : fiche de données mea/side_quests/task-unearthed ; rattacher les ressources et états cités à cet identifiant. Aucun fichier de jeu créé par ce catalogue.</x:v>
      </x:c>
      <x:c r="M124" s="7" t="str"/>
      <x:c r="N124" s="7" t="str">
        <x:v>Le livrable « Task: Unearthed » possède une scène ou un scénario de contrôle ; ses règles proposées, ses conditions et ses retours visuels sont vérifiables séparément.</x:v>
      </x:c>
      <x:c r="O124" s="7" t="str"/>
      <x:c r="P124" s="7" t="str">
        <x:v>Task: Unearthed</x:v>
      </x:c>
      <x:c r="Q124" s="7" t="str">
        <x:v>MEA-SRC-MISSIONS</x:v>
      </x:c>
      <x:c r="R124" s="7" t="str">
        <x:v>https://masseffect.fandom.com/wiki/Missions_%28Mass_Effect%3A_Andromeda%29</x:v>
      </x:c>
      <x:c r="S124" s="7" t="str">
        <x:v>Spécification à réaliser. Les champs adaptation, gameplay, visual, animation, audio et implementation décrivent le fan game ; ils ne donnent pas des caractéristiques officielles de l’œuvre.</x:v>
      </x:c>
    </x:row>
    <x:row r="125" ht="68" customHeight="1">
      <x:c r="A125" s="18" t="str">
        <x:v>MEA-SQ-TASK-WHITED</x:v>
      </x:c>
      <x:c r="B125" s="9" t="str">
        <x:v>Task: White Death</x:v>
      </x:c>
      <x:c r="C125" s="15" t="str">
        <x:v>Défini</x:v>
      </x:c>
      <x:c r="D125" s="16" t="str">
        <x:v>Établi</x:v>
      </x:c>
      <x:c r="E125" s="16" t="str">
        <x:v>P1</x:v>
      </x:c>
      <x:c r="F125" s="9" t="str">
        <x:v>Tâche de Voeld.</x:v>
      </x:c>
      <x:c r="G125" s="9" t="str">
        <x:v>Traquer une menace spécifique à partir d’indices ; météo ne masque pas sa signalisation d’arrivée.</x:v>
      </x:c>
      <x:c r="H125" s="9" t="str">
        <x:v>Traquer une menace spécifique à partir d’indices ; météo ne masque pas sa signalisation d’arrivée.</x:v>
      </x:c>
      <x:c r="I125" s="9" t="str">
        <x:v>Neige, traces et cible signalée.</x:v>
      </x:c>
      <x:c r="J125" s="9" t="str">
        <x:v>Transitions de caméra et d’interface interruptibles ; aucun délai d’animation ne doit consommer une décision encore ouverte.</x:v>
      </x:c>
      <x:c r="K125" s="9" t="str">
        <x:v>Créer des bruitages et ambiances originaux adaptés au livrable ; sous-titrer les indices utiles et proposer un réglage indépendant des effets. Aucune extraction audio demandée.</x:v>
      </x:c>
      <x:c r="L125" s="9" t="str">
        <x:v>Prévu : fiche de données mea/side_quests/task-whited ; rattacher les ressources et états cités à cet identifiant. Aucun fichier de jeu créé par ce catalogue.</x:v>
      </x:c>
      <x:c r="M125" s="9" t="str"/>
      <x:c r="N125" s="9" t="str">
        <x:v>Le livrable « Task: White Death » possède une scène ou un scénario de contrôle ; ses règles proposées, ses conditions et ses retours visuels sont vérifiables séparément.</x:v>
      </x:c>
      <x:c r="O125" s="9" t="str"/>
      <x:c r="P125" s="9" t="str">
        <x:v>Task: White Death</x:v>
      </x:c>
      <x:c r="Q125" s="9" t="str">
        <x:v>MEA-SRC-MISSIONS</x:v>
      </x:c>
      <x:c r="R125" s="9" t="str">
        <x:v>https://masseffect.fandom.com/wiki/Missions_%28Mass_Effect%3A_Andromeda%29</x:v>
      </x:c>
      <x:c r="S125" s="9" t="str">
        <x:v>Spécification à réaliser. Les champs adaptation, gameplay, visual, animation, audio et implementation décrivent le fan game ; ils ne donnent pas des caractéristiques officielles de l’œuvre.</x:v>
      </x:c>
    </x:row>
    <x:row r="126" ht="68" customHeight="1">
      <x:c r="A126" s="19" t="str">
        <x:v>MEA-SQ-TASK-NOMAD</x:v>
      </x:c>
      <x:c r="B126" s="7" t="str">
        <x:v>Task: Nomad Shield Crafting</x:v>
      </x:c>
      <x:c r="C126" s="15" t="str">
        <x:v>Défini</x:v>
      </x:c>
      <x:c r="D126" s="17" t="str">
        <x:v>Établi</x:v>
      </x:c>
      <x:c r="E126" s="17" t="str">
        <x:v>P1</x:v>
      </x:c>
      <x:c r="F126" s="7" t="str">
        <x:v>Tâche de fabrication.</x:v>
      </x:c>
      <x:c r="G126" s="7" t="str">
        <x:v>Recherche, matériaux et fabrication validés séparément ; améliorer véhicule ne modifie pas bouclier de Ryder.</x:v>
      </x:c>
      <x:c r="H126" s="7" t="str">
        <x:v>Recherche, matériaux et fabrication validés séparément ; améliorer véhicule ne modifie pas bouclier de Ryder.</x:v>
      </x:c>
      <x:c r="I126" s="7" t="str">
        <x:v>Atelier de véhicule et module.</x:v>
      </x:c>
      <x:c r="J126" s="7" t="str">
        <x:v>Transitions de caméra et d’interface interruptibles ; aucun délai d’animation ne doit consommer une décision encore ouverte.</x:v>
      </x:c>
      <x:c r="K126" s="7" t="str">
        <x:v>Créer des bruitages et ambiances originaux adaptés au livrable ; sous-titrer les indices utiles et proposer un réglage indépendant des effets. Aucune extraction audio demandée.</x:v>
      </x:c>
      <x:c r="L126" s="7" t="str">
        <x:v>Prévu : fiche de données mea/side_quests/task-nomad ; rattacher les ressources et états cités à cet identifiant. Aucun fichier de jeu créé par ce catalogue.</x:v>
      </x:c>
      <x:c r="M126" s="7" t="str"/>
      <x:c r="N126" s="7" t="str">
        <x:v>Le livrable « Task: Nomad Shield Crafting » possède une scène ou un scénario de contrôle ; ses règles proposées, ses conditions et ses retours visuels sont vérifiables séparément.</x:v>
      </x:c>
      <x:c r="O126" s="7" t="str"/>
      <x:c r="P126" s="7" t="str">
        <x:v>Task: Nomad Shield Crafting</x:v>
      </x:c>
      <x:c r="Q126" s="7" t="str">
        <x:v>MEA-SRC-MISSIONS</x:v>
      </x:c>
      <x:c r="R126" s="7" t="str">
        <x:v>https://masseffect.fandom.com/wiki/Missions_%28Mass_Effect%3A_Andromeda%29</x:v>
      </x:c>
      <x:c r="S126" s="7" t="str">
        <x:v>Spécification à réaliser. Les champs adaptation, gameplay, visual, animation, audio et implementation décrivent le fan game ; ils ne donnent pas des caractéristiques officielles de l’œuvre.</x:v>
      </x:c>
    </x:row>
    <x:row r="127" ht="68" customHeight="1">
      <x:c r="A127" s="18" t="str">
        <x:v>MEA-SQ-TASK-CLEAR</x:v>
      </x:c>
      <x:c r="B127" s="9" t="str">
        <x:v>Task: Clearing the Air</x:v>
      </x:c>
      <x:c r="C127" s="15" t="str">
        <x:v>Défini</x:v>
      </x:c>
      <x:c r="D127" s="16" t="str">
        <x:v>Établi</x:v>
      </x:c>
      <x:c r="E127" s="16" t="str">
        <x:v>P1</x:v>
      </x:c>
      <x:c r="F127" s="9" t="str">
        <x:v>Tâche de Voeld.</x:v>
      </x:c>
      <x:c r="G127" s="9" t="str">
        <x:v>Repérer dispositif adverse et le neutraliser ; retour d’état du réseau visible sans répéter l’opération.</x:v>
      </x:c>
      <x:c r="H127" s="9" t="str">
        <x:v>Repérer dispositif adverse et le neutraliser ; retour d’état du réseau visible sans répéter l’opération.</x:v>
      </x:c>
      <x:c r="I127" s="9" t="str">
        <x:v>Antenne et icône de signal.</x:v>
      </x:c>
      <x:c r="J127" s="9" t="str">
        <x:v>Transitions de caméra et d’interface interruptibles ; aucun délai d’animation ne doit consommer une décision encore ouverte.</x:v>
      </x:c>
      <x:c r="K127" s="9" t="str">
        <x:v>Créer des bruitages et ambiances originaux adaptés au livrable ; sous-titrer les indices utiles et proposer un réglage indépendant des effets. Aucune extraction audio demandée.</x:v>
      </x:c>
      <x:c r="L127" s="9" t="str">
        <x:v>Prévu : fiche de données mea/side_quests/task-clear ; rattacher les ressources et états cités à cet identifiant. Aucun fichier de jeu créé par ce catalogue.</x:v>
      </x:c>
      <x:c r="M127" s="9" t="str"/>
      <x:c r="N127" s="9" t="str">
        <x:v>Le livrable « Task: Clearing the Air » possède une scène ou un scénario de contrôle ; ses règles proposées, ses conditions et ses retours visuels sont vérifiables séparément.</x:v>
      </x:c>
      <x:c r="O127" s="9" t="str"/>
      <x:c r="P127" s="9" t="str">
        <x:v>Task: Clearing the Air</x:v>
      </x:c>
      <x:c r="Q127" s="9" t="str">
        <x:v>MEA-SRC-MISSIONS</x:v>
      </x:c>
      <x:c r="R127" s="9" t="str">
        <x:v>https://masseffect.fandom.com/wiki/Missions_%28Mass_Effect%3A_Andromeda%29</x:v>
      </x:c>
      <x:c r="S127" s="9" t="str">
        <x:v>Spécification à réaliser. Les champs adaptation, gameplay, visual, animation, audio et implementation décrivent le fan game ; ils ne donnent pas des caractéristiques officielles de l’œuvre.</x:v>
      </x:c>
    </x:row>
    <x:row r="128" ht="68" customHeight="1">
      <x:c r="A128" s="19" t="str">
        <x:v>MEA-SQ-TASK-EMBEZZLE</x:v>
      </x:c>
      <x:c r="B128" s="7" t="str">
        <x:v>Task: Investigating Embezzlement</x:v>
      </x:c>
      <x:c r="C128" s="15" t="str">
        <x:v>Défini</x:v>
      </x:c>
      <x:c r="D128" s="17" t="str">
        <x:v>Établi</x:v>
      </x:c>
      <x:c r="E128" s="17" t="str">
        <x:v>P1</x:v>
      </x:c>
      <x:c r="F128" s="7" t="str">
        <x:v>Tâche d’enquête Nexus.</x:v>
      </x:c>
      <x:c r="G128" s="7" t="str">
        <x:v>Comparer comptes et témoignages ; un achat du joueur ne compte pas comme preuve de détournement.</x:v>
      </x:c>
      <x:c r="H128" s="7" t="str">
        <x:v>Comparer comptes et témoignages ; un achat du joueur ne compte pas comme preuve de détournement.</x:v>
      </x:c>
      <x:c r="I128" s="7" t="str">
        <x:v>Registre et lignes surlignées.</x:v>
      </x:c>
      <x:c r="J128" s="7" t="str">
        <x:v>Transitions de caméra et d’interface interruptibles ; aucun délai d’animation ne doit consommer une décision encore ouverte.</x:v>
      </x:c>
      <x:c r="K128" s="7" t="str">
        <x:v>Créer des bruitages et ambiances originaux adaptés au livrable ; sous-titrer les indices utiles et proposer un réglage indépendant des effets. Aucune extraction audio demandée.</x:v>
      </x:c>
      <x:c r="L128" s="7" t="str">
        <x:v>Prévu : fiche de données mea/side_quests/task-embezzle ; rattacher les ressources et états cités à cet identifiant. Aucun fichier de jeu créé par ce catalogue.</x:v>
      </x:c>
      <x:c r="M128" s="7" t="str"/>
      <x:c r="N128" s="7" t="str">
        <x:v>Le livrable « Task: Investigating Embezzlement » possède une scène ou un scénario de contrôle ; ses règles proposées, ses conditions et ses retours visuels sont vérifiables séparément.</x:v>
      </x:c>
      <x:c r="O128" s="7" t="str"/>
      <x:c r="P128" s="7" t="str">
        <x:v>Task: Investigating Embezzlement</x:v>
      </x:c>
      <x:c r="Q128" s="7" t="str">
        <x:v>MEA-SRC-MISSIONS</x:v>
      </x:c>
      <x:c r="R128" s="7" t="str">
        <x:v>https://masseffect.fandom.com/wiki/Missions_%28Mass_Effect%3A_Andromeda%29</x:v>
      </x:c>
      <x:c r="S128" s="7" t="str">
        <x:v>Spécification à réaliser. Les champs adaptation, gameplay, visual, animation, audio et implementation décrivent le fan game ; ils ne donnent pas des caractéristiques officielles de l’œuvre.</x:v>
      </x:c>
    </x:row>
    <x:row r="129" ht="68" customHeight="1">
      <x:c r="A129" s="18" t="str">
        <x:v>MEA-SQ-TASK-ALIEN</x:v>
      </x:c>
      <x:c r="B129" s="9" t="str">
        <x:v>Task: Comparatively Alien</x:v>
      </x:c>
      <x:c r="C129" s="15" t="str">
        <x:v>Défini</x:v>
      </x:c>
      <x:c r="D129" s="16" t="str">
        <x:v>Établi</x:v>
      </x:c>
      <x:c r="E129" s="16" t="str">
        <x:v>P1</x:v>
      </x:c>
      <x:c r="F129" s="9" t="str">
        <x:v>Tâche de recherche.</x:v>
      </x:c>
      <x:c r="G129" s="9" t="str">
        <x:v>Scans de vie avec catégorie demandée et indicateur déjà étudié ; récompense de science indépendante de tuer le sujet.</x:v>
      </x:c>
      <x:c r="H129" s="9" t="str">
        <x:v>Scans de vie avec catégorie demandée et indicateur déjà étudié ; récompense de science indépendante de tuer le sujet.</x:v>
      </x:c>
      <x:c r="I129" s="9" t="str">
        <x:v>Scanner et silhouettes de faune.</x:v>
      </x:c>
      <x:c r="J129" s="9" t="str">
        <x:v>Transitions de caméra et d’interface interruptibles ; aucun délai d’animation ne doit consommer une décision encore ouverte.</x:v>
      </x:c>
      <x:c r="K129" s="9" t="str">
        <x:v>Créer des bruitages et ambiances originaux adaptés au livrable ; sous-titrer les indices utiles et proposer un réglage indépendant des effets. Aucune extraction audio demandée.</x:v>
      </x:c>
      <x:c r="L129" s="9" t="str">
        <x:v>Prévu : fiche de données mea/side_quests/task-alien ; rattacher les ressources et états cités à cet identifiant. Aucun fichier de jeu créé par ce catalogue.</x:v>
      </x:c>
      <x:c r="M129" s="9" t="str"/>
      <x:c r="N129" s="9" t="str">
        <x:v>Le livrable « Task: Comparatively Alien » possède une scène ou un scénario de contrôle ; ses règles proposées, ses conditions et ses retours visuels sont vérifiables séparément.</x:v>
      </x:c>
      <x:c r="O129" s="9" t="str"/>
      <x:c r="P129" s="9" t="str">
        <x:v>Task: Comparatively Alien</x:v>
      </x:c>
      <x:c r="Q129" s="9" t="str">
        <x:v>MEA-SRC-ALIEN-TASK</x:v>
      </x:c>
      <x:c r="R129" s="9" t="str">
        <x:v>https://masseffect.fandom.com/wiki/Task%3A_Comparatively_Alien</x:v>
      </x:c>
      <x:c r="S129" s="9" t="str">
        <x:v>Spécification à réaliser. Les champs adaptation, gameplay, visual, animation, audio et implementation décrivent le fan game ; ils ne donnent pas des caractéristiques officielles de l’œuvre.</x:v>
      </x:c>
    </x:row>
    <x:row r="130" ht="68" customHeight="1">
      <x:c r="A130" s="19" t="str">
        <x:v>MEA-SQ-TASK-FLOWER</x:v>
      </x:c>
      <x:c r="B130" s="7" t="str">
        <x:v>Task: A Flower for Kesh</x:v>
      </x:c>
      <x:c r="C130" s="15" t="str">
        <x:v>Défini</x:v>
      </x:c>
      <x:c r="D130" s="17" t="str">
        <x:v>Établi</x:v>
      </x:c>
      <x:c r="E130" s="17" t="str">
        <x:v>P1</x:v>
      </x:c>
      <x:c r="F130" s="7" t="str">
        <x:v>Tâche personnelle krogan.</x:v>
      </x:c>
      <x:c r="G130" s="7" t="str">
        <x:v>Objet unique avec destinataire affiché ; remise et conversation affective sans mécanisme de romance joueur ajouté.</x:v>
      </x:c>
      <x:c r="H130" s="7" t="str">
        <x:v>Objet unique avec destinataire affiché ; remise et conversation affective sans mécanisme de romance joueur ajouté.</x:v>
      </x:c>
      <x:c r="I130" s="7" t="str">
        <x:v>Fleur et portrait de Kesh.</x:v>
      </x:c>
      <x:c r="J130" s="7" t="str">
        <x:v>Transitions de caméra et d’interface interruptibles ; aucun délai d’animation ne doit consommer une décision encore ouverte.</x:v>
      </x:c>
      <x:c r="K130" s="7" t="str">
        <x:v>Créer des bruitages et ambiances originaux adaptés au livrable ; sous-titrer les indices utiles et proposer un réglage indépendant des effets. Aucune extraction audio demandée.</x:v>
      </x:c>
      <x:c r="L130" s="7" t="str">
        <x:v>Prévu : fiche de données mea/side_quests/task-flower ; rattacher les ressources et états cités à cet identifiant. Aucun fichier de jeu créé par ce catalogue.</x:v>
      </x:c>
      <x:c r="M130" s="7" t="str"/>
      <x:c r="N130" s="7" t="str">
        <x:v>Le livrable « Task: A Flower for Kesh » possède une scène ou un scénario de contrôle ; ses règles proposées, ses conditions et ses retours visuels sont vérifiables séparément.</x:v>
      </x:c>
      <x:c r="O130" s="7" t="str"/>
      <x:c r="P130" s="7" t="str">
        <x:v>Task: A Flower for Kesh</x:v>
      </x:c>
      <x:c r="Q130" s="7" t="str">
        <x:v>MEA-SRC-MISSIONS</x:v>
      </x:c>
      <x:c r="R130" s="7" t="str">
        <x:v>https://masseffect.fandom.com/wiki/Missions_%28Mass_Effect%3A_Andromeda%29</x:v>
      </x:c>
      <x:c r="S130" s="7" t="str">
        <x:v>Spécification à réaliser. Les champs adaptation, gameplay, visual, animation, audio et implementation décrivent le fan game ; ils ne donnent pas des caractéristiques officielles de l’œuvre.</x:v>
      </x:c>
    </x:row>
    <x:row r="131" ht="68" customHeight="1">
      <x:c r="A131" s="18" t="str">
        <x:v>MEA-SQ-TASK-DATATRAIL</x:v>
      </x:c>
      <x:c r="B131" s="9" t="str">
        <x:v>Task: Data Trail</x:v>
      </x:c>
      <x:c r="C131" s="15" t="str">
        <x:v>Défini</x:v>
      </x:c>
      <x:c r="D131" s="16" t="str">
        <x:v>Établi</x:v>
      </x:c>
      <x:c r="E131" s="16" t="str">
        <x:v>P1</x:v>
      </x:c>
      <x:c r="F131" s="9" t="str">
        <x:v>Tâche d’Eos.</x:v>
      </x:c>
      <x:c r="G131" s="9" t="str">
        <x:v>Suivre traces de données par étapes distinctes ; indices peuvent être relus hors zone dangereuse.</x:v>
      </x:c>
      <x:c r="H131" s="9" t="str">
        <x:v>Suivre traces de données par étapes distinctes ; indices peuvent être relus hors zone dangereuse.</x:v>
      </x:c>
      <x:c r="I131" s="9" t="str">
        <x:v>Flux orange et terminal.</x:v>
      </x:c>
      <x:c r="J131" s="9" t="str">
        <x:v>Transitions de caméra et d’interface interruptibles ; aucun délai d’animation ne doit consommer une décision encore ouverte.</x:v>
      </x:c>
      <x:c r="K131" s="9" t="str">
        <x:v>Créer des bruitages et ambiances originaux adaptés au livrable ; sous-titrer les indices utiles et proposer un réglage indépendant des effets. Aucune extraction audio demandée.</x:v>
      </x:c>
      <x:c r="L131" s="9" t="str">
        <x:v>Prévu : fiche de données mea/side_quests/task-datatrail ; rattacher les ressources et états cités à cet identifiant. Aucun fichier de jeu créé par ce catalogue.</x:v>
      </x:c>
      <x:c r="M131" s="9" t="str"/>
      <x:c r="N131" s="9" t="str">
        <x:v>Le livrable « Task: Data Trail » possède une scène ou un scénario de contrôle ; ses règles proposées, ses conditions et ses retours visuels sont vérifiables séparément.</x:v>
      </x:c>
      <x:c r="O131" s="9" t="str"/>
      <x:c r="P131" s="9" t="str">
        <x:v>Task: Data Trail</x:v>
      </x:c>
      <x:c r="Q131" s="9" t="str">
        <x:v>MEA-SRC-MISSIONS</x:v>
      </x:c>
      <x:c r="R131" s="9" t="str">
        <x:v>https://masseffect.fandom.com/wiki/Missions_%28Mass_Effect%3A_Andromeda%29</x:v>
      </x:c>
      <x:c r="S131" s="9" t="str">
        <x:v>Spécification à réaliser. Les champs adaptation, gameplay, visual, animation, audio et implementation décrivent le fan game ; ils ne donnent pas des caractéristiques officielles de l’œuvre.</x:v>
      </x:c>
    </x:row>
    <x:row r="132" ht="68" customHeight="1">
      <x:c r="A132" s="19" t="str">
        <x:v>MEA-SQ-TASK-LAWS</x:v>
      </x:c>
      <x:c r="B132" s="7" t="str">
        <x:v>Task: Laws and Customs</x:v>
      </x:c>
      <x:c r="C132" s="15" t="str">
        <x:v>Défini</x:v>
      </x:c>
      <x:c r="D132" s="17" t="str">
        <x:v>Établi</x:v>
      </x:c>
      <x:c r="E132" s="17" t="str">
        <x:v>P1</x:v>
      </x:c>
      <x:c r="F132" s="7" t="str">
        <x:v>Tâche d’Aya.</x:v>
      </x:c>
      <x:c r="G132" s="7" t="str">
        <x:v>Dialogue d’apprentissage culturel ; réponses de journal décrivent les usages sans règle universelle inventée.</x:v>
      </x:c>
      <x:c r="H132" s="7" t="str">
        <x:v>Dialogue d’apprentissage culturel ; réponses de journal décrivent les usages sans règle universelle inventée.</x:v>
      </x:c>
      <x:c r="I132" s="7" t="str">
        <x:v>Interlocuteur angara et carnet.</x:v>
      </x:c>
      <x:c r="J132" s="7" t="str">
        <x:v>Transitions de caméra et d’interface interruptibles ; aucun délai d’animation ne doit consommer une décision encore ouverte.</x:v>
      </x:c>
      <x:c r="K132" s="7" t="str">
        <x:v>Créer des bruitages et ambiances originaux adaptés au livrable ; sous-titrer les indices utiles et proposer un réglage indépendant des effets. Aucune extraction audio demandée.</x:v>
      </x:c>
      <x:c r="L132" s="7" t="str">
        <x:v>Prévu : fiche de données mea/side_quests/task-laws ; rattacher les ressources et états cités à cet identifiant. Aucun fichier de jeu créé par ce catalogue.</x:v>
      </x:c>
      <x:c r="M132" s="7" t="str"/>
      <x:c r="N132" s="7" t="str">
        <x:v>Le livrable « Task: Laws and Customs » possède une scène ou un scénario de contrôle ; ses règles proposées, ses conditions et ses retours visuels sont vérifiables séparément.</x:v>
      </x:c>
      <x:c r="O132" s="7" t="str"/>
      <x:c r="P132" s="7" t="str">
        <x:v>Task: Laws and Customs</x:v>
      </x:c>
      <x:c r="Q132" s="7" t="str">
        <x:v>MEA-SRC-MISSIONS</x:v>
      </x:c>
      <x:c r="R132" s="7" t="str">
        <x:v>https://masseffect.fandom.com/wiki/Missions_%28Mass_Effect%3A_Andromeda%29</x:v>
      </x:c>
      <x:c r="S132" s="7" t="str">
        <x:v>Spécification à réaliser. Les champs adaptation, gameplay, visual, animation, audio et implementation décrivent le fan game ; ils ne donnent pas des caractéristiques officielles de l’œuvre.</x:v>
      </x:c>
    </x:row>
    <x:row r="133" ht="68" customHeight="1">
      <x:c r="A133" s="18" t="str">
        <x:v>MEA-SQ-TASK-CUISINE</x:v>
      </x:c>
      <x:c r="B133" s="9" t="str">
        <x:v>Task: Local Cuisine</x:v>
      </x:c>
      <x:c r="C133" s="15" t="str">
        <x:v>Défini</x:v>
      </x:c>
      <x:c r="D133" s="16" t="str">
        <x:v>Établi</x:v>
      </x:c>
      <x:c r="E133" s="16" t="str">
        <x:v>P1</x:v>
      </x:c>
      <x:c r="F133" s="9" t="str">
        <x:v>Tâche d’Aya.</x:v>
      </x:c>
      <x:c r="G133" s="9" t="str">
        <x:v>Échange culinaire court ; nourriture reste objet culturel et non soin magique sans étiquette d’adaptation.</x:v>
      </x:c>
      <x:c r="H133" s="9" t="str">
        <x:v>Échange culinaire court ; nourriture reste objet culturel et non soin magique sans étiquette d’adaptation.</x:v>
      </x:c>
      <x:c r="I133" s="9" t="str">
        <x:v>Marché et plat local.</x:v>
      </x:c>
      <x:c r="J133" s="9" t="str">
        <x:v>Transitions de caméra et d’interface interruptibles ; aucun délai d’animation ne doit consommer une décision encore ouverte.</x:v>
      </x:c>
      <x:c r="K133" s="9" t="str">
        <x:v>Créer des bruitages et ambiances originaux adaptés au livrable ; sous-titrer les indices utiles et proposer un réglage indépendant des effets. Aucune extraction audio demandée.</x:v>
      </x:c>
      <x:c r="L133" s="9" t="str">
        <x:v>Prévu : fiche de données mea/side_quests/task-cuisine ; rattacher les ressources et états cités à cet identifiant. Aucun fichier de jeu créé par ce catalogue.</x:v>
      </x:c>
      <x:c r="M133" s="9" t="str"/>
      <x:c r="N133" s="9" t="str">
        <x:v>Le livrable « Task: Local Cuisine » possède une scène ou un scénario de contrôle ; ses règles proposées, ses conditions et ses retours visuels sont vérifiables séparément.</x:v>
      </x:c>
      <x:c r="O133" s="9" t="str"/>
      <x:c r="P133" s="9" t="str">
        <x:v>Task: Local Cuisine</x:v>
      </x:c>
      <x:c r="Q133" s="9" t="str">
        <x:v>MEA-SRC-MISSIONS</x:v>
      </x:c>
      <x:c r="R133" s="9" t="str">
        <x:v>https://masseffect.fandom.com/wiki/Missions_%28Mass_Effect%3A_Andromeda%29</x:v>
      </x:c>
      <x:c r="S133" s="9" t="str">
        <x:v>Spécification à réaliser. Les champs adaptation, gameplay, visual, animation, audio et implementation décrivent le fan game ; ils ne donnent pas des caractéristiques officielles de l’œuvre.</x:v>
      </x:c>
    </x:row>
    <x:row r="134" ht="68" customHeight="1">
      <x:c r="A134" s="19" t="str">
        <x:v>MEA-SQ-TASK-TEST</x:v>
      </x:c>
      <x:c r="B134" s="7" t="str">
        <x:v>Task: Test Subject</x:v>
      </x:c>
      <x:c r="C134" s="15" t="str">
        <x:v>Défini</x:v>
      </x:c>
      <x:c r="D134" s="17" t="str">
        <x:v>Établi</x:v>
      </x:c>
      <x:c r="E134" s="17" t="str">
        <x:v>P1</x:v>
      </x:c>
      <x:c r="F134" s="7" t="str">
        <x:v>Tâche d’Aya.</x:v>
      </x:c>
      <x:c r="G134" s="7" t="str">
        <x:v>Expérience avec consentement explicite de Ryder ; résultats de quête et statistiques proposées séparés.</x:v>
      </x:c>
      <x:c r="H134" s="7" t="str">
        <x:v>Expérience avec consentement explicite de Ryder ; résultats de quête et statistiques proposées séparés.</x:v>
      </x:c>
      <x:c r="I134" s="7" t="str">
        <x:v>Appareil scientifique et chaise.</x:v>
      </x:c>
      <x:c r="J134" s="7" t="str">
        <x:v>Transitions de caméra et d’interface interruptibles ; aucun délai d’animation ne doit consommer une décision encore ouverte.</x:v>
      </x:c>
      <x:c r="K134" s="7" t="str">
        <x:v>Créer des bruitages et ambiances originaux adaptés au livrable ; sous-titrer les indices utiles et proposer un réglage indépendant des effets. Aucune extraction audio demandée.</x:v>
      </x:c>
      <x:c r="L134" s="7" t="str">
        <x:v>Prévu : fiche de données mea/side_quests/task-test ; rattacher les ressources et états cités à cet identifiant. Aucun fichier de jeu créé par ce catalogue.</x:v>
      </x:c>
      <x:c r="M134" s="7" t="str"/>
      <x:c r="N134" s="7" t="str">
        <x:v>Le livrable « Task: Test Subject » possède une scène ou un scénario de contrôle ; ses règles proposées, ses conditions et ses retours visuels sont vérifiables séparément.</x:v>
      </x:c>
      <x:c r="O134" s="7" t="str"/>
      <x:c r="P134" s="7" t="str">
        <x:v>Task: Test Subject</x:v>
      </x:c>
      <x:c r="Q134" s="7" t="str">
        <x:v>MEA-SRC-MISSIONS</x:v>
      </x:c>
      <x:c r="R134" s="7" t="str">
        <x:v>https://masseffect.fandom.com/wiki/Missions_%28Mass_Effect%3A_Andromeda%29</x:v>
      </x:c>
      <x:c r="S134" s="7" t="str">
        <x:v>Spécification à réaliser. Les champs adaptation, gameplay, visual, animation, audio et implementation décrivent le fan game ; ils ne donnent pas des caractéristiques officielles de l’œuvre.</x:v>
      </x:c>
    </x:row>
    <x:row r="135" ht="68" customHeight="1">
      <x:c r="A135" s="18" t="str">
        <x:v>MEA-SQ-TASK-BOOST</x:v>
      </x:c>
      <x:c r="B135" s="9" t="str">
        <x:v>Task: Boosting the Signal</x:v>
      </x:c>
      <x:c r="C135" s="15" t="str">
        <x:v>Défini</x:v>
      </x:c>
      <x:c r="D135" s="16" t="str">
        <x:v>Établi</x:v>
      </x:c>
      <x:c r="E135" s="16" t="str">
        <x:v>P1</x:v>
      </x:c>
      <x:c r="F135" s="9" t="str">
        <x:v>Tâche de communications.</x:v>
      </x:c>
      <x:c r="G135" s="9" t="str">
        <x:v>Déposer équipements aux points prévus, chacun unique ; état réseau affiché à retour Nexus.</x:v>
      </x:c>
      <x:c r="H135" s="9" t="str">
        <x:v>Déposer équipements aux points prévus, chacun unique ; état réseau affiché à retour Nexus.</x:v>
      </x:c>
      <x:c r="I135" s="9" t="str">
        <x:v>Balise relais et signal.</x:v>
      </x:c>
      <x:c r="J135" s="9" t="str">
        <x:v>Transitions de caméra et d’interface interruptibles ; aucun délai d’animation ne doit consommer une décision encore ouverte.</x:v>
      </x:c>
      <x:c r="K135" s="9" t="str">
        <x:v>Créer des bruitages et ambiances originaux adaptés au livrable ; sous-titrer les indices utiles et proposer un réglage indépendant des effets. Aucune extraction audio demandée.</x:v>
      </x:c>
      <x:c r="L135" s="9" t="str">
        <x:v>Prévu : fiche de données mea/side_quests/task-boost ; rattacher les ressources et états cités à cet identifiant. Aucun fichier de jeu créé par ce catalogue.</x:v>
      </x:c>
      <x:c r="M135" s="9" t="str"/>
      <x:c r="N135" s="9" t="str">
        <x:v>Le livrable « Task: Boosting the Signal » possède une scène ou un scénario de contrôle ; ses règles proposées, ses conditions et ses retours visuels sont vérifiables séparément.</x:v>
      </x:c>
      <x:c r="O135" s="9" t="str"/>
      <x:c r="P135" s="9" t="str">
        <x:v>Task: Boosting the Signal</x:v>
      </x:c>
      <x:c r="Q135" s="9" t="str">
        <x:v>MEA-SRC-MISSIONS</x:v>
      </x:c>
      <x:c r="R135" s="9" t="str">
        <x:v>https://masseffect.fandom.com/wiki/Missions_%28Mass_Effect%3A_Andromeda%29</x:v>
      </x:c>
      <x:c r="S135" s="9" t="str">
        <x:v>Spécification à réaliser. Les champs adaptation, gameplay, visual, animation, audio et implementation décrivent le fan game ; ils ne donnent pas des caractéristiques officielles de l’œuvre.</x:v>
      </x:c>
    </x:row>
    <x:row r="136" ht="68" customHeight="1">
      <x:c r="A136" s="19" t="str">
        <x:v>MEA-SQ-TASK-OUTLAW</x:v>
      </x:c>
      <x:c r="B136" s="7" t="str">
        <x:v>Task: Outlaw Weapon Crafting</x:v>
      </x:c>
      <x:c r="C136" s="15" t="str">
        <x:v>Défini</x:v>
      </x:c>
      <x:c r="D136" s="17" t="str">
        <x:v>Établi</x:v>
      </x:c>
      <x:c r="E136" s="17" t="str">
        <x:v>P1</x:v>
      </x:c>
      <x:c r="F136" s="7" t="str">
        <x:v>Tâche de fabrication sur Kadara.</x:v>
      </x:c>
      <x:c r="G136" s="7" t="str">
        <x:v>Fabriquer l’objet demandé avec vraie recette ; disposer d’une arme différente du même type ne suffit pas.</x:v>
      </x:c>
      <x:c r="H136" s="7" t="str">
        <x:v>Fabriquer l’objet demandé avec vraie recette ; disposer d’une arme différente du même type ne suffit pas.</x:v>
      </x:c>
      <x:c r="I136" s="7" t="str">
        <x:v>Plan, matériaux et banc d’armes.</x:v>
      </x:c>
      <x:c r="J136" s="7" t="str">
        <x:v>Transitions de caméra et d’interface interruptibles ; aucun délai d’animation ne doit consommer une décision encore ouverte.</x:v>
      </x:c>
      <x:c r="K136" s="7" t="str">
        <x:v>Créer des bruitages et ambiances originaux adaptés au livrable ; sous-titrer les indices utiles et proposer un réglage indépendant des effets. Aucune extraction audio demandée.</x:v>
      </x:c>
      <x:c r="L136" s="7" t="str">
        <x:v>Prévu : fiche de données mea/side_quests/task-outlaw ; rattacher les ressources et états cités à cet identifiant. Aucun fichier de jeu créé par ce catalogue.</x:v>
      </x:c>
      <x:c r="M136" s="7" t="str"/>
      <x:c r="N136" s="7" t="str">
        <x:v>Le livrable « Task: Outlaw Weapon Crafting » possède une scène ou un scénario de contrôle ; ses règles proposées, ses conditions et ses retours visuels sont vérifiables séparément.</x:v>
      </x:c>
      <x:c r="O136" s="7" t="str"/>
      <x:c r="P136" s="7" t="str">
        <x:v>Task: Outlaw Weapon Crafting</x:v>
      </x:c>
      <x:c r="Q136" s="7" t="str">
        <x:v>MEA-SRC-MISSIONS</x:v>
      </x:c>
      <x:c r="R136" s="7" t="str">
        <x:v>https://masseffect.fandom.com/wiki/Missions_%28Mass_Effect%3A_Andromeda%29</x:v>
      </x:c>
      <x:c r="S136" s="7" t="str">
        <x:v>Spécification à réaliser. Les champs adaptation, gameplay, visual, animation, audio et implementation décrivent le fan game ; ils ne donnent pas des caractéristiques officielles de l’œuvre.</x:v>
      </x:c>
    </x:row>
  </x:sheetData>
  <x:conditionalFormatting sqref="D7:D136">
    <x:cfRule type="cellIs" dxfId="40" priority="1" operator="equal">
      <x:formula>"À vérifier"</x:formula>
    </x:cfRule>
    <x:cfRule type="cellIs" dxfId="41" priority="2" operator="equal">
      <x:formula>"Extrapolation"</x:formula>
    </x:cfRule>
  </x:conditionalFormatting>
  <x:conditionalFormatting sqref="C7:C136">
    <x:cfRule type="cellIs" dxfId="42" priority="3" operator="equal">
      <x:formula>"Validé"</x:formula>
    </x:cfRule>
  </x:conditionalFormatting>
  <x:conditionalFormatting sqref="E7:E136">
    <x:cfRule type="cellIs" dxfId="43" priority="4" operator="equal">
      <x:formula>"P0"</x:formula>
    </x:cfRule>
  </x:conditionalFormatting>
  <x:dataValidations count="3">
    <x:dataValidation type="list" sqref="C7:C136">
      <x:formula1>"Défini,Prototype,Intégré,Validé"</x:formula1>
    </x:dataValidation>
    <x:dataValidation type="list" sqref="D7:D136">
      <x:formula1>"Établi,À vérifier,Extrapolation,Coupé attesté,Concept abandonné,Allégation écartée"</x:formula1>
    </x:dataValidation>
    <x:dataValidation type="list" sqref="E7:E136">
      <x:formula1>"P0,P1,P2"</x:formula1>
    </x:dataValidation>
  </x:dataValidations>
  <x:pageMargins left="0.7" right="0.7" top="0.75" bottom="0.75" header="0.3" footer="0.3"/>
  <x:tableParts count="1">
    <x:tablePart xmlns:r="http://schemas.openxmlformats.org/officeDocument/2006/relationships" r:id="R24d9e957663344f9"/>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Andromeda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MEA-CHO-RYDER</x:v>
      </x:c>
      <x:c r="B7" s="9" t="str">
        <x:v>Choisir Sara ou Scott</x:v>
      </x:c>
      <x:c r="C7" s="15" t="str">
        <x:v>Défini</x:v>
      </x:c>
      <x:c r="D7" s="16" t="str">
        <x:v>Établi</x:v>
      </x:c>
      <x:c r="E7" s="16" t="str">
        <x:v>P1</x:v>
      </x:c>
      <x:c r="F7" s="9" t="str">
        <x:v>Un jumeau devient le personnage joué.</x:v>
      </x:c>
      <x:c r="G7" s="9" t="str">
        <x:v>Deux identités, personnalisation et jumeau non joué dérivés au départ ; aucun échange de noms lors du relais final.</x:v>
      </x:c>
      <x:c r="H7" s="9" t="str">
        <x:v>Deux identités, personnalisation et jumeau non joué dérivés au départ ; aucun échange de noms lors du relais final.</x:v>
      </x:c>
      <x:c r="I7" s="9" t="str">
        <x:v>Écran de création et portraits liés.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mea/choices/ryder ; rattacher les ressources et états cités à cet identifiant. Aucun fichier de jeu créé par ce catalogue.</x:v>
      </x:c>
      <x:c r="M7" s="9" t="str"/>
      <x:c r="N7" s="9" t="str">
        <x:v>Le livrable « Choisir Sara ou Scott » possède une scène ou un scénario de contrôle ; ses règles proposées, ses conditions et ses retours visuels sont vérifiables séparément.</x:v>
      </x:c>
      <x:c r="O7" s="9" t="str"/>
      <x:c r="P7" s="9" t="str">
        <x:v>Choisir Sara ou Scott</x:v>
      </x:c>
      <x:c r="Q7" s="9" t="str">
        <x:v>MEA-SRC-GUIDE</x:v>
      </x:c>
      <x:c r="R7" s="9" t="str">
        <x:v>https://masseffect.fandom.com/wiki/Mass_Effect%3A_Andromeda_Guide</x:v>
      </x:c>
      <x:c r="S7" s="9" t="str">
        <x:v>Spécification à réaliser. Les champs adaptation, gameplay, visual, animation, audio et implementation décrivent le fan game ; ils ne donnent pas des caractéristiques officielles de l’œuvre.</x:v>
      </x:c>
    </x:row>
    <x:row r="8" ht="68" customHeight="1">
      <x:c r="A8" s="19" t="str">
        <x:v>MEA-CHO-TONE</x:v>
      </x:c>
      <x:c r="B8" s="7" t="str">
        <x:v>Tons de dialogue de Ryder</x:v>
      </x:c>
      <x:c r="C8" s="15" t="str">
        <x:v>Défini</x:v>
      </x:c>
      <x:c r="D8" s="17" t="str">
        <x:v>Établi</x:v>
      </x:c>
      <x:c r="E8" s="17" t="str">
        <x:v>P1</x:v>
      </x:c>
      <x:c r="F8" s="7" t="str">
        <x:v>Les réponses utilisent plusieurs tons.</x:v>
      </x:c>
      <x:c r="G8" s="7" t="str">
        <x:v>Émotionnel, logique, décontracté et professionnel comme styles, pas axe Paragon/Renegade ; choix d’action séparé du ton.</x:v>
      </x:c>
      <x:c r="H8" s="7" t="str">
        <x:v>Émotionnel, logique, décontracté et professionnel comme styles, pas axe Paragon/Renegade ; choix d’action séparé du ton.</x:v>
      </x:c>
      <x:c r="I8" s="7" t="str">
        <x:v>Quatre symboles de réponse.</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mea/choices/tone ; rattacher les ressources et états cités à cet identifiant. Aucun fichier de jeu créé par ce catalogue.</x:v>
      </x:c>
      <x:c r="M8" s="7" t="str"/>
      <x:c r="N8" s="7" t="str">
        <x:v>Le livrable « Tons de dialogue de Ryder » possède une scène ou un scénario de contrôle ; ses règles proposées, ses conditions et ses retours visuels sont vérifiables séparément.</x:v>
      </x:c>
      <x:c r="O8" s="7" t="str"/>
      <x:c r="P8" s="7" t="str">
        <x:v>Tons de dialogue de Ryder</x:v>
      </x:c>
      <x:c r="Q8" s="7" t="str">
        <x:v>MEA-SRC-GAME</x:v>
      </x:c>
      <x:c r="R8" s="7" t="str">
        <x:v>https://masseffect.fandom.com/wiki/Mass_Effect%3A_Andromeda</x:v>
      </x:c>
      <x:c r="S8" s="7" t="str">
        <x:v>Spécification à réaliser. Les champs adaptation, gameplay, visual, animation, audio et implementation décrivent le fan game ; ils ne donnent pas des caractéristiques officielles de l’œuvre.</x:v>
      </x:c>
    </x:row>
    <x:row r="9" ht="68" customHeight="1">
      <x:c r="A9" s="18" t="str">
        <x:v>MEA-CHO-EOS</x:v>
      </x:c>
      <x:c r="B9" s="9" t="str">
        <x:v>Avant-poste scientifique ou militaire</x:v>
      </x:c>
      <x:c r="C9" s="15" t="str">
        <x:v>Défini</x:v>
      </x:c>
      <x:c r="D9" s="16" t="str">
        <x:v>Établi</x:v>
      </x:c>
      <x:c r="E9" s="16" t="str">
        <x:v>P1</x:v>
      </x:c>
      <x:c r="F9" s="9" t="str">
        <x:v>Premier établissement offre un choix.</x:v>
      </x:c>
      <x:c r="G9" s="9" t="str">
        <x:v>Conserver fonction choisie, réactions et éléments d’avant-poste ; pas de bonus numérique de source non vérifié.</x:v>
      </x:c>
      <x:c r="H9" s="9" t="str">
        <x:v>Conserver fonction choisie, réactions et éléments d’avant-poste ; pas de bonus numérique de source non vérifié.</x:v>
      </x:c>
      <x:c r="I9" s="9" t="str">
        <x:v>Deux projets de Prodromos.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mea/choices/eos ; rattacher les ressources et états cités à cet identifiant. Aucun fichier de jeu créé par ce catalogue.</x:v>
      </x:c>
      <x:c r="M9" s="9" t="str"/>
      <x:c r="N9" s="9" t="str">
        <x:v>Le livrable « Avant-poste scientifique ou militaire » possède une scène ou un scénario de contrôle ; ses règles proposées, ses conditions et ses retours visuels sont vérifiables séparément.</x:v>
      </x:c>
      <x:c r="O9" s="9" t="str"/>
      <x:c r="P9" s="9" t="str">
        <x:v>Avant-poste scientifique ou militaire</x:v>
      </x:c>
      <x:c r="Q9" s="9" t="str">
        <x:v>MEA-SRC-GUIDE, MEA-SRC-EOS-PAGE</x:v>
      </x:c>
      <x:c r="R9" s="9" t="str">
        <x:v>https://masseffect.fandom.com/wiki/Mass_Effect%3A_Andromeda_Guide
https://masseffect.fandom.com/wiki/Eos</x:v>
      </x:c>
      <x:c r="S9" s="9" t="str">
        <x:v>Spécification à réaliser. Les champs adaptation, gameplay, visual, animation, audio et implementation décrivent le fan game ; ils ne donnent pas des caractéristiques officielles de l’œuvre.</x:v>
      </x:c>
    </x:row>
    <x:row r="10" ht="68" customHeight="1">
      <x:c r="A10" s="19" t="str">
        <x:v>MEA-CHO-MOSHAE</x:v>
      </x:c>
      <x:c r="B10" s="7" t="str">
        <x:v>Site d’exaltation et captifs</x:v>
      </x:c>
      <x:c r="C10" s="15" t="str">
        <x:v>Défini</x:v>
      </x:c>
      <x:c r="D10" s="17" t="str">
        <x:v>Établi</x:v>
      </x:c>
      <x:c r="E10" s="17" t="str">
        <x:v>P1</x:v>
      </x:c>
      <x:c r="F10" s="7" t="str">
        <x:v>La conclusion de Voeld propose une décision.</x:v>
      </x:c>
      <x:c r="G10" s="7" t="str">
        <x:v>Libération des captifs et destruction du site sont alternatives ; confirmer connaissance des conséquences sans inventer solution universelle sauvant tout.</x:v>
      </x:c>
      <x:c r="H10" s="7" t="str">
        <x:v>Libération des captifs et destruction du site sont alternatives ; confirmer connaissance des conséquences sans inventer solution universelle sauvant tout.</x:v>
      </x:c>
      <x:c r="I10" s="7" t="str">
        <x:v>Plan d’installation et portraits angara.</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mea/choices/moshae ; rattacher les ressources et états cités à cet identifiant. Aucun fichier de jeu créé par ce catalogue.</x:v>
      </x:c>
      <x:c r="M10" s="7" t="str"/>
      <x:c r="N10" s="7" t="str">
        <x:v>Le livrable « Site d’exaltation et captifs » possède une scène ou un scénario de contrôle ; ses règles proposées, ses conditions et ses retours visuels sont vérifiables séparément.</x:v>
      </x:c>
      <x:c r="O10" s="7" t="str"/>
      <x:c r="P10" s="7" t="str">
        <x:v>Site d’exaltation et captifs</x:v>
      </x:c>
      <x:c r="Q10" s="7" t="str">
        <x:v>MEA-SRC-TRAIL2</x:v>
      </x:c>
      <x:c r="R10" s="7" t="str">
        <x:v>https://masseffect.fandom.com/wiki/A_Trail_of_Hope_II</x:v>
      </x:c>
      <x:c r="S10" s="7" t="str">
        <x:v>Spécification à réaliser. Les champs adaptation, gameplay, visual, animation, audio et implementation décrivent le fan game ; ils ne donnent pas des caractéristiques officielles de l’œuvre.</x:v>
      </x:c>
    </x:row>
    <x:row r="11" ht="68" customHeight="1">
      <x:c r="A11" s="18" t="str">
        <x:v>MEA-CHO-CARDINAL</x:v>
      </x:c>
      <x:c r="B11" s="9" t="str">
        <x:v>Sort du Cardinal</x:v>
      </x:c>
      <x:c r="C11" s="15" t="str">
        <x:v>Défini</x:v>
      </x:c>
      <x:c r="D11" s="16" t="str">
        <x:v>Établi</x:v>
      </x:c>
      <x:c r="E11" s="16" t="str">
        <x:v>P1</x:v>
      </x:c>
      <x:c r="F11" s="9" t="str">
        <x:v>Une interruption suit le choix de site.</x:v>
      </x:c>
      <x:c r="G11" s="9" t="str">
        <x:v>Traiter sort du boss séparément de la décision sur prisonniers ; ne pas rouvrir une confrontation terminée après chargement.</x:v>
      </x:c>
      <x:c r="H11" s="9" t="str">
        <x:v>Traiter sort du boss séparément de la décision sur prisonniers ; ne pas rouvrir une confrontation terminée après chargement.</x:v>
      </x:c>
      <x:c r="I11" s="9" t="str">
        <x:v>Cardinal au sol et signal de réaction.</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mea/choices/cardinal ; rattacher les ressources et états cités à cet identifiant. Aucun fichier de jeu créé par ce catalogue.</x:v>
      </x:c>
      <x:c r="M11" s="9" t="str"/>
      <x:c r="N11" s="9" t="str">
        <x:v>Le livrable « Sort du Cardinal » possède une scène ou un scénario de contrôle ; ses règles proposées, ses conditions et ses retours visuels sont vérifiables séparément.</x:v>
      </x:c>
      <x:c r="O11" s="9" t="str"/>
      <x:c r="P11" s="9" t="str">
        <x:v>Sort du Cardinal</x:v>
      </x:c>
      <x:c r="Q11" s="9" t="str">
        <x:v>MEA-SRC-TRAIL2</x:v>
      </x:c>
      <x:c r="R11" s="9" t="str">
        <x:v>https://masseffect.fandom.com/wiki/A_Trail_of_Hope_II</x:v>
      </x:c>
      <x:c r="S11" s="9" t="str">
        <x:v>Spécification à réaliser. Les champs adaptation, gameplay, visual, animation, audio et implementation décrivent le fan game ; ils ne donnent pas des caractéristiques officielles de l’œuvre.</x:v>
      </x:c>
    </x:row>
    <x:row r="12" ht="68" customHeight="1">
      <x:c r="A12" s="19" t="str">
        <x:v>MEA-CHO-RAEKA</x:v>
      </x:c>
      <x:c r="B12" s="7" t="str">
        <x:v>Raeka ou éclaireurs krogan</x:v>
      </x:c>
      <x:c r="C12" s="15" t="str">
        <x:v>Défini</x:v>
      </x:c>
      <x:c r="D12" s="17" t="str">
        <x:v>Établi</x:v>
      </x:c>
      <x:c r="E12" s="17" t="str">
        <x:v>P1</x:v>
      </x:c>
      <x:c r="F12" s="7" t="str">
        <x:v>La traque exige un choix de secours.</x:v>
      </x:c>
      <x:c r="G12" s="7" t="str">
        <x:v>Deux objectifs mutuellement engagés ; conserver personnages, réactions de Drack et succession galarienne dans états distincts.</x:v>
      </x:c>
      <x:c r="H12" s="7" t="str">
        <x:v>Deux objectifs mutuellement engagés ; conserver personnages, réactions de Drack et succession galarienne dans états distincts.</x:v>
      </x:c>
      <x:c r="I12" s="7" t="str">
        <x:v>Deux routes et communications urgentes.</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mea/choices/raeka ; rattacher les ressources et états cités à cet identifiant. Aucun fichier de jeu créé par ce catalogue.</x:v>
      </x:c>
      <x:c r="M12" s="7" t="str"/>
      <x:c r="N12" s="7" t="str">
        <x:v>Le livrable « Raeka ou éclaireurs krogan » possède une scène ou un scénario de contrôle ; ses règles proposées, ses conditions et ses retours visuels sont vérifiables séparément.</x:v>
      </x:c>
      <x:c r="O12" s="7" t="str"/>
      <x:c r="P12" s="7" t="str">
        <x:v>Raeka ou éclaireurs krogan</x:v>
      </x:c>
      <x:c r="Q12" s="7" t="str">
        <x:v>MEA-SRC-ARCHON</x:v>
      </x:c>
      <x:c r="R12" s="7" t="str">
        <x:v>https://masseffect.fandom.com/wiki/Hunting_the_Archon</x:v>
      </x:c>
      <x:c r="S12" s="7" t="str">
        <x:v>Spécification à réaliser. Les champs adaptation, gameplay, visual, animation, audio et implementation décrivent le fan game ; ils ne donnent pas des caractéristiques officielles de l’œuvre.</x:v>
      </x:c>
    </x:row>
    <x:row r="13" ht="68" customHeight="1">
      <x:c r="A13" s="18" t="str">
        <x:v>MEA-CHO-SARISSA-TRUTH</x:v>
      </x:c>
      <x:c r="B13" s="9" t="str">
        <x:v>Révéler les actes de Sarissa</x:v>
      </x:c>
      <x:c r="C13" s="15" t="str">
        <x:v>Défini</x:v>
      </x:c>
      <x:c r="D13" s="16" t="str">
        <x:v>Établi</x:v>
      </x:c>
      <x:c r="E13" s="16" t="str">
        <x:v>P1</x:v>
      </x:c>
      <x:c r="F13" s="9" t="str">
        <x:v>Cora découvre un journal compromettant.</x:v>
      </x:c>
      <x:c r="G13" s="9" t="str">
        <x:v>Conserver révélation publique, réaction de Cora et décision de commandement séparément ; une preuve lue n’est pas automatiquement divulguée.</x:v>
      </x:c>
      <x:c r="H13" s="9" t="str">
        <x:v>Conserver révélation publique, réaction de Cora et décision de commandement séparément ; une preuve lue n’est pas automatiquement divulguée.</x:v>
      </x:c>
      <x:c r="I13" s="9" t="str">
        <x:v>Passerelle et enregistrement.</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mea/choices/sarissa-truth ; rattacher les ressources et états cités à cet identifiant. Aucun fichier de jeu créé par ce catalogue.</x:v>
      </x:c>
      <x:c r="M13" s="9" t="str"/>
      <x:c r="N13" s="9" t="str">
        <x:v>Le livrable « Révéler les actes de Sarissa » possède une scène ou un scénario de contrôle ; ses règles proposées, ses conditions et ses retours visuels sont vérifiables séparément.</x:v>
      </x:c>
      <x:c r="O13" s="9" t="str"/>
      <x:c r="P13" s="9" t="str">
        <x:v>Révéler les actes de Sarissa</x:v>
      </x:c>
      <x:c r="Q13" s="9" t="str">
        <x:v>MEA-SRC-CORA-LOYAL</x:v>
      </x:c>
      <x:c r="R13" s="9" t="str">
        <x:v>https://masseffect.fandom.com/wiki/Cora_Harper%3A_At_Duty%27s_Edge</x:v>
      </x:c>
      <x:c r="S13" s="9" t="str">
        <x:v>Spécification à réaliser. Les champs adaptation, gameplay, visual, animation, audio et implementation décrivent le fan game ; ils ne donnent pas des caractéristiques officielles de l’œuvre.</x:v>
      </x:c>
    </x:row>
    <x:row r="14" ht="68" customHeight="1">
      <x:c r="A14" s="19" t="str">
        <x:v>MEA-CHO-SARISSA-ROLE</x:v>
      </x:c>
      <x:c r="B14" s="7" t="str">
        <x:v>Sarissa ou Vederia comme Pionnière</x:v>
      </x:c>
      <x:c r="C14" s="15" t="str">
        <x:v>Défini</x:v>
      </x:c>
      <x:c r="D14" s="17" t="str">
        <x:v>Établi</x:v>
      </x:c>
      <x:c r="E14" s="17" t="str">
        <x:v>P1</x:v>
      </x:c>
      <x:c r="F14" s="7" t="str">
        <x:v>Le rôle asari peut changer.</x:v>
      </x:c>
      <x:c r="G14" s="7" t="str">
        <x:v>Présenter successeure et maintien du commandement ; présence finale correspond à fonction confirmée, pas au seul choix de révélation.</x:v>
      </x:c>
      <x:c r="H14" s="7" t="str">
        <x:v>Présenter successeure et maintien du commandement ; présence finale correspond à fonction confirmée, pas au seul choix de révélation.</x:v>
      </x:c>
      <x:c r="I14" s="7" t="str">
        <x:v>Deux portraits de Pionnières.</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mea/choices/sarissa-role ; rattacher les ressources et états cités à cet identifiant. Aucun fichier de jeu créé par ce catalogue.</x:v>
      </x:c>
      <x:c r="M14" s="7" t="str"/>
      <x:c r="N14" s="7" t="str">
        <x:v>Le livrable « Sarissa ou Vederia comme Pionnière » possède une scène ou un scénario de contrôle ; ses règles proposées, ses conditions et ses retours visuels sont vérifiables séparément.</x:v>
      </x:c>
      <x:c r="O14" s="7" t="str"/>
      <x:c r="P14" s="7" t="str">
        <x:v>Sarissa ou Vederia comme Pionnière</x:v>
      </x:c>
      <x:c r="Q14" s="7" t="str">
        <x:v>MEA-SRC-CORA-LOYAL</x:v>
      </x:c>
      <x:c r="R14" s="7" t="str">
        <x:v>https://masseffect.fandom.com/wiki/Cora_Harper%3A_At_Duty%27s_Edge</x:v>
      </x:c>
      <x:c r="S14" s="7" t="str">
        <x:v>Spécification à réaliser. Les champs adaptation, gameplay, visual, animation, audio et implementation décrivent le fan game ; ils ne donnent pas des caractéristiques officielles de l’œuvre.</x:v>
      </x:c>
    </x:row>
    <x:row r="15" ht="68" customHeight="1">
      <x:c r="A15" s="18" t="str">
        <x:v>MEA-CHO-AVITUS</x:v>
      </x:c>
      <x:c r="B15" s="9" t="str">
        <x:v>Convaincre Avitus de devenir Pionnier</x:v>
      </x:c>
      <x:c r="C15" s="15" t="str">
        <x:v>Défini</x:v>
      </x:c>
      <x:c r="D15" s="16" t="str">
        <x:v>Établi</x:v>
      </x:c>
      <x:c r="E15" s="16" t="str">
        <x:v>P1</x:v>
      </x:c>
      <x:c r="F15" s="9" t="str">
        <x:v>La succession turienne dépend du dialogue.</x:v>
      </x:c>
      <x:c r="G15" s="9" t="str">
        <x:v>Choix explicite après découverte de Macen ; refus laisse le poste vacant et affecte la préparation du secours final.</x:v>
      </x:c>
      <x:c r="H15" s="9" t="str">
        <x:v>Choix explicite après découverte de Macen ; refus laisse le poste vacant et affecte la préparation du secours final.</x:v>
      </x:c>
      <x:c r="I15" s="9" t="str">
        <x:v>SAM turien et portrait d’Avitus.</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mea/choices/avitus ; rattacher les ressources et états cités à cet identifiant. Aucun fichier de jeu créé par ce catalogue.</x:v>
      </x:c>
      <x:c r="M15" s="9" t="str"/>
      <x:c r="N15" s="9" t="str">
        <x:v>Le livrable « Convaincre Avitus de devenir Pionnier » possède une scène ou un scénario de contrôle ; ses règles proposées, ses conditions et ses retours visuels sont vérifiables séparément.</x:v>
      </x:c>
      <x:c r="O15" s="9" t="str"/>
      <x:c r="P15" s="9" t="str">
        <x:v>Convaincre Avitus de devenir Pionnier</x:v>
      </x:c>
      <x:c r="Q15" s="9" t="str">
        <x:v>MEA-SRC-TURIAN-LOST</x:v>
      </x:c>
      <x:c r="R15" s="9" t="str">
        <x:v>https://masseffect.fandom.com/wiki/Turian_Ark%3A_Lost_But_Not_Forgotten</x:v>
      </x:c>
      <x:c r="S15" s="9" t="str">
        <x:v>Spécification à réaliser. Les champs adaptation, gameplay, visual, animation, audio et implementation décrivent le fan game ; ils ne donnent pas des caractéristiques officielles de l’œuvre.</x:v>
      </x:c>
    </x:row>
    <x:row r="16" ht="68" customHeight="1">
      <x:c r="A16" s="19" t="str">
        <x:v>MEA-CHO-AKKSUL</x:v>
      </x:c>
      <x:c r="B16" s="7" t="str">
        <x:v>Tirer ou faire confiance à Jaal</x:v>
      </x:c>
      <x:c r="C16" s="15" t="str">
        <x:v>Défini</x:v>
      </x:c>
      <x:c r="D16" s="17" t="str">
        <x:v>Établi</x:v>
      </x:c>
      <x:c r="E16" s="17" t="str">
        <x:v>P1</x:v>
      </x:c>
      <x:c r="F16" s="7" t="str">
        <x:v>La loyauté de Jaal propose une interruption.</x:v>
      </x:c>
      <x:c r="G16" s="7" t="str">
        <x:v>Fenêtre accessible et visée lisible ; absence de tir est un choix enregistré, pas un bouton ignoré sans effet.</x:v>
      </x:c>
      <x:c r="H16" s="7" t="str">
        <x:v>Fenêtre accessible et visée lisible ; absence de tir est un choix enregistré, pas un bouton ignoré sans effet.</x:v>
      </x:c>
      <x:c r="I16" s="7" t="str">
        <x:v>Jaal, Akksul et famille.</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mea/choices/akksul ; rattacher les ressources et états cités à cet identifiant. Aucun fichier de jeu créé par ce catalogue.</x:v>
      </x:c>
      <x:c r="M16" s="7" t="str"/>
      <x:c r="N16" s="7" t="str">
        <x:v>Le livrable « Tirer ou faire confiance à Jaal » possède une scène ou un scénario de contrôle ; ses règles proposées, ses conditions et ses retours visuels sont vérifiables séparément.</x:v>
      </x:c>
      <x:c r="O16" s="7" t="str"/>
      <x:c r="P16" s="7" t="str">
        <x:v>Tirer ou faire confiance à Jaal</x:v>
      </x:c>
      <x:c r="Q16" s="7" t="str">
        <x:v>MEA-SRC-JAAL-LOYAL</x:v>
      </x:c>
      <x:c r="R16" s="7" t="str">
        <x:v>https://masseffect.fandom.com/wiki/Jaal_Ama_Darav%3A_Flesh_and_Blood</x:v>
      </x:c>
      <x:c r="S16" s="7" t="str">
        <x:v>Spécification à réaliser. Les champs adaptation, gameplay, visual, animation, audio et implementation décrivent le fan game ; ils ne donnent pas des caractéristiques officielles de l’œuvre.</x:v>
      </x:c>
    </x:row>
    <x:row r="17" ht="68" customHeight="1">
      <x:c r="A17" s="18" t="str">
        <x:v>MEA-CHO-KALINDA</x:v>
      </x:c>
      <x:c r="B17" s="9" t="str">
        <x:v>Sauver Kalinda ou récupérer l’appareil</x:v>
      </x:c>
      <x:c r="C17" s="15" t="str">
        <x:v>Défini</x:v>
      </x:c>
      <x:c r="D17" s="16" t="str">
        <x:v>Établi</x:v>
      </x:c>
      <x:c r="E17" s="16" t="str">
        <x:v>P1</x:v>
      </x:c>
      <x:c r="F17" s="9" t="str">
        <x:v>La mission de Peebee diverge.</x:v>
      </x:c>
      <x:c r="G17" s="9" t="str">
        <x:v>Tir fait chuter Kalinda et préserve l’objet ; laisser Peebee secourir perd l’appareil, avec retours propres à chaque branche.</x:v>
      </x:c>
      <x:c r="H17" s="9" t="str">
        <x:v>Tir fait chuter Kalinda et préserve l’objet ; laisser Peebee secourir perd l’appareil, avec retours propres à chaque branche.</x:v>
      </x:c>
      <x:c r="I17" s="9" t="str">
        <x:v>Deux points d’intérêt au-dessus de lave.</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mea/choices/kalinda ; rattacher les ressources et états cités à cet identifiant. Aucun fichier de jeu créé par ce catalogue.</x:v>
      </x:c>
      <x:c r="M17" s="9" t="str"/>
      <x:c r="N17" s="9" t="str">
        <x:v>Le livrable « Sauver Kalinda ou récupérer l’appareil » possède une scène ou un scénario de contrôle ; ses règles proposées, ses conditions et ses retours visuels sont vérifiables séparément.</x:v>
      </x:c>
      <x:c r="O17" s="9" t="str"/>
      <x:c r="P17" s="9" t="str">
        <x:v>Sauver Kalinda ou récupérer l’appareil</x:v>
      </x:c>
      <x:c r="Q17" s="9" t="str">
        <x:v>MEA-SRC-PEEBEE-LOYAL</x:v>
      </x:c>
      <x:c r="R17" s="9" t="str">
        <x:v>https://masseffect.fandom.com/wiki/Peebee%3A_A_Mysterious_Remnant_Signal</x:v>
      </x:c>
      <x:c r="S17" s="9" t="str">
        <x:v>Spécification à réaliser. Les champs adaptation, gameplay, visual, animation, audio et implementation décrivent le fan game ; ils ne donnent pas des caractéristiques officielles de l’œuvre.</x:v>
      </x:c>
    </x:row>
    <x:row r="18" ht="68" customHeight="1">
      <x:c r="A18" s="19" t="str">
        <x:v>MEA-CHO-VERAND</x:v>
      </x:c>
      <x:c r="B18" s="7" t="str">
        <x:v>Libérer ou retenir Verand</x:v>
      </x:c>
      <x:c r="C18" s="15" t="str">
        <x:v>Défini</x:v>
      </x:c>
      <x:c r="D18" s="17" t="str">
        <x:v>Établi</x:v>
      </x:c>
      <x:c r="E18" s="17" t="str">
        <x:v>P1</x:v>
      </x:c>
      <x:c r="F18" s="7" t="str">
        <x:v>Le débrief de Liam comporte une décision.</x:v>
      </x:c>
      <x:c r="G18" s="7" t="str">
        <x:v>Enregistrer traitement de la rescapée et réaction de Liam ; ne pas casser une romance par une règle non attestée.</x:v>
      </x:c>
      <x:c r="H18" s="7" t="str">
        <x:v>Enregistrer traitement de la rescapée et réaction de Liam ; ne pas casser une romance par une règle non attestée.</x:v>
      </x:c>
      <x:c r="I18" s="7" t="str">
        <x:v>Tempest et communication aux sauveteurs.</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mea/choices/verand ; rattacher les ressources et états cités à cet identifiant. Aucun fichier de jeu créé par ce catalogue.</x:v>
      </x:c>
      <x:c r="M18" s="7" t="str"/>
      <x:c r="N18" s="7" t="str">
        <x:v>Le livrable « Libérer ou retenir Verand » possède une scène ou un scénario de contrôle ; ses règles proposées, ses conditions et ses retours visuels sont vérifiables séparément.</x:v>
      </x:c>
      <x:c r="O18" s="7" t="str"/>
      <x:c r="P18" s="7" t="str">
        <x:v>Libérer ou retenir Verand</x:v>
      </x:c>
      <x:c r="Q18" s="7" t="str">
        <x:v>MEA-SRC-LIAM-LOYAL</x:v>
      </x:c>
      <x:c r="R18" s="7" t="str">
        <x:v>https://masseffect.fandom.com/wiki/Liam_Kosta%3A_All_In</x:v>
      </x:c>
      <x:c r="S18" s="7" t="str">
        <x:v>Spécification à réaliser. Les champs adaptation, gameplay, visual, animation, audio et implementation décrivent le fan game ; ils ne donnent pas des caractéristiques officielles de l’œuvre.</x:v>
      </x:c>
    </x:row>
    <x:row r="19" ht="68" customHeight="1">
      <x:c r="A19" s="18" t="str">
        <x:v>MEA-CHO-SID</x:v>
      </x:c>
      <x:c r="B19" s="9" t="str">
        <x:v>Options des caméras de Sid</x:v>
      </x:c>
      <x:c r="C19" s="15" t="str">
        <x:v>Défini</x:v>
      </x:c>
      <x:c r="D19" s="16" t="str">
        <x:v>Établi</x:v>
      </x:c>
      <x:c r="E19" s="16" t="str">
        <x:v>P1</x:v>
      </x:c>
      <x:c r="F19" s="9" t="str">
        <x:v>La mission de Vetra offre des interventions.</x:v>
      </x:c>
      <x:c r="G19" s="9" t="str">
        <x:v>Chaque salle mémorise sabotage choisi ; gaz, machine neutralisée ou explosion changent son danger réel, pas seulement le dialogue.</x:v>
      </x:c>
      <x:c r="H19" s="9" t="str">
        <x:v>Chaque salle mémorise sabotage choisi ; gaz, machine neutralisée ou explosion changent son danger réel, pas seulement le dialogue.</x:v>
      </x:c>
      <x:c r="I19" s="9" t="str">
        <x:v>Écrans de sécurité et aperçu de salle.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mea/choices/sid ; rattacher les ressources et états cités à cet identifiant. Aucun fichier de jeu créé par ce catalogue.</x:v>
      </x:c>
      <x:c r="M19" s="9" t="str"/>
      <x:c r="N19" s="9" t="str">
        <x:v>Le livrable « Options des caméras de Sid » possède une scène ou un scénario de contrôle ; ses règles proposées, ses conditions et ses retours visuels sont vérifiables séparément.</x:v>
      </x:c>
      <x:c r="O19" s="9" t="str"/>
      <x:c r="P19" s="9" t="str">
        <x:v>Options des caméras de Sid</x:v>
      </x:c>
      <x:c r="Q19" s="9" t="str">
        <x:v>MEA-SRC-VETRA-LOYAL</x:v>
      </x:c>
      <x:c r="R19" s="9" t="str">
        <x:v>https://masseffect.fandom.com/wiki/Vetra_Nyx%3A_Means_and_Ends</x:v>
      </x:c>
      <x:c r="S19" s="9" t="str">
        <x:v>Spécification à réaliser. Les champs adaptation, gameplay, visual, animation, audio et implementation décrivent le fan game ; ils ne donnent pas des caractéristiques officielles de l’œuvre.</x:v>
      </x:c>
    </x:row>
    <x:row r="20" ht="68" customHeight="1">
      <x:c r="A20" s="19" t="str">
        <x:v>MEA-CHO-AROANE</x:v>
      </x:c>
      <x:c r="B20" s="7" t="str">
        <x:v>Sort d’Aroane</x:v>
      </x:c>
      <x:c r="C20" s="15" t="str">
        <x:v>Défini</x:v>
      </x:c>
      <x:c r="D20" s="17" t="str">
        <x:v>Établi</x:v>
      </x:c>
      <x:c r="E20" s="17" t="str">
        <x:v>P1</x:v>
      </x:c>
      <x:c r="F20" s="7" t="str">
        <x:v>Drack confronte le responsable du vol.</x:v>
      </x:c>
      <x:c r="G20" s="7" t="str">
        <x:v>Mort ou conservation comme prisonnier ; ne pas inventer une grande conséquence ultérieure si source ne l’atteste pas.</x:v>
      </x:c>
      <x:c r="H20" s="7" t="str">
        <x:v>Mort ou conservation comme prisonnier ; ne pas inventer une grande conséquence ultérieure si source ne l’atteste pas.</x:v>
      </x:c>
      <x:c r="I20" s="7" t="str">
        <x:v>Quai du transport et face-à-face krogan.</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mea/choices/aroane ; rattacher les ressources et états cités à cet identifiant. Aucun fichier de jeu créé par ce catalogue.</x:v>
      </x:c>
      <x:c r="M20" s="7" t="str"/>
      <x:c r="N20" s="7" t="str">
        <x:v>Le livrable « Sort d’Aroane » possède une scène ou un scénario de contrôle ; ses règles proposées, ses conditions et ses retours visuels sont vérifiables séparément.</x:v>
      </x:c>
      <x:c r="O20" s="7" t="str"/>
      <x:c r="P20" s="7" t="str">
        <x:v>Sort d’Aroane</x:v>
      </x:c>
      <x:c r="Q20" s="7" t="str">
        <x:v>MEA-SRC-DRACK-LOYAL</x:v>
      </x:c>
      <x:c r="R20" s="7" t="str">
        <x:v>https://masseffect.fandom.com/wiki/Nakmor_Drack%3A_A_Future_for_our_People</x:v>
      </x:c>
      <x:c r="S20" s="7" t="str">
        <x:v>Spécification à réaliser. Les champs adaptation, gameplay, visual, animation, audio et implementation décrivent le fan game ; ils ne donnent pas des caractéristiques officielles de l’œuvre.</x:v>
      </x:c>
    </x:row>
    <x:row r="21" ht="68" customHeight="1">
      <x:c r="A21" s="18" t="str">
        <x:v>MEA-CHO-SPENDER</x:v>
      </x:c>
      <x:c r="B21" s="9" t="str">
        <x:v>Prison ou exil pour Spender</x:v>
      </x:c>
      <x:c r="C21" s="15" t="str">
        <x:v>Défini</x:v>
      </x:c>
      <x:c r="D21" s="16" t="str">
        <x:v>Établi</x:v>
      </x:c>
      <x:c r="E21" s="16" t="str">
        <x:v>P1</x:v>
      </x:c>
      <x:c r="F21" s="9" t="str">
        <x:v>L’enquête de Drack mène à un verdict.</x:v>
      </x:c>
      <x:c r="G21" s="9" t="str">
        <x:v>Décision après examen des preuves ; état du PNJ, message de clôture et responsabilité discutée restent cohérents.</x:v>
      </x:c>
      <x:c r="H21" s="9" t="str">
        <x:v>Décision après examen des preuves ; état du PNJ, message de clôture et responsabilité discutée restent cohérents.</x:v>
      </x:c>
      <x:c r="I21" s="9" t="str">
        <x:v>Salle administrative du Nexus.</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mea/choices/spender ; rattacher les ressources et états cités à cet identifiant. Aucun fichier de jeu créé par ce catalogue.</x:v>
      </x:c>
      <x:c r="M21" s="9" t="str"/>
      <x:c r="N21" s="9" t="str">
        <x:v>Le livrable « Prison ou exil pour Spender » possède une scène ou un scénario de contrôle ; ses règles proposées, ses conditions et ses retours visuels sont vérifiables séparément.</x:v>
      </x:c>
      <x:c r="O21" s="9" t="str"/>
      <x:c r="P21" s="9" t="str">
        <x:v>Prison ou exil pour Spender</x:v>
      </x:c>
      <x:c r="Q21" s="9" t="str">
        <x:v>MEA-SRC-DRACK-LOYAL</x:v>
      </x:c>
      <x:c r="R21" s="9" t="str">
        <x:v>https://masseffect.fandom.com/wiki/Nakmor_Drack%3A_A_Future_for_our_People</x:v>
      </x:c>
      <x:c r="S21" s="9" t="str">
        <x:v>Spécification à réaliser. Les champs adaptation, gameplay, visual, animation, audio et implementation décrivent le fan game ; ils ne donnent pas des caractéristiques officielles de l’œuvre.</x:v>
      </x:c>
    </x:row>
    <x:row r="22" ht="68" customHeight="1">
      <x:c r="A22" s="19" t="str">
        <x:v>MEA-CHO-CORE</x:v>
      </x:c>
      <x:c r="B22" s="7" t="str">
        <x:v>Moteur reliquat et accord krogan</x:v>
      </x:c>
      <x:c r="C22" s="15" t="str">
        <x:v>Défini</x:v>
      </x:c>
      <x:c r="D22" s="17" t="str">
        <x:v>Établi</x:v>
      </x:c>
      <x:c r="E22" s="17" t="str">
        <x:v>P1</x:v>
      </x:c>
      <x:c r="F22" s="7" t="str">
        <x:v>Le cœur volé intervient dans la négociation.</x:v>
      </x:c>
      <x:c r="G22" s="7" t="str">
        <x:v>Don, conservation et permission d’implantation suivis séparément ; aucun avant-poste fondé si accord manquant.</x:v>
      </x:c>
      <x:c r="H22" s="7" t="str">
        <x:v>Don, conservation et permission d’implantation suivis séparément ; aucun avant-poste fondé si accord manquant.</x:v>
      </x:c>
      <x:c r="I22" s="7" t="str">
        <x:v>Morda, cœur énergétique et carte d’Elaaden.</x:v>
      </x:c>
      <x:c r="J22" s="7" t="str">
        <x:v>Nommer les variantes de scène et leurs positions finales ; saut de cinématique, réduction de mouvement et lecture complète appliquent le même état. Morda, cœur énergétique et carte d’Elaaden.</x:v>
      </x:c>
      <x:c r="K22" s="7" t="str">
        <x:v>Répliques originales par branche et sous-titres nominatifs ; supprimer les voix d’acteurs absents avant mixage et conserver les informations de danger en texte.</x:v>
      </x:c>
      <x:c r="L22" s="7" t="str">
        <x:v>Prévu : fiche de données mea/choices/core ; rattacher les ressources et états cités à cet identifiant. Aucun fichier de jeu créé par ce catalogue.</x:v>
      </x:c>
      <x:c r="M22" s="7" t="str"/>
      <x:c r="N22" s="7" t="str">
        <x:v>Le moteur est possédé par un seul détenteur ; l’accord d’implantation requis est vérifié indépendamment de restauration/viabilité, aucune remise répétée ne produit plusieurs récompenses.</x:v>
      </x:c>
      <x:c r="O22" s="7" t="str"/>
      <x:c r="P22" s="7" t="str">
        <x:v>Moteur reliquat et accord krogan</x:v>
      </x:c>
      <x:c r="Q22" s="7" t="str">
        <x:v>MEA-SRC-ELAADEN-PAGE</x:v>
      </x:c>
      <x:c r="R22" s="7" t="str">
        <x:v>https://masseffect.fandom.com/wiki/Elaaden</x:v>
      </x:c>
      <x:c r="S22" s="7" t="str">
        <x:v>Spécification à réaliser. Les champs adaptation, gameplay, visual, animation, audio et implementation décrivent le fan game ; ils ne donnent pas des caractéristiques officielles de l’œuvre.</x:v>
      </x:c>
    </x:row>
    <x:row r="23" ht="68" customHeight="1">
      <x:c r="A23" s="18" t="str">
        <x:v>MEA-CHO-SLOANE-REYES</x:v>
      </x:c>
      <x:c r="B23" s="9" t="str">
        <x:v>High Noon — autorité de Kadara</x:v>
      </x:c>
      <x:c r="C23" s="15" t="str">
        <x:v>Défini</x:v>
      </x:c>
      <x:c r="D23" s="16" t="str">
        <x:v>Établi</x:v>
      </x:c>
      <x:c r="E23" s="16" t="str">
        <x:v>P1</x:v>
      </x:c>
      <x:c r="F23" s="9" t="str">
        <x:v>L’issue change le pouvoir local.</x:v>
      </x:c>
      <x:c r="G23" s="9" t="str">
        <x:v>Intervention, mort/survie et direction politique ont variables propres ; gardes, contacts et missions suivent l’autorité finale.</x:v>
      </x:c>
      <x:c r="H23" s="9" t="str">
        <x:v>Intervention, mort/survie et direction politique ont variables propres ; gardes, contacts et missions suivent l’autorité finale.</x:v>
      </x:c>
      <x:c r="I23" s="9" t="str">
        <x:v>Grotte et salle de gouvernement.</x:v>
      </x:c>
      <x:c r="J23" s="9" t="str">
        <x:v>Nommer les variantes de scène et leurs positions finales ; saut de cinématique, réduction de mouvement et lecture complète appliquent le même état. Grotte et salle de gouvernement.</x:v>
      </x:c>
      <x:c r="K23" s="9" t="str">
        <x:v>Répliques originales par branche et sous-titres nominatifs ; supprimer les voix d’acteurs absents avant mixage et conserver les informations de danger en texte.</x:v>
      </x:c>
      <x:c r="L23" s="9" t="str">
        <x:v>Prévu : fiche de données mea/choices/sloane-reyes ; rattacher les ressources et états cités à cet identifiant. Aucun fichier de jeu créé par ce catalogue.</x:v>
      </x:c>
      <x:c r="M23" s="9" t="str"/>
      <x:c r="N23" s="9" t="str">
        <x:v>Mise à jour atomique du dirigeant, des gardes et des fenêtres de mission ; le PNJ mort ne reste pas au trône, les interactions déjà terminées ne réapparaissent pas comme disponibles.</x:v>
      </x:c>
      <x:c r="O23" s="9" t="str"/>
      <x:c r="P23" s="9" t="str">
        <x:v>High Noon — autorité de Kadara</x:v>
      </x:c>
      <x:c r="Q23" s="9" t="str">
        <x:v>MEA-SRC-HIGH-NOON</x:v>
      </x:c>
      <x:c r="R23" s="9" t="str">
        <x:v>https://masseffect.fandom.com/wiki/High_Noon</x:v>
      </x:c>
      <x:c r="S23" s="9" t="str">
        <x:v>Spécification à réaliser. Les champs adaptation, gameplay, visual, animation, audio et implementation décrivent le fan game ; ils ne donnent pas des caractéristiques officielles de l’œuvre.</x:v>
      </x:c>
    </x:row>
    <x:row r="24" ht="68" customHeight="1">
      <x:c r="A24" s="19" t="str">
        <x:v>MEA-CHO-NILKEN</x:v>
      </x:c>
      <x:c r="B24" s="7" t="str">
        <x:v>Verdict de Nilken</x:v>
      </x:c>
      <x:c r="C24" s="15" t="str">
        <x:v>Défini</x:v>
      </x:c>
      <x:c r="D24" s="17" t="str">
        <x:v>Établi</x:v>
      </x:c>
      <x:c r="E24" s="17" t="str">
        <x:v>P1</x:v>
      </x:c>
      <x:c r="F24" s="7" t="str">
        <x:v>L’enquête distingue intention et décès.</x:v>
      </x:c>
      <x:c r="G24" s="7" t="str">
        <x:v>Présenter preuves avant libération ou exil ; le mot innocent ne réécrit pas les témoignages déjà acquis.</x:v>
      </x:c>
      <x:c r="H24" s="7" t="str">
        <x:v>Présenter preuves avant libération ou exil ; le mot innocent ne réécrit pas les témoignages déjà acquis.</x:v>
      </x:c>
      <x:c r="I24" s="7" t="str">
        <x:v>Dossier comparatif et cellule.</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mea/choices/nilken ; rattacher les ressources et états cités à cet identifiant. Aucun fichier de jeu créé par ce catalogue.</x:v>
      </x:c>
      <x:c r="M24" s="7" t="str"/>
      <x:c r="N24" s="7" t="str">
        <x:v>Le livrable « Verdict de Nilken » possède une scène ou un scénario de contrôle ; ses règles proposées, ses conditions et ses retours visuels sont vérifiables séparément.</x:v>
      </x:c>
      <x:c r="O24" s="7" t="str"/>
      <x:c r="P24" s="7" t="str">
        <x:v>Verdict de Nilken</x:v>
      </x:c>
      <x:c r="Q24" s="7" t="str">
        <x:v>MEA-SRC-MURDER</x:v>
      </x:c>
      <x:c r="R24" s="7" t="str">
        <x:v>https://masseffect.fandom.com/wiki/First_Murderer</x:v>
      </x:c>
      <x:c r="S24" s="7" t="str">
        <x:v>Spécification à réaliser. Les champs adaptation, gameplay, visual, animation, audio et implementation décrivent le fan game ; ils ne donnent pas des caractéristiques officielles de l’œuvre.</x:v>
      </x:c>
    </x:row>
    <x:row r="25" ht="68" customHeight="1">
      <x:c r="A25" s="18" t="str">
        <x:v>MEA-CHO-CRYO</x:v>
      </x:c>
      <x:c r="B25" s="9" t="str">
        <x:v>Réveil des proches en cryostase</x:v>
      </x:c>
      <x:c r="C25" s="15" t="str">
        <x:v>Défini</x:v>
      </x:c>
      <x:c r="D25" s="16" t="str">
        <x:v>Établi</x:v>
      </x:c>
      <x:c r="E25" s="16" t="str">
        <x:v>P1</x:v>
      </x:c>
      <x:c r="F25" s="9" t="str">
        <x:v>Sleeping Dragons pose une demande collective.</x:v>
      </x:c>
      <x:c r="G25" s="9" t="str">
        <x:v>Décision de gestion de population avec réponse aux familles ; ne pas ajouter un chronomètre de mort des proches absent de l’œuvre.</x:v>
      </x:c>
      <x:c r="H25" s="9" t="str">
        <x:v>Décision de gestion de population avec réponse aux familles ; ne pas ajouter un chronomètre de mort des proches absent de l’œuvre.</x:v>
      </x:c>
      <x:c r="I25" s="9" t="str">
        <x:v>Protestataires et registre de pods.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mea/choices/cryo ; rattacher les ressources et états cités à cet identifiant. Aucun fichier de jeu créé par ce catalogue.</x:v>
      </x:c>
      <x:c r="M25" s="9" t="str"/>
      <x:c r="N25" s="9" t="str">
        <x:v>Le livrable « Réveil des proches en cryostase » possède une scène ou un scénario de contrôle ; ses règles proposées, ses conditions et ses retours visuels sont vérifiables séparément.</x:v>
      </x:c>
      <x:c r="O25" s="9" t="str"/>
      <x:c r="P25" s="9" t="str">
        <x:v>Réveil des proches en cryostase</x:v>
      </x:c>
      <x:c r="Q25" s="9" t="str">
        <x:v>MEA-SRC-DRAGONS</x:v>
      </x:c>
      <x:c r="R25" s="9" t="str">
        <x:v>https://masseffect.fandom.com/wiki/Sleeping_Dragons</x:v>
      </x:c>
      <x:c r="S25" s="9" t="str">
        <x:v>Spécification à réaliser. Les champs adaptation, gameplay, visual, animation, audio et implementation décrivent le fan game ; ils ne donnent pas des caractéristiques officielles de l’œuvre.</x:v>
      </x:c>
    </x:row>
    <x:row r="26" ht="68" customHeight="1">
      <x:c r="A26" s="19" t="str">
        <x:v>MEA-CHO-AI-LIFE</x:v>
      </x:c>
      <x:c r="B26" s="7" t="str">
        <x:v>Détruire ou conserver l’IA ancienne</x:v>
      </x:c>
      <x:c r="C26" s="15" t="str">
        <x:v>Défini</x:v>
      </x:c>
      <x:c r="D26" s="17" t="str">
        <x:v>Établi</x:v>
      </x:c>
      <x:c r="E26" s="17" t="str">
        <x:v>P1</x:v>
      </x:c>
      <x:c r="F26" s="7" t="str">
        <x:v>L’IA retient un prisonnier.</x:v>
      </x:c>
      <x:c r="G26" s="7" t="str">
        <x:v>Deux résolutions cohérentes de l’otage ; confirmation avec informations connues, pas d’option cachée sauvant tout par rechargement de dialogue.</x:v>
      </x:c>
      <x:c r="H26" s="7" t="str">
        <x:v>Deux résolutions cohérentes de l’otage ; confirmation avec informations connues, pas d’option cachée sauvant tout par rechargement de dialogue.</x:v>
      </x:c>
      <x:c r="I26" s="7" t="str">
        <x:v>Otage, console ancienne et ligne de menace.</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mea/choices/ai-life ; rattacher les ressources et états cités à cet identifiant. Aucun fichier de jeu créé par ce catalogue.</x:v>
      </x:c>
      <x:c r="M26" s="7" t="str"/>
      <x:c r="N26" s="7" t="str">
        <x:v>Le livrable « Détruire ou conserver l’IA ancienne » possède une scène ou un scénario de contrôle ; ses règles proposées, ses conditions et ses retours visuels sont vérifiables séparément.</x:v>
      </x:c>
      <x:c r="O26" s="7" t="str"/>
      <x:c r="P26" s="7" t="str">
        <x:v>Détruire ou conserver l’IA ancienne</x:v>
      </x:c>
      <x:c r="Q26" s="7" t="str">
        <x:v>MEA-SRC-ANCIENT-AI</x:v>
      </x:c>
      <x:c r="R26" s="7" t="str">
        <x:v>https://masseffect.fandom.com/wiki/Uncovering_the_Past</x:v>
      </x:c>
      <x:c r="S26" s="7" t="str">
        <x:v>Spécification à réaliser. Les champs adaptation, gameplay, visual, animation, audio et implementation décrivent le fan game ; ils ne donnent pas des caractéristiques officielles de l’œuvre.</x:v>
      </x:c>
    </x:row>
    <x:row r="27" ht="68" customHeight="1">
      <x:c r="A27" s="18" t="str">
        <x:v>MEA-CHO-AI-OWNER</x:v>
      </x:c>
      <x:c r="B27" s="9" t="str">
        <x:v>Confier l’IA aux angara ou à SAM</x:v>
      </x:c>
      <x:c r="C27" s="15" t="str">
        <x:v>Défini</x:v>
      </x:c>
      <x:c r="D27" s="16" t="str">
        <x:v>Établi</x:v>
      </x:c>
      <x:c r="E27" s="16" t="str">
        <x:v>P1</x:v>
      </x:c>
      <x:c r="F27" s="9" t="str">
        <x:v>Le destinataire est choisi si l’IA survit.</x:v>
      </x:c>
      <x:c r="G27" s="9" t="str">
        <x:v>Présence future au bon hub et éventuel soutien final ; aucun double exemplaire dans SAM Node et Aya.</x:v>
      </x:c>
      <x:c r="H27" s="9" t="str">
        <x:v>Présence future au bon hub et éventuel soutien final ; aucun double exemplaire dans SAM Node et Aya.</x:v>
      </x:c>
      <x:c r="I27" s="9" t="str">
        <x:v>Deux destinations d’archive.</x:v>
      </x:c>
      <x:c r="J27" s="9" t="str">
        <x:v>Nommer les variantes de scène et leurs positions finales ; saut de cinématique, réduction de mouvement et lecture complète appliquent le même état. Deux destinations d’archive.</x:v>
      </x:c>
      <x:c r="K27" s="9" t="str">
        <x:v>Répliques originales par branche et sous-titres nominatifs ; supprimer les voix d’acteurs absents avant mixage et conserver les informations de danger en texte.</x:v>
      </x:c>
      <x:c r="L27" s="9" t="str">
        <x:v>Prévu : fiche de données mea/choices/ai-owner ; rattacher les ressources et états cités à cet identifiant. Aucun fichier de jeu créé par ce catalogue.</x:v>
      </x:c>
      <x:c r="M27" s="9" t="str">
        <x:v>IA conservée.</x:v>
      </x:c>
      <x:c r="N27" s="9" t="str">
        <x:v>Après décision, une seule instance de l’IA existe au hub choisi ; son soutien final correspond à sa remise aux angara, la survie de l’otage suit la décision précédente sans possibilité de double issue.</x:v>
      </x:c>
      <x:c r="O27" s="9" t="str"/>
      <x:c r="P27" s="9" t="str">
        <x:v>Confier l’IA aux angara ou à SAM</x:v>
      </x:c>
      <x:c r="Q27" s="9" t="str">
        <x:v>MEA-SRC-ANCIENT-AI</x:v>
      </x:c>
      <x:c r="R27" s="9" t="str">
        <x:v>https://masseffect.fandom.com/wiki/Uncovering_the_Past</x:v>
      </x:c>
      <x:c r="S27" s="9" t="str">
        <x:v>Spécification à réaliser. Les champs adaptation, gameplay, visual, animation, audio et implementation décrivent le fan game ; ils ne donnent pas des caractéristiques officielles de l’œuvre.</x:v>
      </x:c>
    </x:row>
    <x:row r="28" ht="68" customHeight="1">
      <x:c r="A28" s="19" t="str">
        <x:v>MEA-CHO-PRIMUS</x:v>
      </x:c>
      <x:c r="B28" s="7" t="str">
        <x:v>Accepter l’aide proposée par la Primus</x:v>
      </x:c>
      <x:c r="C28" s="15" t="str">
        <x:v>Défini</x:v>
      </x:c>
      <x:c r="D28" s="17" t="str">
        <x:v>Établi</x:v>
      </x:c>
      <x:c r="E28" s="17" t="str">
        <x:v>P1</x:v>
      </x:c>
      <x:c r="F28" s="7" t="str">
        <x:v>Un accord kett peut être discuté.</x:v>
      </x:c>
      <x:c r="G28" s="7" t="str">
        <x:v>Enregistrer proposition, accord et utilisation séparés ; aucun changement universel de faction kett en alliés.</x:v>
      </x:c>
      <x:c r="H28" s="7" t="str">
        <x:v>Enregistrer proposition, accord et utilisation séparés ; aucun changement universel de faction kett en alliés.</x:v>
      </x:c>
      <x:c r="I28" s="7" t="str">
        <x:v>Communication kett et code d’accès.</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mea/choices/primus ; rattacher les ressources et états cités à cet identifiant. Aucun fichier de jeu créé par ce catalogue.</x:v>
      </x:c>
      <x:c r="M28" s="7" t="str"/>
      <x:c r="N28" s="7" t="str">
        <x:v>Le livrable « Accepter l’aide proposée par la Primus » possède une scène ou un scénario de contrôle ; ses règles proposées, ses conditions et ses retours visuels sont vérifiables séparément.</x:v>
      </x:c>
      <x:c r="O28" s="7" t="str"/>
      <x:c r="P28" s="7" t="str">
        <x:v>Accepter l’aide proposée par la Primus</x:v>
      </x:c>
      <x:c r="Q28" s="7" t="str">
        <x:v>MEA-SRC-MISSIONS</x:v>
      </x:c>
      <x:c r="R28" s="7" t="str">
        <x:v>https://masseffect.fandom.com/wiki/Missions_%28Mass_Effect%3A_Andromeda%29</x:v>
      </x:c>
      <x:c r="S28" s="7" t="str">
        <x:v>Spécification à réaliser. Les champs adaptation, gameplay, visual, animation, audio et implementation décrivent le fan game ; ils ne donnent pas des caractéristiques officielles de l’œuvre.</x:v>
      </x:c>
    </x:row>
    <x:row r="29" ht="82" customHeight="1">
      <x:c r="A29" s="18" t="str">
        <x:v>MEA-CHO-DUNN</x:v>
      </x:c>
      <x:c r="B29" s="9" t="str">
        <x:v>Secours de l’Hyperion par les Pionniers</x:v>
      </x:c>
      <x:c r="C29" s="15" t="str">
        <x:v>Défini</x:v>
      </x:c>
      <x:c r="D29" s="16" t="str">
        <x:v>Établi</x:v>
      </x:c>
      <x:c r="E29" s="16" t="str">
        <x:v>P1</x:v>
      </x:c>
      <x:c r="F29" s="9" t="str">
        <x:v>Le final dépend des Pionniers disponibles.</x:v>
      </x:c>
      <x:c r="G29" s="9" t="str">
        <x:v>Matrice des quatre fonctions, Avitus et variantes asari/galarienne ; chaque secours vérifie personnages effectifs avant animation.</x:v>
      </x:c>
      <x:c r="H29" s="9" t="str">
        <x:v>Matrice des quatre fonctions, Avitus et variantes asari/galarienne ; chaque secours vérifie personnages effectifs avant animation.</x:v>
      </x:c>
      <x:c r="I29" s="9" t="str">
        <x:v>Hyperion en descente et communications.</x:v>
      </x:c>
      <x:c r="J29" s="9" t="str">
        <x:v>Nommer les variantes de scène et leurs positions finales ; saut de cinématique, réduction de mouvement et lecture complète appliquent le même état. Hyperion en descente et communications.</x:v>
      </x:c>
      <x:c r="K29" s="9" t="str">
        <x:v>Répliques originales par branche et sous-titres nominatifs ; supprimer les voix d’acteurs absents avant mixage et conserver les informations de danger en texte.</x:v>
      </x:c>
      <x:c r="L29" s="9" t="str">
        <x:v>Prévu : fiche de données mea/choices/dunn ; rattacher les ressources et états cités à cet identifiant. Aucun fichier de jeu créé par ce catalogue.</x:v>
      </x:c>
      <x:c r="M29" s="9" t="str"/>
      <x:c r="N29" s="9" t="str">
        <x:v>Tester les quatre fonctions de Pionnier avec variantes asari/galarienne, Avitus présent et absent ; une fonction vide ne déclenche pas une communication de secours. L’état de Dunn est identique dans cinématique et Port Meridian.</x:v>
      </x:c>
      <x:c r="O29" s="9" t="str"/>
      <x:c r="P29" s="9" t="str">
        <x:v>Secours de l’Hyperion par les Pionniers</x:v>
      </x:c>
      <x:c r="Q29" s="9" t="str">
        <x:v>MEA-SRC-DUNN, MEA-SRC-TURIAN-LOST, MEA-SRC-MERIDIAN</x:v>
      </x:c>
      <x:c r="R29" s="9" t="str">
        <x:v>https://masseffect.fandom.com/wiki/Nozomi_Dunn
https://masseffect.fandom.com/wiki/Turian_Ark%3A_Lost_But_Not_Forgotten
https://masseffect.fandom.com/wiki/Meridian%3A_The_Way_Home</x:v>
      </x:c>
      <x:c r="S29" s="9" t="str">
        <x:v>Spécification à réaliser. Les champs adaptation, gameplay, visual, animation, audio et implementation décrivent le fan game ; ils ne donnent pas des caractéristiques officielles de l’œuvre.</x:v>
      </x:c>
    </x:row>
    <x:row r="30" ht="68" customHeight="1">
      <x:c r="A30" s="19" t="str">
        <x:v>MEA-CHO-AMBASSADOR</x:v>
      </x:c>
      <x:c r="B30" s="7" t="str">
        <x:v>Choix de l’ambassadeur de Heleus</x:v>
      </x:c>
      <x:c r="C30" s="15" t="str">
        <x:v>Défini</x:v>
      </x:c>
      <x:c r="D30" s="17" t="str">
        <x:v>Établi</x:v>
      </x:c>
      <x:c r="E30" s="17" t="str">
        <x:v>P1</x:v>
      </x:c>
      <x:c r="F30" s="7" t="str">
        <x:v>L’épilogue propose une nomination.</x:v>
      </x:c>
      <x:c r="G30" s="7" t="str">
        <x:v>Liste des candidats réellement disponibles ; rôle diplomatique enregistré sans promettre une suite politique non développée.</x:v>
      </x:c>
      <x:c r="H30" s="7" t="str">
        <x:v>Liste des candidats réellement disponibles ; rôle diplomatique enregistré sans promettre une suite politique non développée.</x:v>
      </x:c>
      <x:c r="I30" s="7" t="str">
        <x:v>Dirigeants réunis à Port Meridian.</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mea/choices/ambassador ; rattacher les ressources et états cités à cet identifiant. Aucun fichier de jeu créé par ce catalogue.</x:v>
      </x:c>
      <x:c r="M30" s="7" t="str"/>
      <x:c r="N30" s="7" t="str">
        <x:v>Le livrable « Choix de l’ambassadeur de Heleus » possède une scène ou un scénario de contrôle ; ses règles proposées, ses conditions et ses retours visuels sont vérifiables séparément.</x:v>
      </x:c>
      <x:c r="O30" s="7" t="str"/>
      <x:c r="P30" s="7" t="str">
        <x:v>Choix de l’ambassadeur de Heleus</x:v>
      </x:c>
      <x:c r="Q30" s="7" t="str">
        <x:v>MEA-SRC-EPILOGUE</x:v>
      </x:c>
      <x:c r="R30" s="7" t="str">
        <x:v>https://masseffect.fandom.com/wiki/Epilogue%3A_Home_and_Away</x:v>
      </x:c>
      <x:c r="S30" s="7" t="str">
        <x:v>Spécification à réaliser. Les champs adaptation, gameplay, visual, animation, audio et implementation décrivent le fan game ; ils ne donnent pas des caractéristiques officielles de l’œuvre.</x:v>
      </x:c>
    </x:row>
    <x:row r="31" ht="68" customHeight="1">
      <x:c r="A31" s="18" t="str">
        <x:v>MEA-CHO-ELLEN</x:v>
      </x:c>
      <x:c r="B31" s="9" t="str">
        <x:v>Partager les secrets familiaux</x:v>
      </x:c>
      <x:c r="C31" s="15" t="str">
        <x:v>Défini</x:v>
      </x:c>
      <x:c r="D31" s="16" t="str">
        <x:v>Établi</x:v>
      </x:c>
      <x:c r="E31" s="16" t="str">
        <x:v>P1</x:v>
      </x:c>
      <x:c r="F31" s="9" t="str">
        <x:v>La chaîne dévoile la vérité sur Ellen.</x:v>
      </x:c>
      <x:c r="G31" s="9" t="str">
        <x:v>États de mémoire, logs et rencontre du jumeau séparés ; connaissance n’est pas transmise avant accès à la dernière scène.</x:v>
      </x:c>
      <x:c r="H31" s="9" t="str">
        <x:v>États de mémoire, logs et rencontre du jumeau séparés ; connaissance n’est pas transmise avant accès à la dernière scène.</x:v>
      </x:c>
      <x:c r="I31" s="9" t="str">
        <x:v>Pod et deux Ryder.</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mea/choices/ellen ; rattacher les ressources et états cités à cet identifiant. Aucun fichier de jeu créé par ce catalogue.</x:v>
      </x:c>
      <x:c r="M31" s="9" t="str">
        <x:v>Arc de famille complété au moment admis.</x:v>
      </x:c>
      <x:c r="N31" s="9" t="str">
        <x:v>Le livrable « Partager les secrets familiaux » possède une scène ou un scénario de contrôle ; ses règles proposées, ses conditions et ses retours visuels sont vérifiables séparément.</x:v>
      </x:c>
      <x:c r="O31" s="9" t="str"/>
      <x:c r="P31" s="9" t="str">
        <x:v>Partager les secrets familiaux</x:v>
      </x:c>
      <x:c r="Q31" s="9" t="str">
        <x:v>MEA-SRC-FAMILY</x:v>
      </x:c>
      <x:c r="R31" s="9" t="str">
        <x:v>https://masseffect.fandom.com/wiki/Ryder_Family_Secrets</x:v>
      </x:c>
      <x:c r="S31" s="9" t="str">
        <x:v>Spécification à réaliser. Les champs adaptation, gameplay, visual, animation, audio et implementation décrivent le fan game ; ils ne donnent pas des caractéristiques officielles de l’œuvre.</x:v>
      </x:c>
    </x:row>
    <x:row r="32" ht="68" customHeight="1">
      <x:c r="A32" s="19" t="str">
        <x:v>MEA-CHO-ROMANCE</x:v>
      </x:c>
      <x:c r="B32" s="7" t="str">
        <x:v>Relations de Ryder</x:v>
      </x:c>
      <x:c r="C32" s="15" t="str">
        <x:v>Défini</x:v>
      </x:c>
      <x:c r="D32" s="17" t="str">
        <x:v>Établi</x:v>
      </x:c>
      <x:c r="E32" s="17" t="str">
        <x:v>P1</x:v>
      </x:c>
      <x:c r="F32" s="7" t="str">
        <x:v>Plusieurs partenaires ont des conditions propres.</x:v>
      </x:c>
      <x:c r="G32" s="7" t="str">
        <x:v>Fiches de relation par partenaire, sexe du Ryder, patch et exclusivité ; signaler engagement explicite et distinguer flirt d’amitié.</x:v>
      </x:c>
      <x:c r="H32" s="7" t="str">
        <x:v>Fiches de relation par partenaire, sexe du Ryder, patch et exclusivité ; signaler engagement explicite et distinguer flirt d’amitié.</x:v>
      </x:c>
      <x:c r="I32" s="7" t="str">
        <x:v>Portrait et historique de rencontre.</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mea/choices/romance ; rattacher les ressources et états cités à cet identifiant. Aucun fichier de jeu créé par ce catalogue.</x:v>
      </x:c>
      <x:c r="M32" s="7" t="str">
        <x:v>Jaal/Scott possible à partir du correctif 1.08.</x:v>
      </x:c>
      <x:c r="N32" s="7" t="str">
        <x:v>Le livrable « Relations de Ryder » possède une scène ou un scénario de contrôle ; ses règles proposées, ses conditions et ses retours visuels sont vérifiables séparément.</x:v>
      </x:c>
      <x:c r="O32" s="7" t="str"/>
      <x:c r="P32" s="7" t="str">
        <x:v>Relations de Ryder</x:v>
      </x:c>
      <x:c r="Q32" s="7" t="str">
        <x:v>MEA-SRC-ROMANCE, MEA-SRC-BW-108</x:v>
      </x:c>
      <x:c r="R32" s="7" t="str">
        <x:v>https://masseffect.fandom.com/wiki/Romance_%28Mass_Effect%3A_Andromeda%29
https://blog.bioware.com/2017/06/06/mass-effect-andromeda-patch-1-08-notes/</x:v>
      </x:c>
      <x:c r="S32" s="7" t="str">
        <x:v>Spécification à réaliser. Les champs adaptation, gameplay, visual, animation, audio et implementation décrivent le fan game ; ils ne donnent pas des caractéristiques officielles de l’œuvre.</x:v>
      </x:c>
    </x:row>
    <x:row r="33" ht="68" customHeight="1">
      <x:c r="A33" s="18" t="str">
        <x:v>MEA-CHO-RESTORE</x:v>
      </x:c>
      <x:c r="B33" s="9" t="str">
        <x:v>Restauration et implantation</x:v>
      </x:c>
      <x:c r="C33" s="15" t="str">
        <x:v>Défini</x:v>
      </x:c>
      <x:c r="D33" s="16" t="str">
        <x:v>Établi</x:v>
      </x:c>
      <x:c r="E33" s="16" t="str">
        <x:v>P1</x:v>
      </x:c>
      <x:c r="F33" s="9" t="str">
        <x:v>Caveau et avant-poste sont distincts.</x:v>
      </x:c>
      <x:c r="G33" s="9" t="str">
        <x:v>Un monde restauré reste à négocier/implanter ; pas de validation automatique de toutes ses tâches ni suppression de tous dangers.</x:v>
      </x:c>
      <x:c r="H33" s="9" t="str">
        <x:v>Un monde restauré reste à négocier/implanter ; pas de validation automatique de toutes ses tâches ni suppression de tous dangers.</x:v>
      </x:c>
      <x:c r="I33" s="9" t="str">
        <x:v>Deux états sur carte planétaire.</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mea/choices/restore ; rattacher les ressources et états cités à cet identifiant. Aucun fichier de jeu créé par ce catalogue.</x:v>
      </x:c>
      <x:c r="M33" s="9" t="str"/>
      <x:c r="N33" s="9" t="str">
        <x:v>Le livrable « Restauration et implantation » possède une scène ou un scénario de contrôle ; ses règles proposées, ses conditions et ses retours visuels sont vérifiables séparément.</x:v>
      </x:c>
      <x:c r="O33" s="9" t="str"/>
      <x:c r="P33" s="9" t="str">
        <x:v>Restauration et implantation</x:v>
      </x:c>
      <x:c r="Q33" s="9" t="str">
        <x:v>MEA-SRC-VAULT, MEA-SRC-MISSIONS</x:v>
      </x:c>
      <x:c r="R33" s="9" t="str">
        <x:v>https://masseffect.fandom.com/wiki/Vault
https://masseffect.fandom.com/wiki/Missions_%28Mass_Effect%3A_Andromeda%29</x:v>
      </x:c>
      <x:c r="S33" s="9" t="str">
        <x:v>Spécification à réaliser. Les champs adaptation, gameplay, visual, animation, audio et implementation décrivent le fan game ; ils ne donnent pas des caractéristiques officielles de l’œuvre.</x:v>
      </x:c>
    </x:row>
  </x:sheetData>
  <x:conditionalFormatting sqref="D7:D33">
    <x:cfRule type="cellIs" dxfId="44" priority="1" operator="equal">
      <x:formula>"À vérifier"</x:formula>
    </x:cfRule>
    <x:cfRule type="cellIs" dxfId="45" priority="2" operator="equal">
      <x:formula>"Extrapolation"</x:formula>
    </x:cfRule>
  </x:conditionalFormatting>
  <x:conditionalFormatting sqref="C7:C33">
    <x:cfRule type="cellIs" dxfId="46" priority="3" operator="equal">
      <x:formula>"Validé"</x:formula>
    </x:cfRule>
  </x:conditionalFormatting>
  <x:conditionalFormatting sqref="E7:E33">
    <x:cfRule type="cellIs" dxfId="47" priority="4" operator="equal">
      <x:formula>"P0"</x:formula>
    </x:cfRule>
  </x:conditionalFormatting>
  <x:dataValidations count="3">
    <x:dataValidation type="list" sqref="C7:C33">
      <x:formula1>"Défini,Prototype,Intégré,Validé"</x:formula1>
    </x:dataValidation>
    <x:dataValidation type="list" sqref="D7:D33">
      <x:formula1>"Établi,À vérifier,Extrapolation,Coupé attesté,Concept abandonné,Allégation écartée"</x:formula1>
    </x:dataValidation>
    <x:dataValidation type="list" sqref="E7:E33">
      <x:formula1>"P0,P1,P2"</x:formula1>
    </x:dataValidation>
  </x:dataValidations>
  <x:pageMargins left="0.7" right="0.7" top="0.75" bottom="0.75" header="0.3" footer="0.3"/>
  <x:tableParts count="1">
    <x:tablePart xmlns:r="http://schemas.openxmlformats.org/officeDocument/2006/relationships" r:id="R3334c6c8a6634a7c"/>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Andromeda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MEA-DIA-SAM</x:v>
      </x:c>
      <x:c r="B7" s="9" t="str">
        <x:v>Conseils et analyses de SAM</x:v>
      </x:c>
      <x:c r="C7" s="15" t="str">
        <x:v>Défini</x:v>
      </x:c>
      <x:c r="D7" s="16" t="str">
        <x:v>Extrapolation</x:v>
      </x:c>
      <x:c r="E7" s="16" t="str">
        <x:v>P1</x:v>
      </x:c>
      <x:c r="F7" s="9" t="str">
        <x:v>Livrable original proposé : Conseils et analyses de SAM.</x:v>
      </x:c>
      <x:c r="G7" s="9" t="str">
        <x:v>Répliques originales courtes selon découverte ; espacer alertes de danger déjà connus et afficher source d’information.</x:v>
      </x:c>
      <x:c r="H7" s="9" t="str">
        <x:v>Répliques originales courtes selon découverte ; espacer alertes de danger déjà connus et afficher source d’information.</x:v>
      </x:c>
      <x:c r="I7" s="9" t="str">
        <x:v>Sous-titres avec nom SAM.</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mea/dialogues/sam ; rattacher les ressources et états cités à cet identifiant. Aucun fichier de jeu créé par ce catalogue.</x:v>
      </x:c>
      <x:c r="M7" s="9" t="str"/>
      <x:c r="N7" s="9" t="str">
        <x:v>Le livrable « Conseils et analyses de SAM » possède une scène ou un scénario de contrôle ; ses règles proposées, ses conditions et ses retours visuels sont vérifiables séparément.</x:v>
      </x:c>
      <x:c r="O7" s="9" t="str">
        <x:v>MEA-NPC-SAM</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MEA-DIA-LEADERS</x:v>
      </x:c>
      <x:c r="B8" s="7" t="str">
        <x:v>Entretiens de direction du Nexus</x:v>
      </x:c>
      <x:c r="C8" s="15" t="str">
        <x:v>Défini</x:v>
      </x:c>
      <x:c r="D8" s="17" t="str">
        <x:v>Extrapolation</x:v>
      </x:c>
      <x:c r="E8" s="17" t="str">
        <x:v>P1</x:v>
      </x:c>
      <x:c r="F8" s="7" t="str">
        <x:v>Livrable original proposé : Entretiens de direction du Nexus.</x:v>
      </x:c>
      <x:c r="G8" s="7" t="str">
        <x:v>Chaque responsable a son domaine, ses preuves et décisions ; dialogue de rapport distinct d’une autorisation politique.</x:v>
      </x:c>
      <x:c r="H8" s="7" t="str">
        <x:v>Chaque responsable a son domaine, ses preuves et décisions ; dialogue de rapport distinct d’une autorisation politique.</x:v>
      </x:c>
      <x:c r="I8" s="7" t="str">
        <x:v>Quatre portraits et bureaux.</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mea/dialogues/leaders ; rattacher les ressources et états cités à cet identifiant. Aucun fichier de jeu créé par ce catalogue.</x:v>
      </x:c>
      <x:c r="M8" s="7" t="str"/>
      <x:c r="N8" s="7" t="str">
        <x:v>Le livrable « Entretiens de direction du Nexus » possède une scène ou un scénario de contrôle ; ses règles proposées, ses conditions et ses retours visuels sont vérifiables séparément.</x:v>
      </x:c>
      <x:c r="O8" s="7" t="str">
        <x:v>MEA-NPC-TANN, MEA-NPC-ADDISON, MEA-NPC-KANDROS, MEA-NPC-KESH</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MEA-DIA-FIRST-CONTACT</x:v>
      </x:c>
      <x:c r="B9" s="9" t="str">
        <x:v>Premier contact angara</x:v>
      </x:c>
      <x:c r="C9" s="15" t="str">
        <x:v>Défini</x:v>
      </x:c>
      <x:c r="D9" s="16" t="str">
        <x:v>Extrapolation</x:v>
      </x:c>
      <x:c r="E9" s="16" t="str">
        <x:v>P1</x:v>
      </x:c>
      <x:c r="F9" s="9" t="str">
        <x:v>Livrable original proposé : Premier contact angara.</x:v>
      </x:c>
      <x:c r="G9" s="9" t="str">
        <x:v>Restrictions, curiosité et négociation progressives ; pas d’exposition de toute la culture au premier entretien.</x:v>
      </x:c>
      <x:c r="H9" s="9" t="str">
        <x:v>Restrictions, curiosité et négociation progressives ; pas d’exposition de toute la culture au premier entretien.</x:v>
      </x:c>
      <x:c r="I9" s="9" t="str">
        <x:v>Aya et cadrages d’interlocuteurs.</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mea/dialogues/first-contact ; rattacher les ressources et états cités à cet identifiant. Aucun fichier de jeu créé par ce catalogue.</x:v>
      </x:c>
      <x:c r="M9" s="9" t="str"/>
      <x:c r="N9" s="9" t="str">
        <x:v>Le livrable « Premier contact angara » possède une scène ou un scénario de contrôle ; ses règles proposées, ses conditions et ses retours visuels sont vérifiables séparément.</x:v>
      </x:c>
      <x:c r="O9" s="9" t="str">
        <x:v>MEA-MQ-AYA</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MEA-DIA-MOSHAE</x:v>
      </x:c>
      <x:c r="B10" s="7" t="str">
        <x:v>Débrief du secours de la Moshae</x:v>
      </x:c>
      <x:c r="C10" s="15" t="str">
        <x:v>Défini</x:v>
      </x:c>
      <x:c r="D10" s="17" t="str">
        <x:v>Extrapolation</x:v>
      </x:c>
      <x:c r="E10" s="17" t="str">
        <x:v>P1</x:v>
      </x:c>
      <x:c r="F10" s="7" t="str">
        <x:v>Livrable original proposé : Débrief du secours de la Moshae.</x:v>
      </x:c>
      <x:c r="G10" s="7" t="str">
        <x:v>Écrire réactions selon site/captifs/Cardinal ; la colère éventuelle reste compatible avec suite de mission, sans softlock d’autorisation.</x:v>
      </x:c>
      <x:c r="H10" s="7" t="str">
        <x:v>Écrire réactions selon site/captifs/Cardinal ; la colère éventuelle reste compatible avec suite de mission, sans softlock d’autorisation.</x:v>
      </x:c>
      <x:c r="I10" s="7" t="str">
        <x:v>Moshae et Evfra après secours.</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mea/dialogues/moshae ; rattacher les ressources et états cités à cet identifiant. Aucun fichier de jeu créé par ce catalogue.</x:v>
      </x:c>
      <x:c r="M10" s="7" t="str"/>
      <x:c r="N10" s="7" t="str">
        <x:v>Le livrable « Débrief du secours de la Moshae » possède une scène ou un scénario de contrôle ; ses règles proposées, ses conditions et ses retours visuels sont vérifiables séparément.</x:v>
      </x:c>
      <x:c r="O10" s="7" t="str">
        <x:v>MEA-CHO-MOSHAE, MEA-CHO-CARDINAL</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MEA-DIA-CORA</x:v>
      </x:c>
      <x:c r="B11" s="9" t="str">
        <x:v>Cora face à Sarissa</x:v>
      </x:c>
      <x:c r="C11" s="15" t="str">
        <x:v>Défini</x:v>
      </x:c>
      <x:c r="D11" s="16" t="str">
        <x:v>Extrapolation</x:v>
      </x:c>
      <x:c r="E11" s="16" t="str">
        <x:v>P1</x:v>
      </x:c>
      <x:c r="F11" s="9" t="str">
        <x:v>Livrable original proposé : Cora face à Sarissa.</x:v>
      </x:c>
      <x:c r="G11" s="9" t="str">
        <x:v>Échange sur confiance et devoir après découverte du journal ; révélation publique et nomination séparées dans roue de dialogue.</x:v>
      </x:c>
      <x:c r="H11" s="9" t="str">
        <x:v>Échange sur confiance et devoir après découverte du journal ; révélation publique et nomination séparées dans roue de dialogue.</x:v>
      </x:c>
      <x:c r="I11" s="9" t="str">
        <x:v>Passerelle Leusinia et portraits.</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mea/dialogues/cora ; rattacher les ressources et états cités à cet identifiant. Aucun fichier de jeu créé par ce catalogue.</x:v>
      </x:c>
      <x:c r="M11" s="9" t="str"/>
      <x:c r="N11" s="9" t="str">
        <x:v>Le livrable « Cora face à Sarissa » possède une scène ou un scénario de contrôle ; ses règles proposées, ses conditions et ses retours visuels sont vérifiables séparément.</x:v>
      </x:c>
      <x:c r="O11" s="9" t="str">
        <x:v>MEA-CHO-SARISSA-TRUTH, MEA-CHO-SARISSA-ROLE</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MEA-DIA-JAAL</x:v>
      </x:c>
      <x:c r="B12" s="7" t="str">
        <x:v>Jaal et sa famille</x:v>
      </x:c>
      <x:c r="C12" s="15" t="str">
        <x:v>Défini</x:v>
      </x:c>
      <x:c r="D12" s="17" t="str">
        <x:v>Extrapolation</x:v>
      </x:c>
      <x:c r="E12" s="17" t="str">
        <x:v>P1</x:v>
      </x:c>
      <x:c r="F12" s="7" t="str">
        <x:v>Livrable original proposé : Jaal et sa famille.</x:v>
      </x:c>
      <x:c r="G12" s="7" t="str">
        <x:v>Identifier chaque locuteur et point de vue ; silence de Ryder au moment de confiance doit être reconnu comme action.</x:v>
      </x:c>
      <x:c r="H12" s="7" t="str">
        <x:v>Identifier chaque locuteur et point de vue ; silence de Ryder au moment de confiance doit être reconnu comme action.</x:v>
      </x:c>
      <x:c r="I12" s="7" t="str">
        <x:v>Village angara et groupe familial.</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mea/dialogues/jaal ; rattacher les ressources et états cités à cet identifiant. Aucun fichier de jeu créé par ce catalogue.</x:v>
      </x:c>
      <x:c r="M12" s="7" t="str"/>
      <x:c r="N12" s="7" t="str">
        <x:v>Le livrable « Jaal et sa famille » possède une scène ou un scénario de contrôle ; ses règles proposées, ses conditions et ses retours visuels sont vérifiables séparément.</x:v>
      </x:c>
      <x:c r="O12" s="7" t="str">
        <x:v>MEA-CHO-AKKSUL</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MEA-DIA-DRACK</x:v>
      </x:c>
      <x:c r="B13" s="9" t="str">
        <x:v>Drack, avenir et Spender</x:v>
      </x:c>
      <x:c r="C13" s="15" t="str">
        <x:v>Défini</x:v>
      </x:c>
      <x:c r="D13" s="16" t="str">
        <x:v>Extrapolation</x:v>
      </x:c>
      <x:c r="E13" s="16" t="str">
        <x:v>P1</x:v>
      </x:c>
      <x:c r="F13" s="9" t="str">
        <x:v>Livrable original proposé : Drack, avenir et Spender.</x:v>
      </x:c>
      <x:c r="G13" s="9" t="str">
        <x:v>Différencier rancœur institutionnelle, graines et protection de Vorn ; accusation finale appuyée par dossier réellement obtenu.</x:v>
      </x:c>
      <x:c r="H13" s="9" t="str">
        <x:v>Différencier rancœur institutionnelle, graines et protection de Vorn ; accusation finale appuyée par dossier réellement obtenu.</x:v>
      </x:c>
      <x:c r="I13" s="9" t="str">
        <x:v>Serre puis bureau Nexus.</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mea/dialogues/drack ; rattacher les ressources et états cités à cet identifiant. Aucun fichier de jeu créé par ce catalogue.</x:v>
      </x:c>
      <x:c r="M13" s="9" t="str"/>
      <x:c r="N13" s="9" t="str">
        <x:v>Le livrable « Drack, avenir et Spender » possède une scène ou un scénario de contrôle ; ses règles proposées, ses conditions et ses retours visuels sont vérifiables séparément.</x:v>
      </x:c>
      <x:c r="O13" s="9" t="str">
        <x:v>MEA-SQ-DRACK-FUTURE, MEA-CHO-SPENDER</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MEA-DIA-VETRA</x:v>
      </x:c>
      <x:c r="B14" s="7" t="str">
        <x:v>Vetra et Sid après le piège</x:v>
      </x:c>
      <x:c r="C14" s="15" t="str">
        <x:v>Défini</x:v>
      </x:c>
      <x:c r="D14" s="17" t="str">
        <x:v>Extrapolation</x:v>
      </x:c>
      <x:c r="E14" s="17" t="str">
        <x:v>P1</x:v>
      </x:c>
      <x:c r="F14" s="7" t="str">
        <x:v>Livrable original proposé : Vetra et Sid après le piège.</x:v>
      </x:c>
      <x:c r="G14" s="7" t="str">
        <x:v>Réactions selon aides de Sid et choix de protection ; relation sororale n’est pas un simple niveau de loyauté.</x:v>
      </x:c>
      <x:c r="H14" s="7" t="str">
        <x:v>Réactions selon aides de Sid et choix de protection ; relation sororale n’est pas un simple niveau de loyauté.</x:v>
      </x:c>
      <x:c r="I14" s="7" t="str">
        <x:v>Communication privée et cabine turienne.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mea/dialogues/vetra ; rattacher les ressources et états cités à cet identifiant. Aucun fichier de jeu créé par ce catalogue.</x:v>
      </x:c>
      <x:c r="M14" s="7" t="str"/>
      <x:c r="N14" s="7" t="str">
        <x:v>Le livrable « Vetra et Sid après le piège » possède une scène ou un scénario de contrôle ; ses règles proposées, ses conditions et ses retours visuels sont vérifiables séparément.</x:v>
      </x:c>
      <x:c r="O14" s="7" t="str">
        <x:v>MEA-SQ-VETRA-MEANS</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MEA-DIA-PEEBEE</x:v>
      </x:c>
      <x:c r="B15" s="9" t="str">
        <x:v>Peebee après Kalinda</x:v>
      </x:c>
      <x:c r="C15" s="15" t="str">
        <x:v>Défini</x:v>
      </x:c>
      <x:c r="D15" s="16" t="str">
        <x:v>Extrapolation</x:v>
      </x:c>
      <x:c r="E15" s="16" t="str">
        <x:v>P1</x:v>
      </x:c>
      <x:c r="F15" s="9" t="str">
        <x:v>Livrable original proposé : Peebee après Kalinda.</x:v>
      </x:c>
      <x:c r="G15" s="9" t="str">
        <x:v>Deux conversations selon perte ou survie, gratitude et doute distincts ; éviter même ligne de regret dans les deux branches.</x:v>
      </x:c>
      <x:c r="H15" s="9" t="str">
        <x:v>Deux conversations selon perte ou survie, gratitude et doute distincts ; éviter même ligne de regret dans les deux branches.</x:v>
      </x:c>
      <x:c r="I15" s="9" t="str">
        <x:v>Capsule et objet retrouvé ou absent.</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mea/dialogues/peebee ; rattacher les ressources et états cités à cet identifiant. Aucun fichier de jeu créé par ce catalogue.</x:v>
      </x:c>
      <x:c r="M15" s="9" t="str"/>
      <x:c r="N15" s="9" t="str">
        <x:v>Le livrable « Peebee après Kalinda » possède une scène ou un scénario de contrôle ; ses règles proposées, ses conditions et ses retours visuels sont vérifiables séparément.</x:v>
      </x:c>
      <x:c r="O15" s="9" t="str">
        <x:v>MEA-CHO-KALINDA</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MEA-DIA-LIAM</x:v>
      </x:c>
      <x:c r="B16" s="7" t="str">
        <x:v>Liam et responsabilité de l’échange</x:v>
      </x:c>
      <x:c r="C16" s="15" t="str">
        <x:v>Défini</x:v>
      </x:c>
      <x:c r="D16" s="17" t="str">
        <x:v>Extrapolation</x:v>
      </x:c>
      <x:c r="E16" s="17" t="str">
        <x:v>P1</x:v>
      </x:c>
      <x:c r="F16" s="7" t="str">
        <x:v>Livrable original proposé : Liam et responsabilité de l’échange.</x:v>
      </x:c>
      <x:c r="G16" s="7" t="str">
        <x:v>Débrief distingue initiative risquée, contact secouru et décision de détention ; options de ton ne changent pas les faits.</x:v>
      </x:c>
      <x:c r="H16" s="7" t="str">
        <x:v>Débrief distingue initiative risquée, contact secouru et décision de détention ; options de ton ne changent pas les faits.</x:v>
      </x:c>
      <x:c r="I16" s="7" t="str">
        <x:v>Tempest après vaisseau de Calot.</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mea/dialogues/liam ; rattacher les ressources et états cités à cet identifiant. Aucun fichier de jeu créé par ce catalogue.</x:v>
      </x:c>
      <x:c r="M16" s="7" t="str"/>
      <x:c r="N16" s="7" t="str">
        <x:v>Le livrable « Liam et responsabilité de l’échange » possède une scène ou un scénario de contrôle ; ses règles proposées, ses conditions et ses retours visuels sont vérifiables séparément.</x:v>
      </x:c>
      <x:c r="O16" s="7" t="str">
        <x:v>MEA-CHO-VERAND</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MEA-DIA-FAMILY</x:v>
      </x:c>
      <x:c r="B17" s="9" t="str">
        <x:v>Ryder et souvenirs familiaux</x:v>
      </x:c>
      <x:c r="C17" s="15" t="str">
        <x:v>Défini</x:v>
      </x:c>
      <x:c r="D17" s="16" t="str">
        <x:v>Extrapolation</x:v>
      </x:c>
      <x:c r="E17" s="16" t="str">
        <x:v>P1</x:v>
      </x:c>
      <x:c r="F17" s="9" t="str">
        <x:v>Livrable original proposé : Ryder et souvenirs familiaux.</x:v>
      </x:c>
      <x:c r="G17" s="9" t="str">
        <x:v>Répliques de découverte accessibles après mémoire complète, logs et rencontre du jumeau ; aucune identité de Bienfaiteur inventée.</x:v>
      </x:c>
      <x:c r="H17" s="9" t="str">
        <x:v>Répliques de découverte accessibles après mémoire complète, logs et rencontre du jumeau ; aucune identité de Bienfaiteur inventée.</x:v>
      </x:c>
      <x:c r="I17" s="9" t="str">
        <x:v>SAM Node et pod familial.</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mea/dialogues/family ; rattacher les ressources et états cités à cet identifiant. Aucun fichier de jeu créé par ce catalogue.</x:v>
      </x:c>
      <x:c r="M17" s="9" t="str"/>
      <x:c r="N17" s="9" t="str">
        <x:v>Le livrable « Ryder et souvenirs familiaux » possède une scène ou un scénario de contrôle ; ses règles proposées, ses conditions et ses retours visuels sont vérifiables séparément.</x:v>
      </x:c>
      <x:c r="O17" s="9" t="str">
        <x:v>MEA-SQ-FAMILY</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MEA-DIA-EPILOGUE</x:v>
      </x:c>
      <x:c r="B18" s="7" t="str">
        <x:v>Retrouvailles et nomination finale</x:v>
      </x:c>
      <x:c r="C18" s="15" t="str">
        <x:v>Défini</x:v>
      </x:c>
      <x:c r="D18" s="17" t="str">
        <x:v>Extrapolation</x:v>
      </x:c>
      <x:c r="E18" s="17" t="str">
        <x:v>P1</x:v>
      </x:c>
      <x:c r="F18" s="7" t="str">
        <x:v>Livrable original proposé : Retrouvailles et nomination finale.</x:v>
      </x:c>
      <x:c r="G18" s="7" t="str">
        <x:v>Interlocuteurs selon survie et fonctions ; marquer conversations requises avant départ tout en gardant rencontres facultatives.</x:v>
      </x:c>
      <x:c r="H18" s="7" t="str">
        <x:v>Interlocuteurs selon survie et fonctions ; marquer conversations requises avant départ tout en gardant rencontres facultatives.</x:v>
      </x:c>
      <x:c r="I18" s="7" t="str">
        <x:v>Port Meridian et fête.</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mea/dialogues/epilogue ; rattacher les ressources et états cités à cet identifiant. Aucun fichier de jeu créé par ce catalogue.</x:v>
      </x:c>
      <x:c r="M18" s="7" t="str"/>
      <x:c r="N18" s="7" t="str">
        <x:v>Le livrable « Retrouvailles et nomination finale » possède une scène ou un scénario de contrôle ; ses règles proposées, ses conditions et ses retours visuels sont vérifiables séparément.</x:v>
      </x:c>
      <x:c r="O18" s="7" t="str">
        <x:v>MEA-MQ-EPILOGUE</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sheetData>
  <x:conditionalFormatting sqref="D7:D18">
    <x:cfRule type="cellIs" dxfId="48" priority="1" operator="equal">
      <x:formula>"À vérifier"</x:formula>
    </x:cfRule>
    <x:cfRule type="cellIs" dxfId="49" priority="2" operator="equal">
      <x:formula>"Extrapolation"</x:formula>
    </x:cfRule>
  </x:conditionalFormatting>
  <x:conditionalFormatting sqref="C7:C18">
    <x:cfRule type="cellIs" dxfId="50" priority="3" operator="equal">
      <x:formula>"Validé"</x:formula>
    </x:cfRule>
  </x:conditionalFormatting>
  <x:conditionalFormatting sqref="E7:E18">
    <x:cfRule type="cellIs" dxfId="5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357723b09a464c22"/>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Andromeda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MEA-CIN-WAKE</x:v>
      </x:c>
      <x:c r="B7" s="9" t="str">
        <x:v>Réveil de Ryder</x:v>
      </x:c>
      <x:c r="C7" s="15" t="str">
        <x:v>Défini</x:v>
      </x:c>
      <x:c r="D7" s="16" t="str">
        <x:v>Extrapolation</x:v>
      </x:c>
      <x:c r="E7" s="16" t="str">
        <x:v>P1</x:v>
      </x:c>
      <x:c r="F7" s="9" t="str">
        <x:v>Livrable original proposé : Réveil de Ryder.</x:v>
      </x:c>
      <x:c r="G7" s="9" t="str">
        <x:v>Découper réveil, rencontre et alerte de l’arche ; skip conserve personnalisation et flags du tutoriel.</x:v>
      </x:c>
      <x:c r="H7" s="9" t="str">
        <x:v>Découper réveil, rencontre et alerte de l’arche ; skip conserve personnalisation et flags du tutoriel.</x:v>
      </x:c>
      <x:c r="I7" s="9" t="str">
        <x:v>Cryostase et visage de Ryder.</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mea/cinematics/wake ; rattacher les ressources et états cités à cet identifiant. Aucun fichier de jeu créé par ce catalogue.</x:v>
      </x:c>
      <x:c r="M7" s="9" t="str"/>
      <x:c r="N7" s="9" t="str">
        <x:v>Le livrable « Réveil de Ryder » possède une scène ou un scénario de contrôle ; ses règles proposées, ses conditions et ses retours visuels sont vérifiables séparément.</x:v>
      </x:c>
      <x:c r="O7" s="9" t="str">
        <x:v>MEA-MQ-HYPERION</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MEA-CIN-ALEC</x:v>
      </x:c>
      <x:c r="B8" s="7" t="str">
        <x:v>Transmission du rôle de Pionnier</x:v>
      </x:c>
      <x:c r="C8" s="15" t="str">
        <x:v>Défini</x:v>
      </x:c>
      <x:c r="D8" s="17" t="str">
        <x:v>Extrapolation</x:v>
      </x:c>
      <x:c r="E8" s="17" t="str">
        <x:v>P1</x:v>
      </x:c>
      <x:c r="F8" s="7" t="str">
        <x:v>Livrable original proposé : Transmission du rôle de Pionnier.</x:v>
      </x:c>
      <x:c r="G8" s="7" t="str">
        <x:v>Scène de Habitat 7 avec échange vital et conséquence finale ; input de joueur ne doit pas prétendre sauver Alec par un QTE inventé.</x:v>
      </x:c>
      <x:c r="H8" s="7" t="str">
        <x:v>Scène de Habitat 7 avec échange vital et conséquence finale ; input de joueur ne doit pas prétendre sauver Alec par un QTE inventé.</x:v>
      </x:c>
      <x:c r="I8" s="7" t="str">
        <x:v>Casques, orage et main tendue.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mea/cinematics/alec ; rattacher les ressources et états cités à cet identifiant. Aucun fichier de jeu créé par ce catalogue.</x:v>
      </x:c>
      <x:c r="M8" s="7" t="str"/>
      <x:c r="N8" s="7" t="str">
        <x:v>Le livrable « Transmission du rôle de Pionnier » possède une scène ou un scénario de contrôle ; ses règles proposées, ses conditions et ses retours visuels sont vérifiables séparément.</x:v>
      </x:c>
      <x:c r="O8" s="7" t="str">
        <x:v>MEA-MQ-PLANETSIDE</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MEA-CIN-FIRST-VAULT</x:v>
      </x:c>
      <x:c r="B9" s="9" t="str">
        <x:v>Première purification d’Eos</x:v>
      </x:c>
      <x:c r="C9" s="15" t="str">
        <x:v>Défini</x:v>
      </x:c>
      <x:c r="D9" s="16" t="str">
        <x:v>Extrapolation</x:v>
      </x:c>
      <x:c r="E9" s="16" t="str">
        <x:v>P1</x:v>
      </x:c>
      <x:c r="F9" s="9" t="str">
        <x:v>Livrable original proposé : Première purification d’Eos.</x:v>
      </x:c>
      <x:c r="G9" s="9" t="str">
        <x:v>Activation, découverte d’échelle puis fuite ; caméra de contrôle revient sur axe de sortie et non derrière un obstacle.</x:v>
      </x:c>
      <x:c r="H9" s="9" t="str">
        <x:v>Activation, découverte d’échelle puis fuite ; caméra de contrôle revient sur axe de sortie et non derrière un obstacle.</x:v>
      </x:c>
      <x:c r="I9" s="9" t="str">
        <x:v>Lumière turquoise et grande salle.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mea/cinematics/first-vault ; rattacher les ressources et états cités à cet identifiant. Aucun fichier de jeu créé par ce catalogue.</x:v>
      </x:c>
      <x:c r="M9" s="9" t="str"/>
      <x:c r="N9" s="9" t="str">
        <x:v>Le livrable « Première purification d’Eos » possède une scène ou un scénario de contrôle ; ses règles proposées, ses conditions et ses retours visuels sont vérifiables séparément.</x:v>
      </x:c>
      <x:c r="O9" s="9" t="str">
        <x:v>MEA-MQ-EOS</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MEA-CIN-AYA</x:v>
      </x:c>
      <x:c r="B10" s="7" t="str">
        <x:v>Arrivée sur Aya</x:v>
      </x:c>
      <x:c r="C10" s="15" t="str">
        <x:v>Défini</x:v>
      </x:c>
      <x:c r="D10" s="17" t="str">
        <x:v>Extrapolation</x:v>
      </x:c>
      <x:c r="E10" s="17" t="str">
        <x:v>P1</x:v>
      </x:c>
      <x:c r="F10" s="7" t="str">
        <x:v>Livrable original proposé : Arrivée sur Aya.</x:v>
      </x:c>
      <x:c r="G10" s="7" t="str">
        <x:v>Dévoiler cascade, ville et accueil prudent ; les zones restreintes sont montrées avant reprise de déplacement.</x:v>
      </x:c>
      <x:c r="H10" s="7" t="str">
        <x:v>Dévoiler cascade, ville et accueil prudent ; les zones restreintes sont montrées avant reprise de déplacement.</x:v>
      </x:c>
      <x:c r="I10" s="7" t="str">
        <x:v>Tempest et terrasse angara.</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mea/cinematics/aya ; rattacher les ressources et états cités à cet identifiant. Aucun fichier de jeu créé par ce catalogue.</x:v>
      </x:c>
      <x:c r="M10" s="7" t="str"/>
      <x:c r="N10" s="7" t="str">
        <x:v>Le livrable « Arrivée sur Aya » possède une scène ou un scénario de contrôle ; ses règles proposées, ses conditions et ses retours visuels sont vérifiables séparément.</x:v>
      </x:c>
      <x:c r="O10" s="7" t="str">
        <x:v>MEA-MQ-AYA</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MEA-CIN-EXALTATION</x:v>
      </x:c>
      <x:c r="B11" s="9" t="str">
        <x:v>Révélation de l’exaltation</x:v>
      </x:c>
      <x:c r="C11" s="15" t="str">
        <x:v>Défini</x:v>
      </x:c>
      <x:c r="D11" s="16" t="str">
        <x:v>Extrapolation</x:v>
      </x:c>
      <x:c r="E11" s="16" t="str">
        <x:v>P1</x:v>
      </x:c>
      <x:c r="F11" s="9" t="str">
        <x:v>Livrable original proposé : Révélation de l’exaltation.</x:v>
      </x:c>
      <x:c r="G11" s="9" t="str">
        <x:v>Insister sur découverte et réaction d’équipe avec imagerie contenue ; connaissances de codex écrites une fois après scène.</x:v>
      </x:c>
      <x:c r="H11" s="9" t="str">
        <x:v>Insister sur découverte et réaction d’équipe avec imagerie contenue ; connaissances de codex écrites une fois après scène.</x:v>
      </x:c>
      <x:c r="I11" s="9" t="str">
        <x:v>Capsules et ombres kett.</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mea/cinematics/exaltation ; rattacher les ressources et états cités à cet identifiant. Aucun fichier de jeu créé par ce catalogue.</x:v>
      </x:c>
      <x:c r="M11" s="9" t="str"/>
      <x:c r="N11" s="9" t="str">
        <x:v>Le livrable « Révélation de l’exaltation » possède une scène ou un scénario de contrôle ; ses règles proposées, ses conditions et ses retours visuels sont vérifiables séparément.</x:v>
      </x:c>
      <x:c r="O11" s="9" t="str">
        <x:v>MEA-MQ-MOSHAE</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MEA-CIN-ARCHON</x:v>
      </x:c>
      <x:c r="B12" s="7" t="str">
        <x:v>Piège de l’Archonte</x:v>
      </x:c>
      <x:c r="C12" s="15" t="str">
        <x:v>Défini</x:v>
      </x:c>
      <x:c r="D12" s="17" t="str">
        <x:v>Extrapolation</x:v>
      </x:c>
      <x:c r="E12" s="17" t="str">
        <x:v>P1</x:v>
      </x:c>
      <x:c r="F12" s="7" t="str">
        <x:v>Livrable original proposé : Piège de l’Archonte.</x:v>
      </x:c>
      <x:c r="G12" s="7" t="str">
        <x:v>États de capture, SAM et sortie cohérents après skip ; effets de perte de contrôle annoncés comme narration.</x:v>
      </x:c>
      <x:c r="H12" s="7" t="str">
        <x:v>États de capture, SAM et sortie cohérents après skip ; effets de perte de contrôle annoncés comme narration.</x:v>
      </x:c>
      <x:c r="I12" s="7" t="str">
        <x:v>Laboratoire kett et Ryder immobilisé.</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mea/cinematics/archon ; rattacher les ressources et états cités à cet identifiant. Aucun fichier de jeu créé par ce catalogue.</x:v>
      </x:c>
      <x:c r="M12" s="7" t="str"/>
      <x:c r="N12" s="7" t="str">
        <x:v>Le livrable « Piège de l’Archonte » possède une scène ou un scénario de contrôle ; ses règles proposées, ses conditions et ses retours visuels sont vérifiables séparément.</x:v>
      </x:c>
      <x:c r="O12" s="7" t="str">
        <x:v>MEA-MQ-ARCHON</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MEA-CIN-GRAVITY</x:v>
      </x:c>
      <x:c r="B13" s="9" t="str">
        <x:v>Gravité du vaisseau de Liam</x:v>
      </x:c>
      <x:c r="C13" s="15" t="str">
        <x:v>Défini</x:v>
      </x:c>
      <x:c r="D13" s="16" t="str">
        <x:v>Extrapolation</x:v>
      </x:c>
      <x:c r="E13" s="16" t="str">
        <x:v>P1</x:v>
      </x:c>
      <x:c r="F13" s="9" t="str">
        <x:v>Livrable original proposé : Gravité du vaisseau de Liam.</x:v>
      </x:c>
      <x:c r="G13" s="9" t="str">
        <x:v>Rotation cinématique puis carte dans nouvel axe ; alternative à faible mouvement par fondu vers état stable.</x:v>
      </x:c>
      <x:c r="H13" s="9" t="str">
        <x:v>Rotation cinématique puis carte dans nouvel axe ; alternative à faible mouvement par fondu vers état stable.</x:v>
      </x:c>
      <x:c r="I13" s="9" t="str">
        <x:v>Containers, murs et grues réorientés.</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mea/cinematics/gravity ; rattacher les ressources et états cités à cet identifiant. Aucun fichier de jeu créé par ce catalogue.</x:v>
      </x:c>
      <x:c r="M13" s="9" t="str"/>
      <x:c r="N13" s="9" t="str">
        <x:v>Le livrable « Gravité du vaisseau de Liam » possède une scène ou un scénario de contrôle ; ses règles proposées, ses conditions et ses retours visuels sont vérifiables séparément.</x:v>
      </x:c>
      <x:c r="O13" s="9" t="str">
        <x:v>MEA-SQ-LIAM-ALLIN</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MEA-CIN-KALINDA</x:v>
      </x:c>
      <x:c r="B14" s="7" t="str">
        <x:v>Choix au-dessus de lave</x:v>
      </x:c>
      <x:c r="C14" s="15" t="str">
        <x:v>Défini</x:v>
      </x:c>
      <x:c r="D14" s="17" t="str">
        <x:v>Extrapolation</x:v>
      </x:c>
      <x:c r="E14" s="17" t="str">
        <x:v>P1</x:v>
      </x:c>
      <x:c r="F14" s="7" t="str">
        <x:v>Livrable original proposé : Choix au-dessus de lave.</x:v>
      </x:c>
      <x:c r="G14" s="7" t="str">
        <x:v>Cadre montrant appareil et Kalinda avant interruption ; mode non chronométré conserve même décision et même résultat.</x:v>
      </x:c>
      <x:c r="H14" s="7" t="str">
        <x:v>Cadre montrant appareil et Kalinda avant interruption ; mode non chronométré conserve même décision et même résultat.</x:v>
      </x:c>
      <x:c r="I14" s="7" t="str">
        <x:v>Plateforme instable et lave.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mea/cinematics/kalinda ; rattacher les ressources et états cités à cet identifiant. Aucun fichier de jeu créé par ce catalogue.</x:v>
      </x:c>
      <x:c r="M14" s="7" t="str"/>
      <x:c r="N14" s="7" t="str">
        <x:v>Le livrable « Choix au-dessus de lave » possède une scène ou un scénario de contrôle ; ses règles proposées, ses conditions et ses retours visuels sont vérifiables séparément.</x:v>
      </x:c>
      <x:c r="O14" s="7" t="str">
        <x:v>MEA-CHO-KALINDA</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MEA-CIN-TWIN</x:v>
      </x:c>
      <x:c r="B15" s="9" t="str">
        <x:v>Relais du jumeau Ryder</x:v>
      </x:c>
      <x:c r="C15" s="15" t="str">
        <x:v>Défini</x:v>
      </x:c>
      <x:c r="D15" s="16" t="str">
        <x:v>Extrapolation</x:v>
      </x:c>
      <x:c r="E15" s="16" t="str">
        <x:v>P1</x:v>
      </x:c>
      <x:c r="F15" s="9" t="str">
        <x:v>Livrable original proposé : Relais du jumeau Ryder.</x:v>
      </x:c>
      <x:c r="G15" s="9" t="str">
        <x:v>Changement temporaire de personnage jouable signalé ; interface et équipement propres puis restitution au bon Ryder.</x:v>
      </x:c>
      <x:c r="H15" s="9" t="str">
        <x:v>Changement temporaire de personnage jouable signalé ; interface et équipement propres puis restitution au bon Ryder.</x:v>
      </x:c>
      <x:c r="I15" s="9" t="str">
        <x:v>Hyperion attaqué et deuxième portrait.</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mea/cinematics/twin ; rattacher les ressources et états cités à cet identifiant. Aucun fichier de jeu créé par ce catalogue.</x:v>
      </x:c>
      <x:c r="M15" s="9" t="str"/>
      <x:c r="N15" s="9" t="str">
        <x:v>Le livrable « Relais du jumeau Ryder » possède une scène ou un scénario de contrôle ; ses règles proposées, ses conditions et ses retours visuels sont vérifiables séparément.</x:v>
      </x:c>
      <x:c r="O15" s="9" t="str">
        <x:v>MEA-MQ-MERIDIAN</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MEA-CIN-HYPERION</x:v>
      </x:c>
      <x:c r="B16" s="7" t="str">
        <x:v>Atterrissage de l’Hyperion</x:v>
      </x:c>
      <x:c r="C16" s="15" t="str">
        <x:v>Défini</x:v>
      </x:c>
      <x:c r="D16" s="17" t="str">
        <x:v>Extrapolation</x:v>
      </x:c>
      <x:c r="E16" s="17" t="str">
        <x:v>P1</x:v>
      </x:c>
      <x:c r="F16" s="7" t="str">
        <x:v>Livrable original proposé : Atterrissage de l’Hyperion.</x:v>
      </x:c>
      <x:c r="G16" s="7" t="str">
        <x:v>Montage des Pionniers disponibles puis branche Dunn ; ne pas montrer une aide absente pour recycler un plan.</x:v>
      </x:c>
      <x:c r="H16" s="7" t="str">
        <x:v>Montage des Pionniers disponibles puis branche Dunn ; ne pas montrer une aide absente pour recycler un plan.</x:v>
      </x:c>
      <x:c r="I16" s="7" t="str">
        <x:v>Arche en descente et communications.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mea/cinematics/hyperion ; rattacher les ressources et états cités à cet identifiant. Aucun fichier de jeu créé par ce catalogue.</x:v>
      </x:c>
      <x:c r="M16" s="7" t="str"/>
      <x:c r="N16" s="7" t="str">
        <x:v>Le livrable « Atterrissage de l’Hyperion » possède une scène ou un scénario de contrôle ; ses règles proposées, ses conditions et ses retours visuels sont vérifiables séparément.</x:v>
      </x:c>
      <x:c r="O16" s="7" t="str">
        <x:v>MEA-CHO-DUNN</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MEA-CIN-FINAL</x:v>
      </x:c>
      <x:c r="B17" s="9" t="str">
        <x:v>Libération du réseau de Méridiane</x:v>
      </x:c>
      <x:c r="C17" s="15" t="str">
        <x:v>Défini</x:v>
      </x:c>
      <x:c r="D17" s="16" t="str">
        <x:v>Extrapolation</x:v>
      </x:c>
      <x:c r="E17" s="16" t="str">
        <x:v>P1</x:v>
      </x:c>
      <x:c r="F17" s="9" t="str">
        <x:v>Livrable original proposé : Libération du réseau de Méridiane.</x:v>
      </x:c>
      <x:c r="G17" s="9" t="str">
        <x:v>Dernier relais, rupture du contrôle et retour du groupe ; victoire par objectifs, pas simple barre de vie de l’Archonte.</x:v>
      </x:c>
      <x:c r="H17" s="9" t="str">
        <x:v>Dernier relais, rupture du contrôle et retour du groupe ; victoire par objectifs, pas simple barre de vie de l’Archonte.</x:v>
      </x:c>
      <x:c r="I17" s="9" t="str">
        <x:v>Machine géante et lumière du réseau.</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mea/cinematics/final ; rattacher les ressources et états cités à cet identifiant. Aucun fichier de jeu créé par ce catalogue.</x:v>
      </x:c>
      <x:c r="M17" s="9" t="str"/>
      <x:c r="N17" s="9" t="str">
        <x:v>Le livrable « Libération du réseau de Méridiane » possède une scène ou un scénario de contrôle ; ses règles proposées, ses conditions et ses retours visuels sont vérifiables séparément.</x:v>
      </x:c>
      <x:c r="O17" s="9" t="str">
        <x:v>MEA-ENM-ARCHON-FINAL</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MEA-CIN-HOME</x:v>
      </x:c>
      <x:c r="B18" s="7" t="str">
        <x:v>Port Meridian et avenir ouvert</x:v>
      </x:c>
      <x:c r="C18" s="15" t="str">
        <x:v>Défini</x:v>
      </x:c>
      <x:c r="D18" s="17" t="str">
        <x:v>Extrapolation</x:v>
      </x:c>
      <x:c r="E18" s="17" t="str">
        <x:v>P1</x:v>
      </x:c>
      <x:c r="F18" s="7" t="str">
        <x:v>Livrable original proposé : Port Meridian et avenir ouvert.</x:v>
      </x:c>
      <x:c r="G18" s="7" t="str">
        <x:v>Scène d’équipage avec ambassadeur, jumeau et signal quarien aux étapes requises ; aucun teaser transformé en mission développée.</x:v>
      </x:c>
      <x:c r="H18" s="7" t="str">
        <x:v>Scène d’équipage avec ambassadeur, jumeau et signal quarien aux étapes requises ; aucun teaser transformé en mission développée.</x:v>
      </x:c>
      <x:c r="I18" s="7" t="str">
        <x:v>Nature, arche posée et fête.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mea/cinematics/home ; rattacher les ressources et états cités à cet identifiant. Aucun fichier de jeu créé par ce catalogue.</x:v>
      </x:c>
      <x:c r="M18" s="7" t="str"/>
      <x:c r="N18" s="7" t="str">
        <x:v>Le livrable « Port Meridian et avenir ouvert » possède une scène ou un scénario de contrôle ; ses règles proposées, ses conditions et ses retours visuels sont vérifiables séparément.</x:v>
      </x:c>
      <x:c r="O18" s="7" t="str">
        <x:v>MEA-MQ-EPILOGUE, MEA-PRP-QUARIAN-SIGNAL</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sheetData>
  <x:conditionalFormatting sqref="D7:D18">
    <x:cfRule type="cellIs" dxfId="52" priority="1" operator="equal">
      <x:formula>"À vérifier"</x:formula>
    </x:cfRule>
    <x:cfRule type="cellIs" dxfId="53" priority="2" operator="equal">
      <x:formula>"Extrapolation"</x:formula>
    </x:cfRule>
  </x:conditionalFormatting>
  <x:conditionalFormatting sqref="C7:C18">
    <x:cfRule type="cellIs" dxfId="54" priority="3" operator="equal">
      <x:formula>"Validé"</x:formula>
    </x:cfRule>
  </x:conditionalFormatting>
  <x:conditionalFormatting sqref="E7:E18">
    <x:cfRule type="cellIs" dxfId="55"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9abd3fbcf76c48bb"/>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Andromeda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MEA-WPN-AVENGER</x:v>
      </x:c>
      <x:c r="B7" s="9" t="str">
        <x:v>Avenger</x:v>
      </x:c>
      <x:c r="C7" s="15" t="str">
        <x:v>Prototype</x:v>
      </x:c>
      <x:c r="D7" s="16" t="str">
        <x:v>Établi</x:v>
      </x:c>
      <x:c r="E7" s="16" t="str">
        <x:v>P1</x:v>
      </x:c>
      <x:c r="F7" s="9" t="str">
        <x:v>Fusil d’assaut.</x:v>
      </x:c>
      <x:c r="G7" s="9" t="str">
        <x:v>Rafale de référence et reprise courte proposées ; poids/temps affichés avant équipement.</x:v>
      </x:c>
      <x:c r="H7" s="9" t="str">
        <x:v>Rafale de référence et reprise courte proposées ; poids/temps affichés avant équipement.</x:v>
      </x:c>
      <x:c r="I7" s="9" t="str">
        <x:v>Silhouette militaire compacte.</x:v>
      </x:c>
      <x:c r="J7" s="9" t="str">
        <x:v>Pose de visée adaptée à cette carcasse, départ de tir ou frappe, recul/contact puis reprise ; point d’origine lié à la main et non au centre du sprite.</x:v>
      </x:c>
      <x:c r="K7" s="9" t="str">
        <x:v>Créer signature originale du mécanisme et de son impact ; mix séparant arme du joueur et armes adverses de même famille.</x:v>
      </x:c>
      <x:c r="L7" s="9" t="str">
        <x:v>Prototype Chroniques : src/universe-equipment.js, src/chronicles.js, src/combat.js. Identifiant runtime MEA-WPN-AVENGER ; contexte d’œuvre/segment et sélection de scène obligatoires.</x:v>
      </x:c>
      <x:c r="M7" s="9" t="str">
        <x:v>Solo ; les valeurs, versions de rang et adaptations multijoueurs sont des données séparées.</x:v>
      </x:c>
      <x:c r="N7" s="9" t="str">
        <x:v>Avenger : aperçu de portée, coût et ressource correspond à la résolution ; vérifier obstacle, cible mobile, rechargement/refroidissement et annulation avant tir.</x:v>
      </x:c>
      <x:c r="O7" s="9" t="str"/>
      <x:c r="P7" s="9" t="str">
        <x:v>Avenger</x:v>
      </x:c>
      <x:c r="Q7" s="9" t="str">
        <x:v>MEA-SRC-WEAPONS</x:v>
      </x:c>
      <x:c r="R7" s="9" t="str">
        <x:v>https://masseffect.fandom.com/wiki/Weapons_%28Mass_Effect%3A_Andromeda%29</x:v>
      </x:c>
      <x:c r="S7"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8" ht="68" customHeight="1">
      <x:c r="A8" s="19" t="str">
        <x:v>MEA-WPN-CYCLONE</x:v>
      </x:c>
      <x:c r="B8" s="7" t="str">
        <x:v>Cyclone</x:v>
      </x:c>
      <x:c r="C8" s="15" t="str">
        <x:v>Prototype</x:v>
      </x:c>
      <x:c r="D8" s="17" t="str">
        <x:v>Établi</x:v>
      </x:c>
      <x:c r="E8" s="17" t="str">
        <x:v>P1</x:v>
      </x:c>
      <x:c r="F8" s="7" t="str">
        <x:v>Fusil d’assaut.</x:v>
      </x:c>
      <x:c r="G8" s="7" t="str">
        <x:v>Montée en régime puis suppression ; une pause de déplacement réduit stabilité dans l’adaptation.</x:v>
      </x:c>
      <x:c r="H8" s="7" t="str">
        <x:v>Montée en régime puis suppression ; une pause de déplacement réduit stabilité dans l’adaptation.</x:v>
      </x:c>
      <x:c r="I8" s="7" t="str">
        <x:v>Gros fusil à rotation.</x:v>
      </x:c>
      <x:c r="J8" s="7" t="str">
        <x:v>Pose de visée adaptée à cette carcasse, départ de tir ou frappe, recul/contact puis reprise ; point d’origine lié à la main et non au centre du sprite.</x:v>
      </x:c>
      <x:c r="K8" s="7" t="str">
        <x:v>Créer signature originale du mécanisme et de son impact ; mix séparant arme du joueur et armes adverses de même famille.</x:v>
      </x:c>
      <x:c r="L8" s="7" t="str">
        <x:v>Prototype Chroniques : src/universe-equipment.js, src/chronicles.js, src/combat.js. Identifiant runtime MEA-WPN-CYCLONE ; contexte d’œuvre/segment et sélection de scène obligatoires.</x:v>
      </x:c>
      <x:c r="M8" s="7" t="str">
        <x:v>Solo ; les valeurs, versions de rang et adaptations multijoueurs sont des données séparées.</x:v>
      </x:c>
      <x:c r="N8" s="7" t="str">
        <x:v>Cyclone : aperçu de portée, coût et ressource correspond à la résolution ; vérifier obstacle, cible mobile, rechargement/refroidissement et annulation avant tir.</x:v>
      </x:c>
      <x:c r="O8" s="7" t="str"/>
      <x:c r="P8" s="7" t="str">
        <x:v>Cyclone</x:v>
      </x:c>
      <x:c r="Q8" s="7" t="str">
        <x:v>MEA-SRC-WEAPONS</x:v>
      </x:c>
      <x:c r="R8" s="7" t="str">
        <x:v>https://masseffect.fandom.com/wiki/Weapons_%28Mass_Effect%3A_Andromeda%29</x:v>
      </x:c>
      <x:c r="S8"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9" ht="68" customHeight="1">
      <x:c r="A9" s="18" t="str">
        <x:v>MEA-WPN-MATTOCK</x:v>
      </x:c>
      <x:c r="B9" s="9" t="str">
        <x:v>Mattock</x:v>
      </x:c>
      <x:c r="C9" s="15" t="str">
        <x:v>Prototype</x:v>
      </x:c>
      <x:c r="D9" s="16" t="str">
        <x:v>Établi</x:v>
      </x:c>
      <x:c r="E9" s="16" t="str">
        <x:v>P1</x:v>
      </x:c>
      <x:c r="F9" s="9" t="str">
        <x:v>Fusil semi-automatique.</x:v>
      </x:c>
      <x:c r="G9" s="9" t="str">
        <x:v>Tirs posés à coût par coup ; conserver possibilité de changer de cible entre coups.</x:v>
      </x:c>
      <x:c r="H9" s="9" t="str">
        <x:v>Tirs posés à coût par coup ; conserver possibilité de changer de cible entre coups.</x:v>
      </x:c>
      <x:c r="I9" s="9" t="str">
        <x:v>Longue crosse et canon.</x:v>
      </x:c>
      <x:c r="J9" s="9" t="str">
        <x:v>Pose de visée adaptée à cette carcasse, départ de tir ou frappe, recul/contact puis reprise ; point d’origine lié à la main et non au centre du sprite.</x:v>
      </x:c>
      <x:c r="K9" s="9" t="str">
        <x:v>Créer signature originale du mécanisme et de son impact ; mix séparant arme du joueur et armes adverses de même famille.</x:v>
      </x:c>
      <x:c r="L9" s="9" t="str">
        <x:v>Prototype Chroniques : src/universe-equipment.js, src/chronicles.js, src/combat.js. Identifiant runtime MEA-WPN-MATTOCK ; contexte d’œuvre/segment et sélection de scène obligatoires.</x:v>
      </x:c>
      <x:c r="M9" s="9" t="str">
        <x:v>Solo ; les valeurs, versions de rang et adaptations multijoueurs sont des données séparées.</x:v>
      </x:c>
      <x:c r="N9" s="9" t="str">
        <x:v>Mattock : aperçu de portée, coût et ressource correspond à la résolution ; vérifier obstacle, cible mobile, rechargement/refroidissement et annulation avant tir.</x:v>
      </x:c>
      <x:c r="O9" s="9" t="str"/>
      <x:c r="P9" s="9" t="str">
        <x:v>Mattock</x:v>
      </x:c>
      <x:c r="Q9" s="9" t="str">
        <x:v>MEA-SRC-WEAPONS</x:v>
      </x:c>
      <x:c r="R9" s="9" t="str">
        <x:v>https://masseffect.fandom.com/wiki/Weapons_%28Mass_Effect%3A_Andromeda%29</x:v>
      </x:c>
      <x:c r="S9"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0" ht="68" customHeight="1">
      <x:c r="A10" s="19" t="str">
        <x:v>MEA-WPN-REVENANT</x:v>
      </x:c>
      <x:c r="B10" s="7" t="str">
        <x:v>Revenant</x:v>
      </x:c>
      <x:c r="C10" s="15" t="str">
        <x:v>Prototype</x:v>
      </x:c>
      <x:c r="D10" s="17" t="str">
        <x:v>Établi</x:v>
      </x:c>
      <x:c r="E10" s="17" t="str">
        <x:v>P1</x:v>
      </x:c>
      <x:c r="F10" s="7" t="str">
        <x:v>Fusil d’assaut lourd.</x:v>
      </x:c>
      <x:c r="G10" s="7" t="str">
        <x:v>Rafale prolongée engageant la position ; réserver une fenêtre d’interruption et de repli.</x:v>
      </x:c>
      <x:c r="H10" s="7" t="str">
        <x:v>Rafale prolongée engageant la position ; réserver une fenêtre d’interruption et de repli.</x:v>
      </x:c>
      <x:c r="I10" s="7" t="str">
        <x:v>Large carcasse et chargeur.</x:v>
      </x:c>
      <x:c r="J10" s="7" t="str">
        <x:v>Pose de visée adaptée à cette carcasse, départ de tir ou frappe, recul/contact puis reprise ; point d’origine lié à la main et non au centre du sprite.</x:v>
      </x:c>
      <x:c r="K10" s="7" t="str">
        <x:v>Créer signature originale du mécanisme et de son impact ; mix séparant arme du joueur et armes adverses de même famille.</x:v>
      </x:c>
      <x:c r="L10" s="7" t="str">
        <x:v>Prototype Chroniques : src/universe-equipment.js, src/chronicles.js, src/combat.js. Identifiant runtime MEA-WPN-REVENANT ; contexte d’œuvre/segment et sélection de scène obligatoires.</x:v>
      </x:c>
      <x:c r="M10" s="7" t="str">
        <x:v>Solo ; les valeurs, versions de rang et adaptations multijoueurs sont des données séparées.</x:v>
      </x:c>
      <x:c r="N10" s="7" t="str">
        <x:v>Revenant : aperçu de portée, coût et ressource correspond à la résolution ; vérifier obstacle, cible mobile, rechargement/refroidissement et annulation avant tir.</x:v>
      </x:c>
      <x:c r="O10" s="7" t="str"/>
      <x:c r="P10" s="7" t="str">
        <x:v>Revenant</x:v>
      </x:c>
      <x:c r="Q10" s="7" t="str">
        <x:v>MEA-SRC-WEAPONS</x:v>
      </x:c>
      <x:c r="R10" s="7" t="str">
        <x:v>https://masseffect.fandom.com/wiki/Weapons_%28Mass_Effect%3A_Andromeda%29</x:v>
      </x:c>
      <x:c r="S10"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1" ht="68" customHeight="1">
      <x:c r="A11" s="18" t="str">
        <x:v>MEA-WPN-VALKYRIE</x:v>
      </x:c>
      <x:c r="B11" s="9" t="str">
        <x:v>Valkyrie</x:v>
      </x:c>
      <x:c r="C11" s="15" t="str">
        <x:v>Prototype</x:v>
      </x:c>
      <x:c r="D11" s="16" t="str">
        <x:v>Établi</x:v>
      </x:c>
      <x:c r="E11" s="16" t="str">
        <x:v>P1</x:v>
      </x:c>
      <x:c r="F11" s="9" t="str">
        <x:v>Fusil d’assaut.</x:v>
      </x:c>
      <x:c r="G11" s="9" t="str">
        <x:v>Salve en deux temps, événements de dégâts distincts mais coût ATB unique annoncé.</x:v>
      </x:c>
      <x:c r="H11" s="9" t="str">
        <x:v>Salve en deux temps, événements de dégâts distincts mais coût ATB unique annoncé.</x:v>
      </x:c>
      <x:c r="I11" s="9" t="str">
        <x:v>Fusil militaire N7.</x:v>
      </x:c>
      <x:c r="J11" s="9" t="str">
        <x:v>Pose de visée adaptée à cette carcasse, départ de tir ou frappe, recul/contact puis reprise ; point d’origine lié à la main et non au centre du sprite.</x:v>
      </x:c>
      <x:c r="K11" s="9" t="str">
        <x:v>Créer signature originale du mécanisme et de son impact ; mix séparant arme du joueur et armes adverses de même famille.</x:v>
      </x:c>
      <x:c r="L11" s="9" t="str">
        <x:v>Prototype Chroniques : src/universe-equipment.js, src/chronicles.js, src/combat.js. Identifiant runtime MEA-WPN-VALKYRIE ; contexte d’œuvre/segment et sélection de scène obligatoires.</x:v>
      </x:c>
      <x:c r="M11" s="9" t="str">
        <x:v>Solo ; les valeurs, versions de rang et adaptations multijoueurs sont des données séparées.</x:v>
      </x:c>
      <x:c r="N11" s="9" t="str">
        <x:v>Valkyrie : aperçu de portée, coût et ressource correspond à la résolution ; vérifier obstacle, cible mobile, rechargement/refroidissement et annulation avant tir.</x:v>
      </x:c>
      <x:c r="O11" s="9" t="str"/>
      <x:c r="P11" s="9" t="str">
        <x:v>Valkyrie</x:v>
      </x:c>
      <x:c r="Q11" s="9" t="str">
        <x:v>MEA-SRC-WEAPONS</x:v>
      </x:c>
      <x:c r="R11" s="9" t="str">
        <x:v>https://masseffect.fandom.com/wiki/Weapons_%28Mass_Effect%3A_Andromeda%29</x:v>
      </x:c>
      <x:c r="S11"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2" ht="96" customHeight="1">
      <x:c r="A12" s="19" t="str">
        <x:v>MEA-WPN-SWEEPER</x:v>
      </x:c>
      <x:c r="B12" s="7" t="str">
        <x:v>Sweeper</x:v>
      </x:c>
      <x:c r="C12" s="15" t="str">
        <x:v>Prototype</x:v>
      </x:c>
      <x:c r="D12" s="17" t="str">
        <x:v>Établi</x:v>
      </x:c>
      <x:c r="E12" s="17" t="str">
        <x:v>P1</x:v>
      </x:c>
      <x:c r="F12" s="7" t="str">
        <x:v>Fusil reliquat.</x:v>
      </x:c>
      <x:c r="G12" s="7" t="str">
        <x:v>Cycle énergétique et surchauffe proposés ; affichage de chaleur distinct de clips thermiques.</x:v>
      </x:c>
      <x:c r="H12" s="7" t="str">
        <x:v>Cycle énergétique et surchauffe proposés ; affichage de chaleur distinct de clips thermiques.</x:v>
      </x:c>
      <x:c r="I12" s="7" t="str">
        <x:v>Surface noire et lumière reliquate.</x:v>
      </x:c>
      <x:c r="J12" s="7" t="str">
        <x:v>Pose de visée adaptée à cette carcasse, départ de tir ou frappe, recul/contact puis reprise ; point d’origine lié à la main et non au centre du sprite.</x:v>
      </x:c>
      <x:c r="K12" s="7" t="str">
        <x:v>Créer signature originale du mécanisme et de son impact ; mix séparant arme du joueur et armes adverses de même famille.</x:v>
      </x:c>
      <x:c r="L12" s="7" t="str">
        <x:v>Prototype partiel MEA-WPN-SWEEPER dans src/universe-weapon-profiles.js, src/universe-equipment.js et src/combat.js : salve énergétique à chaleur. Sélection et restauration contrôlées dans l’atelier de cette œuvre ; aucune acquisition ni mission originale reconstituée.</x:v>
      </x:c>
      <x:c r="M12" s="7" t="str">
        <x:v>Solo ; les valeurs, versions de rang et adaptations multijoueurs sont des données séparées.</x:v>
      </x:c>
      <x:c r="N12" s="7" t="str">
        <x:v>Sweeper : aperçu de portée, coût et ressource correspond à la résolution ; vérifier obstacle, cible mobile, rechargement/refroidissement et annulation avant tir.</x:v>
      </x:c>
      <x:c r="O12" s="7" t="str"/>
      <x:c r="P12" s="7" t="str">
        <x:v>Sweeper</x:v>
      </x:c>
      <x:c r="Q12" s="7" t="str">
        <x:v>MEA-SRC-SWEEPER</x:v>
      </x:c>
      <x:c r="R12" s="7" t="str">
        <x:v>https://masseffect.fandom.com/wiki/Sweeper</x:v>
      </x:c>
      <x:c r="S12" s="7" t="str">
        <x:v>Les champs adaptation, gameplay, visual, animation, audio et implementation décrivent le fan game ; ils ne donnent pas des caractéristiques officielles de l’œuvre. Profil ATB identifié par le catalogue secondaire : mécanique, dégâts, délais, chaleur et réserves sont adaptés. Aucune validation primaire du modèle, trajectoire, collision, portée, son, animation ou apparence 1:1. Les systèmes à chaleur ne reçoivent pas de réserve de clips abstraite.</x:v>
      </x:c>
    </x:row>
    <x:row r="13" ht="96" customHeight="1">
      <x:c r="A13" s="18" t="str">
        <x:v>MEA-WPN-PAW</x:v>
      </x:c>
      <x:c r="B13" s="9" t="str">
        <x:v>P.A.W.</x:v>
      </x:c>
      <x:c r="C13" s="15" t="str">
        <x:v>Prototype</x:v>
      </x:c>
      <x:c r="D13" s="16" t="str">
        <x:v>Établi</x:v>
      </x:c>
      <x:c r="E13" s="16" t="str">
        <x:v>P1</x:v>
      </x:c>
      <x:c r="F13" s="9" t="str">
        <x:v>Arme à rayon.</x:v>
      </x:c>
      <x:c r="G13" s="9" t="str">
        <x:v>Canalisation sur cible visible ; interruption arrête consommation au même instant que le rayon.</x:v>
      </x:c>
      <x:c r="H13" s="9" t="str">
        <x:v>Canalisation sur cible visible ; interruption arrête consommation au même instant que le rayon.</x:v>
      </x:c>
      <x:c r="I13" s="9" t="str">
        <x:v>Rayon continu et cœur énergétique.</x:v>
      </x:c>
      <x:c r="J13" s="9" t="str">
        <x:v>Pose de visée adaptée à cette carcasse, départ de tir ou frappe, recul/contact puis reprise ; point d’origine lié à la main et non au centre du sprite.</x:v>
      </x:c>
      <x:c r="K13" s="9" t="str">
        <x:v>Créer signature originale du mécanisme et de son impact ; mix séparant arme du joueur et armes adverses de même famille.</x:v>
      </x:c>
      <x:c r="L13" s="9" t="str">
        <x:v>Prototype partiel MEA-WPN-PAW dans src/universe-weapon-profiles.js, src/universe-equipment.js et src/combat.js : rayon canalisé à chaleur. Sélection et restauration contrôlées dans l’atelier de cette œuvre ; aucune acquisition ni mission originale reconstituée.</x:v>
      </x:c>
      <x:c r="M13" s="9" t="str">
        <x:v>Solo ; les valeurs, versions de rang et adaptations multijoueurs sont des données séparées.</x:v>
      </x:c>
      <x:c r="N13" s="9" t="str">
        <x:v>P.A.W. : aperçu de portée, coût et ressource correspond à la résolution ; vérifier obstacle, cible mobile, rechargement/refroidissement et annulation avant tir.</x:v>
      </x:c>
      <x:c r="O13" s="9" t="str"/>
      <x:c r="P13" s="9" t="str">
        <x:v>P.A.W.</x:v>
      </x:c>
      <x:c r="Q13" s="9" t="str">
        <x:v>MEA-SRC-WEAPONS</x:v>
      </x:c>
      <x:c r="R13" s="9" t="str">
        <x:v>https://masseffect.fandom.com/wiki/Weapons_%28Mass_Effect%3A_Andromeda%29</x:v>
      </x:c>
      <x:c r="S13" s="9" t="str">
        <x:v>Les champs adaptation, gameplay, visual, animation, audio et implementation décrivent le fan game ; ils ne donnent pas des caractéristiques officielles de l’œuvre. Profil ATB identifié par le catalogue secondaire : mécanique, dégâts, délais, chaleur et réserves sont adaptés. Aucune validation primaire du modèle, trajectoire, collision, portée, son, animation ou apparence 1:1. Les systèmes à chaleur ne reçoivent pas de réserve de clips abstraite.</x:v>
      </x:c>
    </x:row>
    <x:row r="14" ht="68" customHeight="1">
      <x:c r="A14" s="19" t="str">
        <x:v>MEA-WPN-THOKIN</x:v>
      </x:c>
      <x:c r="B14" s="7" t="str">
        <x:v>Thokin</x:v>
      </x:c>
      <x:c r="C14" s="15" t="str">
        <x:v>Défini</x:v>
      </x:c>
      <x:c r="D14" s="17" t="str">
        <x:v>Établi</x:v>
      </x:c>
      <x:c r="E14" s="17" t="str">
        <x:v>P1</x:v>
      </x:c>
      <x:c r="F14" s="7" t="str">
        <x:v>Fusil kett.</x:v>
      </x:c>
      <x:c r="G14" s="7" t="str">
        <x:v>Projectile énergétique à suivi limité proposé ; aperçu indique possibilité de contourner couvert bas, pas mur plein.</x:v>
      </x:c>
      <x:c r="H14" s="7" t="str">
        <x:v>Projectile énergétique à suivi limité proposé ; aperçu indique possibilité de contourner couvert bas, pas mur plein.</x:v>
      </x:c>
      <x:c r="I14" s="7" t="str">
        <x:v>Arme organique et chambre lumineuse.</x:v>
      </x:c>
      <x:c r="J14" s="7" t="str">
        <x:v>Pose de visée adaptée à cette carcasse, départ de tir ou frappe, recul/contact puis reprise ; point d’origine lié à la main et non au centre du sprite.</x:v>
      </x:c>
      <x:c r="K14" s="7" t="str">
        <x:v>Créer signature originale du mécanisme et de son impact ; mix séparant arme du joueur et armes adverses de même famille.</x:v>
      </x:c>
      <x:c r="L14" s="7" t="str">
        <x:v>Prévu : fiche de données mea/weapons/thokin ; rattacher les ressources et états cités à cet identifiant. Aucun fichier de jeu créé par ce catalogue.</x:v>
      </x:c>
      <x:c r="M14" s="7" t="str">
        <x:v>Solo ; les valeurs, versions de rang et adaptations multijoueurs sont des données séparées.</x:v>
      </x:c>
      <x:c r="N14" s="7" t="str">
        <x:v>Thokin : aperçu de portée, coût et ressource correspond à la résolution ; vérifier obstacle, cible mobile, rechargement/refroidissement et annulation avant tir.</x:v>
      </x:c>
      <x:c r="O14" s="7" t="str"/>
      <x:c r="P14" s="7" t="str">
        <x:v>Thokin</x:v>
      </x:c>
      <x:c r="Q14" s="7" t="str">
        <x:v>MEA-SRC-WEAPONS</x:v>
      </x:c>
      <x:c r="R14" s="7" t="str">
        <x:v>https://masseffect.fandom.com/wiki/Weapons_%28Mass_Effect%3A_Andromeda%29</x:v>
      </x:c>
      <x:c r="S14" s="7" t="str">
        <x:v>Spécification à réaliser. Les champs adaptation, gameplay, visual, animation, audio et implementation décrivent le fan game ; ils ne donnent pas des caractéristiques officielles de l’œuvre.</x:v>
      </x:c>
    </x:row>
    <x:row r="15" ht="68" customHeight="1">
      <x:c r="A15" s="18" t="str">
        <x:v>MEA-WPN-ZALKIN</x:v>
      </x:c>
      <x:c r="B15" s="9" t="str">
        <x:v>Zalkin</x:v>
      </x:c>
      <x:c r="C15" s="15" t="str">
        <x:v>Défini</x:v>
      </x:c>
      <x:c r="D15" s="16" t="str">
        <x:v>Établi</x:v>
      </x:c>
      <x:c r="E15" s="16" t="str">
        <x:v>P1</x:v>
      </x:c>
      <x:c r="F15" s="9" t="str">
        <x:v>Fusil kett.</x:v>
      </x:c>
      <x:c r="G15" s="9" t="str">
        <x:v>Salve lourde à dispersion proposée ; distinguer projectile et flash de protection ennemie.</x:v>
      </x:c>
      <x:c r="H15" s="9" t="str">
        <x:v>Salve lourde à dispersion proposée ; distinguer projectile et flash de protection ennemie.</x:v>
      </x:c>
      <x:c r="I15" s="9" t="str">
        <x:v>Carcasse osseuse angulaire.</x:v>
      </x:c>
      <x:c r="J15" s="9" t="str">
        <x:v>Pose de visée adaptée à cette carcasse, départ de tir ou frappe, recul/contact puis reprise ; point d’origine lié à la main et non au centre du sprite.</x:v>
      </x:c>
      <x:c r="K15" s="9" t="str">
        <x:v>Créer signature originale du mécanisme et de son impact ; mix séparant arme du joueur et armes adverses de même famille.</x:v>
      </x:c>
      <x:c r="L15" s="9" t="str">
        <x:v>Prévu : fiche de données mea/weapons/zalkin ; rattacher les ressources et états cités à cet identifiant. Aucun fichier de jeu créé par ce catalogue.</x:v>
      </x:c>
      <x:c r="M15" s="9" t="str">
        <x:v>Solo ; les valeurs, versions de rang et adaptations multijoueurs sont des données séparées.</x:v>
      </x:c>
      <x:c r="N15" s="9" t="str">
        <x:v>Zalkin : aperçu de portée, coût et ressource correspond à la résolution ; vérifier obstacle, cible mobile, rechargement/refroidissement et annulation avant tir.</x:v>
      </x:c>
      <x:c r="O15" s="9" t="str"/>
      <x:c r="P15" s="9" t="str">
        <x:v>Zalkin</x:v>
      </x:c>
      <x:c r="Q15" s="9" t="str">
        <x:v>MEA-SRC-WEAPONS</x:v>
      </x:c>
      <x:c r="R15" s="9" t="str">
        <x:v>https://masseffect.fandom.com/wiki/Weapons_%28Mass_Effect%3A_Andromeda%29</x:v>
      </x:c>
      <x:c r="S15" s="9" t="str">
        <x:v>Spécification à réaliser. Les champs adaptation, gameplay, visual, animation, audio et implementation décrivent le fan game ; ils ne donnent pas des caractéristiques officielles de l’œuvre.</x:v>
      </x:c>
    </x:row>
    <x:row r="16" ht="68" customHeight="1">
      <x:c r="A16" s="19" t="str">
        <x:v>MEA-WPN-SONED</x:v>
      </x:c>
      <x:c r="B16" s="7" t="str">
        <x:v>Soned</x:v>
      </x:c>
      <x:c r="C16" s="15" t="str">
        <x:v>Défini</x:v>
      </x:c>
      <x:c r="D16" s="17" t="str">
        <x:v>Établi</x:v>
      </x:c>
      <x:c r="E16" s="17" t="str">
        <x:v>P1</x:v>
      </x:c>
      <x:c r="F16" s="7" t="str">
        <x:v>Fusil kett lourd.</x:v>
      </x:c>
      <x:c r="G16" s="7" t="str">
        <x:v>Temps d’installation puis gros volume de tir ; récupération rend le porteur vulnérable si isolé.</x:v>
      </x:c>
      <x:c r="H16" s="7" t="str">
        <x:v>Temps d’installation puis gros volume de tir ; récupération rend le porteur vulnérable si isolé.</x:v>
      </x:c>
      <x:c r="I16" s="7" t="str">
        <x:v>Grande arme lourde organique.</x:v>
      </x:c>
      <x:c r="J16" s="7" t="str">
        <x:v>Pose de visée adaptée à cette carcasse, départ de tir ou frappe, recul/contact puis reprise ; point d’origine lié à la main et non au centre du sprite.</x:v>
      </x:c>
      <x:c r="K16" s="7" t="str">
        <x:v>Créer signature originale du mécanisme et de son impact ; mix séparant arme du joueur et armes adverses de même famille.</x:v>
      </x:c>
      <x:c r="L16" s="7" t="str">
        <x:v>Prévu : fiche de données mea/weapons/soned ; rattacher les ressources et états cités à cet identifiant. Aucun fichier de jeu créé par ce catalogue.</x:v>
      </x:c>
      <x:c r="M16" s="7" t="str">
        <x:v>Solo ; les valeurs, versions de rang et adaptations multijoueurs sont des données séparées.</x:v>
      </x:c>
      <x:c r="N16" s="7" t="str">
        <x:v>Soned : aperçu de portée, coût et ressource correspond à la résolution ; vérifier obstacle, cible mobile, rechargement/refroidissement et annulation avant tir.</x:v>
      </x:c>
      <x:c r="O16" s="7" t="str"/>
      <x:c r="P16" s="7" t="str">
        <x:v>Soned</x:v>
      </x:c>
      <x:c r="Q16" s="7" t="str">
        <x:v>MEA-SRC-WEAPONS</x:v>
      </x:c>
      <x:c r="R16" s="7" t="str">
        <x:v>https://masseffect.fandom.com/wiki/Weapons_%28Mass_Effect%3A_Andromeda%29</x:v>
      </x:c>
      <x:c r="S16" s="7" t="str">
        <x:v>Spécification à réaliser. Les champs adaptation, gameplay, visual, animation, audio et implementation décrivent le fan game ; ils ne donnent pas des caractéristiques officielles de l’œuvre.</x:v>
      </x:c>
    </x:row>
    <x:row r="17" ht="68" customHeight="1">
      <x:c r="A17" s="18" t="str">
        <x:v>MEA-WPN-PIONEER</x:v>
      </x:c>
      <x:c r="B17" s="9" t="str">
        <x:v>Pathfinder Pioneer</x:v>
      </x:c>
      <x:c r="C17" s="15" t="str">
        <x:v>Défini</x:v>
      </x:c>
      <x:c r="D17" s="16" t="str">
        <x:v>Établi</x:v>
      </x:c>
      <x:c r="E17" s="16" t="str">
        <x:v>P1</x:v>
      </x:c>
      <x:c r="F17" s="9" t="str">
        <x:v>Arme du pack Pathfinder Elite.</x:v>
      </x:c>
      <x:c r="G17" s="9" t="str">
        <x:v>Profil de fusil de début distinct sans rendre le pack indispensable à un build ; manifeste d’édition contrôle accès.</x:v>
      </x:c>
      <x:c r="H17" s="9" t="str">
        <x:v>Profil de fusil de début distinct sans rendre le pack indispensable à un build ; manifeste d’édition contrôle accès.</x:v>
      </x:c>
      <x:c r="I17" s="9" t="str">
        <x:v>Fusil de Pionnier.</x:v>
      </x:c>
      <x:c r="J17" s="9" t="str">
        <x:v>Pose de visée adaptée à cette carcasse, départ de tir ou frappe, recul/contact puis reprise ; point d’origine lié à la main et non au centre du sprite.</x:v>
      </x:c>
      <x:c r="K17" s="9" t="str">
        <x:v>Créer signature originale du mécanisme et de son impact ; mix séparant arme du joueur et armes adverses de même famille.</x:v>
      </x:c>
      <x:c r="L17" s="9" t="str">
        <x:v>Prévu : fiche de données mea/weapons/pioneer ; rattacher les ressources et états cités à cet identifiant. Aucun fichier de jeu créé par ce catalogue.</x:v>
      </x:c>
      <x:c r="M17" s="9" t="str">
        <x:v>Pack Pathfinder Elite / édition compatible ; vérifier la voie d’acquisition.</x:v>
      </x:c>
      <x:c r="N17" s="9" t="str">
        <x:v>Pathfinder Pioneer : aperçu de portée, coût et ressource correspond à la résolution ; vérifier obstacle, cible mobile, rechargement/refroidissement et annulation avant tir.</x:v>
      </x:c>
      <x:c r="O17" s="9" t="str"/>
      <x:c r="P17" s="9" t="str">
        <x:v>Pathfinder Pioneer</x:v>
      </x:c>
      <x:c r="Q17" s="9" t="str">
        <x:v>MEA-SRC-WEAPONS</x:v>
      </x:c>
      <x:c r="R17" s="9" t="str">
        <x:v>https://masseffect.fandom.com/wiki/Weapons_%28Mass_Effect%3A_Andromeda%29</x:v>
      </x:c>
      <x:c r="S17" s="9" t="str">
        <x:v>Spécification à réaliser. Les champs adaptation, gameplay, visual, animation, audio et implementation décrivent le fan game ; ils ne donnent pas des caractéristiques officielles de l’œuvre.</x:v>
      </x:c>
    </x:row>
    <x:row r="18" ht="68" customHeight="1">
      <x:c r="A18" s="19" t="str">
        <x:v>MEA-WPN-PREDATOR</x:v>
      </x:c>
      <x:c r="B18" s="7" t="str">
        <x:v>Predator</x:v>
      </x:c>
      <x:c r="C18" s="15" t="str">
        <x:v>Prototype</x:v>
      </x:c>
      <x:c r="D18" s="17" t="str">
        <x:v>Établi</x:v>
      </x:c>
      <x:c r="E18" s="17" t="str">
        <x:v>P1</x:v>
      </x:c>
      <x:c r="F18" s="7" t="str">
        <x:v>Pistolet.</x:v>
      </x:c>
      <x:c r="G18" s="7" t="str">
        <x:v>Arme légère d’exploration ; faible coût de préparation proposé, utile après déplacement.</x:v>
      </x:c>
      <x:c r="H18" s="7" t="str">
        <x:v>Arme légère d’exploration ; faible coût de préparation proposé, utile après déplacement.</x:v>
      </x:c>
      <x:c r="I18" s="7" t="str">
        <x:v>Pistolet compact.</x:v>
      </x:c>
      <x:c r="J18" s="7" t="str">
        <x:v>Pose de visée adaptée à cette carcasse, départ de tir ou frappe, recul/contact puis reprise ; point d’origine lié à la main et non au centre du sprite.</x:v>
      </x:c>
      <x:c r="K18" s="7" t="str">
        <x:v>Créer signature originale du mécanisme et de son impact ; mix séparant arme du joueur et armes adverses de même famille.</x:v>
      </x:c>
      <x:c r="L18" s="7" t="str">
        <x:v>Prototype Chroniques : src/universe-equipment.js, src/chronicles.js, src/combat.js. Identifiant runtime MEA-WPN-PREDATOR ; contexte d’œuvre/segment et sélection de scène obligatoires.</x:v>
      </x:c>
      <x:c r="M18" s="7" t="str">
        <x:v>Solo ; les valeurs, versions de rang et adaptations multijoueurs sont des données séparées.</x:v>
      </x:c>
      <x:c r="N18" s="7" t="str">
        <x:v>Predator : aperçu de portée, coût et ressource correspond à la résolution ; vérifier obstacle, cible mobile, rechargement/refroidissement et annulation avant tir.</x:v>
      </x:c>
      <x:c r="O18" s="7" t="str"/>
      <x:c r="P18" s="7" t="str">
        <x:v>Predator</x:v>
      </x:c>
      <x:c r="Q18" s="7" t="str">
        <x:v>MEA-SRC-WEAPONS</x:v>
      </x:c>
      <x:c r="R18" s="7" t="str">
        <x:v>https://masseffect.fandom.com/wiki/Weapons_%28Mass_Effect%3A_Andromeda%29</x:v>
      </x:c>
      <x:c r="S18"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9" ht="68" customHeight="1">
      <x:c r="A19" s="18" t="str">
        <x:v>MEA-WPN-CARNIFEX</x:v>
      </x:c>
      <x:c r="B19" s="9" t="str">
        <x:v>Carnifex</x:v>
      </x:c>
      <x:c r="C19" s="15" t="str">
        <x:v>Prototype</x:v>
      </x:c>
      <x:c r="D19" s="16" t="str">
        <x:v>Établi</x:v>
      </x:c>
      <x:c r="E19" s="16" t="str">
        <x:v>P1</x:v>
      </x:c>
      <x:c r="F19" s="9" t="str">
        <x:v>Pistolet lourd.</x:v>
      </x:c>
      <x:c r="G19" s="9" t="str">
        <x:v>Gros impact ponctuel et faible réserve proposée ; rôle d’achèvement sur cible exposée.</x:v>
      </x:c>
      <x:c r="H19" s="9" t="str">
        <x:v>Gros impact ponctuel et faible réserve proposée ; rôle d’achèvement sur cible exposée.</x:v>
      </x:c>
      <x:c r="I19" s="9" t="str">
        <x:v>Grande carcasse métallique.</x:v>
      </x:c>
      <x:c r="J19" s="9" t="str">
        <x:v>Pose de visée adaptée à cette carcasse, départ de tir ou frappe, recul/contact puis reprise ; point d’origine lié à la main et non au centre du sprite.</x:v>
      </x:c>
      <x:c r="K19" s="9" t="str">
        <x:v>Créer signature originale du mécanisme et de son impact ; mix séparant arme du joueur et armes adverses de même famille.</x:v>
      </x:c>
      <x:c r="L19" s="9" t="str">
        <x:v>Prototype Chroniques : src/universe-equipment.js, src/chronicles.js, src/combat.js. Identifiant runtime MEA-WPN-CARNIFEX ; contexte d’œuvre/segment et sélection de scène obligatoires.</x:v>
      </x:c>
      <x:c r="M19" s="9" t="str">
        <x:v>Solo ; les valeurs, versions de rang et adaptations multijoueurs sont des données séparées.</x:v>
      </x:c>
      <x:c r="N19" s="9" t="str">
        <x:v>Carnifex : aperçu de portée, coût et ressource correspond à la résolution ; vérifier obstacle, cible mobile, rechargement/refroidissement et annulation avant tir.</x:v>
      </x:c>
      <x:c r="O19" s="9" t="str"/>
      <x:c r="P19" s="9" t="str">
        <x:v>Carnifex</x:v>
      </x:c>
      <x:c r="Q19" s="9" t="str">
        <x:v>MEA-SRC-WEAPONS</x:v>
      </x:c>
      <x:c r="R19" s="9" t="str">
        <x:v>https://masseffect.fandom.com/wiki/Weapons_%28Mass_Effect%3A_Andromeda%29</x:v>
      </x:c>
      <x:c r="S19"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0" ht="68" customHeight="1">
      <x:c r="A20" s="19" t="str">
        <x:v>MEA-WPN-PHALANX</x:v>
      </x:c>
      <x:c r="B20" s="7" t="str">
        <x:v>Phalanx</x:v>
      </x:c>
      <x:c r="C20" s="15" t="str">
        <x:v>Prototype</x:v>
      </x:c>
      <x:c r="D20" s="17" t="str">
        <x:v>Établi</x:v>
      </x:c>
      <x:c r="E20" s="17" t="str">
        <x:v>P1</x:v>
      </x:c>
      <x:c r="F20" s="7" t="str">
        <x:v>Pistolet.</x:v>
      </x:c>
      <x:c r="G20" s="7" t="str">
        <x:v>Précision de milieu de gamme proposée ; retours de recul lisibles à petite échelle.</x:v>
      </x:c>
      <x:c r="H20" s="7" t="str">
        <x:v>Précision de milieu de gamme proposée ; retours de recul lisibles à petite échelle.</x:v>
      </x:c>
      <x:c r="I20" s="7" t="str">
        <x:v>Pistolet militaire stable.</x:v>
      </x:c>
      <x:c r="J20" s="7" t="str">
        <x:v>Pose de visée adaptée à cette carcasse, départ de tir ou frappe, recul/contact puis reprise ; point d’origine lié à la main et non au centre du sprite.</x:v>
      </x:c>
      <x:c r="K20" s="7" t="str">
        <x:v>Créer signature originale du mécanisme et de son impact ; mix séparant arme du joueur et armes adverses de même famille.</x:v>
      </x:c>
      <x:c r="L20" s="7" t="str">
        <x:v>Prototype Chroniques : src/universe-equipment.js, src/chronicles.js, src/combat.js. Identifiant runtime MEA-WPN-PHALANX ; contexte d’œuvre/segment et sélection de scène obligatoires.</x:v>
      </x:c>
      <x:c r="M20" s="7" t="str">
        <x:v>Solo ; les valeurs, versions de rang et adaptations multijoueurs sont des données séparées.</x:v>
      </x:c>
      <x:c r="N20" s="7" t="str">
        <x:v>Phalanx : aperçu de portée, coût et ressource correspond à la résolution ; vérifier obstacle, cible mobile, rechargement/refroidissement et annulation avant tir.</x:v>
      </x:c>
      <x:c r="O20" s="7" t="str"/>
      <x:c r="P20" s="7" t="str">
        <x:v>Phalanx</x:v>
      </x:c>
      <x:c r="Q20" s="7" t="str">
        <x:v>MEA-SRC-WEAPONS</x:v>
      </x:c>
      <x:c r="R20" s="7" t="str">
        <x:v>https://masseffect.fandom.com/wiki/Weapons_%28Mass_Effect%3A_Andromeda%29</x:v>
      </x:c>
      <x:c r="S20"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1" ht="68" customHeight="1">
      <x:c r="A21" s="18" t="str">
        <x:v>MEA-WPN-EAGLE</x:v>
      </x:c>
      <x:c r="B21" s="9" t="str">
        <x:v>Eagle</x:v>
      </x:c>
      <x:c r="C21" s="15" t="str">
        <x:v>Prototype</x:v>
      </x:c>
      <x:c r="D21" s="16" t="str">
        <x:v>Établi</x:v>
      </x:c>
      <x:c r="E21" s="16" t="str">
        <x:v>P1</x:v>
      </x:c>
      <x:c r="F21" s="9" t="str">
        <x:v>Pistolet automatique.</x:v>
      </x:c>
      <x:c r="G21" s="9" t="str">
        <x:v>Courte rafale à cadence élevée ; consommation par projectile sans doubler un proc de pouvoir.</x:v>
      </x:c>
      <x:c r="H21" s="9" t="str">
        <x:v>Courte rafale à cadence élevée ; consommation par projectile sans doubler un proc de pouvoir.</x:v>
      </x:c>
      <x:c r="I21" s="9" t="str">
        <x:v>Pistolet N7.</x:v>
      </x:c>
      <x:c r="J21" s="9" t="str">
        <x:v>Pose de visée adaptée à cette carcasse, départ de tir ou frappe, recul/contact puis reprise ; point d’origine lié à la main et non au centre du sprite.</x:v>
      </x:c>
      <x:c r="K21" s="9" t="str">
        <x:v>Créer signature originale du mécanisme et de son impact ; mix séparant arme du joueur et armes adverses de même famille.</x:v>
      </x:c>
      <x:c r="L21" s="9" t="str">
        <x:v>Prototype Chroniques : src/universe-equipment.js, src/chronicles.js, src/combat.js. Identifiant runtime MEA-WPN-EAGLE ; contexte d’œuvre/segment et sélection de scène obligatoires.</x:v>
      </x:c>
      <x:c r="M21" s="9" t="str">
        <x:v>Solo ; les valeurs, versions de rang et adaptations multijoueurs sont des données séparées.</x:v>
      </x:c>
      <x:c r="N21" s="9" t="str">
        <x:v>Eagle : aperçu de portée, coût et ressource correspond à la résolution ; vérifier obstacle, cible mobile, rechargement/refroidissement et annulation avant tir.</x:v>
      </x:c>
      <x:c r="O21" s="9" t="str"/>
      <x:c r="P21" s="9" t="str">
        <x:v>Eagle</x:v>
      </x:c>
      <x:c r="Q21" s="9" t="str">
        <x:v>MEA-SRC-WEAPONS</x:v>
      </x:c>
      <x:c r="R21" s="9" t="str">
        <x:v>https://masseffect.fandom.com/wiki/Weapons_%28Mass_Effect%3A_Andromeda%29</x:v>
      </x:c>
      <x:c r="S21"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2" ht="68" customHeight="1">
      <x:c r="A22" s="19" t="str">
        <x:v>MEA-WPN-EQUALIZER</x:v>
      </x:c>
      <x:c r="B22" s="7" t="str">
        <x:v>Equalizer</x:v>
      </x:c>
      <x:c r="C22" s="15" t="str">
        <x:v>Défini</x:v>
      </x:c>
      <x:c r="D22" s="17" t="str">
        <x:v>Établi</x:v>
      </x:c>
      <x:c r="E22" s="17" t="str">
        <x:v>P1</x:v>
      </x:c>
      <x:c r="F22" s="7" t="str">
        <x:v>Pistolet reliquat.</x:v>
      </x:c>
      <x:c r="G22" s="7" t="str">
        <x:v>Débit énergétique de proximité et chaleur ; éviter mélange avec courbe de refroidissement du Sweeper.</x:v>
      </x:c>
      <x:c r="H22" s="7" t="str">
        <x:v>Débit énergétique de proximité et chaleur ; éviter mélange avec courbe de refroidissement du Sweeper.</x:v>
      </x:c>
      <x:c r="I22" s="7" t="str">
        <x:v>Arme noire et lumineux turquoise.</x:v>
      </x:c>
      <x:c r="J22" s="7" t="str">
        <x:v>Pose de visée adaptée à cette carcasse, départ de tir ou frappe, recul/contact puis reprise ; point d’origine lié à la main et non au centre du sprite.</x:v>
      </x:c>
      <x:c r="K22" s="7" t="str">
        <x:v>Créer signature originale du mécanisme et de son impact ; mix séparant arme du joueur et armes adverses de même famille.</x:v>
      </x:c>
      <x:c r="L22" s="7" t="str">
        <x:v>Prévu : fiche de données mea/weapons/equalizer ; rattacher les ressources et états cités à cet identifiant. Aucun fichier de jeu créé par ce catalogue.</x:v>
      </x:c>
      <x:c r="M22" s="7" t="str">
        <x:v>Solo ; les valeurs, versions de rang et adaptations multijoueurs sont des données séparées.</x:v>
      </x:c>
      <x:c r="N22" s="7" t="str">
        <x:v>Equalizer : aperçu de portée, coût et ressource correspond à la résolution ; vérifier obstacle, cible mobile, rechargement/refroidissement et annulation avant tir.</x:v>
      </x:c>
      <x:c r="O22" s="7" t="str"/>
      <x:c r="P22" s="7" t="str">
        <x:v>Equalizer</x:v>
      </x:c>
      <x:c r="Q22" s="7" t="str">
        <x:v>MEA-SRC-WEAPONS</x:v>
      </x:c>
      <x:c r="R22" s="7" t="str">
        <x:v>https://masseffect.fandom.com/wiki/Weapons_%28Mass_Effect%3A_Andromeda%29</x:v>
      </x:c>
      <x:c r="S22" s="7" t="str">
        <x:v>Spécification à réaliser. Les champs adaptation, gameplay, visual, animation, audio et implementation décrivent le fan game ; ils ne donnent pas des caractéristiques officielles de l’œuvre.</x:v>
      </x:c>
    </x:row>
    <x:row r="23" ht="68" customHeight="1">
      <x:c r="A23" s="18" t="str">
        <x:v>MEA-WPN-CHARGER</x:v>
      </x:c>
      <x:c r="B23" s="9" t="str">
        <x:v>Charger</x:v>
      </x:c>
      <x:c r="C23" s="15" t="str">
        <x:v>Prototype</x:v>
      </x:c>
      <x:c r="D23" s="16" t="str">
        <x:v>Établi</x:v>
      </x:c>
      <x:c r="E23" s="16" t="str">
        <x:v>P1</x:v>
      </x:c>
      <x:c r="F23" s="9" t="str">
        <x:v>Pistolet automatique.</x:v>
      </x:c>
      <x:c r="G23" s="9" t="str">
        <x:v>Suppression légère avec dérive progressive ; cadence originale du fan game réglable.</x:v>
      </x:c>
      <x:c r="H23" s="9" t="str">
        <x:v>Suppression légère avec dérive progressive ; cadence originale du fan game réglable.</x:v>
      </x:c>
      <x:c r="I23" s="9" t="str">
        <x:v>Arme compacte à chargeur.</x:v>
      </x:c>
      <x:c r="J23" s="9" t="str">
        <x:v>Pose de visée adaptée à cette carcasse, départ de tir ou frappe, recul/contact puis reprise ; point d’origine lié à la main et non au centre du sprite.</x:v>
      </x:c>
      <x:c r="K23" s="9" t="str">
        <x:v>Créer signature originale du mécanisme et de son impact ; mix séparant arme du joueur et armes adverses de même famille.</x:v>
      </x:c>
      <x:c r="L23" s="9" t="str">
        <x:v>Prototype Chroniques : src/universe-equipment.js, src/chronicles.js, src/combat.js. Identifiant runtime MEA-WPN-CHARGER ; contexte d’œuvre/segment et sélection de scène obligatoires.</x:v>
      </x:c>
      <x:c r="M23" s="9" t="str">
        <x:v>Solo ; les valeurs, versions de rang et adaptations multijoueurs sont des données séparées.</x:v>
      </x:c>
      <x:c r="N23" s="9" t="str">
        <x:v>Charger : aperçu de portée, coût et ressource correspond à la résolution ; vérifier obstacle, cible mobile, rechargement/refroidissement et annulation avant tir.</x:v>
      </x:c>
      <x:c r="O23" s="9" t="str"/>
      <x:c r="P23" s="9" t="str">
        <x:v>Charger</x:v>
      </x:c>
      <x:c r="Q23" s="9" t="str">
        <x:v>MEA-SRC-WEAPONS</x:v>
      </x:c>
      <x:c r="R23" s="9" t="str">
        <x:v>https://masseffect.fandom.com/wiki/Weapons_%28Mass_Effect%3A_Andromeda%29</x:v>
      </x:c>
      <x:c r="S23"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4" ht="68" customHeight="1">
      <x:c r="A24" s="19" t="str">
        <x:v>MEA-WPN-HORNET</x:v>
      </x:c>
      <x:c r="B24" s="7" t="str">
        <x:v>Hornet</x:v>
      </x:c>
      <x:c r="C24" s="15" t="str">
        <x:v>Prototype</x:v>
      </x:c>
      <x:c r="D24" s="17" t="str">
        <x:v>Établi</x:v>
      </x:c>
      <x:c r="E24" s="17" t="str">
        <x:v>P1</x:v>
      </x:c>
      <x:c r="F24" s="7" t="str">
        <x:v>Arme automatique classée pistolet.</x:v>
      </x:c>
      <x:c r="G24" s="7" t="str">
        <x:v>Salve courte à reprise ; afficher catégorie de MEA au lieu d’importer un slot SMG séparé de la trilogie.</x:v>
      </x:c>
      <x:c r="H24" s="7" t="str">
        <x:v>Salve courte à reprise ; afficher catégorie de MEA au lieu d’importer un slot SMG séparé de la trilogie.</x:v>
      </x:c>
      <x:c r="I24" s="7" t="str">
        <x:v>Petit boîtier militaire.</x:v>
      </x:c>
      <x:c r="J24" s="7" t="str">
        <x:v>Pose de visée adaptée à cette carcasse, départ de tir ou frappe, recul/contact puis reprise ; point d’origine lié à la main et non au centre du sprite.</x:v>
      </x:c>
      <x:c r="K24" s="7" t="str">
        <x:v>Créer signature originale du mécanisme et de son impact ; mix séparant arme du joueur et armes adverses de même famille.</x:v>
      </x:c>
      <x:c r="L24" s="7" t="str">
        <x:v>Prototype Chroniques : src/universe-equipment.js, src/chronicles.js, src/combat.js. Identifiant runtime MEA-WPN-HORNET ; contexte d’œuvre/segment et sélection de scène obligatoires.</x:v>
      </x:c>
      <x:c r="M24" s="7" t="str">
        <x:v>Solo ; les valeurs, versions de rang et adaptations multijoueurs sont des données séparées.</x:v>
      </x:c>
      <x:c r="N24" s="7" t="str">
        <x:v>Hornet : aperçu de portée, coût et ressource correspond à la résolution ; vérifier obstacle, cible mobile, rechargement/refroidissement et annulation avant tir.</x:v>
      </x:c>
      <x:c r="O24" s="7" t="str"/>
      <x:c r="P24" s="7" t="str">
        <x:v>Hornet</x:v>
      </x:c>
      <x:c r="Q24" s="7" t="str">
        <x:v>MEA-SRC-WEAPONS</x:v>
      </x:c>
      <x:c r="R24" s="7" t="str">
        <x:v>https://masseffect.fandom.com/wiki/Weapons_%28Mass_Effect%3A_Andromeda%29</x:v>
      </x:c>
      <x:c r="S24"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5" ht="96" customHeight="1">
      <x:c r="A25" s="18" t="str">
        <x:v>MEA-WPN-SCORPION</x:v>
      </x:c>
      <x:c r="B25" s="9" t="str">
        <x:v>Scorpion</x:v>
      </x:c>
      <x:c r="C25" s="15" t="str">
        <x:v>Prototype</x:v>
      </x:c>
      <x:c r="D25" s="16" t="str">
        <x:v>Établi</x:v>
      </x:c>
      <x:c r="E25" s="16" t="str">
        <x:v>P1</x:v>
      </x:c>
      <x:c r="F25" s="9" t="str">
        <x:v>Pistolet explosif.</x:v>
      </x:c>
      <x:c r="G25" s="9" t="str">
        <x:v>Charge adhésive et détonation retardée ; zone suit le porteur jusqu’à explosion selon règle affichée.</x:v>
      </x:c>
      <x:c r="H25" s="9" t="str">
        <x:v>Charge adhésive et détonation retardée ; zone suit le porteur jusqu’à explosion selon règle affichée.</x:v>
      </x:c>
      <x:c r="I25" s="9" t="str">
        <x:v>Projectile collant lumineux.</x:v>
      </x:c>
      <x:c r="J25" s="9" t="str">
        <x:v>Pose de visée adaptée à cette carcasse, départ de tir ou frappe, recul/contact puis reprise ; point d’origine lié à la main et non au centre du sprite.</x:v>
      </x:c>
      <x:c r="K25" s="9" t="str">
        <x:v>Créer signature originale du mécanisme et de son impact ; mix séparant arme du joueur et armes adverses de même famille.</x:v>
      </x:c>
      <x:c r="L25" s="9" t="str">
        <x:v>Prototype partiel MEA-WPN-SCORPION dans src/universe-weapon-profiles.js, src/universe-equipment.js et src/combat.js : explosion différée sur le groupe ATB. Sélection et restauration contrôlées dans l’atelier de cette œuvre ; aucune acquisition ni mission originale reconstituée.</x:v>
      </x:c>
      <x:c r="M25" s="9" t="str">
        <x:v>Solo ; les valeurs, versions de rang et adaptations multijoueurs sont des données séparées.</x:v>
      </x:c>
      <x:c r="N25" s="9" t="str">
        <x:v>Scorpion : aperçu de portée, coût et ressource correspond à la résolution ; vérifier obstacle, cible mobile, rechargement/refroidissement et annulation avant tir.</x:v>
      </x:c>
      <x:c r="O25" s="9" t="str"/>
      <x:c r="P25" s="9" t="str">
        <x:v>Scorpion</x:v>
      </x:c>
      <x:c r="Q25" s="9" t="str">
        <x:v>MEA-SRC-WEAPONS</x:v>
      </x:c>
      <x:c r="R25" s="9" t="str">
        <x:v>https://masseffect.fandom.com/wiki/Weapons_%28Mass_Effect%3A_Andromeda%29</x:v>
      </x:c>
      <x:c r="S25" s="9" t="str">
        <x:v>Les champs adaptation, gameplay, visual, animation, audio et implementation décrivent le fan game ; ils ne donnent pas des caractéristiques officielles de l’œuvre. Profil ATB identifié par le catalogue secondaire : mécanique, dégâts, délais, chaleur et réserves sont adaptés. Aucune validation primaire du modèle, trajectoire, collision, portée, son, animation ou apparence 1:1. Les systèmes à chaleur ne reçoivent pas de réserve de clips abstraite.</x:v>
      </x:c>
    </x:row>
    <x:row r="26" ht="68" customHeight="1">
      <x:c r="A26" s="19" t="str">
        <x:v>MEA-WPN-SIDEWINDER</x:v>
      </x:c>
      <x:c r="B26" s="7" t="str">
        <x:v>Sidewinder</x:v>
      </x:c>
      <x:c r="C26" s="15" t="str">
        <x:v>Prototype</x:v>
      </x:c>
      <x:c r="D26" s="17" t="str">
        <x:v>Établi</x:v>
      </x:c>
      <x:c r="E26" s="17" t="str">
        <x:v>P1</x:v>
      </x:c>
      <x:c r="F26" s="7" t="str">
        <x:v>Pistolet de type revolver.</x:v>
      </x:c>
      <x:c r="G26" s="7" t="str">
        <x:v>Tirs mesurés et recharge exposée ; silhouette de barillet préservée aux rotations.</x:v>
      </x:c>
      <x:c r="H26" s="7" t="str">
        <x:v>Tirs mesurés et recharge exposée ; silhouette de barillet préservée aux rotations.</x:v>
      </x:c>
      <x:c r="I26" s="7" t="str">
        <x:v>Revolver futuriste.</x:v>
      </x:c>
      <x:c r="J26" s="7" t="str">
        <x:v>Pose de visée adaptée à cette carcasse, départ de tir ou frappe, recul/contact puis reprise ; point d’origine lié à la main et non au centre du sprite.</x:v>
      </x:c>
      <x:c r="K26" s="7" t="str">
        <x:v>Créer signature originale du mécanisme et de son impact ; mix séparant arme du joueur et armes adverses de même famille.</x:v>
      </x:c>
      <x:c r="L26" s="7" t="str">
        <x:v>Prototype Chroniques : src/universe-equipment.js, src/chronicles.js, src/combat.js. Identifiant runtime MEA-WPN-SIDEWINDER ; contexte d’œuvre/segment et sélection de scène obligatoires.</x:v>
      </x:c>
      <x:c r="M26" s="7" t="str">
        <x:v>Solo ; les valeurs, versions de rang et adaptations multijoueurs sont des données séparées.</x:v>
      </x:c>
      <x:c r="N26" s="7" t="str">
        <x:v>Sidewinder : aperçu de portée, coût et ressource correspond à la résolution ; vérifier obstacle, cible mobile, rechargement/refroidissement et annulation avant tir.</x:v>
      </x:c>
      <x:c r="O26" s="7" t="str"/>
      <x:c r="P26" s="7" t="str">
        <x:v>Sidewinder</x:v>
      </x:c>
      <x:c r="Q26" s="7" t="str">
        <x:v>MEA-SRC-WEAPONS</x:v>
      </x:c>
      <x:c r="R26" s="7" t="str">
        <x:v>https://masseffect.fandom.com/wiki/Weapons_%28Mass_Effect%3A_Andromeda%29</x:v>
      </x:c>
      <x:c r="S26"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7" ht="68" customHeight="1">
      <x:c r="A27" s="18" t="str">
        <x:v>MEA-WPN-TALON</x:v>
      </x:c>
      <x:c r="B27" s="9" t="str">
        <x:v>Talon</x:v>
      </x:c>
      <x:c r="C27" s="15" t="str">
        <x:v>Prototype</x:v>
      </x:c>
      <x:c r="D27" s="16" t="str">
        <x:v>Établi</x:v>
      </x:c>
      <x:c r="E27" s="16" t="str">
        <x:v>P1</x:v>
      </x:c>
      <x:c r="F27" s="9" t="str">
        <x:v>Pistolet à dispersion.</x:v>
      </x:c>
      <x:c r="G27" s="9" t="str">
        <x:v>Cône de proximité avec aperçu des cibles touchées ; pas de précision garantie à distance.</x:v>
      </x:c>
      <x:c r="H27" s="9" t="str">
        <x:v>Cône de proximité avec aperçu des cibles touchées ; pas de précision garantie à distance.</x:v>
      </x:c>
      <x:c r="I27" s="9" t="str">
        <x:v>Gros canon court.</x:v>
      </x:c>
      <x:c r="J27" s="9" t="str">
        <x:v>Pose de visée adaptée à cette carcasse, départ de tir ou frappe, recul/contact puis reprise ; point d’origine lié à la main et non au centre du sprite.</x:v>
      </x:c>
      <x:c r="K27" s="9" t="str">
        <x:v>Créer signature originale du mécanisme et de son impact ; mix séparant arme du joueur et armes adverses de même famille.</x:v>
      </x:c>
      <x:c r="L27" s="9" t="str">
        <x:v>Prototype Chroniques : src/universe-equipment.js, src/chronicles.js, src/combat.js. Identifiant runtime MEA-WPN-TALON ; contexte d’œuvre/segment et sélection de scène obligatoires.</x:v>
      </x:c>
      <x:c r="M27" s="9" t="str">
        <x:v>Solo ; les valeurs, versions de rang et adaptations multijoueurs sont des données séparées.</x:v>
      </x:c>
      <x:c r="N27" s="9" t="str">
        <x:v>Talon : aperçu de portée, coût et ressource correspond à la résolution ; vérifier obstacle, cible mobile, rechargement/refroidissement et annulation avant tir.</x:v>
      </x:c>
      <x:c r="O27" s="9" t="str"/>
      <x:c r="P27" s="9" t="str">
        <x:v>Talon</x:v>
      </x:c>
      <x:c r="Q27" s="9" t="str">
        <x:v>MEA-SRC-WEAPONS</x:v>
      </x:c>
      <x:c r="R27" s="9" t="str">
        <x:v>https://masseffect.fandom.com/wiki/Weapons_%28Mass_Effect%3A_Andromeda%29</x:v>
      </x:c>
      <x:c r="S27"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8" ht="68" customHeight="1">
      <x:c r="A28" s="19" t="str">
        <x:v>MEA-WPN-KATANA</x:v>
      </x:c>
      <x:c r="B28" s="7" t="str">
        <x:v>Katana</x:v>
      </x:c>
      <x:c r="C28" s="15" t="str">
        <x:v>Prototype</x:v>
      </x:c>
      <x:c r="D28" s="17" t="str">
        <x:v>Établi</x:v>
      </x:c>
      <x:c r="E28" s="17" t="str">
        <x:v>P1</x:v>
      </x:c>
      <x:c r="F28" s="7" t="str">
        <x:v>Fusil à pompe.</x:v>
      </x:c>
      <x:c r="G28" s="7" t="str">
        <x:v>Cône court de référence ; largeur affichée au sol avant commande.</x:v>
      </x:c>
      <x:c r="H28" s="7" t="str">
        <x:v>Cône court de référence ; largeur affichée au sol avant commande.</x:v>
      </x:c>
      <x:c r="I28" s="7" t="str">
        <x:v>Fusil militaire classique.</x:v>
      </x:c>
      <x:c r="J28" s="7" t="str">
        <x:v>Pose de visée adaptée à cette carcasse, départ de tir ou frappe, recul/contact puis reprise ; point d’origine lié à la main et non au centre du sprite.</x:v>
      </x:c>
      <x:c r="K28" s="7" t="str">
        <x:v>Créer signature originale du mécanisme et de son impact ; mix séparant arme du joueur et armes adverses de même famille.</x:v>
      </x:c>
      <x:c r="L28" s="7" t="str">
        <x:v>Prototype Chroniques : src/universe-equipment.js, src/chronicles.js, src/combat.js. Identifiant runtime MEA-WPN-KATANA ; contexte d’œuvre/segment et sélection de scène obligatoires.</x:v>
      </x:c>
      <x:c r="M28" s="7" t="str">
        <x:v>Solo ; les valeurs, versions de rang et adaptations multijoueurs sont des données séparées.</x:v>
      </x:c>
      <x:c r="N28" s="7" t="str">
        <x:v>Katana : aperçu de portée, coût et ressource correspond à la résolution ; vérifier obstacle, cible mobile, rechargement/refroidissement et annulation avant tir.</x:v>
      </x:c>
      <x:c r="O28" s="7" t="str"/>
      <x:c r="P28" s="7" t="str">
        <x:v>Katana</x:v>
      </x:c>
      <x:c r="Q28" s="7" t="str">
        <x:v>MEA-SRC-WEAPONS</x:v>
      </x:c>
      <x:c r="R28" s="7" t="str">
        <x:v>https://masseffect.fandom.com/wiki/Weapons_%28Mass_Effect%3A_Andromeda%29</x:v>
      </x:c>
      <x:c r="S28"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29" ht="68" customHeight="1">
      <x:c r="A29" s="18" t="str">
        <x:v>MEA-WPN-RUZAD</x:v>
      </x:c>
      <x:c r="B29" s="9" t="str">
        <x:v>Ruzad</x:v>
      </x:c>
      <x:c r="C29" s="15" t="str">
        <x:v>Prototype</x:v>
      </x:c>
      <x:c r="D29" s="16" t="str">
        <x:v>Établi</x:v>
      </x:c>
      <x:c r="E29" s="16" t="str">
        <x:v>P1</x:v>
      </x:c>
      <x:c r="F29" s="9" t="str">
        <x:v>Fusil krogan.</x:v>
      </x:c>
      <x:c r="G29" s="9" t="str">
        <x:v>Grosse impulsion à courte portée et préparation lourde ; armement de Drack cité sans rendre son inventaire éditable.</x:v>
      </x:c>
      <x:c r="H29" s="9" t="str">
        <x:v>Grosse impulsion à courte portée et préparation lourde ; armement de Drack cité sans rendre son inventaire éditable.</x:v>
      </x:c>
      <x:c r="I29" s="9" t="str">
        <x:v>Carcasse krogan massive.</x:v>
      </x:c>
      <x:c r="J29" s="9" t="str">
        <x:v>Pose de visée adaptée à cette carcasse, départ de tir ou frappe, recul/contact puis reprise ; point d’origine lié à la main et non au centre du sprite.</x:v>
      </x:c>
      <x:c r="K29" s="9" t="str">
        <x:v>Créer signature originale du mécanisme et de son impact ; mix séparant arme du joueur et armes adverses de même famille.</x:v>
      </x:c>
      <x:c r="L29" s="9" t="str">
        <x:v>Prototype Chroniques : src/universe-equipment.js, src/chronicles.js, src/combat.js. Identifiant runtime MEA-WPN-RUZAD ; contexte d’œuvre/segment et sélection de scène obligatoires.</x:v>
      </x:c>
      <x:c r="M29" s="9" t="str">
        <x:v>Solo ; les valeurs, versions de rang et adaptations multijoueurs sont des données séparées.</x:v>
      </x:c>
      <x:c r="N29" s="9" t="str">
        <x:v>Ruzad : aperçu de portée, coût et ressource correspond à la résolution ; vérifier obstacle, cible mobile, rechargement/refroidissement et annulation avant tir.</x:v>
      </x:c>
      <x:c r="O29" s="9" t="str"/>
      <x:c r="P29" s="9" t="str">
        <x:v>Ruzad</x:v>
      </x:c>
      <x:c r="Q29" s="9" t="str">
        <x:v>MEA-SRC-WEAPONS</x:v>
      </x:c>
      <x:c r="R29" s="9" t="str">
        <x:v>https://masseffect.fandom.com/wiki/Weapons_%28Mass_Effect%3A_Andromeda%29</x:v>
      </x:c>
      <x:c r="S29"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30" ht="68" customHeight="1">
      <x:c r="A30" s="19" t="str">
        <x:v>MEA-WPN-HESH</x:v>
      </x:c>
      <x:c r="B30" s="7" t="str">
        <x:v>Hesh</x:v>
      </x:c>
      <x:c r="C30" s="15" t="str">
        <x:v>Défini</x:v>
      </x:c>
      <x:c r="D30" s="17" t="str">
        <x:v>Établi</x:v>
      </x:c>
      <x:c r="E30" s="17" t="str">
        <x:v>P1</x:v>
      </x:c>
      <x:c r="F30" s="7" t="str">
        <x:v>Fusil kett.</x:v>
      </x:c>
      <x:c r="G30" s="7" t="str">
        <x:v>Rafales de proximité proposées ; recul et angle de cible définissent les risques d’approche.</x:v>
      </x:c>
      <x:c r="H30" s="7" t="str">
        <x:v>Rafales de proximité proposées ; recul et angle de cible définissent les risques d’approche.</x:v>
      </x:c>
      <x:c r="I30" s="7" t="str">
        <x:v>Arme organique courte.</x:v>
      </x:c>
      <x:c r="J30" s="7" t="str">
        <x:v>Pose de visée adaptée à cette carcasse, départ de tir ou frappe, recul/contact puis reprise ; point d’origine lié à la main et non au centre du sprite.</x:v>
      </x:c>
      <x:c r="K30" s="7" t="str">
        <x:v>Créer signature originale du mécanisme et de son impact ; mix séparant arme du joueur et armes adverses de même famille.</x:v>
      </x:c>
      <x:c r="L30" s="7" t="str">
        <x:v>Prévu : fiche de données mea/weapons/hesh ; rattacher les ressources et états cités à cet identifiant. Aucun fichier de jeu créé par ce catalogue.</x:v>
      </x:c>
      <x:c r="M30" s="7" t="str">
        <x:v>Solo ; les valeurs, versions de rang et adaptations multijoueurs sont des données séparées.</x:v>
      </x:c>
      <x:c r="N30" s="7" t="str">
        <x:v>Hesh : aperçu de portée, coût et ressource correspond à la résolution ; vérifier obstacle, cible mobile, rechargement/refroidissement et annulation avant tir.</x:v>
      </x:c>
      <x:c r="O30" s="7" t="str"/>
      <x:c r="P30" s="7" t="str">
        <x:v>Hesh</x:v>
      </x:c>
      <x:c r="Q30" s="7" t="str">
        <x:v>MEA-SRC-WEAPONS</x:v>
      </x:c>
      <x:c r="R30" s="7" t="str">
        <x:v>https://masseffect.fandom.com/wiki/Weapons_%28Mass_Effect%3A_Andromeda%29</x:v>
      </x:c>
      <x:c r="S30" s="7" t="str">
        <x:v>Spécification à réaliser. Les champs adaptation, gameplay, visual, animation, audio et implementation décrivent le fan game ; ils ne donnent pas des caractéristiques officielles de l’œuvre.</x:v>
      </x:c>
    </x:row>
    <x:row r="31" ht="68" customHeight="1">
      <x:c r="A31" s="18" t="str">
        <x:v>MEA-WPN-DHAN</x:v>
      </x:c>
      <x:c r="B31" s="9" t="str">
        <x:v>Dhan</x:v>
      </x:c>
      <x:c r="C31" s="15" t="str">
        <x:v>Défini</x:v>
      </x:c>
      <x:c r="D31" s="16" t="str">
        <x:v>Établi</x:v>
      </x:c>
      <x:c r="E31" s="16" t="str">
        <x:v>P1</x:v>
      </x:c>
      <x:c r="F31" s="9" t="str">
        <x:v>Fusil angara.</x:v>
      </x:c>
      <x:c r="G31" s="9" t="str">
        <x:v>Salve dense à projectile visible ; effet d’étourdissement proposé dépend de résistance de cible.</x:v>
      </x:c>
      <x:c r="H31" s="9" t="str">
        <x:v>Salve dense à projectile visible ; effet d’étourdissement proposé dépend de résistance de cible.</x:v>
      </x:c>
      <x:c r="I31" s="9" t="str">
        <x:v>Forme angara et projectiles d’énergie.</x:v>
      </x:c>
      <x:c r="J31" s="9" t="str">
        <x:v>Pose de visée adaptée à cette carcasse, départ de tir ou frappe, recul/contact puis reprise ; point d’origine lié à la main et non au centre du sprite.</x:v>
      </x:c>
      <x:c r="K31" s="9" t="str">
        <x:v>Créer signature originale du mécanisme et de son impact ; mix séparant arme du joueur et armes adverses de même famille.</x:v>
      </x:c>
      <x:c r="L31" s="9" t="str">
        <x:v>Prévu : fiche de données mea/weapons/dhan ; rattacher les ressources et états cités à cet identifiant. Aucun fichier de jeu créé par ce catalogue.</x:v>
      </x:c>
      <x:c r="M31" s="9" t="str">
        <x:v>Solo ; les valeurs, versions de rang et adaptations multijoueurs sont des données séparées.</x:v>
      </x:c>
      <x:c r="N31" s="9" t="str">
        <x:v>Dhan : aperçu de portée, coût et ressource correspond à la résolution ; vérifier obstacle, cible mobile, rechargement/refroidissement et annulation avant tir.</x:v>
      </x:c>
      <x:c r="O31" s="9" t="str"/>
      <x:c r="P31" s="9" t="str">
        <x:v>Dhan</x:v>
      </x:c>
      <x:c r="Q31" s="9" t="str">
        <x:v>MEA-SRC-WEAPONS</x:v>
      </x:c>
      <x:c r="R31" s="9" t="str">
        <x:v>https://masseffect.fandom.com/wiki/Weapons_%28Mass_Effect%3A_Andromeda%29</x:v>
      </x:c>
      <x:c r="S31" s="9" t="str">
        <x:v>Spécification à réaliser. Les champs adaptation, gameplay, visual, animation, audio et implementation décrivent le fan game ; ils ne donnent pas des caractéristiques officielles de l’œuvre.</x:v>
      </x:c>
    </x:row>
    <x:row r="32" ht="68" customHeight="1">
      <x:c r="A32" s="19" t="str">
        <x:v>MEA-WPN-DISCIPLE</x:v>
      </x:c>
      <x:c r="B32" s="7" t="str">
        <x:v>Disciple</x:v>
      </x:c>
      <x:c r="C32" s="15" t="str">
        <x:v>Prototype</x:v>
      </x:c>
      <x:c r="D32" s="17" t="str">
        <x:v>Établi</x:v>
      </x:c>
      <x:c r="E32" s="17" t="str">
        <x:v>P1</x:v>
      </x:c>
      <x:c r="F32" s="7" t="str">
        <x:v>Fusil asari.</x:v>
      </x:c>
      <x:c r="G32" s="7" t="str">
        <x:v>Arme légère de contrôle proposée ; déplacement puis tir s’enchaînent avec coût transparent.</x:v>
      </x:c>
      <x:c r="H32" s="7" t="str">
        <x:v>Arme légère de contrôle proposée ; déplacement puis tir s’enchaînent avec coût transparent.</x:v>
      </x:c>
      <x:c r="I32" s="7" t="str">
        <x:v>Courbes asari.</x:v>
      </x:c>
      <x:c r="J32" s="7" t="str">
        <x:v>Pose de visée adaptée à cette carcasse, départ de tir ou frappe, recul/contact puis reprise ; point d’origine lié à la main et non au centre du sprite.</x:v>
      </x:c>
      <x:c r="K32" s="7" t="str">
        <x:v>Créer signature originale du mécanisme et de son impact ; mix séparant arme du joueur et armes adverses de même famille.</x:v>
      </x:c>
      <x:c r="L32" s="7" t="str">
        <x:v>Prototype Chroniques : src/universe-equipment.js, src/chronicles.js, src/combat.js. Identifiant runtime MEA-WPN-DISCIPLE ; contexte d’œuvre/segment et sélection de scène obligatoires.</x:v>
      </x:c>
      <x:c r="M32" s="7" t="str">
        <x:v>Solo ; les valeurs, versions de rang et adaptations multijoueurs sont des données séparées.</x:v>
      </x:c>
      <x:c r="N32" s="7" t="str">
        <x:v>Disciple : aperçu de portée, coût et ressource correspond à la résolution ; vérifier obstacle, cible mobile, rechargement/refroidissement et annulation avant tir.</x:v>
      </x:c>
      <x:c r="O32" s="7" t="str"/>
      <x:c r="P32" s="7" t="str">
        <x:v>Disciple</x:v>
      </x:c>
      <x:c r="Q32" s="7" t="str">
        <x:v>MEA-SRC-WEAPONS</x:v>
      </x:c>
      <x:c r="R32" s="7" t="str">
        <x:v>https://masseffect.fandom.com/wiki/Weapons_%28Mass_Effect%3A_Andromeda%29</x:v>
      </x:c>
      <x:c r="S32"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33" ht="110" customHeight="1">
      <x:c r="A33" s="18" t="str">
        <x:v>MEA-WPN-REEGAR</x:v>
      </x:c>
      <x:c r="B33" s="9" t="str">
        <x:v>Reegar Carbine</x:v>
      </x:c>
      <x:c r="C33" s="15" t="str">
        <x:v>Prototype</x:v>
      </x:c>
      <x:c r="D33" s="16" t="str">
        <x:v>Établi</x:v>
      </x:c>
      <x:c r="E33" s="16" t="str">
        <x:v>P1</x:v>
      </x:c>
      <x:c r="F33" s="9" t="str">
        <x:v>Fusil électrique.</x:v>
      </x:c>
      <x:c r="G33" s="9" t="str">
        <x:v>Jet court continu, ressource consommée pendant canalisation ; arc visuel ne peut traverser mur opaque.</x:v>
      </x:c>
      <x:c r="H33" s="9" t="str">
        <x:v>Jet court continu, ressource consommée pendant canalisation ; arc visuel ne peut traverser mur opaque.</x:v>
      </x:c>
      <x:c r="I33" s="9" t="str">
        <x:v>Électricité et petit canon.</x:v>
      </x:c>
      <x:c r="J33" s="9" t="str">
        <x:v>Pose de visée adaptée à cette carcasse, départ de tir ou frappe, recul/contact puis reprise ; point d’origine lié à la main et non au centre du sprite.</x:v>
      </x:c>
      <x:c r="K33" s="9" t="str">
        <x:v>Créer signature originale du mécanisme et de son impact ; mix séparant arme du joueur et armes adverses de même famille.</x:v>
      </x:c>
      <x:c r="L33" s="9" t="str">
        <x:v>Prototype partiel MEA-WPN-REEGAR dans src/universe-weapon-profiles.js, src/universe-equipment.js et src/combat.js : jet canalisé consommant les munitions par impulsion. Sélection et restauration contrôlées dans l’atelier de cette œuvre ; aucune acquisition ni mission originale reconstituée.</x:v>
      </x:c>
      <x:c r="M33" s="9" t="str">
        <x:v>Solo ; les valeurs, versions de rang et adaptations multijoueurs sont des données séparées.</x:v>
      </x:c>
      <x:c r="N33" s="9" t="str">
        <x:v>Reegar Carbine : aperçu de portée, coût et ressource correspond à la résolution ; vérifier obstacle, cible mobile, rechargement/refroidissement et annulation avant tir.</x:v>
      </x:c>
      <x:c r="O33" s="9" t="str"/>
      <x:c r="P33" s="9" t="str">
        <x:v>Reegar Carbine</x:v>
      </x:c>
      <x:c r="Q33" s="9" t="str">
        <x:v>MEA-SRC-WEAPONS</x:v>
      </x:c>
      <x:c r="R33" s="9" t="str">
        <x:v>https://masseffect.fandom.com/wiki/Weapons_%28Mass_Effect%3A_Andromeda%29</x:v>
      </x:c>
      <x:c r="S33" s="9" t="str">
        <x:v>Les champs adaptation, gameplay, visual, animation, audio et implementation décrivent le fan game ; ils ne donnent pas des caractéristiques officielles de l’œuvre. Profil ATB identifié par le catalogue secondaire : mécanique, dégâts, délais, chaleur et réserves sont adaptés. Aucune validation primaire du modèle, trajectoire, collision, portée, son, animation ou apparence 1:1. Les systèmes à chaleur ne reçoivent pas de réserve de clips abstraite.</x:v>
      </x:c>
    </x:row>
    <x:row r="34" ht="68" customHeight="1">
      <x:c r="A34" s="19" t="str">
        <x:v>MEA-WPN-SCATTERSHOT</x:v>
      </x:c>
      <x:c r="B34" s="7" t="str">
        <x:v>Scattershot</x:v>
      </x:c>
      <x:c r="C34" s="15" t="str">
        <x:v>Défini</x:v>
      </x:c>
      <x:c r="D34" s="17" t="str">
        <x:v>Établi</x:v>
      </x:c>
      <x:c r="E34" s="17" t="str">
        <x:v>P1</x:v>
      </x:c>
      <x:c r="F34" s="7" t="str">
        <x:v>Fusil reliquat.</x:v>
      </x:c>
      <x:c r="G34" s="7" t="str">
        <x:v>Salve d’énergie et chaleur ; cône de dispersion lisible malgré multitude de projectiles.</x:v>
      </x:c>
      <x:c r="H34" s="7" t="str">
        <x:v>Salve d’énergie et chaleur ; cône de dispersion lisible malgré multitude de projectiles.</x:v>
      </x:c>
      <x:c r="I34" s="7" t="str">
        <x:v>Géométrie reliquate et lueurs.</x:v>
      </x:c>
      <x:c r="J34" s="7" t="str">
        <x:v>Pose de visée adaptée à cette carcasse, départ de tir ou frappe, recul/contact puis reprise ; point d’origine lié à la main et non au centre du sprite.</x:v>
      </x:c>
      <x:c r="K34" s="7" t="str">
        <x:v>Créer signature originale du mécanisme et de son impact ; mix séparant arme du joueur et armes adverses de même famille.</x:v>
      </x:c>
      <x:c r="L34" s="7" t="str">
        <x:v>Prévu : fiche de données mea/weapons/scattershot ; rattacher les ressources et états cités à cet identifiant. Aucun fichier de jeu créé par ce catalogue.</x:v>
      </x:c>
      <x:c r="M34" s="7" t="str">
        <x:v>Solo ; les valeurs, versions de rang et adaptations multijoueurs sont des données séparées.</x:v>
      </x:c>
      <x:c r="N34" s="7" t="str">
        <x:v>Scattershot : aperçu de portée, coût et ressource correspond à la résolution ; vérifier obstacle, cible mobile, rechargement/refroidissement et annulation avant tir.</x:v>
      </x:c>
      <x:c r="O34" s="7" t="str"/>
      <x:c r="P34" s="7" t="str">
        <x:v>Scattershot</x:v>
      </x:c>
      <x:c r="Q34" s="7" t="str">
        <x:v>MEA-SRC-WEAPONS</x:v>
      </x:c>
      <x:c r="R34" s="7" t="str">
        <x:v>https://masseffect.fandom.com/wiki/Weapons_%28Mass_Effect%3A_Andromeda%29</x:v>
      </x:c>
      <x:c r="S34" s="7" t="str">
        <x:v>Spécification à réaliser. Les champs adaptation, gameplay, visual, animation, audio et implementation décrivent le fan game ; ils ne donnent pas des caractéristiques officielles de l’œuvre.</x:v>
      </x:c>
    </x:row>
    <x:row r="35" ht="68" customHeight="1">
      <x:c r="A35" s="18" t="str">
        <x:v>MEA-WPN-PIRANHA</x:v>
      </x:c>
      <x:c r="B35" s="9" t="str">
        <x:v>N7 Piranha</x:v>
      </x:c>
      <x:c r="C35" s="15" t="str">
        <x:v>Prototype</x:v>
      </x:c>
      <x:c r="D35" s="16" t="str">
        <x:v>Établi</x:v>
      </x:c>
      <x:c r="E35" s="16" t="str">
        <x:v>P1</x:v>
      </x:c>
      <x:c r="F35" s="9" t="str">
        <x:v>Fusil à pompe.</x:v>
      </x:c>
      <x:c r="G35" s="9" t="str">
        <x:v>Rafale rapide de contact ; le porteur choisit durée d’engagement dans menu ATB proposé.</x:v>
      </x:c>
      <x:c r="H35" s="9" t="str">
        <x:v>Rafale rapide de contact ; le porteur choisit durée d’engagement dans menu ATB proposé.</x:v>
      </x:c>
      <x:c r="I35" s="9" t="str">
        <x:v>Arme N7 compacte.</x:v>
      </x:c>
      <x:c r="J35" s="9" t="str">
        <x:v>Pose de visée adaptée à cette carcasse, départ de tir ou frappe, recul/contact puis reprise ; point d’origine lié à la main et non au centre du sprite.</x:v>
      </x:c>
      <x:c r="K35" s="9" t="str">
        <x:v>Créer signature originale du mécanisme et de son impact ; mix séparant arme du joueur et armes adverses de même famille.</x:v>
      </x:c>
      <x:c r="L35" s="9" t="str">
        <x:v>Prototype Chroniques : src/universe-equipment.js, src/chronicles.js, src/combat.js. Identifiant runtime MEA-WPN-PIRANHA ; contexte d’œuvre/segment et sélection de scène obligatoires.</x:v>
      </x:c>
      <x:c r="M35" s="9" t="str">
        <x:v>Solo ; les valeurs, versions de rang et adaptations multijoueurs sont des données séparées.</x:v>
      </x:c>
      <x:c r="N35" s="9" t="str">
        <x:v>N7 Piranha : aperçu de portée, coût et ressource correspond à la résolution ; vérifier obstacle, cible mobile, rechargement/refroidissement et annulation avant tir.</x:v>
      </x:c>
      <x:c r="O35" s="9" t="str"/>
      <x:c r="P35" s="9" t="str">
        <x:v>N7 Piranha</x:v>
      </x:c>
      <x:c r="Q35" s="9" t="str">
        <x:v>MEA-SRC-WEAPONS</x:v>
      </x:c>
      <x:c r="R35" s="9" t="str">
        <x:v>https://masseffect.fandom.com/wiki/Weapons_%28Mass_Effect%3A_Andromeda%29</x:v>
      </x:c>
      <x:c r="S35"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36" ht="68" customHeight="1">
      <x:c r="A36" s="19" t="str">
        <x:v>MEA-WPN-VENOM</x:v>
      </x:c>
      <x:c r="B36" s="7" t="str">
        <x:v>Venom</x:v>
      </x:c>
      <x:c r="C36" s="15" t="str">
        <x:v>Défini</x:v>
      </x:c>
      <x:c r="D36" s="17" t="str">
        <x:v>Établi</x:v>
      </x:c>
      <x:c r="E36" s="17" t="str">
        <x:v>P1</x:v>
      </x:c>
      <x:c r="F36" s="7" t="str">
        <x:v>Fusil à projectiles explosifs.</x:v>
      </x:c>
      <x:c r="G36" s="7" t="str">
        <x:v>Mode de charge proposé avec parabole ; avertir des surfaces qui changent rebond ou zone.</x:v>
      </x:c>
      <x:c r="H36" s="7" t="str">
        <x:v>Mode de charge proposé avec parabole ; avertir des surfaces qui changent rebond ou zone.</x:v>
      </x:c>
      <x:c r="I36" s="7" t="str">
        <x:v>Lanceur à canon large.</x:v>
      </x:c>
      <x:c r="J36" s="7" t="str">
        <x:v>Pose de visée adaptée à cette carcasse, départ de tir ou frappe, recul/contact puis reprise ; point d’origine lié à la main et non au centre du sprite.</x:v>
      </x:c>
      <x:c r="K36" s="7" t="str">
        <x:v>Créer signature originale du mécanisme et de son impact ; mix séparant arme du joueur et armes adverses de même famille.</x:v>
      </x:c>
      <x:c r="L36" s="7" t="str">
        <x:v>Prévu : fiche de données mea/weapons/venom ; rattacher les ressources et états cités à cet identifiant. Aucun fichier de jeu créé par ce catalogue.</x:v>
      </x:c>
      <x:c r="M36" s="7" t="str">
        <x:v>Solo ; les valeurs, versions de rang et adaptations multijoueurs sont des données séparées.</x:v>
      </x:c>
      <x:c r="N36" s="7" t="str">
        <x:v>Venom : aperçu de portée, coût et ressource correspond à la résolution ; vérifier obstacle, cible mobile, rechargement/refroidissement et annulation avant tir.</x:v>
      </x:c>
      <x:c r="O36" s="7" t="str"/>
      <x:c r="P36" s="7" t="str">
        <x:v>Venom</x:v>
      </x:c>
      <x:c r="Q36" s="7" t="str">
        <x:v>MEA-SRC-WEAPONS</x:v>
      </x:c>
      <x:c r="R36" s="7" t="str">
        <x:v>https://masseffect.fandom.com/wiki/Weapons_%28Mass_Effect%3A_Andromeda%29</x:v>
      </x:c>
      <x:c r="S36" s="7" t="str">
        <x:v>Spécification à réaliser. Les champs adaptation, gameplay, visual, animation, audio et implementation décrivent le fan game ; ils ne donnent pas des caractéristiques officielles de l’œuvre.</x:v>
      </x:c>
    </x:row>
    <x:row r="37" ht="68" customHeight="1">
      <x:c r="A37" s="18" t="str">
        <x:v>MEA-WPN-DEEP-IMPACT</x:v>
      </x:c>
      <x:c r="B37" s="9" t="str">
        <x:v>Pathfinder Deep Impact</x:v>
      </x:c>
      <x:c r="C37" s="15" t="str">
        <x:v>Défini</x:v>
      </x:c>
      <x:c r="D37" s="16" t="str">
        <x:v>Établi</x:v>
      </x:c>
      <x:c r="E37" s="16" t="str">
        <x:v>P1</x:v>
      </x:c>
      <x:c r="F37" s="9" t="str">
        <x:v>Arme du pack Pathfinder Elite.</x:v>
      </x:c>
      <x:c r="G37" s="9" t="str">
        <x:v>Profil d’impact court défini comme équipement additionnel ; aucune quête principale ne l’exige.</x:v>
      </x:c>
      <x:c r="H37" s="9" t="str">
        <x:v>Profil d’impact court défini comme équipement additionnel ; aucune quête principale ne l’exige.</x:v>
      </x:c>
      <x:c r="I37" s="9" t="str">
        <x:v>Fusil de Pionnier.</x:v>
      </x:c>
      <x:c r="J37" s="9" t="str">
        <x:v>Pose de visée adaptée à cette carcasse, départ de tir ou frappe, recul/contact puis reprise ; point d’origine lié à la main et non au centre du sprite.</x:v>
      </x:c>
      <x:c r="K37" s="9" t="str">
        <x:v>Créer signature originale du mécanisme et de son impact ; mix séparant arme du joueur et armes adverses de même famille.</x:v>
      </x:c>
      <x:c r="L37" s="9" t="str">
        <x:v>Prévu : fiche de données mea/weapons/deep-impact ; rattacher les ressources et états cités à cet identifiant. Aucun fichier de jeu créé par ce catalogue.</x:v>
      </x:c>
      <x:c r="M37" s="9" t="str">
        <x:v>Pack Pathfinder Elite / édition compatible ; vérifier la voie d’acquisition.</x:v>
      </x:c>
      <x:c r="N37" s="9" t="str">
        <x:v>Pathfinder Deep Impact : aperçu de portée, coût et ressource correspond à la résolution ; vérifier obstacle, cible mobile, rechargement/refroidissement et annulation avant tir.</x:v>
      </x:c>
      <x:c r="O37" s="9" t="str"/>
      <x:c r="P37" s="9" t="str">
        <x:v>Pathfinder Deep Impact</x:v>
      </x:c>
      <x:c r="Q37" s="9" t="str">
        <x:v>MEA-SRC-WEAPONS</x:v>
      </x:c>
      <x:c r="R37" s="9" t="str">
        <x:v>https://masseffect.fandom.com/wiki/Weapons_%28Mass_Effect%3A_Andromeda%29</x:v>
      </x:c>
      <x:c r="S37" s="9" t="str">
        <x:v>Spécification à réaliser. Les champs adaptation, gameplay, visual, animation, audio et implementation décrivent le fan game ; ils ne donnent pas des caractéristiques officielles de l’œuvre.</x:v>
      </x:c>
    </x:row>
    <x:row r="38" ht="68" customHeight="1">
      <x:c r="A38" s="19" t="str">
        <x:v>MEA-WPN-MANTIS</x:v>
      </x:c>
      <x:c r="B38" s="7" t="str">
        <x:v>Mantis</x:v>
      </x:c>
      <x:c r="C38" s="15" t="str">
        <x:v>Prototype</x:v>
      </x:c>
      <x:c r="D38" s="17" t="str">
        <x:v>Établi</x:v>
      </x:c>
      <x:c r="E38" s="17" t="str">
        <x:v>P1</x:v>
      </x:c>
      <x:c r="F38" s="7" t="str">
        <x:v>Fusil de précision.</x:v>
      </x:c>
      <x:c r="G38" s="7" t="str">
        <x:v>Tir préparé sur ligne dégagée ; maintenir visée coûte une action clairement bornée.</x:v>
      </x:c>
      <x:c r="H38" s="7" t="str">
        <x:v>Tir préparé sur ligne dégagée ; maintenir visée coûte une action clairement bornée.</x:v>
      </x:c>
      <x:c r="I38" s="7" t="str">
        <x:v>Long canon et lunette.</x:v>
      </x:c>
      <x:c r="J38" s="7" t="str">
        <x:v>Pose de visée adaptée à cette carcasse, départ de tir ou frappe, recul/contact puis reprise ; point d’origine lié à la main et non au centre du sprite.</x:v>
      </x:c>
      <x:c r="K38" s="7" t="str">
        <x:v>Créer signature originale du mécanisme et de son impact ; mix séparant arme du joueur et armes adverses de même famille.</x:v>
      </x:c>
      <x:c r="L38" s="7" t="str">
        <x:v>Prototype Chroniques : src/universe-equipment.js, src/chronicles.js, src/combat.js. Identifiant runtime MEA-WPN-MANTIS ; contexte d’œuvre/segment et sélection de scène obligatoires.</x:v>
      </x:c>
      <x:c r="M38" s="7" t="str">
        <x:v>Solo ; les valeurs, versions de rang et adaptations multijoueurs sont des données séparées.</x:v>
      </x:c>
      <x:c r="N38" s="7" t="str">
        <x:v>Mantis : aperçu de portée, coût et ressource correspond à la résolution ; vérifier obstacle, cible mobile, rechargement/refroidissement et annulation avant tir.</x:v>
      </x:c>
      <x:c r="O38" s="7" t="str"/>
      <x:c r="P38" s="7" t="str">
        <x:v>Mantis</x:v>
      </x:c>
      <x:c r="Q38" s="7" t="str">
        <x:v>MEA-SRC-WEAPONS</x:v>
      </x:c>
      <x:c r="R38" s="7" t="str">
        <x:v>https://masseffect.fandom.com/wiki/Weapons_%28Mass_Effect%3A_Andromeda%29</x:v>
      </x:c>
      <x:c r="S38"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39" ht="68" customHeight="1">
      <x:c r="A39" s="18" t="str">
        <x:v>MEA-WPN-VIPER</x:v>
      </x:c>
      <x:c r="B39" s="9" t="str">
        <x:v>Viper</x:v>
      </x:c>
      <x:c r="C39" s="15" t="str">
        <x:v>Prototype</x:v>
      </x:c>
      <x:c r="D39" s="16" t="str">
        <x:v>Établi</x:v>
      </x:c>
      <x:c r="E39" s="16" t="str">
        <x:v>P1</x:v>
      </x:c>
      <x:c r="F39" s="9" t="str">
        <x:v>Fusil de précision.</x:v>
      </x:c>
      <x:c r="G39" s="9" t="str">
        <x:v>Suite de tirs avec retargeting après chaque impact ; conserver la lisibilité face à ennemis volants.</x:v>
      </x:c>
      <x:c r="H39" s="9" t="str">
        <x:v>Suite de tirs avec retargeting après chaque impact ; conserver la lisibilité face à ennemis volants.</x:v>
      </x:c>
      <x:c r="I39" s="9" t="str">
        <x:v>Arme fine semi-automatique.</x:v>
      </x:c>
      <x:c r="J39" s="9" t="str">
        <x:v>Pose de visée adaptée à cette carcasse, départ de tir ou frappe, recul/contact puis reprise ; point d’origine lié à la main et non au centre du sprite.</x:v>
      </x:c>
      <x:c r="K39" s="9" t="str">
        <x:v>Créer signature originale du mécanisme et de son impact ; mix séparant arme du joueur et armes adverses de même famille.</x:v>
      </x:c>
      <x:c r="L39" s="9" t="str">
        <x:v>Prototype Chroniques : src/universe-equipment.js, src/chronicles.js, src/combat.js. Identifiant runtime MEA-WPN-VIPER ; contexte d’œuvre/segment et sélection de scène obligatoires.</x:v>
      </x:c>
      <x:c r="M39" s="9" t="str">
        <x:v>Solo ; les valeurs, versions de rang et adaptations multijoueurs sont des données séparées.</x:v>
      </x:c>
      <x:c r="N39" s="9" t="str">
        <x:v>Viper : aperçu de portée, coût et ressource correspond à la résolution ; vérifier obstacle, cible mobile, rechargement/refroidissement et annulation avant tir.</x:v>
      </x:c>
      <x:c r="O39" s="9" t="str"/>
      <x:c r="P39" s="9" t="str">
        <x:v>Viper</x:v>
      </x:c>
      <x:c r="Q39" s="9" t="str">
        <x:v>MEA-SRC-WEAPONS</x:v>
      </x:c>
      <x:c r="R39" s="9" t="str">
        <x:v>https://masseffect.fandom.com/wiki/Weapons_%28Mass_Effect%3A_Andromeda%29</x:v>
      </x:c>
      <x:c r="S39"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40" ht="68" customHeight="1">
      <x:c r="A40" s="19" t="str">
        <x:v>MEA-WPN-BLACK-WIDOW</x:v>
      </x:c>
      <x:c r="B40" s="7" t="str">
        <x:v>Black Widow</x:v>
      </x:c>
      <x:c r="C40" s="15" t="str">
        <x:v>Prototype</x:v>
      </x:c>
      <x:c r="D40" s="17" t="str">
        <x:v>Établi</x:v>
      </x:c>
      <x:c r="E40" s="17" t="str">
        <x:v>P1</x:v>
      </x:c>
      <x:c r="F40" s="7" t="str">
        <x:v>Fusil lourd de précision.</x:v>
      </x:c>
      <x:c r="G40" s="7" t="str">
        <x:v>Petite série puissante proposée ; pénétration limitée aux matériaux déclarés traversables.</x:v>
      </x:c>
      <x:c r="H40" s="7" t="str">
        <x:v>Petite série puissante proposée ; pénétration limitée aux matériaux déclarés traversables.</x:v>
      </x:c>
      <x:c r="I40" s="7" t="str">
        <x:v>Grand fusil sombre.</x:v>
      </x:c>
      <x:c r="J40" s="7" t="str">
        <x:v>Pose de visée adaptée à cette carcasse, départ de tir ou frappe, recul/contact puis reprise ; point d’origine lié à la main et non au centre du sprite.</x:v>
      </x:c>
      <x:c r="K40" s="7" t="str">
        <x:v>Créer signature originale du mécanisme et de son impact ; mix séparant arme du joueur et armes adverses de même famille.</x:v>
      </x:c>
      <x:c r="L40" s="7" t="str">
        <x:v>Prototype Chroniques : src/universe-equipment.js, src/chronicles.js, src/combat.js. Identifiant runtime MEA-WPN-BLACK-WIDOW ; contexte d’œuvre/segment et sélection de scène obligatoires.</x:v>
      </x:c>
      <x:c r="M40" s="7" t="str">
        <x:v>Solo ; les valeurs, versions de rang et adaptations multijoueurs sont des données séparées.</x:v>
      </x:c>
      <x:c r="N40" s="7" t="str">
        <x:v>Black Widow : aperçu de portée, coût et ressource correspond à la résolution ; vérifier obstacle, cible mobile, rechargement/refroidissement et annulation avant tir.</x:v>
      </x:c>
      <x:c r="O40" s="7" t="str"/>
      <x:c r="P40" s="7" t="str">
        <x:v>Black Widow</x:v>
      </x:c>
      <x:c r="Q40" s="7" t="str">
        <x:v>MEA-SRC-WEAPONS</x:v>
      </x:c>
      <x:c r="R40" s="7" t="str">
        <x:v>https://masseffect.fandom.com/wiki/Weapons_%28Mass_Effect%3A_Andromeda%29</x:v>
      </x:c>
      <x:c r="S40"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41" ht="68" customHeight="1">
      <x:c r="A41" s="18" t="str">
        <x:v>MEA-WPN-INDRA</x:v>
      </x:c>
      <x:c r="B41" s="9" t="str">
        <x:v>Indra</x:v>
      </x:c>
      <x:c r="C41" s="15" t="str">
        <x:v>Prototype</x:v>
      </x:c>
      <x:c r="D41" s="16" t="str">
        <x:v>Établi</x:v>
      </x:c>
      <x:c r="E41" s="16" t="str">
        <x:v>P1</x:v>
      </x:c>
      <x:c r="F41" s="9" t="str">
        <x:v>Fusil automatique de précision.</x:v>
      </x:c>
      <x:c r="G41" s="9" t="str">
        <x:v>Canal court avec dispersion graduelle ; couvert ou attaque reçue perturbe la stabilité proposée.</x:v>
      </x:c>
      <x:c r="H41" s="9" t="str">
        <x:v>Canal court avec dispersion graduelle ; couvert ou attaque reçue perturbe la stabilité proposée.</x:v>
      </x:c>
      <x:c r="I41" s="9" t="str">
        <x:v>Fusil long automatique.</x:v>
      </x:c>
      <x:c r="J41" s="9" t="str">
        <x:v>Pose de visée adaptée à cette carcasse, départ de tir ou frappe, recul/contact puis reprise ; point d’origine lié à la main et non au centre du sprite.</x:v>
      </x:c>
      <x:c r="K41" s="9" t="str">
        <x:v>Créer signature originale du mécanisme et de son impact ; mix séparant arme du joueur et armes adverses de même famille.</x:v>
      </x:c>
      <x:c r="L41" s="9" t="str">
        <x:v>Prototype Chroniques : src/universe-equipment.js, src/chronicles.js, src/combat.js. Identifiant runtime MEA-WPN-INDRA ; contexte d’œuvre/segment et sélection de scène obligatoires.</x:v>
      </x:c>
      <x:c r="M41" s="9" t="str">
        <x:v>Solo ; les valeurs, versions de rang et adaptations multijoueurs sont des données séparées.</x:v>
      </x:c>
      <x:c r="N41" s="9" t="str">
        <x:v>Indra : aperçu de portée, coût et ressource correspond à la résolution ; vérifier obstacle, cible mobile, rechargement/refroidissement et annulation avant tir.</x:v>
      </x:c>
      <x:c r="O41" s="9" t="str"/>
      <x:c r="P41" s="9" t="str">
        <x:v>Indra</x:v>
      </x:c>
      <x:c r="Q41" s="9" t="str">
        <x:v>MEA-SRC-WEAPONS</x:v>
      </x:c>
      <x:c r="R41" s="9" t="str">
        <x:v>https://masseffect.fandom.com/wiki/Weapons_%28Mass_Effect%3A_Andromeda%29</x:v>
      </x:c>
      <x:c r="S41"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42" ht="68" customHeight="1">
      <x:c r="A42" s="19" t="str">
        <x:v>MEA-WPN-ISHARAY</x:v>
      </x:c>
      <x:c r="B42" s="7" t="str">
        <x:v>Isharay</x:v>
      </x:c>
      <x:c r="C42" s="15" t="str">
        <x:v>Défini</x:v>
      </x:c>
      <x:c r="D42" s="17" t="str">
        <x:v>Établi</x:v>
      </x:c>
      <x:c r="E42" s="17" t="str">
        <x:v>P1</x:v>
      </x:c>
      <x:c r="F42" s="7" t="str">
        <x:v>Fusil angara de précision.</x:v>
      </x:c>
      <x:c r="G42" s="7" t="str">
        <x:v>Gros coup puis longue reprise ; prévisualiser changement d’angle adverse avant confirmer l’engagement.</x:v>
      </x:c>
      <x:c r="H42" s="7" t="str">
        <x:v>Gros coup puis longue reprise ; prévisualiser changement d’angle adverse avant confirmer l’engagement.</x:v>
      </x:c>
      <x:c r="I42" s="7" t="str">
        <x:v>Arme angara lourde.</x:v>
      </x:c>
      <x:c r="J42" s="7" t="str">
        <x:v>Pose de visée adaptée à cette carcasse, départ de tir ou frappe, recul/contact puis reprise ; point d’origine lié à la main et non au centre du sprite.</x:v>
      </x:c>
      <x:c r="K42" s="7" t="str">
        <x:v>Créer signature originale du mécanisme et de son impact ; mix séparant arme du joueur et armes adverses de même famille.</x:v>
      </x:c>
      <x:c r="L42" s="7" t="str">
        <x:v>Prévu : fiche de données mea/weapons/isharay ; rattacher les ressources et états cités à cet identifiant. Aucun fichier de jeu créé par ce catalogue.</x:v>
      </x:c>
      <x:c r="M42" s="7" t="str">
        <x:v>Solo ; les valeurs, versions de rang et adaptations multijoueurs sont des données séparées.</x:v>
      </x:c>
      <x:c r="N42" s="7" t="str">
        <x:v>Isharay : aperçu de portée, coût et ressource correspond à la résolution ; vérifier obstacle, cible mobile, rechargement/refroidissement et annulation avant tir.</x:v>
      </x:c>
      <x:c r="O42" s="7" t="str"/>
      <x:c r="P42" s="7" t="str">
        <x:v>Isharay</x:v>
      </x:c>
      <x:c r="Q42" s="7" t="str">
        <x:v>MEA-SRC-WEAPONS</x:v>
      </x:c>
      <x:c r="R42" s="7" t="str">
        <x:v>https://masseffect.fandom.com/wiki/Weapons_%28Mass_Effect%3A_Andromeda%29</x:v>
      </x:c>
      <x:c r="S42" s="7" t="str">
        <x:v>Spécification à réaliser. Les champs adaptation, gameplay, visual, animation, audio et implementation décrivent le fan game ; ils ne donnent pas des caractéristiques officielles de l’œuvre.</x:v>
      </x:c>
    </x:row>
    <x:row r="43" ht="68" customHeight="1">
      <x:c r="A43" s="18" t="str">
        <x:v>MEA-WPN-LANAT</x:v>
      </x:c>
      <x:c r="B43" s="9" t="str">
        <x:v>Lanat</x:v>
      </x:c>
      <x:c r="C43" s="15" t="str">
        <x:v>Défini</x:v>
      </x:c>
      <x:c r="D43" s="16" t="str">
        <x:v>Établi</x:v>
      </x:c>
      <x:c r="E43" s="16" t="str">
        <x:v>P1</x:v>
      </x:c>
      <x:c r="F43" s="9" t="str">
        <x:v>Fusil angara de précision.</x:v>
      </x:c>
      <x:c r="G43" s="9" t="str">
        <x:v>Charge contrôlée puis projectile ; tir partiel et complet distingués dans file d’action.</x:v>
      </x:c>
      <x:c r="H43" s="9" t="str">
        <x:v>Charge contrôlée puis projectile ; tir partiel et complet distingués dans file d’action.</x:v>
      </x:c>
      <x:c r="I43" s="9" t="str">
        <x:v>Chambre d’énergie et long fût.</x:v>
      </x:c>
      <x:c r="J43" s="9" t="str">
        <x:v>Pose de visée adaptée à cette carcasse, départ de tir ou frappe, recul/contact puis reprise ; point d’origine lié à la main et non au centre du sprite.</x:v>
      </x:c>
      <x:c r="K43" s="9" t="str">
        <x:v>Créer signature originale du mécanisme et de son impact ; mix séparant arme du joueur et armes adverses de même famille.</x:v>
      </x:c>
      <x:c r="L43" s="9" t="str">
        <x:v>Prévu : fiche de données mea/weapons/lanat ; rattacher les ressources et états cités à cet identifiant. Aucun fichier de jeu créé par ce catalogue.</x:v>
      </x:c>
      <x:c r="M43" s="9" t="str">
        <x:v>Solo ; les valeurs, versions de rang et adaptations multijoueurs sont des données séparées.</x:v>
      </x:c>
      <x:c r="N43" s="9" t="str">
        <x:v>Lanat : aperçu de portée, coût et ressource correspond à la résolution ; vérifier obstacle, cible mobile, rechargement/refroidissement et annulation avant tir.</x:v>
      </x:c>
      <x:c r="O43" s="9" t="str"/>
      <x:c r="P43" s="9" t="str">
        <x:v>Lanat</x:v>
      </x:c>
      <x:c r="Q43" s="9" t="str">
        <x:v>MEA-SRC-WEAPONS</x:v>
      </x:c>
      <x:c r="R43" s="9" t="str">
        <x:v>https://masseffect.fandom.com/wiki/Weapons_%28Mass_Effect%3A_Andromeda%29</x:v>
      </x:c>
      <x:c r="S43" s="9" t="str">
        <x:v>Spécification à réaliser. Les champs adaptation, gameplay, visual, animation, audio et implementation décrivent le fan game ; ils ne donnent pas des caractéristiques officielles de l’œuvre.</x:v>
      </x:c>
    </x:row>
    <x:row r="44" ht="68" customHeight="1">
      <x:c r="A44" s="19" t="str">
        <x:v>MEA-WPN-INFERNO</x:v>
      </x:c>
      <x:c r="B44" s="7" t="str">
        <x:v>Inferno</x:v>
      </x:c>
      <x:c r="C44" s="15" t="str">
        <x:v>Défini</x:v>
      </x:c>
      <x:c r="D44" s="17" t="str">
        <x:v>Établi</x:v>
      </x:c>
      <x:c r="E44" s="17" t="str">
        <x:v>P1</x:v>
      </x:c>
      <x:c r="F44" s="7" t="str">
        <x:v>Fusil kett de précision.</x:v>
      </x:c>
      <x:c r="G44" s="7" t="str">
        <x:v>Tir énergétique et refroidissement proposés ; signal visuel propre évite confusion avec incendie de compétence.</x:v>
      </x:c>
      <x:c r="H44" s="7" t="str">
        <x:v>Tir énergétique et refroidissement proposés ; signal visuel propre évite confusion avec incendie de compétence.</x:v>
      </x:c>
      <x:c r="I44" s="7" t="str">
        <x:v>Arme kett et lueur rouge.</x:v>
      </x:c>
      <x:c r="J44" s="7" t="str">
        <x:v>Pose de visée adaptée à cette carcasse, départ de tir ou frappe, recul/contact puis reprise ; point d’origine lié à la main et non au centre du sprite.</x:v>
      </x:c>
      <x:c r="K44" s="7" t="str">
        <x:v>Créer signature originale du mécanisme et de son impact ; mix séparant arme du joueur et armes adverses de même famille.</x:v>
      </x:c>
      <x:c r="L44" s="7" t="str">
        <x:v>Prévu : fiche de données mea/weapons/inferno ; rattacher les ressources et états cités à cet identifiant. Aucun fichier de jeu créé par ce catalogue.</x:v>
      </x:c>
      <x:c r="M44" s="7" t="str">
        <x:v>Solo ; les valeurs, versions de rang et adaptations multijoueurs sont des données séparées.</x:v>
      </x:c>
      <x:c r="N44" s="7" t="str">
        <x:v>Inferno : aperçu de portée, coût et ressource correspond à la résolution ; vérifier obstacle, cible mobile, rechargement/refroidissement et annulation avant tir.</x:v>
      </x:c>
      <x:c r="O44" s="7" t="str"/>
      <x:c r="P44" s="7" t="str">
        <x:v>Inferno</x:v>
      </x:c>
      <x:c r="Q44" s="7" t="str">
        <x:v>MEA-SRC-WEAPONS</x:v>
      </x:c>
      <x:c r="R44" s="7" t="str">
        <x:v>https://masseffect.fandom.com/wiki/Weapons_%28Mass_Effect%3A_Andromeda%29</x:v>
      </x:c>
      <x:c r="S44" s="7" t="str">
        <x:v>Spécification à réaliser. Les champs adaptation, gameplay, visual, animation, audio et implementation décrivent le fan game ; ils ne donnent pas des caractéristiques officielles de l’œuvre.</x:v>
      </x:c>
    </x:row>
    <x:row r="45" ht="68" customHeight="1">
      <x:c r="A45" s="18" t="str">
        <x:v>MEA-WPN-VANQUISHER</x:v>
      </x:c>
      <x:c r="B45" s="9" t="str">
        <x:v>Vanquisher</x:v>
      </x:c>
      <x:c r="C45" s="15" t="str">
        <x:v>Prototype</x:v>
      </x:c>
      <x:c r="D45" s="16" t="str">
        <x:v>Établi</x:v>
      </x:c>
      <x:c r="E45" s="16" t="str">
        <x:v>P1</x:v>
      </x:c>
      <x:c r="F45" s="9" t="str">
        <x:v>Fusil de précision.</x:v>
      </x:c>
      <x:c r="G45" s="9" t="str">
        <x:v>Tir répété et cadence de repositionnement ; spécialisation proposée sans affirmer classement canon.</x:v>
      </x:c>
      <x:c r="H45" s="9" t="str">
        <x:v>Tir répété et cadence de repositionnement ; spécialisation proposée sans affirmer classement canon.</x:v>
      </x:c>
      <x:c r="I45" s="9" t="str">
        <x:v>Carcasse de sniper tactique.</x:v>
      </x:c>
      <x:c r="J45" s="9" t="str">
        <x:v>Pose de visée adaptée à cette carcasse, départ de tir ou frappe, recul/contact puis reprise ; point d’origine lié à la main et non au centre du sprite.</x:v>
      </x:c>
      <x:c r="K45" s="9" t="str">
        <x:v>Créer signature originale du mécanisme et de son impact ; mix séparant arme du joueur et armes adverses de même famille.</x:v>
      </x:c>
      <x:c r="L45" s="9" t="str">
        <x:v>Prototype Chroniques : src/universe-equipment.js, src/chronicles.js, src/combat.js. Identifiant runtime MEA-WPN-VANQUISHER ; contexte d’œuvre/segment et sélection de scène obligatoires.</x:v>
      </x:c>
      <x:c r="M45" s="9" t="str">
        <x:v>Solo ; les valeurs, versions de rang et adaptations multijoueurs sont des données séparées.</x:v>
      </x:c>
      <x:c r="N45" s="9" t="str">
        <x:v>Vanquisher : aperçu de portée, coût et ressource correspond à la résolution ; vérifier obstacle, cible mobile, rechargement/refroidissement et annulation avant tir.</x:v>
      </x:c>
      <x:c r="O45" s="9" t="str"/>
      <x:c r="P45" s="9" t="str">
        <x:v>Vanquisher</x:v>
      </x:c>
      <x:c r="Q45" s="9" t="str">
        <x:v>MEA-SRC-WEAPONS</x:v>
      </x:c>
      <x:c r="R45" s="9" t="str">
        <x:v>https://masseffect.fandom.com/wiki/Weapons_%28Mass_Effect%3A_Andromeda%29</x:v>
      </x:c>
      <x:c r="S45"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46" ht="68" customHeight="1">
      <x:c r="A46" s="19" t="str">
        <x:v>MEA-WPN-WATCHMAN</x:v>
      </x:c>
      <x:c r="B46" s="7" t="str">
        <x:v>Pathfinder Watchman</x:v>
      </x:c>
      <x:c r="C46" s="15" t="str">
        <x:v>Défini</x:v>
      </x:c>
      <x:c r="D46" s="17" t="str">
        <x:v>Établi</x:v>
      </x:c>
      <x:c r="E46" s="17" t="str">
        <x:v>P1</x:v>
      </x:c>
      <x:c r="F46" s="7" t="str">
        <x:v>Arme du pack Pathfinder Elite.</x:v>
      </x:c>
      <x:c r="G46" s="7" t="str">
        <x:v>Option de sniper additionnelle avec entrée d’inventaire propre ; accès conditionné au manifeste d’édition.</x:v>
      </x:c>
      <x:c r="H46" s="7" t="str">
        <x:v>Option de sniper additionnelle avec entrée d’inventaire propre ; accès conditionné au manifeste d’édition.</x:v>
      </x:c>
      <x:c r="I46" s="7" t="str">
        <x:v>Fusil de Pionnier.</x:v>
      </x:c>
      <x:c r="J46" s="7" t="str">
        <x:v>Pose de visée adaptée à cette carcasse, départ de tir ou frappe, recul/contact puis reprise ; point d’origine lié à la main et non au centre du sprite.</x:v>
      </x:c>
      <x:c r="K46" s="7" t="str">
        <x:v>Créer signature originale du mécanisme et de son impact ; mix séparant arme du joueur et armes adverses de même famille.</x:v>
      </x:c>
      <x:c r="L46" s="7" t="str">
        <x:v>Prévu : fiche de données mea/weapons/watchman ; rattacher les ressources et états cités à cet identifiant. Aucun fichier de jeu créé par ce catalogue.</x:v>
      </x:c>
      <x:c r="M46" s="7" t="str">
        <x:v>Pack Pathfinder Elite / édition compatible ; vérifier la voie d’acquisition.</x:v>
      </x:c>
      <x:c r="N46" s="7" t="str">
        <x:v>Pathfinder Watchman : aperçu de portée, coût et ressource correspond à la résolution ; vérifier obstacle, cible mobile, rechargement/refroidissement et annulation avant tir.</x:v>
      </x:c>
      <x:c r="O46" s="7" t="str"/>
      <x:c r="P46" s="7" t="str">
        <x:v>Pathfinder Watchman</x:v>
      </x:c>
      <x:c r="Q46" s="7" t="str">
        <x:v>MEA-SRC-WEAPONS</x:v>
      </x:c>
      <x:c r="R46" s="7" t="str">
        <x:v>https://masseffect.fandom.com/wiki/Weapons_%28Mass_Effect%3A_Andromeda%29</x:v>
      </x:c>
      <x:c r="S46" s="7" t="str">
        <x:v>Spécification à réaliser. Les champs adaptation, gameplay, visual, animation, audio et implementation décrivent le fan game ; ils ne donnent pas des caractéristiques officielles de l’œuvre.</x:v>
      </x:c>
    </x:row>
    <x:row r="47" ht="68" customHeight="1">
      <x:c r="A47" s="18" t="str">
        <x:v>MEA-WPN-OMNIBLADE</x:v>
      </x:c>
      <x:c r="B47" s="9" t="str">
        <x:v>Omni-Blade</x:v>
      </x:c>
      <x:c r="C47" s="15" t="str">
        <x:v>Défini</x:v>
      </x:c>
      <x:c r="D47" s="16" t="str">
        <x:v>Établi</x:v>
      </x:c>
      <x:c r="E47" s="16" t="str">
        <x:v>P1</x:v>
      </x:c>
      <x:c r="F47" s="9" t="str">
        <x:v>Arme de mêlée.</x:v>
      </x:c>
      <x:c r="G47" s="9" t="str">
        <x:v>Fente courte avec cible et cellule de retour réservées ; contact exige portée réelle au sol.</x:v>
      </x:c>
      <x:c r="H47" s="9" t="str">
        <x:v>Fente courte avec cible et cellule de retour réservées ; contact exige portée réelle au sol.</x:v>
      </x:c>
      <x:c r="I47" s="9" t="str">
        <x:v>Lame orange sur avant-bras.</x:v>
      </x:c>
      <x:c r="J47" s="9" t="str">
        <x:v>Pose de visée adaptée à cette carcasse, départ de tir ou frappe, recul/contact puis reprise ; point d’origine lié à la main et non au centre du sprite.</x:v>
      </x:c>
      <x:c r="K47" s="9" t="str">
        <x:v>Créer signature originale du mécanisme et de son impact ; mix séparant arme du joueur et armes adverses de même famille.</x:v>
      </x:c>
      <x:c r="L47" s="9" t="str">
        <x:v>Prévu : fiche de données mea/weapons/omniblade ; rattacher les ressources et états cités à cet identifiant. Aucun fichier de jeu créé par ce catalogue.</x:v>
      </x:c>
      <x:c r="M47" s="9" t="str">
        <x:v>Solo ; les valeurs, versions de rang et adaptations multijoueurs sont des données séparées.</x:v>
      </x:c>
      <x:c r="N47" s="9" t="str">
        <x:v>Omni-Blade : aperçu de portée, coût et ressource correspond à la résolution ; vérifier obstacle, cible mobile, rechargement/refroidissement et annulation avant tir.</x:v>
      </x:c>
      <x:c r="O47" s="9" t="str"/>
      <x:c r="P47" s="9" t="str">
        <x:v>Omni-Blade</x:v>
      </x:c>
      <x:c r="Q47" s="9" t="str">
        <x:v>MEA-SRC-MELEE</x:v>
      </x:c>
      <x:c r="R47" s="9" t="str">
        <x:v>https://masseffect.fandom.com/wiki/Melee_Weapons</x:v>
      </x:c>
      <x:c r="S47" s="9" t="str">
        <x:v>Spécification à réaliser. Les champs adaptation, gameplay, visual, animation, audio et implementation décrivent le fan game ; ils ne donnent pas des caractéristiques officielles de l’œuvre.</x:v>
      </x:c>
    </x:row>
    <x:row r="48" ht="68" customHeight="1">
      <x:c r="A48" s="19" t="str">
        <x:v>MEA-WPN-ASARI-SWORD</x:v>
      </x:c>
      <x:c r="B48" s="7" t="str">
        <x:v>Asari Sword</x:v>
      </x:c>
      <x:c r="C48" s="15" t="str">
        <x:v>Défini</x:v>
      </x:c>
      <x:c r="D48" s="17" t="str">
        <x:v>Établi</x:v>
      </x:c>
      <x:c r="E48" s="17" t="str">
        <x:v>P1</x:v>
      </x:c>
      <x:c r="F48" s="7" t="str">
        <x:v>Arme de mêlée.</x:v>
      </x:c>
      <x:c r="G48" s="7" t="str">
        <x:v>Approche biotique et frappe proposée ; vérifier la place d’arrivée avant mouvement pour éviter traverser des murs.</x:v>
      </x:c>
      <x:c r="H48" s="7" t="str">
        <x:v>Approche biotique et frappe proposée ; vérifier la place d’arrivée avant mouvement pour éviter traverser des murs.</x:v>
      </x:c>
      <x:c r="I48" s="7" t="str">
        <x:v>Lame fine et traînée bleue.</x:v>
      </x:c>
      <x:c r="J48" s="7" t="str">
        <x:v>Pose de visée adaptée à cette carcasse, départ de tir ou frappe, recul/contact puis reprise ; point d’origine lié à la main et non au centre du sprite.</x:v>
      </x:c>
      <x:c r="K48" s="7" t="str">
        <x:v>Créer signature originale du mécanisme et de son impact ; mix séparant arme du joueur et armes adverses de même famille.</x:v>
      </x:c>
      <x:c r="L48" s="7" t="str">
        <x:v>Prévu : fiche de données mea/weapons/asari-sword ; rattacher les ressources et états cités à cet identifiant. Aucun fichier de jeu créé par ce catalogue.</x:v>
      </x:c>
      <x:c r="M48" s="7" t="str">
        <x:v>Solo ; les valeurs, versions de rang et adaptations multijoueurs sont des données séparées.</x:v>
      </x:c>
      <x:c r="N48" s="7" t="str">
        <x:v>Asari Sword : aperçu de portée, coût et ressource correspond à la résolution ; vérifier obstacle, cible mobile, rechargement/refroidissement et annulation avant tir.</x:v>
      </x:c>
      <x:c r="O48" s="7" t="str"/>
      <x:c r="P48" s="7" t="str">
        <x:v>Asari Sword</x:v>
      </x:c>
      <x:c r="Q48" s="7" t="str">
        <x:v>MEA-SRC-MELEE</x:v>
      </x:c>
      <x:c r="R48" s="7" t="str">
        <x:v>https://masseffect.fandom.com/wiki/Melee_Weapons</x:v>
      </x:c>
      <x:c r="S48" s="7" t="str">
        <x:v>Spécification à réaliser. Les champs adaptation, gameplay, visual, animation, audio et implementation décrivent le fan game ; ils ne donnent pas des caractéristiques officielles de l’œuvre.</x:v>
      </x:c>
    </x:row>
    <x:row r="49" ht="68" customHeight="1">
      <x:c r="A49" s="18" t="str">
        <x:v>MEA-WPN-KROGAN-HAMMER</x:v>
      </x:c>
      <x:c r="B49" s="9" t="str">
        <x:v>Krogan Hammer</x:v>
      </x:c>
      <x:c r="C49" s="15" t="str">
        <x:v>Défini</x:v>
      </x:c>
      <x:c r="D49" s="16" t="str">
        <x:v>Établi</x:v>
      </x:c>
      <x:c r="E49" s="16" t="str">
        <x:v>P1</x:v>
      </x:c>
      <x:c r="F49" s="9" t="str">
        <x:v>Arme de mêlée.</x:v>
      </x:c>
      <x:c r="G49" s="9" t="str">
        <x:v>Frappe lourde à zone courte, préparation longue et choc au sol ; grandes silhouettes ne modifient pas rayon de dégâts.</x:v>
      </x:c>
      <x:c r="H49" s="9" t="str">
        <x:v>Frappe lourde à zone courte, préparation longue et choc au sol ; grandes silhouettes ne modifient pas rayon de dégâts.</x:v>
      </x:c>
      <x:c r="I49" s="9" t="str">
        <x:v>Marteau massif.</x:v>
      </x:c>
      <x:c r="J49" s="9" t="str">
        <x:v>Pose de visée adaptée à cette carcasse, départ de tir ou frappe, recul/contact puis reprise ; point d’origine lié à la main et non au centre du sprite.</x:v>
      </x:c>
      <x:c r="K49" s="9" t="str">
        <x:v>Créer signature originale du mécanisme et de son impact ; mix séparant arme du joueur et armes adverses de même famille.</x:v>
      </x:c>
      <x:c r="L49" s="9" t="str">
        <x:v>Prévu : fiche de données mea/weapons/krogan-hammer ; rattacher les ressources et états cités à cet identifiant. Aucun fichier de jeu créé par ce catalogue.</x:v>
      </x:c>
      <x:c r="M49" s="9" t="str">
        <x:v>Solo ; les valeurs, versions de rang et adaptations multijoueurs sont des données séparées.</x:v>
      </x:c>
      <x:c r="N49" s="9" t="str">
        <x:v>Krogan Hammer : aperçu de portée, coût et ressource correspond à la résolution ; vérifier obstacle, cible mobile, rechargement/refroidissement et annulation avant tir.</x:v>
      </x:c>
      <x:c r="O49" s="9" t="str"/>
      <x:c r="P49" s="9" t="str">
        <x:v>Krogan Hammer</x:v>
      </x:c>
      <x:c r="Q49" s="9" t="str">
        <x:v>MEA-SRC-MELEE</x:v>
      </x:c>
      <x:c r="R49" s="9" t="str">
        <x:v>https://masseffect.fandom.com/wiki/Melee_Weapons</x:v>
      </x:c>
      <x:c r="S49" s="9" t="str">
        <x:v>Spécification à réaliser. Les champs adaptation, gameplay, visual, animation, audio et implementation décrivent le fan game ; ils ne donnent pas des caractéristiques officielles de l’œuvre.</x:v>
      </x:c>
    </x:row>
    <x:row r="50" ht="68" customHeight="1">
      <x:c r="A50" s="19" t="str">
        <x:v>MEA-WPN-FIRAAN</x:v>
      </x:c>
      <x:c r="B50" s="7" t="str">
        <x:v>Angaran Firaan</x:v>
      </x:c>
      <x:c r="C50" s="15" t="str">
        <x:v>Défini</x:v>
      </x:c>
      <x:c r="D50" s="17" t="str">
        <x:v>Établi</x:v>
      </x:c>
      <x:c r="E50" s="17" t="str">
        <x:v>P1</x:v>
      </x:c>
      <x:c r="F50" s="7" t="str">
        <x:v>Arme de mêlée angara.</x:v>
      </x:c>
      <x:c r="G50" s="7" t="str">
        <x:v>Combo court directionnel ; chaque coup a cible réservée et retour interruptible.</x:v>
      </x:c>
      <x:c r="H50" s="7" t="str">
        <x:v>Combo court directionnel ; chaque coup a cible réservée et retour interruptible.</x:v>
      </x:c>
      <x:c r="I50" s="7" t="str">
        <x:v>Lame angara.</x:v>
      </x:c>
      <x:c r="J50" s="7" t="str">
        <x:v>Pose de visée adaptée à cette carcasse, départ de tir ou frappe, recul/contact puis reprise ; point d’origine lié à la main et non au centre du sprite.</x:v>
      </x:c>
      <x:c r="K50" s="7" t="str">
        <x:v>Créer signature originale du mécanisme et de son impact ; mix séparant arme du joueur et armes adverses de même famille.</x:v>
      </x:c>
      <x:c r="L50" s="7" t="str">
        <x:v>Prévu : fiche de données mea/weapons/firaan ; rattacher les ressources et états cités à cet identifiant. Aucun fichier de jeu créé par ce catalogue.</x:v>
      </x:c>
      <x:c r="M50" s="7" t="str">
        <x:v>Solo ; les valeurs, versions de rang et adaptations multijoueurs sont des données séparées.</x:v>
      </x:c>
      <x:c r="N50" s="7" t="str">
        <x:v>Angaran Firaan : aperçu de portée, coût et ressource correspond à la résolution ; vérifier obstacle, cible mobile, rechargement/refroidissement et annulation avant tir.</x:v>
      </x:c>
      <x:c r="O50" s="7" t="str"/>
      <x:c r="P50" s="7" t="str">
        <x:v>Angaran Firaan</x:v>
      </x:c>
      <x:c r="Q50" s="7" t="str">
        <x:v>MEA-SRC-MELEE</x:v>
      </x:c>
      <x:c r="R50" s="7" t="str">
        <x:v>https://masseffect.fandom.com/wiki/Melee_Weapons</x:v>
      </x:c>
      <x:c r="S50" s="7" t="str">
        <x:v>Spécification à réaliser. Les champs adaptation, gameplay, visual, animation, audio et implementation décrivent le fan game ; ils ne donnent pas des caractéristiques officielles de l’œuvre.</x:v>
      </x:c>
    </x:row>
    <x:row r="51" ht="68" customHeight="1">
      <x:c r="A51" s="18" t="str">
        <x:v>MEA-WPN-CARFALON</x:v>
      </x:c>
      <x:c r="B51" s="9" t="str">
        <x:v>Kett Carfalon</x:v>
      </x:c>
      <x:c r="C51" s="15" t="str">
        <x:v>Défini</x:v>
      </x:c>
      <x:c r="D51" s="16" t="str">
        <x:v>Établi</x:v>
      </x:c>
      <x:c r="E51" s="16" t="str">
        <x:v>P1</x:v>
      </x:c>
      <x:c r="F51" s="9" t="str">
        <x:v>Arme de mêlée kett.</x:v>
      </x:c>
      <x:c r="G51" s="9" t="str">
        <x:v>Entaille puissante et mouvement de reprise ; effets de soin éventuels seulement si définis dans recette du fan game.</x:v>
      </x:c>
      <x:c r="H51" s="9" t="str">
        <x:v>Entaille puissante et mouvement de reprise ; effets de soin éventuels seulement si définis dans recette du fan game.</x:v>
      </x:c>
      <x:c r="I51" s="9" t="str">
        <x:v>Grande lame organique.</x:v>
      </x:c>
      <x:c r="J51" s="9" t="str">
        <x:v>Pose de visée adaptée à cette carcasse, départ de tir ou frappe, recul/contact puis reprise ; point d’origine lié à la main et non au centre du sprite.</x:v>
      </x:c>
      <x:c r="K51" s="9" t="str">
        <x:v>Créer signature originale du mécanisme et de son impact ; mix séparant arme du joueur et armes adverses de même famille.</x:v>
      </x:c>
      <x:c r="L51" s="9" t="str">
        <x:v>Prévu : fiche de données mea/weapons/carfalon ; rattacher les ressources et états cités à cet identifiant. Aucun fichier de jeu créé par ce catalogue.</x:v>
      </x:c>
      <x:c r="M51" s="9" t="str">
        <x:v>Solo ; les valeurs, versions de rang et adaptations multijoueurs sont des données séparées.</x:v>
      </x:c>
      <x:c r="N51" s="9" t="str">
        <x:v>Kett Carfalon : aperçu de portée, coût et ressource correspond à la résolution ; vérifier obstacle, cible mobile, rechargement/refroidissement et annulation avant tir.</x:v>
      </x:c>
      <x:c r="O51" s="9" t="str"/>
      <x:c r="P51" s="9" t="str">
        <x:v>Kett Carfalon</x:v>
      </x:c>
      <x:c r="Q51" s="9" t="str">
        <x:v>MEA-SRC-MELEE</x:v>
      </x:c>
      <x:c r="R51" s="9" t="str">
        <x:v>https://masseffect.fandom.com/wiki/Melee_Weapons</x:v>
      </x:c>
      <x:c r="S51" s="9" t="str">
        <x:v>Spécification à réaliser. Les champs adaptation, gameplay, visual, animation, audio et implementation décrivent le fan game ; ils ne donnent pas des caractéristiques officielles de l’œuvre.</x:v>
      </x:c>
    </x:row>
    <x:row r="52" ht="68" customHeight="1">
      <x:c r="A52" s="19" t="str">
        <x:v>MEA-WPN-VAKARSH</x:v>
      </x:c>
      <x:c r="B52" s="7" t="str">
        <x:v>Kett Vakarsh</x:v>
      </x:c>
      <x:c r="C52" s="15" t="str">
        <x:v>Défini</x:v>
      </x:c>
      <x:c r="D52" s="17" t="str">
        <x:v>Établi</x:v>
      </x:c>
      <x:c r="E52" s="17" t="str">
        <x:v>P1</x:v>
      </x:c>
      <x:c r="F52" s="7" t="str">
        <x:v>Arme de mêlée kett.</x:v>
      </x:c>
      <x:c r="G52" s="7" t="str">
        <x:v>Frappe rapide de contact ; silhouette distincte de Carfalon malgré technologie commune.</x:v>
      </x:c>
      <x:c r="H52" s="7" t="str">
        <x:v>Frappe rapide de contact ; silhouette distincte de Carfalon malgré technologie commune.</x:v>
      </x:c>
      <x:c r="I52" s="7" t="str">
        <x:v>Lame osseuse plus compacte.</x:v>
      </x:c>
      <x:c r="J52" s="7" t="str">
        <x:v>Pose de visée adaptée à cette carcasse, départ de tir ou frappe, recul/contact puis reprise ; point d’origine lié à la main et non au centre du sprite.</x:v>
      </x:c>
      <x:c r="K52" s="7" t="str">
        <x:v>Créer signature originale du mécanisme et de son impact ; mix séparant arme du joueur et armes adverses de même famille.</x:v>
      </x:c>
      <x:c r="L52" s="7" t="str">
        <x:v>Prévu : fiche de données mea/weapons/vakarsh ; rattacher les ressources et états cités à cet identifiant. Aucun fichier de jeu créé par ce catalogue.</x:v>
      </x:c>
      <x:c r="M52" s="7" t="str">
        <x:v>Solo ; les valeurs, versions de rang et adaptations multijoueurs sont des données séparées.</x:v>
      </x:c>
      <x:c r="N52" s="7" t="str">
        <x:v>Kett Vakarsh : aperçu de portée, coût et ressource correspond à la résolution ; vérifier obstacle, cible mobile, rechargement/refroidissement et annulation avant tir.</x:v>
      </x:c>
      <x:c r="O52" s="7" t="str"/>
      <x:c r="P52" s="7" t="str">
        <x:v>Kett Vakarsh</x:v>
      </x:c>
      <x:c r="Q52" s="7" t="str">
        <x:v>MEA-SRC-MELEE</x:v>
      </x:c>
      <x:c r="R52" s="7" t="str">
        <x:v>https://masseffect.fandom.com/wiki/Melee_Weapons</x:v>
      </x:c>
      <x:c r="S52" s="7" t="str">
        <x:v>Spécification à réaliser. Les champs adaptation, gameplay, visual, animation, audio et implementation décrivent le fan game ; ils ne donnent pas des caractéristiques officielles de l’œuvre.</x:v>
      </x:c>
    </x:row>
    <x:row r="53" ht="68" customHeight="1">
      <x:c r="A53" s="18" t="str">
        <x:v>MEA-WPN-CRYO-GAUNTLET</x:v>
      </x:c>
      <x:c r="B53" s="9" t="str">
        <x:v>Remnant Cryo-Gauntlet</x:v>
      </x:c>
      <x:c r="C53" s="15" t="str">
        <x:v>Défini</x:v>
      </x:c>
      <x:c r="D53" s="16" t="str">
        <x:v>Établi</x:v>
      </x:c>
      <x:c r="E53" s="16" t="str">
        <x:v>P1</x:v>
      </x:c>
      <x:c r="F53" s="9" t="str">
        <x:v>Arme de mêlée reliquate.</x:v>
      </x:c>
      <x:c r="G53" s="9" t="str">
        <x:v>Coup de givre puis recul ; ralentissement proposé visible et résistance des boss expliquée.</x:v>
      </x:c>
      <x:c r="H53" s="9" t="str">
        <x:v>Coup de givre puis recul ; ralentissement proposé visible et résistance des boss expliquée.</x:v>
      </x:c>
      <x:c r="I53" s="9" t="str">
        <x:v>Gantelet noir et givre.</x:v>
      </x:c>
      <x:c r="J53" s="9" t="str">
        <x:v>Pose de visée adaptée à cette carcasse, départ de tir ou frappe, recul/contact puis reprise ; point d’origine lié à la main et non au centre du sprite.</x:v>
      </x:c>
      <x:c r="K53" s="9" t="str">
        <x:v>Créer signature originale du mécanisme et de son impact ; mix séparant arme du joueur et armes adverses de même famille.</x:v>
      </x:c>
      <x:c r="L53" s="9" t="str">
        <x:v>Prévu : fiche de données mea/weapons/cryo-gauntlet ; rattacher les ressources et états cités à cet identifiant. Aucun fichier de jeu créé par ce catalogue.</x:v>
      </x:c>
      <x:c r="M53" s="9" t="str">
        <x:v>Solo ; les valeurs, versions de rang et adaptations multijoueurs sont des données séparées.</x:v>
      </x:c>
      <x:c r="N53" s="9" t="str">
        <x:v>Remnant Cryo-Gauntlet : aperçu de portée, coût et ressource correspond à la résolution ; vérifier obstacle, cible mobile, rechargement/refroidissement et annulation avant tir.</x:v>
      </x:c>
      <x:c r="O53" s="9" t="str"/>
      <x:c r="P53" s="9" t="str">
        <x:v>Remnant Cryo-Gauntlet</x:v>
      </x:c>
      <x:c r="Q53" s="9" t="str">
        <x:v>MEA-SRC-MELEE</x:v>
      </x:c>
      <x:c r="R53" s="9" t="str">
        <x:v>https://masseffect.fandom.com/wiki/Melee_Weapons</x:v>
      </x:c>
      <x:c r="S53" s="9" t="str">
        <x:v>Spécification à réaliser. Les champs adaptation, gameplay, visual, animation, audio et implementation décrivent le fan game ; ils ne donnent pas des caractéristiques officielles de l’œuvre.</x:v>
      </x:c>
    </x:row>
    <x:row r="54" ht="68" customHeight="1">
      <x:c r="A54" s="19" t="str">
        <x:v>MEA-WPN-BIOTIC-AMP</x:v>
      </x:c>
      <x:c r="B54" s="7" t="str">
        <x:v>Biotic Amplifier</x:v>
      </x:c>
      <x:c r="C54" s="15" t="str">
        <x:v>Défini</x:v>
      </x:c>
      <x:c r="D54" s="17" t="str">
        <x:v>Établi</x:v>
      </x:c>
      <x:c r="E54" s="17" t="str">
        <x:v>P1</x:v>
      </x:c>
      <x:c r="F54" s="7" t="str">
        <x:v>Arme de mêlée biotique.</x:v>
      </x:c>
      <x:c r="G54" s="7" t="str">
        <x:v>Impulsion rapprochée, dépense et résistance clairement affichées ; ne devient pas compétence active supplémentaire gratuite.</x:v>
      </x:c>
      <x:c r="H54" s="7" t="str">
        <x:v>Impulsion rapprochée, dépense et résistance clairement affichées ; ne devient pas compétence active supplémentaire gratuite.</x:v>
      </x:c>
      <x:c r="I54" s="7" t="str">
        <x:v>Poing et halo biotique.</x:v>
      </x:c>
      <x:c r="J54" s="7" t="str">
        <x:v>Pose de visée adaptée à cette carcasse, départ de tir ou frappe, recul/contact puis reprise ; point d’origine lié à la main et non au centre du sprite.</x:v>
      </x:c>
      <x:c r="K54" s="7" t="str">
        <x:v>Créer signature originale du mécanisme et de son impact ; mix séparant arme du joueur et armes adverses de même famille.</x:v>
      </x:c>
      <x:c r="L54" s="7" t="str">
        <x:v>Prévu : fiche de données mea/weapons/biotic-amp ; rattacher les ressources et états cités à cet identifiant. Aucun fichier de jeu créé par ce catalogue.</x:v>
      </x:c>
      <x:c r="M54" s="7" t="str">
        <x:v>Solo ; les valeurs, versions de rang et adaptations multijoueurs sont des données séparées.</x:v>
      </x:c>
      <x:c r="N54" s="7" t="str">
        <x:v>Biotic Amplifier : aperçu de portée, coût et ressource correspond à la résolution ; vérifier obstacle, cible mobile, rechargement/refroidissement et annulation avant tir.</x:v>
      </x:c>
      <x:c r="O54" s="7" t="str"/>
      <x:c r="P54" s="7" t="str">
        <x:v>Biotic Amplifier</x:v>
      </x:c>
      <x:c r="Q54" s="7" t="str">
        <x:v>MEA-SRC-MELEE</x:v>
      </x:c>
      <x:c r="R54" s="7" t="str">
        <x:v>https://masseffect.fandom.com/wiki/Melee_Weapons</x:v>
      </x:c>
      <x:c r="S54" s="7" t="str">
        <x:v>Spécification à réaliser. Les champs adaptation, gameplay, visual, animation, audio et implementation décrivent le fan game ; ils ne donnent pas des caractéristiques officielles de l’œuvre.</x:v>
      </x:c>
    </x:row>
  </x:sheetData>
  <x:conditionalFormatting sqref="D7:D54">
    <x:cfRule type="cellIs" dxfId="56" priority="1" operator="equal">
      <x:formula>"À vérifier"</x:formula>
    </x:cfRule>
    <x:cfRule type="cellIs" dxfId="57" priority="2" operator="equal">
      <x:formula>"Extrapolation"</x:formula>
    </x:cfRule>
  </x:conditionalFormatting>
  <x:conditionalFormatting sqref="C7:C54">
    <x:cfRule type="cellIs" dxfId="58" priority="3" operator="equal">
      <x:formula>"Validé"</x:formula>
    </x:cfRule>
  </x:conditionalFormatting>
  <x:conditionalFormatting sqref="E7:E54">
    <x:cfRule type="cellIs" dxfId="59" priority="4" operator="equal">
      <x:formula>"P0"</x:formula>
    </x:cfRule>
  </x:conditionalFormatting>
  <x:dataValidations count="3">
    <x:dataValidation type="list" sqref="C7:C54">
      <x:formula1>"Défini,Prototype,Intégré,Validé"</x:formula1>
    </x:dataValidation>
    <x:dataValidation type="list" sqref="D7:D54">
      <x:formula1>"Établi,À vérifier,Extrapolation,Coupé attesté,Concept abandonné,Allégation écartée"</x:formula1>
    </x:dataValidation>
    <x:dataValidation type="list" sqref="E7:E54">
      <x:formula1>"P0,P1,P2"</x:formula1>
    </x:dataValidation>
  </x:dataValidations>
  <x:pageMargins left="0.7" right="0.7" top="0.75" bottom="0.75" header="0.3" footer="0.3"/>
  <x:tableParts count="1">
    <x:tablePart xmlns:r="http://schemas.openxmlformats.org/officeDocument/2006/relationships" r:id="R983dd442d4424289"/>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4"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Andromeda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MEA-EQP-INITIATIVE</x:v>
      </x:c>
      <x:c r="B7" s="9" t="str">
        <x:v>Initiative Armor</x:v>
      </x:c>
      <x:c r="C7" s="15" t="str">
        <x:v>Prototype</x:v>
      </x:c>
      <x:c r="D7" s="16" t="str">
        <x:v>Établi</x:v>
      </x:c>
      <x:c r="E7" s="16" t="str">
        <x:v>P1</x:v>
      </x:c>
      <x:c r="F7" s="9" t="str">
        <x:v>Famille d’armure humaine.</x:v>
      </x:c>
      <x:c r="G7" s="9" t="str">
        <x:v>Pièces par emplacement, silhouette de départ et bonus proposés ; comparaison avant remplacement.</x:v>
      </x:c>
      <x:c r="H7" s="9" t="str">
        <x:v>Pièces par emplacement, silhouette de départ et bonus proposés ; comparaison avant remplacement.</x:v>
      </x:c>
      <x:c r="I7" s="9" t="str">
        <x:v>Blanc et gris d’expédition.</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Prototype Chroniques : src/universe-equipment.js, src/chronicles.js, src/combat.js. Identifiant runtime MEA-EQP-INITIATIVE ; contexte d’œuvre/segment et sélection de scène obligatoires.</x:v>
      </x:c>
      <x:c r="M7" s="9" t="str"/>
      <x:c r="N7" s="9" t="str">
        <x:v>Le livrable « Initiative Armor » possède une scène ou un scénario de contrôle ; ses règles proposées, ses conditions et ses retours visuels sont vérifiables séparément.</x:v>
      </x:c>
      <x:c r="O7" s="9" t="str"/>
      <x:c r="P7" s="9" t="str">
        <x:v>Initiative Armor</x:v>
      </x:c>
      <x:c r="Q7" s="9" t="str">
        <x:v>MEA-SRC-ARMOR</x:v>
      </x:c>
      <x:c r="R7" s="9" t="str">
        <x:v>https://masseffect.fandom.com/wiki/Armor_%28Mass_Effect%3A_Andromeda%29</x:v>
      </x:c>
      <x:c r="S7"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8" ht="68" customHeight="1">
      <x:c r="A8" s="19" t="str">
        <x:v>MEA-EQP-PATHFINDER</x:v>
      </x:c>
      <x:c r="B8" s="7" t="str">
        <x:v>Pathfinder Armor</x:v>
      </x:c>
      <x:c r="C8" s="15" t="str">
        <x:v>Prototype</x:v>
      </x:c>
      <x:c r="D8" s="17" t="str">
        <x:v>Établi</x:v>
      </x:c>
      <x:c r="E8" s="17" t="str">
        <x:v>P1</x:v>
      </x:c>
      <x:c r="F8" s="7" t="str">
        <x:v>Armure en quatre pièces.</x:v>
      </x:c>
      <x:c r="G8" s="7" t="str">
        <x:v>Casque, torse, bras et jambes suivis séparément ; couleur n’altère pas la recette ou les effets.</x:v>
      </x:c>
      <x:c r="H8" s="7" t="str">
        <x:v>Casque, torse, bras et jambes suivis séparément ; couleur n’altère pas la recette ou les effets.</x:v>
      </x:c>
      <x:c r="I8" s="7" t="str">
        <x:v>Armure du Pionnier et insigne.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Prototype Chroniques : src/universe-equipment.js, src/chronicles.js, src/combat.js. Identifiant runtime MEA-EQP-PATHFINDER ; contexte d’œuvre/segment et sélection de scène obligatoires.</x:v>
      </x:c>
      <x:c r="M8" s="7" t="str"/>
      <x:c r="N8" s="7" t="str">
        <x:v>Le livrable « Pathfinder Armor » possède une scène ou un scénario de contrôle ; ses règles proposées, ses conditions et ses retours visuels sont vérifiables séparément.</x:v>
      </x:c>
      <x:c r="O8" s="7" t="str"/>
      <x:c r="P8" s="7" t="str">
        <x:v>Pathfinder Armor</x:v>
      </x:c>
      <x:c r="Q8" s="7" t="str">
        <x:v>MEA-SRC-PATH-ARMOR</x:v>
      </x:c>
      <x:c r="R8" s="7" t="str">
        <x:v>https://masseffect.fandom.com/wiki/Pathfinder_Armor</x:v>
      </x:c>
      <x:c r="S8"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9" ht="68" customHeight="1">
      <x:c r="A9" s="18" t="str">
        <x:v>MEA-EQP-N7</x:v>
      </x:c>
      <x:c r="B9" s="9" t="str">
        <x:v>N7 Armor</x:v>
      </x:c>
      <x:c r="C9" s="15" t="str">
        <x:v>Prototype</x:v>
      </x:c>
      <x:c r="D9" s="16" t="str">
        <x:v>Établi</x:v>
      </x:c>
      <x:c r="E9" s="16" t="str">
        <x:v>P1</x:v>
      </x:c>
      <x:c r="F9" s="9" t="str">
        <x:v>Armure N7.</x:v>
      </x:c>
      <x:c r="G9" s="9" t="str">
        <x:v>Preset visuel iconique, pièces et effets proposés dans arbre de fabrication ; aucune présence de Shepard induite.</x:v>
      </x:c>
      <x:c r="H9" s="9" t="str">
        <x:v>Preset visuel iconique, pièces et effets proposés dans arbre de fabrication ; aucune présence de Shepard induite.</x:v>
      </x:c>
      <x:c r="I9" s="9" t="str">
        <x:v>Noir, rouge et marquage N7.</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Prototype Chroniques : src/universe-equipment.js, src/chronicles.js, src/combat.js. Identifiant runtime MEA-EQP-N7 ; contexte d’œuvre/segment et sélection de scène obligatoires.</x:v>
      </x:c>
      <x:c r="M9" s="9" t="str"/>
      <x:c r="N9" s="9" t="str">
        <x:v>Le livrable « N7 Armor » possède une scène ou un scénario de contrôle ; ses règles proposées, ses conditions et ses retours visuels sont vérifiables séparément.</x:v>
      </x:c>
      <x:c r="O9" s="9" t="str"/>
      <x:c r="P9" s="9" t="str">
        <x:v>N7 Armor</x:v>
      </x:c>
      <x:c r="Q9" s="9" t="str">
        <x:v>MEA-SRC-N7-ARMOR</x:v>
      </x:c>
      <x:c r="R9" s="9" t="str">
        <x:v>https://masseffect.fandom.com/wiki/N7_Armor</x:v>
      </x:c>
      <x:c r="S9"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0" ht="68" customHeight="1">
      <x:c r="A10" s="19" t="str">
        <x:v>MEA-EQP-HYPERGUARDIAN</x:v>
      </x:c>
      <x:c r="B10" s="7" t="str">
        <x:v>Hyperguardian Armor</x:v>
      </x:c>
      <x:c r="C10" s="15" t="str">
        <x:v>Prototype</x:v>
      </x:c>
      <x:c r="D10" s="17" t="str">
        <x:v>Établi</x:v>
      </x:c>
      <x:c r="E10" s="17" t="str">
        <x:v>P1</x:v>
      </x:c>
      <x:c r="F10" s="7" t="str">
        <x:v>Famille d’armure.</x:v>
      </x:c>
      <x:c r="G10" s="7" t="str">
        <x:v>Profil de défense lourde proposé ; épaules larges mais collision identique au gabarit de Ryder.</x:v>
      </x:c>
      <x:c r="H10" s="7" t="str">
        <x:v>Profil de défense lourde proposé ; épaules larges mais collision identique au gabarit de Ryder.</x:v>
      </x:c>
      <x:c r="I10" s="7" t="str">
        <x:v>Plaques épaisses et casque robuste.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Prototype Chroniques : src/universe-equipment.js, src/chronicles.js, src/combat.js. Identifiant runtime MEA-EQP-HYPERGUARDIAN ; contexte d’œuvre/segment et sélection de scène obligatoires.</x:v>
      </x:c>
      <x:c r="M10" s="7" t="str"/>
      <x:c r="N10" s="7" t="str">
        <x:v>Le livrable « Hyperguardian Armor » possède une scène ou un scénario de contrôle ; ses règles proposées, ses conditions et ses retours visuels sont vérifiables séparément.</x:v>
      </x:c>
      <x:c r="O10" s="7" t="str"/>
      <x:c r="P10" s="7" t="str">
        <x:v>Hyperguardian Armor</x:v>
      </x:c>
      <x:c r="Q10" s="7" t="str">
        <x:v>MEA-SRC-ARMOR</x:v>
      </x:c>
      <x:c r="R10" s="7" t="str">
        <x:v>https://masseffect.fandom.com/wiki/Armor_%28Mass_Effect%3A_Andromeda%29</x:v>
      </x:c>
      <x:c r="S10"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1" ht="68" customHeight="1">
      <x:c r="A11" s="18" t="str">
        <x:v>MEA-EQP-MAVERICK</x:v>
      </x:c>
      <x:c r="B11" s="9" t="str">
        <x:v>Maverick Armor</x:v>
      </x:c>
      <x:c r="C11" s="15" t="str">
        <x:v>Prototype</x:v>
      </x:c>
      <x:c r="D11" s="16" t="str">
        <x:v>Établi</x:v>
      </x:c>
      <x:c r="E11" s="16" t="str">
        <x:v>P1</x:v>
      </x:c>
      <x:c r="F11" s="9" t="str">
        <x:v>Famille d’armure.</x:v>
      </x:c>
      <x:c r="G11" s="9" t="str">
        <x:v>Profil de précision proposé avec silhouette légère ; effets visibles pièce par pièce.</x:v>
      </x:c>
      <x:c r="H11" s="9" t="str">
        <x:v>Profil de précision proposé avec silhouette légère ; effets visibles pièce par pièce.</x:v>
      </x:c>
      <x:c r="I11" s="9" t="str">
        <x:v>Tenue de tireur et visière.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Prototype Chroniques : src/universe-equipment.js, src/chronicles.js, src/combat.js. Identifiant runtime MEA-EQP-MAVERICK ; contexte d’œuvre/segment et sélection de scène obligatoires.</x:v>
      </x:c>
      <x:c r="M11" s="9" t="str"/>
      <x:c r="N11" s="9" t="str">
        <x:v>Le livrable « Maverick Armor » possède une scène ou un scénario de contrôle ; ses règles proposées, ses conditions et ses retours visuels sont vérifiables séparément.</x:v>
      </x:c>
      <x:c r="O11" s="9" t="str"/>
      <x:c r="P11" s="9" t="str">
        <x:v>Maverick Armor</x:v>
      </x:c>
      <x:c r="Q11" s="9" t="str">
        <x:v>MEA-SRC-ARMOR</x:v>
      </x:c>
      <x:c r="R11" s="9" t="str">
        <x:v>https://masseffect.fandom.com/wiki/Armor_%28Mass_Effect%3A_Andromeda%29</x:v>
      </x:c>
      <x:c r="S11"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2" ht="68" customHeight="1">
      <x:c r="A12" s="19" t="str">
        <x:v>MEA-EQP-ANGARAN</x:v>
      </x:c>
      <x:c r="B12" s="7" t="str">
        <x:v>Angaran Armor</x:v>
      </x:c>
      <x:c r="C12" s="15" t="str">
        <x:v>Prototype</x:v>
      </x:c>
      <x:c r="D12" s="17" t="str">
        <x:v>Établi</x:v>
      </x:c>
      <x:c r="E12" s="17" t="str">
        <x:v>P1</x:v>
      </x:c>
      <x:c r="F12" s="7" t="str">
        <x:v>Armure de technologie Heleus.</x:v>
      </x:c>
      <x:c r="G12" s="7" t="str">
        <x:v>Préserver langage textile/plaques angara ; apparence de Ryder reste distincte d’un corps angara.</x:v>
      </x:c>
      <x:c r="H12" s="7" t="str">
        <x:v>Préserver langage textile/plaques angara ; apparence de Ryder reste distincte d’un corps angara.</x:v>
      </x:c>
      <x:c r="I12" s="7" t="str">
        <x:v>Violet, textiles et plaques locales.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Prototype Chroniques : src/universe-equipment.js, src/chronicles.js, src/combat.js. Identifiant runtime MEA-EQP-ANGARAN ; contexte d’œuvre/segment et sélection de scène obligatoires.</x:v>
      </x:c>
      <x:c r="M12" s="7" t="str"/>
      <x:c r="N12" s="7" t="str">
        <x:v>Le livrable « Angaran Armor » possède une scène ou un scénario de contrôle ; ses règles proposées, ses conditions et ses retours visuels sont vérifiables séparément.</x:v>
      </x:c>
      <x:c r="O12" s="7" t="str"/>
      <x:c r="P12" s="7" t="str">
        <x:v>Angaran Armor</x:v>
      </x:c>
      <x:c r="Q12" s="7" t="str">
        <x:v>MEA-SRC-ANGARA-ARMOR</x:v>
      </x:c>
      <x:c r="R12" s="7" t="str">
        <x:v>https://masseffect.fandom.com/wiki/Angaran_Armor</x:v>
      </x:c>
      <x:c r="S12" s="7"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3" ht="68" customHeight="1">
      <x:c r="A13" s="18" t="str">
        <x:v>MEA-EQP-KETT</x:v>
      </x:c>
      <x:c r="B13" s="9" t="str">
        <x:v>Kett Armor</x:v>
      </x:c>
      <x:c r="C13" s="15" t="str">
        <x:v>Prototype</x:v>
      </x:c>
      <x:c r="D13" s="16" t="str">
        <x:v>Établi</x:v>
      </x:c>
      <x:c r="E13" s="16" t="str">
        <x:v>P1</x:v>
      </x:c>
      <x:c r="F13" s="9" t="str">
        <x:v>Famille de technologie kett.</x:v>
      </x:c>
      <x:c r="G13" s="9" t="str">
        <x:v>Variantes Integrator/Fusion/Unity à enregistrer par pièce et rang ; ne pas confondre nom Fusion et mod de fusion.</x:v>
      </x:c>
      <x:c r="H13" s="9" t="str">
        <x:v>Variantes Integrator/Fusion/Unity à enregistrer par pièce et rang ; ne pas confondre nom Fusion et mod de fusion.</x:v>
      </x:c>
      <x:c r="I13" s="9" t="str">
        <x:v>Plaques osseuses intégrées à tenue humaine.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Prototype Chroniques : src/universe-equipment.js, src/chronicles.js, src/combat.js. Identifiant runtime MEA-EQP-KETT ; contexte d’œuvre/segment et sélection de scène obligatoires.</x:v>
      </x:c>
      <x:c r="M13" s="9" t="str"/>
      <x:c r="N13" s="9" t="str">
        <x:v>Le livrable « Kett Armor » possède une scène ou un scénario de contrôle ; ses règles proposées, ses conditions et ses retours visuels sont vérifiables séparément.</x:v>
      </x:c>
      <x:c r="O13" s="9" t="str"/>
      <x:c r="P13" s="9" t="str">
        <x:v>Kett Armor</x:v>
      </x:c>
      <x:c r="Q13" s="9" t="str">
        <x:v>MEA-SRC-KETT-ARMOR</x:v>
      </x:c>
      <x:c r="R13" s="9" t="str">
        <x:v>https://masseffect.fandom.com/wiki/Kett_Armor</x:v>
      </x:c>
      <x:c r="S13"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4" ht="68" customHeight="1">
      <x:c r="A14" s="19" t="str">
        <x:v>MEA-EQP-REMNANT</x:v>
      </x:c>
      <x:c r="B14" s="7" t="str">
        <x:v>Remnant Armor</x:v>
      </x:c>
      <x:c r="C14" s="15" t="str">
        <x:v>Défini</x:v>
      </x:c>
      <x:c r="D14" s="17" t="str">
        <x:v>Établi</x:v>
      </x:c>
      <x:c r="E14" s="17" t="str">
        <x:v>P1</x:v>
      </x:c>
      <x:c r="F14" s="7" t="str">
        <x:v>Armure reliquate.</x:v>
      </x:c>
      <x:c r="G14" s="7" t="str">
        <x:v>Géométrie noire et lumière modérée ; effets de protection proposés séparés de l’apparence robotique.</x:v>
      </x:c>
      <x:c r="H14" s="7" t="str">
        <x:v>Géométrie noire et lumière modérée ; effets de protection proposés séparés de l’apparence robotique.</x:v>
      </x:c>
      <x:c r="I14" s="7" t="str">
        <x:v>Segments noirs et accents turquoise.</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mea/equipment/remnant ; rattacher les ressources et états cités à cet identifiant. Aucun fichier de jeu créé par ce catalogue.</x:v>
      </x:c>
      <x:c r="M14" s="7" t="str"/>
      <x:c r="N14" s="7" t="str">
        <x:v>Le livrable « Remnant Armor » possède une scène ou un scénario de contrôle ; ses règles proposées, ses conditions et ses retours visuels sont vérifiables séparément.</x:v>
      </x:c>
      <x:c r="O14" s="7" t="str"/>
      <x:c r="P14" s="7" t="str">
        <x:v>Remnant Armor</x:v>
      </x:c>
      <x:c r="Q14" s="7" t="str">
        <x:v>MEA-SRC-REM-ARMOR</x:v>
      </x:c>
      <x:c r="R14" s="7" t="str">
        <x:v>https://masseffect.fandom.com/wiki/Remnant_Armor</x:v>
      </x:c>
      <x:c r="S14" s="7" t="str">
        <x:v>Spécification à réaliser. Les champs adaptation, gameplay, visual, animation, audio et implementation décrivent le fan game ; ils ne donnent pas des caractéristiques officielles de l’œuvre.</x:v>
      </x:c>
    </x:row>
    <x:row r="15" ht="68" customHeight="1">
      <x:c r="A15" s="18" t="str">
        <x:v>MEA-EQP-HELEUS</x:v>
      </x:c>
      <x:c r="B15" s="9" t="str">
        <x:v>Heleus Armor</x:v>
      </x:c>
      <x:c r="C15" s="15" t="str">
        <x:v>Prototype</x:v>
      </x:c>
      <x:c r="D15" s="16" t="str">
        <x:v>Établi</x:v>
      </x:c>
      <x:c r="E15" s="16" t="str">
        <x:v>P1</x:v>
      </x:c>
      <x:c r="F15" s="9" t="str">
        <x:v>Famille d’armure.</x:v>
      </x:c>
      <x:c r="G15" s="9" t="str">
        <x:v>Combinaison visuelle des technologies avec recette explicite ; aucune origine supplémentaire inventée dans codex.</x:v>
      </x:c>
      <x:c r="H15" s="9" t="str">
        <x:v>Combinaison visuelle des technologies avec recette explicite ; aucune origine supplémentaire inventée dans codex.</x:v>
      </x:c>
      <x:c r="I15" s="9" t="str">
        <x:v>Matériaux mixtes et détails locaux.</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Prototype Chroniques : src/universe-equipment.js, src/chronicles.js, src/combat.js. Identifiant runtime MEA-EQP-HELEUS ; contexte d’œuvre/segment et sélection de scène obligatoires.</x:v>
      </x:c>
      <x:c r="M15" s="9" t="str"/>
      <x:c r="N15" s="9" t="str">
        <x:v>Le livrable « Heleus Armor » possède une scène ou un scénario de contrôle ; ses règles proposées, ses conditions et ses retours visuels sont vérifiables séparément.</x:v>
      </x:c>
      <x:c r="O15" s="9" t="str"/>
      <x:c r="P15" s="9" t="str">
        <x:v>Heleus Armor</x:v>
      </x:c>
      <x:c r="Q15" s="9" t="str">
        <x:v>MEA-SRC-HELEUS-ARMOR</x:v>
      </x:c>
      <x:c r="R15" s="9" t="str">
        <x:v>https://masseffect.fandom.com/wiki/Heleus_Armor</x:v>
      </x:c>
      <x:c r="S15" s="9" t="str">
        <x:v>Les champs adaptation, gameplay, visual, animation, audio et implementation décrivent le fan game ; ils ne donnent pas des caractéristiques officielles de l’œuvre. Prototype partiel disponible dans les Chroniques indépendantes : préparation en atelier uniquement, porteur et famille contrôlés ; valeurs ATB adaptées, acquisition et bonus numériques originaux non reproduits. Aucun nouveau visuel de modèle. Aucun transfert vers ME1 ni validation 1:1.</x:v>
      </x:c>
    </x:row>
    <x:row r="16" ht="68" customHeight="1">
      <x:c r="A16" s="19" t="str">
        <x:v>MEA-EQP-SCAVENGER</x:v>
      </x:c>
      <x:c r="B16" s="7" t="str">
        <x:v>Scavenger Armor</x:v>
      </x:c>
      <x:c r="C16" s="15" t="str">
        <x:v>Défini</x:v>
      </x:c>
      <x:c r="D16" s="17" t="str">
        <x:v>Établi</x:v>
      </x:c>
      <x:c r="E16" s="17" t="str">
        <x:v>P1</x:v>
      </x:c>
      <x:c r="F16" s="7" t="str">
        <x:v>Armure de l’édition Deluxe.</x:v>
      </x:c>
      <x:c r="G16" s="7" t="str">
        <x:v>Preset additionnel avec compatibilités propres ; pas de slot de fusion ajouté silencieusement.</x:v>
      </x:c>
      <x:c r="H16" s="7" t="str">
        <x:v>Preset additionnel avec compatibilités propres ; pas de slot de fusion ajouté silencieusement.</x:v>
      </x:c>
      <x:c r="I16" s="7" t="str">
        <x:v>Armure de récupération.</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mea/equipment/scavenger ; rattacher les ressources et états cités à cet identifiant. Aucun fichier de jeu créé par ce catalogue.</x:v>
      </x:c>
      <x:c r="M16" s="7" t="str">
        <x:v>Édition compatible.</x:v>
      </x:c>
      <x:c r="N16" s="7" t="str">
        <x:v>Le livrable « Scavenger Armor » possède une scène ou un scénario de contrôle ; ses règles proposées, ses conditions et ses retours visuels sont vérifiables séparément.</x:v>
      </x:c>
      <x:c r="O16" s="7" t="str"/>
      <x:c r="P16" s="7" t="str">
        <x:v>Scavenger Armor</x:v>
      </x:c>
      <x:c r="Q16" s="7" t="str">
        <x:v>MEA-SRC-SCAV-ARMOR, MEA-SRC-EA-DELUXE</x:v>
      </x:c>
      <x:c r="R16" s="7" t="str">
        <x:v>https://masseffect.fandom.com/wiki/Scavenger_Armor
https://store.steampowered.com/app/1238000/Mass_EffectAndromeda/</x:v>
      </x:c>
      <x:c r="S16" s="7" t="str">
        <x:v>Spécification à réaliser. Les champs adaptation, gameplay, visual, animation, audio et implementation décrivent le fan game ; ils ne donnent pas des caractéristiques officielles de l’œuvre.</x:v>
      </x:c>
    </x:row>
    <x:row r="17" ht="68" customHeight="1">
      <x:c r="A17" s="18" t="str">
        <x:v>MEA-EQP-DEEP-SPACE</x:v>
      </x:c>
      <x:c r="B17" s="9" t="str">
        <x:v>Deep Space Explorer Armor</x:v>
      </x:c>
      <x:c r="C17" s="15" t="str">
        <x:v>Défini</x:v>
      </x:c>
      <x:c r="D17" s="16" t="str">
        <x:v>Établi</x:v>
      </x:c>
      <x:c r="E17" s="16" t="str">
        <x:v>P1</x:v>
      </x:c>
      <x:c r="F17" s="9" t="str">
        <x:v>Armure de l’édition Deluxe.</x:v>
      </x:c>
      <x:c r="G17" s="9" t="str">
        <x:v>Tenue d’exploration additionnelle ; séparer bonus proposés et skins du Nomad.</x:v>
      </x:c>
      <x:c r="H17" s="9" t="str">
        <x:v>Tenue d’exploration additionnelle ; séparer bonus proposés et skins du Nomad.</x:v>
      </x:c>
      <x:c r="I17" s="9" t="str">
        <x:v>Tenue de grande expédition.</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mea/equipment/deep-space ; rattacher les ressources et états cités à cet identifiant. Aucun fichier de jeu créé par ce catalogue.</x:v>
      </x:c>
      <x:c r="M17" s="9" t="str">
        <x:v>Édition compatible.</x:v>
      </x:c>
      <x:c r="N17" s="9" t="str">
        <x:v>Le livrable « Deep Space Explorer Armor » possède une scène ou un scénario de contrôle ; ses règles proposées, ses conditions et ses retours visuels sont vérifiables séparément.</x:v>
      </x:c>
      <x:c r="O17" s="9" t="str"/>
      <x:c r="P17" s="9" t="str">
        <x:v>Deep Space Explorer Armor</x:v>
      </x:c>
      <x:c r="Q17" s="9" t="str">
        <x:v>MEA-SRC-EA-DELUXE, MEA-SRC-ARMOR</x:v>
      </x:c>
      <x:c r="R17" s="9" t="str">
        <x:v>https://store.steampowered.com/app/1238000/Mass_EffectAndromeda/
https://masseffect.fandom.com/wiki/Armor_%28Mass_Effect%3A_Andromeda%29</x:v>
      </x:c>
      <x:c r="S17" s="9" t="str">
        <x:v>Spécification à réaliser. Les champs adaptation, gameplay, visual, animation, audio et implementation décrivent le fan game ; ils ne donnent pas des caractéristiques officielles de l’œuvre.</x:v>
      </x:c>
    </x:row>
    <x:row r="18" ht="68" customHeight="1">
      <x:c r="A18" s="19" t="str">
        <x:v>MEA-EQP-AUGMENT</x:v>
      </x:c>
      <x:c r="B18" s="7" t="str">
        <x:v>Augmentations de fabrication</x:v>
      </x:c>
      <x:c r="C18" s="15" t="str">
        <x:v>Défini</x:v>
      </x:c>
      <x:c r="D18" s="17" t="str">
        <x:v>Établi</x:v>
      </x:c>
      <x:c r="E18" s="17" t="str">
        <x:v>P1</x:v>
      </x:c>
      <x:c r="F18" s="7" t="str">
        <x:v>Modifications intégrées lors de fabrication.</x:v>
      </x:c>
      <x:c r="G18" s="7" t="str">
        <x:v>Choisir lors de création, aperçu global et restauration lors de démontage selon règle versionnée ; ne pas confondre avec mod installé ensuite.</x:v>
      </x:c>
      <x:c r="H18" s="7" t="str">
        <x:v>Choisir lors de création, aperçu global et restauration lors de démontage selon règle versionnée ; ne pas confondre avec mod installé ensuite.</x:v>
      </x:c>
      <x:c r="I18" s="7" t="str">
        <x:v>Emplacements de recette et icônes d’effet.</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mea/equipment/augment ; rattacher les ressources et états cités à cet identifiant. Aucun fichier de jeu créé par ce catalogue.</x:v>
      </x:c>
      <x:c r="M18" s="7" t="str"/>
      <x:c r="N18" s="7" t="str">
        <x:v>Le livrable « Augmentations de fabrication » possède une scène ou un scénario de contrôle ; ses règles proposées, ses conditions et ses retours visuels sont vérifiables séparément.</x:v>
      </x:c>
      <x:c r="O18" s="7" t="str"/>
      <x:c r="P18" s="7" t="str">
        <x:v>Augmentations de fabrication</x:v>
      </x:c>
      <x:c r="Q18" s="7" t="str">
        <x:v>MEA-SRC-RESEARCH, MEA-SRC-ARMOR</x:v>
      </x:c>
      <x:c r="R18" s="7" t="str">
        <x:v>https://masseffect.fandom.com/wiki/Research_Center_%28Mass_Effect%3A_Andromeda%29
https://masseffect.fandom.com/wiki/Armor_%28Mass_Effect%3A_Andromeda%29</x:v>
      </x:c>
      <x:c r="S18" s="7" t="str">
        <x:v>Spécification à réaliser. Les champs adaptation, gameplay, visual, animation, audio et implementation décrivent le fan game ; ils ne donnent pas des caractéristiques officielles de l’œuvre.</x:v>
      </x:c>
    </x:row>
    <x:row r="19" ht="68" customHeight="1">
      <x:c r="A19" s="18" t="str">
        <x:v>MEA-EQP-FUSION</x:v>
      </x:c>
      <x:c r="B19" s="9" t="str">
        <x:v>Mods de fusion</x:v>
      </x:c>
      <x:c r="C19" s="15" t="str">
        <x:v>Défini</x:v>
      </x:c>
      <x:c r="D19" s="16" t="str">
        <x:v>Établi</x:v>
      </x:c>
      <x:c r="E19" s="16" t="str">
        <x:v>P1</x:v>
      </x:c>
      <x:c r="F19" s="9" t="str">
        <x:v>Modifications d’armure spécifiques.</x:v>
      </x:c>
      <x:c r="G19" s="9" t="str">
        <x:v>Torse compatible seulement ; avantage et pénalité tous deux visibles, vérifier exceptions d’armures additionnelles.</x:v>
      </x:c>
      <x:c r="H19" s="9" t="str">
        <x:v>Torse compatible seulement ; avantage et pénalité tous deux visibles, vérifier exceptions d’armures additionnelles.</x:v>
      </x:c>
      <x:c r="I19" s="9" t="str">
        <x:v>Noyau au torse et deux lignes d’effet.</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mea/equipment/fusion ; rattacher les ressources et états cités à cet identifiant. Aucun fichier de jeu créé par ce catalogue.</x:v>
      </x:c>
      <x:c r="M19" s="9" t="str"/>
      <x:c r="N19" s="9" t="str">
        <x:v>Le livrable « Mods de fusion » possède une scène ou un scénario de contrôle ; ses règles proposées, ses conditions et ses retours visuels sont vérifiables séparément.</x:v>
      </x:c>
      <x:c r="O19" s="9" t="str"/>
      <x:c r="P19" s="9" t="str">
        <x:v>Mods de fusion</x:v>
      </x:c>
      <x:c r="Q19" s="9" t="str">
        <x:v>MEA-SRC-ARMOR</x:v>
      </x:c>
      <x:c r="R19" s="9" t="str">
        <x:v>https://masseffect.fandom.com/wiki/Armor_%28Mass_Effect%3A_Andromeda%29</x:v>
      </x:c>
      <x:c r="S19" s="9" t="str">
        <x:v>Spécification à réaliser. Les champs adaptation, gameplay, visual, animation, audio et implementation décrivent le fan game ; ils ne donnent pas des caractéristiques officielles de l’œuvre.</x:v>
      </x:c>
    </x:row>
    <x:row r="20" ht="68" customHeight="1">
      <x:c r="A20" s="19" t="str">
        <x:v>MEA-EQP-WEAPON-MODS</x:v>
      </x:c>
      <x:c r="B20" s="7" t="str">
        <x:v>Mods d’armes</x:v>
      </x:c>
      <x:c r="C20" s="15" t="str">
        <x:v>Défini</x:v>
      </x:c>
      <x:c r="D20" s="17" t="str">
        <x:v>Établi</x:v>
      </x:c>
      <x:c r="E20" s="17" t="str">
        <x:v>P1</x:v>
      </x:c>
      <x:c r="F20" s="7" t="str">
        <x:v>Modifications équipables.</x:v>
      </x:c>
      <x:c r="G20" s="7" t="str">
        <x:v>Compatibilité par famille et emplacement ; comparaison conserve le cumul réel de toutes les pièces.</x:v>
      </x:c>
      <x:c r="H20" s="7" t="str">
        <x:v>Compatibilité par famille et emplacement ; comparaison conserve le cumul réel de toutes les pièces.</x:v>
      </x:c>
      <x:c r="I20" s="7" t="str">
        <x:v>Slots autour d’une arme.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mea/equipment/weapon-mods ; rattacher les ressources et états cités à cet identifiant. Aucun fichier de jeu créé par ce catalogue.</x:v>
      </x:c>
      <x:c r="M20" s="7" t="str"/>
      <x:c r="N20" s="7" t="str">
        <x:v>Le livrable « Mods d’armes » possède une scène ou un scénario de contrôle ; ses règles proposées, ses conditions et ses retours visuels sont vérifiables séparément.</x:v>
      </x:c>
      <x:c r="O20" s="7" t="str"/>
      <x:c r="P20" s="7" t="str">
        <x:v>Mods d’armes</x:v>
      </x:c>
      <x:c r="Q20" s="7" t="str">
        <x:v>MEA-SRC-WEAPONS, MEA-SRC-LOADOUT</x:v>
      </x:c>
      <x:c r="R20" s="7" t="str">
        <x:v>https://masseffect.fandom.com/wiki/Weapons_%28Mass_Effect%3A_Andromeda%29
https://masseffect.fandom.com/wiki/Loadout</x:v>
      </x:c>
      <x:c r="S20" s="7" t="str">
        <x:v>Spécification à réaliser. Les champs adaptation, gameplay, visual, animation, audio et implementation décrivent le fan game ; ils ne donnent pas des caractéristiques officielles de l’œuvre.</x:v>
      </x:c>
    </x:row>
    <x:row r="21" ht="68" customHeight="1">
      <x:c r="A21" s="18" t="str">
        <x:v>MEA-EQP-WEIGHT</x:v>
      </x:c>
      <x:c r="B21" s="9" t="str">
        <x:v>Masse du loadout</x:v>
      </x:c>
      <x:c r="C21" s="15" t="str">
        <x:v>Défini</x:v>
      </x:c>
      <x:c r="D21" s="16" t="str">
        <x:v>Établi</x:v>
      </x:c>
      <x:c r="E21" s="16" t="str">
        <x:v>P1</x:v>
      </x:c>
      <x:c r="F21" s="9" t="str">
        <x:v>L’équipement affecte le profil de jeu.</x:v>
      </x:c>
      <x:c r="G21" s="9" t="str">
        <x:v>Calcul de récupération proposé affiché avant départ ; exclusion des armes de compagnon non personnalisables.</x:v>
      </x:c>
      <x:c r="H21" s="9" t="str">
        <x:v>Calcul de récupération proposé affiché avant départ ; exclusion des armes de compagnon non personnalisables.</x:v>
      </x:c>
      <x:c r="I21" s="9" t="str">
        <x:v>Jauge de masse et cadence des compétences.</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mea/equipment/weight ; rattacher les ressources et états cités à cet identifiant. Aucun fichier de jeu créé par ce catalogue.</x:v>
      </x:c>
      <x:c r="M21" s="9" t="str"/>
      <x:c r="N21" s="9" t="str">
        <x:v>Le livrable « Masse du loadout » possède une scène ou un scénario de contrôle ; ses règles proposées, ses conditions et ses retours visuels sont vérifiables séparément.</x:v>
      </x:c>
      <x:c r="O21" s="9" t="str"/>
      <x:c r="P21" s="9" t="str">
        <x:v>Masse du loadout</x:v>
      </x:c>
      <x:c r="Q21" s="9" t="str">
        <x:v>MEA-SRC-LOADOUT, MEA-SRC-COMBAT</x:v>
      </x:c>
      <x:c r="R21" s="9" t="str">
        <x:v>https://masseffect.fandom.com/wiki/Loadout
https://masseffect.fandom.com/wiki/Combat_%28Mass_Effect%3A_Andromeda%29</x:v>
      </x:c>
      <x:c r="S21" s="9" t="str">
        <x:v>Spécification à réaliser. Les champs adaptation, gameplay, visual, animation, audio et implementation décrivent le fan game ; ils ne donnent pas des caractéristiques officielles de l’œuvre.</x:v>
      </x:c>
    </x:row>
    <x:row r="22" ht="68" customHeight="1">
      <x:c r="A22" s="19" t="str">
        <x:v>MEA-EQP-AMMO-FIRE</x:v>
      </x:c>
      <x:c r="B22" s="7" t="str">
        <x:v>Munitions incendiaires — consommable</x:v>
      </x:c>
      <x:c r="C22" s="15" t="str">
        <x:v>Défini</x:v>
      </x:c>
      <x:c r="D22" s="17" t="str">
        <x:v>Établi</x:v>
      </x:c>
      <x:c r="E22" s="17" t="str">
        <x:v>P1</x:v>
      </x:c>
      <x:c r="F22" s="7" t="str">
        <x:v>MEA utilise des consommables de munitions.</x:v>
      </x:c>
      <x:c r="G22" s="7" t="str">
        <x:v>Activation sur arme compatible avec réserve et durée proposées ; aucune compétence Ammo importée automatiquement de ME3.</x:v>
      </x:c>
      <x:c r="H22" s="7" t="str">
        <x:v>Activation sur arme compatible avec réserve et durée proposées ; aucune compétence Ammo importée automatiquement de ME3.</x:v>
      </x:c>
      <x:c r="I22" s="7" t="str">
        <x:v>Chargeur orange et compteur de consommable.</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mea/equipment/ammo-fire ; rattacher les ressources et états cités à cet identifiant. Aucun fichier de jeu créé par ce catalogue.</x:v>
      </x:c>
      <x:c r="M22" s="7" t="str"/>
      <x:c r="N22" s="7" t="str">
        <x:v>Le livrable « Munitions incendiaires — consommable » possède une scène ou un scénario de contrôle ; ses règles proposées, ses conditions et ses retours visuels sont vérifiables séparément.</x:v>
      </x:c>
      <x:c r="O22" s="7" t="str"/>
      <x:c r="P22" s="7" t="str">
        <x:v>Munitions incendiaires — consommable</x:v>
      </x:c>
      <x:c r="Q22" s="7" t="str">
        <x:v>MEA-SRC-COMBAT</x:v>
      </x:c>
      <x:c r="R22" s="7" t="str">
        <x:v>https://masseffect.fandom.com/wiki/Combat_%28Mass_Effect%3A_Andromeda%29</x:v>
      </x:c>
      <x:c r="S22" s="7" t="str">
        <x:v>Spécification à réaliser. Les champs adaptation, gameplay, visual, animation, audio et implementation décrivent le fan game ; ils ne donnent pas des caractéristiques officielles de l’œuvre.</x:v>
      </x:c>
    </x:row>
    <x:row r="23" ht="68" customHeight="1">
      <x:c r="A23" s="18" t="str">
        <x:v>MEA-EQP-AMMO-CRYO</x:v>
      </x:c>
      <x:c r="B23" s="9" t="str">
        <x:v>Munitions cryogéniques — consommable</x:v>
      </x:c>
      <x:c r="C23" s="15" t="str">
        <x:v>Défini</x:v>
      </x:c>
      <x:c r="D23" s="16" t="str">
        <x:v>Établi</x:v>
      </x:c>
      <x:c r="E23" s="16" t="str">
        <x:v>P1</x:v>
      </x:c>
      <x:c r="F23" s="9" t="str">
        <x:v>Type de consommable.</x:v>
      </x:c>
      <x:c r="G23" s="9" t="str">
        <x:v>Ralentissement proposé progressif, expiration et remplacement d’un autre mode visibles.</x:v>
      </x:c>
      <x:c r="H23" s="9" t="str">
        <x:v>Ralentissement proposé progressif, expiration et remplacement d’un autre mode visibles.</x:v>
      </x:c>
      <x:c r="I23" s="9" t="str">
        <x:v>Chargeur blanc et motif de givre.</x:v>
      </x:c>
      <x:c r="J23" s="9" t="str">
        <x:v>Préparer état de repos, anticipation, activation et retour au repos ; aligner les événements visuels sur la résolution de l’action ATB.</x:v>
      </x:c>
      <x:c r="K23" s="9" t="str">
        <x:v>Créer des bruitages et ambiances originaux adaptés au livrable ; sous-titrer les indices utiles et proposer un réglage indépendant des effets. Aucune extraction audio demandée.</x:v>
      </x:c>
      <x:c r="L23" s="9" t="str">
        <x:v>Prévu : fiche de données mea/equipment/ammo-cryo ; rattacher les ressources et états cités à cet identifiant. Aucun fichier de jeu créé par ce catalogue.</x:v>
      </x:c>
      <x:c r="M23" s="9" t="str"/>
      <x:c r="N23" s="9" t="str">
        <x:v>Le livrable « Munitions cryogéniques — consommable » possède une scène ou un scénario de contrôle ; ses règles proposées, ses conditions et ses retours visuels sont vérifiables séparément.</x:v>
      </x:c>
      <x:c r="O23" s="9" t="str"/>
      <x:c r="P23" s="9" t="str">
        <x:v>Munitions cryogéniques — consommable</x:v>
      </x:c>
      <x:c r="Q23" s="9" t="str">
        <x:v>MEA-SRC-COMBAT</x:v>
      </x:c>
      <x:c r="R23" s="9" t="str">
        <x:v>https://masseffect.fandom.com/wiki/Combat_%28Mass_Effect%3A_Andromeda%29</x:v>
      </x:c>
      <x:c r="S23" s="9" t="str">
        <x:v>Spécification à réaliser. Les champs adaptation, gameplay, visual, animation, audio et implementation décrivent le fan game ; ils ne donnent pas des caractéristiques officielles de l’œuvre.</x:v>
      </x:c>
    </x:row>
    <x:row r="24" ht="68" customHeight="1">
      <x:c r="A24" s="19" t="str">
        <x:v>MEA-EQP-AMMO-DISRUPT</x:v>
      </x:c>
      <x:c r="B24" s="7" t="str">
        <x:v>Munitions disruptives — consommable</x:v>
      </x:c>
      <x:c r="C24" s="15" t="str">
        <x:v>Défini</x:v>
      </x:c>
      <x:c r="D24" s="17" t="str">
        <x:v>Établi</x:v>
      </x:c>
      <x:c r="E24" s="17" t="str">
        <x:v>P1</x:v>
      </x:c>
      <x:c r="F24" s="7" t="str">
        <x:v>Type de consommable.</x:v>
      </x:c>
      <x:c r="G24" s="7" t="str">
        <x:v>Effet sur protections techniques selon table proposée ; stock séparé des cellules de compétence.</x:v>
      </x:c>
      <x:c r="H24" s="7" t="str">
        <x:v>Effet sur protections techniques selon table proposée ; stock séparé des cellules de compétence.</x:v>
      </x:c>
      <x:c r="I24" s="7" t="str">
        <x:v>Chargeur bleu et éclairs.</x:v>
      </x:c>
      <x:c r="J24" s="7" t="str">
        <x:v>Préparer état de repos, anticipation, activation et retour au repos ; aligner les événements visuels sur la résolution de l’action ATB.</x:v>
      </x:c>
      <x:c r="K24" s="7" t="str">
        <x:v>Créer des bruitages et ambiances originaux adaptés au livrable ; sous-titrer les indices utiles et proposer un réglage indépendant des effets. Aucune extraction audio demandée.</x:v>
      </x:c>
      <x:c r="L24" s="7" t="str">
        <x:v>Prévu : fiche de données mea/equipment/ammo-disrupt ; rattacher les ressources et états cités à cet identifiant. Aucun fichier de jeu créé par ce catalogue.</x:v>
      </x:c>
      <x:c r="M24" s="7" t="str"/>
      <x:c r="N24" s="7" t="str">
        <x:v>Le livrable « Munitions disruptives — consommable » possède une scène ou un scénario de contrôle ; ses règles proposées, ses conditions et ses retours visuels sont vérifiables séparément.</x:v>
      </x:c>
      <x:c r="O24" s="7" t="str"/>
      <x:c r="P24" s="7" t="str">
        <x:v>Munitions disruptives — consommable</x:v>
      </x:c>
      <x:c r="Q24" s="7" t="str">
        <x:v>MEA-SRC-COMBAT</x:v>
      </x:c>
      <x:c r="R24" s="7" t="str">
        <x:v>https://masseffect.fandom.com/wiki/Combat_%28Mass_Effect%3A_Andromeda%29</x:v>
      </x:c>
      <x:c r="S24" s="7" t="str">
        <x:v>Spécification à réaliser. Les champs adaptation, gameplay, visual, animation, audio et implementation décrivent le fan game ; ils ne donnent pas des caractéristiques officielles de l’œuvre.</x:v>
      </x:c>
    </x:row>
    <x:row r="25" ht="68" customHeight="1">
      <x:c r="A25" s="18" t="str">
        <x:v>MEA-EQP-SHIELD-CAP</x:v>
      </x:c>
      <x:c r="B25" s="9" t="str">
        <x:v>Shield Capacitor</x:v>
      </x:c>
      <x:c r="C25" s="15" t="str">
        <x:v>Défini</x:v>
      </x:c>
      <x:c r="D25" s="16" t="str">
        <x:v>Établi</x:v>
      </x:c>
      <x:c r="E25" s="16" t="str">
        <x:v>P1</x:v>
      </x:c>
      <x:c r="F25" s="9" t="str">
        <x:v>Consommable de protection.</x:v>
      </x:c>
      <x:c r="G25" s="9" t="str">
        <x:v>Commande de secours avec ressource débitée une fois ; pas d’application si écran de dialogue retire le combat.</x:v>
      </x:c>
      <x:c r="H25" s="9" t="str">
        <x:v>Commande de secours avec ressource débitée une fois ; pas d’application si écran de dialogue retire le combat.</x:v>
      </x:c>
      <x:c r="I25" s="9" t="str">
        <x:v>Icône de bouclier et pulse.</x:v>
      </x:c>
      <x:c r="J25" s="9" t="str">
        <x:v>Préparer état de repos, anticipation, activation et retour au repos ; aligner les événements visuels sur la résolution de l’action ATB.</x:v>
      </x:c>
      <x:c r="K25" s="9" t="str">
        <x:v>Créer des bruitages et ambiances originaux adaptés au livrable ; sous-titrer les indices utiles et proposer un réglage indépendant des effets. Aucune extraction audio demandée.</x:v>
      </x:c>
      <x:c r="L25" s="9" t="str">
        <x:v>Prévu : fiche de données mea/equipment/shield-cap ; rattacher les ressources et états cités à cet identifiant. Aucun fichier de jeu créé par ce catalogue.</x:v>
      </x:c>
      <x:c r="M25" s="9" t="str"/>
      <x:c r="N25" s="9" t="str">
        <x:v>Le livrable « Shield Capacitor » possède une scène ou un scénario de contrôle ; ses règles proposées, ses conditions et ses retours visuels sont vérifiables séparément.</x:v>
      </x:c>
      <x:c r="O25" s="9" t="str"/>
      <x:c r="P25" s="9" t="str">
        <x:v>Shield Capacitor</x:v>
      </x:c>
      <x:c r="Q25" s="9" t="str">
        <x:v>MEA-SRC-COMBAT</x:v>
      </x:c>
      <x:c r="R25" s="9" t="str">
        <x:v>https://masseffect.fandom.com/wiki/Combat_%28Mass_Effect%3A_Andromeda%29</x:v>
      </x:c>
      <x:c r="S25" s="9" t="str">
        <x:v>Spécification à réaliser. Les champs adaptation, gameplay, visual, animation, audio et implementation décrivent le fan game ; ils ne donnent pas des caractéristiques officielles de l’œuvre.</x:v>
      </x:c>
    </x:row>
    <x:row r="26" ht="68" customHeight="1">
      <x:c r="A26" s="19" t="str">
        <x:v>MEA-EQP-POWER-CELLS</x:v>
      </x:c>
      <x:c r="B26" s="7" t="str">
        <x:v>Cellules de pouvoirs</x:v>
      </x:c>
      <x:c r="C26" s="15" t="str">
        <x:v>Défini</x:v>
      </x:c>
      <x:c r="D26" s="17" t="str">
        <x:v>Établi</x:v>
      </x:c>
      <x:c r="E26" s="17" t="str">
        <x:v>P1</x:v>
      </x:c>
      <x:c r="F26" s="7" t="str">
        <x:v>Certaines compétences ont une réserve limitée.</x:v>
      </x:c>
      <x:c r="G26" s="7" t="str">
        <x:v>Stock par compétence à afficher avant ordre ; ramassage réparti sans remplir arbitrairement toutes les charges.</x:v>
      </x:c>
      <x:c r="H26" s="7" t="str">
        <x:v>Stock par compétence à afficher avant ordre ; ramassage réparti sans remplir arbitrairement toutes les charges.</x:v>
      </x:c>
      <x:c r="I26" s="7" t="str">
        <x:v>Petites cellules et compteur d’icône.</x:v>
      </x:c>
      <x:c r="J26" s="7" t="str">
        <x:v>Préparer état de repos, anticipation, activation et retour au repos ; aligner les événements visuels sur la résolution de l’action ATB.</x:v>
      </x:c>
      <x:c r="K26" s="7" t="str">
        <x:v>Créer des bruitages et ambiances originaux adaptés au livrable ; sous-titrer les indices utiles et proposer un réglage indépendant des effets. Aucune extraction audio demandée.</x:v>
      </x:c>
      <x:c r="L26" s="7" t="str">
        <x:v>Prévu : fiche de données mea/equipment/power-cells ; rattacher les ressources et états cités à cet identifiant. Aucun fichier de jeu créé par ce catalogue.</x:v>
      </x:c>
      <x:c r="M26" s="7" t="str"/>
      <x:c r="N26" s="7" t="str">
        <x:v>Le livrable « Cellules de pouvoirs » possède une scène ou un scénario de contrôle ; ses règles proposées, ses conditions et ses retours visuels sont vérifiables séparément.</x:v>
      </x:c>
      <x:c r="O26" s="7" t="str"/>
      <x:c r="P26" s="7" t="str">
        <x:v>Cellules de pouvoirs</x:v>
      </x:c>
      <x:c r="Q26" s="7" t="str">
        <x:v>MEA-SRC-OMNI-GRENADE, MEA-SRC-SKILLS</x:v>
      </x:c>
      <x:c r="R26" s="7" t="str">
        <x:v>https://masseffect.fandom.com/wiki/Omni_Grenade
https://masseffect.fandom.com/wiki/Skills</x:v>
      </x:c>
      <x:c r="S26" s="7" t="str">
        <x:v>Spécification à réaliser. Les champs adaptation, gameplay, visual, animation, audio et implementation décrivent le fan game ; ils ne donnent pas des caractéristiques officielles de l’œuvre.</x:v>
      </x:c>
    </x:row>
    <x:row r="27" ht="68" customHeight="1">
      <x:c r="A27" s="18" t="str">
        <x:v>MEA-EQP-NOMAD-UPGRADES</x:v>
      </x:c>
      <x:c r="B27" s="9" t="str">
        <x:v>Améliorations du Nomad</x:v>
      </x:c>
      <x:c r="C27" s="15" t="str">
        <x:v>Défini</x:v>
      </x:c>
      <x:c r="D27" s="16" t="str">
        <x:v>Établi</x:v>
      </x:c>
      <x:c r="E27" s="16" t="str">
        <x:v>P1</x:v>
      </x:c>
      <x:c r="F27" s="9" t="str">
        <x:v>Le véhicule peut être amélioré.</x:v>
      </x:c>
      <x:c r="G27" s="9" t="str">
        <x:v>Recettes et effets de véhicule séparés de Ryder ; changements de bouclier/propulsion visibles sur fiche Nomad.</x:v>
      </x:c>
      <x:c r="H27" s="9" t="str">
        <x:v>Recettes et effets de véhicule séparés de Ryder ; changements de bouclier/propulsion visibles sur fiche Nomad.</x:v>
      </x:c>
      <x:c r="I27" s="9" t="str">
        <x:v>Châssis à six roues et modules.</x:v>
      </x:c>
      <x:c r="J27" s="9" t="str">
        <x:v>Préparer état de repos, anticipation, activation et retour au repos ; aligner les événements visuels sur la résolution de l’action ATB.</x:v>
      </x:c>
      <x:c r="K27" s="9" t="str">
        <x:v>Créer des bruitages et ambiances originaux adaptés au livrable ; sous-titrer les indices utiles et proposer un réglage indépendant des effets. Aucune extraction audio demandée.</x:v>
      </x:c>
      <x:c r="L27" s="9" t="str">
        <x:v>Prévu : fiche de données mea/equipment/nomad-upgrades ; rattacher les ressources et états cités à cet identifiant. Aucun fichier de jeu créé par ce catalogue.</x:v>
      </x:c>
      <x:c r="M27" s="9" t="str"/>
      <x:c r="N27" s="9" t="str">
        <x:v>Le livrable « Améliorations du Nomad » possède une scène ou un scénario de contrôle ; ses règles proposées, ses conditions et ses retours visuels sont vérifiables séparément.</x:v>
      </x:c>
      <x:c r="O27" s="9" t="str"/>
      <x:c r="P27" s="9" t="str">
        <x:v>Améliorations du Nomad</x:v>
      </x:c>
      <x:c r="Q27" s="9" t="str">
        <x:v>MEA-SRC-MISSIONS, MEA-SRC-MANUAL</x:v>
      </x:c>
      <x:c r="R27" s="9" t="str">
        <x:v>https://masseffect.fandom.com/wiki/Missions_%28Mass_Effect%3A_Andromeda%29
https://eaassets-a.akamaihd.net/eahelp/manuals/mass-effect-andromeda-pc-en.pdf</x:v>
      </x:c>
      <x:c r="S27" s="9" t="str">
        <x:v>Spécification à réaliser. Les champs adaptation, gameplay, visual, animation, audio et implementation décrivent le fan game ; ils ne donnent pas des caractéristiques officielles de l’œuvre.</x:v>
      </x:c>
    </x:row>
    <x:row r="28" ht="68" customHeight="1">
      <x:c r="A28" s="19" t="str">
        <x:v>MEA-EQP-NOMAD-SKINS</x:v>
      </x:c>
      <x:c r="B28" s="7" t="str">
        <x:v>Apparences du Nomad</x:v>
      </x:c>
      <x:c r="C28" s="15" t="str">
        <x:v>Défini</x:v>
      </x:c>
      <x:c r="D28" s="17" t="str">
        <x:v>Établi</x:v>
      </x:c>
      <x:c r="E28" s="17" t="str">
        <x:v>P1</x:v>
      </x:c>
      <x:c r="F28" s="7" t="str">
        <x:v>Des skins additionnels existent.</x:v>
      </x:c>
      <x:c r="G28" s="7" t="str">
        <x:v>Palette et peinture sans statistiques implicites ; conditions Deluxe ou autre contenu indiquées.</x:v>
      </x:c>
      <x:c r="H28" s="7" t="str">
        <x:v>Palette et peinture sans statistiques implicites ; conditions Deluxe ou autre contenu indiquées.</x:v>
      </x:c>
      <x:c r="I28" s="7" t="str">
        <x:v>Nomad avec motifs sélectionnables.</x:v>
      </x:c>
      <x:c r="J28" s="7" t="str">
        <x:v>Préparer état de repos, anticipation, activation et retour au repos ; aligner les événements visuels sur la résolution de l’action ATB.</x:v>
      </x:c>
      <x:c r="K28" s="7" t="str">
        <x:v>Créer des bruitages et ambiances originaux adaptés au livrable ; sous-titrer les indices utiles et proposer un réglage indépendant des effets. Aucune extraction audio demandée.</x:v>
      </x:c>
      <x:c r="L28" s="7" t="str">
        <x:v>Prévu : fiche de données mea/equipment/nomad-skins ; rattacher les ressources et états cités à cet identifiant. Aucun fichier de jeu créé par ce catalogue.</x:v>
      </x:c>
      <x:c r="M28" s="7" t="str">
        <x:v>Selon édition et contenu.</x:v>
      </x:c>
      <x:c r="N28" s="7" t="str">
        <x:v>Le livrable « Apparences du Nomad » possède une scène ou un scénario de contrôle ; ses règles proposées, ses conditions et ses retours visuels sont vérifiables séparément.</x:v>
      </x:c>
      <x:c r="O28" s="7" t="str"/>
      <x:c r="P28" s="7" t="str">
        <x:v>Apparences du Nomad</x:v>
      </x:c>
      <x:c r="Q28" s="7" t="str">
        <x:v>MEA-SRC-EA-DELUXE, MEA-SRC-BW-106</x:v>
      </x:c>
      <x:c r="R28" s="7" t="str">
        <x:v>https://store.steampowered.com/app/1238000/Mass_EffectAndromeda/
https://blog.bioware.com/2017/05/09/mass-effect-andromeda-patch-1-06-notes/</x:v>
      </x:c>
      <x:c r="S28" s="7" t="str">
        <x:v>Spécification à réaliser. Les champs adaptation, gameplay, visual, animation, audio et implementation décrivent le fan game ; ils ne donnent pas des caractéristiques officielles de l’œuvre.</x:v>
      </x:c>
    </x:row>
  </x:sheetData>
  <x:conditionalFormatting sqref="D7:D28">
    <x:cfRule type="cellIs" dxfId="60" priority="1" operator="equal">
      <x:formula>"À vérifier"</x:formula>
    </x:cfRule>
    <x:cfRule type="cellIs" dxfId="61" priority="2" operator="equal">
      <x:formula>"Extrapolation"</x:formula>
    </x:cfRule>
  </x:conditionalFormatting>
  <x:conditionalFormatting sqref="C7:C28">
    <x:cfRule type="cellIs" dxfId="62" priority="3" operator="equal">
      <x:formula>"Validé"</x:formula>
    </x:cfRule>
  </x:conditionalFormatting>
  <x:conditionalFormatting sqref="E7:E28">
    <x:cfRule type="cellIs" dxfId="63" priority="4" operator="equal">
      <x:formula>"P0"</x:formula>
    </x:cfRule>
  </x:conditionalFormatting>
  <x:dataValidations count="3">
    <x:dataValidation type="list" sqref="C7:C28">
      <x:formula1>"Défini,Prototype,Intégré,Validé"</x:formula1>
    </x:dataValidation>
    <x:dataValidation type="list" sqref="D7:D28">
      <x:formula1>"Établi,À vérifier,Extrapolation,Coupé attesté,Concept abandonné,Allégation écartée"</x:formula1>
    </x:dataValidation>
    <x:dataValidation type="list" sqref="E7:E28">
      <x:formula1>"P0,P1,P2"</x:formula1>
    </x:dataValidation>
  </x:dataValidations>
  <x:pageMargins left="0.7" right="0.7" top="0.75" bottom="0.75" header="0.3" footer="0.3"/>
  <x:tableParts count="1">
    <x:tablePart xmlns:r="http://schemas.openxmlformats.org/officeDocument/2006/relationships" r:id="Re0a8814dbbc54ca3"/>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Andromeda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96" customHeight="1">
      <x:c r="A7" s="18" t="str">
        <x:v>MEA-POW-CONCUSSIVE</x:v>
      </x:c>
      <x:c r="B7" s="9" t="str">
        <x:v>Concussive Shot</x:v>
      </x:c>
      <x:c r="C7" s="15" t="str">
        <x:v>Prototype</x:v>
      </x:c>
      <x:c r="D7" s="16" t="str">
        <x:v>Établi</x:v>
      </x:c>
      <x:c r="E7" s="16" t="str">
        <x:v>P1</x:v>
      </x:c>
      <x:c r="F7" s="9" t="str">
        <x:v>Compétence de MEA — Combat.</x:v>
      </x:c>
      <x:c r="G7" s="9" t="str">
        <x:v>Tir de déséquilibre à cible ; résistance lourde réduit déplacement sans effacer le retour d’impact.</x:v>
      </x:c>
      <x:c r="H7" s="9" t="str">
        <x:v>Tir de déséquilibre à cible ; résistance lourde réduit déplacement sans effacer le retour d’impact.</x:v>
      </x:c>
      <x:c r="I7" s="9" t="str">
        <x:v>Projectile blanc et recul.</x:v>
      </x:c>
      <x:c r="J7" s="9" t="str">
        <x:v>Aucune animation d’activation pour les passifs ; pour une action, pose anticipée, effet à événement unique et reprise compatible avec saut/sol.</x:v>
      </x:c>
      <x:c r="K7" s="9" t="str">
        <x:v>Signature originale par famille ; signal de disponibilité distinct du signal d’impact, équivalents visuels pour les informations utiles.</x:v>
      </x:c>
      <x:c r="L7" s="9" t="str">
        <x:v>Prototype partiel : liaison MEA-POW-CONCUSSIVE dans src/universe-powers.js, exposition par src/universe-actors.js, action native dans src/combat.js. Les acteurs, scènes et préparations autorisés sont explicitement listés par getUniversePowerUsage().</x:v>
      </x:c>
      <x:c r="M7" s="9" t="str">
        <x:v>Combat</x:v>
      </x:c>
      <x:c r="N7" s="9" t="str">
        <x:v>Concussive Shot : contrôler cible, protections, portée, coût, interruption et fin d’effet ; un passif n’apparaît jamais comme action sélectionnable et un pouvoir d’allié n’entre pas dans le build de Ryder par erreur.</x:v>
      </x:c>
      <x:c r="O7" s="9" t="str"/>
      <x:c r="P7" s="9" t="str">
        <x:v>Concussive Shot</x:v>
      </x:c>
      <x:c r="Q7" s="9" t="str">
        <x:v>MEA-SRC-SKILLS</x:v>
      </x:c>
      <x:c r="R7" s="9" t="str">
        <x:v>https://masseffect.fandom.com/wiki/Skills</x:v>
      </x:c>
      <x:c r="S7" s="9"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8" ht="68" customHeight="1">
      <x:c r="A8" s="19" t="str">
        <x:v>MEA-POW-OMNI-GRENADE</x:v>
      </x:c>
      <x:c r="B8" s="7" t="str">
        <x:v>Omni Grenade</x:v>
      </x:c>
      <x:c r="C8" s="15" t="str">
        <x:v>Défini</x:v>
      </x:c>
      <x:c r="D8" s="17" t="str">
        <x:v>Établi</x:v>
      </x:c>
      <x:c r="E8" s="17" t="str">
        <x:v>P1</x:v>
      </x:c>
      <x:c r="F8" s="7" t="str">
        <x:v>Compétence de MEA — Combat.</x:v>
      </x:c>
      <x:c r="G8" s="7" t="str">
        <x:v>Grenade à réserve et fusée proposées ; option de maintien remplacée par sélection explicite du délai pour accessibilité ATB.</x:v>
      </x:c>
      <x:c r="H8" s="7" t="str">
        <x:v>Grenade à réserve et fusée proposées ; option de maintien remplacée par sélection explicite du délai pour accessibilité ATB.</x:v>
      </x:c>
      <x:c r="I8" s="7" t="str">
        <x:v>Arc et cercle d’explosion.</x:v>
      </x:c>
      <x:c r="J8" s="7" t="str">
        <x:v>Aucune animation d’activation pour les passifs ; pour une action, pose anticipée, effet à événement unique et reprise compatible avec saut/sol.</x:v>
      </x:c>
      <x:c r="K8" s="7" t="str">
        <x:v>Signature originale par famille ; signal de disponibilité distinct du signal d’impact, équivalents visuels pour les informations utiles.</x:v>
      </x:c>
      <x:c r="L8" s="7" t="str">
        <x:v>Prévu : fiche de données mea/powers/omni-grenade ; rattacher les ressources et états cités à cet identifiant. Aucun fichier de jeu créé par ce catalogue.</x:v>
      </x:c>
      <x:c r="M8" s="7" t="str">
        <x:v>Combat</x:v>
      </x:c>
      <x:c r="N8" s="7" t="str">
        <x:v>Omni Grenade : contrôler cible, protections, portée, coût, interruption et fin d’effet ; un passif n’apparaît jamais comme action sélectionnable et un pouvoir d’allié n’entre pas dans le build de Ryder par erreur.</x:v>
      </x:c>
      <x:c r="O8" s="7" t="str"/>
      <x:c r="P8" s="7" t="str">
        <x:v>Omni Grenade</x:v>
      </x:c>
      <x:c r="Q8" s="7" t="str">
        <x:v>MEA-SRC-OMNI-GRENADE</x:v>
      </x:c>
      <x:c r="R8" s="7" t="str">
        <x:v>https://masseffect.fandom.com/wiki/Omni_Grenade</x:v>
      </x:c>
      <x:c r="S8" s="7" t="str">
        <x:v>Spécification à réaliser. Les champs adaptation, gameplay, visual, animation, audio et implementation décrivent le fan game ; ils ne donnent pas des caractéristiques officielles de l’œuvre.</x:v>
      </x:c>
    </x:row>
    <x:row r="9" ht="68" customHeight="1">
      <x:c r="A9" s="18" t="str">
        <x:v>MEA-POW-TRIP-MINE</x:v>
      </x:c>
      <x:c r="B9" s="9" t="str">
        <x:v>Trip Mine</x:v>
      </x:c>
      <x:c r="C9" s="15" t="str">
        <x:v>Défini</x:v>
      </x:c>
      <x:c r="D9" s="16" t="str">
        <x:v>Établi</x:v>
      </x:c>
      <x:c r="E9" s="16" t="str">
        <x:v>P1</x:v>
      </x:c>
      <x:c r="F9" s="9" t="str">
        <x:v>Compétence de MEA — Combat.</x:v>
      </x:c>
      <x:c r="G9" s="9" t="str">
        <x:v>Poser deux points de détection compatibles ; segment de déclenchement visible, explosion à rayon séparé.</x:v>
      </x:c>
      <x:c r="H9" s="9" t="str">
        <x:v>Poser deux points de détection compatibles ; segment de déclenchement visible, explosion à rayon séparé.</x:v>
      </x:c>
      <x:c r="I9" s="9" t="str">
        <x:v>Ligne laser et petite mine.</x:v>
      </x:c>
      <x:c r="J9" s="9" t="str">
        <x:v>Aucune animation d’activation pour les passifs ; pour une action, pose anticipée, effet à événement unique et reprise compatible avec saut/sol.</x:v>
      </x:c>
      <x:c r="K9" s="9" t="str">
        <x:v>Signature originale par famille ; signal de disponibilité distinct du signal d’impact, équivalents visuels pour les informations utiles.</x:v>
      </x:c>
      <x:c r="L9" s="9" t="str">
        <x:v>Prévu : fiche de données mea/powers/trip-mine ; rattacher les ressources et états cités à cet identifiant. Aucun fichier de jeu créé par ce catalogue.</x:v>
      </x:c>
      <x:c r="M9" s="9" t="str">
        <x:v>Combat</x:v>
      </x:c>
      <x:c r="N9" s="9" t="str">
        <x:v>Trip Mine : contrôler cible, protections, portée, coût, interruption et fin d’effet ; un passif n’apparaît jamais comme action sélectionnable et un pouvoir d’allié n’entre pas dans le build de Ryder par erreur.</x:v>
      </x:c>
      <x:c r="O9" s="9" t="str"/>
      <x:c r="P9" s="9" t="str">
        <x:v>Trip Mine</x:v>
      </x:c>
      <x:c r="Q9" s="9" t="str">
        <x:v>MEA-SRC-SKILLS</x:v>
      </x:c>
      <x:c r="R9" s="9" t="str">
        <x:v>https://masseffect.fandom.com/wiki/Skills</x:v>
      </x:c>
      <x:c r="S9" s="9" t="str">
        <x:v>Spécification à réaliser. Les champs adaptation, gameplay, visual, animation, audio et implementation décrivent le fan game ; ils ne donnent pas des caractéristiques officielles de l’œuvre.</x:v>
      </x:c>
    </x:row>
    <x:row r="10" ht="68" customHeight="1">
      <x:c r="A10" s="19" t="str">
        <x:v>MEA-POW-TURBOCHARGE</x:v>
      </x:c>
      <x:c r="B10" s="7" t="str">
        <x:v>Turbocharge</x:v>
      </x:c>
      <x:c r="C10" s="15" t="str">
        <x:v>Défini</x:v>
      </x:c>
      <x:c r="D10" s="17" t="str">
        <x:v>Établi</x:v>
      </x:c>
      <x:c r="E10" s="17" t="str">
        <x:v>P1</x:v>
      </x:c>
      <x:c r="F10" s="7" t="str">
        <x:v>Compétence de MEA — Combat.</x:v>
      </x:c>
      <x:c r="G10" s="7" t="str">
        <x:v>Fenêtre de tir renforcée proposée ; aperçu affiche effet sur arme équipée et consommation accrue éventuelle.</x:v>
      </x:c>
      <x:c r="H10" s="7" t="str">
        <x:v>Fenêtre de tir renforcée proposée ; aperçu affiche effet sur arme équipée et consommation accrue éventuelle.</x:v>
      </x:c>
      <x:c r="I10" s="7" t="str">
        <x:v>Arme surlignée et jauge de durée.</x:v>
      </x:c>
      <x:c r="J10" s="7" t="str">
        <x:v>Aucune animation d’activation pour les passifs ; pour une action, pose anticipée, effet à événement unique et reprise compatible avec saut/sol.</x:v>
      </x:c>
      <x:c r="K10" s="7" t="str">
        <x:v>Signature originale par famille ; signal de disponibilité distinct du signal d’impact, équivalents visuels pour les informations utiles.</x:v>
      </x:c>
      <x:c r="L10" s="7" t="str">
        <x:v>Prévu : fiche de données mea/powers/turbocharge ; rattacher les ressources et états cités à cet identifiant. Aucun fichier de jeu créé par ce catalogue.</x:v>
      </x:c>
      <x:c r="M10" s="7" t="str">
        <x:v>Combat</x:v>
      </x:c>
      <x:c r="N10" s="7" t="str">
        <x:v>Turbocharge : contrôler cible, protections, portée, coût, interruption et fin d’effet ; un passif n’apparaît jamais comme action sélectionnable et un pouvoir d’allié n’entre pas dans le build de Ryder par erreur.</x:v>
      </x:c>
      <x:c r="O10" s="7" t="str"/>
      <x:c r="P10" s="7" t="str">
        <x:v>Turbocharge</x:v>
      </x:c>
      <x:c r="Q10" s="7" t="str">
        <x:v>MEA-SRC-SKILLS</x:v>
      </x:c>
      <x:c r="R10" s="7" t="str">
        <x:v>https://masseffect.fandom.com/wiki/Skills</x:v>
      </x:c>
      <x:c r="S10" s="7" t="str">
        <x:v>Spécification à réaliser. Les champs adaptation, gameplay, visual, animation, audio et implementation décrivent le fan game ; ils ne donnent pas des caractéristiques officielles de l’œuvre.</x:v>
      </x:c>
    </x:row>
    <x:row r="11" ht="68" customHeight="1">
      <x:c r="A11" s="18" t="str">
        <x:v>MEA-POW-BARRICADE</x:v>
      </x:c>
      <x:c r="B11" s="9" t="str">
        <x:v>Barricade</x:v>
      </x:c>
      <x:c r="C11" s="15" t="str">
        <x:v>Défini</x:v>
      </x:c>
      <x:c r="D11" s="16" t="str">
        <x:v>Établi</x:v>
      </x:c>
      <x:c r="E11" s="16" t="str">
        <x:v>P1</x:v>
      </x:c>
      <x:c r="F11" s="9" t="str">
        <x:v>Compétence de MEA — Combat.</x:v>
      </x:c>
      <x:c r="G11" s="9" t="str">
        <x:v>Couvert déployable orienté avant pose ; interdire placement qui enferme un allié ou bloque unique sortie.</x:v>
      </x:c>
      <x:c r="H11" s="9" t="str">
        <x:v>Couvert déployable orienté avant pose ; interdire placement qui enferme un allié ou bloque unique sortie.</x:v>
      </x:c>
      <x:c r="I11" s="9" t="str">
        <x:v>Plaque holographique basse.</x:v>
      </x:c>
      <x:c r="J11" s="9" t="str">
        <x:v>Aucune animation d’activation pour les passifs ; pour une action, pose anticipée, effet à événement unique et reprise compatible avec saut/sol.</x:v>
      </x:c>
      <x:c r="K11" s="9" t="str">
        <x:v>Signature originale par famille ; signal de disponibilité distinct du signal d’impact, équivalents visuels pour les informations utiles.</x:v>
      </x:c>
      <x:c r="L11" s="9" t="str">
        <x:v>Prévu : fiche de données mea/powers/barricade ; rattacher les ressources et états cités à cet identifiant. Aucun fichier de jeu créé par ce catalogue.</x:v>
      </x:c>
      <x:c r="M11" s="9" t="str">
        <x:v>Combat</x:v>
      </x:c>
      <x:c r="N11" s="9" t="str">
        <x:v>Barricade : contrôler cible, protections, portée, coût, interruption et fin d’effet ; un passif n’apparaît jamais comme action sélectionnable et un pouvoir d’allié n’entre pas dans le build de Ryder par erreur.</x:v>
      </x:c>
      <x:c r="O11" s="9" t="str"/>
      <x:c r="P11" s="9" t="str">
        <x:v>Barricade</x:v>
      </x:c>
      <x:c r="Q11" s="9" t="str">
        <x:v>MEA-SRC-BARRICADE</x:v>
      </x:c>
      <x:c r="R11" s="9" t="str">
        <x:v>https://masseffect.fandom.com/wiki/Barricade_%28skill%29</x:v>
      </x:c>
      <x:c r="S11" s="9" t="str">
        <x:v>Spécification à réaliser. Les champs adaptation, gameplay, visual, animation, audio et implementation décrivent le fan game ; ils ne donnent pas des caractéristiques officielles de l’œuvre.</x:v>
      </x:c>
    </x:row>
    <x:row r="12" ht="68" customHeight="1">
      <x:c r="A12" s="19" t="str">
        <x:v>MEA-POW-FLAK</x:v>
      </x:c>
      <x:c r="B12" s="7" t="str">
        <x:v>Flak Cannon</x:v>
      </x:c>
      <x:c r="C12" s="15" t="str">
        <x:v>Défini</x:v>
      </x:c>
      <x:c r="D12" s="17" t="str">
        <x:v>Établi</x:v>
      </x:c>
      <x:c r="E12" s="17" t="str">
        <x:v>P1</x:v>
      </x:c>
      <x:c r="F12" s="7" t="str">
        <x:v>Compétence de MEA — Combat.</x:v>
      </x:c>
      <x:c r="G12" s="7" t="str">
        <x:v>Cône de fragments à charge limitée ; cibles et résistance d’armure prévisualisées.</x:v>
      </x:c>
      <x:c r="H12" s="7" t="str">
        <x:v>Cône de fragments à charge limitée ; cibles et résistance d’armure prévisualisées.</x:v>
      </x:c>
      <x:c r="I12" s="7" t="str">
        <x:v>Éclats orange en éventail.</x:v>
      </x:c>
      <x:c r="J12" s="7" t="str">
        <x:v>Aucune animation d’activation pour les passifs ; pour une action, pose anticipée, effet à événement unique et reprise compatible avec saut/sol.</x:v>
      </x:c>
      <x:c r="K12" s="7" t="str">
        <x:v>Signature originale par famille ; signal de disponibilité distinct du signal d’impact, équivalents visuels pour les informations utiles.</x:v>
      </x:c>
      <x:c r="L12" s="7" t="str">
        <x:v>Prévu : fiche de données mea/powers/flak ; rattacher les ressources et états cités à cet identifiant. Aucun fichier de jeu créé par ce catalogue.</x:v>
      </x:c>
      <x:c r="M12" s="7" t="str">
        <x:v>Combat</x:v>
      </x:c>
      <x:c r="N12" s="7" t="str">
        <x:v>Flak Cannon : contrôler cible, protections, portée, coût, interruption et fin d’effet ; un passif n’apparaît jamais comme action sélectionnable et un pouvoir d’allié n’entre pas dans le build de Ryder par erreur.</x:v>
      </x:c>
      <x:c r="O12" s="7" t="str"/>
      <x:c r="P12" s="7" t="str">
        <x:v>Flak Cannon</x:v>
      </x:c>
      <x:c r="Q12" s="7" t="str">
        <x:v>MEA-SRC-FLAK</x:v>
      </x:c>
      <x:c r="R12" s="7" t="str">
        <x:v>https://masseffect.fandom.com/wiki/Flak_Cannon</x:v>
      </x:c>
      <x:c r="S12" s="7" t="str">
        <x:v>Spécification à réaliser. Les champs adaptation, gameplay, visual, animation, audio et implementation décrivent le fan game ; ils ne donnent pas des caractéristiques officielles de l’œuvre.</x:v>
      </x:c>
    </x:row>
    <x:row r="13" ht="68" customHeight="1">
      <x:c r="A13" s="18" t="str">
        <x:v>MEA-POW-PISTOLS</x:v>
      </x:c>
      <x:c r="B13" s="9" t="str">
        <x:v>Pistols</x:v>
      </x:c>
      <x:c r="C13" s="15" t="str">
        <x:v>Défini</x:v>
      </x:c>
      <x:c r="D13" s="16" t="str">
        <x:v>Établi</x:v>
      </x:c>
      <x:c r="E13" s="16" t="str">
        <x:v>P1</x:v>
      </x:c>
      <x:c r="F13" s="9" t="str">
        <x:v>Compétence de MEA — Passif combat.</x:v>
      </x:c>
      <x:c r="G13" s="9" t="str">
        <x:v>Améliorer famille pistolets dans l’arbre proposé ; affecte aussi armes automatiques classées pistolets, sans slot SMG ajouté.</x:v>
      </x:c>
      <x:c r="H13" s="9" t="str">
        <x:v>Améliorer famille pistolets dans l’arbre proposé ; affecte aussi armes automatiques classées pistolets, sans slot SMG ajouté.</x:v>
      </x:c>
      <x:c r="I13" s="9" t="str">
        <x:v>Icône d’arme courte.</x:v>
      </x:c>
      <x:c r="J13" s="9" t="str">
        <x:v>Aucune animation d’activation pour les passifs ; pour une action, pose anticipée, effet à événement unique et reprise compatible avec saut/sol.</x:v>
      </x:c>
      <x:c r="K13" s="9" t="str">
        <x:v>Signature originale par famille ; signal de disponibilité distinct du signal d’impact, équivalents visuels pour les informations utiles.</x:v>
      </x:c>
      <x:c r="L13" s="9" t="str">
        <x:v>Prévu : fiche de données mea/powers/pistols ; rattacher les ressources et états cités à cet identifiant. Aucun fichier de jeu créé par ce catalogue.</x:v>
      </x:c>
      <x:c r="M13" s="9" t="str">
        <x:v>Passif combat</x:v>
      </x:c>
      <x:c r="N13" s="9" t="str">
        <x:v>Pistols : contrôler cible, protections, portée, coût, interruption et fin d’effet ; un passif n’apparaît jamais comme action sélectionnable et un pouvoir d’allié n’entre pas dans le build de Ryder par erreur.</x:v>
      </x:c>
      <x:c r="O13" s="9" t="str"/>
      <x:c r="P13" s="9" t="str">
        <x:v>Pistols</x:v>
      </x:c>
      <x:c r="Q13" s="9" t="str">
        <x:v>MEA-SRC-SKILLS</x:v>
      </x:c>
      <x:c r="R13" s="9" t="str">
        <x:v>https://masseffect.fandom.com/wiki/Skills</x:v>
      </x:c>
      <x:c r="S13" s="9" t="str">
        <x:v>Spécification à réaliser. Les champs adaptation, gameplay, visual, animation, audio et implementation décrivent le fan game ; ils ne donnent pas des caractéristiques officielles de l’œuvre.</x:v>
      </x:c>
    </x:row>
    <x:row r="14" ht="68" customHeight="1">
      <x:c r="A14" s="19" t="str">
        <x:v>MEA-POW-ASSAULT-RIFLES</x:v>
      </x:c>
      <x:c r="B14" s="7" t="str">
        <x:v>Assault Rifles</x:v>
      </x:c>
      <x:c r="C14" s="15" t="str">
        <x:v>Défini</x:v>
      </x:c>
      <x:c r="D14" s="17" t="str">
        <x:v>Établi</x:v>
      </x:c>
      <x:c r="E14" s="17" t="str">
        <x:v>P1</x:v>
      </x:c>
      <x:c r="F14" s="7" t="str">
        <x:v>Compétence de MEA — Passif combat.</x:v>
      </x:c>
      <x:c r="G14" s="7" t="str">
        <x:v>Bonus de stabilité/efficacité proposés ; récapitulatif du gain actif sur arme tenue.</x:v>
      </x:c>
      <x:c r="H14" s="7" t="str">
        <x:v>Bonus de stabilité/efficacité proposés ; récapitulatif du gain actif sur arme tenue.</x:v>
      </x:c>
      <x:c r="I14" s="7" t="str">
        <x:v>Icône de fusil.</x:v>
      </x:c>
      <x:c r="J14" s="7" t="str">
        <x:v>Aucune animation d’activation pour les passifs ; pour une action, pose anticipée, effet à événement unique et reprise compatible avec saut/sol.</x:v>
      </x:c>
      <x:c r="K14" s="7" t="str">
        <x:v>Signature originale par famille ; signal de disponibilité distinct du signal d’impact, équivalents visuels pour les informations utiles.</x:v>
      </x:c>
      <x:c r="L14" s="7" t="str">
        <x:v>Prévu : fiche de données mea/powers/assault-rifles ; rattacher les ressources et états cités à cet identifiant. Aucun fichier de jeu créé par ce catalogue.</x:v>
      </x:c>
      <x:c r="M14" s="7" t="str">
        <x:v>Passif combat</x:v>
      </x:c>
      <x:c r="N14" s="7" t="str">
        <x:v>Assault Rifles : contrôler cible, protections, portée, coût, interruption et fin d’effet ; un passif n’apparaît jamais comme action sélectionnable et un pouvoir d’allié n’entre pas dans le build de Ryder par erreur.</x:v>
      </x:c>
      <x:c r="O14" s="7" t="str"/>
      <x:c r="P14" s="7" t="str">
        <x:v>Assault Rifles</x:v>
      </x:c>
      <x:c r="Q14" s="7" t="str">
        <x:v>MEA-SRC-SKILLS</x:v>
      </x:c>
      <x:c r="R14" s="7" t="str">
        <x:v>https://masseffect.fandom.com/wiki/Skills</x:v>
      </x:c>
      <x:c r="S14" s="7" t="str">
        <x:v>Spécification à réaliser. Les champs adaptation, gameplay, visual, animation, audio et implementation décrivent le fan game ; ils ne donnent pas des caractéristiques officielles de l’œuvre.</x:v>
      </x:c>
    </x:row>
    <x:row r="15" ht="68" customHeight="1">
      <x:c r="A15" s="18" t="str">
        <x:v>MEA-POW-SHOTGUNS</x:v>
      </x:c>
      <x:c r="B15" s="9" t="str">
        <x:v>Shotguns</x:v>
      </x:c>
      <x:c r="C15" s="15" t="str">
        <x:v>Défini</x:v>
      </x:c>
      <x:c r="D15" s="16" t="str">
        <x:v>Établi</x:v>
      </x:c>
      <x:c r="E15" s="16" t="str">
        <x:v>P1</x:v>
      </x:c>
      <x:c r="F15" s="9" t="str">
        <x:v>Compétence de MEA — Passif combat.</x:v>
      </x:c>
      <x:c r="G15" s="9" t="str">
        <x:v>Réglage de dispersion et de reprise proposé ; ne modifie pas visuellement le cône sans mettre à jour l’aperçu.</x:v>
      </x:c>
      <x:c r="H15" s="9" t="str">
        <x:v>Réglage de dispersion et de reprise proposé ; ne modifie pas visuellement le cône sans mettre à jour l’aperçu.</x:v>
      </x:c>
      <x:c r="I15" s="9" t="str">
        <x:v>Cône court.</x:v>
      </x:c>
      <x:c r="J15" s="9" t="str">
        <x:v>Aucune animation d’activation pour les passifs ; pour une action, pose anticipée, effet à événement unique et reprise compatible avec saut/sol.</x:v>
      </x:c>
      <x:c r="K15" s="9" t="str">
        <x:v>Signature originale par famille ; signal de disponibilité distinct du signal d’impact, équivalents visuels pour les informations utiles.</x:v>
      </x:c>
      <x:c r="L15" s="9" t="str">
        <x:v>Prévu : fiche de données mea/powers/shotguns ; rattacher les ressources et états cités à cet identifiant. Aucun fichier de jeu créé par ce catalogue.</x:v>
      </x:c>
      <x:c r="M15" s="9" t="str">
        <x:v>Passif combat</x:v>
      </x:c>
      <x:c r="N15" s="9" t="str">
        <x:v>Shotguns : contrôler cible, protections, portée, coût, interruption et fin d’effet ; un passif n’apparaît jamais comme action sélectionnable et un pouvoir d’allié n’entre pas dans le build de Ryder par erreur.</x:v>
      </x:c>
      <x:c r="O15" s="9" t="str"/>
      <x:c r="P15" s="9" t="str">
        <x:v>Shotguns</x:v>
      </x:c>
      <x:c r="Q15" s="9" t="str">
        <x:v>MEA-SRC-SKILLS</x:v>
      </x:c>
      <x:c r="R15" s="9" t="str">
        <x:v>https://masseffect.fandom.com/wiki/Skills</x:v>
      </x:c>
      <x:c r="S15" s="9" t="str">
        <x:v>Spécification à réaliser. Les champs adaptation, gameplay, visual, animation, audio et implementation décrivent le fan game ; ils ne donnent pas des caractéristiques officielles de l’œuvre.</x:v>
      </x:c>
    </x:row>
    <x:row r="16" ht="68" customHeight="1">
      <x:c r="A16" s="19" t="str">
        <x:v>MEA-POW-SNIPERS</x:v>
      </x:c>
      <x:c r="B16" s="7" t="str">
        <x:v>Sniper Rifles</x:v>
      </x:c>
      <x:c r="C16" s="15" t="str">
        <x:v>Défini</x:v>
      </x:c>
      <x:c r="D16" s="17" t="str">
        <x:v>Établi</x:v>
      </x:c>
      <x:c r="E16" s="17" t="str">
        <x:v>P1</x:v>
      </x:c>
      <x:c r="F16" s="7" t="str">
        <x:v>Compétence de MEA — Passif combat.</x:v>
      </x:c>
      <x:c r="G16" s="7" t="str">
        <x:v>Bonus de visée proposés, temps d’engagement visible ; aucune pénétration de mur universelle gratuite.</x:v>
      </x:c>
      <x:c r="H16" s="7" t="str">
        <x:v>Bonus de visée proposés, temps d’engagement visible ; aucune pénétration de mur universelle gratuite.</x:v>
      </x:c>
      <x:c r="I16" s="7" t="str">
        <x:v>Lunette et ligne de visée.</x:v>
      </x:c>
      <x:c r="J16" s="7" t="str">
        <x:v>Aucune animation d’activation pour les passifs ; pour une action, pose anticipée, effet à événement unique et reprise compatible avec saut/sol.</x:v>
      </x:c>
      <x:c r="K16" s="7" t="str">
        <x:v>Signature originale par famille ; signal de disponibilité distinct du signal d’impact, équivalents visuels pour les informations utiles.</x:v>
      </x:c>
      <x:c r="L16" s="7" t="str">
        <x:v>Prévu : fiche de données mea/powers/snipers ; rattacher les ressources et états cités à cet identifiant. Aucun fichier de jeu créé par ce catalogue.</x:v>
      </x:c>
      <x:c r="M16" s="7" t="str">
        <x:v>Passif combat</x:v>
      </x:c>
      <x:c r="N16" s="7" t="str">
        <x:v>Sniper Rifles : contrôler cible, protections, portée, coût, interruption et fin d’effet ; un passif n’apparaît jamais comme action sélectionnable et un pouvoir d’allié n’entre pas dans le build de Ryder par erreur.</x:v>
      </x:c>
      <x:c r="O16" s="7" t="str"/>
      <x:c r="P16" s="7" t="str">
        <x:v>Sniper Rifles</x:v>
      </x:c>
      <x:c r="Q16" s="7" t="str">
        <x:v>MEA-SRC-SKILLS</x:v>
      </x:c>
      <x:c r="R16" s="7" t="str">
        <x:v>https://masseffect.fandom.com/wiki/Skills</x:v>
      </x:c>
      <x:c r="S16" s="7" t="str">
        <x:v>Spécification à réaliser. Les champs adaptation, gameplay, visual, animation, audio et implementation décrivent le fan game ; ils ne donnent pas des caractéristiques officielles de l’œuvre.</x:v>
      </x:c>
    </x:row>
    <x:row r="17" ht="68" customHeight="1">
      <x:c r="A17" s="18" t="str">
        <x:v>MEA-POW-FITNESS</x:v>
      </x:c>
      <x:c r="B17" s="9" t="str">
        <x:v>Combat Fitness</x:v>
      </x:c>
      <x:c r="C17" s="15" t="str">
        <x:v>Défini</x:v>
      </x:c>
      <x:c r="D17" s="16" t="str">
        <x:v>Établi</x:v>
      </x:c>
      <x:c r="E17" s="16" t="str">
        <x:v>P1</x:v>
      </x:c>
      <x:c r="F17" s="9" t="str">
        <x:v>Compétence de MEA — Passif combat.</x:v>
      </x:c>
      <x:c r="G17" s="9" t="str">
        <x:v>Capacités corporelles et emplacements de loadout proposés ; migration recalcule maxima sans guérir gratuitement en boucle.</x:v>
      </x:c>
      <x:c r="H17" s="9" t="str">
        <x:v>Capacités corporelles et emplacements de loadout proposés ; migration recalcule maxima sans guérir gratuitement en boucle.</x:v>
      </x:c>
      <x:c r="I17" s="9" t="str">
        <x:v>Silhouette et emplacements d’armes.</x:v>
      </x:c>
      <x:c r="J17" s="9" t="str">
        <x:v>Aucune animation d’activation pour les passifs ; pour une action, pose anticipée, effet à événement unique et reprise compatible avec saut/sol.</x:v>
      </x:c>
      <x:c r="K17" s="9" t="str">
        <x:v>Signature originale par famille ; signal de disponibilité distinct du signal d’impact, équivalents visuels pour les informations utiles.</x:v>
      </x:c>
      <x:c r="L17" s="9" t="str">
        <x:v>Prévu : fiche de données mea/powers/fitness ; rattacher les ressources et états cités à cet identifiant. Aucun fichier de jeu créé par ce catalogue.</x:v>
      </x:c>
      <x:c r="M17" s="9" t="str">
        <x:v>Passif combat</x:v>
      </x:c>
      <x:c r="N17" s="9" t="str">
        <x:v>Combat Fitness : contrôler cible, protections, portée, coût, interruption et fin d’effet ; un passif n’apparaît jamais comme action sélectionnable et un pouvoir d’allié n’entre pas dans le build de Ryder par erreur.</x:v>
      </x:c>
      <x:c r="O17" s="9" t="str"/>
      <x:c r="P17" s="9" t="str">
        <x:v>Combat Fitness</x:v>
      </x:c>
      <x:c r="Q17" s="9" t="str">
        <x:v>MEA-SRC-SKILLS</x:v>
      </x:c>
      <x:c r="R17" s="9" t="str">
        <x:v>https://masseffect.fandom.com/wiki/Skills</x:v>
      </x:c>
      <x:c r="S17" s="9" t="str">
        <x:v>Spécification à réaliser. Les champs adaptation, gameplay, visual, animation, audio et implementation décrivent le fan game ; ils ne donnent pas des caractéristiques officielles de l’œuvre.</x:v>
      </x:c>
    </x:row>
    <x:row r="18" ht="68" customHeight="1">
      <x:c r="A18" s="19" t="str">
        <x:v>MEA-POW-COMBAT-TOOLS</x:v>
      </x:c>
      <x:c r="B18" s="7" t="str">
        <x:v>Combat Tools</x:v>
      </x:c>
      <x:c r="C18" s="15" t="str">
        <x:v>Défini</x:v>
      </x:c>
      <x:c r="D18" s="17" t="str">
        <x:v>Établi</x:v>
      </x:c>
      <x:c r="E18" s="17" t="str">
        <x:v>P1</x:v>
      </x:c>
      <x:c r="F18" s="7" t="str">
        <x:v>Compétence de MEA — Passif combat.</x:v>
      </x:c>
      <x:c r="G18" s="7" t="str">
        <x:v>Effets de mêlée et consommables selon choix d’arbre ; séparer gain passif de charge active.</x:v>
      </x:c>
      <x:c r="H18" s="7" t="str">
        <x:v>Effets de mêlée et consommables selon choix d’arbre ; séparer gain passif de charge active.</x:v>
      </x:c>
      <x:c r="I18" s="7" t="str">
        <x:v>Omni-outil et arme de contact.</x:v>
      </x:c>
      <x:c r="J18" s="7" t="str">
        <x:v>Aucune animation d’activation pour les passifs ; pour une action, pose anticipée, effet à événement unique et reprise compatible avec saut/sol.</x:v>
      </x:c>
      <x:c r="K18" s="7" t="str">
        <x:v>Signature originale par famille ; signal de disponibilité distinct du signal d’impact, équivalents visuels pour les informations utiles.</x:v>
      </x:c>
      <x:c r="L18" s="7" t="str">
        <x:v>Prévu : fiche de données mea/powers/combat-tools ; rattacher les ressources et états cités à cet identifiant. Aucun fichier de jeu créé par ce catalogue.</x:v>
      </x:c>
      <x:c r="M18" s="7" t="str">
        <x:v>Passif combat</x:v>
      </x:c>
      <x:c r="N18" s="7" t="str">
        <x:v>Combat Tools : contrôler cible, protections, portée, coût, interruption et fin d’effet ; un passif n’apparaît jamais comme action sélectionnable et un pouvoir d’allié n’entre pas dans le build de Ryder par erreur.</x:v>
      </x:c>
      <x:c r="O18" s="7" t="str"/>
      <x:c r="P18" s="7" t="str">
        <x:v>Combat Tools</x:v>
      </x:c>
      <x:c r="Q18" s="7" t="str">
        <x:v>MEA-SRC-TOOLS</x:v>
      </x:c>
      <x:c r="R18" s="7" t="str">
        <x:v>https://masseffect.fandom.com/wiki/Combat_Tools</x:v>
      </x:c>
      <x:c r="S18" s="7" t="str">
        <x:v>Spécification à réaliser. Les champs adaptation, gameplay, visual, animation, audio et implementation décrivent le fan game ; ils ne donnent pas des caractéristiques officielles de l’œuvre.</x:v>
      </x:c>
    </x:row>
    <x:row r="19" ht="96" customHeight="1">
      <x:c r="A19" s="18" t="str">
        <x:v>MEA-POW-THROW</x:v>
      </x:c>
      <x:c r="B19" s="9" t="str">
        <x:v>Throw</x:v>
      </x:c>
      <x:c r="C19" s="15" t="str">
        <x:v>Prototype</x:v>
      </x:c>
      <x:c r="D19" s="16" t="str">
        <x:v>Établi</x:v>
      </x:c>
      <x:c r="E19" s="16" t="str">
        <x:v>P1</x:v>
      </x:c>
      <x:c r="F19" s="9" t="str">
        <x:v>Compétence de MEA — Biotique.</x:v>
      </x:c>
      <x:c r="G19" s="9" t="str">
        <x:v>Impulsion selon axe choisi ; destination valide affichée et arrêt au premier mur plein.</x:v>
      </x:c>
      <x:c r="H19" s="9" t="str">
        <x:v>Impulsion selon axe choisi ; destination valide affichée et arrêt au premier mur plein.</x:v>
      </x:c>
      <x:c r="I19" s="9" t="str">
        <x:v>Trait bleu et flèche de recul.</x:v>
      </x:c>
      <x:c r="J19" s="9" t="str">
        <x:v>Aucune animation d’activation pour les passifs ; pour une action, pose anticipée, effet à événement unique et reprise compatible avec saut/sol.</x:v>
      </x:c>
      <x:c r="K19" s="9" t="str">
        <x:v>Signature originale par famille ; signal de disponibilité distinct du signal d’impact, équivalents visuels pour les informations utiles.</x:v>
      </x:c>
      <x:c r="L19" s="9" t="str">
        <x:v>Prototype partiel : liaison MEA-POW-THROW dans src/universe-powers.js, exposition par src/universe-actors.js, action native dans src/combat.js. Les acteurs, scènes et préparations autorisés sont explicitement listés par getUniversePowerUsage().</x:v>
      </x:c>
      <x:c r="M19" s="9" t="str">
        <x:v>Biotique</x:v>
      </x:c>
      <x:c r="N19" s="9" t="str">
        <x:v>Throw : contrôler cible, protections, portée, coût, interruption et fin d’effet ; un passif n’apparaît jamais comme action sélectionnable et un pouvoir d’allié n’entre pas dans le build de Ryder par erreur.</x:v>
      </x:c>
      <x:c r="O19" s="9" t="str"/>
      <x:c r="P19" s="9" t="str">
        <x:v>Throw</x:v>
      </x:c>
      <x:c r="Q19" s="9" t="str">
        <x:v>MEA-SRC-SKILLS</x:v>
      </x:c>
      <x:c r="R19" s="9" t="str">
        <x:v>https://masseffect.fandom.com/wiki/Skills</x:v>
      </x:c>
      <x:c r="S19" s="9"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20" ht="96" customHeight="1">
      <x:c r="A20" s="19" t="str">
        <x:v>MEA-POW-PULL</x:v>
      </x:c>
      <x:c r="B20" s="7" t="str">
        <x:v>Pull</x:v>
      </x:c>
      <x:c r="C20" s="15" t="str">
        <x:v>Prototype</x:v>
      </x:c>
      <x:c r="D20" s="17" t="str">
        <x:v>Établi</x:v>
      </x:c>
      <x:c r="E20" s="17" t="str">
        <x:v>P1</x:v>
      </x:c>
      <x:c r="F20" s="7" t="str">
        <x:v>Compétence de MEA — Biotique.</x:v>
      </x:c>
      <x:c r="G20" s="7" t="str">
        <x:v>Soulever cible vulnérable puis conserver pour combo selon règle proposée ; cible blindée explique résistance.</x:v>
      </x:c>
      <x:c r="H20" s="7" t="str">
        <x:v>Soulever cible vulnérable puis conserver pour combo selon règle proposée ; cible blindée explique résistance.</x:v>
      </x:c>
      <x:c r="I20" s="7" t="str">
        <x:v>Halo de lévitation.</x:v>
      </x:c>
      <x:c r="J20" s="7" t="str">
        <x:v>Aucune animation d’activation pour les passifs ; pour une action, pose anticipée, effet à événement unique et reprise compatible avec saut/sol.</x:v>
      </x:c>
      <x:c r="K20" s="7" t="str">
        <x:v>Signature originale par famille ; signal de disponibilité distinct du signal d’impact, équivalents visuels pour les informations utiles.</x:v>
      </x:c>
      <x:c r="L20" s="7" t="str">
        <x:v>Prototype partiel : liaison MEA-POW-PULL dans src/universe-powers.js, exposition par src/universe-actors.js, action native dans src/combat.js. Les acteurs, scènes et préparations autorisés sont explicitement listés par getUniversePowerUsage().</x:v>
      </x:c>
      <x:c r="M20" s="7" t="str">
        <x:v>Biotique</x:v>
      </x:c>
      <x:c r="N20" s="7" t="str">
        <x:v>Pull : contrôler cible, protections, portée, coût, interruption et fin d’effet ; un passif n’apparaît jamais comme action sélectionnable et un pouvoir d’allié n’entre pas dans le build de Ryder par erreur.</x:v>
      </x:c>
      <x:c r="O20" s="7" t="str"/>
      <x:c r="P20" s="7" t="str">
        <x:v>Pull</x:v>
      </x:c>
      <x:c r="Q20" s="7" t="str">
        <x:v>MEA-SRC-SKILLS</x:v>
      </x:c>
      <x:c r="R20" s="7" t="str">
        <x:v>https://masseffect.fandom.com/wiki/Skills</x:v>
      </x:c>
      <x:c r="S20" s="7"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21" ht="68" customHeight="1">
      <x:c r="A21" s="18" t="str">
        <x:v>MEA-POW-CHARGE</x:v>
      </x:c>
      <x:c r="B21" s="9" t="str">
        <x:v>Charge</x:v>
      </x:c>
      <x:c r="C21" s="15" t="str">
        <x:v>Défini</x:v>
      </x:c>
      <x:c r="D21" s="16" t="str">
        <x:v>Établi</x:v>
      </x:c>
      <x:c r="E21" s="16" t="str">
        <x:v>P1</x:v>
      </x:c>
      <x:c r="F21" s="9" t="str">
        <x:v>Compétence de MEA — Biotique.</x:v>
      </x:c>
      <x:c r="G21" s="9" t="str">
        <x:v>Approche rapide vers cible avec place d’atterrissage réservée ; échec de chemin ne consomme pas l’action.</x:v>
      </x:c>
      <x:c r="H21" s="9" t="str">
        <x:v>Approche rapide vers cible avec place d’atterrissage réservée ; échec de chemin ne consomme pas l’action.</x:v>
      </x:c>
      <x:c r="I21" s="9" t="str">
        <x:v>Traînée bleue et onde de contact.</x:v>
      </x:c>
      <x:c r="J21" s="9" t="str">
        <x:v>Aucune animation d’activation pour les passifs ; pour une action, pose anticipée, effet à événement unique et reprise compatible avec saut/sol.</x:v>
      </x:c>
      <x:c r="K21" s="9" t="str">
        <x:v>Signature originale par famille ; signal de disponibilité distinct du signal d’impact, équivalents visuels pour les informations utiles.</x:v>
      </x:c>
      <x:c r="L21" s="9" t="str">
        <x:v>Prévu : fiche de données mea/powers/charge ; rattacher les ressources et états cités à cet identifiant. Aucun fichier de jeu créé par ce catalogue.</x:v>
      </x:c>
      <x:c r="M21" s="9" t="str">
        <x:v>Biotique</x:v>
      </x:c>
      <x:c r="N21" s="9" t="str">
        <x:v>Charge : contrôler cible, protections, portée, coût, interruption et fin d’effet ; un passif n’apparaît jamais comme action sélectionnable et un pouvoir d’allié n’entre pas dans le build de Ryder par erreur.</x:v>
      </x:c>
      <x:c r="O21" s="9" t="str"/>
      <x:c r="P21" s="9" t="str">
        <x:v>Charge</x:v>
      </x:c>
      <x:c r="Q21" s="9" t="str">
        <x:v>MEA-SRC-SKILLS</x:v>
      </x:c>
      <x:c r="R21" s="9" t="str">
        <x:v>https://masseffect.fandom.com/wiki/Skills</x:v>
      </x:c>
      <x:c r="S21" s="9" t="str">
        <x:v>Spécification à réaliser. Les champs adaptation, gameplay, visual, animation, audio et implementation décrivent le fan game ; ils ne donnent pas des caractéristiques officielles de l’œuvre.</x:v>
      </x:c>
    </x:row>
    <x:row r="22" ht="68" customHeight="1">
      <x:c r="A22" s="19" t="str">
        <x:v>MEA-POW-NOVA</x:v>
      </x:c>
      <x:c r="B22" s="7" t="str">
        <x:v>Nova</x:v>
      </x:c>
      <x:c r="C22" s="15" t="str">
        <x:v>Défini</x:v>
      </x:c>
      <x:c r="D22" s="17" t="str">
        <x:v>Établi</x:v>
      </x:c>
      <x:c r="E22" s="17" t="str">
        <x:v>P1</x:v>
      </x:c>
      <x:c r="F22" s="7" t="str">
        <x:v>Compétence de MEA — Biotique.</x:v>
      </x:c>
      <x:c r="G22" s="7" t="str">
        <x:v>Onde de proximité, coût de protection proposé visible ; phase aérienne n’invente pas invulnérabilité permanente.</x:v>
      </x:c>
      <x:c r="H22" s="7" t="str">
        <x:v>Onde de proximité, coût de protection proposé visible ; phase aérienne n’invente pas invulnérabilité permanente.</x:v>
      </x:c>
      <x:c r="I22" s="7" t="str">
        <x:v>Cercle de choc au sol.</x:v>
      </x:c>
      <x:c r="J22" s="7" t="str">
        <x:v>Aucune animation d’activation pour les passifs ; pour une action, pose anticipée, effet à événement unique et reprise compatible avec saut/sol.</x:v>
      </x:c>
      <x:c r="K22" s="7" t="str">
        <x:v>Signature originale par famille ; signal de disponibilité distinct du signal d’impact, équivalents visuels pour les informations utiles.</x:v>
      </x:c>
      <x:c r="L22" s="7" t="str">
        <x:v>Prévu : fiche de données mea/powers/nova ; rattacher les ressources et états cités à cet identifiant. Aucun fichier de jeu créé par ce catalogue.</x:v>
      </x:c>
      <x:c r="M22" s="7" t="str">
        <x:v>Biotique</x:v>
      </x:c>
      <x:c r="N22" s="7" t="str">
        <x:v>Nova : contrôler cible, protections, portée, coût, interruption et fin d’effet ; un passif n’apparaît jamais comme action sélectionnable et un pouvoir d’allié n’entre pas dans le build de Ryder par erreur.</x:v>
      </x:c>
      <x:c r="O22" s="7" t="str"/>
      <x:c r="P22" s="7" t="str">
        <x:v>Nova</x:v>
      </x:c>
      <x:c r="Q22" s="7" t="str">
        <x:v>MEA-SRC-SKILLS</x:v>
      </x:c>
      <x:c r="R22" s="7" t="str">
        <x:v>https://masseffect.fandom.com/wiki/Skills</x:v>
      </x:c>
      <x:c r="S22" s="7" t="str">
        <x:v>Spécification à réaliser. Les champs adaptation, gameplay, visual, animation, audio et implementation décrivent le fan game ; ils ne donnent pas des caractéristiques officielles de l’œuvre.</x:v>
      </x:c>
    </x:row>
    <x:row r="23" ht="96" customHeight="1">
      <x:c r="A23" s="18" t="str">
        <x:v>MEA-POW-SHOCKWAVE</x:v>
      </x:c>
      <x:c r="B23" s="9" t="str">
        <x:v>Shockwave</x:v>
      </x:c>
      <x:c r="C23" s="15" t="str">
        <x:v>Prototype</x:v>
      </x:c>
      <x:c r="D23" s="16" t="str">
        <x:v>Établi</x:v>
      </x:c>
      <x:c r="E23" s="16" t="str">
        <x:v>P1</x:v>
      </x:c>
      <x:c r="F23" s="9" t="str">
        <x:v>Compétence de MEA — Biotique.</x:v>
      </x:c>
      <x:c r="G23" s="9" t="str">
        <x:v>Succession de bandes de contrôle ; franchit couvert bas autorisé, stoppe au mur complet.</x:v>
      </x:c>
      <x:c r="H23" s="9" t="str">
        <x:v>Succession de bandes de contrôle ; franchit couvert bas autorisé, stoppe au mur complet.</x:v>
      </x:c>
      <x:c r="I23" s="9" t="str">
        <x:v>Vagues bleues en ligne.</x:v>
      </x:c>
      <x:c r="J23" s="9" t="str">
        <x:v>Aucune animation d’activation pour les passifs ; pour une action, pose anticipée, effet à événement unique et reprise compatible avec saut/sol.</x:v>
      </x:c>
      <x:c r="K23" s="9" t="str">
        <x:v>Signature originale par famille ; signal de disponibilité distinct du signal d’impact, équivalents visuels pour les informations utiles.</x:v>
      </x:c>
      <x:c r="L23" s="9" t="str">
        <x:v>Prototype partiel : liaison MEA-POW-SHOCKWAVE dans src/universe-powers.js, exposition par src/universe-actors.js, action native dans src/combat.js. Les acteurs, scènes et préparations autorisés sont explicitement listés par getUniversePowerUsage().</x:v>
      </x:c>
      <x:c r="M23" s="9" t="str">
        <x:v>Biotique</x:v>
      </x:c>
      <x:c r="N23" s="9" t="str">
        <x:v>Shockwave : contrôler cible, protections, portée, coût, interruption et fin d’effet ; un passif n’apparaît jamais comme action sélectionnable et un pouvoir d’allié n’entre pas dans le build de Ryder par erreur.</x:v>
      </x:c>
      <x:c r="O23" s="9" t="str"/>
      <x:c r="P23" s="9" t="str">
        <x:v>Shockwave</x:v>
      </x:c>
      <x:c r="Q23" s="9" t="str">
        <x:v>MEA-SRC-SKILLS</x:v>
      </x:c>
      <x:c r="R23" s="9" t="str">
        <x:v>https://masseffect.fandom.com/wiki/Skills</x:v>
      </x:c>
      <x:c r="S23" s="9"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24" ht="68" customHeight="1">
      <x:c r="A24" s="19" t="str">
        <x:v>MEA-POW-ANNIHILATION</x:v>
      </x:c>
      <x:c r="B24" s="7" t="str">
        <x:v>Annihilation</x:v>
      </x:c>
      <x:c r="C24" s="15" t="str">
        <x:v>Défini</x:v>
      </x:c>
      <x:c r="D24" s="17" t="str">
        <x:v>Établi</x:v>
      </x:c>
      <x:c r="E24" s="17" t="str">
        <x:v>P1</x:v>
      </x:c>
      <x:c r="F24" s="7" t="str">
        <x:v>Compétence de MEA — Biotique.</x:v>
      </x:c>
      <x:c r="G24" s="7" t="str">
        <x:v>Aura portée par Ryder avec rayon et coût d’entretien proposés ; danger pour ennemis n’obstrue pas sélection d’allié.</x:v>
      </x:c>
      <x:c r="H24" s="7" t="str">
        <x:v>Aura portée par Ryder avec rayon et coût d’entretien proposés ; danger pour ennemis n’obstrue pas sélection d’allié.</x:v>
      </x:c>
      <x:c r="I24" s="7" t="str">
        <x:v>Anneau violet mobile.</x:v>
      </x:c>
      <x:c r="J24" s="7" t="str">
        <x:v>Aucune animation d’activation pour les passifs ; pour une action, pose anticipée, effet à événement unique et reprise compatible avec saut/sol.</x:v>
      </x:c>
      <x:c r="K24" s="7" t="str">
        <x:v>Signature originale par famille ; signal de disponibilité distinct du signal d’impact, équivalents visuels pour les informations utiles.</x:v>
      </x:c>
      <x:c r="L24" s="7" t="str">
        <x:v>Prévu : fiche de données mea/powers/annihilation ; rattacher les ressources et états cités à cet identifiant. Aucun fichier de jeu créé par ce catalogue.</x:v>
      </x:c>
      <x:c r="M24" s="7" t="str">
        <x:v>Biotique</x:v>
      </x:c>
      <x:c r="N24" s="7" t="str">
        <x:v>Annihilation : contrôler cible, protections, portée, coût, interruption et fin d’effet ; un passif n’apparaît jamais comme action sélectionnable et un pouvoir d’allié n’entre pas dans le build de Ryder par erreur.</x:v>
      </x:c>
      <x:c r="O24" s="7" t="str"/>
      <x:c r="P24" s="7" t="str">
        <x:v>Annihilation</x:v>
      </x:c>
      <x:c r="Q24" s="7" t="str">
        <x:v>MEA-SRC-SKILLS</x:v>
      </x:c>
      <x:c r="R24" s="7" t="str">
        <x:v>https://masseffect.fandom.com/wiki/Skills</x:v>
      </x:c>
      <x:c r="S24" s="7" t="str">
        <x:v>Spécification à réaliser. Les champs adaptation, gameplay, visual, animation, audio et implementation décrivent le fan game ; ils ne donnent pas des caractéristiques officielles de l’œuvre.</x:v>
      </x:c>
    </x:row>
    <x:row r="25" ht="68" customHeight="1">
      <x:c r="A25" s="18" t="str">
        <x:v>MEA-POW-BACKLASH</x:v>
      </x:c>
      <x:c r="B25" s="9" t="str">
        <x:v>Backlash</x:v>
      </x:c>
      <x:c r="C25" s="15" t="str">
        <x:v>Défini</x:v>
      </x:c>
      <x:c r="D25" s="16" t="str">
        <x:v>Établi</x:v>
      </x:c>
      <x:c r="E25" s="16" t="str">
        <x:v>P1</x:v>
      </x:c>
      <x:c r="F25" s="9" t="str">
        <x:v>Compétence de MEA — Biotique.</x:v>
      </x:c>
      <x:c r="G25" s="9" t="str">
        <x:v>Bouclier orienté réfléchissant selon règle proposée ; ne renvoie pas attaque de zone ou saisie sans compatibilité explicite.</x:v>
      </x:c>
      <x:c r="H25" s="9" t="str">
        <x:v>Bouclier orienté réfléchissant selon règle proposée ; ne renvoie pas attaque de zone ou saisie sans compatibilité explicite.</x:v>
      </x:c>
      <x:c r="I25" s="9" t="str">
        <x:v>Écran biotique frontal.</x:v>
      </x:c>
      <x:c r="J25" s="9" t="str">
        <x:v>Aucune animation d’activation pour les passifs ; pour une action, pose anticipée, effet à événement unique et reprise compatible avec saut/sol.</x:v>
      </x:c>
      <x:c r="K25" s="9" t="str">
        <x:v>Signature originale par famille ; signal de disponibilité distinct du signal d’impact, équivalents visuels pour les informations utiles.</x:v>
      </x:c>
      <x:c r="L25" s="9" t="str">
        <x:v>Prévu : fiche de données mea/powers/backlash ; rattacher les ressources et états cités à cet identifiant. Aucun fichier de jeu créé par ce catalogue.</x:v>
      </x:c>
      <x:c r="M25" s="9" t="str">
        <x:v>Biotique</x:v>
      </x:c>
      <x:c r="N25" s="9" t="str">
        <x:v>Backlash : contrôler cible, protections, portée, coût, interruption et fin d’effet ; un passif n’apparaît jamais comme action sélectionnable et un pouvoir d’allié n’entre pas dans le build de Ryder par erreur.</x:v>
      </x:c>
      <x:c r="O25" s="9" t="str"/>
      <x:c r="P25" s="9" t="str">
        <x:v>Backlash</x:v>
      </x:c>
      <x:c r="Q25" s="9" t="str">
        <x:v>MEA-SRC-SKILLS</x:v>
      </x:c>
      <x:c r="R25" s="9" t="str">
        <x:v>https://masseffect.fandom.com/wiki/Skills</x:v>
      </x:c>
      <x:c r="S25" s="9" t="str">
        <x:v>Spécification à réaliser. Les champs adaptation, gameplay, visual, animation, audio et implementation décrivent le fan game ; ils ne donnent pas des caractéristiques officielles de l’œuvre.</x:v>
      </x:c>
    </x:row>
    <x:row r="26" ht="68" customHeight="1">
      <x:c r="A26" s="19" t="str">
        <x:v>MEA-POW-SINGULARITY</x:v>
      </x:c>
      <x:c r="B26" s="7" t="str">
        <x:v>Singularity</x:v>
      </x:c>
      <x:c r="C26" s="15" t="str">
        <x:v>Défini</x:v>
      </x:c>
      <x:c r="D26" s="17" t="str">
        <x:v>Établi</x:v>
      </x:c>
      <x:c r="E26" s="17" t="str">
        <x:v>P1</x:v>
      </x:c>
      <x:c r="F26" s="7" t="str">
        <x:v>Compétence de MEA — Biotique.</x:v>
      </x:c>
      <x:c r="G26" s="7" t="str">
        <x:v>Zone de suspension à centre fixe ; bornes du contrôle et des protections résistantes visibles.</x:v>
      </x:c>
      <x:c r="H26" s="7" t="str">
        <x:v>Zone de suspension à centre fixe ; bornes du contrôle et des protections résistantes visibles.</x:v>
      </x:c>
      <x:c r="I26" s="7" t="str">
        <x:v>Noyau sombre et anneaux.</x:v>
      </x:c>
      <x:c r="J26" s="7" t="str">
        <x:v>Aucune animation d’activation pour les passifs ; pour une action, pose anticipée, effet à événement unique et reprise compatible avec saut/sol.</x:v>
      </x:c>
      <x:c r="K26" s="7" t="str">
        <x:v>Signature originale par famille ; signal de disponibilité distinct du signal d’impact, équivalents visuels pour les informations utiles.</x:v>
      </x:c>
      <x:c r="L26" s="7" t="str">
        <x:v>Prévu : fiche de données mea/powers/singularity ; rattacher les ressources et états cités à cet identifiant. Aucun fichier de jeu créé par ce catalogue.</x:v>
      </x:c>
      <x:c r="M26" s="7" t="str">
        <x:v>Biotique</x:v>
      </x:c>
      <x:c r="N26" s="7" t="str">
        <x:v>Singularity : contrôler cible, protections, portée, coût, interruption et fin d’effet ; un passif n’apparaît jamais comme action sélectionnable et un pouvoir d’allié n’entre pas dans le build de Ryder par erreur.</x:v>
      </x:c>
      <x:c r="O26" s="7" t="str"/>
      <x:c r="P26" s="7" t="str">
        <x:v>Singularity</x:v>
      </x:c>
      <x:c r="Q26" s="7" t="str">
        <x:v>MEA-SRC-SKILLS</x:v>
      </x:c>
      <x:c r="R26" s="7" t="str">
        <x:v>https://masseffect.fandom.com/wiki/Skills</x:v>
      </x:c>
      <x:c r="S26" s="7" t="str">
        <x:v>Spécification à réaliser. Les champs adaptation, gameplay, visual, animation, audio et implementation décrivent le fan game ; ils ne donnent pas des caractéristiques officielles de l’œuvre.</x:v>
      </x:c>
    </x:row>
    <x:row r="27" ht="68" customHeight="1">
      <x:c r="A27" s="18" t="str">
        <x:v>MEA-POW-LANCE</x:v>
      </x:c>
      <x:c r="B27" s="9" t="str">
        <x:v>Lance</x:v>
      </x:c>
      <x:c r="C27" s="15" t="str">
        <x:v>Défini</x:v>
      </x:c>
      <x:c r="D27" s="16" t="str">
        <x:v>Établi</x:v>
      </x:c>
      <x:c r="E27" s="16" t="str">
        <x:v>P1</x:v>
      </x:c>
      <x:c r="F27" s="9" t="str">
        <x:v>Compétence de MEA — Biotique.</x:v>
      </x:c>
      <x:c r="G27" s="9" t="str">
        <x:v>Projectile rapide de détonation proposée ; choisir cible amorcée et coût avant résolution.</x:v>
      </x:c>
      <x:c r="H27" s="9" t="str">
        <x:v>Projectile rapide de détonation proposée ; choisir cible amorcée et coût avant résolution.</x:v>
      </x:c>
      <x:c r="I27" s="9" t="str">
        <x:v>Trait violet fin.</x:v>
      </x:c>
      <x:c r="J27" s="9" t="str">
        <x:v>Aucune animation d’activation pour les passifs ; pour une action, pose anticipée, effet à événement unique et reprise compatible avec saut/sol.</x:v>
      </x:c>
      <x:c r="K27" s="9" t="str">
        <x:v>Signature originale par famille ; signal de disponibilité distinct du signal d’impact, équivalents visuels pour les informations utiles.</x:v>
      </x:c>
      <x:c r="L27" s="9" t="str">
        <x:v>Prévu : fiche de données mea/powers/lance ; rattacher les ressources et états cités à cet identifiant. Aucun fichier de jeu créé par ce catalogue.</x:v>
      </x:c>
      <x:c r="M27" s="9" t="str">
        <x:v>Biotique</x:v>
      </x:c>
      <x:c r="N27" s="9" t="str">
        <x:v>Lance : contrôler cible, protections, portée, coût, interruption et fin d’effet ; un passif n’apparaît jamais comme action sélectionnable et un pouvoir d’allié n’entre pas dans le build de Ryder par erreur.</x:v>
      </x:c>
      <x:c r="O27" s="9" t="str"/>
      <x:c r="P27" s="9" t="str">
        <x:v>Lance</x:v>
      </x:c>
      <x:c r="Q27" s="9" t="str">
        <x:v>MEA-SRC-SKILLS</x:v>
      </x:c>
      <x:c r="R27" s="9" t="str">
        <x:v>https://masseffect.fandom.com/wiki/Skills</x:v>
      </x:c>
      <x:c r="S27" s="9" t="str">
        <x:v>Spécification à réaliser. Les champs adaptation, gameplay, visual, animation, audio et implementation décrivent le fan game ; ils ne donnent pas des caractéristiques officielles de l’œuvre.</x:v>
      </x:c>
    </x:row>
    <x:row r="28" ht="68" customHeight="1">
      <x:c r="A28" s="19" t="str">
        <x:v>MEA-POW-BARRIER</x:v>
      </x:c>
      <x:c r="B28" s="7" t="str">
        <x:v>Barrier</x:v>
      </x:c>
      <x:c r="C28" s="15" t="str">
        <x:v>Défini</x:v>
      </x:c>
      <x:c r="D28" s="17" t="str">
        <x:v>Établi</x:v>
      </x:c>
      <x:c r="E28" s="17" t="str">
        <x:v>P1</x:v>
      </x:c>
      <x:c r="F28" s="7" t="str">
        <x:v>Compétence de MEA — Passif biotique.</x:v>
      </x:c>
      <x:c r="G28" s="7" t="str">
        <x:v>Améliorations de protection dans l’arbre ; ne pas créer un bouton actif nommé Barrier importé de ME3.</x:v>
      </x:c>
      <x:c r="H28" s="7" t="str">
        <x:v>Améliorations de protection dans l’arbre ; ne pas créer un bouton actif nommé Barrier importé de ME3.</x:v>
      </x:c>
      <x:c r="I28" s="7" t="str">
        <x:v>Contour de bouclier biotique.</x:v>
      </x:c>
      <x:c r="J28" s="7" t="str">
        <x:v>Aucune animation d’activation pour les passifs ; pour une action, pose anticipée, effet à événement unique et reprise compatible avec saut/sol.</x:v>
      </x:c>
      <x:c r="K28" s="7" t="str">
        <x:v>Signature originale par famille ; signal de disponibilité distinct du signal d’impact, équivalents visuels pour les informations utiles.</x:v>
      </x:c>
      <x:c r="L28" s="7" t="str">
        <x:v>Prévu : fiche de données mea/powers/barrier ; rattacher les ressources et états cités à cet identifiant. Aucun fichier de jeu créé par ce catalogue.</x:v>
      </x:c>
      <x:c r="M28" s="7" t="str">
        <x:v>Passif biotique</x:v>
      </x:c>
      <x:c r="N28" s="7" t="str">
        <x:v>Barrier : contrôler cible, protections, portée, coût, interruption et fin d’effet ; un passif n’apparaît jamais comme action sélectionnable et un pouvoir d’allié n’entre pas dans le build de Ryder par erreur.</x:v>
      </x:c>
      <x:c r="O28" s="7" t="str"/>
      <x:c r="P28" s="7" t="str">
        <x:v>Barrier</x:v>
      </x:c>
      <x:c r="Q28" s="7" t="str">
        <x:v>MEA-SRC-SKILLS</x:v>
      </x:c>
      <x:c r="R28" s="7" t="str">
        <x:v>https://masseffect.fandom.com/wiki/Skills</x:v>
      </x:c>
      <x:c r="S28" s="7" t="str">
        <x:v>Spécification à réaliser. Les champs adaptation, gameplay, visual, animation, audio et implementation décrivent le fan game ; ils ne donnent pas des caractéristiques officielles de l’œuvre.</x:v>
      </x:c>
    </x:row>
    <x:row r="29" ht="68" customHeight="1">
      <x:c r="A29" s="18" t="str">
        <x:v>MEA-POW-CONTAINMENT</x:v>
      </x:c>
      <x:c r="B29" s="9" t="str">
        <x:v>Containment</x:v>
      </x:c>
      <x:c r="C29" s="15" t="str">
        <x:v>Défini</x:v>
      </x:c>
      <x:c r="D29" s="16" t="str">
        <x:v>Établi</x:v>
      </x:c>
      <x:c r="E29" s="16" t="str">
        <x:v>P1</x:v>
      </x:c>
      <x:c r="F29" s="9" t="str">
        <x:v>Compétence de MEA — Passif biotique.</x:v>
      </x:c>
      <x:c r="G29" s="9" t="str">
        <x:v>Durée/contrôle proposés sur effets compatibles ; aperçu de durée recalculé selon rang.</x:v>
      </x:c>
      <x:c r="H29" s="9" t="str">
        <x:v>Durée/contrôle proposés sur effets compatibles ; aperçu de durée recalculé selon rang.</x:v>
      </x:c>
      <x:c r="I29" s="9" t="str">
        <x:v>Icône de confinement.</x:v>
      </x:c>
      <x:c r="J29" s="9" t="str">
        <x:v>Aucune animation d’activation pour les passifs ; pour une action, pose anticipée, effet à événement unique et reprise compatible avec saut/sol.</x:v>
      </x:c>
      <x:c r="K29" s="9" t="str">
        <x:v>Signature originale par famille ; signal de disponibilité distinct du signal d’impact, équivalents visuels pour les informations utiles.</x:v>
      </x:c>
      <x:c r="L29" s="9" t="str">
        <x:v>Prévu : fiche de données mea/powers/containment ; rattacher les ressources et états cités à cet identifiant. Aucun fichier de jeu créé par ce catalogue.</x:v>
      </x:c>
      <x:c r="M29" s="9" t="str">
        <x:v>Passif biotique</x:v>
      </x:c>
      <x:c r="N29" s="9" t="str">
        <x:v>Containment : contrôler cible, protections, portée, coût, interruption et fin d’effet ; un passif n’apparaît jamais comme action sélectionnable et un pouvoir d’allié n’entre pas dans le build de Ryder par erreur.</x:v>
      </x:c>
      <x:c r="O29" s="9" t="str"/>
      <x:c r="P29" s="9" t="str">
        <x:v>Containment</x:v>
      </x:c>
      <x:c r="Q29" s="9" t="str">
        <x:v>MEA-SRC-SKILLS</x:v>
      </x:c>
      <x:c r="R29" s="9" t="str">
        <x:v>https://masseffect.fandom.com/wiki/Skills</x:v>
      </x:c>
      <x:c r="S29" s="9" t="str">
        <x:v>Spécification à réaliser. Les champs adaptation, gameplay, visual, animation, audio et implementation décrivent le fan game ; ils ne donnent pas des caractéristiques officielles de l’œuvre.</x:v>
      </x:c>
    </x:row>
    <x:row r="30" ht="68" customHeight="1">
      <x:c r="A30" s="19" t="str">
        <x:v>MEA-POW-OFFENSIVE-BIOTICS</x:v>
      </x:c>
      <x:c r="B30" s="7" t="str">
        <x:v>Offensive Biotics</x:v>
      </x:c>
      <x:c r="C30" s="15" t="str">
        <x:v>Défini</x:v>
      </x:c>
      <x:c r="D30" s="17" t="str">
        <x:v>Établi</x:v>
      </x:c>
      <x:c r="E30" s="17" t="str">
        <x:v>P1</x:v>
      </x:c>
      <x:c r="F30" s="7" t="str">
        <x:v>Compétence de MEA — Passif biotique.</x:v>
      </x:c>
      <x:c r="G30" s="7" t="str">
        <x:v>Effets offensifs proposés séparés des dégâts d’arme ; pas de double multiplication aux combos.</x:v>
      </x:c>
      <x:c r="H30" s="7" t="str">
        <x:v>Effets offensifs proposés séparés des dégâts d’arme ; pas de double multiplication aux combos.</x:v>
      </x:c>
      <x:c r="I30" s="7" t="str">
        <x:v>Emblème biotique et récapitulatif.</x:v>
      </x:c>
      <x:c r="J30" s="7" t="str">
        <x:v>Aucune animation d’activation pour les passifs ; pour une action, pose anticipée, effet à événement unique et reprise compatible avec saut/sol.</x:v>
      </x:c>
      <x:c r="K30" s="7" t="str">
        <x:v>Signature originale par famille ; signal de disponibilité distinct du signal d’impact, équivalents visuels pour les informations utiles.</x:v>
      </x:c>
      <x:c r="L30" s="7" t="str">
        <x:v>Prévu : fiche de données mea/powers/offensive-biotics ; rattacher les ressources et états cités à cet identifiant. Aucun fichier de jeu créé par ce catalogue.</x:v>
      </x:c>
      <x:c r="M30" s="7" t="str">
        <x:v>Passif biotique</x:v>
      </x:c>
      <x:c r="N30" s="7" t="str">
        <x:v>Offensive Biotics : contrôler cible, protections, portée, coût, interruption et fin d’effet ; un passif n’apparaît jamais comme action sélectionnable et un pouvoir d’allié n’entre pas dans le build de Ryder par erreur.</x:v>
      </x:c>
      <x:c r="O30" s="7" t="str"/>
      <x:c r="P30" s="7" t="str">
        <x:v>Offensive Biotics</x:v>
      </x:c>
      <x:c r="Q30" s="7" t="str">
        <x:v>MEA-SRC-SKILLS</x:v>
      </x:c>
      <x:c r="R30" s="7" t="str">
        <x:v>https://masseffect.fandom.com/wiki/Skills</x:v>
      </x:c>
      <x:c r="S30" s="7" t="str">
        <x:v>Spécification à réaliser. Les champs adaptation, gameplay, visual, animation, audio et implementation décrivent le fan game ; ils ne donnent pas des caractéristiques officielles de l’œuvre.</x:v>
      </x:c>
    </x:row>
    <x:row r="31" ht="96" customHeight="1">
      <x:c r="A31" s="18" t="str">
        <x:v>MEA-POW-OVERLOAD</x:v>
      </x:c>
      <x:c r="B31" s="9" t="str">
        <x:v>Overload</x:v>
      </x:c>
      <x:c r="C31" s="15" t="str">
        <x:v>Prototype</x:v>
      </x:c>
      <x:c r="D31" s="16" t="str">
        <x:v>Établi</x:v>
      </x:c>
      <x:c r="E31" s="16" t="str">
        <x:v>P1</x:v>
      </x:c>
      <x:c r="F31" s="9" t="str">
        <x:v>Compétence de MEA — Tech.</x:v>
      </x:c>
      <x:c r="G31" s="9" t="str">
        <x:v>Impulsion électrique ou chaîne proposée ; ordre des cibles secondaires affiché, barrière et bouclier non confondus.</x:v>
      </x:c>
      <x:c r="H31" s="9" t="str">
        <x:v>Impulsion électrique ou chaîne proposée ; ordre des cibles secondaires affiché, barrière et bouclier non confondus.</x:v>
      </x:c>
      <x:c r="I31" s="9" t="str">
        <x:v>Arc bleu-orange.</x:v>
      </x:c>
      <x:c r="J31" s="9" t="str">
        <x:v>Aucune animation d’activation pour les passifs ; pour une action, pose anticipée, effet à événement unique et reprise compatible avec saut/sol.</x:v>
      </x:c>
      <x:c r="K31" s="9" t="str">
        <x:v>Signature originale par famille ; signal de disponibilité distinct du signal d’impact, équivalents visuels pour les informations utiles.</x:v>
      </x:c>
      <x:c r="L31" s="9" t="str">
        <x:v>Prototype partiel : liaison MEA-POW-OVERLOAD dans src/universe-powers.js, exposition par src/universe-actors.js, action native dans src/combat.js. Les acteurs, scènes et préparations autorisés sont explicitement listés par getUniversePowerUsage().</x:v>
      </x:c>
      <x:c r="M31" s="9" t="str">
        <x:v>Tech</x:v>
      </x:c>
      <x:c r="N31" s="9" t="str">
        <x:v>Overload : contrôler cible, protections, portée, coût, interruption et fin d’effet ; un passif n’apparaît jamais comme action sélectionnable et un pouvoir d’allié n’entre pas dans le build de Ryder par erreur.</x:v>
      </x:c>
      <x:c r="O31" s="9" t="str"/>
      <x:c r="P31" s="9" t="str">
        <x:v>Overload</x:v>
      </x:c>
      <x:c r="Q31" s="9" t="str">
        <x:v>MEA-SRC-SKILLS</x:v>
      </x:c>
      <x:c r="R31" s="9" t="str">
        <x:v>https://masseffect.fandom.com/wiki/Skills</x:v>
      </x:c>
      <x:c r="S31" s="9"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32" ht="96" customHeight="1">
      <x:c r="A32" s="19" t="str">
        <x:v>MEA-POW-INCINERATE</x:v>
      </x:c>
      <x:c r="B32" s="7" t="str">
        <x:v>Incinerate</x:v>
      </x:c>
      <x:c r="C32" s="15" t="str">
        <x:v>Prototype</x:v>
      </x:c>
      <x:c r="D32" s="17" t="str">
        <x:v>Établi</x:v>
      </x:c>
      <x:c r="E32" s="17" t="str">
        <x:v>P1</x:v>
      </x:c>
      <x:c r="F32" s="7" t="str">
        <x:v>Compétence de MEA — Tech.</x:v>
      </x:c>
      <x:c r="G32" s="7" t="str">
        <x:v>Projectile incendiaire et état de combustion ; cibles immunes gardent leurs protections lisibles.</x:v>
      </x:c>
      <x:c r="H32" s="7" t="str">
        <x:v>Projectile incendiaire et état de combustion ; cibles immunes gardent leurs protections lisibles.</x:v>
      </x:c>
      <x:c r="I32" s="7" t="str">
        <x:v>Projectile orange et flamme résiduelle.</x:v>
      </x:c>
      <x:c r="J32" s="7" t="str">
        <x:v>Aucune animation d’activation pour les passifs ; pour une action, pose anticipée, effet à événement unique et reprise compatible avec saut/sol.</x:v>
      </x:c>
      <x:c r="K32" s="7" t="str">
        <x:v>Signature originale par famille ; signal de disponibilité distinct du signal d’impact, équivalents visuels pour les informations utiles.</x:v>
      </x:c>
      <x:c r="L32" s="7" t="str">
        <x:v>Prototype partiel : liaison MEA-POW-INCINERATE dans src/universe-powers.js, exposition par src/universe-actors.js, action native dans src/combat.js. Les acteurs, scènes et préparations autorisés sont explicitement listés par getUniversePowerUsage().</x:v>
      </x:c>
      <x:c r="M32" s="7" t="str">
        <x:v>Tech</x:v>
      </x:c>
      <x:c r="N32" s="7" t="str">
        <x:v>Incinerate : contrôler cible, protections, portée, coût, interruption et fin d’effet ; un passif n’apparaît jamais comme action sélectionnable et un pouvoir d’allié n’entre pas dans le build de Ryder par erreur.</x:v>
      </x:c>
      <x:c r="O32" s="7" t="str"/>
      <x:c r="P32" s="7" t="str">
        <x:v>Incinerate</x:v>
      </x:c>
      <x:c r="Q32" s="7" t="str">
        <x:v>MEA-SRC-SKILLS</x:v>
      </x:c>
      <x:c r="R32" s="7" t="str">
        <x:v>https://masseffect.fandom.com/wiki/Skills</x:v>
      </x:c>
      <x:c r="S32" s="7"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33" ht="68" customHeight="1">
      <x:c r="A33" s="18" t="str">
        <x:v>MEA-POW-ASSAULT-TURRET</x:v>
      </x:c>
      <x:c r="B33" s="9" t="str">
        <x:v>Assault Turret</x:v>
      </x:c>
      <x:c r="C33" s="15" t="str">
        <x:v>Défini</x:v>
      </x:c>
      <x:c r="D33" s="16" t="str">
        <x:v>Établi</x:v>
      </x:c>
      <x:c r="E33" s="16" t="str">
        <x:v>P1</x:v>
      </x:c>
      <x:c r="F33" s="9" t="str">
        <x:v>Compétence de MEA — Tech.</x:v>
      </x:c>
      <x:c r="G33" s="9" t="str">
        <x:v>Construction sur sol admis, ligne de tir et durée ; une nouvelle pose respecte limite active annoncée.</x:v>
      </x:c>
      <x:c r="H33" s="9" t="str">
        <x:v>Construction sur sol admis, ligne de tir et durée ; une nouvelle pose respecte limite active annoncée.</x:v>
      </x:c>
      <x:c r="I33" s="9" t="str">
        <x:v>Tourelle compacte et cône.</x:v>
      </x:c>
      <x:c r="J33" s="9" t="str">
        <x:v>Aucune animation d’activation pour les passifs ; pour une action, pose anticipée, effet à événement unique et reprise compatible avec saut/sol.</x:v>
      </x:c>
      <x:c r="K33" s="9" t="str">
        <x:v>Signature originale par famille ; signal de disponibilité distinct du signal d’impact, équivalents visuels pour les informations utiles.</x:v>
      </x:c>
      <x:c r="L33" s="9" t="str">
        <x:v>Prévu : fiche de données mea/powers/assault-turret ; rattacher les ressources et états cités à cet identifiant. Aucun fichier de jeu créé par ce catalogue.</x:v>
      </x:c>
      <x:c r="M33" s="9" t="str">
        <x:v>Tech</x:v>
      </x:c>
      <x:c r="N33" s="9" t="str">
        <x:v>Assault Turret : contrôler cible, protections, portée, coût, interruption et fin d’effet ; un passif n’apparaît jamais comme action sélectionnable et un pouvoir d’allié n’entre pas dans le build de Ryder par erreur.</x:v>
      </x:c>
      <x:c r="O33" s="9" t="str"/>
      <x:c r="P33" s="9" t="str">
        <x:v>Assault Turret</x:v>
      </x:c>
      <x:c r="Q33" s="9" t="str">
        <x:v>MEA-SRC-TURRET</x:v>
      </x:c>
      <x:c r="R33" s="9" t="str">
        <x:v>https://masseffect.fandom.com/wiki/Assault_Turret_%28skill%29</x:v>
      </x:c>
      <x:c r="S33" s="9" t="str">
        <x:v>Spécification à réaliser. Les champs adaptation, gameplay, visual, animation, audio et implementation décrivent le fan game ; ils ne donnent pas des caractéristiques officielles de l’œuvre.</x:v>
      </x:c>
    </x:row>
    <x:row r="34" ht="68" customHeight="1">
      <x:c r="A34" s="19" t="str">
        <x:v>MEA-POW-CRYO-BEAM</x:v>
      </x:c>
      <x:c r="B34" s="7" t="str">
        <x:v>Cryo Beam</x:v>
      </x:c>
      <x:c r="C34" s="15" t="str">
        <x:v>Défini</x:v>
      </x:c>
      <x:c r="D34" s="17" t="str">
        <x:v>Établi</x:v>
      </x:c>
      <x:c r="E34" s="17" t="str">
        <x:v>P1</x:v>
      </x:c>
      <x:c r="F34" s="7" t="str">
        <x:v>Compétence de MEA — Tech.</x:v>
      </x:c>
      <x:c r="G34" s="7" t="str">
        <x:v>Canal de refroidissement progressif ; interrompre stoppe rayon et consommation au même événement.</x:v>
      </x:c>
      <x:c r="H34" s="7" t="str">
        <x:v>Canal de refroidissement progressif ; interrompre stoppe rayon et consommation au même événement.</x:v>
      </x:c>
      <x:c r="I34" s="7" t="str">
        <x:v>Rayon blanc et givre.</x:v>
      </x:c>
      <x:c r="J34" s="7" t="str">
        <x:v>Aucune animation d’activation pour les passifs ; pour une action, pose anticipée, effet à événement unique et reprise compatible avec saut/sol.</x:v>
      </x:c>
      <x:c r="K34" s="7" t="str">
        <x:v>Signature originale par famille ; signal de disponibilité distinct du signal d’impact, équivalents visuels pour les informations utiles.</x:v>
      </x:c>
      <x:c r="L34" s="7" t="str">
        <x:v>Prévu : fiche de données mea/powers/cryo-beam ; rattacher les ressources et états cités à cet identifiant. Aucun fichier de jeu créé par ce catalogue.</x:v>
      </x:c>
      <x:c r="M34" s="7" t="str">
        <x:v>Tech</x:v>
      </x:c>
      <x:c r="N34" s="7" t="str">
        <x:v>Cryo Beam : contrôler cible, protections, portée, coût, interruption et fin d’effet ; un passif n’apparaît jamais comme action sélectionnable et un pouvoir d’allié n’entre pas dans le build de Ryder par erreur.</x:v>
      </x:c>
      <x:c r="O34" s="7" t="str"/>
      <x:c r="P34" s="7" t="str">
        <x:v>Cryo Beam</x:v>
      </x:c>
      <x:c r="Q34" s="7" t="str">
        <x:v>MEA-SRC-SKILLS</x:v>
      </x:c>
      <x:c r="R34" s="7" t="str">
        <x:v>https://masseffect.fandom.com/wiki/Skills</x:v>
      </x:c>
      <x:c r="S34" s="7" t="str">
        <x:v>Spécification à réaliser. Les champs adaptation, gameplay, visual, animation, audio et implementation décrivent le fan game ; ils ne donnent pas des caractéristiques officielles de l’œuvre.</x:v>
      </x:c>
    </x:row>
    <x:row r="35" ht="96" customHeight="1">
      <x:c r="A35" s="18" t="str">
        <x:v>MEA-POW-ENERGY-DRAIN</x:v>
      </x:c>
      <x:c r="B35" s="9" t="str">
        <x:v>Energy Drain</x:v>
      </x:c>
      <x:c r="C35" s="15" t="str">
        <x:v>Prototype</x:v>
      </x:c>
      <x:c r="D35" s="16" t="str">
        <x:v>Établi</x:v>
      </x:c>
      <x:c r="E35" s="16" t="str">
        <x:v>P1</x:v>
      </x:c>
      <x:c r="F35" s="9" t="str">
        <x:v>Compétence de MEA — Tech.</x:v>
      </x:c>
      <x:c r="G35" s="9" t="str">
        <x:v>Drain sur cible compatible et gain de protection proposé ; pas de soin arbitraire sur créature sans énergie admissible.</x:v>
      </x:c>
      <x:c r="H35" s="9" t="str">
        <x:v>Drain sur cible compatible et gain de protection proposé ; pas de soin arbitraire sur créature sans énergie admissible.</x:v>
      </x:c>
      <x:c r="I35" s="9" t="str">
        <x:v>Lien électrique vers Ryder.</x:v>
      </x:c>
      <x:c r="J35" s="9" t="str">
        <x:v>Aucune animation d’activation pour les passifs ; pour une action, pose anticipée, effet à événement unique et reprise compatible avec saut/sol.</x:v>
      </x:c>
      <x:c r="K35" s="9" t="str">
        <x:v>Signature originale par famille ; signal de disponibilité distinct du signal d’impact, équivalents visuels pour les informations utiles.</x:v>
      </x:c>
      <x:c r="L35" s="9" t="str">
        <x:v>Prototype partiel : liaison MEA-POW-ENERGY-DRAIN dans src/universe-powers.js, exposition par src/universe-actors.js, action native dans src/combat.js. Les acteurs, scènes et préparations autorisés sont explicitement listés par getUniversePowerUsage().</x:v>
      </x:c>
      <x:c r="M35" s="9" t="str">
        <x:v>Tech</x:v>
      </x:c>
      <x:c r="N35" s="9" t="str">
        <x:v>Energy Drain : contrôler cible, protections, portée, coût, interruption et fin d’effet ; un passif n’apparaît jamais comme action sélectionnable et un pouvoir d’allié n’entre pas dans le build de Ryder par erreur.</x:v>
      </x:c>
      <x:c r="O35" s="9" t="str"/>
      <x:c r="P35" s="9" t="str">
        <x:v>Energy Drain</x:v>
      </x:c>
      <x:c r="Q35" s="9" t="str">
        <x:v>MEA-SRC-SKILLS</x:v>
      </x:c>
      <x:c r="R35" s="9" t="str">
        <x:v>https://masseffect.fandom.com/wiki/Skills</x:v>
      </x:c>
      <x:c r="S35" s="9" t="str">
        <x:v>Spécification à réaliser. Les champs adaptation, gameplay, visual, animation, audio et implementation décrivent le fan game ; ils ne donnent pas des caractéristiques officielles de l’œuvre. Prototype d’action ATB : effets, coûts et durées adaptés ; arbre complet, rangs, acquisition et variantes d’édition non reproduits. Les attributions aux compagnons restent fondées sur des sources secondaires ; les classes ME2 sont recoupées avec le manuel officiel pp22–24.</x:v>
      </x:c>
    </x:row>
    <x:row r="36" ht="68" customHeight="1">
      <x:c r="A36" s="19" t="str">
        <x:v>MEA-POW-TACTICAL-CLOAK</x:v>
      </x:c>
      <x:c r="B36" s="7" t="str">
        <x:v>Tactical Cloak</x:v>
      </x:c>
      <x:c r="C36" s="15" t="str">
        <x:v>Défini</x:v>
      </x:c>
      <x:c r="D36" s="17" t="str">
        <x:v>Établi</x:v>
      </x:c>
      <x:c r="E36" s="17" t="str">
        <x:v>P1</x:v>
      </x:c>
      <x:c r="F36" s="7" t="str">
        <x:v>Compétence de MEA — Tech.</x:v>
      </x:c>
      <x:c r="G36" s="7" t="str">
        <x:v>Camouflage réduit sélection puis se rompt sur action offensive ; attaque déjà résolue ne disparaît pas rétroactivement.</x:v>
      </x:c>
      <x:c r="H36" s="7" t="str">
        <x:v>Camouflage réduit sélection puis se rompt sur action offensive ; attaque déjà résolue ne disparaît pas rétroactivement.</x:v>
      </x:c>
      <x:c r="I36" s="7" t="str">
        <x:v>Réfraction et contour accessible.</x:v>
      </x:c>
      <x:c r="J36" s="7" t="str">
        <x:v>Aucune animation d’activation pour les passifs ; pour une action, pose anticipée, effet à événement unique et reprise compatible avec saut/sol.</x:v>
      </x:c>
      <x:c r="K36" s="7" t="str">
        <x:v>Signature originale par famille ; signal de disponibilité distinct du signal d’impact, équivalents visuels pour les informations utiles.</x:v>
      </x:c>
      <x:c r="L36" s="7" t="str">
        <x:v>Prévu : fiche de données mea/powers/tactical-cloak ; rattacher les ressources et états cités à cet identifiant. Aucun fichier de jeu créé par ce catalogue.</x:v>
      </x:c>
      <x:c r="M36" s="7" t="str">
        <x:v>Tech</x:v>
      </x:c>
      <x:c r="N36" s="7" t="str">
        <x:v>Tactical Cloak : contrôler cible, protections, portée, coût, interruption et fin d’effet ; un passif n’apparaît jamais comme action sélectionnable et un pouvoir d’allié n’entre pas dans le build de Ryder par erreur.</x:v>
      </x:c>
      <x:c r="O36" s="7" t="str"/>
      <x:c r="P36" s="7" t="str">
        <x:v>Tactical Cloak</x:v>
      </x:c>
      <x:c r="Q36" s="7" t="str">
        <x:v>MEA-SRC-SKILLS</x:v>
      </x:c>
      <x:c r="R36" s="7" t="str">
        <x:v>https://masseffect.fandom.com/wiki/Skills</x:v>
      </x:c>
      <x:c r="S36" s="7" t="str">
        <x:v>Spécification à réaliser. Les champs adaptation, gameplay, visual, animation, audio et implementation décrivent le fan game ; ils ne donnent pas des caractéristiques officielles de l’œuvre.</x:v>
      </x:c>
    </x:row>
    <x:row r="37" ht="68" customHeight="1">
      <x:c r="A37" s="18" t="str">
        <x:v>MEA-POW-FLAMETHROWER</x:v>
      </x:c>
      <x:c r="B37" s="9" t="str">
        <x:v>Flamethrower</x:v>
      </x:c>
      <x:c r="C37" s="15" t="str">
        <x:v>Défini</x:v>
      </x:c>
      <x:c r="D37" s="16" t="str">
        <x:v>Établi</x:v>
      </x:c>
      <x:c r="E37" s="16" t="str">
        <x:v>P1</x:v>
      </x:c>
      <x:c r="F37" s="9" t="str">
        <x:v>Compétence de MEA — Tech.</x:v>
      </x:c>
      <x:c r="G37" s="9" t="str">
        <x:v>Cône continu de feu ; rotation limitée pendant canalisation et durée visible.</x:v>
      </x:c>
      <x:c r="H37" s="9" t="str">
        <x:v>Cône continu de feu ; rotation limitée pendant canalisation et durée visible.</x:v>
      </x:c>
      <x:c r="I37" s="9" t="str">
        <x:v>Jet orange court.</x:v>
      </x:c>
      <x:c r="J37" s="9" t="str">
        <x:v>Aucune animation d’activation pour les passifs ; pour une action, pose anticipée, effet à événement unique et reprise compatible avec saut/sol.</x:v>
      </x:c>
      <x:c r="K37" s="9" t="str">
        <x:v>Signature originale par famille ; signal de disponibilité distinct du signal d’impact, équivalents visuels pour les informations utiles.</x:v>
      </x:c>
      <x:c r="L37" s="9" t="str">
        <x:v>Prévu : fiche de données mea/powers/flamethrower ; rattacher les ressources et états cités à cet identifiant. Aucun fichier de jeu créé par ce catalogue.</x:v>
      </x:c>
      <x:c r="M37" s="9" t="str">
        <x:v>Tech</x:v>
      </x:c>
      <x:c r="N37" s="9" t="str">
        <x:v>Flamethrower : contrôler cible, protections, portée, coût, interruption et fin d’effet ; un passif n’apparaît jamais comme action sélectionnable et un pouvoir d’allié n’entre pas dans le build de Ryder par erreur.</x:v>
      </x:c>
      <x:c r="O37" s="9" t="str"/>
      <x:c r="P37" s="9" t="str">
        <x:v>Flamethrower</x:v>
      </x:c>
      <x:c r="Q37" s="9" t="str">
        <x:v>MEA-SRC-SKILLS</x:v>
      </x:c>
      <x:c r="R37" s="9" t="str">
        <x:v>https://masseffect.fandom.com/wiki/Skills</x:v>
      </x:c>
      <x:c r="S37" s="9" t="str">
        <x:v>Spécification à réaliser. Les champs adaptation, gameplay, visual, animation, audio et implementation décrivent le fan game ; ils ne donnent pas des caractéristiques officielles de l’œuvre.</x:v>
      </x:c>
    </x:row>
    <x:row r="38" ht="68" customHeight="1">
      <x:c r="A38" s="19" t="str">
        <x:v>MEA-POW-INVASION</x:v>
      </x:c>
      <x:c r="B38" s="7" t="str">
        <x:v>Invasion</x:v>
      </x:c>
      <x:c r="C38" s="15" t="str">
        <x:v>Défini</x:v>
      </x:c>
      <x:c r="D38" s="17" t="str">
        <x:v>Établi</x:v>
      </x:c>
      <x:c r="E38" s="17" t="str">
        <x:v>P1</x:v>
      </x:c>
      <x:c r="F38" s="7" t="str">
        <x:v>Compétence de MEA — Tech.</x:v>
      </x:c>
      <x:c r="G38" s="7" t="str">
        <x:v>Dégradation technique transmissible selon règle proposée ; chaînes limitées et origine de statut visible.</x:v>
      </x:c>
      <x:c r="H38" s="7" t="str">
        <x:v>Dégradation technique transmissible selon règle proposée ; chaînes limitées et origine de statut visible.</x:v>
      </x:c>
      <x:c r="I38" s="7" t="str">
        <x:v>Nuage de particules et liens orange.</x:v>
      </x:c>
      <x:c r="J38" s="7" t="str">
        <x:v>Aucune animation d’activation pour les passifs ; pour une action, pose anticipée, effet à événement unique et reprise compatible avec saut/sol.</x:v>
      </x:c>
      <x:c r="K38" s="7" t="str">
        <x:v>Signature originale par famille ; signal de disponibilité distinct du signal d’impact, équivalents visuels pour les informations utiles.</x:v>
      </x:c>
      <x:c r="L38" s="7" t="str">
        <x:v>Prévu : fiche de données mea/powers/invasion ; rattacher les ressources et états cités à cet identifiant. Aucun fichier de jeu créé par ce catalogue.</x:v>
      </x:c>
      <x:c r="M38" s="7" t="str">
        <x:v>Tech</x:v>
      </x:c>
      <x:c r="N38" s="7" t="str">
        <x:v>Invasion : contrôler cible, protections, portée, coût, interruption et fin d’effet ; un passif n’apparaît jamais comme action sélectionnable et un pouvoir d’allié n’entre pas dans le build de Ryder par erreur.</x:v>
      </x:c>
      <x:c r="O38" s="7" t="str"/>
      <x:c r="P38" s="7" t="str">
        <x:v>Invasion</x:v>
      </x:c>
      <x:c r="Q38" s="7" t="str">
        <x:v>MEA-SRC-SKILLS</x:v>
      </x:c>
      <x:c r="R38" s="7" t="str">
        <x:v>https://masseffect.fandom.com/wiki/Skills</x:v>
      </x:c>
      <x:c r="S38" s="7" t="str">
        <x:v>Spécification à réaliser. Les champs adaptation, gameplay, visual, animation, audio et implementation décrivent le fan game ; ils ne donnent pas des caractéristiques officielles de l’œuvre.</x:v>
      </x:c>
    </x:row>
    <x:row r="39" ht="68" customHeight="1">
      <x:c r="A39" s="18" t="str">
        <x:v>MEA-POW-REMNANT-VI</x:v>
      </x:c>
      <x:c r="B39" s="9" t="str">
        <x:v>Remnant VI</x:v>
      </x:c>
      <x:c r="C39" s="15" t="str">
        <x:v>Défini</x:v>
      </x:c>
      <x:c r="D39" s="16" t="str">
        <x:v>Établi</x:v>
      </x:c>
      <x:c r="E39" s="16" t="str">
        <x:v>P1</x:v>
      </x:c>
      <x:c r="F39" s="9" t="str">
        <x:v>Compétence de MEA — Tech.</x:v>
      </x:c>
      <x:c r="G39" s="9" t="str">
        <x:v>Observer allié commandable après déblocage ; unité invoquée ne remplace pas un équipier dans le roster.</x:v>
      </x:c>
      <x:c r="H39" s="9" t="str">
        <x:v>Observer allié commandable après déblocage ; unité invoquée ne remplace pas un équipier dans le roster.</x:v>
      </x:c>
      <x:c r="I39" s="9" t="str">
        <x:v>Petit Observer de faction alliée.</x:v>
      </x:c>
      <x:c r="J39" s="9" t="str">
        <x:v>Aucune animation d’activation pour les passifs ; pour une action, pose anticipée, effet à événement unique et reprise compatible avec saut/sol.</x:v>
      </x:c>
      <x:c r="K39" s="9" t="str">
        <x:v>Signature originale par famille ; signal de disponibilité distinct du signal d’impact, équivalents visuels pour les informations utiles.</x:v>
      </x:c>
      <x:c r="L39" s="9" t="str">
        <x:v>Prévu : fiche de données mea/powers/remnant-vi ; rattacher les ressources et états cités à cet identifiant. Aucun fichier de jeu créé par ce catalogue.</x:v>
      </x:c>
      <x:c r="M39" s="9" t="str">
        <x:v>Tech</x:v>
      </x:c>
      <x:c r="N39" s="9" t="str">
        <x:v>Remnant VI : contrôler cible, protections, portée, coût, interruption et fin d’effet ; un passif n’apparaît jamais comme action sélectionnable et un pouvoir d’allié n’entre pas dans le build de Ryder par erreur.</x:v>
      </x:c>
      <x:c r="O39" s="9" t="str"/>
      <x:c r="P39" s="9" t="str">
        <x:v>Remnant VI</x:v>
      </x:c>
      <x:c r="Q39" s="9" t="str">
        <x:v>MEA-SRC-SKILLS</x:v>
      </x:c>
      <x:c r="R39" s="9" t="str">
        <x:v>https://masseffect.fandom.com/wiki/Skills</x:v>
      </x:c>
      <x:c r="S39" s="9" t="str">
        <x:v>Spécification à réaliser. Les champs adaptation, gameplay, visual, animation, audio et implementation décrivent le fan game ; ils ne donnent pas des caractéristiques officielles de l’œuvre.</x:v>
      </x:c>
    </x:row>
    <x:row r="40" ht="68" customHeight="1">
      <x:c r="A40" s="19" t="str">
        <x:v>MEA-POW-AUXILIARY</x:v>
      </x:c>
      <x:c r="B40" s="7" t="str">
        <x:v>Auxiliary Systems</x:v>
      </x:c>
      <x:c r="C40" s="15" t="str">
        <x:v>Défini</x:v>
      </x:c>
      <x:c r="D40" s="17" t="str">
        <x:v>Établi</x:v>
      </x:c>
      <x:c r="E40" s="17" t="str">
        <x:v>P1</x:v>
      </x:c>
      <x:c r="F40" s="7" t="str">
        <x:v>Compétence de MEA — Passif tech.</x:v>
      </x:c>
      <x:c r="G40" s="7" t="str">
        <x:v>Soutien aux compétences tech compatibles ; pas d’application silencieuse aux armes ou pouvoirs biotiques.</x:v>
      </x:c>
      <x:c r="H40" s="7" t="str">
        <x:v>Soutien aux compétences tech compatibles ; pas d’application silencieuse aux armes ou pouvoirs biotiques.</x:v>
      </x:c>
      <x:c r="I40" s="7" t="str">
        <x:v>Circuit et symboles de systèmes.</x:v>
      </x:c>
      <x:c r="J40" s="7" t="str">
        <x:v>Aucune animation d’activation pour les passifs ; pour une action, pose anticipée, effet à événement unique et reprise compatible avec saut/sol.</x:v>
      </x:c>
      <x:c r="K40" s="7" t="str">
        <x:v>Signature originale par famille ; signal de disponibilité distinct du signal d’impact, équivalents visuels pour les informations utiles.</x:v>
      </x:c>
      <x:c r="L40" s="7" t="str">
        <x:v>Prévu : fiche de données mea/powers/auxiliary ; rattacher les ressources et états cités à cet identifiant. Aucun fichier de jeu créé par ce catalogue.</x:v>
      </x:c>
      <x:c r="M40" s="7" t="str">
        <x:v>Passif tech</x:v>
      </x:c>
      <x:c r="N40" s="7" t="str">
        <x:v>Auxiliary Systems : contrôler cible, protections, portée, coût, interruption et fin d’effet ; un passif n’apparaît jamais comme action sélectionnable et un pouvoir d’allié n’entre pas dans le build de Ryder par erreur.</x:v>
      </x:c>
      <x:c r="O40" s="7" t="str"/>
      <x:c r="P40" s="7" t="str">
        <x:v>Auxiliary Systems</x:v>
      </x:c>
      <x:c r="Q40" s="7" t="str">
        <x:v>MEA-SRC-AUX</x:v>
      </x:c>
      <x:c r="R40" s="7" t="str">
        <x:v>https://masseffect.fandom.com/wiki/Auxiliary_Systems</x:v>
      </x:c>
      <x:c r="S40" s="7" t="str">
        <x:v>Spécification à réaliser. Les champs adaptation, gameplay, visual, animation, audio et implementation décrivent le fan game ; ils ne donnent pas des caractéristiques officielles de l’œuvre.</x:v>
      </x:c>
    </x:row>
    <x:row r="41" ht="68" customHeight="1">
      <x:c r="A41" s="18" t="str">
        <x:v>MEA-POW-OFFENSIVE-TECH</x:v>
      </x:c>
      <x:c r="B41" s="9" t="str">
        <x:v>Offensive Tech</x:v>
      </x:c>
      <x:c r="C41" s="15" t="str">
        <x:v>Défini</x:v>
      </x:c>
      <x:c r="D41" s="16" t="str">
        <x:v>Établi</x:v>
      </x:c>
      <x:c r="E41" s="16" t="str">
        <x:v>P1</x:v>
      </x:c>
      <x:c r="F41" s="9" t="str">
        <x:v>Compétence de MEA — Passif tech.</x:v>
      </x:c>
      <x:c r="G41" s="9" t="str">
        <x:v>Renforcer dégâts et interactions tech proposés ; comparer effet de base et combo sans double comptage.</x:v>
      </x:c>
      <x:c r="H41" s="9" t="str">
        <x:v>Renforcer dégâts et interactions tech proposés ; comparer effet de base et combo sans double comptage.</x:v>
      </x:c>
      <x:c r="I41" s="9" t="str">
        <x:v>Circuit offensif.</x:v>
      </x:c>
      <x:c r="J41" s="9" t="str">
        <x:v>Aucune animation d’activation pour les passifs ; pour une action, pose anticipée, effet à événement unique et reprise compatible avec saut/sol.</x:v>
      </x:c>
      <x:c r="K41" s="9" t="str">
        <x:v>Signature originale par famille ; signal de disponibilité distinct du signal d’impact, équivalents visuels pour les informations utiles.</x:v>
      </x:c>
      <x:c r="L41" s="9" t="str">
        <x:v>Prévu : fiche de données mea/powers/offensive-tech ; rattacher les ressources et états cités à cet identifiant. Aucun fichier de jeu créé par ce catalogue.</x:v>
      </x:c>
      <x:c r="M41" s="9" t="str">
        <x:v>Passif tech</x:v>
      </x:c>
      <x:c r="N41" s="9" t="str">
        <x:v>Offensive Tech : contrôler cible, protections, portée, coût, interruption et fin d’effet ; un passif n’apparaît jamais comme action sélectionnable et un pouvoir d’allié n’entre pas dans le build de Ryder par erreur.</x:v>
      </x:c>
      <x:c r="O41" s="9" t="str"/>
      <x:c r="P41" s="9" t="str">
        <x:v>Offensive Tech</x:v>
      </x:c>
      <x:c r="Q41" s="9" t="str">
        <x:v>MEA-SRC-SKILLS</x:v>
      </x:c>
      <x:c r="R41" s="9" t="str">
        <x:v>https://masseffect.fandom.com/wiki/Skills</x:v>
      </x:c>
      <x:c r="S41" s="9" t="str">
        <x:v>Spécification à réaliser. Les champs adaptation, gameplay, visual, animation, audio et implementation décrivent le fan game ; ils ne donnent pas des caractéristiques officielles de l’œuvre.</x:v>
      </x:c>
    </x:row>
    <x:row r="42" ht="68" customHeight="1">
      <x:c r="A42" s="19" t="str">
        <x:v>MEA-POW-TEAM-SUPPORT</x:v>
      </x:c>
      <x:c r="B42" s="7" t="str">
        <x:v>Team Support</x:v>
      </x:c>
      <x:c r="C42" s="15" t="str">
        <x:v>Défini</x:v>
      </x:c>
      <x:c r="D42" s="17" t="str">
        <x:v>Établi</x:v>
      </x:c>
      <x:c r="E42" s="17" t="str">
        <x:v>P1</x:v>
      </x:c>
      <x:c r="F42" s="7" t="str">
        <x:v>Compétence de MEA — Passif tech.</x:v>
      </x:c>
      <x:c r="G42" s="7" t="str">
        <x:v>Soutien à l’équipe selon portée et déclencheur proposés ; buffs de groupe ont durée et source affichées.</x:v>
      </x:c>
      <x:c r="H42" s="7" t="str">
        <x:v>Soutien à l’équipe selon portée et déclencheur proposés ; buffs de groupe ont durée et source affichées.</x:v>
      </x:c>
      <x:c r="I42" s="7" t="str">
        <x:v>Trois portraits reliés.</x:v>
      </x:c>
      <x:c r="J42" s="7" t="str">
        <x:v>Aucune animation d’activation pour les passifs ; pour une action, pose anticipée, effet à événement unique et reprise compatible avec saut/sol.</x:v>
      </x:c>
      <x:c r="K42" s="7" t="str">
        <x:v>Signature originale par famille ; signal de disponibilité distinct du signal d’impact, équivalents visuels pour les informations utiles.</x:v>
      </x:c>
      <x:c r="L42" s="7" t="str">
        <x:v>Prévu : fiche de données mea/powers/team-support ; rattacher les ressources et états cités à cet identifiant. Aucun fichier de jeu créé par ce catalogue.</x:v>
      </x:c>
      <x:c r="M42" s="7" t="str">
        <x:v>Passif tech</x:v>
      </x:c>
      <x:c r="N42" s="7" t="str">
        <x:v>Team Support : contrôler cible, protections, portée, coût, interruption et fin d’effet ; un passif n’apparaît jamais comme action sélectionnable et un pouvoir d’allié n’entre pas dans le build de Ryder par erreur.</x:v>
      </x:c>
      <x:c r="O42" s="7" t="str"/>
      <x:c r="P42" s="7" t="str">
        <x:v>Team Support</x:v>
      </x:c>
      <x:c r="Q42" s="7" t="str">
        <x:v>MEA-SRC-SUPPORT</x:v>
      </x:c>
      <x:c r="R42" s="7" t="str">
        <x:v>https://masseffect.fandom.com/wiki/Team_Support_%28skill%29</x:v>
      </x:c>
      <x:c r="S42" s="7" t="str">
        <x:v>Spécification à réaliser. Les champs adaptation, gameplay, visual, animation, audio et implementation décrivent le fan game ; ils ne donnent pas des caractéristiques officielles de l’œuvre.</x:v>
      </x:c>
    </x:row>
    <x:row r="43" ht="96" customHeight="1">
      <x:c r="A43" s="18" t="str">
        <x:v>MEA-POW-SHIELD-BOOST</x:v>
      </x:c>
      <x:c r="B43" s="9" t="str">
        <x:v>Shield Boost</x:v>
      </x:c>
      <x:c r="C43" s="15" t="str">
        <x:v>Prototype</x:v>
      </x:c>
      <x:c r="D43" s="16" t="str">
        <x:v>Établi</x:v>
      </x:c>
      <x:c r="E43" s="16" t="str">
        <x:v>P1</x:v>
      </x:c>
      <x:c r="F43" s="9" t="str">
        <x:v>Compétence de MEA — Allié Cora.</x:v>
      </x:c>
      <x:c r="G43" s="9" t="str">
        <x:v>Secours de protection avec cible et rayon proposés ; le gain ne relève pas un mort sans règle médicale dédiée.</x:v>
      </x:c>
      <x:c r="H43" s="9" t="str">
        <x:v>Secours de protection avec cible et rayon proposés ; le gain ne relève pas un mort sans règle médicale dédiée.</x:v>
      </x:c>
      <x:c r="I43" s="9" t="str">
        <x:v>Pulse bleu autour des alliés.</x:v>
      </x:c>
      <x:c r="J43" s="9" t="str">
        <x:v>Aucune animation d’activation pour les passifs ; pour une action, pose anticipée, effet à événement unique et reprise compatible avec saut/sol.</x:v>
      </x:c>
      <x:c r="K43" s="9" t="str">
        <x:v>Signature originale par famille ; signal de disponibilité distinct du signal d’impact, équivalents visuels pour les informations utiles.</x:v>
      </x:c>
      <x:c r="L43" s="9" t="str">
        <x:v>Prototype partiel de pouvoir : liaison MEA-POW-SHIELD-BOOST → shieldBoost dans src/universe-powers.js ; action native dans src/combat.js. Exposé par les profils/préparations autorisés dans mea-equipment-workshop, avec provenance et restrictions de la fiche conservées.</x:v>
      </x:c>
      <x:c r="M43" s="9" t="str">
        <x:v>Allié Cora</x:v>
      </x:c>
      <x:c r="N43" s="9" t="str">
        <x:v>Shield Boost : contrôler cible, protections, portée, coût, interruption et fin d’effet ; un passif n’apparaît jamais comme action sélectionnable et un pouvoir d’allié n’entre pas dans le build de Ryder par erreur.</x:v>
      </x:c>
      <x:c r="O43" s="9" t="str"/>
      <x:c r="P43" s="9" t="str">
        <x:v>Shield Boost</x:v>
      </x:c>
      <x:c r="Q43" s="9" t="str">
        <x:v>MEA-SRC-SKILLS</x:v>
      </x:c>
      <x:c r="R43" s="9" t="str">
        <x:v>https://masseffect.fandom.com/wiki/Skills</x:v>
      </x:c>
      <x:c r="S43" s="9" t="str">
        <x:v>Les champs adaptation, gameplay, visual, animation, audio et implementation décrivent le fan game ; ils ne donnent pas des caractéristiques officielles de l’œuvre. Action de soutien de groupe : restaure les boucliers des alliés admissibles sans rendre de santé ni de charges de grenades. Montants, durée, recharge et portée de groupe sont des réglages ATB ; aucun arbre complet ni rang d’origine certifié.</x:v>
      </x:c>
    </x:row>
    <x:row r="44" ht="68" customHeight="1">
      <x:c r="A44" s="19" t="str">
        <x:v>MEA-POW-HAVOC</x:v>
      </x:c>
      <x:c r="B44" s="7" t="str">
        <x:v>Havoc Strike</x:v>
      </x:c>
      <x:c r="C44" s="15" t="str">
        <x:v>Défini</x:v>
      </x:c>
      <x:c r="D44" s="17" t="str">
        <x:v>Établi</x:v>
      </x:c>
      <x:c r="E44" s="17" t="str">
        <x:v>P1</x:v>
      </x:c>
      <x:c r="F44" s="7" t="str">
        <x:v>Compétence de MEA — Allié Liam.</x:v>
      </x:c>
      <x:c r="G44" s="7" t="str">
        <x:v>Bond offensif vers cellule réservée puis retour au contrôle ; point de départ ne constitue pas téléportation libre.</x:v>
      </x:c>
      <x:c r="H44" s="7" t="str">
        <x:v>Bond offensif vers cellule réservée puis retour au contrôle ; point de départ ne constitue pas téléportation libre.</x:v>
      </x:c>
      <x:c r="I44" s="7" t="str">
        <x:v>Impulsion de saut et impact.</x:v>
      </x:c>
      <x:c r="J44" s="7" t="str">
        <x:v>Aucune animation d’activation pour les passifs ; pour une action, pose anticipée, effet à événement unique et reprise compatible avec saut/sol.</x:v>
      </x:c>
      <x:c r="K44" s="7" t="str">
        <x:v>Signature originale par famille ; signal de disponibilité distinct du signal d’impact, équivalents visuels pour les informations utiles.</x:v>
      </x:c>
      <x:c r="L44" s="7" t="str">
        <x:v>Prévu : fiche de données mea/powers/havoc ; rattacher les ressources et états cités à cet identifiant. Aucun fichier de jeu créé par ce catalogue.</x:v>
      </x:c>
      <x:c r="M44" s="7" t="str">
        <x:v>Allié Liam</x:v>
      </x:c>
      <x:c r="N44" s="7" t="str">
        <x:v>Havoc Strike : contrôler cible, protections, portée, coût, interruption et fin d’effet ; un passif n’apparaît jamais comme action sélectionnable et un pouvoir d’allié n’entre pas dans le build de Ryder par erreur.</x:v>
      </x:c>
      <x:c r="O44" s="7" t="str"/>
      <x:c r="P44" s="7" t="str">
        <x:v>Havoc Strike</x:v>
      </x:c>
      <x:c r="Q44" s="7" t="str">
        <x:v>MEA-SRC-SKILLS</x:v>
      </x:c>
      <x:c r="R44" s="7" t="str">
        <x:v>https://masseffect.fandom.com/wiki/Skills</x:v>
      </x:c>
      <x:c r="S44" s="7" t="str">
        <x:v>Spécification à réaliser. Les champs adaptation, gameplay, visual, animation, audio et implementation décrivent le fan game ; ils ne donnent pas des caractéristiques officielles de l’œuvre.</x:v>
      </x:c>
    </x:row>
    <x:row r="45" ht="82" customHeight="1">
      <x:c r="A45" s="18" t="str">
        <x:v>MEA-POW-FRAG</x:v>
      </x:c>
      <x:c r="B45" s="9" t="str">
        <x:v>Frag Grenade</x:v>
      </x:c>
      <x:c r="C45" s="15" t="str">
        <x:v>Prototype</x:v>
      </x:c>
      <x:c r="D45" s="16" t="str">
        <x:v>Établi</x:v>
      </x:c>
      <x:c r="E45" s="16" t="str">
        <x:v>P1</x:v>
      </x:c>
      <x:c r="F45" s="9" t="str">
        <x:v>Compétence de MEA — Allié Liam.</x:v>
      </x:c>
      <x:c r="G45" s="9" t="str">
        <x:v>Grenade propre au compagnon ; réserve et compétences de Ryder distinctes dans données.</x:v>
      </x:c>
      <x:c r="H45" s="9" t="str">
        <x:v>Grenade propre au compagnon ; réserve et compétences de Ryder distinctes dans données.</x:v>
      </x:c>
      <x:c r="I45" s="9" t="str">
        <x:v>Grenade et arc de lancer.</x:v>
      </x:c>
      <x:c r="J45" s="9" t="str">
        <x:v>Aucune animation d’activation pour les passifs ; pour une action, pose anticipée, effet à événement unique et reprise compatible avec saut/sol.</x:v>
      </x:c>
      <x:c r="K45" s="9" t="str">
        <x:v>Signature originale par famille ; signal de disponibilité distinct du signal d’impact, équivalents visuels pour les informations utiles.</x:v>
      </x:c>
      <x:c r="L45" s="9" t="str">
        <x:v>Prototype partiel de pouvoir : liaison MEA-POW-FRAG → fragGrenade dans src/universe-powers.js ; action native dans src/combat.js. Exposé par les profils/préparations autorisés dans mea-equipment-workshop, avec provenance et restrictions de la fiche conservées.</x:v>
      </x:c>
      <x:c r="M45" s="9" t="str">
        <x:v>Allié Liam</x:v>
      </x:c>
      <x:c r="N45" s="9" t="str">
        <x:v>Frag Grenade : contrôler cible, protections, portée, coût, interruption et fin d’effet ; un passif n’apparaît jamais comme action sélectionnable et un pouvoir d’allié n’entre pas dans le build de Ryder par erreur.</x:v>
      </x:c>
      <x:c r="O45" s="9" t="str"/>
      <x:c r="P45" s="9" t="str">
        <x:v>Frag Grenade</x:v>
      </x:c>
      <x:c r="Q45" s="9" t="str">
        <x:v>MEA-SRC-SKILLS</x:v>
      </x:c>
      <x:c r="R45" s="9" t="str">
        <x:v>https://masseffect.fandom.com/wiki/Skills</x:v>
      </x:c>
      <x:c r="S45" s="9" t="str">
        <x:v>Les champs adaptation, gameplay, visual, animation, audio et implementation décrivent le fan game ; ils ne donnent pas des caractéristiques officielles de l’œuvre. Grenade de pouvoir à réserve finie ; échantillon préparé de trois charges ATB, aucune acquisition ni collecte originale simulée. La commande sans charge est refusée sans mutation ; les ressources de l’arme restent distinctes. Zone, délai et dégâts sont des réglages ATB ; aucun arbre complet ni rang d’origine certifié.</x:v>
      </x:c>
    </x:row>
    <x:row r="46" ht="68" customHeight="1">
      <x:c r="A46" s="19" t="str">
        <x:v>MEA-POW-AVENGER-STRIKE</x:v>
      </x:c>
      <x:c r="B46" s="7" t="str">
        <x:v>Avenger Strike</x:v>
      </x:c>
      <x:c r="C46" s="15" t="str">
        <x:v>Défini</x:v>
      </x:c>
      <x:c r="D46" s="17" t="str">
        <x:v>Établi</x:v>
      </x:c>
      <x:c r="E46" s="17" t="str">
        <x:v>P1</x:v>
      </x:c>
      <x:c r="F46" s="7" t="str">
        <x:v>Compétence de MEA — Allié Jaal.</x:v>
      </x:c>
      <x:c r="G46" s="7" t="str">
        <x:v>Approche furtive de frappe et repli ; chemin et cible valides avant coût, retour évite fosse et couvert.</x:v>
      </x:c>
      <x:c r="H46" s="7" t="str">
        <x:v>Approche furtive de frappe et repli ; chemin et cible valides avant coût, retour évite fosse et couvert.</x:v>
      </x:c>
      <x:c r="I46" s="7" t="str">
        <x:v>Voile bref et lame de contact.</x:v>
      </x:c>
      <x:c r="J46" s="7" t="str">
        <x:v>Aucune animation d’activation pour les passifs ; pour une action, pose anticipée, effet à événement unique et reprise compatible avec saut/sol.</x:v>
      </x:c>
      <x:c r="K46" s="7" t="str">
        <x:v>Signature originale par famille ; signal de disponibilité distinct du signal d’impact, équivalents visuels pour les informations utiles.</x:v>
      </x:c>
      <x:c r="L46" s="7" t="str">
        <x:v>Prévu : fiche de données mea/powers/avenger-strike ; rattacher les ressources et états cités à cet identifiant. Aucun fichier de jeu créé par ce catalogue.</x:v>
      </x:c>
      <x:c r="M46" s="7" t="str">
        <x:v>Allié Jaal</x:v>
      </x:c>
      <x:c r="N46" s="7" t="str">
        <x:v>Avenger Strike : contrôler cible, protections, portée, coût, interruption et fin d’effet ; un passif n’apparaît jamais comme action sélectionnable et un pouvoir d’allié n’entre pas dans le build de Ryder par erreur.</x:v>
      </x:c>
      <x:c r="O46" s="7" t="str"/>
      <x:c r="P46" s="7" t="str">
        <x:v>Avenger Strike</x:v>
      </x:c>
      <x:c r="Q46" s="7" t="str">
        <x:v>MEA-SRC-SKILLS</x:v>
      </x:c>
      <x:c r="R46" s="7" t="str">
        <x:v>https://masseffect.fandom.com/wiki/Skills</x:v>
      </x:c>
      <x:c r="S46" s="7" t="str">
        <x:v>Spécification à réaliser. Les champs adaptation, gameplay, visual, animation, audio et implementation décrivent le fan game ; ils ne donnent pas des caractéristiques officielles de l’œuvre.</x:v>
      </x:c>
    </x:row>
    <x:row r="47" ht="96" customHeight="1">
      <x:c r="A47" s="18" t="str">
        <x:v>MEA-POW-STICKY</x:v>
      </x:c>
      <x:c r="B47" s="9" t="str">
        <x:v>Sticky Grenade</x:v>
      </x:c>
      <x:c r="C47" s="15" t="str">
        <x:v>Prototype</x:v>
      </x:c>
      <x:c r="D47" s="16" t="str">
        <x:v>Établi</x:v>
      </x:c>
      <x:c r="E47" s="16" t="str">
        <x:v>P1</x:v>
      </x:c>
      <x:c r="F47" s="9" t="str">
        <x:v>Compétence de MEA — Allié Jaal.</x:v>
      </x:c>
      <x:c r="G47" s="9" t="str">
        <x:v>Charge adhésive à délai visible ; ne pas confondre avec évolution d’Omni Grenade de Ryder.</x:v>
      </x:c>
      <x:c r="H47" s="9" t="str">
        <x:v>Charge adhésive à délai visible ; ne pas confondre avec évolution d’Omni Grenade de Ryder.</x:v>
      </x:c>
      <x:c r="I47" s="9" t="str">
        <x:v>Charge fixée et signal de durée.</x:v>
      </x:c>
      <x:c r="J47" s="9" t="str">
        <x:v>Aucune animation d’activation pour les passifs ; pour une action, pose anticipée, effet à événement unique et reprise compatible avec saut/sol.</x:v>
      </x:c>
      <x:c r="K47" s="9" t="str">
        <x:v>Signature originale par famille ; signal de disponibilité distinct du signal d’impact, équivalents visuels pour les informations utiles.</x:v>
      </x:c>
      <x:c r="L47" s="9" t="str">
        <x:v>Prototype partiel de pouvoir : liaison MEA-POW-STICKY → stickyGrenade dans src/universe-powers.js ; action native dans src/combat.js. Exposé par les profils/préparations autorisés dans mea-equipment-workshop, avec provenance et restrictions de la fiche conservées.</x:v>
      </x:c>
      <x:c r="M47" s="9" t="str">
        <x:v>Allié Jaal</x:v>
      </x:c>
      <x:c r="N47" s="9" t="str">
        <x:v>Sticky Grenade : contrôler cible, protections, portée, coût, interruption et fin d’effet ; un passif n’apparaît jamais comme action sélectionnable et un pouvoir d’allié n’entre pas dans le build de Ryder par erreur.</x:v>
      </x:c>
      <x:c r="O47" s="9" t="str"/>
      <x:c r="P47" s="9" t="str">
        <x:v>Sticky Grenade</x:v>
      </x:c>
      <x:c r="Q47" s="9" t="str">
        <x:v>MEA-SRC-SKILLS</x:v>
      </x:c>
      <x:c r="R47" s="9" t="str">
        <x:v>https://masseffect.fandom.com/wiki/Skills</x:v>
      </x:c>
      <x:c r="S47" s="9" t="str">
        <x:v>Les champs adaptation, gameplay, visual, animation, audio et implementation décrivent le fan game ; ils ne donnent pas des caractéristiques officielles de l’œuvre. Grenade de pouvoir à réserve finie ; échantillon préparé de trois charges ATB, aucune acquisition ni collecte originale simulée. La commande sans charge est refusée sans mutation ; les ressources de l’arme restent distinctes. Zone, délai et dégâts sont des réglages ATB ; aucun arbre complet ni rang d’origine certifié.</x:v>
      </x:c>
    </x:row>
    <x:row r="48" ht="68" customHeight="1">
      <x:c r="A48" s="19" t="str">
        <x:v>MEA-POW-POWER-ARMOR</x:v>
      </x:c>
      <x:c r="B48" s="7" t="str">
        <x:v>Power Armor</x:v>
      </x:c>
      <x:c r="C48" s="15" t="str">
        <x:v>Défini</x:v>
      </x:c>
      <x:c r="D48" s="17" t="str">
        <x:v>Établi</x:v>
      </x:c>
      <x:c r="E48" s="17" t="str">
        <x:v>P1</x:v>
      </x:c>
      <x:c r="F48" s="7" t="str">
        <x:v>Compétence de MEA — Allié Vetra.</x:v>
      </x:c>
      <x:c r="G48" s="7" t="str">
        <x:v>Défense personnelle renforcée proposée, purge et récupération lisibles ; ne rend pas Ryder équipé du même pouvoir.</x:v>
      </x:c>
      <x:c r="H48" s="7" t="str">
        <x:v>Défense personnelle renforcée proposée, purge et récupération lisibles ; ne rend pas Ryder équipé du même pouvoir.</x:v>
      </x:c>
      <x:c r="I48" s="7" t="str">
        <x:v>Plaques lumineuses sur Vetra.</x:v>
      </x:c>
      <x:c r="J48" s="7" t="str">
        <x:v>Aucune animation d’activation pour les passifs ; pour une action, pose anticipée, effet à événement unique et reprise compatible avec saut/sol.</x:v>
      </x:c>
      <x:c r="K48" s="7" t="str">
        <x:v>Signature originale par famille ; signal de disponibilité distinct du signal d’impact, équivalents visuels pour les informations utiles.</x:v>
      </x:c>
      <x:c r="L48" s="7" t="str">
        <x:v>Prévu : fiche de données mea/powers/power-armor ; rattacher les ressources et états cités à cet identifiant. Aucun fichier de jeu créé par ce catalogue.</x:v>
      </x:c>
      <x:c r="M48" s="7" t="str">
        <x:v>Allié Vetra</x:v>
      </x:c>
      <x:c r="N48" s="7" t="str">
        <x:v>Power Armor : contrôler cible, protections, portée, coût, interruption et fin d’effet ; un passif n’apparaît jamais comme action sélectionnable et un pouvoir d’allié n’entre pas dans le build de Ryder par erreur.</x:v>
      </x:c>
      <x:c r="O48" s="7" t="str"/>
      <x:c r="P48" s="7" t="str">
        <x:v>Power Armor</x:v>
      </x:c>
      <x:c r="Q48" s="7" t="str">
        <x:v>MEA-SRC-SKILLS</x:v>
      </x:c>
      <x:c r="R48" s="7" t="str">
        <x:v>https://masseffect.fandom.com/wiki/Skills</x:v>
      </x:c>
      <x:c r="S48" s="7" t="str">
        <x:v>Spécification à réaliser. Les champs adaptation, gameplay, visual, animation, audio et implementation décrivent le fan game ; ils ne donnent pas des caractéristiques officielles de l’œuvre.</x:v>
      </x:c>
    </x:row>
    <x:row r="49" ht="68" customHeight="1">
      <x:c r="A49" s="18" t="str">
        <x:v>MEA-POW-BLOOD-RAGE</x:v>
      </x:c>
      <x:c r="B49" s="9" t="str">
        <x:v>Blood Rage</x:v>
      </x:c>
      <x:c r="C49" s="15" t="str">
        <x:v>Défini</x:v>
      </x:c>
      <x:c r="D49" s="16" t="str">
        <x:v>Établi</x:v>
      </x:c>
      <x:c r="E49" s="16" t="str">
        <x:v>P1</x:v>
      </x:c>
      <x:c r="F49" s="9" t="str">
        <x:v>Compétence de MEA — Allié Drack.</x:v>
      </x:c>
      <x:c r="G49" s="9" t="str">
        <x:v>Fenêtre offensive de mêlée et résistance proposée ; le risque et la fin de rage sont signalés avant épuisement.</x:v>
      </x:c>
      <x:c r="H49" s="9" t="str">
        <x:v>Fenêtre offensive de mêlée et résistance proposée ; le risque et la fin de rage sont signalés avant épuisement.</x:v>
      </x:c>
      <x:c r="I49" s="9" t="str">
        <x:v>Halo rouge et posture krogan.</x:v>
      </x:c>
      <x:c r="J49" s="9" t="str">
        <x:v>Aucune animation d’activation pour les passifs ; pour une action, pose anticipée, effet à événement unique et reprise compatible avec saut/sol.</x:v>
      </x:c>
      <x:c r="K49" s="9" t="str">
        <x:v>Signature originale par famille ; signal de disponibilité distinct du signal d’impact, équivalents visuels pour les informations utiles.</x:v>
      </x:c>
      <x:c r="L49" s="9" t="str">
        <x:v>Prévu : fiche de données mea/powers/blood-rage ; rattacher les ressources et états cités à cet identifiant. Aucun fichier de jeu créé par ce catalogue.</x:v>
      </x:c>
      <x:c r="M49" s="9" t="str">
        <x:v>Allié Drack</x:v>
      </x:c>
      <x:c r="N49" s="9" t="str">
        <x:v>Blood Rage : contrôler cible, protections, portée, coût, interruption et fin d’effet ; un passif n’apparaît jamais comme action sélectionnable et un pouvoir d’allié n’entre pas dans le build de Ryder par erreur.</x:v>
      </x:c>
      <x:c r="O49" s="9" t="str"/>
      <x:c r="P49" s="9" t="str">
        <x:v>Blood Rage</x:v>
      </x:c>
      <x:c r="Q49" s="9" t="str">
        <x:v>MEA-SRC-SKILLS</x:v>
      </x:c>
      <x:c r="R49" s="9" t="str">
        <x:v>https://masseffect.fandom.com/wiki/Skills</x:v>
      </x:c>
      <x:c r="S49" s="9" t="str">
        <x:v>Spécification à réaliser. Les champs adaptation, gameplay, visual, animation, audio et implementation décrivent le fan game ; ils ne donnent pas des caractéristiques officielles de l’œuvre.</x:v>
      </x:c>
    </x:row>
  </x:sheetData>
  <x:conditionalFormatting sqref="D7:D49">
    <x:cfRule type="cellIs" dxfId="64" priority="1" operator="equal">
      <x:formula>"À vérifier"</x:formula>
    </x:cfRule>
    <x:cfRule type="cellIs" dxfId="65" priority="2" operator="equal">
      <x:formula>"Extrapolation"</x:formula>
    </x:cfRule>
  </x:conditionalFormatting>
  <x:conditionalFormatting sqref="C7:C49">
    <x:cfRule type="cellIs" dxfId="66" priority="3" operator="equal">
      <x:formula>"Validé"</x:formula>
    </x:cfRule>
  </x:conditionalFormatting>
  <x:conditionalFormatting sqref="E7:E49">
    <x:cfRule type="cellIs" dxfId="67" priority="4" operator="equal">
      <x:formula>"P0"</x:formula>
    </x:cfRule>
  </x:conditionalFormatting>
  <x:dataValidations count="3">
    <x:dataValidation type="list" sqref="C7:C49">
      <x:formula1>"Défini,Prototype,Intégré,Validé"</x:formula1>
    </x:dataValidation>
    <x:dataValidation type="list" sqref="D7:D49">
      <x:formula1>"Établi,À vérifier,Extrapolation,Coupé attesté,Concept abandonné,Allégation écartée"</x:formula1>
    </x:dataValidation>
    <x:dataValidation type="list" sqref="E7:E49">
      <x:formula1>"P0,P1,P2"</x:formula1>
    </x:dataValidation>
  </x:dataValidations>
  <x:pageMargins left="0.7" right="0.7" top="0.75" bottom="0.75" header="0.3" footer="0.3"/>
  <x:tableParts count="1">
    <x:tablePart xmlns:r="http://schemas.openxmlformats.org/officeDocument/2006/relationships" r:id="R3e2255c5050c4065"/>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Andromeda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MEA-AMV-CORA-SHIELD</x:v>
      </x:c>
      <x:c r="B7" s="9" t="str">
        <x:v>Cora — assaut protégé</x:v>
      </x:c>
      <x:c r="C7" s="15" t="str">
        <x:v>Défini</x:v>
      </x:c>
      <x:c r="D7" s="16" t="str">
        <x:v>Extrapolation</x:v>
      </x:c>
      <x:c r="E7" s="16" t="str">
        <x:v>P1</x:v>
      </x:c>
      <x:c r="F7" s="9" t="str">
        <x:v>Livrable original proposé : Cora — assaut protégé.</x:v>
      </x:c>
      <x:c r="G7" s="9" t="str">
        <x:v>Charge ouvre un angle puis Shield Boost prépare le repli ; réserver arrivée et annoncer alliés dans rayon du secours.</x:v>
      </x:c>
      <x:c r="H7" s="9" t="str">
        <x:v>Charge ouvre un angle puis Shield Boost prépare le repli ; réserver arrivée et annoncer alliés dans rayon du secours.</x:v>
      </x:c>
      <x:c r="I7" s="9" t="str">
        <x:v>Traînée bleue puis pulse de protection.</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mea/ally_moves/cora-shield ; rattacher les ressources et états cités à cet identifiant. Aucun fichier de jeu créé par ce catalogue.</x:v>
      </x:c>
      <x:c r="M7" s="9" t="str"/>
      <x:c r="N7" s="9" t="str">
        <x:v>Le livrable « Cora — assaut protégé » possède une scène ou un scénario de contrôle ; ses règles proposées, ses conditions et ses retours visuels sont vérifiables séparément.</x:v>
      </x:c>
      <x:c r="O7" s="9" t="str">
        <x:v>MEA-CHR-CORA, MEA-POW-SHIELD-BOOST</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MEA-AMV-LIAM-DRACK</x:v>
      </x:c>
      <x:c r="B8" s="7" t="str">
        <x:v>Liam + Drack — brèche rapprochée</x:v>
      </x:c>
      <x:c r="C8" s="15" t="str">
        <x:v>Défini</x:v>
      </x:c>
      <x:c r="D8" s="17" t="str">
        <x:v>Extrapolation</x:v>
      </x:c>
      <x:c r="E8" s="17" t="str">
        <x:v>P1</x:v>
      </x:c>
      <x:c r="F8" s="7" t="str">
        <x:v>Livrable original proposé : Liam + Drack — brèche rapprochée.</x:v>
      </x:c>
      <x:c r="G8" s="7" t="str">
        <x:v>Havoc Strike décale un groupe compatible, Drack engage Flak Cannon ; aucun saut de Liam dans cône déjà réservé de son allié.</x:v>
      </x:c>
      <x:c r="H8" s="7" t="str">
        <x:v>Havoc Strike décale un groupe compatible, Drack engage Flak Cannon ; aucun saut de Liam dans cône déjà réservé de son allié.</x:v>
      </x:c>
      <x:c r="I8" s="7" t="str">
        <x:v>Bond humain puis tir krogan.</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mea/ally_moves/liam-drack ; rattacher les ressources et états cités à cet identifiant. Aucun fichier de jeu créé par ce catalogue.</x:v>
      </x:c>
      <x:c r="M8" s="7" t="str"/>
      <x:c r="N8" s="7" t="str">
        <x:v>Le livrable « Liam + Drack — brèche rapprochée » possède une scène ou un scénario de contrôle ; ses règles proposées, ses conditions et ses retours visuels sont vérifiables séparément.</x:v>
      </x:c>
      <x:c r="O8" s="7" t="str">
        <x:v>MEA-CHR-LIAM, MEA-CHR-DRACK, MEA-POW-HAVOC, MEA-POW-FLAK</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MEA-AMV-VETRA-CORA</x:v>
      </x:c>
      <x:c r="B9" s="9" t="str">
        <x:v>Vetra + Cora — couloir d’assaut</x:v>
      </x:c>
      <x:c r="C9" s="15" t="str">
        <x:v>Défini</x:v>
      </x:c>
      <x:c r="D9" s="16" t="str">
        <x:v>Extrapolation</x:v>
      </x:c>
      <x:c r="E9" s="16" t="str">
        <x:v>P1</x:v>
      </x:c>
      <x:c r="F9" s="9" t="str">
        <x:v>Livrable original proposé : Vetra + Cora — couloir d’assaut.</x:v>
      </x:c>
      <x:c r="G9" s="9" t="str">
        <x:v>Power Armor stabilise Vetra pendant Turbocharge, Cora protège la progression ; portée de soutien visible avant départ.</x:v>
      </x:c>
      <x:c r="H9" s="9" t="str">
        <x:v>Power Armor stabilise Vetra pendant Turbocharge, Cora protège la progression ; portée de soutien visible avant départ.</x:v>
      </x:c>
      <x:c r="I9" s="9" t="str">
        <x:v>Armure renforcée et arc biotique.</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mea/ally_moves/vetra-cora ; rattacher les ressources et états cités à cet identifiant. Aucun fichier de jeu créé par ce catalogue.</x:v>
      </x:c>
      <x:c r="M9" s="9" t="str"/>
      <x:c r="N9" s="9" t="str">
        <x:v>Le livrable « Vetra + Cora — couloir d’assaut » possède une scène ou un scénario de contrôle ; ses règles proposées, ses conditions et ses retours visuels sont vérifiables séparément.</x:v>
      </x:c>
      <x:c r="O9" s="9" t="str">
        <x:v>MEA-CHR-VETRA, MEA-CHR-CORA, MEA-POW-POWER-ARMOR</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MEA-AMV-JAAL-PEEBEE</x:v>
      </x:c>
      <x:c r="B10" s="7" t="str">
        <x:v>Jaal + Peebee — cible préparée</x:v>
      </x:c>
      <x:c r="C10" s="15" t="str">
        <x:v>Défini</x:v>
      </x:c>
      <x:c r="D10" s="17" t="str">
        <x:v>Extrapolation</x:v>
      </x:c>
      <x:c r="E10" s="17" t="str">
        <x:v>P1</x:v>
      </x:c>
      <x:c r="F10" s="7" t="str">
        <x:v>Livrable original proposé : Jaal + Peebee — cible préparée.</x:v>
      </x:c>
      <x:c r="G10" s="7" t="str">
        <x:v>Invasion affaiblit le groupe, Jaal place une charge puis se replie ; ordre des explosions et états d’amorce montrés dans la file.</x:v>
      </x:c>
      <x:c r="H10" s="7" t="str">
        <x:v>Invasion affaiblit le groupe, Jaal place une charge puis se replie ; ordre des explosions et états d’amorce montrés dans la file.</x:v>
      </x:c>
      <x:c r="I10" s="7" t="str">
        <x:v>Particules tech puis charge adhésive.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mea/ally_moves/jaal-peebee ; rattacher les ressources et états cités à cet identifiant. Aucun fichier de jeu créé par ce catalogue.</x:v>
      </x:c>
      <x:c r="M10" s="7" t="str"/>
      <x:c r="N10" s="7" t="str">
        <x:v>Le livrable « Jaal + Peebee — cible préparée » possède une scène ou un scénario de contrôle ; ses règles proposées, ses conditions et ses retours visuels sont vérifiables séparément.</x:v>
      </x:c>
      <x:c r="O10" s="7" t="str">
        <x:v>MEA-CHR-JAAL, MEA-CHR-PEEBEE, MEA-POW-INVASION</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MEA-AMV-CORA-PEEBEE</x:v>
      </x:c>
      <x:c r="B11" s="9" t="str">
        <x:v>Cora + Peebee — contrôle biotique</x:v>
      </x:c>
      <x:c r="C11" s="15" t="str">
        <x:v>Défini</x:v>
      </x:c>
      <x:c r="D11" s="16" t="str">
        <x:v>Extrapolation</x:v>
      </x:c>
      <x:c r="E11" s="16" t="str">
        <x:v>P1</x:v>
      </x:c>
      <x:c r="F11" s="9" t="str">
        <x:v>Livrable original proposé : Cora + Peebee — contrôle biotique.</x:v>
      </x:c>
      <x:c r="G11" s="9" t="str">
        <x:v>Pull sur cible vulnérable puis Nova à proximité ; Cora ne traverse pas un mur pour atteindre une cible en hauteur.</x:v>
      </x:c>
      <x:c r="H11" s="9" t="str">
        <x:v>Pull sur cible vulnérable puis Nova à proximité ; Cora ne traverse pas un mur pour atteindre une cible en hauteur.</x:v>
      </x:c>
      <x:c r="I11" s="9" t="str">
        <x:v>Cible suspendue et onde au sol.</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mea/ally_moves/cora-peebee ; rattacher les ressources et états cités à cet identifiant. Aucun fichier de jeu créé par ce catalogue.</x:v>
      </x:c>
      <x:c r="M11" s="9" t="str"/>
      <x:c r="N11" s="9" t="str">
        <x:v>Le livrable « Cora + Peebee — contrôle biotique » possède une scène ou un scénario de contrôle ; ses règles proposées, ses conditions et ses retours visuels sont vérifiables séparément.</x:v>
      </x:c>
      <x:c r="O11" s="9" t="str">
        <x:v>MEA-CHR-CORA, MEA-CHR-PEEBEE, MEA-POW-PULL, MEA-POW-NOVA</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MEA-AMV-VETRA-JAAL</x:v>
      </x:c>
      <x:c r="B12" s="7" t="str">
        <x:v>Vetra + Jaal — croisement des tirs</x:v>
      </x:c>
      <x:c r="C12" s="15" t="str">
        <x:v>Défini</x:v>
      </x:c>
      <x:c r="D12" s="17" t="str">
        <x:v>Extrapolation</x:v>
      </x:c>
      <x:c r="E12" s="17" t="str">
        <x:v>P1</x:v>
      </x:c>
      <x:c r="F12" s="7" t="str">
        <x:v>Livrable original proposé : Vetra + Jaal — croisement des tirs.</x:v>
      </x:c>
      <x:c r="G12" s="7" t="str">
        <x:v>Vetra fixe une cible protégée, Jaal choisit un angle d’Energy Drain ; les tirs alliés ne bloquent pas artificiellement leurs propres lignes.</x:v>
      </x:c>
      <x:c r="H12" s="7" t="str">
        <x:v>Vetra fixe une cible protégée, Jaal choisit un angle d’Energy Drain ; les tirs alliés ne bloquent pas artificiellement leurs propres lignes.</x:v>
      </x:c>
      <x:c r="I12" s="7" t="str">
        <x:v>Deux axes et arc de drain.</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mea/ally_moves/vetra-jaal ; rattacher les ressources et états cités à cet identifiant. Aucun fichier de jeu créé par ce catalogue.</x:v>
      </x:c>
      <x:c r="M12" s="7" t="str"/>
      <x:c r="N12" s="7" t="str">
        <x:v>Le livrable « Vetra + Jaal — croisement des tirs » possède une scène ou un scénario de contrôle ; ses règles proposées, ses conditions et ses retours visuels sont vérifiables séparément.</x:v>
      </x:c>
      <x:c r="O12" s="7" t="str">
        <x:v>MEA-CHR-VETRA, MEA-CHR-JAAL, MEA-POW-ENERGY-DRAIN</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MEA-AMV-DRACK-FIRE</x:v>
      </x:c>
      <x:c r="B13" s="9" t="str">
        <x:v>Drack — brûler puis engager</x:v>
      </x:c>
      <x:c r="C13" s="15" t="str">
        <x:v>Défini</x:v>
      </x:c>
      <x:c r="D13" s="16" t="str">
        <x:v>Extrapolation</x:v>
      </x:c>
      <x:c r="E13" s="16" t="str">
        <x:v>P1</x:v>
      </x:c>
      <x:c r="F13" s="9" t="str">
        <x:v>Livrable original proposé : Drack — brûler puis engager.</x:v>
      </x:c>
      <x:c r="G13" s="9" t="str">
        <x:v>Incinerate prépare une cible cuirassée, Blood Rage ouvre la mêlée ; durée de rage annoncée pour choisir retour avant épuisement.</x:v>
      </x:c>
      <x:c r="H13" s="9" t="str">
        <x:v>Incinerate prépare une cible cuirassée, Blood Rage ouvre la mêlée ; durée de rage annoncée pour choisir retour avant épuisement.</x:v>
      </x:c>
      <x:c r="I13" s="9" t="str">
        <x:v>Projectile orange puis posture krogan.</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mea/ally_moves/drack-fire ; rattacher les ressources et états cités à cet identifiant. Aucun fichier de jeu créé par ce catalogue.</x:v>
      </x:c>
      <x:c r="M13" s="9" t="str"/>
      <x:c r="N13" s="9" t="str">
        <x:v>Le livrable « Drack — brûler puis engager » possède une scène ou un scénario de contrôle ; ses règles proposées, ses conditions et ses retours visuels sont vérifiables séparément.</x:v>
      </x:c>
      <x:c r="O13" s="9" t="str">
        <x:v>MEA-CHR-DRACK, MEA-POW-BLOOD-RAGE</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MEA-AMV-LIAM-TECH</x:v>
      </x:c>
      <x:c r="B14" s="7" t="str">
        <x:v>Liam — interruption de machine</x:v>
      </x:c>
      <x:c r="C14" s="15" t="str">
        <x:v>Défini</x:v>
      </x:c>
      <x:c r="D14" s="17" t="str">
        <x:v>Extrapolation</x:v>
      </x:c>
      <x:c r="E14" s="17" t="str">
        <x:v>P1</x:v>
      </x:c>
      <x:c r="F14" s="7" t="str">
        <x:v>Livrable original proposé : Liam — interruption de machine.</x:v>
      </x:c>
      <x:c r="G14" s="7" t="str">
        <x:v>Overload sur tourelle compatible puis progression vers couvert ; empêcher un ordre de contact si la machine reste hors portée réelle.</x:v>
      </x:c>
      <x:c r="H14" s="7" t="str">
        <x:v>Overload sur tourelle compatible puis progression vers couvert ; empêcher un ordre de contact si la machine reste hors portée réelle.</x:v>
      </x:c>
      <x:c r="I14" s="7" t="str">
        <x:v>Arc électrique et chemin d’assaut.</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mea/ally_moves/liam-tech ; rattacher les ressources et états cités à cet identifiant. Aucun fichier de jeu créé par ce catalogue.</x:v>
      </x:c>
      <x:c r="M14" s="7" t="str"/>
      <x:c r="N14" s="7" t="str">
        <x:v>Le livrable « Liam — interruption de machine » possède une scène ou un scénario de contrôle ; ses règles proposées, ses conditions et ses retours visuels sont vérifiables séparément.</x:v>
      </x:c>
      <x:c r="O14" s="7" t="str">
        <x:v>MEA-CHR-LIAM, MEA-POW-OVERLOAD</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MEA-AMV-PEEBEE-REMNANT</x:v>
      </x:c>
      <x:c r="B15" s="9" t="str">
        <x:v>Peebee — assistance de Poc</x:v>
      </x:c>
      <x:c r="C15" s="15" t="str">
        <x:v>Défini</x:v>
      </x:c>
      <x:c r="D15" s="16" t="str">
        <x:v>Extrapolation</x:v>
      </x:c>
      <x:c r="E15" s="16" t="str">
        <x:v>P1</x:v>
      </x:c>
      <x:c r="F15" s="9" t="str">
        <x:v>Livrable original proposé : Peebee — assistance de Poc.</x:v>
      </x:c>
      <x:c r="G15" s="9" t="str">
        <x:v>Distinguer robot narratif et Remnant VI invoqué ; commande technique passe par bon objet, ne double pas gratuitement un familier.</x:v>
      </x:c>
      <x:c r="H15" s="9" t="str">
        <x:v>Distinguer robot narratif et Remnant VI invoqué ; commande technique passe par bon objet, ne double pas gratuitement un familier.</x:v>
      </x:c>
      <x:c r="I15" s="9" t="str">
        <x:v>Petit robot et marque d’allié.</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mea/ally_moves/peebee-remnant ; rattacher les ressources et états cités à cet identifiant. Aucun fichier de jeu créé par ce catalogue.</x:v>
      </x:c>
      <x:c r="M15" s="9" t="str"/>
      <x:c r="N15" s="9" t="str">
        <x:v>Le livrable « Peebee — assistance de Poc » possède une scène ou un scénario de contrôle ; ses règles proposées, ses conditions et ses retours visuels sont vérifiables séparément.</x:v>
      </x:c>
      <x:c r="O15" s="9" t="str">
        <x:v>MEA-CHR-PEEBEE, MEA-POW-REMNANT-VI</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MEA-AMV-JAAL-REPOSITION</x:v>
      </x:c>
      <x:c r="B16" s="7" t="str">
        <x:v>Jaal — frappe et retour</x:v>
      </x:c>
      <x:c r="C16" s="15" t="str">
        <x:v>Défini</x:v>
      </x:c>
      <x:c r="D16" s="17" t="str">
        <x:v>Extrapolation</x:v>
      </x:c>
      <x:c r="E16" s="17" t="str">
        <x:v>P1</x:v>
      </x:c>
      <x:c r="F16" s="7" t="str">
        <x:v>Livrable original proposé : Jaal — frappe et retour.</x:v>
      </x:c>
      <x:c r="G16" s="7" t="str">
        <x:v>Avenger Strike réserve point de retrait avant attaque ; si point occupé, choisir alternative proche visible ou annuler proprement.</x:v>
      </x:c>
      <x:c r="H16" s="7" t="str">
        <x:v>Avenger Strike réserve point de retrait avant attaque ; si point occupé, choisir alternative proche visible ou annuler proprement.</x:v>
      </x:c>
      <x:c r="I16" s="7" t="str">
        <x:v>Voile, frappe et trajectoire retour.</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mea/ally_moves/jaal-reposition ; rattacher les ressources et états cités à cet identifiant. Aucun fichier de jeu créé par ce catalogue.</x:v>
      </x:c>
      <x:c r="M16" s="7" t="str"/>
      <x:c r="N16" s="7" t="str">
        <x:v>Le livrable « Jaal — frappe et retour » possède une scène ou un scénario de contrôle ; ses règles proposées, ses conditions et ses retours visuels sont vérifiables séparément.</x:v>
      </x:c>
      <x:c r="O16" s="7" t="str">
        <x:v>MEA-CHR-JAAL, MEA-POW-AVENGER-STRIKE</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MEA-AMV-RYDER-COMBO</x:v>
      </x:c>
      <x:c r="B17" s="9" t="str">
        <x:v>Ryder — amorce/détonation avec favori</x:v>
      </x:c>
      <x:c r="C17" s="15" t="str">
        <x:v>Défini</x:v>
      </x:c>
      <x:c r="D17" s="16" t="str">
        <x:v>Extrapolation</x:v>
      </x:c>
      <x:c r="E17" s="16" t="str">
        <x:v>P1</x:v>
      </x:c>
      <x:c r="F17" s="9" t="str">
        <x:v>Livrable original proposé : Ryder — amorce/détonation avec favori.</x:v>
      </x:c>
      <x:c r="G17" s="9" t="str">
        <x:v>Préparer avec compétence compatible, changer de favori seulement selon récupération annoncée ; aucune remise à zéro de cooldown en boucle.</x:v>
      </x:c>
      <x:c r="H17" s="9" t="str">
        <x:v>Préparer avec compétence compatible, changer de favori seulement selon récupération annoncée ; aucune remise à zéro de cooldown en boucle.</x:v>
      </x:c>
      <x:c r="I17" s="9" t="str">
        <x:v>Trois slots et icône d’amorce.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mea/ally_moves/ryder-combo ; rattacher les ressources et états cités à cet identifiant. Aucun fichier de jeu créé par ce catalogue.</x:v>
      </x:c>
      <x:c r="M17" s="9" t="str"/>
      <x:c r="N17" s="9" t="str">
        <x:v>Le livrable « Ryder — amorce/détonation avec favori » possède une scène ou un scénario de contrôle ; ses règles proposées, ses conditions et ses retours visuels sont vérifiables séparément.</x:v>
      </x:c>
      <x:c r="O17" s="9" t="str">
        <x:v>MEA-CHR-RYDER, MEA-SYS-FAVORITES</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MEA-AMV-REVIVE</x:v>
      </x:c>
      <x:c r="B18" s="7" t="str">
        <x:v>Secours au sol avec saut d’approche</x:v>
      </x:c>
      <x:c r="C18" s="15" t="str">
        <x:v>Défini</x:v>
      </x:c>
      <x:c r="D18" s="17" t="str">
        <x:v>Extrapolation</x:v>
      </x:c>
      <x:c r="E18" s="17" t="str">
        <x:v>P1</x:v>
      </x:c>
      <x:c r="F18" s="7" t="str">
        <x:v>Livrable original proposé : Secours au sol avec saut d’approche.</x:v>
      </x:c>
      <x:c r="G18" s="7" t="str">
        <x:v>Choisir allié puis réserver route et cellule de soin ; un saut ne permet pas de traverser un plafond pour secourir.</x:v>
      </x:c>
      <x:c r="H18" s="7" t="str">
        <x:v>Choisir allié puis réserver route et cellule de soin ; un saut ne permet pas de traverser un plafond pour secourir.</x:v>
      </x:c>
      <x:c r="I18" s="7" t="str">
        <x:v>Chemin, point médical et portrait.</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mea/ally_moves/revive ; rattacher les ressources et états cités à cet identifiant. Aucun fichier de jeu créé par ce catalogue.</x:v>
      </x:c>
      <x:c r="M18" s="7" t="str"/>
      <x:c r="N18" s="7" t="str">
        <x:v>Le livrable « Secours au sol avec saut d’approche » possède une scène ou un scénario de contrôle ; ses règles proposées, ses conditions et ses retours visuels sont vérifiables séparément.</x:v>
      </x:c>
      <x:c r="O18" s="7" t="str">
        <x:v>MEA-SYS-VERTICAL</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sheetData>
  <x:conditionalFormatting sqref="D7:D18">
    <x:cfRule type="cellIs" dxfId="68" priority="1" operator="equal">
      <x:formula>"À vérifier"</x:formula>
    </x:cfRule>
    <x:cfRule type="cellIs" dxfId="69" priority="2" operator="equal">
      <x:formula>"Extrapolation"</x:formula>
    </x:cfRule>
  </x:conditionalFormatting>
  <x:conditionalFormatting sqref="C7:C18">
    <x:cfRule type="cellIs" dxfId="70" priority="3" operator="equal">
      <x:formula>"Validé"</x:formula>
    </x:cfRule>
  </x:conditionalFormatting>
  <x:conditionalFormatting sqref="E7:E18">
    <x:cfRule type="cellIs" dxfId="7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728862825f264461"/>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Andromeda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MEA-EMV-CHOSEN</x:v>
      </x:c>
      <x:c r="B7" s="9" t="str">
        <x:v>Séquence adverse — Kett Chosen</x:v>
      </x:c>
      <x:c r="C7" s="15" t="str">
        <x:v>Défini</x:v>
      </x:c>
      <x:c r="D7" s="16" t="str">
        <x:v>Extrapolation</x:v>
      </x:c>
      <x:c r="E7" s="16" t="str">
        <x:v>P1</x:v>
      </x:c>
      <x:c r="F7" s="9" t="str">
        <x:v>Livrable original proposé : Séquence adverse — Kett Chosen.</x:v>
      </x:c>
      <x:c r="G7" s="9" t="str">
        <x:v>Avance par petits groupes et tir de ligne ; annonce de grenade proposée pour déloger un couvert sans sortie forcée hors carte.</x:v>
      </x:c>
      <x:c r="H7" s="9" t="str">
        <x:v>Avance par petits groupes et tir de ligne ; annonce de grenade proposée pour déloger un couvert sans sortie forcée hors carte.</x:v>
      </x:c>
      <x:c r="I7" s="9" t="str">
        <x:v>Armure organique claire et visage kett.</x:v>
      </x:c>
      <x:c r="J7" s="9" t="str">
        <x:v>Départ, trajet ou canalisation, contact puis retour ; le pivot au sol et l’altitude visuelle restent cohérents avec les zones annoncées.</x:v>
      </x:c>
      <x:c r="K7" s="9" t="str">
        <x:v>Déclenchement au premier événement de cycle uniquement ; pause ATB et reprise ne rejouent pas le signal de menace sans nouvelle attaque.</x:v>
      </x:c>
      <x:c r="L7" s="9" t="str">
        <x:v>Prévu : fiche de données mea/enemy_moves/chosen ; rattacher les ressources et états cités à cet identifiant. Aucun fichier de jeu créé par ce catalogue.</x:v>
      </x:c>
      <x:c r="M7" s="9" t="str">
        <x:v>Campagne / multi selon rencontre.</x:v>
      </x:c>
      <x:c r="N7" s="9" t="str">
        <x:v>Le cycle de Kett Chosen réserve ses cibles et emplacements avant résolution ; interruption, cible morte et changement de scène ne laissent ni projectile ni renfort orphelin.</x:v>
      </x:c>
      <x:c r="O7" s="9" t="str">
        <x:v>MEA-ENM-CHOSEN</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MEA-EMV-ANOINTED</x:v>
      </x:c>
      <x:c r="B8" s="7" t="str">
        <x:v>Séquence adverse — Kett Anointed</x:v>
      </x:c>
      <x:c r="C8" s="15" t="str">
        <x:v>Défini</x:v>
      </x:c>
      <x:c r="D8" s="17" t="str">
        <x:v>Extrapolation</x:v>
      </x:c>
      <x:c r="E8" s="17" t="str">
        <x:v>P1</x:v>
      </x:c>
      <x:c r="F8" s="7" t="str">
        <x:v>Livrable original proposé : Séquence adverse — Kett Anointed.</x:v>
      </x:c>
      <x:c r="G8" s="7" t="str">
        <x:v>Rafale soutenue et repositionnement ; les arrêts de tir ouvrent une fenêtre de flanc distincte de la simple recharge du joueur.</x:v>
      </x:c>
      <x:c r="H8" s="7" t="str">
        <x:v>Rafale soutenue et repositionnement ; les arrêts de tir ouvrent une fenêtre de flanc distincte de la simple recharge du joueur.</x:v>
      </x:c>
      <x:c r="I8" s="7" t="str">
        <x:v>Arme lourde et plaques osseuses.</x:v>
      </x:c>
      <x:c r="J8" s="7" t="str">
        <x:v>Départ, trajet ou canalisation, contact puis retour ; le pivot au sol et l’altitude visuelle restent cohérents avec les zones annoncées.</x:v>
      </x:c>
      <x:c r="K8" s="7" t="str">
        <x:v>Déclenchement au premier événement de cycle uniquement ; pause ATB et reprise ne rejouent pas le signal de menace sans nouvelle attaque.</x:v>
      </x:c>
      <x:c r="L8" s="7" t="str">
        <x:v>Prévu : fiche de données mea/enemy_moves/anointed ; rattacher les ressources et états cités à cet identifiant. Aucun fichier de jeu créé par ce catalogue.</x:v>
      </x:c>
      <x:c r="M8" s="7" t="str">
        <x:v>Campagne / multi selon rencontre.</x:v>
      </x:c>
      <x:c r="N8" s="7" t="str">
        <x:v>Le cycle de Kett Anointed réserve ses cibles et emplacements avant résolution ; interruption, cible morte et changement de scène ne laissent ni projectile ni renfort orphelin.</x:v>
      </x:c>
      <x:c r="O8" s="7" t="str">
        <x:v>MEA-ENM-ANOINTED</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MEA-EMV-DESTINED</x:v>
      </x:c>
      <x:c r="B9" s="9" t="str">
        <x:v>Séquence adverse — Kett Destined</x:v>
      </x:c>
      <x:c r="C9" s="15" t="str">
        <x:v>Défini</x:v>
      </x:c>
      <x:c r="D9" s="16" t="str">
        <x:v>Extrapolation</x:v>
      </x:c>
      <x:c r="E9" s="16" t="str">
        <x:v>P1</x:v>
      </x:c>
      <x:c r="F9" s="9" t="str">
        <x:v>Livrable original proposé : Séquence adverse — Kett Destined.</x:v>
      </x:c>
      <x:c r="G9" s="9" t="str">
        <x:v>Soutenir un groupe puis se replier ; une zone de brouillage proposée masque visée, jamais les icônes de danger essentielles.</x:v>
      </x:c>
      <x:c r="H9" s="9" t="str">
        <x:v>Soutenir un groupe puis se replier ; une zone de brouillage proposée masque visée, jamais les icônes de danger essentielles.</x:v>
      </x:c>
      <x:c r="I9" s="9" t="str">
        <x:v>Silhouette de commandement et effets de voile.</x:v>
      </x:c>
      <x:c r="J9" s="9" t="str">
        <x:v>Départ, trajet ou canalisation, contact puis retour ; le pivot au sol et l’altitude visuelle restent cohérents avec les zones annoncées.</x:v>
      </x:c>
      <x:c r="K9" s="9" t="str">
        <x:v>Déclenchement au premier événement de cycle uniquement ; pause ATB et reprise ne rejouent pas le signal de menace sans nouvelle attaque.</x:v>
      </x:c>
      <x:c r="L9" s="9" t="str">
        <x:v>Prévu : fiche de données mea/enemy_moves/destined ; rattacher les ressources et états cités à cet identifiant. Aucun fichier de jeu créé par ce catalogue.</x:v>
      </x:c>
      <x:c r="M9" s="9" t="str">
        <x:v>Campagne / multi selon rencontre.</x:v>
      </x:c>
      <x:c r="N9" s="9" t="str">
        <x:v>Le cycle de Kett Destined réserve ses cibles et emplacements avant résolution ; interruption, cible morte et changement de scène ne laissent ni projectile ni renfort orphelin.</x:v>
      </x:c>
      <x:c r="O9" s="9" t="str">
        <x:v>MEA-ENM-DESTINED</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MEA-EMV-WRAITH</x:v>
      </x:c>
      <x:c r="B10" s="7" t="str">
        <x:v>Séquence adverse — Kett Wraith</x:v>
      </x:c>
      <x:c r="C10" s="15" t="str">
        <x:v>Défini</x:v>
      </x:c>
      <x:c r="D10" s="17" t="str">
        <x:v>Extrapolation</x:v>
      </x:c>
      <x:c r="E10" s="17" t="str">
        <x:v>P1</x:v>
      </x:c>
      <x:c r="F10" s="7" t="str">
        <x:v>Livrable original proposé : Séquence adverse — Kett Wraith.</x:v>
      </x:c>
      <x:c r="G10" s="7" t="str">
        <x:v>Approche basse puis bond ; perturbation au sol et zone d’arrivée permettent de réagir sans distinguer un sprite transparent.</x:v>
      </x:c>
      <x:c r="H10" s="7" t="str">
        <x:v>Approche basse puis bond ; perturbation au sol et zone d’arrivée permettent de réagir sans distinguer un sprite transparent.</x:v>
      </x:c>
      <x:c r="I10" s="7" t="str">
        <x:v>Quadrupède et contour de camouflage.</x:v>
      </x:c>
      <x:c r="J10" s="7" t="str">
        <x:v>Départ, trajet ou canalisation, contact puis retour ; le pivot au sol et l’altitude visuelle restent cohérents avec les zones annoncées.</x:v>
      </x:c>
      <x:c r="K10" s="7" t="str">
        <x:v>Déclenchement au premier événement de cycle uniquement ; pause ATB et reprise ne rejouent pas le signal de menace sans nouvelle attaque.</x:v>
      </x:c>
      <x:c r="L10" s="7" t="str">
        <x:v>Prévu : fiche de données mea/enemy_moves/wraith ; rattacher les ressources et états cités à cet identifiant. Aucun fichier de jeu créé par ce catalogue.</x:v>
      </x:c>
      <x:c r="M10" s="7" t="str">
        <x:v>Campagne / multi selon rencontre.</x:v>
      </x:c>
      <x:c r="N10" s="7" t="str">
        <x:v>Le cycle de Kett Wraith réserve ses cibles et emplacements avant résolution ; interruption, cible morte et changement de scène ne laissent ni projectile ni renfort orphelin.</x:v>
      </x:c>
      <x:c r="O10" s="7" t="str">
        <x:v>MEA-ENM-WRAITH</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MEA-EMV-FIEND</x:v>
      </x:c>
      <x:c r="B11" s="9" t="str">
        <x:v>Séquence adverse — Kett Fiend</x:v>
      </x:c>
      <x:c r="C11" s="15" t="str">
        <x:v>Défini</x:v>
      </x:c>
      <x:c r="D11" s="16" t="str">
        <x:v>Extrapolation</x:v>
      </x:c>
      <x:c r="E11" s="16" t="str">
        <x:v>P1</x:v>
      </x:c>
      <x:c r="F11" s="9" t="str">
        <x:v>Livrable original proposé : Séquence adverse — Kett Fiend.</x:v>
      </x:c>
      <x:c r="G11" s="9" t="str">
        <x:v>Charge, balayage et menace de prise ; réservation du trajet avant départ, phase de secours d’allié proposée avant mise hors combat.</x:v>
      </x:c>
      <x:c r="H11" s="9" t="str">
        <x:v>Charge, balayage et menace de prise ; réservation du trajet avant départ, phase de secours d’allié proposée avant mise hors combat.</x:v>
      </x:c>
      <x:c r="I11" s="9" t="str">
        <x:v>Masse quadrupède et bras puissants.</x:v>
      </x:c>
      <x:c r="J11" s="9" t="str">
        <x:v>Départ, trajet ou canalisation, contact puis retour ; le pivot au sol et l’altitude visuelle restent cohérents avec les zones annoncées.</x:v>
      </x:c>
      <x:c r="K11" s="9" t="str">
        <x:v>Déclenchement au premier événement de cycle uniquement ; pause ATB et reprise ne rejouent pas le signal de menace sans nouvelle attaque.</x:v>
      </x:c>
      <x:c r="L11" s="9" t="str">
        <x:v>Prévu : fiche de données mea/enemy_moves/fiend ; rattacher les ressources et états cités à cet identifiant. Aucun fichier de jeu créé par ce catalogue.</x:v>
      </x:c>
      <x:c r="M11" s="9" t="str">
        <x:v>Campagne / multi selon rencontre.</x:v>
      </x:c>
      <x:c r="N11" s="9" t="str">
        <x:v>Le cycle de Kett Fiend réserve ses cibles et emplacements avant résolution ; interruption, cible morte et changement de scène ne laissent ni projectile ni renfort orphelin.</x:v>
      </x:c>
      <x:c r="O11" s="9" t="str">
        <x:v>MEA-ENM-FIEND</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MEA-EMV-ASCENDANT</x:v>
      </x:c>
      <x:c r="B12" s="7" t="str">
        <x:v>Séquence adverse — Ascendant</x:v>
      </x:c>
      <x:c r="C12" s="15" t="str">
        <x:v>Défini</x:v>
      </x:c>
      <x:c r="D12" s="17" t="str">
        <x:v>Extrapolation</x:v>
      </x:c>
      <x:c r="E12" s="17" t="str">
        <x:v>P1</x:v>
      </x:c>
      <x:c r="F12" s="7" t="str">
        <x:v>Livrable original proposé : Séquence adverse — Ascendant.</x:v>
      </x:c>
      <x:c r="G12" s="7" t="str">
        <x:v>Orbe comme cible mobile séparée, champ de protection et attaque électrique ; après rupture, vraie fenêtre d’attaque puis retour signalé.</x:v>
      </x:c>
      <x:c r="H12" s="7" t="str">
        <x:v>Orbe comme cible mobile séparée, champ de protection et attaque électrique ; après rupture, vraie fenêtre d’attaque puis retour signalé.</x:v>
      </x:c>
      <x:c r="I12" s="7" t="str">
        <x:v>Kett flottant et sphère orbitale.</x:v>
      </x:c>
      <x:c r="J12" s="7" t="str">
        <x:v>Départ, trajet ou canalisation, contact puis retour ; le pivot au sol et l’altitude visuelle restent cohérents avec les zones annoncées.</x:v>
      </x:c>
      <x:c r="K12" s="7" t="str">
        <x:v>Déclenchement au premier événement de cycle uniquement ; pause ATB et reprise ne rejouent pas le signal de menace sans nouvelle attaque.</x:v>
      </x:c>
      <x:c r="L12" s="7" t="str">
        <x:v>Prévu : fiche de données mea/enemy_moves/ascendant ; rattacher les ressources et états cités à cet identifiant. Aucun fichier de jeu créé par ce catalogue.</x:v>
      </x:c>
      <x:c r="M12" s="7" t="str">
        <x:v>Campagne / multi selon rencontre.</x:v>
      </x:c>
      <x:c r="N12" s="7" t="str">
        <x:v>Le cycle de Ascendant réserve ses cibles et emplacements avant résolution ; interruption, cible morte et changement de scène ne laissent ni projectile ni renfort orphelin.</x:v>
      </x:c>
      <x:c r="O12" s="7" t="str">
        <x:v>MEA-ENM-ASCENDANT</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MEA-EMV-CARDINAL</x:v>
      </x:c>
      <x:c r="B13" s="9" t="str">
        <x:v>Séquence adverse — Le Cardinal</x:v>
      </x:c>
      <x:c r="C13" s="15" t="str">
        <x:v>Défini</x:v>
      </x:c>
      <x:c r="D13" s="16" t="str">
        <x:v>Extrapolation</x:v>
      </x:c>
      <x:c r="E13" s="16" t="str">
        <x:v>P1</x:v>
      </x:c>
      <x:c r="F13" s="9" t="str">
        <x:v>Livrable original proposé : Séquence adverse — Le Cardinal.</x:v>
      </x:c>
      <x:c r="G13" s="9" t="str">
        <x:v>Variante Ascendant avec renforts limités et phases de protection lisibles ; résolution du boss ouvre la décision sur le site.</x:v>
      </x:c>
      <x:c r="H13" s="9" t="str">
        <x:v>Variante Ascendant avec renforts limités et phases de protection lisibles ; résolution du boss ouvre la décision sur le site.</x:v>
      </x:c>
      <x:c r="I13" s="9" t="str">
        <x:v>Armure de commandement et orbe.</x:v>
      </x:c>
      <x:c r="J13" s="9" t="str">
        <x:v>Départ, trajet ou canalisation, contact puis retour ; le pivot au sol et l’altitude visuelle restent cohérents avec les zones annoncées.</x:v>
      </x:c>
      <x:c r="K13" s="9" t="str">
        <x:v>Déclenchement au premier événement de cycle uniquement ; pause ATB et reprise ne rejouent pas le signal de menace sans nouvelle attaque.</x:v>
      </x:c>
      <x:c r="L13" s="9" t="str">
        <x:v>Prévu : fiche de données mea/enemy_moves/cardinal ; rattacher les ressources et états cités à cet identifiant. Aucun fichier de jeu créé par ce catalogue.</x:v>
      </x:c>
      <x:c r="M13" s="9" t="str">
        <x:v>A Trail of Hope II.</x:v>
      </x:c>
      <x:c r="N13" s="9" t="str">
        <x:v>Le cycle de Le Cardinal réserve ses cibles et emplacements avant résolution ; interruption, cible morte et changement de scène ne laissent ni projectile ni renfort orphelin.</x:v>
      </x:c>
      <x:c r="O13" s="9" t="str">
        <x:v>MEA-ENM-CARDINAL</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MEA-EMV-INVICTOR</x:v>
      </x:c>
      <x:c r="B14" s="7" t="str">
        <x:v>Séquence adverse — Invictor</x:v>
      </x:c>
      <x:c r="C14" s="15" t="str">
        <x:v>Défini</x:v>
      </x:c>
      <x:c r="D14" s="17" t="str">
        <x:v>Extrapolation</x:v>
      </x:c>
      <x:c r="E14" s="17" t="str">
        <x:v>P1</x:v>
      </x:c>
      <x:c r="F14" s="7" t="str">
        <x:v>Livrable original proposé : Séquence adverse — Invictor.</x:v>
      </x:c>
      <x:c r="G14" s="7" t="str">
        <x:v>Variante lourde de commandement : traiter protections, renforts puis fenêtre d’exposition ; réglage original sans nombres copiés.</x:v>
      </x:c>
      <x:c r="H14" s="7" t="str">
        <x:v>Variante lourde de commandement : traiter protections, renforts puis fenêtre d’exposition ; réglage original sans nombres copiés.</x:v>
      </x:c>
      <x:c r="I14" s="7" t="str">
        <x:v>Silhouette kett et halo de boss.</x:v>
      </x:c>
      <x:c r="J14" s="7" t="str">
        <x:v>Départ, trajet ou canalisation, contact puis retour ; le pivot au sol et l’altitude visuelle restent cohérents avec les zones annoncées.</x:v>
      </x:c>
      <x:c r="K14" s="7" t="str">
        <x:v>Déclenchement au premier événement de cycle uniquement ; pause ATB et reprise ne rejouent pas le signal de menace sans nouvelle attaque.</x:v>
      </x:c>
      <x:c r="L14" s="7" t="str">
        <x:v>Prévu : fiche de données mea/enemy_moves/invictor ; rattacher les ressources et états cités à cet identifiant. Aucun fichier de jeu créé par ce catalogue.</x:v>
      </x:c>
      <x:c r="M14" s="7" t="str">
        <x:v>Defeating the Kett.</x:v>
      </x:c>
      <x:c r="N14" s="7" t="str">
        <x:v>Le cycle de Invictor réserve ses cibles et emplacements avant résolution ; interruption, cible morte et changement de scène ne laissent ni projectile ni renfort orphelin.</x:v>
      </x:c>
      <x:c r="O14" s="7" t="str">
        <x:v>MEA-ENM-INVICTOR</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MEA-EMV-ARCHON-SWORD</x:v>
      </x:c>
      <x:c r="B15" s="9" t="str">
        <x:v>Séquence adverse — Archon’s Sword</x:v>
      </x:c>
      <x:c r="C15" s="15" t="str">
        <x:v>Défini</x:v>
      </x:c>
      <x:c r="D15" s="16" t="str">
        <x:v>Extrapolation</x:v>
      </x:c>
      <x:c r="E15" s="16" t="str">
        <x:v>P1</x:v>
      </x:c>
      <x:c r="F15" s="9" t="str">
        <x:v>Livrable original proposé : Séquence adverse — Archon’s Sword.</x:v>
      </x:c>
      <x:c r="G15" s="9" t="str">
        <x:v>Offensive de commandement avec changements d’angle annoncés ; éviter téléportation sans signal hors champ.</x:v>
      </x:c>
      <x:c r="H15" s="9" t="str">
        <x:v>Offensive de commandement avec changements d’angle annoncés ; éviter téléportation sans signal hors champ.</x:v>
      </x:c>
      <x:c r="I15" s="9" t="str">
        <x:v>Armure kett distincte et effets d’énergie.</x:v>
      </x:c>
      <x:c r="J15" s="9" t="str">
        <x:v>Départ, trajet ou canalisation, contact puis retour ; le pivot au sol et l’altitude visuelle restent cohérents avec les zones annoncées.</x:v>
      </x:c>
      <x:c r="K15" s="9" t="str">
        <x:v>Déclenchement au premier événement de cycle uniquement ; pause ATB et reprise ne rejouent pas le signal de menace sans nouvelle attaque.</x:v>
      </x:c>
      <x:c r="L15" s="9" t="str">
        <x:v>Prévu : fiche de données mea/enemy_moves/archon-sword ; rattacher les ressources et états cités à cet identifiant. Aucun fichier de jeu créé par ce catalogue.</x:v>
      </x:c>
      <x:c r="M15" s="9" t="str">
        <x:v>Rencontre de campagne.</x:v>
      </x:c>
      <x:c r="N15" s="9" t="str">
        <x:v>Le cycle de Archon’s Sword réserve ses cibles et emplacements avant résolution ; interruption, cible morte et changement de scène ne laissent ni projectile ni renfort orphelin.</x:v>
      </x:c>
      <x:c r="O15" s="9" t="str">
        <x:v>MEA-ENM-ARCHON-SWORD</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MEA-EMV-VALIANT</x:v>
      </x:c>
      <x:c r="B16" s="7" t="str">
        <x:v>Séquence adverse — Valiant</x:v>
      </x:c>
      <x:c r="C16" s="15" t="str">
        <x:v>Défini</x:v>
      </x:c>
      <x:c r="D16" s="17" t="str">
        <x:v>Extrapolation</x:v>
      </x:c>
      <x:c r="E16" s="17" t="str">
        <x:v>P1</x:v>
      </x:c>
      <x:c r="F16" s="7" t="str">
        <x:v>Livrable original proposé : Séquence adverse — Valiant.</x:v>
      </x:c>
      <x:c r="G16" s="7" t="str">
        <x:v>Variante d’élite à cible prioritaire ; fenêtre de charge/attaque affichée même si renforts remplissent l’arène.</x:v>
      </x:c>
      <x:c r="H16" s="7" t="str">
        <x:v>Variante d’élite à cible prioritaire ; fenêtre de charge/attaque affichée même si renforts remplissent l’arène.</x:v>
      </x:c>
      <x:c r="I16" s="7" t="str">
        <x:v>Kett renforcé et marque d’élite.</x:v>
      </x:c>
      <x:c r="J16" s="7" t="str">
        <x:v>Départ, trajet ou canalisation, contact puis retour ; le pivot au sol et l’altitude visuelle restent cohérents avec les zones annoncées.</x:v>
      </x:c>
      <x:c r="K16" s="7" t="str">
        <x:v>Déclenchement au premier événement de cycle uniquement ; pause ATB et reprise ne rejouent pas le signal de menace sans nouvelle attaque.</x:v>
      </x:c>
      <x:c r="L16" s="7" t="str">
        <x:v>Prévu : fiche de données mea/enemy_moves/valiant ; rattacher les ressources et états cités à cet identifiant. Aucun fichier de jeu créé par ce catalogue.</x:v>
      </x:c>
      <x:c r="M16" s="7" t="str">
        <x:v>Rencontre liée à l’arche asari.</x:v>
      </x:c>
      <x:c r="N16" s="7" t="str">
        <x:v>Le cycle de Valiant réserve ses cibles et emplacements avant résolution ; interruption, cible morte et changement de scène ne laissent ni projectile ni renfort orphelin.</x:v>
      </x:c>
      <x:c r="O16" s="7" t="str">
        <x:v>MEA-ENM-VALIANT</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MEA-EMV-BEHEMOTH</x:v>
      </x:c>
      <x:c r="B17" s="9" t="str">
        <x:v>Séquence adverse — Behemoth</x:v>
      </x:c>
      <x:c r="C17" s="15" t="str">
        <x:v>Défini</x:v>
      </x:c>
      <x:c r="D17" s="16" t="str">
        <x:v>Extrapolation</x:v>
      </x:c>
      <x:c r="E17" s="16" t="str">
        <x:v>P1</x:v>
      </x:c>
      <x:c r="F17" s="9" t="str">
        <x:v>Livrable original proposé : Séquence adverse — Behemoth.</x:v>
      </x:c>
      <x:c r="G17" s="9" t="str">
        <x:v>Assaut rapproché et dégâts de zone ; corps imposant ne doit pas cacher cibles secondaires ni sortie de cône.</x:v>
      </x:c>
      <x:c r="H17" s="9" t="str">
        <x:v>Assaut rapproché et dégâts de zone ; corps imposant ne doit pas cacher cibles secondaires ni sortie de cône.</x:v>
      </x:c>
      <x:c r="I17" s="9" t="str">
        <x:v>Très grande silhouette et armure organique.</x:v>
      </x:c>
      <x:c r="J17" s="9" t="str">
        <x:v>Départ, trajet ou canalisation, contact puis retour ; le pivot au sol et l’altitude visuelle restent cohérents avec les zones annoncées.</x:v>
      </x:c>
      <x:c r="K17" s="9" t="str">
        <x:v>Déclenchement au premier événement de cycle uniquement ; pause ATB et reprise ne rejouent pas le signal de menace sans nouvelle attaque.</x:v>
      </x:c>
      <x:c r="L17" s="9" t="str">
        <x:v>Prévu : fiche de données mea/enemy_moves/behemoth ; rattacher les ressources et états cités à cet identifiant. Aucun fichier de jeu créé par ce catalogue.</x:v>
      </x:c>
      <x:c r="M17" s="9" t="str">
        <x:v>Rencontres de campagne / multi selon profil.</x:v>
      </x:c>
      <x:c r="N17" s="9" t="str">
        <x:v>Le cycle de Behemoth réserve ses cibles et emplacements avant résolution ; interruption, cible morte et changement de scène ne laissent ni projectile ni renfort orphelin.</x:v>
      </x:c>
      <x:c r="O17" s="9" t="str">
        <x:v>MEA-ENM-BEHEMOTH</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MEA-EMV-SCIENTIST</x:v>
      </x:c>
      <x:c r="B18" s="7" t="str">
        <x:v>Séquence adverse — Scientifique kett</x:v>
      </x:c>
      <x:c r="C18" s="15" t="str">
        <x:v>Défini</x:v>
      </x:c>
      <x:c r="D18" s="17" t="str">
        <x:v>Extrapolation</x:v>
      </x:c>
      <x:c r="E18" s="17" t="str">
        <x:v>P1</x:v>
      </x:c>
      <x:c r="F18" s="7" t="str">
        <x:v>Livrable original proposé : Séquence adverse — Scientifique kett.</x:v>
      </x:c>
      <x:c r="G18" s="7" t="str">
        <x:v>Rôle de laboratoire avec fuite et alarme proposés ; distinguer non-combattant narratif et ennemi actif selon scène.</x:v>
      </x:c>
      <x:c r="H18" s="7" t="str">
        <x:v>Rôle de laboratoire avec fuite et alarme proposés ; distinguer non-combattant narratif et ennemi actif selon scène.</x:v>
      </x:c>
      <x:c r="I18" s="7" t="str">
        <x:v>Tenue scientifique et instruments.</x:v>
      </x:c>
      <x:c r="J18" s="7" t="str">
        <x:v>Départ, trajet ou canalisation, contact puis retour ; le pivot au sol et l’altitude visuelle restent cohérents avec les zones annoncées.</x:v>
      </x:c>
      <x:c r="K18" s="7" t="str">
        <x:v>Déclenchement au premier événement de cycle uniquement ; pause ATB et reprise ne rejouent pas le signal de menace sans nouvelle attaque.</x:v>
      </x:c>
      <x:c r="L18" s="7" t="str">
        <x:v>Prévu : fiche de données mea/enemy_moves/scientist ; rattacher les ressources et états cités à cet identifiant. Aucun fichier de jeu créé par ce catalogue.</x:v>
      </x:c>
      <x:c r="M18" s="7" t="str">
        <x:v>Identité de rencontre à confirmer avant combat automatique.</x:v>
      </x:c>
      <x:c r="N18" s="7" t="str">
        <x:v>Le cycle de Scientifique kett réserve ses cibles et emplacements avant résolution ; interruption, cible morte et changement de scène ne laissent ni projectile ni renfort orphelin.</x:v>
      </x:c>
      <x:c r="O18" s="7" t="str">
        <x:v>MEA-ENM-SCIENTIST</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MEA-EMV-KETT-TURRET</x:v>
      </x:c>
      <x:c r="B19" s="9" t="str">
        <x:v>Séquence adverse — Tourelle kett</x:v>
      </x:c>
      <x:c r="C19" s="15" t="str">
        <x:v>Défini</x:v>
      </x:c>
      <x:c r="D19" s="16" t="str">
        <x:v>Extrapolation</x:v>
      </x:c>
      <x:c r="E19" s="16" t="str">
        <x:v>P1</x:v>
      </x:c>
      <x:c r="F19" s="9" t="str">
        <x:v>Livrable original proposé : Séquence adverse — Tourelle kett.</x:v>
      </x:c>
      <x:c r="G19" s="9" t="str">
        <x:v>Pivot puis rafale dans cône ; alimentation et piratage proposés seulement sur objets explicitement interactifs.</x:v>
      </x:c>
      <x:c r="H19" s="9" t="str">
        <x:v>Pivot puis rafale dans cône ; alimentation et piratage proposés seulement sur objets explicitement interactifs.</x:v>
      </x:c>
      <x:c r="I19" s="9" t="str">
        <x:v>Socle organique et canon.</x:v>
      </x:c>
      <x:c r="J19" s="9" t="str">
        <x:v>Départ, trajet ou canalisation, contact puis retour ; le pivot au sol et l’altitude visuelle restent cohérents avec les zones annoncées.</x:v>
      </x:c>
      <x:c r="K19" s="9" t="str">
        <x:v>Déclenchement au premier événement de cycle uniquement ; pause ATB et reprise ne rejouent pas le signal de menace sans nouvelle attaque.</x:v>
      </x:c>
      <x:c r="L19" s="9" t="str">
        <x:v>Prévu : fiche de données mea/enemy_moves/kett-turret ; rattacher les ressources et états cités à cet identifiant. Aucun fichier de jeu créé par ce catalogue.</x:v>
      </x:c>
      <x:c r="M19" s="9" t="str">
        <x:v>Rencontres kett.</x:v>
      </x:c>
      <x:c r="N19" s="9" t="str">
        <x:v>Le cycle de Tourelle kett réserve ses cibles et emplacements avant résolution ; interruption, cible morte et changement de scène ne laissent ni projectile ni renfort orphelin.</x:v>
      </x:c>
      <x:c r="O19" s="9" t="str">
        <x:v>MEA-ENM-KETT-TURRET</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MEA-EMV-RAIDER</x:v>
      </x:c>
      <x:c r="B20" s="7" t="str">
        <x:v>Séquence adverse — Raider hors-la-loi</x:v>
      </x:c>
      <x:c r="C20" s="15" t="str">
        <x:v>Défini</x:v>
      </x:c>
      <x:c r="D20" s="17" t="str">
        <x:v>Extrapolation</x:v>
      </x:c>
      <x:c r="E20" s="17" t="str">
        <x:v>P1</x:v>
      </x:c>
      <x:c r="F20" s="7" t="str">
        <x:v>Livrable original proposé : Séquence adverse — Raider hors-la-loi.</x:v>
      </x:c>
      <x:c r="G20" s="7" t="str">
        <x:v>Tir de couvert et déplacement latéral ; faction et espèce indiquées séparément pour variantes d’apparence.</x:v>
      </x:c>
      <x:c r="H20" s="7" t="str">
        <x:v>Tir de couvert et déplacement latéral ; faction et espèce indiquées séparément pour variantes d’apparence.</x:v>
      </x:c>
      <x:c r="I20" s="7" t="str">
        <x:v>Armure de récupération et fusil.</x:v>
      </x:c>
      <x:c r="J20" s="7" t="str">
        <x:v>Départ, trajet ou canalisation, contact puis retour ; le pivot au sol et l’altitude visuelle restent cohérents avec les zones annoncées.</x:v>
      </x:c>
      <x:c r="K20" s="7" t="str">
        <x:v>Déclenchement au premier événement de cycle uniquement ; pause ATB et reprise ne rejouent pas le signal de menace sans nouvelle attaque.</x:v>
      </x:c>
      <x:c r="L20" s="7" t="str">
        <x:v>Prévu : fiche de données mea/enemy_moves/raider ; rattacher les ressources et états cités à cet identifiant. Aucun fichier de jeu créé par ce catalogue.</x:v>
      </x:c>
      <x:c r="M20" s="7" t="str">
        <x:v>Campagne / multi selon rencontre.</x:v>
      </x:c>
      <x:c r="N20" s="7" t="str">
        <x:v>Le cycle de Raider hors-la-loi réserve ses cibles et emplacements avant résolution ; interruption, cible morte et changement de scène ne laissent ni projectile ni renfort orphelin.</x:v>
      </x:c>
      <x:c r="O20" s="7" t="str">
        <x:v>MEA-ENM-RAIDER</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MEA-EMV-BERSERKER</x:v>
      </x:c>
      <x:c r="B21" s="9" t="str">
        <x:v>Séquence adverse — Berserker hors-la-loi</x:v>
      </x:c>
      <x:c r="C21" s="15" t="str">
        <x:v>Défini</x:v>
      </x:c>
      <x:c r="D21" s="16" t="str">
        <x:v>Extrapolation</x:v>
      </x:c>
      <x:c r="E21" s="16" t="str">
        <x:v>P1</x:v>
      </x:c>
      <x:c r="F21" s="9" t="str">
        <x:v>Livrable original proposé : Séquence adverse — Berserker hors-la-loi.</x:v>
      </x:c>
      <x:c r="G21" s="9" t="str">
        <x:v>Avance de rupture et coup proche ; annoncer l’engagement et laisser exploiter l’angle arrière.</x:v>
      </x:c>
      <x:c r="H21" s="9" t="str">
        <x:v>Avance de rupture et coup proche ; annoncer l’engagement et laisser exploiter l’angle arrière.</x:v>
      </x:c>
      <x:c r="I21" s="9" t="str">
        <x:v>Grande armure et silhouette krogan.</x:v>
      </x:c>
      <x:c r="J21" s="9" t="str">
        <x:v>Départ, trajet ou canalisation, contact puis retour ; le pivot au sol et l’altitude visuelle restent cohérents avec les zones annoncées.</x:v>
      </x:c>
      <x:c r="K21" s="9" t="str">
        <x:v>Déclenchement au premier événement de cycle uniquement ; pause ATB et reprise ne rejouent pas le signal de menace sans nouvelle attaque.</x:v>
      </x:c>
      <x:c r="L21" s="9" t="str">
        <x:v>Prévu : fiche de données mea/enemy_moves/berserker ; rattacher les ressources et états cités à cet identifiant. Aucun fichier de jeu créé par ce catalogue.</x:v>
      </x:c>
      <x:c r="M21" s="9" t="str">
        <x:v>Campagne / multi selon rencontre.</x:v>
      </x:c>
      <x:c r="N21" s="9" t="str">
        <x:v>Le cycle de Berserker hors-la-loi réserve ses cibles et emplacements avant résolution ; interruption, cible morte et changement de scène ne laissent ni projectile ni renfort orphelin.</x:v>
      </x:c>
      <x:c r="O21" s="9" t="str">
        <x:v>MEA-ENM-BERSERKER</x:v>
      </x:c>
      <x:c r="P21" s="9" t="str">
        <x:v>Adaptation originale — spécification de production</x:v>
      </x:c>
      <x:c r="Q21" s="9" t="str"/>
      <x:c r="R21" s="9" t="str"/>
      <x:c r="S21" s="9" t="str">
        <x:v>Spécification à réaliser. Les champs adaptation, gameplay, visual, animation, audio et implementation décrivent le fan game ; ils ne donnent pas des caractéristiques officielles de l’œuvre.</x:v>
      </x:c>
    </x:row>
    <x:row r="22" ht="68" customHeight="1">
      <x:c r="A22" s="19" t="str">
        <x:v>MEA-EMV-AGENT</x:v>
      </x:c>
      <x:c r="B22" s="7" t="str">
        <x:v>Séquence adverse — Agent hors-la-loi</x:v>
      </x:c>
      <x:c r="C22" s="15" t="str">
        <x:v>Défini</x:v>
      </x:c>
      <x:c r="D22" s="17" t="str">
        <x:v>Extrapolation</x:v>
      </x:c>
      <x:c r="E22" s="17" t="str">
        <x:v>P1</x:v>
      </x:c>
      <x:c r="F22" s="7" t="str">
        <x:v>Livrable original proposé : Séquence adverse — Agent hors-la-loi.</x:v>
      </x:c>
      <x:c r="G22" s="7" t="str">
        <x:v>Soutien technique et diversion ; lien visuel vers construction ou cible affectée dans l’adaptation.</x:v>
      </x:c>
      <x:c r="H22" s="7" t="str">
        <x:v>Soutien technique et diversion ; lien visuel vers construction ou cible affectée dans l’adaptation.</x:v>
      </x:c>
      <x:c r="I22" s="7" t="str">
        <x:v>Armure légère et omni-outil.</x:v>
      </x:c>
      <x:c r="J22" s="7" t="str">
        <x:v>Départ, trajet ou canalisation, contact puis retour ; le pivot au sol et l’altitude visuelle restent cohérents avec les zones annoncées.</x:v>
      </x:c>
      <x:c r="K22" s="7" t="str">
        <x:v>Déclenchement au premier événement de cycle uniquement ; pause ATB et reprise ne rejouent pas le signal de menace sans nouvelle attaque.</x:v>
      </x:c>
      <x:c r="L22" s="7" t="str">
        <x:v>Prévu : fiche de données mea/enemy_moves/agent ; rattacher les ressources et états cités à cet identifiant. Aucun fichier de jeu créé par ce catalogue.</x:v>
      </x:c>
      <x:c r="M22" s="7" t="str">
        <x:v>Campagne / multi selon rencontre.</x:v>
      </x:c>
      <x:c r="N22" s="7" t="str">
        <x:v>Le cycle de Agent hors-la-loi réserve ses cibles et emplacements avant résolution ; interruption, cible morte et changement de scène ne laissent ni projectile ni renfort orphelin.</x:v>
      </x:c>
      <x:c r="O22" s="7" t="str">
        <x:v>MEA-ENM-AGENT</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row r="23" ht="68" customHeight="1">
      <x:c r="A23" s="18" t="str">
        <x:v>MEA-EMV-ANARCHIST</x:v>
      </x:c>
      <x:c r="B23" s="9" t="str">
        <x:v>Séquence adverse — Anarchist</x:v>
      </x:c>
      <x:c r="C23" s="15" t="str">
        <x:v>Défini</x:v>
      </x:c>
      <x:c r="D23" s="16" t="str">
        <x:v>Extrapolation</x:v>
      </x:c>
      <x:c r="E23" s="16" t="str">
        <x:v>P1</x:v>
      </x:c>
      <x:c r="F23" s="9" t="str">
        <x:v>Livrable original proposé : Séquence adverse — Anarchist.</x:v>
      </x:c>
      <x:c r="G23" s="9" t="str">
        <x:v>Projectiles de zone à trajectoire et délai visibles ; cadence limitée pour ne pas couvrir tout sol praticable.</x:v>
      </x:c>
      <x:c r="H23" s="9" t="str">
        <x:v>Projectiles de zone à trajectoire et délai visibles ; cadence limitée pour ne pas couvrir tout sol praticable.</x:v>
      </x:c>
      <x:c r="I23" s="9" t="str">
        <x:v>Charges, grenades et équipement irrégulier.</x:v>
      </x:c>
      <x:c r="J23" s="9" t="str">
        <x:v>Départ, trajet ou canalisation, contact puis retour ; le pivot au sol et l’altitude visuelle restent cohérents avec les zones annoncées.</x:v>
      </x:c>
      <x:c r="K23" s="9" t="str">
        <x:v>Déclenchement au premier événement de cycle uniquement ; pause ATB et reprise ne rejouent pas le signal de menace sans nouvelle attaque.</x:v>
      </x:c>
      <x:c r="L23" s="9" t="str">
        <x:v>Prévu : fiche de données mea/enemy_moves/anarchist ; rattacher les ressources et états cités à cet identifiant. Aucun fichier de jeu créé par ce catalogue.</x:v>
      </x:c>
      <x:c r="M23" s="9" t="str">
        <x:v>Campagne / multi selon rencontre.</x:v>
      </x:c>
      <x:c r="N23" s="9" t="str">
        <x:v>Le cycle de Anarchist réserve ses cibles et emplacements avant résolution ; interruption, cible morte et changement de scène ne laissent ni projectile ni renfort orphelin.</x:v>
      </x:c>
      <x:c r="O23" s="9" t="str">
        <x:v>MEA-ENM-ANARCHIST</x:v>
      </x:c>
      <x:c r="P23" s="9" t="str">
        <x:v>Adaptation originale — spécification de production</x:v>
      </x:c>
      <x:c r="Q23" s="9" t="str"/>
      <x:c r="R23" s="9" t="str"/>
      <x:c r="S23" s="9" t="str">
        <x:v>Spécification à réaliser. Les champs adaptation, gameplay, visual, animation, audio et implementation décrivent le fan game ; ils ne donnent pas des caractéristiques officielles de l’œuvre.</x:v>
      </x:c>
    </x:row>
    <x:row r="24" ht="68" customHeight="1">
      <x:c r="A24" s="19" t="str">
        <x:v>MEA-EMV-HYDRA</x:v>
      </x:c>
      <x:c r="B24" s="7" t="str">
        <x:v>Séquence adverse — Hydra</x:v>
      </x:c>
      <x:c r="C24" s="15" t="str">
        <x:v>Défini</x:v>
      </x:c>
      <x:c r="D24" s="17" t="str">
        <x:v>Extrapolation</x:v>
      </x:c>
      <x:c r="E24" s="17" t="str">
        <x:v>P1</x:v>
      </x:c>
      <x:c r="F24" s="7" t="str">
        <x:v>Livrable original proposé : Séquence adverse — Hydra.</x:v>
      </x:c>
      <x:c r="G24" s="7" t="str">
        <x:v>Salve de missiles, canon puis refroidissement ; tir à travers couvert uniquement si matériau marqué destructible.</x:v>
      </x:c>
      <x:c r="H24" s="7" t="str">
        <x:v>Salve de missiles, canon puis refroidissement ; tir à travers couvert uniquement si matériau marqué destructible.</x:v>
      </x:c>
      <x:c r="I24" s="7" t="str">
        <x:v>Méca large et lanceurs.</x:v>
      </x:c>
      <x:c r="J24" s="7" t="str">
        <x:v>Départ, trajet ou canalisation, contact puis retour ; le pivot au sol et l’altitude visuelle restent cohérents avec les zones annoncées.</x:v>
      </x:c>
      <x:c r="K24" s="7" t="str">
        <x:v>Déclenchement au premier événement de cycle uniquement ; pause ATB et reprise ne rejouent pas le signal de menace sans nouvelle attaque.</x:v>
      </x:c>
      <x:c r="L24" s="7" t="str">
        <x:v>Prévu : fiche de données mea/enemy_moves/hydra ; rattacher les ressources et états cités à cet identifiant. Aucun fichier de jeu créé par ce catalogue.</x:v>
      </x:c>
      <x:c r="M24" s="7" t="str">
        <x:v>Campagne / multi selon rencontre.</x:v>
      </x:c>
      <x:c r="N24" s="7" t="str">
        <x:v>Le cycle de Hydra réserve ses cibles et emplacements avant résolution ; interruption, cible morte et changement de scène ne laissent ni projectile ni renfort orphelin.</x:v>
      </x:c>
      <x:c r="O24" s="7" t="str">
        <x:v>MEA-ENM-HYDRA</x:v>
      </x:c>
      <x:c r="P24" s="7" t="str">
        <x:v>Adaptation originale — spécification de production</x:v>
      </x:c>
      <x:c r="Q24" s="7" t="str"/>
      <x:c r="R24" s="7" t="str"/>
      <x:c r="S24" s="7" t="str">
        <x:v>Spécification à réaliser. Les champs adaptation, gameplay, visual, animation, audio et implementation décrivent le fan game ; ils ne donnent pas des caractéristiques officielles de l’œuvre.</x:v>
      </x:c>
    </x:row>
    <x:row r="25" ht="68" customHeight="1">
      <x:c r="A25" s="18" t="str">
        <x:v>MEA-EMV-PARIAH</x:v>
      </x:c>
      <x:c r="B25" s="9" t="str">
        <x:v>Séquence adverse — Pariah</x:v>
      </x:c>
      <x:c r="C25" s="15" t="str">
        <x:v>Défini</x:v>
      </x:c>
      <x:c r="D25" s="16" t="str">
        <x:v>Extrapolation</x:v>
      </x:c>
      <x:c r="E25" s="16" t="str">
        <x:v>P1</x:v>
      </x:c>
      <x:c r="F25" s="9" t="str">
        <x:v>Livrable original proposé : Séquence adverse — Pariah.</x:v>
      </x:c>
      <x:c r="G25" s="9" t="str">
        <x:v>Contrôle de zone et projection ; contre visible avant déplacement forcé, résistance des gros alliés annoncée.</x:v>
      </x:c>
      <x:c r="H25" s="9" t="str">
        <x:v>Contrôle de zone et projection ; contre visible avant déplacement forcé, résistance des gros alliés annoncée.</x:v>
      </x:c>
      <x:c r="I25" s="9" t="str">
        <x:v>Asari en tenue de mercenaire.</x:v>
      </x:c>
      <x:c r="J25" s="9" t="str">
        <x:v>Départ, trajet ou canalisation, contact puis retour ; le pivot au sol et l’altitude visuelle restent cohérents avec les zones annoncées.</x:v>
      </x:c>
      <x:c r="K25" s="9" t="str">
        <x:v>Déclenchement au premier événement de cycle uniquement ; pause ATB et reprise ne rejouent pas le signal de menace sans nouvelle attaque.</x:v>
      </x:c>
      <x:c r="L25" s="9" t="str">
        <x:v>Prévu : fiche de données mea/enemy_moves/pariah ; rattacher les ressources et états cités à cet identifiant. Aucun fichier de jeu créé par ce catalogue.</x:v>
      </x:c>
      <x:c r="M25" s="9" t="str">
        <x:v>Campagne / multi selon rencontre.</x:v>
      </x:c>
      <x:c r="N25" s="9" t="str">
        <x:v>Le cycle de Pariah réserve ses cibles et emplacements avant résolution ; interruption, cible morte et changement de scène ne laissent ni projectile ni renfort orphelin.</x:v>
      </x:c>
      <x:c r="O25" s="9" t="str">
        <x:v>MEA-ENM-PARIAH</x:v>
      </x:c>
      <x:c r="P25" s="9" t="str">
        <x:v>Adaptation originale — spécification de production</x:v>
      </x:c>
      <x:c r="Q25" s="9" t="str"/>
      <x:c r="R25" s="9" t="str"/>
      <x:c r="S25" s="9" t="str">
        <x:v>Spécification à réaliser. Les champs adaptation, gameplay, visual, animation, audio et implementation décrivent le fan game ; ils ne donnent pas des caractéristiques officielles de l’œuvre.</x:v>
      </x:c>
    </x:row>
    <x:row r="26" ht="68" customHeight="1">
      <x:c r="A26" s="19" t="str">
        <x:v>MEA-EMV-SABOTEUR</x:v>
      </x:c>
      <x:c r="B26" s="7" t="str">
        <x:v>Séquence adverse — Saboteur</x:v>
      </x:c>
      <x:c r="C26" s="15" t="str">
        <x:v>Défini</x:v>
      </x:c>
      <x:c r="D26" s="17" t="str">
        <x:v>Extrapolation</x:v>
      </x:c>
      <x:c r="E26" s="17" t="str">
        <x:v>P1</x:v>
      </x:c>
      <x:c r="F26" s="7" t="str">
        <x:v>Livrable original proposé : Séquence adverse — Saboteur.</x:v>
      </x:c>
      <x:c r="G26" s="7" t="str">
        <x:v>Pose de zone dangereuse et brouillage ; l’objet placé possède sa propre cible et peut être neutralisé.</x:v>
      </x:c>
      <x:c r="H26" s="7" t="str">
        <x:v>Pose de zone dangereuse et brouillage ; l’objet placé possède sa propre cible et peut être neutralisé.</x:v>
      </x:c>
      <x:c r="I26" s="7" t="str">
        <x:v>Omni-outil et matériel de terrain.</x:v>
      </x:c>
      <x:c r="J26" s="7" t="str">
        <x:v>Départ, trajet ou canalisation, contact puis retour ; le pivot au sol et l’altitude visuelle restent cohérents avec les zones annoncées.</x:v>
      </x:c>
      <x:c r="K26" s="7" t="str">
        <x:v>Déclenchement au premier événement de cycle uniquement ; pause ATB et reprise ne rejouent pas le signal de menace sans nouvelle attaque.</x:v>
      </x:c>
      <x:c r="L26" s="7" t="str">
        <x:v>Prévu : fiche de données mea/enemy_moves/saboteur ; rattacher les ressources et états cités à cet identifiant. Aucun fichier de jeu créé par ce catalogue.</x:v>
      </x:c>
      <x:c r="M26" s="7" t="str">
        <x:v>Campagne / multi selon rencontre.</x:v>
      </x:c>
      <x:c r="N26" s="7" t="str">
        <x:v>Le cycle de Saboteur réserve ses cibles et emplacements avant résolution ; interruption, cible morte et changement de scène ne laissent ni projectile ni renfort orphelin.</x:v>
      </x:c>
      <x:c r="O26" s="7" t="str">
        <x:v>MEA-ENM-SABOTEUR</x:v>
      </x:c>
      <x:c r="P26" s="7" t="str">
        <x:v>Adaptation originale — spécification de production</x:v>
      </x:c>
      <x:c r="Q26" s="7" t="str"/>
      <x:c r="R26" s="7" t="str"/>
      <x:c r="S26" s="7" t="str">
        <x:v>Spécification à réaliser. Les champs adaptation, gameplay, visual, animation, audio et implementation décrivent le fan game ; ils ne donnent pas des caractéristiques officielles de l’œuvre.</x:v>
      </x:c>
    </x:row>
    <x:row r="27" ht="68" customHeight="1">
      <x:c r="A27" s="18" t="str">
        <x:v>MEA-EMV-SHARPSHOOTER</x:v>
      </x:c>
      <x:c r="B27" s="9" t="str">
        <x:v>Séquence adverse — Sharpshooter</x:v>
      </x:c>
      <x:c r="C27" s="15" t="str">
        <x:v>Défini</x:v>
      </x:c>
      <x:c r="D27" s="16" t="str">
        <x:v>Extrapolation</x:v>
      </x:c>
      <x:c r="E27" s="16" t="str">
        <x:v>P1</x:v>
      </x:c>
      <x:c r="F27" s="9" t="str">
        <x:v>Livrable original proposé : Séquence adverse — Sharpshooter.</x:v>
      </x:c>
      <x:c r="G27" s="9" t="str">
        <x:v>Laser de visée avant tir ; casser la ligne annule la résolution sans conserver impact fantôme.</x:v>
      </x:c>
      <x:c r="H27" s="9" t="str">
        <x:v>Laser de visée avant tir ; casser la ligne annule la résolution sans conserver impact fantôme.</x:v>
      </x:c>
      <x:c r="I27" s="9" t="str">
        <x:v>Lunette et arme longue.</x:v>
      </x:c>
      <x:c r="J27" s="9" t="str">
        <x:v>Départ, trajet ou canalisation, contact puis retour ; le pivot au sol et l’altitude visuelle restent cohérents avec les zones annoncées.</x:v>
      </x:c>
      <x:c r="K27" s="9" t="str">
        <x:v>Déclenchement au premier événement de cycle uniquement ; pause ATB et reprise ne rejouent pas le signal de menace sans nouvelle attaque.</x:v>
      </x:c>
      <x:c r="L27" s="9" t="str">
        <x:v>Prévu : fiche de données mea/enemy_moves/sharpshooter ; rattacher les ressources et états cités à cet identifiant. Aucun fichier de jeu créé par ce catalogue.</x:v>
      </x:c>
      <x:c r="M27" s="9" t="str">
        <x:v>Campagne / multi selon rencontre.</x:v>
      </x:c>
      <x:c r="N27" s="9" t="str">
        <x:v>Le cycle de Sharpshooter réserve ses cibles et emplacements avant résolution ; interruption, cible morte et changement de scène ne laissent ni projectile ni renfort orphelin.</x:v>
      </x:c>
      <x:c r="O27" s="9" t="str">
        <x:v>MEA-ENM-SHARPSHOOTER</x:v>
      </x:c>
      <x:c r="P27" s="9" t="str">
        <x:v>Adaptation originale — spécification de production</x:v>
      </x:c>
      <x:c r="Q27" s="9" t="str"/>
      <x:c r="R27" s="9" t="str"/>
      <x:c r="S27" s="9" t="str">
        <x:v>Spécification à réaliser. Les champs adaptation, gameplay, visual, animation, audio et implementation décrivent le fan game ; ils ne donnent pas des caractéristiques officielles de l’œuvre.</x:v>
      </x:c>
    </x:row>
    <x:row r="28" ht="68" customHeight="1">
      <x:c r="A28" s="19" t="str">
        <x:v>MEA-EMV-OUTLAW-TURRET</x:v>
      </x:c>
      <x:c r="B28" s="7" t="str">
        <x:v>Séquence adverse — Tourelle de hors-la-loi</x:v>
      </x:c>
      <x:c r="C28" s="15" t="str">
        <x:v>Défini</x:v>
      </x:c>
      <x:c r="D28" s="17" t="str">
        <x:v>Extrapolation</x:v>
      </x:c>
      <x:c r="E28" s="17" t="str">
        <x:v>P1</x:v>
      </x:c>
      <x:c r="F28" s="7" t="str">
        <x:v>Livrable original proposé : Séquence adverse — Tourelle de hors-la-loi.</x:v>
      </x:c>
      <x:c r="G28" s="7" t="str">
        <x:v>Cône limité, rechargement puis reprise ; couleur de faction différente de l’Assault Turret de Ryder.</x:v>
      </x:c>
      <x:c r="H28" s="7" t="str">
        <x:v>Cône limité, rechargement puis reprise ; couleur de faction différente de l’Assault Turret de Ryder.</x:v>
      </x:c>
      <x:c r="I28" s="7" t="str">
        <x:v>Trépied de récupération.</x:v>
      </x:c>
      <x:c r="J28" s="7" t="str">
        <x:v>Départ, trajet ou canalisation, contact puis retour ; le pivot au sol et l’altitude visuelle restent cohérents avec les zones annoncées.</x:v>
      </x:c>
      <x:c r="K28" s="7" t="str">
        <x:v>Déclenchement au premier événement de cycle uniquement ; pause ATB et reprise ne rejouent pas le signal de menace sans nouvelle attaque.</x:v>
      </x:c>
      <x:c r="L28" s="7" t="str">
        <x:v>Prévu : fiche de données mea/enemy_moves/outlaw-turret ; rattacher les ressources et états cités à cet identifiant. Aucun fichier de jeu créé par ce catalogue.</x:v>
      </x:c>
      <x:c r="M28" s="7" t="str">
        <x:v>Campagne / multi selon rencontre.</x:v>
      </x:c>
      <x:c r="N28" s="7" t="str">
        <x:v>Le cycle de Tourelle de hors-la-loi réserve ses cibles et emplacements avant résolution ; interruption, cible morte et changement de scène ne laissent ni projectile ni renfort orphelin.</x:v>
      </x:c>
      <x:c r="O28" s="7" t="str">
        <x:v>MEA-ENM-OUTLAW-TURRET</x:v>
      </x:c>
      <x:c r="P28" s="7" t="str">
        <x:v>Adaptation originale — spécification de production</x:v>
      </x:c>
      <x:c r="Q28" s="7" t="str"/>
      <x:c r="R28" s="7" t="str"/>
      <x:c r="S28" s="7" t="str">
        <x:v>Spécification à réaliser. Les champs adaptation, gameplay, visual, animation, audio et implementation décrivent le fan game ; ils ne donnent pas des caractéristiques officielles de l’œuvre.</x:v>
      </x:c>
    </x:row>
    <x:row r="29" ht="68" customHeight="1">
      <x:c r="A29" s="18" t="str">
        <x:v>MEA-EMV-ADHI-TRAINED</x:v>
      </x:c>
      <x:c r="B29" s="9" t="str">
        <x:v>Séquence adverse — Adhi dressé</x:v>
      </x:c>
      <x:c r="C29" s="15" t="str">
        <x:v>Défini</x:v>
      </x:c>
      <x:c r="D29" s="16" t="str">
        <x:v>Extrapolation</x:v>
      </x:c>
      <x:c r="E29" s="16" t="str">
        <x:v>P1</x:v>
      </x:c>
      <x:c r="F29" s="9" t="str">
        <x:v>Livrable original proposé : Séquence adverse — Adhi dressé.</x:v>
      </x:c>
      <x:c r="G29" s="9" t="str">
        <x:v>Course, morsure puis recul ; prise à l’avant-bras convertie en état secourable sans martèlement de touche.</x:v>
      </x:c>
      <x:c r="H29" s="9" t="str">
        <x:v>Course, morsure puis recul ; prise à l’avant-bras convertie en état secourable sans martèlement de touche.</x:v>
      </x:c>
      <x:c r="I29" s="9" t="str">
        <x:v>Quadrupède bas et harnais selon variante.</x:v>
      </x:c>
      <x:c r="J29" s="9" t="str">
        <x:v>Départ, trajet ou canalisation, contact puis retour ; le pivot au sol et l’altitude visuelle restent cohérents avec les zones annoncées.</x:v>
      </x:c>
      <x:c r="K29" s="9" t="str">
        <x:v>Déclenchement au premier événement de cycle uniquement ; pause ATB et reprise ne rejouent pas le signal de menace sans nouvelle attaque.</x:v>
      </x:c>
      <x:c r="L29" s="9" t="str">
        <x:v>Prévu : fiche de données mea/enemy_moves/adhi-trained ; rattacher les ressources et états cités à cet identifiant. Aucun fichier de jeu créé par ce catalogue.</x:v>
      </x:c>
      <x:c r="M29" s="9" t="str">
        <x:v>Faction de la rencontre distincte de faune sauvage.</x:v>
      </x:c>
      <x:c r="N29" s="9" t="str">
        <x:v>Le cycle de Adhi dressé réserve ses cibles et emplacements avant résolution ; interruption, cible morte et changement de scène ne laissent ni projectile ni renfort orphelin.</x:v>
      </x:c>
      <x:c r="O29" s="9" t="str">
        <x:v>MEA-ENM-ADHI-TRAINED</x:v>
      </x:c>
      <x:c r="P29" s="9" t="str">
        <x:v>Adaptation originale — spécification de production</x:v>
      </x:c>
      <x:c r="Q29" s="9" t="str"/>
      <x:c r="R29" s="9" t="str"/>
      <x:c r="S29" s="9" t="str">
        <x:v>Spécification à réaliser. Les champs adaptation, gameplay, visual, animation, audio et implementation décrivent le fan game ; ils ne donnent pas des caractéristiques officielles de l’œuvre.</x:v>
      </x:c>
    </x:row>
    <x:row r="30" ht="68" customHeight="1">
      <x:c r="A30" s="19" t="str">
        <x:v>MEA-EMV-ASSEMBLER</x:v>
      </x:c>
      <x:c r="B30" s="7" t="str">
        <x:v>Séquence adverse — Assembler</x:v>
      </x:c>
      <x:c r="C30" s="15" t="str">
        <x:v>Défini</x:v>
      </x:c>
      <x:c r="D30" s="17" t="str">
        <x:v>Extrapolation</x:v>
      </x:c>
      <x:c r="E30" s="17" t="str">
        <x:v>P1</x:v>
      </x:c>
      <x:c r="F30" s="7" t="str">
        <x:v>Livrable original proposé : Séquence adverse — Assembler.</x:v>
      </x:c>
      <x:c r="G30" s="7" t="str">
        <x:v>Production de renforts avec cycle annoncé et emplacements réservés ; interruption de fabrication ne crée pas d’unité invisible.</x:v>
      </x:c>
      <x:c r="H30" s="7" t="str">
        <x:v>Production de renforts avec cycle annoncé et emplacements réservés ; interruption de fabrication ne crée pas d’unité invisible.</x:v>
      </x:c>
      <x:c r="I30" s="7" t="str">
        <x:v>Machine flottante et éléments rotatifs.</x:v>
      </x:c>
      <x:c r="J30" s="7" t="str">
        <x:v>Départ, trajet ou canalisation, contact puis retour ; le pivot au sol et l’altitude visuelle restent cohérents avec les zones annoncées.</x:v>
      </x:c>
      <x:c r="K30" s="7" t="str">
        <x:v>Déclenchement au premier événement de cycle uniquement ; pause ATB et reprise ne rejouent pas le signal de menace sans nouvelle attaque.</x:v>
      </x:c>
      <x:c r="L30" s="7" t="str">
        <x:v>Prévu : fiche de données mea/enemy_moves/assembler ; rattacher les ressources et états cités à cet identifiant. Aucun fichier de jeu créé par ce catalogue.</x:v>
      </x:c>
      <x:c r="M30" s="7" t="str">
        <x:v>Sites reliquats.</x:v>
      </x:c>
      <x:c r="N30" s="7" t="str">
        <x:v>Le cycle de Assembler réserve ses cibles et emplacements avant résolution ; interruption, cible morte et changement de scène ne laissent ni projectile ni renfort orphelin.</x:v>
      </x:c>
      <x:c r="O30" s="7" t="str">
        <x:v>MEA-ENM-ASSEMBLER</x:v>
      </x:c>
      <x:c r="P30" s="7" t="str">
        <x:v>Adaptation originale — spécification de production</x:v>
      </x:c>
      <x:c r="Q30" s="7" t="str"/>
      <x:c r="R30" s="7" t="str"/>
      <x:c r="S30" s="7" t="str">
        <x:v>Spécification à réaliser. Les champs adaptation, gameplay, visual, animation, audio et implementation décrivent le fan game ; ils ne donnent pas des caractéristiques officielles de l’œuvre.</x:v>
      </x:c>
    </x:row>
    <x:row r="31" ht="68" customHeight="1">
      <x:c r="A31" s="18" t="str">
        <x:v>MEA-EMV-BREACHER</x:v>
      </x:c>
      <x:c r="B31" s="9" t="str">
        <x:v>Séquence adverse — Breacher</x:v>
      </x:c>
      <x:c r="C31" s="15" t="str">
        <x:v>Défini</x:v>
      </x:c>
      <x:c r="D31" s="16" t="str">
        <x:v>Extrapolation</x:v>
      </x:c>
      <x:c r="E31" s="16" t="str">
        <x:v>P1</x:v>
      </x:c>
      <x:c r="F31" s="9" t="str">
        <x:v>Livrable original proposé : Séquence adverse — Breacher.</x:v>
      </x:c>
      <x:c r="G31" s="9" t="str">
        <x:v>Approche de contact puis onde courte proposée ; forme basse reste sélectionnable par icône de cible.</x:v>
      </x:c>
      <x:c r="H31" s="9" t="str">
        <x:v>Approche de contact puis onde courte proposée ; forme basse reste sélectionnable par icône de cible.</x:v>
      </x:c>
      <x:c r="I31" s="9" t="str">
        <x:v>Petite machine segmentée.</x:v>
      </x:c>
      <x:c r="J31" s="9" t="str">
        <x:v>Départ, trajet ou canalisation, contact puis retour ; le pivot au sol et l’altitude visuelle restent cohérents avec les zones annoncées.</x:v>
      </x:c>
      <x:c r="K31" s="9" t="str">
        <x:v>Déclenchement au premier événement de cycle uniquement ; pause ATB et reprise ne rejouent pas le signal de menace sans nouvelle attaque.</x:v>
      </x:c>
      <x:c r="L31" s="9" t="str">
        <x:v>Prévu : fiche de données mea/enemy_moves/breacher ; rattacher les ressources et états cités à cet identifiant. Aucun fichier de jeu créé par ce catalogue.</x:v>
      </x:c>
      <x:c r="M31" s="9" t="str">
        <x:v>Sites reliquats.</x:v>
      </x:c>
      <x:c r="N31" s="9" t="str">
        <x:v>Le cycle de Breacher réserve ses cibles et emplacements avant résolution ; interruption, cible morte et changement de scène ne laissent ni projectile ni renfort orphelin.</x:v>
      </x:c>
      <x:c r="O31" s="9" t="str">
        <x:v>MEA-ENM-BREACHER</x:v>
      </x:c>
      <x:c r="P31" s="9" t="str">
        <x:v>Adaptation originale — spécification de production</x:v>
      </x:c>
      <x:c r="Q31" s="9" t="str"/>
      <x:c r="R31" s="9" t="str"/>
      <x:c r="S31" s="9" t="str">
        <x:v>Spécification à réaliser. Les champs adaptation, gameplay, visual, animation, audio et implementation décrivent le fan game ; ils ne donnent pas des caractéristiques officielles de l’œuvre.</x:v>
      </x:c>
    </x:row>
    <x:row r="32" ht="68" customHeight="1">
      <x:c r="A32" s="19" t="str">
        <x:v>MEA-EMV-CREEPER</x:v>
      </x:c>
      <x:c r="B32" s="7" t="str">
        <x:v>Séquence adverse — Creeper</x:v>
      </x:c>
      <x:c r="C32" s="15" t="str">
        <x:v>Défini</x:v>
      </x:c>
      <x:c r="D32" s="17" t="str">
        <x:v>Extrapolation</x:v>
      </x:c>
      <x:c r="E32" s="17" t="str">
        <x:v>P1</x:v>
      </x:c>
      <x:c r="F32" s="7" t="str">
        <x:v>Livrable original proposé : Séquence adverse — Creeper.</x:v>
      </x:c>
      <x:c r="G32" s="7" t="str">
        <x:v>Avance sur sol puis attaque de contact ; déplacement de mur purement visuel si collision non gérée.</x:v>
      </x:c>
      <x:c r="H32" s="7" t="str">
        <x:v>Avance sur sol puis attaque de contact ; déplacement de mur purement visuel si collision non gérée.</x:v>
      </x:c>
      <x:c r="I32" s="7" t="str">
        <x:v>Petite silhouette mécanique et pattes.</x:v>
      </x:c>
      <x:c r="J32" s="7" t="str">
        <x:v>Départ, trajet ou canalisation, contact puis retour ; le pivot au sol et l’altitude visuelle restent cohérents avec les zones annoncées.</x:v>
      </x:c>
      <x:c r="K32" s="7" t="str">
        <x:v>Déclenchement au premier événement de cycle uniquement ; pause ATB et reprise ne rejouent pas le signal de menace sans nouvelle attaque.</x:v>
      </x:c>
      <x:c r="L32" s="7" t="str">
        <x:v>Prévu : fiche de données mea/enemy_moves/creeper ; rattacher les ressources et états cités à cet identifiant. Aucun fichier de jeu créé par ce catalogue.</x:v>
      </x:c>
      <x:c r="M32" s="7" t="str">
        <x:v>Sites reliquats.</x:v>
      </x:c>
      <x:c r="N32" s="7" t="str">
        <x:v>Le cycle de Creeper réserve ses cibles et emplacements avant résolution ; interruption, cible morte et changement de scène ne laissent ni projectile ni renfort orphelin.</x:v>
      </x:c>
      <x:c r="O32" s="7" t="str">
        <x:v>MEA-ENM-CREEPER</x:v>
      </x:c>
      <x:c r="P32" s="7" t="str">
        <x:v>Adaptation originale — spécification de production</x:v>
      </x:c>
      <x:c r="Q32" s="7" t="str"/>
      <x:c r="R32" s="7" t="str"/>
      <x:c r="S32" s="7" t="str">
        <x:v>Spécification à réaliser. Les champs adaptation, gameplay, visual, animation, audio et implementation décrivent le fan game ; ils ne donnent pas des caractéristiques officielles de l’œuvre.</x:v>
      </x:c>
    </x:row>
    <x:row r="33" ht="68" customHeight="1">
      <x:c r="A33" s="18" t="str">
        <x:v>MEA-EMV-DESTROYER</x:v>
      </x:c>
      <x:c r="B33" s="9" t="str">
        <x:v>Séquence adverse — Destroyer</x:v>
      </x:c>
      <x:c r="C33" s="15" t="str">
        <x:v>Défini</x:v>
      </x:c>
      <x:c r="D33" s="16" t="str">
        <x:v>Extrapolation</x:v>
      </x:c>
      <x:c r="E33" s="16" t="str">
        <x:v>P1</x:v>
      </x:c>
      <x:c r="F33" s="9" t="str">
        <x:v>Livrable original proposé : Séquence adverse — Destroyer.</x:v>
      </x:c>
      <x:c r="G33" s="9" t="str">
        <x:v>Tourelles latérales, salves et noyau ; pièces ciblables ont barres et projections au sol indépendantes du corps.</x:v>
      </x:c>
      <x:c r="H33" s="9" t="str">
        <x:v>Tourelles latérales, salves et noyau ; pièces ciblables ont barres et projections au sol indépendantes du corps.</x:v>
      </x:c>
      <x:c r="I33" s="9" t="str">
        <x:v>Châssis massif et lumière turquoise.</x:v>
      </x:c>
      <x:c r="J33" s="9" t="str">
        <x:v>Départ, trajet ou canalisation, contact puis retour ; le pivot au sol et l’altitude visuelle restent cohérents avec les zones annoncées.</x:v>
      </x:c>
      <x:c r="K33" s="9" t="str">
        <x:v>Déclenchement au premier événement de cycle uniquement ; pause ATB et reprise ne rejouent pas le signal de menace sans nouvelle attaque.</x:v>
      </x:c>
      <x:c r="L33" s="9" t="str">
        <x:v>Prévu : fiche de données mea/enemy_moves/destroyer ; rattacher les ressources et états cités à cet identifiant. Aucun fichier de jeu créé par ce catalogue.</x:v>
      </x:c>
      <x:c r="M33" s="9" t="str">
        <x:v>Sites reliquats.</x:v>
      </x:c>
      <x:c r="N33" s="9" t="str">
        <x:v>Le cycle de Destroyer réserve ses cibles et emplacements avant résolution ; interruption, cible morte et changement de scène ne laissent ni projectile ni renfort orphelin.</x:v>
      </x:c>
      <x:c r="O33" s="9" t="str">
        <x:v>MEA-ENM-DESTROYER</x:v>
      </x:c>
      <x:c r="P33" s="9" t="str">
        <x:v>Adaptation originale — spécification de production</x:v>
      </x:c>
      <x:c r="Q33" s="9" t="str"/>
      <x:c r="R33" s="9" t="str"/>
      <x:c r="S33" s="9" t="str">
        <x:v>Spécification à réaliser. Les champs adaptation, gameplay, visual, animation, audio et implementation décrivent le fan game ; ils ne donnent pas des caractéristiques officielles de l’œuvre.</x:v>
      </x:c>
    </x:row>
    <x:row r="34" ht="68" customHeight="1">
      <x:c r="A34" s="19" t="str">
        <x:v>MEA-EMV-NULLIFIER</x:v>
      </x:c>
      <x:c r="B34" s="7" t="str">
        <x:v>Séquence adverse — Nullifier</x:v>
      </x:c>
      <x:c r="C34" s="15" t="str">
        <x:v>Défini</x:v>
      </x:c>
      <x:c r="D34" s="17" t="str">
        <x:v>Extrapolation</x:v>
      </x:c>
      <x:c r="E34" s="17" t="str">
        <x:v>P1</x:v>
      </x:c>
      <x:c r="F34" s="7" t="str">
        <x:v>Livrable original proposé : Séquence adverse — Nullifier.</x:v>
      </x:c>
      <x:c r="G34" s="7" t="str">
        <x:v>Déploiement de barrière puis tir ; exposer flanc et intervalle de reconfiguration plutôt qu’immunité totale opaque.</x:v>
      </x:c>
      <x:c r="H34" s="7" t="str">
        <x:v>Déploiement de barrière puis tir ; exposer flanc et intervalle de reconfiguration plutôt qu’immunité totale opaque.</x:v>
      </x:c>
      <x:c r="I34" s="7" t="str">
        <x:v>Bouclier frontal et corps mécanique.</x:v>
      </x:c>
      <x:c r="J34" s="7" t="str">
        <x:v>Départ, trajet ou canalisation, contact puis retour ; le pivot au sol et l’altitude visuelle restent cohérents avec les zones annoncées.</x:v>
      </x:c>
      <x:c r="K34" s="7" t="str">
        <x:v>Déclenchement au premier événement de cycle uniquement ; pause ATB et reprise ne rejouent pas le signal de menace sans nouvelle attaque.</x:v>
      </x:c>
      <x:c r="L34" s="7" t="str">
        <x:v>Prévu : fiche de données mea/enemy_moves/nullifier ; rattacher les ressources et états cités à cet identifiant. Aucun fichier de jeu créé par ce catalogue.</x:v>
      </x:c>
      <x:c r="M34" s="7" t="str">
        <x:v>Sites reliquats.</x:v>
      </x:c>
      <x:c r="N34" s="7" t="str">
        <x:v>Le cycle de Nullifier réserve ses cibles et emplacements avant résolution ; interruption, cible morte et changement de scène ne laissent ni projectile ni renfort orphelin.</x:v>
      </x:c>
      <x:c r="O34" s="7" t="str">
        <x:v>MEA-ENM-NULLIFIER</x:v>
      </x:c>
      <x:c r="P34" s="7" t="str">
        <x:v>Adaptation originale — spécification de production</x:v>
      </x:c>
      <x:c r="Q34" s="7" t="str"/>
      <x:c r="R34" s="7" t="str"/>
      <x:c r="S34" s="7" t="str">
        <x:v>Spécification à réaliser. Les champs adaptation, gameplay, visual, animation, audio et implementation décrivent le fan game ; ils ne donnent pas des caractéristiques officielles de l’œuvre.</x:v>
      </x:c>
    </x:row>
    <x:row r="35" ht="68" customHeight="1">
      <x:c r="A35" s="18" t="str">
        <x:v>MEA-EMV-OBSERVER</x:v>
      </x:c>
      <x:c r="B35" s="9" t="str">
        <x:v>Séquence adverse — Observer</x:v>
      </x:c>
      <x:c r="C35" s="15" t="str">
        <x:v>Défini</x:v>
      </x:c>
      <x:c r="D35" s="16" t="str">
        <x:v>Extrapolation</x:v>
      </x:c>
      <x:c r="E35" s="16" t="str">
        <x:v>P1</x:v>
      </x:c>
      <x:c r="F35" s="9" t="str">
        <x:v>Livrable original proposé : Séquence adverse — Observer.</x:v>
      </x:c>
      <x:c r="G35" s="9" t="str">
        <x:v>Rayon continu à préparation visible ; version alliée étiquetée et contours de faction distincts.</x:v>
      </x:c>
      <x:c r="H35" s="9" t="str">
        <x:v>Rayon continu à préparation visible ; version alliée étiquetée et contours de faction distincts.</x:v>
      </x:c>
      <x:c r="I35" s="9" t="str">
        <x:v>Petit œil flottant et faisceau.</x:v>
      </x:c>
      <x:c r="J35" s="9" t="str">
        <x:v>Départ, trajet ou canalisation, contact puis retour ; le pivot au sol et l’altitude visuelle restent cohérents avec les zones annoncées.</x:v>
      </x:c>
      <x:c r="K35" s="9" t="str">
        <x:v>Déclenchement au premier événement de cycle uniquement ; pause ATB et reprise ne rejouent pas le signal de menace sans nouvelle attaque.</x:v>
      </x:c>
      <x:c r="L35" s="9" t="str">
        <x:v>Prévu : fiche de données mea/enemy_moves/observer ; rattacher les ressources et états cités à cet identifiant. Aucun fichier de jeu créé par ce catalogue.</x:v>
      </x:c>
      <x:c r="M35" s="9" t="str">
        <x:v>Hostile ou allié selon console / mission.</x:v>
      </x:c>
      <x:c r="N35" s="9" t="str">
        <x:v>Le cycle de Observer réserve ses cibles et emplacements avant résolution ; interruption, cible morte et changement de scène ne laissent ni projectile ni renfort orphelin.</x:v>
      </x:c>
      <x:c r="O35" s="9" t="str">
        <x:v>MEA-ENM-OBSERVER</x:v>
      </x:c>
      <x:c r="P35" s="9" t="str">
        <x:v>Adaptation originale — spécification de production</x:v>
      </x:c>
      <x:c r="Q35" s="9" t="str"/>
      <x:c r="R35" s="9" t="str"/>
      <x:c r="S35" s="9" t="str">
        <x:v>Spécification à réaliser. Les champs adaptation, gameplay, visual, animation, audio et implementation décrivent le fan game ; ils ne donnent pas des caractéristiques officielles de l’œuvre.</x:v>
      </x:c>
    </x:row>
    <x:row r="36" ht="68" customHeight="1">
      <x:c r="A36" s="19" t="str">
        <x:v>MEA-EMV-REM-TURRET</x:v>
      </x:c>
      <x:c r="B36" s="7" t="str">
        <x:v>Séquence adverse — Tourelle reliquate</x:v>
      </x:c>
      <x:c r="C36" s="15" t="str">
        <x:v>Défini</x:v>
      </x:c>
      <x:c r="D36" s="17" t="str">
        <x:v>Extrapolation</x:v>
      </x:c>
      <x:c r="E36" s="17" t="str">
        <x:v>P1</x:v>
      </x:c>
      <x:c r="F36" s="7" t="str">
        <x:v>Livrable original proposé : Séquence adverse — Tourelle reliquate.</x:v>
      </x:c>
      <x:c r="G36" s="7" t="str">
        <x:v>Commande de console change faction explicitement ; conserver cible réservée ou annuler proprement lors de conversion.</x:v>
      </x:c>
      <x:c r="H36" s="7" t="str">
        <x:v>Commande de console change faction explicitement ; conserver cible réservée ou annuler proprement lors de conversion.</x:v>
      </x:c>
      <x:c r="I36" s="7" t="str">
        <x:v>Pylône et canon géométriques.</x:v>
      </x:c>
      <x:c r="J36" s="7" t="str">
        <x:v>Départ, trajet ou canalisation, contact puis retour ; le pivot au sol et l’altitude visuelle restent cohérents avec les zones annoncées.</x:v>
      </x:c>
      <x:c r="K36" s="7" t="str">
        <x:v>Déclenchement au premier événement de cycle uniquement ; pause ATB et reprise ne rejouent pas le signal de menace sans nouvelle attaque.</x:v>
      </x:c>
      <x:c r="L36" s="7" t="str">
        <x:v>Prévu : fiche de données mea/enemy_moves/rem-turret ; rattacher les ressources et états cités à cet identifiant. Aucun fichier de jeu créé par ce catalogue.</x:v>
      </x:c>
      <x:c r="M36" s="7" t="str">
        <x:v>Sites reliquats.</x:v>
      </x:c>
      <x:c r="N36" s="7" t="str">
        <x:v>Le cycle de Tourelle reliquate réserve ses cibles et emplacements avant résolution ; interruption, cible morte et changement de scène ne laissent ni projectile ni renfort orphelin.</x:v>
      </x:c>
      <x:c r="O36" s="7" t="str">
        <x:v>MEA-ENM-REM-TURRET</x:v>
      </x:c>
      <x:c r="P36" s="7" t="str">
        <x:v>Adaptation originale — spécification de production</x:v>
      </x:c>
      <x:c r="Q36" s="7" t="str"/>
      <x:c r="R36" s="7" t="str"/>
      <x:c r="S36" s="7" t="str">
        <x:v>Spécification à réaliser. Les champs adaptation, gameplay, visual, animation, audio et implementation décrivent le fan game ; ils ne donnent pas des caractéristiques officielles de l’œuvre.</x:v>
      </x:c>
    </x:row>
    <x:row r="37" ht="68" customHeight="1">
      <x:c r="A37" s="18" t="str">
        <x:v>MEA-EMV-ARCHITECT</x:v>
      </x:c>
      <x:c r="B37" s="9" t="str">
        <x:v>Séquence adverse — Architecte reliquat</x:v>
      </x:c>
      <x:c r="C37" s="15" t="str">
        <x:v>Défini</x:v>
      </x:c>
      <x:c r="D37" s="16" t="str">
        <x:v>Extrapolation</x:v>
      </x:c>
      <x:c r="E37" s="16" t="str">
        <x:v>P1</x:v>
      </x:c>
      <x:c r="F37" s="9" t="str">
        <x:v>Livrable original proposé : Séquence adverse — Architecte reliquat.</x:v>
      </x:c>
      <x:c r="G37" s="9" t="str">
        <x:v>Membres puis tête exposée, repositionnement et renforts ; attaque au sol lisible en vue isométrique, distance visuelle ne cache pas portée réelle.</x:v>
      </x:c>
      <x:c r="H37" s="9" t="str">
        <x:v>Membres puis tête exposée, repositionnement et renforts ; attaque au sol lisible en vue isométrique, distance visuelle ne cache pas portée réelle.</x:v>
      </x:c>
      <x:c r="I37" s="9" t="str">
        <x:v>Long corps et trois membres monumentaux.</x:v>
      </x:c>
      <x:c r="J37" s="9" t="str">
        <x:v>Départ, trajet ou canalisation, contact puis retour ; le pivot au sol et l’altitude visuelle restent cohérents avec les zones annoncées.</x:v>
      </x:c>
      <x:c r="K37" s="9" t="str">
        <x:v>Déclenchement au premier événement de cycle uniquement ; pause ATB et reprise ne rejouent pas le signal de menace sans nouvelle attaque.</x:v>
      </x:c>
      <x:c r="L37" s="9" t="str">
        <x:v>Prévu : fiche de données mea/enemy_moves/architect ; rattacher les ressources et états cités à cet identifiant. Aucun fichier de jeu créé par ce catalogue.</x:v>
      </x:c>
      <x:c r="M37" s="9" t="str">
        <x:v>Rencontres Eos/Voeld/Kadara/Elaaden à parametrer séparément.</x:v>
      </x:c>
      <x:c r="N37" s="9" t="str">
        <x:v>Le cycle de Architecte reliquat réserve ses cibles et emplacements avant résolution ; interruption, cible morte et changement de scène ne laissent ni projectile ni renfort orphelin.</x:v>
      </x:c>
      <x:c r="O37" s="9" t="str">
        <x:v>MEA-ENM-ARCHITECT</x:v>
      </x:c>
      <x:c r="P37" s="9" t="str">
        <x:v>Adaptation originale — spécification de production</x:v>
      </x:c>
      <x:c r="Q37" s="9" t="str"/>
      <x:c r="R37" s="9" t="str"/>
      <x:c r="S37" s="9" t="str">
        <x:v>Spécification à réaliser. Les champs adaptation, gameplay, visual, animation, audio et implementation décrivent le fan game ; ils ne donnent pas des caractéristiques officielles de l’œuvre.</x:v>
      </x:c>
    </x:row>
    <x:row r="38" ht="68" customHeight="1">
      <x:c r="A38" s="19" t="str">
        <x:v>MEA-EMV-PROGENITOR</x:v>
      </x:c>
      <x:c r="B38" s="7" t="str">
        <x:v>Séquence adverse — Progenitor</x:v>
      </x:c>
      <x:c r="C38" s="15" t="str">
        <x:v>Défini</x:v>
      </x:c>
      <x:c r="D38" s="17" t="str">
        <x:v>Extrapolation</x:v>
      </x:c>
      <x:c r="E38" s="17" t="str">
        <x:v>P1</x:v>
      </x:c>
      <x:c r="F38" s="7" t="str">
        <x:v>Livrable original proposé : Séquence adverse — Progenitor.</x:v>
      </x:c>
      <x:c r="G38" s="7" t="str">
        <x:v>Variante Destroyer à phases propres, objectifs latéraux puis cœur ; aucune nouvelle espèce inventée.</x:v>
      </x:c>
      <x:c r="H38" s="7" t="str">
        <x:v>Variante Destroyer à phases propres, objectifs latéraux puis cœur ; aucune nouvelle espèce inventée.</x:v>
      </x:c>
      <x:c r="I38" s="7" t="str">
        <x:v>Machine lourde aux points lumineux.</x:v>
      </x:c>
      <x:c r="J38" s="7" t="str">
        <x:v>Départ, trajet ou canalisation, contact puis retour ; le pivot au sol et l’altitude visuelle restent cohérents avec les zones annoncées.</x:v>
      </x:c>
      <x:c r="K38" s="7" t="str">
        <x:v>Déclenchement au premier événement de cycle uniquement ; pause ATB et reprise ne rejouent pas le signal de menace sans nouvelle attaque.</x:v>
      </x:c>
      <x:c r="L38" s="7" t="str">
        <x:v>Prévu : fiche de données mea/enemy_moves/progenitor ; rattacher les ressources et états cités à cet identifiant. Aucun fichier de jeu créé par ce catalogue.</x:v>
      </x:c>
      <x:c r="M38" s="7" t="str">
        <x:v>The Remnant Tiller.</x:v>
      </x:c>
      <x:c r="N38" s="7" t="str">
        <x:v>Le cycle de Progenitor réserve ses cibles et emplacements avant résolution ; interruption, cible morte et changement de scène ne laissent ni projectile ni renfort orphelin.</x:v>
      </x:c>
      <x:c r="O38" s="7" t="str">
        <x:v>MEA-ENM-PROGENITOR</x:v>
      </x:c>
      <x:c r="P38" s="7" t="str">
        <x:v>Adaptation originale — spécification de production</x:v>
      </x:c>
      <x:c r="Q38" s="7" t="str"/>
      <x:c r="R38" s="7" t="str"/>
      <x:c r="S38" s="7" t="str">
        <x:v>Spécification à réaliser. Les champs adaptation, gameplay, visual, animation, audio et implementation décrivent le fan game ; ils ne donnent pas des caractéristiques officielles de l’œuvre.</x:v>
      </x:c>
    </x:row>
    <x:row r="39" ht="68" customHeight="1">
      <x:c r="A39" s="18" t="str">
        <x:v>MEA-EMV-ARCHON-FINAL</x:v>
      </x:c>
      <x:c r="B39" s="9" t="str">
        <x:v>Séquence adverse — Archonte et réseau de Méridiane</x:v>
      </x:c>
      <x:c r="C39" s="15" t="str">
        <x:v>Défini</x:v>
      </x:c>
      <x:c r="D39" s="16" t="str">
        <x:v>Extrapolation</x:v>
      </x:c>
      <x:c r="E39" s="16" t="str">
        <x:v>P1</x:v>
      </x:c>
      <x:c r="F39" s="9" t="str">
        <x:v>Livrable original proposé : Séquence adverse — Archonte et réseau de Méridiane.</x:v>
      </x:c>
      <x:c r="G39" s="9" t="str">
        <x:v>Boss à objectifs : survivre aux machines, ouvrir relais puis couper contrôle ; ne pas traiter l’Archonte comme fantassin à abattre directement.</x:v>
      </x:c>
      <x:c r="H39" s="9" t="str">
        <x:v>Boss à objectifs : survivre aux machines, ouvrir relais puis couper contrôle ; ne pas traiter l’Archonte comme fantassin à abattre directement.</x:v>
      </x:c>
      <x:c r="I39" s="9" t="str">
        <x:v>Plateforme de contrôle et machine géante.</x:v>
      </x:c>
      <x:c r="J39" s="9" t="str">
        <x:v>Départ, trajet ou canalisation, contact puis retour ; le pivot au sol et l’altitude visuelle restent cohérents avec les zones annoncées.</x:v>
      </x:c>
      <x:c r="K39" s="9" t="str">
        <x:v>Déclenchement au premier événement de cycle uniquement ; pause ATB et reprise ne rejouent pas le signal de menace sans nouvelle attaque.</x:v>
      </x:c>
      <x:c r="L39" s="9" t="str">
        <x:v>Prévu : fiche de données mea/enemy_moves/archon-final ; rattacher les ressources et états cités à cet identifiant. Aucun fichier de jeu créé par ce catalogue.</x:v>
      </x:c>
      <x:c r="M39" s="9" t="str">
        <x:v>Final solo uniquement.</x:v>
      </x:c>
      <x:c r="N39" s="9" t="str">
        <x:v>Le cycle de Archonte et réseau de Méridiane réserve ses cibles et emplacements avant résolution ; interruption, cible morte et changement de scène ne laissent ni projectile ni renfort orphelin.</x:v>
      </x:c>
      <x:c r="O39" s="9" t="str">
        <x:v>MEA-ENM-ARCHON-FINAL</x:v>
      </x:c>
      <x:c r="P39" s="9" t="str">
        <x:v>Adaptation originale — spécification de production</x:v>
      </x:c>
      <x:c r="Q39" s="9" t="str"/>
      <x:c r="R39" s="9" t="str"/>
      <x:c r="S39" s="9" t="str">
        <x:v>Spécification à réaliser. Les champs adaptation, gameplay, visual, animation, audio et implementation décrivent le fan game ; ils ne donnent pas des caractéristiques officielles de l’œuvre.</x:v>
      </x:c>
    </x:row>
    <x:row r="40" ht="68" customHeight="1">
      <x:c r="A40" s="19" t="str">
        <x:v>MEA-EMV-CALOT</x:v>
      </x:c>
      <x:c r="B40" s="7" t="str">
        <x:v>Séquence adverse — Calot Gurting</x:v>
      </x:c>
      <x:c r="C40" s="15" t="str">
        <x:v>Défini</x:v>
      </x:c>
      <x:c r="D40" s="17" t="str">
        <x:v>Extrapolation</x:v>
      </x:c>
      <x:c r="E40" s="17" t="str">
        <x:v>P1</x:v>
      </x:c>
      <x:c r="F40" s="7" t="str">
        <x:v>Livrable original proposé : Séquence adverse — Calot Gurting.</x:v>
      </x:c>
      <x:c r="G40" s="7" t="str">
        <x:v>Bouclier à neutraliser par point de piratage défendu ; couvrir l’opérateur et repousser les vagues limitées.</x:v>
      </x:c>
      <x:c r="H40" s="7" t="str">
        <x:v>Bouclier à neutraliser par point de piratage défendu ; couvrir l’opérateur et repousser les vagues limitées.</x:v>
      </x:c>
      <x:c r="I40" s="7" t="str">
        <x:v>Angara de commandement et champ protecteur.</x:v>
      </x:c>
      <x:c r="J40" s="7" t="str">
        <x:v>Départ, trajet ou canalisation, contact puis retour ; le pivot au sol et l’altitude visuelle restent cohérents avec les zones annoncées.</x:v>
      </x:c>
      <x:c r="K40" s="7" t="str">
        <x:v>Déclenchement au premier événement de cycle uniquement ; pause ATB et reprise ne rejouent pas le signal de menace sans nouvelle attaque.</x:v>
      </x:c>
      <x:c r="L40" s="7" t="str">
        <x:v>Prévu : fiche de données mea/enemy_moves/calot ; rattacher les ressources et états cités à cet identifiant. Aucun fichier de jeu créé par ce catalogue.</x:v>
      </x:c>
      <x:c r="M40" s="7" t="str">
        <x:v>Liam: All In.</x:v>
      </x:c>
      <x:c r="N40" s="7" t="str">
        <x:v>Le cycle de Calot Gurting réserve ses cibles et emplacements avant résolution ; interruption, cible morte et changement de scène ne laissent ni projectile ni renfort orphelin.</x:v>
      </x:c>
      <x:c r="O40" s="7" t="str">
        <x:v>MEA-ENM-CALOT</x:v>
      </x:c>
      <x:c r="P40" s="7" t="str">
        <x:v>Adaptation originale — spécification de production</x:v>
      </x:c>
      <x:c r="Q40" s="7" t="str"/>
      <x:c r="R40" s="7" t="str"/>
      <x:c r="S40" s="7" t="str">
        <x:v>Spécification à réaliser. Les champs adaptation, gameplay, visual, animation, audio et implementation décrivent le fan game ; ils ne donnent pas des caractéristiques officielles de l’œuvre.</x:v>
      </x:c>
    </x:row>
    <x:row r="41" ht="68" customHeight="1">
      <x:c r="A41" s="18" t="str">
        <x:v>MEA-EMV-MERIWEATHER</x:v>
      </x:c>
      <x:c r="B41" s="9" t="str">
        <x:v>Séquence adverse — Meriweather</x:v>
      </x:c>
      <x:c r="C41" s="15" t="str">
        <x:v>Défini</x:v>
      </x:c>
      <x:c r="D41" s="16" t="str">
        <x:v>Extrapolation</x:v>
      </x:c>
      <x:c r="E41" s="16" t="str">
        <x:v>P1</x:v>
      </x:c>
      <x:c r="F41" s="9" t="str">
        <x:v>Livrable original proposé : Séquence adverse — Meriweather.</x:v>
      </x:c>
      <x:c r="G41" s="9" t="str">
        <x:v>Rencontre conditionnée aux sabotages de Sid ; renforts et dangers correspondent aux salles réellement préparées.</x:v>
      </x:c>
      <x:c r="H41" s="9" t="str">
        <x:v>Rencontre conditionnée aux sabotages de Sid ; renforts et dangers correspondent aux salles réellement préparées.</x:v>
      </x:c>
      <x:c r="I41" s="9" t="str">
        <x:v>Chef de groupe et mine industrielle.</x:v>
      </x:c>
      <x:c r="J41" s="9" t="str">
        <x:v>Départ, trajet ou canalisation, contact puis retour ; le pivot au sol et l’altitude visuelle restent cohérents avec les zones annoncées.</x:v>
      </x:c>
      <x:c r="K41" s="9" t="str">
        <x:v>Déclenchement au premier événement de cycle uniquement ; pause ATB et reprise ne rejouent pas le signal de menace sans nouvelle attaque.</x:v>
      </x:c>
      <x:c r="L41" s="9" t="str">
        <x:v>Prévu : fiche de données mea/enemy_moves/meriweather ; rattacher les ressources et états cités à cet identifiant. Aucun fichier de jeu créé par ce catalogue.</x:v>
      </x:c>
      <x:c r="M41" s="9" t="str">
        <x:v>Vetra: Means and Ends.</x:v>
      </x:c>
      <x:c r="N41" s="9" t="str">
        <x:v>Le cycle de Meriweather réserve ses cibles et emplacements avant résolution ; interruption, cible morte et changement de scène ne laissent ni projectile ni renfort orphelin.</x:v>
      </x:c>
      <x:c r="O41" s="9" t="str">
        <x:v>MEA-ENM-MERIWEATHER</x:v>
      </x:c>
      <x:c r="P41" s="9" t="str">
        <x:v>Adaptation originale — spécification de production</x:v>
      </x:c>
      <x:c r="Q41" s="9" t="str"/>
      <x:c r="R41" s="9" t="str"/>
      <x:c r="S41" s="9" t="str">
        <x:v>Spécification à réaliser. Les champs adaptation, gameplay, visual, animation, audio et implementation décrivent le fan game ; ils ne donnent pas des caractéristiques officielles de l’œuvre.</x:v>
      </x:c>
    </x:row>
    <x:row r="42" ht="68" customHeight="1">
      <x:c r="A42" s="19" t="str">
        <x:v>MEA-EMV-ADHI-WILD</x:v>
      </x:c>
      <x:c r="B42" s="7" t="str">
        <x:v>Séquence adverse — Adhi sauvage</x:v>
      </x:c>
      <x:c r="C42" s="15" t="str">
        <x:v>Défini</x:v>
      </x:c>
      <x:c r="D42" s="17" t="str">
        <x:v>Extrapolation</x:v>
      </x:c>
      <x:c r="E42" s="17" t="str">
        <x:v>P1</x:v>
      </x:c>
      <x:c r="F42" s="7" t="str">
        <x:v>Livrable original proposé : Séquence adverse — Adhi sauvage.</x:v>
      </x:c>
      <x:c r="G42" s="7" t="str">
        <x:v>Territoire et avertissement avant poursuite ; possibilité d’observation sans combat si le joueur reste hors zone proposée.</x:v>
      </x:c>
      <x:c r="H42" s="7" t="str">
        <x:v>Territoire et avertissement avant poursuite ; possibilité d’observation sans combat si le joueur reste hors zone proposée.</x:v>
      </x:c>
      <x:c r="I42" s="7" t="str">
        <x:v>Quadrupède nerveux.</x:v>
      </x:c>
      <x:c r="J42" s="7" t="str">
        <x:v>Départ, trajet ou canalisation, contact puis retour ; le pivot au sol et l’altitude visuelle restent cohérents avec les zones annoncées.</x:v>
      </x:c>
      <x:c r="K42" s="7" t="str">
        <x:v>Déclenchement au premier événement de cycle uniquement ; pause ATB et reprise ne rejouent pas le signal de menace sans nouvelle attaque.</x:v>
      </x:c>
      <x:c r="L42" s="7" t="str">
        <x:v>Prévu : fiche de données mea/enemy_moves/adhi-wild ; rattacher les ressources et états cités à cet identifiant. Aucun fichier de jeu créé par ce catalogue.</x:v>
      </x:c>
      <x:c r="M42" s="7" t="str">
        <x:v>Faune, pas faction kett par défaut.</x:v>
      </x:c>
      <x:c r="N42" s="7" t="str">
        <x:v>Le cycle de Adhi sauvage réserve ses cibles et emplacements avant résolution ; interruption, cible morte et changement de scène ne laissent ni projectile ni renfort orphelin.</x:v>
      </x:c>
      <x:c r="O42" s="7" t="str">
        <x:v>MEA-ENM-ADHI-WILD</x:v>
      </x:c>
      <x:c r="P42" s="7" t="str">
        <x:v>Adaptation originale — spécification de production</x:v>
      </x:c>
      <x:c r="Q42" s="7" t="str"/>
      <x:c r="R42" s="7" t="str"/>
      <x:c r="S42" s="7" t="str">
        <x:v>Spécification à réaliser. Les champs adaptation, gameplay, visual, animation, audio et implementation décrivent le fan game ; ils ne donnent pas des caractéristiques officielles de l’œuvre.</x:v>
      </x:c>
    </x:row>
    <x:row r="43" ht="68" customHeight="1">
      <x:c r="A43" s="18" t="str">
        <x:v>MEA-EMV-ANCIENT-EIROCH</x:v>
      </x:c>
      <x:c r="B43" s="9" t="str">
        <x:v>Séquence adverse — Ancient Eiroch</x:v>
      </x:c>
      <x:c r="C43" s="15" t="str">
        <x:v>Défini</x:v>
      </x:c>
      <x:c r="D43" s="16" t="str">
        <x:v>Extrapolation</x:v>
      </x:c>
      <x:c r="E43" s="16" t="str">
        <x:v>P1</x:v>
      </x:c>
      <x:c r="F43" s="9" t="str">
        <x:v>Livrable original proposé : Séquence adverse — Ancient Eiroch.</x:v>
      </x:c>
      <x:c r="G43" s="9" t="str">
        <x:v>Charge et balayage à cône large ; faiblesse proposée après collision, champ de cible indépendant de hauteur du sprite.</x:v>
      </x:c>
      <x:c r="H43" s="9" t="str">
        <x:v>Charge et balayage à cône large ; faiblesse proposée après collision, champ de cible indépendant de hauteur du sprite.</x:v>
      </x:c>
      <x:c r="I43" s="9" t="str">
        <x:v>Grand quadrupède et tête massive.</x:v>
      </x:c>
      <x:c r="J43" s="9" t="str">
        <x:v>Départ, trajet ou canalisation, contact puis retour ; le pivot au sol et l’altitude visuelle restent cohérents avec les zones annoncées.</x:v>
      </x:c>
      <x:c r="K43" s="9" t="str">
        <x:v>Déclenchement au premier événement de cycle uniquement ; pause ATB et reprise ne rejouent pas le signal de menace sans nouvelle attaque.</x:v>
      </x:c>
      <x:c r="L43" s="9" t="str">
        <x:v>Prévu : fiche de données mea/enemy_moves/ancient-eiroch ; rattacher les ressources et états cités à cet identifiant. Aucun fichier de jeu créé par ce catalogue.</x:v>
      </x:c>
      <x:c r="M43" s="9" t="str">
        <x:v>Rencontre de faune.</x:v>
      </x:c>
      <x:c r="N43" s="9" t="str">
        <x:v>Le cycle de Ancient Eiroch réserve ses cibles et emplacements avant résolution ; interruption, cible morte et changement de scène ne laissent ni projectile ni renfort orphelin.</x:v>
      </x:c>
      <x:c r="O43" s="9" t="str">
        <x:v>MEA-ENM-ANCIENT-EIROCH</x:v>
      </x:c>
      <x:c r="P43" s="9" t="str">
        <x:v>Adaptation originale — spécification de production</x:v>
      </x:c>
      <x:c r="Q43" s="9" t="str"/>
      <x:c r="R43" s="9" t="str"/>
      <x:c r="S43" s="9" t="str">
        <x:v>Spécification à réaliser. Les champs adaptation, gameplay, visual, animation, audio et implementation décrivent le fan game ; ils ne donnent pas des caractéristiques officielles de l’œuvre.</x:v>
      </x:c>
    </x:row>
    <x:row r="44" ht="68" customHeight="1">
      <x:c r="A44" s="19" t="str">
        <x:v>MEA-EMV-KAERKYN</x:v>
      </x:c>
      <x:c r="B44" s="7" t="str">
        <x:v>Séquence adverse — Kaerkyn</x:v>
      </x:c>
      <x:c r="C44" s="15" t="str">
        <x:v>Défini</x:v>
      </x:c>
      <x:c r="D44" s="17" t="str">
        <x:v>Extrapolation</x:v>
      </x:c>
      <x:c r="E44" s="17" t="str">
        <x:v>P1</x:v>
      </x:c>
      <x:c r="F44" s="7" t="str">
        <x:v>Livrable original proposé : Séquence adverse — Kaerkyn.</x:v>
      </x:c>
      <x:c r="G44" s="7" t="str">
        <x:v>Réaction de défense et déplacement court proposés ; comportement non hostile par défaut tant que rencontre ne le requiert.</x:v>
      </x:c>
      <x:c r="H44" s="7" t="str">
        <x:v>Réaction de défense et déplacement court proposés ; comportement non hostile par défaut tant que rencontre ne le requiert.</x:v>
      </x:c>
      <x:c r="I44" s="7" t="str">
        <x:v>Créature locale à silhouette distincte.</x:v>
      </x:c>
      <x:c r="J44" s="7" t="str">
        <x:v>Départ, trajet ou canalisation, contact puis retour ; le pivot au sol et l’altitude visuelle restent cohérents avec les zones annoncées.</x:v>
      </x:c>
      <x:c r="K44" s="7" t="str">
        <x:v>Déclenchement au premier événement de cycle uniquement ; pause ATB et reprise ne rejouent pas le signal de menace sans nouvelle attaque.</x:v>
      </x:c>
      <x:c r="L44" s="7" t="str">
        <x:v>Prévu : fiche de données mea/enemy_moves/kaerkyn ; rattacher les ressources et états cités à cet identifiant. Aucun fichier de jeu créé par ce catalogue.</x:v>
      </x:c>
      <x:c r="M44" s="7" t="str">
        <x:v>Paramètres d’hostilité à vérifier par lieu.</x:v>
      </x:c>
      <x:c r="N44" s="7" t="str">
        <x:v>Le cycle de Kaerkyn réserve ses cibles et emplacements avant résolution ; interruption, cible morte et changement de scène ne laissent ni projectile ni renfort orphelin.</x:v>
      </x:c>
      <x:c r="O44" s="7" t="str">
        <x:v>MEA-ENM-KAERKYN</x:v>
      </x:c>
      <x:c r="P44" s="7" t="str">
        <x:v>Adaptation originale — spécification de production</x:v>
      </x:c>
      <x:c r="Q44" s="7" t="str"/>
      <x:c r="R44" s="7" t="str"/>
      <x:c r="S44" s="7" t="str">
        <x:v>Spécification à réaliser. Les champs adaptation, gameplay, visual, animation, audio et implementation décrivent le fan game ; ils ne donnent pas des caractéristiques officielles de l’œuvre.</x:v>
      </x:c>
    </x:row>
    <x:row r="45" ht="68" customHeight="1">
      <x:c r="A45" s="18" t="str">
        <x:v>MEA-EMV-SPITBUG</x:v>
      </x:c>
      <x:c r="B45" s="9" t="str">
        <x:v>Séquence adverse — Spitbug</x:v>
      </x:c>
      <x:c r="C45" s="15" t="str">
        <x:v>Défini</x:v>
      </x:c>
      <x:c r="D45" s="16" t="str">
        <x:v>Extrapolation</x:v>
      </x:c>
      <x:c r="E45" s="16" t="str">
        <x:v>P1</x:v>
      </x:c>
      <x:c r="F45" s="9" t="str">
        <x:v>Livrable original proposé : Séquence adverse — Spitbug.</x:v>
      </x:c>
      <x:c r="G45" s="9" t="str">
        <x:v>Jet arqué puis zone persistante proposée ; trace au sol donne durée et contournement.</x:v>
      </x:c>
      <x:c r="H45" s="9" t="str">
        <x:v>Jet arqué puis zone persistante proposée ; trace au sol donne durée et contournement.</x:v>
      </x:c>
      <x:c r="I45" s="9" t="str">
        <x:v>Insectoïde et projectile visible.</x:v>
      </x:c>
      <x:c r="J45" s="9" t="str">
        <x:v>Départ, trajet ou canalisation, contact puis retour ; le pivot au sol et l’altitude visuelle restent cohérents avec les zones annoncées.</x:v>
      </x:c>
      <x:c r="K45" s="9" t="str">
        <x:v>Déclenchement au premier événement de cycle uniquement ; pause ATB et reprise ne rejouent pas le signal de menace sans nouvelle attaque.</x:v>
      </x:c>
      <x:c r="L45" s="9" t="str">
        <x:v>Prévu : fiche de données mea/enemy_moves/spitbug ; rattacher les ressources et états cités à cet identifiant. Aucun fichier de jeu créé par ce catalogue.</x:v>
      </x:c>
      <x:c r="M45" s="9" t="str">
        <x:v>Faune.</x:v>
      </x:c>
      <x:c r="N45" s="9" t="str">
        <x:v>Le cycle de Spitbug réserve ses cibles et emplacements avant résolution ; interruption, cible morte et changement de scène ne laissent ni projectile ni renfort orphelin.</x:v>
      </x:c>
      <x:c r="O45" s="9" t="str">
        <x:v>MEA-ENM-SPITBUG</x:v>
      </x:c>
      <x:c r="P45" s="9" t="str">
        <x:v>Adaptation originale — spécification de production</x:v>
      </x:c>
      <x:c r="Q45" s="9" t="str"/>
      <x:c r="R45" s="9" t="str"/>
      <x:c r="S45" s="9" t="str">
        <x:v>Spécification à réaliser. Les champs adaptation, gameplay, visual, animation, audio et implementation décrivent le fan game ; ils ne donnent pas des caractéristiques officielles de l’œuvre.</x:v>
      </x:c>
    </x:row>
    <x:row r="46" ht="68" customHeight="1">
      <x:c r="A46" s="19" t="str">
        <x:v>MEA-EMV-TAURG</x:v>
      </x:c>
      <x:c r="B46" s="7" t="str">
        <x:v>Séquence adverse — Taurg</x:v>
      </x:c>
      <x:c r="C46" s="15" t="str">
        <x:v>Défini</x:v>
      </x:c>
      <x:c r="D46" s="17" t="str">
        <x:v>Extrapolation</x:v>
      </x:c>
      <x:c r="E46" s="17" t="str">
        <x:v>P1</x:v>
      </x:c>
      <x:c r="F46" s="7" t="str">
        <x:v>Livrable original proposé : Séquence adverse — Taurg.</x:v>
      </x:c>
      <x:c r="G46" s="7" t="str">
        <x:v>Patrouille territoriale et recul d’avertissement proposés ; conservation d’une distance d’observation pour scanner.</x:v>
      </x:c>
      <x:c r="H46" s="7" t="str">
        <x:v>Patrouille territoriale et recul d’avertissement proposés ; conservation d’une distance d’observation pour scanner.</x:v>
      </x:c>
      <x:c r="I46" s="7" t="str">
        <x:v>Grande silhouette de faune.</x:v>
      </x:c>
      <x:c r="J46" s="7" t="str">
        <x:v>Départ, trajet ou canalisation, contact puis retour ; le pivot au sol et l’altitude visuelle restent cohérents avec les zones annoncées.</x:v>
      </x:c>
      <x:c r="K46" s="7" t="str">
        <x:v>Déclenchement au premier événement de cycle uniquement ; pause ATB et reprise ne rejouent pas le signal de menace sans nouvelle attaque.</x:v>
      </x:c>
      <x:c r="L46" s="7" t="str">
        <x:v>Prévu : fiche de données mea/enemy_moves/taurg ; rattacher les ressources et états cités à cet identifiant. Aucun fichier de jeu créé par ce catalogue.</x:v>
      </x:c>
      <x:c r="M46" s="7" t="str">
        <x:v>Hostilité déterminée par variante documentée.</x:v>
      </x:c>
      <x:c r="N46" s="7" t="str">
        <x:v>Le cycle de Taurg réserve ses cibles et emplacements avant résolution ; interruption, cible morte et changement de scène ne laissent ni projectile ni renfort orphelin.</x:v>
      </x:c>
      <x:c r="O46" s="7" t="str">
        <x:v>MEA-ENM-TAURG</x:v>
      </x:c>
      <x:c r="P46" s="7" t="str">
        <x:v>Adaptation originale — spécification de production</x:v>
      </x:c>
      <x:c r="Q46" s="7" t="str"/>
      <x:c r="R46" s="7" t="str"/>
      <x:c r="S46" s="7" t="str">
        <x:v>Spécification à réaliser. Les champs adaptation, gameplay, visual, animation, audio et implementation décrivent le fan game ; ils ne donnent pas des caractéristiques officielles de l’œuvre.</x:v>
      </x:c>
    </x:row>
    <x:row r="47" ht="68" customHeight="1">
      <x:c r="A47" s="18" t="str">
        <x:v>MEA-EMV-CHALLYRION</x:v>
      </x:c>
      <x:c r="B47" s="9" t="str">
        <x:v>Séquence adverse — Challyrion</x:v>
      </x:c>
      <x:c r="C47" s="15" t="str">
        <x:v>Défini</x:v>
      </x:c>
      <x:c r="D47" s="16" t="str">
        <x:v>Extrapolation</x:v>
      </x:c>
      <x:c r="E47" s="16" t="str">
        <x:v>P1</x:v>
      </x:c>
      <x:c r="F47" s="9" t="str">
        <x:v>Livrable original proposé : Séquence adverse — Challyrion.</x:v>
      </x:c>
      <x:c r="G47" s="9" t="str">
        <x:v>Variante normale observable et variante mutée dangereuse séparées ; analyser avant action reste une vraie option.</x:v>
      </x:c>
      <x:c r="H47" s="9" t="str">
        <x:v>Variante normale observable et variante mutée dangereuse séparées ; analyser avant action reste une vraie option.</x:v>
      </x:c>
      <x:c r="I47" s="9" t="str">
        <x:v>Créature de jungle et variante plus grande.</x:v>
      </x:c>
      <x:c r="J47" s="9" t="str">
        <x:v>Départ, trajet ou canalisation, contact puis retour ; le pivot au sol et l’altitude visuelle restent cohérents avec les zones annoncées.</x:v>
      </x:c>
      <x:c r="K47" s="9" t="str">
        <x:v>Déclenchement au premier événement de cycle uniquement ; pause ATB et reprise ne rejouent pas le signal de menace sans nouvelle attaque.</x:v>
      </x:c>
      <x:c r="L47" s="9" t="str">
        <x:v>Prévu : fiche de données mea/enemy_moves/challyrion ; rattacher les ressources et états cités à cet identifiant. Aucun fichier de jeu créé par ce catalogue.</x:v>
      </x:c>
      <x:c r="M47" s="9" t="str">
        <x:v>Overgrown pour variante mutée.</x:v>
      </x:c>
      <x:c r="N47" s="9" t="str">
        <x:v>Le cycle de Challyrion réserve ses cibles et emplacements avant résolution ; interruption, cible morte et changement de scène ne laissent ni projectile ni renfort orphelin.</x:v>
      </x:c>
      <x:c r="O47" s="9" t="str">
        <x:v>MEA-ENM-CHALLYRION</x:v>
      </x:c>
      <x:c r="P47" s="9" t="str">
        <x:v>Adaptation originale — spécification de production</x:v>
      </x:c>
      <x:c r="Q47" s="9" t="str"/>
      <x:c r="R47" s="9" t="str"/>
      <x:c r="S47" s="9" t="str">
        <x:v>Spécification à réaliser. Les champs adaptation, gameplay, visual, animation, audio et implementation décrivent le fan game ; ils ne donnent pas des caractéristiques officielles de l’œuvre.</x:v>
      </x:c>
    </x:row>
  </x:sheetData>
  <x:conditionalFormatting sqref="D7:D47">
    <x:cfRule type="cellIs" dxfId="72" priority="1" operator="equal">
      <x:formula>"À vérifier"</x:formula>
    </x:cfRule>
    <x:cfRule type="cellIs" dxfId="73" priority="2" operator="equal">
      <x:formula>"Extrapolation"</x:formula>
    </x:cfRule>
  </x:conditionalFormatting>
  <x:conditionalFormatting sqref="C7:C47">
    <x:cfRule type="cellIs" dxfId="74" priority="3" operator="equal">
      <x:formula>"Validé"</x:formula>
    </x:cfRule>
  </x:conditionalFormatting>
  <x:conditionalFormatting sqref="E7:E47">
    <x:cfRule type="cellIs" dxfId="75" priority="4" operator="equal">
      <x:formula>"P0"</x:formula>
    </x:cfRule>
  </x:conditionalFormatting>
  <x:dataValidations count="3">
    <x:dataValidation type="list" sqref="C7:C47">
      <x:formula1>"Défini,Prototype,Intégré,Validé"</x:formula1>
    </x:dataValidation>
    <x:dataValidation type="list" sqref="D7:D47">
      <x:formula1>"Établi,À vérifier,Extrapolation,Coupé attesté,Concept abandonné,Allégation écartée"</x:formula1>
    </x:dataValidation>
    <x:dataValidation type="list" sqref="E7:E47">
      <x:formula1>"P0,P1,P2"</x:formula1>
    </x:dataValidation>
  </x:dataValidations>
  <x:pageMargins left="0.7" right="0.7" top="0.75" bottom="0.75" header="0.3" footer="0.3"/>
  <x:tableParts count="1">
    <x:tablePart xmlns:r="http://schemas.openxmlformats.org/officeDocument/2006/relationships" r:id="R07b53066adcb4306"/>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Andromeda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MEA-ANI-JUMP</x:v>
      </x:c>
      <x:c r="B7" s="9" t="str">
        <x:v>Saut et propulseurs de Ryder</x:v>
      </x:c>
      <x:c r="C7" s="15" t="str">
        <x:v>Défini</x:v>
      </x:c>
      <x:c r="D7" s="16" t="str">
        <x:v>Extrapolation</x:v>
      </x:c>
      <x:c r="E7" s="16" t="str">
        <x:v>P1</x:v>
      </x:c>
      <x:c r="F7" s="9" t="str">
        <x:v>Livrable original proposé : Saut et propulseurs de Ryder.</x:v>
      </x:c>
      <x:c r="G7" s="9" t="str">
        <x:v>Anticipation, montée, vol bref et atterrissage ; ombre au sol et position ciblable restent distinctes de hauteur visuelle.</x:v>
      </x:c>
      <x:c r="H7" s="9" t="str">
        <x:v>Anticipation, montée, vol bref et atterrissage ; ombre au sol et position ciblable restent distinctes de hauteur visuelle.</x:v>
      </x:c>
      <x:c r="I7" s="9" t="str">
        <x:v>Traînées de propulseur et sprite aérien.</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mea/animations/jump ; rattacher les ressources et états cités à cet identifiant. Aucun fichier de jeu créé par ce catalogue.</x:v>
      </x:c>
      <x:c r="M7" s="9" t="str"/>
      <x:c r="N7" s="9" t="str">
        <x:v>Le livrable « Saut et propulseurs de Ryder » possède une scène ou un scénario de contrôle ; ses règles proposées, ses conditions et ses retours visuels sont vérifiables séparément.</x:v>
      </x:c>
      <x:c r="O7" s="9" t="str">
        <x:v>MEA-SYS-VERTICAL</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MEA-ANI-HOVER</x:v>
      </x:c>
      <x:c r="B8" s="7" t="str">
        <x:v>Visée en suspension</x:v>
      </x:c>
      <x:c r="C8" s="15" t="str">
        <x:v>Défini</x:v>
      </x:c>
      <x:c r="D8" s="17" t="str">
        <x:v>Extrapolation</x:v>
      </x:c>
      <x:c r="E8" s="17" t="str">
        <x:v>P1</x:v>
      </x:c>
      <x:c r="F8" s="7" t="str">
        <x:v>Livrable original proposé : Visée en suspension.</x:v>
      </x:c>
      <x:c r="G8" s="7" t="str">
        <x:v>Pose stable pendant fenêtre de visée, chute après durée ; impacts ne figent pas indéfiniment Ryder dans l’air.</x:v>
      </x:c>
      <x:c r="H8" s="7" t="str">
        <x:v>Pose stable pendant fenêtre de visée, chute après durée ; impacts ne figent pas indéfiniment Ryder dans l’air.</x:v>
      </x:c>
      <x:c r="I8" s="7" t="str">
        <x:v>Inclinaison du corps et petites corrections de jet.</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mea/animations/hover ; rattacher les ressources et états cités à cet identifiant. Aucun fichier de jeu créé par ce catalogue.</x:v>
      </x:c>
      <x:c r="M8" s="7" t="str"/>
      <x:c r="N8" s="7" t="str">
        <x:v>Le livrable « Visée en suspension » possède une scène ou un scénario de contrôle ; ses règles proposées, ses conditions et ses retours visuels sont vérifiables séparément.</x:v>
      </x:c>
      <x:c r="O8" s="7" t="str">
        <x:v>MEA-SYS-VERTICAL</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MEA-ANI-DASH</x:v>
      </x:c>
      <x:c r="B9" s="9" t="str">
        <x:v>Esquive latérale</x:v>
      </x:c>
      <x:c r="C9" s="15" t="str">
        <x:v>Défini</x:v>
      </x:c>
      <x:c r="D9" s="16" t="str">
        <x:v>Extrapolation</x:v>
      </x:c>
      <x:c r="E9" s="16" t="str">
        <x:v>P1</x:v>
      </x:c>
      <x:c r="F9" s="9" t="str">
        <x:v>Livrable original proposé : Esquive latérale.</x:v>
      </x:c>
      <x:c r="G9" s="9" t="str">
        <x:v>Déplacement de courte portée à destination réservée ; annulation si plafond ou bord de carte bloque le trajet.</x:v>
      </x:c>
      <x:c r="H9" s="9" t="str">
        <x:v>Déplacement de courte portée à destination réservée ; annulation si plafond ou bord de carte bloque le trajet.</x:v>
      </x:c>
      <x:c r="I9" s="9" t="str">
        <x:v>Traînée et fantôme de destination.</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mea/animations/dash ; rattacher les ressources et états cités à cet identifiant. Aucun fichier de jeu créé par ce catalogue.</x:v>
      </x:c>
      <x:c r="M9" s="9" t="str"/>
      <x:c r="N9" s="9" t="str">
        <x:v>Le livrable « Esquive latérale » possède une scène ou un scénario de contrôle ; ses règles proposées, ses conditions et ses retours visuels sont vérifiables séparément.</x:v>
      </x:c>
      <x:c r="O9" s="9" t="str">
        <x:v>MEA-SYS-VERTICAL</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MEA-ANI-COVER</x:v>
      </x:c>
      <x:c r="B10" s="7" t="str">
        <x:v>Couvert automatique adapté</x:v>
      </x:c>
      <x:c r="C10" s="15" t="str">
        <x:v>Défini</x:v>
      </x:c>
      <x:c r="D10" s="17" t="str">
        <x:v>Extrapolation</x:v>
      </x:c>
      <x:c r="E10" s="17" t="str">
        <x:v>P1</x:v>
      </x:c>
      <x:c r="F10" s="7" t="str">
        <x:v>Livrable original proposé : Couvert automatique adapté.</x:v>
      </x:c>
      <x:c r="G10" s="7" t="str">
        <x:v>Entrée/sortie déclenchée par contexte visible ; en ATB, le joueur sait si l’action conserve son couvert.</x:v>
      </x:c>
      <x:c r="H10" s="7" t="str">
        <x:v>Entrée/sortie déclenchée par contexte visible ; en ATB, le joueur sait si l’action conserve son couvert.</x:v>
      </x:c>
      <x:c r="I10" s="7" t="str">
        <x:v>Pose basse et changement d’épaule.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mea/animations/cover ; rattacher les ressources et états cités à cet identifiant. Aucun fichier de jeu créé par ce catalogue.</x:v>
      </x:c>
      <x:c r="M10" s="7" t="str"/>
      <x:c r="N10" s="7" t="str">
        <x:v>Le livrable « Couvert automatique adapté » possède une scène ou un scénario de contrôle ; ses règles proposées, ses conditions et ses retours visuels sont vérifiables séparément.</x:v>
      </x:c>
      <x:c r="O10" s="7" t="str">
        <x:v>MEA-SYS-COVER</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MEA-ANI-SCAN</x:v>
      </x:c>
      <x:c r="B11" s="9" t="str">
        <x:v>Pose de scanner</x:v>
      </x:c>
      <x:c r="C11" s="15" t="str">
        <x:v>Défini</x:v>
      </x:c>
      <x:c r="D11" s="16" t="str">
        <x:v>Extrapolation</x:v>
      </x:c>
      <x:c r="E11" s="16" t="str">
        <x:v>P1</x:v>
      </x:c>
      <x:c r="F11" s="9" t="str">
        <x:v>Livrable original proposé : Pose de scanner.</x:v>
      </x:c>
      <x:c r="G11" s="9" t="str">
        <x:v>Bras et regard sur cible, sortie immédiate vers danger ; lire un objet ne déclenche pas une animation d’attaque.</x:v>
      </x:c>
      <x:c r="H11" s="9" t="str">
        <x:v>Bras et regard sur cible, sortie immédiate vers danger ; lire un objet ne déclenche pas une animation d’attaque.</x:v>
      </x:c>
      <x:c r="I11" s="9" t="str">
        <x:v>Omni-outil ouvert et balayage.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mea/animations/scan ; rattacher les ressources et états cités à cet identifiant. Aucun fichier de jeu créé par ce catalogue.</x:v>
      </x:c>
      <x:c r="M11" s="9" t="str"/>
      <x:c r="N11" s="9" t="str">
        <x:v>Le livrable « Pose de scanner » possède une scène ou un scénario de contrôle ; ses règles proposées, ses conditions et ses retours visuels sont vérifiables séparément.</x:v>
      </x:c>
      <x:c r="O11" s="9" t="str">
        <x:v>MEA-PRP-SCANNER</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MEA-ANI-BIOTIC</x:v>
      </x:c>
      <x:c r="B12" s="7" t="str">
        <x:v>Gestuelle biotique MEA</x:v>
      </x:c>
      <x:c r="C12" s="15" t="str">
        <x:v>Défini</x:v>
      </x:c>
      <x:c r="D12" s="17" t="str">
        <x:v>Extrapolation</x:v>
      </x:c>
      <x:c r="E12" s="17" t="str">
        <x:v>P1</x:v>
      </x:c>
      <x:c r="F12" s="7" t="str">
        <x:v>Livrable original proposé : Gestuelle biotique MEA.</x:v>
      </x:c>
      <x:c r="G12" s="7" t="str">
        <x:v>Mains, déplacement et corps alignés au pouvoir ; distinguer charge physique de simple projectile.</x:v>
      </x:c>
      <x:c r="H12" s="7" t="str">
        <x:v>Mains, déplacement et corps alignés au pouvoir ; distinguer charge physique de simple projectile.</x:v>
      </x:c>
      <x:c r="I12" s="7" t="str">
        <x:v>Halo violet et poses dynamiques.</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mea/animations/biotic ; rattacher les ressources et états cités à cet identifiant. Aucun fichier de jeu créé par ce catalogue.</x:v>
      </x:c>
      <x:c r="M12" s="7" t="str"/>
      <x:c r="N12" s="7" t="str">
        <x:v>Le livrable « Gestuelle biotique MEA » possède une scène ou un scénario de contrôle ; ses règles proposées, ses conditions et ses retours visuels sont vérifiables séparément.</x:v>
      </x:c>
      <x:c r="O12" s="7" t="str">
        <x:v>MEA-POW-CHARGE, MEA-POW-THROW</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MEA-ANI-TECH</x:v>
      </x:c>
      <x:c r="B13" s="9" t="str">
        <x:v>Gestuelle technique</x:v>
      </x:c>
      <x:c r="C13" s="15" t="str">
        <x:v>Défini</x:v>
      </x:c>
      <x:c r="D13" s="16" t="str">
        <x:v>Extrapolation</x:v>
      </x:c>
      <x:c r="E13" s="16" t="str">
        <x:v>P1</x:v>
      </x:c>
      <x:c r="F13" s="9" t="str">
        <x:v>Livrable original proposé : Gestuelle technique.</x:v>
      </x:c>
      <x:c r="G13" s="9" t="str">
        <x:v>Activation d’omni-outil au bon bras, arme tenue sans duplication ; effet naît à l’événement de résolution.</x:v>
      </x:c>
      <x:c r="H13" s="9" t="str">
        <x:v>Activation d’omni-outil au bon bras, arme tenue sans duplication ; effet naît à l’événement de résolution.</x:v>
      </x:c>
      <x:c r="I13" s="9" t="str">
        <x:v>Interface orange segmentée.</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mea/animations/tech ; rattacher les ressources et états cités à cet identifiant. Aucun fichier de jeu créé par ce catalogue.</x:v>
      </x:c>
      <x:c r="M13" s="9" t="str"/>
      <x:c r="N13" s="9" t="str">
        <x:v>Le livrable « Gestuelle technique » possède une scène ou un scénario de contrôle ; ses règles proposées, ses conditions et ses retours visuels sont vérifiables séparément.</x:v>
      </x:c>
      <x:c r="O13" s="9" t="str">
        <x:v>MEA-POW-INCINERATE</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MEA-ANI-MELEE</x:v>
      </x:c>
      <x:c r="B14" s="7" t="str">
        <x:v>Familles de mêlée</x:v>
      </x:c>
      <x:c r="C14" s="15" t="str">
        <x:v>Défini</x:v>
      </x:c>
      <x:c r="D14" s="17" t="str">
        <x:v>Extrapolation</x:v>
      </x:c>
      <x:c r="E14" s="17" t="str">
        <x:v>P1</x:v>
      </x:c>
      <x:c r="F14" s="7" t="str">
        <x:v>Livrable original proposé : Familles de mêlée.</x:v>
      </x:c>
      <x:c r="G14" s="7" t="str">
        <x:v>Dague, épée, marteau et gantelet ont préparations et zones distinctes ; même arme ne change pas arbitrairement de main entre orientations.</x:v>
      </x:c>
      <x:c r="H14" s="7" t="str">
        <x:v>Dague, épée, marteau et gantelet ont préparations et zones distinctes ; même arme ne change pas arbitrairement de main entre orientations.</x:v>
      </x:c>
      <x:c r="I14" s="7" t="str">
        <x:v>Arcs de lame, marteau et poing.</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mea/animations/melee ; rattacher les ressources et états cités à cet identifiant. Aucun fichier de jeu créé par ce catalogue.</x:v>
      </x:c>
      <x:c r="M14" s="7" t="str"/>
      <x:c r="N14" s="7" t="str">
        <x:v>Le livrable « Familles de mêlée » possède une scène ou un scénario de contrôle ; ses règles proposées, ses conditions et ses retours visuels sont vérifiables séparément.</x:v>
      </x:c>
      <x:c r="O14" s="7" t="str">
        <x:v>MEA-WPN-ASARI-SWORD, MEA-WPN-KROGAN-HAMMER</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MEA-ANI-NOMAD</x:v>
      </x:c>
      <x:c r="B15" s="9" t="str">
        <x:v>Entrée, sortie et roues du Nomad</x:v>
      </x:c>
      <x:c r="C15" s="15" t="str">
        <x:v>Défini</x:v>
      </x:c>
      <x:c r="D15" s="16" t="str">
        <x:v>Extrapolation</x:v>
      </x:c>
      <x:c r="E15" s="16" t="str">
        <x:v>P1</x:v>
      </x:c>
      <x:c r="F15" s="9" t="str">
        <x:v>Livrable original proposé : Entrée, sortie et roues du Nomad.</x:v>
      </x:c>
      <x:c r="G15" s="9" t="str">
        <x:v>Poser équipiers sur cellules sûres, roues suivent relief ; mode tout-terrain a état visuel distinct sans inventer arme embarquée.</x:v>
      </x:c>
      <x:c r="H15" s="9" t="str">
        <x:v>Poser équipiers sur cellules sûres, roues suivent relief ; mode tout-terrain a état visuel distinct sans inventer arme embarquée.</x:v>
      </x:c>
      <x:c r="I15" s="9" t="str">
        <x:v>Six roues, suspension et portières.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mea/animations/nomad ; rattacher les ressources et états cités à cet identifiant. Aucun fichier de jeu créé par ce catalogue.</x:v>
      </x:c>
      <x:c r="M15" s="9" t="str"/>
      <x:c r="N15" s="9" t="str">
        <x:v>Le livrable « Entrée, sortie et roues du Nomad » possède une scène ou un scénario de contrôle ; ses règles proposées, ses conditions et ses retours visuels sont vérifiables séparément.</x:v>
      </x:c>
      <x:c r="O15" s="9" t="str">
        <x:v>MEA-SYS-NOMAD</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MEA-ANI-CORA</x:v>
      </x:c>
      <x:c r="B16" s="7" t="str">
        <x:v>Cora — protection et impact</x:v>
      </x:c>
      <x:c r="C16" s="15" t="str">
        <x:v>Défini</x:v>
      </x:c>
      <x:c r="D16" s="17" t="str">
        <x:v>Extrapolation</x:v>
      </x:c>
      <x:c r="E16" s="17" t="str">
        <x:v>P1</x:v>
      </x:c>
      <x:c r="F16" s="7" t="str">
        <x:v>Livrable original proposé : Cora — protection et impact.</x:v>
      </x:c>
      <x:c r="G16" s="7" t="str">
        <x:v>Séparer Charge, Nova et Shield Boost en silhouettes lisibles ; phase de secours n’a pas la posture offensive d’une frappe.</x:v>
      </x:c>
      <x:c r="H16" s="7" t="str">
        <x:v>Séparer Charge, Nova et Shield Boost en silhouettes lisibles ; phase de secours n’a pas la posture offensive d’une frappe.</x:v>
      </x:c>
      <x:c r="I16" s="7" t="str">
        <x:v>Fente, choc et mains protectrices.</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mea/animations/cora ; rattacher les ressources et états cités à cet identifiant. Aucun fichier de jeu créé par ce catalogue.</x:v>
      </x:c>
      <x:c r="M16" s="7" t="str"/>
      <x:c r="N16" s="7" t="str">
        <x:v>Le livrable « Cora — protection et impact » possède une scène ou un scénario de contrôle ; ses règles proposées, ses conditions et ses retours visuels sont vérifiables séparément.</x:v>
      </x:c>
      <x:c r="O16" s="7" t="str">
        <x:v>MEA-CHR-CORA</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MEA-ANI-DRACK</x:v>
      </x:c>
      <x:c r="B17" s="9" t="str">
        <x:v>Drack — poids et prothèses</x:v>
      </x:c>
      <x:c r="C17" s="15" t="str">
        <x:v>Défini</x:v>
      </x:c>
      <x:c r="D17" s="16" t="str">
        <x:v>Extrapolation</x:v>
      </x:c>
      <x:c r="E17" s="16" t="str">
        <x:v>P1</x:v>
      </x:c>
      <x:c r="F17" s="9" t="str">
        <x:v>Livrable original proposé : Drack — poids et prothèses.</x:v>
      </x:c>
      <x:c r="G17" s="9" t="str">
        <x:v>Pas lourds, charge courte et Flak Cannon ; asymétries d’armure/prothèses ne sont pas retournées par miroir paresseux.</x:v>
      </x:c>
      <x:c r="H17" s="9" t="str">
        <x:v>Pas lourds, charge courte et Flak Cannon ; asymétries d’armure/prothèses ne sont pas retournées par miroir paresseux.</x:v>
      </x:c>
      <x:c r="I17" s="9" t="str">
        <x:v>Carapace large et démarche ancienne.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mea/animations/drack ; rattacher les ressources et états cités à cet identifiant. Aucun fichier de jeu créé par ce catalogue.</x:v>
      </x:c>
      <x:c r="M17" s="9" t="str"/>
      <x:c r="N17" s="9" t="str">
        <x:v>Le livrable « Drack — poids et prothèses » possède une scène ou un scénario de contrôle ; ses règles proposées, ses conditions et ses retours visuels sont vérifiables séparément.</x:v>
      </x:c>
      <x:c r="O17" s="9" t="str">
        <x:v>MEA-CHR-DRACK</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MEA-ANI-JAAL</x:v>
      </x:c>
      <x:c r="B18" s="7" t="str">
        <x:v>Jaal — tir et repli</x:v>
      </x:c>
      <x:c r="C18" s="15" t="str">
        <x:v>Défini</x:v>
      </x:c>
      <x:c r="D18" s="17" t="str">
        <x:v>Extrapolation</x:v>
      </x:c>
      <x:c r="E18" s="17" t="str">
        <x:v>P1</x:v>
      </x:c>
      <x:c r="F18" s="7" t="str">
        <x:v>Livrable original proposé : Jaal — tir et repli.</x:v>
      </x:c>
      <x:c r="G18" s="7" t="str">
        <x:v>Appuis de tireur, voile et retour d’Avenger Strike ; conserver manteau et arme hors du volume des alliés.</x:v>
      </x:c>
      <x:c r="H18" s="7" t="str">
        <x:v>Appuis de tireur, voile et retour d’Avenger Strike ; conserver manteau et arme hors du volume des alliés.</x:v>
      </x:c>
      <x:c r="I18" s="7" t="str">
        <x:v>Manteau, épaule et silhouette angara.</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mea/animations/jaal ; rattacher les ressources et états cités à cet identifiant. Aucun fichier de jeu créé par ce catalogue.</x:v>
      </x:c>
      <x:c r="M18" s="7" t="str"/>
      <x:c r="N18" s="7" t="str">
        <x:v>Le livrable « Jaal — tir et repli » possède une scène ou un scénario de contrôle ; ses règles proposées, ses conditions et ses retours visuels sont vérifiables séparément.</x:v>
      </x:c>
      <x:c r="O18" s="7" t="str">
        <x:v>MEA-CHR-JAAL</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MEA-ANI-ASCENDANT</x:v>
      </x:c>
      <x:c r="B19" s="9" t="str">
        <x:v>Ascendant — orbe et vulnérabilité</x:v>
      </x:c>
      <x:c r="C19" s="15" t="str">
        <x:v>Défini</x:v>
      </x:c>
      <x:c r="D19" s="16" t="str">
        <x:v>Extrapolation</x:v>
      </x:c>
      <x:c r="E19" s="16" t="str">
        <x:v>P1</x:v>
      </x:c>
      <x:c r="F19" s="9" t="str">
        <x:v>Livrable original proposé : Ascendant — orbe et vulnérabilité.</x:v>
      </x:c>
      <x:c r="G19" s="9" t="str">
        <x:v>Orbite cohérente avec collision, rupture de champ puis pose exposée ; pas de sphère restant invincible après fin de phase.</x:v>
      </x:c>
      <x:c r="H19" s="9" t="str">
        <x:v>Orbite cohérente avec collision, rupture de champ puis pose exposée ; pas de sphère restant invincible après fin de phase.</x:v>
      </x:c>
      <x:c r="I19" s="9" t="str">
        <x:v>Corps flottant et orbe distinct.</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mea/animations/ascendant ; rattacher les ressources et états cités à cet identifiant. Aucun fichier de jeu créé par ce catalogue.</x:v>
      </x:c>
      <x:c r="M19" s="9" t="str"/>
      <x:c r="N19" s="9" t="str">
        <x:v>Le livrable « Ascendant — orbe et vulnérabilité » possède une scène ou un scénario de contrôle ; ses règles proposées, ses conditions et ses retours visuels sont vérifiables séparément.</x:v>
      </x:c>
      <x:c r="O19" s="9" t="str">
        <x:v>MEA-ENM-ASCENDANT</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MEA-ANI-ARCHITECT</x:v>
      </x:c>
      <x:c r="B20" s="7" t="str">
        <x:v>Architecte — déplacement monumental</x:v>
      </x:c>
      <x:c r="C20" s="15" t="str">
        <x:v>Défini</x:v>
      </x:c>
      <x:c r="D20" s="17" t="str">
        <x:v>Extrapolation</x:v>
      </x:c>
      <x:c r="E20" s="17" t="str">
        <x:v>P1</x:v>
      </x:c>
      <x:c r="F20" s="7" t="str">
        <x:v>Livrable original proposé : Architecte — déplacement monumental.</x:v>
      </x:c>
      <x:c r="G20" s="7" t="str">
        <x:v>Plier membres, déplacer corps puis rouvrir tête ; point ciblable au sol suit la bonne sous-partie sans chevaucher l’UI.</x:v>
      </x:c>
      <x:c r="H20" s="7" t="str">
        <x:v>Plier membres, déplacer corps puis rouvrir tête ; point ciblable au sol suit la bonne sous-partie sans chevaucher l’UI.</x:v>
      </x:c>
      <x:c r="I20" s="7" t="str">
        <x:v>Grandes pattes et noyau facial.</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mea/animations/architect ; rattacher les ressources et états cités à cet identifiant. Aucun fichier de jeu créé par ce catalogue.</x:v>
      </x:c>
      <x:c r="M20" s="7" t="str"/>
      <x:c r="N20" s="7" t="str">
        <x:v>Le livrable « Architecte — déplacement monumental » possède une scène ou un scénario de contrôle ; ses règles proposées, ses conditions et ses retours visuels sont vérifiables séparément.</x:v>
      </x:c>
      <x:c r="O20" s="7" t="str">
        <x:v>MEA-ENM-ARCHITECT</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MEA-ANI-FACE</x:v>
      </x:c>
      <x:c r="B21" s="9" t="str">
        <x:v>Expressions de dialogue</x:v>
      </x:c>
      <x:c r="C21" s="15" t="str">
        <x:v>Défini</x:v>
      </x:c>
      <x:c r="D21" s="16" t="str">
        <x:v>Extrapolation</x:v>
      </x:c>
      <x:c r="E21" s="16" t="str">
        <x:v>P1</x:v>
      </x:c>
      <x:c r="F21" s="9" t="str">
        <x:v>Livrable original proposé : Expressions de dialogue.</x:v>
      </x:c>
      <x:c r="G21" s="9" t="str">
        <x:v>Jeu de bouches et regard adaptés aux espèces, pauses naturelles ; les choix de ton ont expressions sobres sans grimace fixe réutilisée.</x:v>
      </x:c>
      <x:c r="H21" s="9" t="str">
        <x:v>Jeu de bouches et regard adaptés aux espèces, pauses naturelles ; les choix de ton ont expressions sobres sans grimace fixe réutilisée.</x:v>
      </x:c>
      <x:c r="I21" s="9" t="str">
        <x:v>Bustes et portraits originaux.</x:v>
      </x:c>
      <x:c r="J21" s="9" t="str">
        <x:v>Préparer état de repos, anticipation, activation et retour au repos ; aligner les événements visuels sur la résolution de l’action ATB.</x:v>
      </x:c>
      <x:c r="K21" s="9" t="str">
        <x:v>Créer des bruitages et ambiances originaux adaptés au livrable ; sous-titrer les indices utiles et proposer un réglage indépendant des effets. Aucune extraction audio demandée.</x:v>
      </x:c>
      <x:c r="L21" s="9" t="str">
        <x:v>Prévu : fiche de données mea/animations/face ; rattacher les ressources et états cités à cet identifiant. Aucun fichier de jeu créé par ce catalogue.</x:v>
      </x:c>
      <x:c r="M21" s="9" t="str"/>
      <x:c r="N21" s="9" t="str">
        <x:v>Le livrable « Expressions de dialogue » possède une scène ou un scénario de contrôle ; ses règles proposées, ses conditions et ses retours visuels sont vérifiables séparément.</x:v>
      </x:c>
      <x:c r="O21" s="9" t="str">
        <x:v>MEA-DIA-FAMILY</x:v>
      </x:c>
      <x:c r="P21" s="9" t="str">
        <x:v>Adaptation originale — spécification de production</x:v>
      </x:c>
      <x:c r="Q21" s="9" t="str"/>
      <x:c r="R21" s="9" t="str"/>
      <x:c r="S21" s="9" t="str">
        <x:v>Spécification à réaliser. Les champs adaptation, gameplay, visual, animation, audio et implementation décrivent le fan game ; ils ne donnent pas des caractéristiques officielles de l’œuvre.</x:v>
      </x:c>
    </x:row>
    <x:row r="22" ht="68" customHeight="1">
      <x:c r="A22" s="19" t="str">
        <x:v>MEA-ANI-GRAVITY</x:v>
      </x:c>
      <x:c r="B22" s="7" t="str">
        <x:v>Repositionnement après rotation</x:v>
      </x:c>
      <x:c r="C22" s="15" t="str">
        <x:v>Défini</x:v>
      </x:c>
      <x:c r="D22" s="17" t="str">
        <x:v>Extrapolation</x:v>
      </x:c>
      <x:c r="E22" s="17" t="str">
        <x:v>P1</x:v>
      </x:c>
      <x:c r="F22" s="7" t="str">
        <x:v>Livrable original proposé : Repositionnement après rotation.</x:v>
      </x:c>
      <x:c r="G22" s="7" t="str">
        <x:v>Transformer pivots et axes des acteurs pendant transition de Liam ; reprise en pose stable sans glisser le long d’un ancien mur.</x:v>
      </x:c>
      <x:c r="H22" s="7" t="str">
        <x:v>Transformer pivots et axes des acteurs pendant transition de Liam ; reprise en pose stable sans glisser le long d’un ancien mur.</x:v>
      </x:c>
      <x:c r="I22" s="7" t="str">
        <x:v>Sprites ancrés au nouveau sol.</x:v>
      </x:c>
      <x:c r="J22" s="7" t="str">
        <x:v>Préparer état de repos, anticipation, activation et retour au repos ; aligner les événements visuels sur la résolution de l’action ATB.</x:v>
      </x:c>
      <x:c r="K22" s="7" t="str">
        <x:v>Créer des bruitages et ambiances originaux adaptés au livrable ; sous-titrer les indices utiles et proposer un réglage indépendant des effets. Aucune extraction audio demandée.</x:v>
      </x:c>
      <x:c r="L22" s="7" t="str">
        <x:v>Prévu : fiche de données mea/animations/gravity ; rattacher les ressources et états cités à cet identifiant. Aucun fichier de jeu créé par ce catalogue.</x:v>
      </x:c>
      <x:c r="M22" s="7" t="str"/>
      <x:c r="N22" s="7" t="str">
        <x:v>Le livrable « Repositionnement après rotation » possède une scène ou un scénario de contrôle ; ses règles proposées, ses conditions et ses retours visuels sont vérifiables séparément.</x:v>
      </x:c>
      <x:c r="O22" s="7" t="str">
        <x:v>MEA-LNK-LIAM-GRAVITY</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sheetData>
  <x:conditionalFormatting sqref="D7:D22">
    <x:cfRule type="cellIs" dxfId="76" priority="1" operator="equal">
      <x:formula>"À vérifier"</x:formula>
    </x:cfRule>
    <x:cfRule type="cellIs" dxfId="77" priority="2" operator="equal">
      <x:formula>"Extrapolation"</x:formula>
    </x:cfRule>
  </x:conditionalFormatting>
  <x:conditionalFormatting sqref="C7:C22">
    <x:cfRule type="cellIs" dxfId="78" priority="3" operator="equal">
      <x:formula>"Validé"</x:formula>
    </x:cfRule>
  </x:conditionalFormatting>
  <x:conditionalFormatting sqref="E7:E22">
    <x:cfRule type="cellIs" dxfId="79" priority="4" operator="equal">
      <x:formula>"P0"</x:formula>
    </x:cfRule>
  </x:conditionalFormatting>
  <x:dataValidations count="3">
    <x:dataValidation type="list" sqref="C7:C22">
      <x:formula1>"Défini,Prototype,Intégré,Validé"</x:formula1>
    </x:dataValidation>
    <x:dataValidation type="list" sqref="D7:D22">
      <x:formula1>"Établi,À vérifier,Extrapolation,Coupé attesté,Concept abandonné,Allégation écartée"</x:formula1>
    </x:dataValidation>
    <x:dataValidation type="list" sqref="E7:E22">
      <x:formula1>"P0,P1,P2"</x:formula1>
    </x:dataValidation>
  </x:dataValidations>
  <x:pageMargins left="0.7" right="0.7" top="0.75" bottom="0.75" header="0.3" footer="0.3"/>
  <x:tableParts count="1">
    <x:tablePart xmlns:r="http://schemas.openxmlformats.org/officeDocument/2006/relationships" r:id="R30b31adadd7d4761"/>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Andromeda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MEA-SPR-CHR-RYDER</x:v>
      </x:c>
      <x:c r="B7" s="9" t="str">
        <x:v>Planche sprites — Pathfinder Ryder — Sara ou Scott</x:v>
      </x:c>
      <x:c r="C7" s="15" t="str">
        <x:v>Défini</x:v>
      </x:c>
      <x:c r="D7" s="16" t="str">
        <x:v>Extrapolation</x:v>
      </x:c>
      <x:c r="E7" s="16" t="str">
        <x:v>P1</x:v>
      </x:c>
      <x:c r="F7" s="9" t="str">
        <x:v>Livrable original proposé : Planche sprites — Pathfinder Ryder — Sara ou Scott.</x:v>
      </x:c>
      <x:c r="G7" s="9" t="str">
        <x:v>Produire une planche originale de Pathfinder Ryder — Sara ou Scott pour le groupe 2D sur décor 3D. Séparer visage, arme et effets pour préserver les variantes d’état décrites dans la fiche de rôle.</x:v>
      </x:c>
      <x:c r="H7" s="9" t="str">
        <x:v>Le sprite ne définit pas la hitbox. Distinguer position au sol, hauteur visuelle et zone ciblable afin que les grandes silhouettes ne cachent pas les cibles voisines.</x:v>
      </x:c>
      <x:c r="I7" s="9" t="str">
        <x:v>Personnalisation humaine et armure de Pionnier.</x:v>
      </x:c>
      <x:c r="J7" s="9" t="str">
        <x:v>Prévoir un état neutre, déplacement, préparation de l’action signature, impact reçu, mise à terre et retour en contrôle pour Pathfinder Ryder — Sara ou Scott. Éviter la duplication miroir des signes asymétriques.</x:v>
      </x:c>
      <x:c r="K7" s="9" t="str">
        <x:v>Sans bande sonore embarquée dans la planche ; émettre uniquement des événements nommés vers le système audio pour éviter les doublons.</x:v>
      </x:c>
      <x:c r="L7" s="9" t="str">
        <x:v>Prévu : fiche de données mea/sprites/chr-ryder ; rattacher les ressources et états cités à cet identifiant. Aucun fichier de jeu créé par ce catalogue.</x:v>
      </x:c>
      <x:c r="M7" s="9" t="str">
        <x:v>L’autre jumeau a un rôle narratif distinct.</x:v>
      </x:c>
      <x:c r="N7" s="9" t="str">
        <x:v>À l’échelle de jeu, Pathfinder Ryder — Sara ou Scott est identifiable en silhouette ; pivot aux pieds, masque de profondeur et huit orientations proposés restent stables devant les couverts.</x:v>
      </x:c>
      <x:c r="O7" s="9" t="str">
        <x:v>MEA-CHR-RYDER</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MEA-SPR-CHR-CORA</x:v>
      </x:c>
      <x:c r="B8" s="7" t="str">
        <x:v>Planche sprites — Cora Harper</x:v>
      </x:c>
      <x:c r="C8" s="15" t="str">
        <x:v>Défini</x:v>
      </x:c>
      <x:c r="D8" s="17" t="str">
        <x:v>Extrapolation</x:v>
      </x:c>
      <x:c r="E8" s="17" t="str">
        <x:v>P1</x:v>
      </x:c>
      <x:c r="F8" s="7" t="str">
        <x:v>Livrable original proposé : Planche sprites — Cora Harper.</x:v>
      </x:c>
      <x:c r="G8" s="7" t="str">
        <x:v>Produire une planche originale de Cora Harper pour le groupe 2D sur décor 3D. Séparer visage, arme et effets pour préserver les variantes d’état décrites dans la fiche de rôle.</x:v>
      </x:c>
      <x:c r="H8" s="7" t="str">
        <x:v>Le sprite ne définit pas la hitbox. Distinguer position au sol, hauteur visuelle et zone ciblable afin que les grandes silhouettes ne cachent pas les cibles voisines.</x:v>
      </x:c>
      <x:c r="I8" s="7" t="str">
        <x:v>Coupe courte, armure de Pionnier et halo biotique.</x:v>
      </x:c>
      <x:c r="J8" s="7" t="str">
        <x:v>Prévoir un état neutre, déplacement, préparation de l’action signature, impact reçu, mise à terre et retour en contrôle pour Cora Harper. Éviter la duplication miroir des signes asymétriques.</x:v>
      </x:c>
      <x:c r="K8" s="7" t="str">
        <x:v>Sans bande sonore embarquée dans la planche ; émettre uniquement des événements nommés vers le système audio pour éviter les doublons.</x:v>
      </x:c>
      <x:c r="L8" s="7" t="str">
        <x:v>Prévu : fiche de données mea/sprites/chr-cora ; rattacher les ressources et états cités à cet identifiant. Aucun fichier de jeu créé par ce catalogue.</x:v>
      </x:c>
      <x:c r="M8" s="7" t="str"/>
      <x:c r="N8" s="7" t="str">
        <x:v>À l’échelle de jeu, Cora Harper est identifiable en silhouette ; pivot aux pieds, masque de profondeur et huit orientations proposés restent stables devant les couverts.</x:v>
      </x:c>
      <x:c r="O8" s="7" t="str">
        <x:v>MEA-CHR-CORA</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MEA-SPR-CHR-LIAM</x:v>
      </x:c>
      <x:c r="B9" s="9" t="str">
        <x:v>Planche sprites — Liam Kosta</x:v>
      </x:c>
      <x:c r="C9" s="15" t="str">
        <x:v>Défini</x:v>
      </x:c>
      <x:c r="D9" s="16" t="str">
        <x:v>Extrapolation</x:v>
      </x:c>
      <x:c r="E9" s="16" t="str">
        <x:v>P1</x:v>
      </x:c>
      <x:c r="F9" s="9" t="str">
        <x:v>Livrable original proposé : Planche sprites — Liam Kosta.</x:v>
      </x:c>
      <x:c r="G9" s="9" t="str">
        <x:v>Produire une planche originale de Liam Kosta pour le groupe 2D sur décor 3D. Séparer visage, arme et effets pour préserver les variantes d’état décrites dans la fiche de rôle.</x:v>
      </x:c>
      <x:c r="H9" s="9" t="str">
        <x:v>Le sprite ne définit pas la hitbox. Distinguer position au sol, hauteur visuelle et zone ciblable afin que les grandes silhouettes ne cachent pas les cibles voisines.</x:v>
      </x:c>
      <x:c r="I9" s="9" t="str">
        <x:v>Armure légère et posture vive.</x:v>
      </x:c>
      <x:c r="J9" s="9" t="str">
        <x:v>Prévoir un état neutre, déplacement, préparation de l’action signature, impact reçu, mise à terre et retour en contrôle pour Liam Kosta. Éviter la duplication miroir des signes asymétriques.</x:v>
      </x:c>
      <x:c r="K9" s="9" t="str">
        <x:v>Sans bande sonore embarquée dans la planche ; émettre uniquement des événements nommés vers le système audio pour éviter les doublons.</x:v>
      </x:c>
      <x:c r="L9" s="9" t="str">
        <x:v>Prévu : fiche de données mea/sprites/chr-liam ; rattacher les ressources et états cités à cet identifiant. Aucun fichier de jeu créé par ce catalogue.</x:v>
      </x:c>
      <x:c r="M9" s="9" t="str"/>
      <x:c r="N9" s="9" t="str">
        <x:v>À l’échelle de jeu, Liam Kosta est identifiable en silhouette ; pivot aux pieds, masque de profondeur et huit orientations proposés restent stables devant les couverts.</x:v>
      </x:c>
      <x:c r="O9" s="9" t="str">
        <x:v>MEA-CHR-LIAM</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MEA-SPR-CHR-VETRA</x:v>
      </x:c>
      <x:c r="B10" s="7" t="str">
        <x:v>Planche sprites — Vetra Nyx</x:v>
      </x:c>
      <x:c r="C10" s="15" t="str">
        <x:v>Défini</x:v>
      </x:c>
      <x:c r="D10" s="17" t="str">
        <x:v>Extrapolation</x:v>
      </x:c>
      <x:c r="E10" s="17" t="str">
        <x:v>P1</x:v>
      </x:c>
      <x:c r="F10" s="7" t="str">
        <x:v>Livrable original proposé : Planche sprites — Vetra Nyx.</x:v>
      </x:c>
      <x:c r="G10" s="7" t="str">
        <x:v>Produire une planche originale de Vetra Nyx pour le groupe 2D sur décor 3D. Séparer visage, arme et effets pour préserver les variantes d’état décrites dans la fiche de rôle.</x:v>
      </x:c>
      <x:c r="H10" s="7" t="str">
        <x:v>Le sprite ne définit pas la hitbox. Distinguer position au sol, hauteur visuelle et zone ciblable afin que les grandes silhouettes ne cachent pas les cibles voisines.</x:v>
      </x:c>
      <x:c r="I10" s="7" t="str">
        <x:v>Grande silhouette turienne, visière et armure sombre.</x:v>
      </x:c>
      <x:c r="J10" s="7" t="str">
        <x:v>Prévoir un état neutre, déplacement, préparation de l’action signature, impact reçu, mise à terre et retour en contrôle pour Vetra Nyx. Éviter la duplication miroir des signes asymétriques.</x:v>
      </x:c>
      <x:c r="K10" s="7" t="str">
        <x:v>Sans bande sonore embarquée dans la planche ; émettre uniquement des événements nommés vers le système audio pour éviter les doublons.</x:v>
      </x:c>
      <x:c r="L10" s="7" t="str">
        <x:v>Prévu : fiche de données mea/sprites/chr-vetra ; rattacher les ressources et états cités à cet identifiant. Aucun fichier de jeu créé par ce catalogue.</x:v>
      </x:c>
      <x:c r="M10" s="7" t="str"/>
      <x:c r="N10" s="7" t="str">
        <x:v>À l’échelle de jeu, Vetra Nyx est identifiable en silhouette ; pivot aux pieds, masque de profondeur et huit orientations proposés restent stables devant les couverts.</x:v>
      </x:c>
      <x:c r="O10" s="7" t="str">
        <x:v>MEA-CHR-VETRA</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MEA-SPR-CHR-JAAL</x:v>
      </x:c>
      <x:c r="B11" s="9" t="str">
        <x:v>Planche sprites — Jaal Ama Darav</x:v>
      </x:c>
      <x:c r="C11" s="15" t="str">
        <x:v>Défini</x:v>
      </x:c>
      <x:c r="D11" s="16" t="str">
        <x:v>Extrapolation</x:v>
      </x:c>
      <x:c r="E11" s="16" t="str">
        <x:v>P1</x:v>
      </x:c>
      <x:c r="F11" s="9" t="str">
        <x:v>Livrable original proposé : Planche sprites — Jaal Ama Darav.</x:v>
      </x:c>
      <x:c r="G11" s="9" t="str">
        <x:v>Produire une planche originale de Jaal Ama Darav pour le groupe 2D sur décor 3D. Séparer visage, arme et effets pour préserver les variantes d’état décrites dans la fiche de rôle.</x:v>
      </x:c>
      <x:c r="H11" s="9" t="str">
        <x:v>Le sprite ne définit pas la hitbox. Distinguer position au sol, hauteur visuelle et zone ciblable afin que les grandes silhouettes ne cachent pas les cibles voisines.</x:v>
      </x:c>
      <x:c r="I11" s="9" t="str">
        <x:v>Manteau angara, visage violet et silhouette large.</x:v>
      </x:c>
      <x:c r="J11" s="9" t="str">
        <x:v>Prévoir un état neutre, déplacement, préparation de l’action signature, impact reçu, mise à terre et retour en contrôle pour Jaal Ama Darav. Éviter la duplication miroir des signes asymétriques.</x:v>
      </x:c>
      <x:c r="K11" s="9" t="str">
        <x:v>Sans bande sonore embarquée dans la planche ; émettre uniquement des événements nommés vers le système audio pour éviter les doublons.</x:v>
      </x:c>
      <x:c r="L11" s="9" t="str">
        <x:v>Prévu : fiche de données mea/sprites/chr-jaal ; rattacher les ressources et états cités à cet identifiant. Aucun fichier de jeu créé par ce catalogue.</x:v>
      </x:c>
      <x:c r="M11" s="9" t="str"/>
      <x:c r="N11" s="9" t="str">
        <x:v>À l’échelle de jeu, Jaal Ama Darav est identifiable en silhouette ; pivot aux pieds, masque de profondeur et huit orientations proposés restent stables devant les couverts.</x:v>
      </x:c>
      <x:c r="O11" s="9" t="str">
        <x:v>MEA-CHR-JAAL</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MEA-SPR-CHR-DRACK</x:v>
      </x:c>
      <x:c r="B12" s="7" t="str">
        <x:v>Planche sprites — Nakmor Drack</x:v>
      </x:c>
      <x:c r="C12" s="15" t="str">
        <x:v>Défini</x:v>
      </x:c>
      <x:c r="D12" s="17" t="str">
        <x:v>Extrapolation</x:v>
      </x:c>
      <x:c r="E12" s="17" t="str">
        <x:v>P1</x:v>
      </x:c>
      <x:c r="F12" s="7" t="str">
        <x:v>Livrable original proposé : Planche sprites — Nakmor Drack.</x:v>
      </x:c>
      <x:c r="G12" s="7" t="str">
        <x:v>Produire une planche originale de Nakmor Drack pour le groupe 2D sur décor 3D. Séparer visage, arme et effets pour préserver les variantes d’état décrites dans la fiche de rôle.</x:v>
      </x:c>
      <x:c r="H12" s="7" t="str">
        <x:v>Le sprite ne définit pas la hitbox. Distinguer position au sol, hauteur visuelle et zone ciblable afin que les grandes silhouettes ne cachent pas les cibles voisines.</x:v>
      </x:c>
      <x:c r="I12" s="7" t="str">
        <x:v>Vieille carapace krogan, armure lourde et pièces techniques.</x:v>
      </x:c>
      <x:c r="J12" s="7" t="str">
        <x:v>Prévoir un état neutre, déplacement, préparation de l’action signature, impact reçu, mise à terre et retour en contrôle pour Nakmor Drack. Éviter la duplication miroir des signes asymétriques.</x:v>
      </x:c>
      <x:c r="K12" s="7" t="str">
        <x:v>Sans bande sonore embarquée dans la planche ; émettre uniquement des événements nommés vers le système audio pour éviter les doublons.</x:v>
      </x:c>
      <x:c r="L12" s="7" t="str">
        <x:v>Prévu : fiche de données mea/sprites/chr-drack ; rattacher les ressources et états cités à cet identifiant. Aucun fichier de jeu créé par ce catalogue.</x:v>
      </x:c>
      <x:c r="M12" s="7" t="str"/>
      <x:c r="N12" s="7" t="str">
        <x:v>À l’échelle de jeu, Nakmor Drack est identifiable en silhouette ; pivot aux pieds, masque de profondeur et huit orientations proposés restent stables devant les couverts.</x:v>
      </x:c>
      <x:c r="O12" s="7" t="str">
        <x:v>MEA-CHR-DRACK</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82" customHeight="1">
      <x:c r="A13" s="18" t="str">
        <x:v>MEA-SPR-CHR-PEEBEE</x:v>
      </x:c>
      <x:c r="B13" s="9" t="str">
        <x:v>Planche sprites — Pelessaria B’Sayle / Peebee</x:v>
      </x:c>
      <x:c r="C13" s="15" t="str">
        <x:v>Défini</x:v>
      </x:c>
      <x:c r="D13" s="16" t="str">
        <x:v>Extrapolation</x:v>
      </x:c>
      <x:c r="E13" s="16" t="str">
        <x:v>P1</x:v>
      </x:c>
      <x:c r="F13" s="9" t="str">
        <x:v>Livrable original proposé : Planche sprites — Pelessaria B’Sayle / Peebee.</x:v>
      </x:c>
      <x:c r="G13" s="9" t="str">
        <x:v>Produire une planche originale de Pelessaria B’Sayle / Peebee pour le groupe 2D sur décor 3D. Séparer visage, arme et effets pour préserver les variantes d’état décrites dans la fiche de rôle.</x:v>
      </x:c>
      <x:c r="H13" s="9" t="str">
        <x:v>Le sprite ne définit pas la hitbox. Distinguer position au sol, hauteur visuelle et zone ciblable afin que les grandes silhouettes ne cachent pas les cibles voisines.</x:v>
      </x:c>
      <x:c r="I13" s="9" t="str">
        <x:v>Masque de peinture, veste et silhouette asari.</x:v>
      </x:c>
      <x:c r="J13" s="9" t="str">
        <x:v>Prévoir un état neutre, déplacement, préparation de l’action signature, impact reçu, mise à terre et retour en contrôle pour Pelessaria B’Sayle / Peebee. Éviter la duplication miroir des signes asymétriques.</x:v>
      </x:c>
      <x:c r="K13" s="9" t="str">
        <x:v>Sans bande sonore embarquée dans la planche ; émettre uniquement des événements nommés vers le système audio pour éviter les doublons.</x:v>
      </x:c>
      <x:c r="L13" s="9" t="str">
        <x:v>Prévu : fiche de données mea/sprites/chr-peebee ; rattacher les ressources et états cités à cet identifiant. Aucun fichier de jeu créé par ce catalogue.</x:v>
      </x:c>
      <x:c r="M13" s="9" t="str"/>
      <x:c r="N13" s="9" t="str">
        <x:v>À l’échelle de jeu, Pelessaria B’Sayle / Peebee est identifiable en silhouette ; pivot aux pieds, masque de profondeur et huit orientations proposés restent stables devant les couverts.</x:v>
      </x:c>
      <x:c r="O13" s="9" t="str">
        <x:v>MEA-CHR-PEEBEE</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82" customHeight="1">
      <x:c r="A14" s="19" t="str">
        <x:v>MEA-SPR-CHR-ALEC</x:v>
      </x:c>
      <x:c r="B14" s="7" t="str">
        <x:v>Planche sprites — Alec Ryder — prologue</x:v>
      </x:c>
      <x:c r="C14" s="15" t="str">
        <x:v>Défini</x:v>
      </x:c>
      <x:c r="D14" s="17" t="str">
        <x:v>Extrapolation</x:v>
      </x:c>
      <x:c r="E14" s="17" t="str">
        <x:v>P1</x:v>
      </x:c>
      <x:c r="F14" s="7" t="str">
        <x:v>Livrable original proposé : Planche sprites — Alec Ryder — prologue.</x:v>
      </x:c>
      <x:c r="G14" s="7" t="str">
        <x:v>Produire une planche originale de Alec Ryder — prologue pour le groupe 2D sur décor 3D. Séparer visage, arme et effets pour préserver les variantes d’état décrites dans la fiche de rôle.</x:v>
      </x:c>
      <x:c r="H14" s="7" t="str">
        <x:v>Le sprite ne définit pas la hitbox. Distinguer position au sol, hauteur visuelle et zone ciblable afin que les grandes silhouettes ne cachent pas les cibles voisines.</x:v>
      </x:c>
      <x:c r="I14" s="7" t="str">
        <x:v>Armure N7 et casque de Pionnier.</x:v>
      </x:c>
      <x:c r="J14" s="7" t="str">
        <x:v>Prévoir un état neutre, déplacement, préparation de l’action signature, impact reçu, mise à terre et retour en contrôle pour Alec Ryder — prologue. Éviter la duplication miroir des signes asymétriques.</x:v>
      </x:c>
      <x:c r="K14" s="7" t="str">
        <x:v>Sans bande sonore embarquée dans la planche ; émettre uniquement des événements nommés vers le système audio pour éviter les doublons.</x:v>
      </x:c>
      <x:c r="L14" s="7" t="str">
        <x:v>Prévu : fiche de données mea/sprites/chr-alec ; rattacher les ressources et états cités à cet identifiant. Aucun fichier de jeu créé par ce catalogue.</x:v>
      </x:c>
      <x:c r="M14" s="7" t="str">
        <x:v>Prologue uniquement.</x:v>
      </x:c>
      <x:c r="N14" s="7" t="str">
        <x:v>À l’échelle de jeu, Alec Ryder — prologue est identifiable en silhouette ; pivot aux pieds, masque de profondeur et huit orientations proposés restent stables devant les couverts.</x:v>
      </x:c>
      <x:c r="O14" s="7" t="str">
        <x:v>MEA-CHR-ALEC</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MEA-SPR-ENM-CHOSEN</x:v>
      </x:c>
      <x:c r="B15" s="9" t="str">
        <x:v>Planche sprites — Kett Chosen</x:v>
      </x:c>
      <x:c r="C15" s="15" t="str">
        <x:v>Défini</x:v>
      </x:c>
      <x:c r="D15" s="16" t="str">
        <x:v>Extrapolation</x:v>
      </x:c>
      <x:c r="E15" s="16" t="str">
        <x:v>P1</x:v>
      </x:c>
      <x:c r="F15" s="9" t="str">
        <x:v>Livrable original proposé : Planche sprites — Kett Chosen.</x:v>
      </x:c>
      <x:c r="G15" s="9" t="str">
        <x:v>Produire une planche originale de Kett Chosen pour le groupe 2D sur décor 3D. Séparer visage, arme et effets pour préserver les variantes d’état décrites dans la fiche de rôle.</x:v>
      </x:c>
      <x:c r="H15" s="9" t="str">
        <x:v>Le sprite ne définit pas la hitbox. Distinguer position au sol, hauteur visuelle et zone ciblable afin que les grandes silhouettes ne cachent pas les cibles voisines.</x:v>
      </x:c>
      <x:c r="I15" s="9" t="str">
        <x:v>Armure organique claire et visage kett.</x:v>
      </x:c>
      <x:c r="J15" s="9" t="str">
        <x:v>Prévoir un état neutre, déplacement, préparation de l’action signature, impact reçu, mise à terre et retour en contrôle pour Kett Chosen. Éviter la duplication miroir des signes asymétriques.</x:v>
      </x:c>
      <x:c r="K15" s="9" t="str">
        <x:v>Sans bande sonore embarquée dans la planche ; émettre uniquement des événements nommés vers le système audio pour éviter les doublons.</x:v>
      </x:c>
      <x:c r="L15" s="9" t="str">
        <x:v>Prévu : fiche de données mea/sprites/enm-chosen ; rattacher les ressources et états cités à cet identifiant. Aucun fichier de jeu créé par ce catalogue.</x:v>
      </x:c>
      <x:c r="M15" s="9" t="str">
        <x:v>Campagne / multi selon rencontre.</x:v>
      </x:c>
      <x:c r="N15" s="9" t="str">
        <x:v>À l’échelle de jeu, Kett Chosen est identifiable en silhouette ; pivot aux pieds, masque de profondeur et huit orientations proposés restent stables devant les couverts.</x:v>
      </x:c>
      <x:c r="O15" s="9" t="str">
        <x:v>MEA-ENM-CHOSEN</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MEA-SPR-ENM-ANOINTED</x:v>
      </x:c>
      <x:c r="B16" s="7" t="str">
        <x:v>Planche sprites — Kett Anointed</x:v>
      </x:c>
      <x:c r="C16" s="15" t="str">
        <x:v>Défini</x:v>
      </x:c>
      <x:c r="D16" s="17" t="str">
        <x:v>Extrapolation</x:v>
      </x:c>
      <x:c r="E16" s="17" t="str">
        <x:v>P1</x:v>
      </x:c>
      <x:c r="F16" s="7" t="str">
        <x:v>Livrable original proposé : Planche sprites — Kett Anointed.</x:v>
      </x:c>
      <x:c r="G16" s="7" t="str">
        <x:v>Produire une planche originale de Kett Anointed pour le groupe 2D sur décor 3D. Séparer visage, arme et effets pour préserver les variantes d’état décrites dans la fiche de rôle.</x:v>
      </x:c>
      <x:c r="H16" s="7" t="str">
        <x:v>Le sprite ne définit pas la hitbox. Distinguer position au sol, hauteur visuelle et zone ciblable afin que les grandes silhouettes ne cachent pas les cibles voisines.</x:v>
      </x:c>
      <x:c r="I16" s="7" t="str">
        <x:v>Arme lourde et plaques osseuses.</x:v>
      </x:c>
      <x:c r="J16" s="7" t="str">
        <x:v>Prévoir un état neutre, déplacement, préparation de l’action signature, impact reçu, mise à terre et retour en contrôle pour Kett Anointed. Éviter la duplication miroir des signes asymétriques.</x:v>
      </x:c>
      <x:c r="K16" s="7" t="str">
        <x:v>Sans bande sonore embarquée dans la planche ; émettre uniquement des événements nommés vers le système audio pour éviter les doublons.</x:v>
      </x:c>
      <x:c r="L16" s="7" t="str">
        <x:v>Prévu : fiche de données mea/sprites/enm-anointed ; rattacher les ressources et états cités à cet identifiant. Aucun fichier de jeu créé par ce catalogue.</x:v>
      </x:c>
      <x:c r="M16" s="7" t="str">
        <x:v>Campagne / multi selon rencontre.</x:v>
      </x:c>
      <x:c r="N16" s="7" t="str">
        <x:v>À l’échelle de jeu, Kett Anointed est identifiable en silhouette ; pivot aux pieds, masque de profondeur et huit orientations proposés restent stables devant les couverts.</x:v>
      </x:c>
      <x:c r="O16" s="7" t="str">
        <x:v>MEA-ENM-ANOINTED</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MEA-SPR-ENM-DESTINED</x:v>
      </x:c>
      <x:c r="B17" s="9" t="str">
        <x:v>Planche sprites — Kett Destined</x:v>
      </x:c>
      <x:c r="C17" s="15" t="str">
        <x:v>Défini</x:v>
      </x:c>
      <x:c r="D17" s="16" t="str">
        <x:v>Extrapolation</x:v>
      </x:c>
      <x:c r="E17" s="16" t="str">
        <x:v>P1</x:v>
      </x:c>
      <x:c r="F17" s="9" t="str">
        <x:v>Livrable original proposé : Planche sprites — Kett Destined.</x:v>
      </x:c>
      <x:c r="G17" s="9" t="str">
        <x:v>Produire une planche originale de Kett Destined pour le groupe 2D sur décor 3D. Séparer visage, arme et effets pour préserver les variantes d’état décrites dans la fiche de rôle.</x:v>
      </x:c>
      <x:c r="H17" s="9" t="str">
        <x:v>Le sprite ne définit pas la hitbox. Distinguer position au sol, hauteur visuelle et zone ciblable afin que les grandes silhouettes ne cachent pas les cibles voisines.</x:v>
      </x:c>
      <x:c r="I17" s="9" t="str">
        <x:v>Silhouette de commandement et effets de voile.</x:v>
      </x:c>
      <x:c r="J17" s="9" t="str">
        <x:v>Prévoir un état neutre, déplacement, préparation de l’action signature, impact reçu, mise à terre et retour en contrôle pour Kett Destined. Éviter la duplication miroir des signes asymétriques.</x:v>
      </x:c>
      <x:c r="K17" s="9" t="str">
        <x:v>Sans bande sonore embarquée dans la planche ; émettre uniquement des événements nommés vers le système audio pour éviter les doublons.</x:v>
      </x:c>
      <x:c r="L17" s="9" t="str">
        <x:v>Prévu : fiche de données mea/sprites/enm-destined ; rattacher les ressources et états cités à cet identifiant. Aucun fichier de jeu créé par ce catalogue.</x:v>
      </x:c>
      <x:c r="M17" s="9" t="str">
        <x:v>Campagne / multi selon rencontre.</x:v>
      </x:c>
      <x:c r="N17" s="9" t="str">
        <x:v>À l’échelle de jeu, Kett Destined est identifiable en silhouette ; pivot aux pieds, masque de profondeur et huit orientations proposés restent stables devant les couverts.</x:v>
      </x:c>
      <x:c r="O17" s="9" t="str">
        <x:v>MEA-ENM-DESTINED</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MEA-SPR-ENM-WRAITH</x:v>
      </x:c>
      <x:c r="B18" s="7" t="str">
        <x:v>Planche sprites — Kett Wraith</x:v>
      </x:c>
      <x:c r="C18" s="15" t="str">
        <x:v>Défini</x:v>
      </x:c>
      <x:c r="D18" s="17" t="str">
        <x:v>Extrapolation</x:v>
      </x:c>
      <x:c r="E18" s="17" t="str">
        <x:v>P1</x:v>
      </x:c>
      <x:c r="F18" s="7" t="str">
        <x:v>Livrable original proposé : Planche sprites — Kett Wraith.</x:v>
      </x:c>
      <x:c r="G18" s="7" t="str">
        <x:v>Produire une planche originale de Kett Wraith pour le groupe 2D sur décor 3D. Séparer visage, arme et effets pour préserver les variantes d’état décrites dans la fiche de rôle.</x:v>
      </x:c>
      <x:c r="H18" s="7" t="str">
        <x:v>Le sprite ne définit pas la hitbox. Distinguer position au sol, hauteur visuelle et zone ciblable afin que les grandes silhouettes ne cachent pas les cibles voisines.</x:v>
      </x:c>
      <x:c r="I18" s="7" t="str">
        <x:v>Quadrupède et contour de camouflage.</x:v>
      </x:c>
      <x:c r="J18" s="7" t="str">
        <x:v>Prévoir un état neutre, déplacement, préparation de l’action signature, impact reçu, mise à terre et retour en contrôle pour Kett Wraith. Éviter la duplication miroir des signes asymétriques.</x:v>
      </x:c>
      <x:c r="K18" s="7" t="str">
        <x:v>Sans bande sonore embarquée dans la planche ; émettre uniquement des événements nommés vers le système audio pour éviter les doublons.</x:v>
      </x:c>
      <x:c r="L18" s="7" t="str">
        <x:v>Prévu : fiche de données mea/sprites/enm-wraith ; rattacher les ressources et états cités à cet identifiant. Aucun fichier de jeu créé par ce catalogue.</x:v>
      </x:c>
      <x:c r="M18" s="7" t="str">
        <x:v>Campagne / multi selon rencontre.</x:v>
      </x:c>
      <x:c r="N18" s="7" t="str">
        <x:v>À l’échelle de jeu, Kett Wraith est identifiable en silhouette ; pivot aux pieds, masque de profondeur et huit orientations proposés restent stables devant les couverts.</x:v>
      </x:c>
      <x:c r="O18" s="7" t="str">
        <x:v>MEA-ENM-WRAITH</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MEA-SPR-ENM-FIEND</x:v>
      </x:c>
      <x:c r="B19" s="9" t="str">
        <x:v>Planche sprites — Kett Fiend</x:v>
      </x:c>
      <x:c r="C19" s="15" t="str">
        <x:v>Défini</x:v>
      </x:c>
      <x:c r="D19" s="16" t="str">
        <x:v>Extrapolation</x:v>
      </x:c>
      <x:c r="E19" s="16" t="str">
        <x:v>P1</x:v>
      </x:c>
      <x:c r="F19" s="9" t="str">
        <x:v>Livrable original proposé : Planche sprites — Kett Fiend.</x:v>
      </x:c>
      <x:c r="G19" s="9" t="str">
        <x:v>Produire une planche originale de Kett Fiend pour le groupe 2D sur décor 3D. Séparer visage, arme et effets pour préserver les variantes d’état décrites dans la fiche de rôle.</x:v>
      </x:c>
      <x:c r="H19" s="9" t="str">
        <x:v>Le sprite ne définit pas la hitbox. Distinguer position au sol, hauteur visuelle et zone ciblable afin que les grandes silhouettes ne cachent pas les cibles voisines.</x:v>
      </x:c>
      <x:c r="I19" s="9" t="str">
        <x:v>Masse quadrupède et bras puissants.</x:v>
      </x:c>
      <x:c r="J19" s="9" t="str">
        <x:v>Prévoir un état neutre, déplacement, préparation de l’action signature, impact reçu, mise à terre et retour en contrôle pour Kett Fiend. Éviter la duplication miroir des signes asymétriques.</x:v>
      </x:c>
      <x:c r="K19" s="9" t="str">
        <x:v>Sans bande sonore embarquée dans la planche ; émettre uniquement des événements nommés vers le système audio pour éviter les doublons.</x:v>
      </x:c>
      <x:c r="L19" s="9" t="str">
        <x:v>Prévu : fiche de données mea/sprites/enm-fiend ; rattacher les ressources et états cités à cet identifiant. Aucun fichier de jeu créé par ce catalogue.</x:v>
      </x:c>
      <x:c r="M19" s="9" t="str">
        <x:v>Campagne / multi selon rencontre.</x:v>
      </x:c>
      <x:c r="N19" s="9" t="str">
        <x:v>À l’échelle de jeu, Kett Fiend est identifiable en silhouette ; pivot aux pieds, masque de profondeur et huit orientations proposés restent stables devant les couverts.</x:v>
      </x:c>
      <x:c r="O19" s="9" t="str">
        <x:v>MEA-ENM-FIEND</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MEA-SPR-ENM-ASCENDANT</x:v>
      </x:c>
      <x:c r="B20" s="7" t="str">
        <x:v>Planche sprites — Ascendant</x:v>
      </x:c>
      <x:c r="C20" s="15" t="str">
        <x:v>Défini</x:v>
      </x:c>
      <x:c r="D20" s="17" t="str">
        <x:v>Extrapolation</x:v>
      </x:c>
      <x:c r="E20" s="17" t="str">
        <x:v>P1</x:v>
      </x:c>
      <x:c r="F20" s="7" t="str">
        <x:v>Livrable original proposé : Planche sprites — Ascendant.</x:v>
      </x:c>
      <x:c r="G20" s="7" t="str">
        <x:v>Produire une planche originale de Ascendant pour le groupe 2D sur décor 3D. Séparer visage, arme et effets pour préserver les variantes d’état décrites dans la fiche de rôle.</x:v>
      </x:c>
      <x:c r="H20" s="7" t="str">
        <x:v>Le sprite ne définit pas la hitbox. Distinguer position au sol, hauteur visuelle et zone ciblable afin que les grandes silhouettes ne cachent pas les cibles voisines.</x:v>
      </x:c>
      <x:c r="I20" s="7" t="str">
        <x:v>Kett flottant et sphère orbitale.</x:v>
      </x:c>
      <x:c r="J20" s="7" t="str">
        <x:v>Prévoir un état neutre, déplacement, préparation de l’action signature, impact reçu, mise à terre et retour en contrôle pour Ascendant. Éviter la duplication miroir des signes asymétriques.</x:v>
      </x:c>
      <x:c r="K20" s="7" t="str">
        <x:v>Sans bande sonore embarquée dans la planche ; émettre uniquement des événements nommés vers le système audio pour éviter les doublons.</x:v>
      </x:c>
      <x:c r="L20" s="7" t="str">
        <x:v>Prévu : fiche de données mea/sprites/enm-ascendant ; rattacher les ressources et états cités à cet identifiant. Aucun fichier de jeu créé par ce catalogue.</x:v>
      </x:c>
      <x:c r="M20" s="7" t="str">
        <x:v>Campagne / multi selon rencontre.</x:v>
      </x:c>
      <x:c r="N20" s="7" t="str">
        <x:v>À l’échelle de jeu, Ascendant est identifiable en silhouette ; pivot aux pieds, masque de profondeur et huit orientations proposés restent stables devant les couverts.</x:v>
      </x:c>
      <x:c r="O20" s="7" t="str">
        <x:v>MEA-ENM-ASCENDANT</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MEA-SPR-ENM-CARDINAL</x:v>
      </x:c>
      <x:c r="B21" s="9" t="str">
        <x:v>Planche sprites — Le Cardinal</x:v>
      </x:c>
      <x:c r="C21" s="15" t="str">
        <x:v>Défini</x:v>
      </x:c>
      <x:c r="D21" s="16" t="str">
        <x:v>Extrapolation</x:v>
      </x:c>
      <x:c r="E21" s="16" t="str">
        <x:v>P1</x:v>
      </x:c>
      <x:c r="F21" s="9" t="str">
        <x:v>Livrable original proposé : Planche sprites — Le Cardinal.</x:v>
      </x:c>
      <x:c r="G21" s="9" t="str">
        <x:v>Produire une planche originale de Le Cardinal pour le groupe 2D sur décor 3D. Séparer visage, arme et effets pour préserver les variantes d’état décrites dans la fiche de rôle.</x:v>
      </x:c>
      <x:c r="H21" s="9" t="str">
        <x:v>Le sprite ne définit pas la hitbox. Distinguer position au sol, hauteur visuelle et zone ciblable afin que les grandes silhouettes ne cachent pas les cibles voisines.</x:v>
      </x:c>
      <x:c r="I21" s="9" t="str">
        <x:v>Armure de commandement et orbe.</x:v>
      </x:c>
      <x:c r="J21" s="9" t="str">
        <x:v>Prévoir un état neutre, déplacement, préparation de l’action signature, impact reçu, mise à terre et retour en contrôle pour Le Cardinal. Éviter la duplication miroir des signes asymétriques.</x:v>
      </x:c>
      <x:c r="K21" s="9" t="str">
        <x:v>Sans bande sonore embarquée dans la planche ; émettre uniquement des événements nommés vers le système audio pour éviter les doublons.</x:v>
      </x:c>
      <x:c r="L21" s="9" t="str">
        <x:v>Prévu : fiche de données mea/sprites/enm-cardinal ; rattacher les ressources et états cités à cet identifiant. Aucun fichier de jeu créé par ce catalogue.</x:v>
      </x:c>
      <x:c r="M21" s="9" t="str">
        <x:v>A Trail of Hope II.</x:v>
      </x:c>
      <x:c r="N21" s="9" t="str">
        <x:v>À l’échelle de jeu, Le Cardinal est identifiable en silhouette ; pivot aux pieds, masque de profondeur et huit orientations proposés restent stables devant les couverts.</x:v>
      </x:c>
      <x:c r="O21" s="9" t="str">
        <x:v>MEA-ENM-CARDINAL</x:v>
      </x:c>
      <x:c r="P21" s="9" t="str">
        <x:v>Adaptation originale — spécification de production</x:v>
      </x:c>
      <x:c r="Q21" s="9" t="str"/>
      <x:c r="R21" s="9" t="str"/>
      <x:c r="S21" s="9" t="str">
        <x:v>Spécification à réaliser. Les champs adaptation, gameplay, visual, animation, audio et implementation décrivent le fan game ; ils ne donnent pas des caractéristiques officielles de l’œuvre.</x:v>
      </x:c>
    </x:row>
    <x:row r="22" ht="68" customHeight="1">
      <x:c r="A22" s="19" t="str">
        <x:v>MEA-SPR-ENM-INVICTOR</x:v>
      </x:c>
      <x:c r="B22" s="7" t="str">
        <x:v>Planche sprites — Invictor</x:v>
      </x:c>
      <x:c r="C22" s="15" t="str">
        <x:v>Défini</x:v>
      </x:c>
      <x:c r="D22" s="17" t="str">
        <x:v>Extrapolation</x:v>
      </x:c>
      <x:c r="E22" s="17" t="str">
        <x:v>P1</x:v>
      </x:c>
      <x:c r="F22" s="7" t="str">
        <x:v>Livrable original proposé : Planche sprites — Invictor.</x:v>
      </x:c>
      <x:c r="G22" s="7" t="str">
        <x:v>Produire une planche originale de Invictor pour le groupe 2D sur décor 3D. Séparer visage, arme et effets pour préserver les variantes d’état décrites dans la fiche de rôle.</x:v>
      </x:c>
      <x:c r="H22" s="7" t="str">
        <x:v>Le sprite ne définit pas la hitbox. Distinguer position au sol, hauteur visuelle et zone ciblable afin que les grandes silhouettes ne cachent pas les cibles voisines.</x:v>
      </x:c>
      <x:c r="I22" s="7" t="str">
        <x:v>Silhouette kett et halo de boss.</x:v>
      </x:c>
      <x:c r="J22" s="7" t="str">
        <x:v>Prévoir un état neutre, déplacement, préparation de l’action signature, impact reçu, mise à terre et retour en contrôle pour Invictor. Éviter la duplication miroir des signes asymétriques.</x:v>
      </x:c>
      <x:c r="K22" s="7" t="str">
        <x:v>Sans bande sonore embarquée dans la planche ; émettre uniquement des événements nommés vers le système audio pour éviter les doublons.</x:v>
      </x:c>
      <x:c r="L22" s="7" t="str">
        <x:v>Prévu : fiche de données mea/sprites/enm-invictor ; rattacher les ressources et états cités à cet identifiant. Aucun fichier de jeu créé par ce catalogue.</x:v>
      </x:c>
      <x:c r="M22" s="7" t="str">
        <x:v>Defeating the Kett.</x:v>
      </x:c>
      <x:c r="N22" s="7" t="str">
        <x:v>À l’échelle de jeu, Invictor est identifiable en silhouette ; pivot aux pieds, masque de profondeur et huit orientations proposés restent stables devant les couverts.</x:v>
      </x:c>
      <x:c r="O22" s="7" t="str">
        <x:v>MEA-ENM-INVICTOR</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row r="23" ht="68" customHeight="1">
      <x:c r="A23" s="18" t="str">
        <x:v>MEA-SPR-ENM-ARCHON-SWORD</x:v>
      </x:c>
      <x:c r="B23" s="9" t="str">
        <x:v>Planche sprites — Archon’s Sword</x:v>
      </x:c>
      <x:c r="C23" s="15" t="str">
        <x:v>Défini</x:v>
      </x:c>
      <x:c r="D23" s="16" t="str">
        <x:v>Extrapolation</x:v>
      </x:c>
      <x:c r="E23" s="16" t="str">
        <x:v>P1</x:v>
      </x:c>
      <x:c r="F23" s="9" t="str">
        <x:v>Livrable original proposé : Planche sprites — Archon’s Sword.</x:v>
      </x:c>
      <x:c r="G23" s="9" t="str">
        <x:v>Produire une planche originale de Archon’s Sword pour le groupe 2D sur décor 3D. Séparer visage, arme et effets pour préserver les variantes d’état décrites dans la fiche de rôle.</x:v>
      </x:c>
      <x:c r="H23" s="9" t="str">
        <x:v>Le sprite ne définit pas la hitbox. Distinguer position au sol, hauteur visuelle et zone ciblable afin que les grandes silhouettes ne cachent pas les cibles voisines.</x:v>
      </x:c>
      <x:c r="I23" s="9" t="str">
        <x:v>Armure kett distincte et effets d’énergie.</x:v>
      </x:c>
      <x:c r="J23" s="9" t="str">
        <x:v>Prévoir un état neutre, déplacement, préparation de l’action signature, impact reçu, mise à terre et retour en contrôle pour Archon’s Sword. Éviter la duplication miroir des signes asymétriques.</x:v>
      </x:c>
      <x:c r="K23" s="9" t="str">
        <x:v>Sans bande sonore embarquée dans la planche ; émettre uniquement des événements nommés vers le système audio pour éviter les doublons.</x:v>
      </x:c>
      <x:c r="L23" s="9" t="str">
        <x:v>Prévu : fiche de données mea/sprites/enm-archon-sword ; rattacher les ressources et états cités à cet identifiant. Aucun fichier de jeu créé par ce catalogue.</x:v>
      </x:c>
      <x:c r="M23" s="9" t="str">
        <x:v>Rencontre de campagne.</x:v>
      </x:c>
      <x:c r="N23" s="9" t="str">
        <x:v>À l’échelle de jeu, Archon’s Sword est identifiable en silhouette ; pivot aux pieds, masque de profondeur et huit orientations proposés restent stables devant les couverts.</x:v>
      </x:c>
      <x:c r="O23" s="9" t="str">
        <x:v>MEA-ENM-ARCHON-SWORD</x:v>
      </x:c>
      <x:c r="P23" s="9" t="str">
        <x:v>Adaptation originale — spécification de production</x:v>
      </x:c>
      <x:c r="Q23" s="9" t="str"/>
      <x:c r="R23" s="9" t="str"/>
      <x:c r="S23" s="9" t="str">
        <x:v>Spécification à réaliser. Les champs adaptation, gameplay, visual, animation, audio et implementation décrivent le fan game ; ils ne donnent pas des caractéristiques officielles de l’œuvre.</x:v>
      </x:c>
    </x:row>
    <x:row r="24" ht="68" customHeight="1">
      <x:c r="A24" s="19" t="str">
        <x:v>MEA-SPR-ENM-VALIANT</x:v>
      </x:c>
      <x:c r="B24" s="7" t="str">
        <x:v>Planche sprites — Valiant</x:v>
      </x:c>
      <x:c r="C24" s="15" t="str">
        <x:v>Défini</x:v>
      </x:c>
      <x:c r="D24" s="17" t="str">
        <x:v>Extrapolation</x:v>
      </x:c>
      <x:c r="E24" s="17" t="str">
        <x:v>P1</x:v>
      </x:c>
      <x:c r="F24" s="7" t="str">
        <x:v>Livrable original proposé : Planche sprites — Valiant.</x:v>
      </x:c>
      <x:c r="G24" s="7" t="str">
        <x:v>Produire une planche originale de Valiant pour le groupe 2D sur décor 3D. Séparer visage, arme et effets pour préserver les variantes d’état décrites dans la fiche de rôle.</x:v>
      </x:c>
      <x:c r="H24" s="7" t="str">
        <x:v>Le sprite ne définit pas la hitbox. Distinguer position au sol, hauteur visuelle et zone ciblable afin que les grandes silhouettes ne cachent pas les cibles voisines.</x:v>
      </x:c>
      <x:c r="I24" s="7" t="str">
        <x:v>Kett renforcé et marque d’élite.</x:v>
      </x:c>
      <x:c r="J24" s="7" t="str">
        <x:v>Prévoir un état neutre, déplacement, préparation de l’action signature, impact reçu, mise à terre et retour en contrôle pour Valiant. Éviter la duplication miroir des signes asymétriques.</x:v>
      </x:c>
      <x:c r="K24" s="7" t="str">
        <x:v>Sans bande sonore embarquée dans la planche ; émettre uniquement des événements nommés vers le système audio pour éviter les doublons.</x:v>
      </x:c>
      <x:c r="L24" s="7" t="str">
        <x:v>Prévu : fiche de données mea/sprites/enm-valiant ; rattacher les ressources et états cités à cet identifiant. Aucun fichier de jeu créé par ce catalogue.</x:v>
      </x:c>
      <x:c r="M24" s="7" t="str">
        <x:v>Rencontre liée à l’arche asari.</x:v>
      </x:c>
      <x:c r="N24" s="7" t="str">
        <x:v>À l’échelle de jeu, Valiant est identifiable en silhouette ; pivot aux pieds, masque de profondeur et huit orientations proposés restent stables devant les couverts.</x:v>
      </x:c>
      <x:c r="O24" s="7" t="str">
        <x:v>MEA-ENM-VALIANT</x:v>
      </x:c>
      <x:c r="P24" s="7" t="str">
        <x:v>Adaptation originale — spécification de production</x:v>
      </x:c>
      <x:c r="Q24" s="7" t="str"/>
      <x:c r="R24" s="7" t="str"/>
      <x:c r="S24" s="7" t="str">
        <x:v>Spécification à réaliser. Les champs adaptation, gameplay, visual, animation, audio et implementation décrivent le fan game ; ils ne donnent pas des caractéristiques officielles de l’œuvre.</x:v>
      </x:c>
    </x:row>
    <x:row r="25" ht="68" customHeight="1">
      <x:c r="A25" s="18" t="str">
        <x:v>MEA-SPR-ENM-BEHEMOTH</x:v>
      </x:c>
      <x:c r="B25" s="9" t="str">
        <x:v>Planche sprites — Behemoth</x:v>
      </x:c>
      <x:c r="C25" s="15" t="str">
        <x:v>Défini</x:v>
      </x:c>
      <x:c r="D25" s="16" t="str">
        <x:v>Extrapolation</x:v>
      </x:c>
      <x:c r="E25" s="16" t="str">
        <x:v>P1</x:v>
      </x:c>
      <x:c r="F25" s="9" t="str">
        <x:v>Livrable original proposé : Planche sprites — Behemoth.</x:v>
      </x:c>
      <x:c r="G25" s="9" t="str">
        <x:v>Produire une planche originale de Behemoth pour le groupe 2D sur décor 3D. Séparer visage, arme et effets pour préserver les variantes d’état décrites dans la fiche de rôle.</x:v>
      </x:c>
      <x:c r="H25" s="9" t="str">
        <x:v>Le sprite ne définit pas la hitbox. Distinguer position au sol, hauteur visuelle et zone ciblable afin que les grandes silhouettes ne cachent pas les cibles voisines.</x:v>
      </x:c>
      <x:c r="I25" s="9" t="str">
        <x:v>Très grande silhouette et armure organique.</x:v>
      </x:c>
      <x:c r="J25" s="9" t="str">
        <x:v>Prévoir un état neutre, déplacement, préparation de l’action signature, impact reçu, mise à terre et retour en contrôle pour Behemoth. Éviter la duplication miroir des signes asymétriques.</x:v>
      </x:c>
      <x:c r="K25" s="9" t="str">
        <x:v>Sans bande sonore embarquée dans la planche ; émettre uniquement des événements nommés vers le système audio pour éviter les doublons.</x:v>
      </x:c>
      <x:c r="L25" s="9" t="str">
        <x:v>Prévu : fiche de données mea/sprites/enm-behemoth ; rattacher les ressources et états cités à cet identifiant. Aucun fichier de jeu créé par ce catalogue.</x:v>
      </x:c>
      <x:c r="M25" s="9" t="str">
        <x:v>Rencontres de campagne / multi selon profil.</x:v>
      </x:c>
      <x:c r="N25" s="9" t="str">
        <x:v>À l’échelle de jeu, Behemoth est identifiable en silhouette ; pivot aux pieds, masque de profondeur et huit orientations proposés restent stables devant les couverts.</x:v>
      </x:c>
      <x:c r="O25" s="9" t="str">
        <x:v>MEA-ENM-BEHEMOTH</x:v>
      </x:c>
      <x:c r="P25" s="9" t="str">
        <x:v>Adaptation originale — spécification de production</x:v>
      </x:c>
      <x:c r="Q25" s="9" t="str"/>
      <x:c r="R25" s="9" t="str"/>
      <x:c r="S25" s="9" t="str">
        <x:v>Spécification à réaliser. Les champs adaptation, gameplay, visual, animation, audio et implementation décrivent le fan game ; ils ne donnent pas des caractéristiques officielles de l’œuvre.</x:v>
      </x:c>
    </x:row>
    <x:row r="26" ht="82" customHeight="1">
      <x:c r="A26" s="19" t="str">
        <x:v>MEA-SPR-ENM-SCIENTIST</x:v>
      </x:c>
      <x:c r="B26" s="7" t="str">
        <x:v>Planche sprites — Scientifique kett</x:v>
      </x:c>
      <x:c r="C26" s="15" t="str">
        <x:v>Défini</x:v>
      </x:c>
      <x:c r="D26" s="17" t="str">
        <x:v>Extrapolation</x:v>
      </x:c>
      <x:c r="E26" s="17" t="str">
        <x:v>P1</x:v>
      </x:c>
      <x:c r="F26" s="7" t="str">
        <x:v>Livrable original proposé : Planche sprites — Scientifique kett.</x:v>
      </x:c>
      <x:c r="G26" s="7" t="str">
        <x:v>Produire une planche originale de Scientifique kett pour le groupe 2D sur décor 3D. Séparer visage, arme et effets pour préserver les variantes d’état décrites dans la fiche de rôle.</x:v>
      </x:c>
      <x:c r="H26" s="7" t="str">
        <x:v>Le sprite ne définit pas la hitbox. Distinguer position au sol, hauteur visuelle et zone ciblable afin que les grandes silhouettes ne cachent pas les cibles voisines.</x:v>
      </x:c>
      <x:c r="I26" s="7" t="str">
        <x:v>Tenue scientifique et instruments.</x:v>
      </x:c>
      <x:c r="J26" s="7" t="str">
        <x:v>Prévoir un état neutre, déplacement, préparation de l’action signature, impact reçu, mise à terre et retour en contrôle pour Scientifique kett. Éviter la duplication miroir des signes asymétriques.</x:v>
      </x:c>
      <x:c r="K26" s="7" t="str">
        <x:v>Sans bande sonore embarquée dans la planche ; émettre uniquement des événements nommés vers le système audio pour éviter les doublons.</x:v>
      </x:c>
      <x:c r="L26" s="7" t="str">
        <x:v>Prévu : fiche de données mea/sprites/enm-scientist ; rattacher les ressources et états cités à cet identifiant. Aucun fichier de jeu créé par ce catalogue.</x:v>
      </x:c>
      <x:c r="M26" s="7" t="str">
        <x:v>Identité de rencontre à confirmer avant combat automatique.</x:v>
      </x:c>
      <x:c r="N26" s="7" t="str">
        <x:v>À l’échelle de jeu, Scientifique kett est identifiable en silhouette ; pivot aux pieds, masque de profondeur et huit orientations proposés restent stables devant les couverts.</x:v>
      </x:c>
      <x:c r="O26" s="7" t="str">
        <x:v>MEA-ENM-SCIENTIST</x:v>
      </x:c>
      <x:c r="P26" s="7" t="str">
        <x:v>Adaptation originale — spécification de production</x:v>
      </x:c>
      <x:c r="Q26" s="7" t="str"/>
      <x:c r="R26" s="7" t="str"/>
      <x:c r="S26" s="7" t="str">
        <x:v>Spécification à réaliser. Les champs adaptation, gameplay, visual, animation, audio et implementation décrivent le fan game ; ils ne donnent pas des caractéristiques officielles de l’œuvre.</x:v>
      </x:c>
    </x:row>
    <x:row r="27" ht="68" customHeight="1">
      <x:c r="A27" s="18" t="str">
        <x:v>MEA-SPR-ENM-KETT-TURRET</x:v>
      </x:c>
      <x:c r="B27" s="9" t="str">
        <x:v>Planche sprites — Tourelle kett</x:v>
      </x:c>
      <x:c r="C27" s="15" t="str">
        <x:v>Défini</x:v>
      </x:c>
      <x:c r="D27" s="16" t="str">
        <x:v>Extrapolation</x:v>
      </x:c>
      <x:c r="E27" s="16" t="str">
        <x:v>P1</x:v>
      </x:c>
      <x:c r="F27" s="9" t="str">
        <x:v>Livrable original proposé : Planche sprites — Tourelle kett.</x:v>
      </x:c>
      <x:c r="G27" s="9" t="str">
        <x:v>Produire une planche originale de Tourelle kett pour le groupe 2D sur décor 3D. Séparer visage, arme et effets pour préserver les variantes d’état décrites dans la fiche de rôle.</x:v>
      </x:c>
      <x:c r="H27" s="9" t="str">
        <x:v>Le sprite ne définit pas la hitbox. Distinguer position au sol, hauteur visuelle et zone ciblable afin que les grandes silhouettes ne cachent pas les cibles voisines.</x:v>
      </x:c>
      <x:c r="I27" s="9" t="str">
        <x:v>Socle organique et canon.</x:v>
      </x:c>
      <x:c r="J27" s="9" t="str">
        <x:v>Prévoir un état neutre, déplacement, préparation de l’action signature, impact reçu, mise à terre et retour en contrôle pour Tourelle kett. Éviter la duplication miroir des signes asymétriques.</x:v>
      </x:c>
      <x:c r="K27" s="9" t="str">
        <x:v>Sans bande sonore embarquée dans la planche ; émettre uniquement des événements nommés vers le système audio pour éviter les doublons.</x:v>
      </x:c>
      <x:c r="L27" s="9" t="str">
        <x:v>Prévu : fiche de données mea/sprites/enm-kett-turret ; rattacher les ressources et états cités à cet identifiant. Aucun fichier de jeu créé par ce catalogue.</x:v>
      </x:c>
      <x:c r="M27" s="9" t="str">
        <x:v>Rencontres kett.</x:v>
      </x:c>
      <x:c r="N27" s="9" t="str">
        <x:v>À l’échelle de jeu, Tourelle kett est identifiable en silhouette ; pivot aux pieds, masque de profondeur et huit orientations proposés restent stables devant les couverts.</x:v>
      </x:c>
      <x:c r="O27" s="9" t="str">
        <x:v>MEA-ENM-KETT-TURRET</x:v>
      </x:c>
      <x:c r="P27" s="9" t="str">
        <x:v>Adaptation originale — spécification de production</x:v>
      </x:c>
      <x:c r="Q27" s="9" t="str"/>
      <x:c r="R27" s="9" t="str"/>
      <x:c r="S27" s="9" t="str">
        <x:v>Spécification à réaliser. Les champs adaptation, gameplay, visual, animation, audio et implementation décrivent le fan game ; ils ne donnent pas des caractéristiques officielles de l’œuvre.</x:v>
      </x:c>
    </x:row>
    <x:row r="28" ht="82" customHeight="1">
      <x:c r="A28" s="19" t="str">
        <x:v>MEA-SPR-ENM-RAIDER</x:v>
      </x:c>
      <x:c r="B28" s="7" t="str">
        <x:v>Planche sprites — Raider hors-la-loi</x:v>
      </x:c>
      <x:c r="C28" s="15" t="str">
        <x:v>Défini</x:v>
      </x:c>
      <x:c r="D28" s="17" t="str">
        <x:v>Extrapolation</x:v>
      </x:c>
      <x:c r="E28" s="17" t="str">
        <x:v>P1</x:v>
      </x:c>
      <x:c r="F28" s="7" t="str">
        <x:v>Livrable original proposé : Planche sprites — Raider hors-la-loi.</x:v>
      </x:c>
      <x:c r="G28" s="7" t="str">
        <x:v>Produire une planche originale de Raider hors-la-loi pour le groupe 2D sur décor 3D. Séparer visage, arme et effets pour préserver les variantes d’état décrites dans la fiche de rôle.</x:v>
      </x:c>
      <x:c r="H28" s="7" t="str">
        <x:v>Le sprite ne définit pas la hitbox. Distinguer position au sol, hauteur visuelle et zone ciblable afin que les grandes silhouettes ne cachent pas les cibles voisines.</x:v>
      </x:c>
      <x:c r="I28" s="7" t="str">
        <x:v>Armure de récupération et fusil.</x:v>
      </x:c>
      <x:c r="J28" s="7" t="str">
        <x:v>Prévoir un état neutre, déplacement, préparation de l’action signature, impact reçu, mise à terre et retour en contrôle pour Raider hors-la-loi. Éviter la duplication miroir des signes asymétriques.</x:v>
      </x:c>
      <x:c r="K28" s="7" t="str">
        <x:v>Sans bande sonore embarquée dans la planche ; émettre uniquement des événements nommés vers le système audio pour éviter les doublons.</x:v>
      </x:c>
      <x:c r="L28" s="7" t="str">
        <x:v>Prévu : fiche de données mea/sprites/enm-raider ; rattacher les ressources et états cités à cet identifiant. Aucun fichier de jeu créé par ce catalogue.</x:v>
      </x:c>
      <x:c r="M28" s="7" t="str">
        <x:v>Campagne / multi selon rencontre.</x:v>
      </x:c>
      <x:c r="N28" s="7" t="str">
        <x:v>À l’échelle de jeu, Raider hors-la-loi est identifiable en silhouette ; pivot aux pieds, masque de profondeur et huit orientations proposés restent stables devant les couverts.</x:v>
      </x:c>
      <x:c r="O28" s="7" t="str">
        <x:v>MEA-ENM-RAIDER</x:v>
      </x:c>
      <x:c r="P28" s="7" t="str">
        <x:v>Adaptation originale — spécification de production</x:v>
      </x:c>
      <x:c r="Q28" s="7" t="str"/>
      <x:c r="R28" s="7" t="str"/>
      <x:c r="S28" s="7" t="str">
        <x:v>Spécification à réaliser. Les champs adaptation, gameplay, visual, animation, audio et implementation décrivent le fan game ; ils ne donnent pas des caractéristiques officielles de l’œuvre.</x:v>
      </x:c>
    </x:row>
    <x:row r="29" ht="82" customHeight="1">
      <x:c r="A29" s="18" t="str">
        <x:v>MEA-SPR-ENM-BERSERKER</x:v>
      </x:c>
      <x:c r="B29" s="9" t="str">
        <x:v>Planche sprites — Berserker hors-la-loi</x:v>
      </x:c>
      <x:c r="C29" s="15" t="str">
        <x:v>Défini</x:v>
      </x:c>
      <x:c r="D29" s="16" t="str">
        <x:v>Extrapolation</x:v>
      </x:c>
      <x:c r="E29" s="16" t="str">
        <x:v>P1</x:v>
      </x:c>
      <x:c r="F29" s="9" t="str">
        <x:v>Livrable original proposé : Planche sprites — Berserker hors-la-loi.</x:v>
      </x:c>
      <x:c r="G29" s="9" t="str">
        <x:v>Produire une planche originale de Berserker hors-la-loi pour le groupe 2D sur décor 3D. Séparer visage, arme et effets pour préserver les variantes d’état décrites dans la fiche de rôle.</x:v>
      </x:c>
      <x:c r="H29" s="9" t="str">
        <x:v>Le sprite ne définit pas la hitbox. Distinguer position au sol, hauteur visuelle et zone ciblable afin que les grandes silhouettes ne cachent pas les cibles voisines.</x:v>
      </x:c>
      <x:c r="I29" s="9" t="str">
        <x:v>Grande armure et silhouette krogan.</x:v>
      </x:c>
      <x:c r="J29" s="9" t="str">
        <x:v>Prévoir un état neutre, déplacement, préparation de l’action signature, impact reçu, mise à terre et retour en contrôle pour Berserker hors-la-loi. Éviter la duplication miroir des signes asymétriques.</x:v>
      </x:c>
      <x:c r="K29" s="9" t="str">
        <x:v>Sans bande sonore embarquée dans la planche ; émettre uniquement des événements nommés vers le système audio pour éviter les doublons.</x:v>
      </x:c>
      <x:c r="L29" s="9" t="str">
        <x:v>Prévu : fiche de données mea/sprites/enm-berserker ; rattacher les ressources et états cités à cet identifiant. Aucun fichier de jeu créé par ce catalogue.</x:v>
      </x:c>
      <x:c r="M29" s="9" t="str">
        <x:v>Campagne / multi selon rencontre.</x:v>
      </x:c>
      <x:c r="N29" s="9" t="str">
        <x:v>À l’échelle de jeu, Berserker hors-la-loi est identifiable en silhouette ; pivot aux pieds, masque de profondeur et huit orientations proposés restent stables devant les couverts.</x:v>
      </x:c>
      <x:c r="O29" s="9" t="str">
        <x:v>MEA-ENM-BERSERKER</x:v>
      </x:c>
      <x:c r="P29" s="9" t="str">
        <x:v>Adaptation originale — spécification de production</x:v>
      </x:c>
      <x:c r="Q29" s="9" t="str"/>
      <x:c r="R29" s="9" t="str"/>
      <x:c r="S29" s="9" t="str">
        <x:v>Spécification à réaliser. Les champs adaptation, gameplay, visual, animation, audio et implementation décrivent le fan game ; ils ne donnent pas des caractéristiques officielles de l’œuvre.</x:v>
      </x:c>
    </x:row>
    <x:row r="30" ht="82" customHeight="1">
      <x:c r="A30" s="19" t="str">
        <x:v>MEA-SPR-ENM-AGENT</x:v>
      </x:c>
      <x:c r="B30" s="7" t="str">
        <x:v>Planche sprites — Agent hors-la-loi</x:v>
      </x:c>
      <x:c r="C30" s="15" t="str">
        <x:v>Défini</x:v>
      </x:c>
      <x:c r="D30" s="17" t="str">
        <x:v>Extrapolation</x:v>
      </x:c>
      <x:c r="E30" s="17" t="str">
        <x:v>P1</x:v>
      </x:c>
      <x:c r="F30" s="7" t="str">
        <x:v>Livrable original proposé : Planche sprites — Agent hors-la-loi.</x:v>
      </x:c>
      <x:c r="G30" s="7" t="str">
        <x:v>Produire une planche originale de Agent hors-la-loi pour le groupe 2D sur décor 3D. Séparer visage, arme et effets pour préserver les variantes d’état décrites dans la fiche de rôle.</x:v>
      </x:c>
      <x:c r="H30" s="7" t="str">
        <x:v>Le sprite ne définit pas la hitbox. Distinguer position au sol, hauteur visuelle et zone ciblable afin que les grandes silhouettes ne cachent pas les cibles voisines.</x:v>
      </x:c>
      <x:c r="I30" s="7" t="str">
        <x:v>Armure légère et omni-outil.</x:v>
      </x:c>
      <x:c r="J30" s="7" t="str">
        <x:v>Prévoir un état neutre, déplacement, préparation de l’action signature, impact reçu, mise à terre et retour en contrôle pour Agent hors-la-loi. Éviter la duplication miroir des signes asymétriques.</x:v>
      </x:c>
      <x:c r="K30" s="7" t="str">
        <x:v>Sans bande sonore embarquée dans la planche ; émettre uniquement des événements nommés vers le système audio pour éviter les doublons.</x:v>
      </x:c>
      <x:c r="L30" s="7" t="str">
        <x:v>Prévu : fiche de données mea/sprites/enm-agent ; rattacher les ressources et états cités à cet identifiant. Aucun fichier de jeu créé par ce catalogue.</x:v>
      </x:c>
      <x:c r="M30" s="7" t="str">
        <x:v>Campagne / multi selon rencontre.</x:v>
      </x:c>
      <x:c r="N30" s="7" t="str">
        <x:v>À l’échelle de jeu, Agent hors-la-loi est identifiable en silhouette ; pivot aux pieds, masque de profondeur et huit orientations proposés restent stables devant les couverts.</x:v>
      </x:c>
      <x:c r="O30" s="7" t="str">
        <x:v>MEA-ENM-AGENT</x:v>
      </x:c>
      <x:c r="P30" s="7" t="str">
        <x:v>Adaptation originale — spécification de production</x:v>
      </x:c>
      <x:c r="Q30" s="7" t="str"/>
      <x:c r="R30" s="7" t="str"/>
      <x:c r="S30" s="7" t="str">
        <x:v>Spécification à réaliser. Les champs adaptation, gameplay, visual, animation, audio et implementation décrivent le fan game ; ils ne donnent pas des caractéristiques officielles de l’œuvre.</x:v>
      </x:c>
    </x:row>
    <x:row r="31" ht="68" customHeight="1">
      <x:c r="A31" s="18" t="str">
        <x:v>MEA-SPR-ENM-ANARCHIST</x:v>
      </x:c>
      <x:c r="B31" s="9" t="str">
        <x:v>Planche sprites — Anarchist</x:v>
      </x:c>
      <x:c r="C31" s="15" t="str">
        <x:v>Défini</x:v>
      </x:c>
      <x:c r="D31" s="16" t="str">
        <x:v>Extrapolation</x:v>
      </x:c>
      <x:c r="E31" s="16" t="str">
        <x:v>P1</x:v>
      </x:c>
      <x:c r="F31" s="9" t="str">
        <x:v>Livrable original proposé : Planche sprites — Anarchist.</x:v>
      </x:c>
      <x:c r="G31" s="9" t="str">
        <x:v>Produire une planche originale de Anarchist pour le groupe 2D sur décor 3D. Séparer visage, arme et effets pour préserver les variantes d’état décrites dans la fiche de rôle.</x:v>
      </x:c>
      <x:c r="H31" s="9" t="str">
        <x:v>Le sprite ne définit pas la hitbox. Distinguer position au sol, hauteur visuelle et zone ciblable afin que les grandes silhouettes ne cachent pas les cibles voisines.</x:v>
      </x:c>
      <x:c r="I31" s="9" t="str">
        <x:v>Charges, grenades et équipement irrégulier.</x:v>
      </x:c>
      <x:c r="J31" s="9" t="str">
        <x:v>Prévoir un état neutre, déplacement, préparation de l’action signature, impact reçu, mise à terre et retour en contrôle pour Anarchist. Éviter la duplication miroir des signes asymétriques.</x:v>
      </x:c>
      <x:c r="K31" s="9" t="str">
        <x:v>Sans bande sonore embarquée dans la planche ; émettre uniquement des événements nommés vers le système audio pour éviter les doublons.</x:v>
      </x:c>
      <x:c r="L31" s="9" t="str">
        <x:v>Prévu : fiche de données mea/sprites/enm-anarchist ; rattacher les ressources et états cités à cet identifiant. Aucun fichier de jeu créé par ce catalogue.</x:v>
      </x:c>
      <x:c r="M31" s="9" t="str">
        <x:v>Campagne / multi selon rencontre.</x:v>
      </x:c>
      <x:c r="N31" s="9" t="str">
        <x:v>À l’échelle de jeu, Anarchist est identifiable en silhouette ; pivot aux pieds, masque de profondeur et huit orientations proposés restent stables devant les couverts.</x:v>
      </x:c>
      <x:c r="O31" s="9" t="str">
        <x:v>MEA-ENM-ANARCHIST</x:v>
      </x:c>
      <x:c r="P31" s="9" t="str">
        <x:v>Adaptation originale — spécification de production</x:v>
      </x:c>
      <x:c r="Q31" s="9" t="str"/>
      <x:c r="R31" s="9" t="str"/>
      <x:c r="S31" s="9" t="str">
        <x:v>Spécification à réaliser. Les champs adaptation, gameplay, visual, animation, audio et implementation décrivent le fan game ; ils ne donnent pas des caractéristiques officielles de l’œuvre.</x:v>
      </x:c>
    </x:row>
    <x:row r="32" ht="68" customHeight="1">
      <x:c r="A32" s="19" t="str">
        <x:v>MEA-SPR-ENM-HYDRA</x:v>
      </x:c>
      <x:c r="B32" s="7" t="str">
        <x:v>Planche sprites — Hydra</x:v>
      </x:c>
      <x:c r="C32" s="15" t="str">
        <x:v>Défini</x:v>
      </x:c>
      <x:c r="D32" s="17" t="str">
        <x:v>Extrapolation</x:v>
      </x:c>
      <x:c r="E32" s="17" t="str">
        <x:v>P1</x:v>
      </x:c>
      <x:c r="F32" s="7" t="str">
        <x:v>Livrable original proposé : Planche sprites — Hydra.</x:v>
      </x:c>
      <x:c r="G32" s="7" t="str">
        <x:v>Produire une planche originale de Hydra pour le groupe 2D sur décor 3D. Séparer visage, arme et effets pour préserver les variantes d’état décrites dans la fiche de rôle.</x:v>
      </x:c>
      <x:c r="H32" s="7" t="str">
        <x:v>Le sprite ne définit pas la hitbox. Distinguer position au sol, hauteur visuelle et zone ciblable afin que les grandes silhouettes ne cachent pas les cibles voisines.</x:v>
      </x:c>
      <x:c r="I32" s="7" t="str">
        <x:v>Méca large et lanceurs.</x:v>
      </x:c>
      <x:c r="J32" s="7" t="str">
        <x:v>Prévoir un état neutre, déplacement, préparation de l’action signature, impact reçu, mise à terre et retour en contrôle pour Hydra. Éviter la duplication miroir des signes asymétriques.</x:v>
      </x:c>
      <x:c r="K32" s="7" t="str">
        <x:v>Sans bande sonore embarquée dans la planche ; émettre uniquement des événements nommés vers le système audio pour éviter les doublons.</x:v>
      </x:c>
      <x:c r="L32" s="7" t="str">
        <x:v>Prévu : fiche de données mea/sprites/enm-hydra ; rattacher les ressources et états cités à cet identifiant. Aucun fichier de jeu créé par ce catalogue.</x:v>
      </x:c>
      <x:c r="M32" s="7" t="str">
        <x:v>Campagne / multi selon rencontre.</x:v>
      </x:c>
      <x:c r="N32" s="7" t="str">
        <x:v>À l’échelle de jeu, Hydra est identifiable en silhouette ; pivot aux pieds, masque de profondeur et huit orientations proposés restent stables devant les couverts.</x:v>
      </x:c>
      <x:c r="O32" s="7" t="str">
        <x:v>MEA-ENM-HYDRA</x:v>
      </x:c>
      <x:c r="P32" s="7" t="str">
        <x:v>Adaptation originale — spécification de production</x:v>
      </x:c>
      <x:c r="Q32" s="7" t="str"/>
      <x:c r="R32" s="7" t="str"/>
      <x:c r="S32" s="7" t="str">
        <x:v>Spécification à réaliser. Les champs adaptation, gameplay, visual, animation, audio et implementation décrivent le fan game ; ils ne donnent pas des caractéristiques officielles de l’œuvre.</x:v>
      </x:c>
    </x:row>
    <x:row r="33" ht="68" customHeight="1">
      <x:c r="A33" s="18" t="str">
        <x:v>MEA-SPR-ENM-PARIAH</x:v>
      </x:c>
      <x:c r="B33" s="9" t="str">
        <x:v>Planche sprites — Pariah</x:v>
      </x:c>
      <x:c r="C33" s="15" t="str">
        <x:v>Défini</x:v>
      </x:c>
      <x:c r="D33" s="16" t="str">
        <x:v>Extrapolation</x:v>
      </x:c>
      <x:c r="E33" s="16" t="str">
        <x:v>P1</x:v>
      </x:c>
      <x:c r="F33" s="9" t="str">
        <x:v>Livrable original proposé : Planche sprites — Pariah.</x:v>
      </x:c>
      <x:c r="G33" s="9" t="str">
        <x:v>Produire une planche originale de Pariah pour le groupe 2D sur décor 3D. Séparer visage, arme et effets pour préserver les variantes d’état décrites dans la fiche de rôle.</x:v>
      </x:c>
      <x:c r="H33" s="9" t="str">
        <x:v>Le sprite ne définit pas la hitbox. Distinguer position au sol, hauteur visuelle et zone ciblable afin que les grandes silhouettes ne cachent pas les cibles voisines.</x:v>
      </x:c>
      <x:c r="I33" s="9" t="str">
        <x:v>Asari en tenue de mercenaire.</x:v>
      </x:c>
      <x:c r="J33" s="9" t="str">
        <x:v>Prévoir un état neutre, déplacement, préparation de l’action signature, impact reçu, mise à terre et retour en contrôle pour Pariah. Éviter la duplication miroir des signes asymétriques.</x:v>
      </x:c>
      <x:c r="K33" s="9" t="str">
        <x:v>Sans bande sonore embarquée dans la planche ; émettre uniquement des événements nommés vers le système audio pour éviter les doublons.</x:v>
      </x:c>
      <x:c r="L33" s="9" t="str">
        <x:v>Prévu : fiche de données mea/sprites/enm-pariah ; rattacher les ressources et états cités à cet identifiant. Aucun fichier de jeu créé par ce catalogue.</x:v>
      </x:c>
      <x:c r="M33" s="9" t="str">
        <x:v>Campagne / multi selon rencontre.</x:v>
      </x:c>
      <x:c r="N33" s="9" t="str">
        <x:v>À l’échelle de jeu, Pariah est identifiable en silhouette ; pivot aux pieds, masque de profondeur et huit orientations proposés restent stables devant les couverts.</x:v>
      </x:c>
      <x:c r="O33" s="9" t="str">
        <x:v>MEA-ENM-PARIAH</x:v>
      </x:c>
      <x:c r="P33" s="9" t="str">
        <x:v>Adaptation originale — spécification de production</x:v>
      </x:c>
      <x:c r="Q33" s="9" t="str"/>
      <x:c r="R33" s="9" t="str"/>
      <x:c r="S33" s="9" t="str">
        <x:v>Spécification à réaliser. Les champs adaptation, gameplay, visual, animation, audio et implementation décrivent le fan game ; ils ne donnent pas des caractéristiques officielles de l’œuvre.</x:v>
      </x:c>
    </x:row>
    <x:row r="34" ht="68" customHeight="1">
      <x:c r="A34" s="19" t="str">
        <x:v>MEA-SPR-ENM-SABOTEUR</x:v>
      </x:c>
      <x:c r="B34" s="7" t="str">
        <x:v>Planche sprites — Saboteur</x:v>
      </x:c>
      <x:c r="C34" s="15" t="str">
        <x:v>Défini</x:v>
      </x:c>
      <x:c r="D34" s="17" t="str">
        <x:v>Extrapolation</x:v>
      </x:c>
      <x:c r="E34" s="17" t="str">
        <x:v>P1</x:v>
      </x:c>
      <x:c r="F34" s="7" t="str">
        <x:v>Livrable original proposé : Planche sprites — Saboteur.</x:v>
      </x:c>
      <x:c r="G34" s="7" t="str">
        <x:v>Produire une planche originale de Saboteur pour le groupe 2D sur décor 3D. Séparer visage, arme et effets pour préserver les variantes d’état décrites dans la fiche de rôle.</x:v>
      </x:c>
      <x:c r="H34" s="7" t="str">
        <x:v>Le sprite ne définit pas la hitbox. Distinguer position au sol, hauteur visuelle et zone ciblable afin que les grandes silhouettes ne cachent pas les cibles voisines.</x:v>
      </x:c>
      <x:c r="I34" s="7" t="str">
        <x:v>Omni-outil et matériel de terrain.</x:v>
      </x:c>
      <x:c r="J34" s="7" t="str">
        <x:v>Prévoir un état neutre, déplacement, préparation de l’action signature, impact reçu, mise à terre et retour en contrôle pour Saboteur. Éviter la duplication miroir des signes asymétriques.</x:v>
      </x:c>
      <x:c r="K34" s="7" t="str">
        <x:v>Sans bande sonore embarquée dans la planche ; émettre uniquement des événements nommés vers le système audio pour éviter les doublons.</x:v>
      </x:c>
      <x:c r="L34" s="7" t="str">
        <x:v>Prévu : fiche de données mea/sprites/enm-saboteur ; rattacher les ressources et états cités à cet identifiant. Aucun fichier de jeu créé par ce catalogue.</x:v>
      </x:c>
      <x:c r="M34" s="7" t="str">
        <x:v>Campagne / multi selon rencontre.</x:v>
      </x:c>
      <x:c r="N34" s="7" t="str">
        <x:v>À l’échelle de jeu, Saboteur est identifiable en silhouette ; pivot aux pieds, masque de profondeur et huit orientations proposés restent stables devant les couverts.</x:v>
      </x:c>
      <x:c r="O34" s="7" t="str">
        <x:v>MEA-ENM-SABOTEUR</x:v>
      </x:c>
      <x:c r="P34" s="7" t="str">
        <x:v>Adaptation originale — spécification de production</x:v>
      </x:c>
      <x:c r="Q34" s="7" t="str"/>
      <x:c r="R34" s="7" t="str"/>
      <x:c r="S34" s="7" t="str">
        <x:v>Spécification à réaliser. Les champs adaptation, gameplay, visual, animation, audio et implementation décrivent le fan game ; ils ne donnent pas des caractéristiques officielles de l’œuvre.</x:v>
      </x:c>
    </x:row>
    <x:row r="35" ht="68" customHeight="1">
      <x:c r="A35" s="18" t="str">
        <x:v>MEA-SPR-ENM-SHARPSHOOTER</x:v>
      </x:c>
      <x:c r="B35" s="9" t="str">
        <x:v>Planche sprites — Sharpshooter</x:v>
      </x:c>
      <x:c r="C35" s="15" t="str">
        <x:v>Défini</x:v>
      </x:c>
      <x:c r="D35" s="16" t="str">
        <x:v>Extrapolation</x:v>
      </x:c>
      <x:c r="E35" s="16" t="str">
        <x:v>P1</x:v>
      </x:c>
      <x:c r="F35" s="9" t="str">
        <x:v>Livrable original proposé : Planche sprites — Sharpshooter.</x:v>
      </x:c>
      <x:c r="G35" s="9" t="str">
        <x:v>Produire une planche originale de Sharpshooter pour le groupe 2D sur décor 3D. Séparer visage, arme et effets pour préserver les variantes d’état décrites dans la fiche de rôle.</x:v>
      </x:c>
      <x:c r="H35" s="9" t="str">
        <x:v>Le sprite ne définit pas la hitbox. Distinguer position au sol, hauteur visuelle et zone ciblable afin que les grandes silhouettes ne cachent pas les cibles voisines.</x:v>
      </x:c>
      <x:c r="I35" s="9" t="str">
        <x:v>Lunette et arme longue.</x:v>
      </x:c>
      <x:c r="J35" s="9" t="str">
        <x:v>Prévoir un état neutre, déplacement, préparation de l’action signature, impact reçu, mise à terre et retour en contrôle pour Sharpshooter. Éviter la duplication miroir des signes asymétriques.</x:v>
      </x:c>
      <x:c r="K35" s="9" t="str">
        <x:v>Sans bande sonore embarquée dans la planche ; émettre uniquement des événements nommés vers le système audio pour éviter les doublons.</x:v>
      </x:c>
      <x:c r="L35" s="9" t="str">
        <x:v>Prévu : fiche de données mea/sprites/enm-sharpshooter ; rattacher les ressources et états cités à cet identifiant. Aucun fichier de jeu créé par ce catalogue.</x:v>
      </x:c>
      <x:c r="M35" s="9" t="str">
        <x:v>Campagne / multi selon rencontre.</x:v>
      </x:c>
      <x:c r="N35" s="9" t="str">
        <x:v>À l’échelle de jeu, Sharpshooter est identifiable en silhouette ; pivot aux pieds, masque de profondeur et huit orientations proposés restent stables devant les couverts.</x:v>
      </x:c>
      <x:c r="O35" s="9" t="str">
        <x:v>MEA-ENM-SHARPSHOOTER</x:v>
      </x:c>
      <x:c r="P35" s="9" t="str">
        <x:v>Adaptation originale — spécification de production</x:v>
      </x:c>
      <x:c r="Q35" s="9" t="str"/>
      <x:c r="R35" s="9" t="str"/>
      <x:c r="S35" s="9" t="str">
        <x:v>Spécification à réaliser. Les champs adaptation, gameplay, visual, animation, audio et implementation décrivent le fan game ; ils ne donnent pas des caractéristiques officielles de l’œuvre.</x:v>
      </x:c>
    </x:row>
    <x:row r="36" ht="82" customHeight="1">
      <x:c r="A36" s="19" t="str">
        <x:v>MEA-SPR-ENM-OUTLAW-TURRET</x:v>
      </x:c>
      <x:c r="B36" s="7" t="str">
        <x:v>Planche sprites — Tourelle de hors-la-loi</x:v>
      </x:c>
      <x:c r="C36" s="15" t="str">
        <x:v>Défini</x:v>
      </x:c>
      <x:c r="D36" s="17" t="str">
        <x:v>Extrapolation</x:v>
      </x:c>
      <x:c r="E36" s="17" t="str">
        <x:v>P1</x:v>
      </x:c>
      <x:c r="F36" s="7" t="str">
        <x:v>Livrable original proposé : Planche sprites — Tourelle de hors-la-loi.</x:v>
      </x:c>
      <x:c r="G36" s="7" t="str">
        <x:v>Produire une planche originale de Tourelle de hors-la-loi pour le groupe 2D sur décor 3D. Séparer visage, arme et effets pour préserver les variantes d’état décrites dans la fiche de rôle.</x:v>
      </x:c>
      <x:c r="H36" s="7" t="str">
        <x:v>Le sprite ne définit pas la hitbox. Distinguer position au sol, hauteur visuelle et zone ciblable afin que les grandes silhouettes ne cachent pas les cibles voisines.</x:v>
      </x:c>
      <x:c r="I36" s="7" t="str">
        <x:v>Trépied de récupération.</x:v>
      </x:c>
      <x:c r="J36" s="7" t="str">
        <x:v>Prévoir un état neutre, déplacement, préparation de l’action signature, impact reçu, mise à terre et retour en contrôle pour Tourelle de hors-la-loi. Éviter la duplication miroir des signes asymétriques.</x:v>
      </x:c>
      <x:c r="K36" s="7" t="str">
        <x:v>Sans bande sonore embarquée dans la planche ; émettre uniquement des événements nommés vers le système audio pour éviter les doublons.</x:v>
      </x:c>
      <x:c r="L36" s="7" t="str">
        <x:v>Prévu : fiche de données mea/sprites/enm-outlaw-turret ; rattacher les ressources et états cités à cet identifiant. Aucun fichier de jeu créé par ce catalogue.</x:v>
      </x:c>
      <x:c r="M36" s="7" t="str">
        <x:v>Campagne / multi selon rencontre.</x:v>
      </x:c>
      <x:c r="N36" s="7" t="str">
        <x:v>À l’échelle de jeu, Tourelle de hors-la-loi est identifiable en silhouette ; pivot aux pieds, masque de profondeur et huit orientations proposés restent stables devant les couverts.</x:v>
      </x:c>
      <x:c r="O36" s="7" t="str">
        <x:v>MEA-ENM-OUTLAW-TURRET</x:v>
      </x:c>
      <x:c r="P36" s="7" t="str">
        <x:v>Adaptation originale — spécification de production</x:v>
      </x:c>
      <x:c r="Q36" s="7" t="str"/>
      <x:c r="R36" s="7" t="str"/>
      <x:c r="S36" s="7" t="str">
        <x:v>Spécification à réaliser. Les champs adaptation, gameplay, visual, animation, audio et implementation décrivent le fan game ; ils ne donnent pas des caractéristiques officielles de l’œuvre.</x:v>
      </x:c>
    </x:row>
    <x:row r="37" ht="68" customHeight="1">
      <x:c r="A37" s="18" t="str">
        <x:v>MEA-SPR-ENM-ADHI-TRAINED</x:v>
      </x:c>
      <x:c r="B37" s="9" t="str">
        <x:v>Planche sprites — Adhi dressé</x:v>
      </x:c>
      <x:c r="C37" s="15" t="str">
        <x:v>Défini</x:v>
      </x:c>
      <x:c r="D37" s="16" t="str">
        <x:v>Extrapolation</x:v>
      </x:c>
      <x:c r="E37" s="16" t="str">
        <x:v>P1</x:v>
      </x:c>
      <x:c r="F37" s="9" t="str">
        <x:v>Livrable original proposé : Planche sprites — Adhi dressé.</x:v>
      </x:c>
      <x:c r="G37" s="9" t="str">
        <x:v>Produire une planche originale de Adhi dressé pour le groupe 2D sur décor 3D. Séparer visage, arme et effets pour préserver les variantes d’état décrites dans la fiche de rôle.</x:v>
      </x:c>
      <x:c r="H37" s="9" t="str">
        <x:v>Le sprite ne définit pas la hitbox. Distinguer position au sol, hauteur visuelle et zone ciblable afin que les grandes silhouettes ne cachent pas les cibles voisines.</x:v>
      </x:c>
      <x:c r="I37" s="9" t="str">
        <x:v>Quadrupède bas et harnais selon variante.</x:v>
      </x:c>
      <x:c r="J37" s="9" t="str">
        <x:v>Prévoir un état neutre, déplacement, préparation de l’action signature, impact reçu, mise à terre et retour en contrôle pour Adhi dressé. Éviter la duplication miroir des signes asymétriques.</x:v>
      </x:c>
      <x:c r="K37" s="9" t="str">
        <x:v>Sans bande sonore embarquée dans la planche ; émettre uniquement des événements nommés vers le système audio pour éviter les doublons.</x:v>
      </x:c>
      <x:c r="L37" s="9" t="str">
        <x:v>Prévu : fiche de données mea/sprites/enm-adhi-trained ; rattacher les ressources et états cités à cet identifiant. Aucun fichier de jeu créé par ce catalogue.</x:v>
      </x:c>
      <x:c r="M37" s="9" t="str">
        <x:v>Faction de la rencontre distincte de faune sauvage.</x:v>
      </x:c>
      <x:c r="N37" s="9" t="str">
        <x:v>À l’échelle de jeu, Adhi dressé est identifiable en silhouette ; pivot aux pieds, masque de profondeur et huit orientations proposés restent stables devant les couverts.</x:v>
      </x:c>
      <x:c r="O37" s="9" t="str">
        <x:v>MEA-ENM-ADHI-TRAINED</x:v>
      </x:c>
      <x:c r="P37" s="9" t="str">
        <x:v>Adaptation originale — spécification de production</x:v>
      </x:c>
      <x:c r="Q37" s="9" t="str"/>
      <x:c r="R37" s="9" t="str"/>
      <x:c r="S37" s="9" t="str">
        <x:v>Spécification à réaliser. Les champs adaptation, gameplay, visual, animation, audio et implementation décrivent le fan game ; ils ne donnent pas des caractéristiques officielles de l’œuvre.</x:v>
      </x:c>
    </x:row>
    <x:row r="38" ht="68" customHeight="1">
      <x:c r="A38" s="19" t="str">
        <x:v>MEA-SPR-ENM-ASSEMBLER</x:v>
      </x:c>
      <x:c r="B38" s="7" t="str">
        <x:v>Planche sprites — Assembler</x:v>
      </x:c>
      <x:c r="C38" s="15" t="str">
        <x:v>Défini</x:v>
      </x:c>
      <x:c r="D38" s="17" t="str">
        <x:v>Extrapolation</x:v>
      </x:c>
      <x:c r="E38" s="17" t="str">
        <x:v>P1</x:v>
      </x:c>
      <x:c r="F38" s="7" t="str">
        <x:v>Livrable original proposé : Planche sprites — Assembler.</x:v>
      </x:c>
      <x:c r="G38" s="7" t="str">
        <x:v>Produire une planche originale de Assembler pour le groupe 2D sur décor 3D. Séparer visage, arme et effets pour préserver les variantes d’état décrites dans la fiche de rôle.</x:v>
      </x:c>
      <x:c r="H38" s="7" t="str">
        <x:v>Le sprite ne définit pas la hitbox. Distinguer position au sol, hauteur visuelle et zone ciblable afin que les grandes silhouettes ne cachent pas les cibles voisines.</x:v>
      </x:c>
      <x:c r="I38" s="7" t="str">
        <x:v>Machine flottante et éléments rotatifs.</x:v>
      </x:c>
      <x:c r="J38" s="7" t="str">
        <x:v>Prévoir un état neutre, déplacement, préparation de l’action signature, impact reçu, mise à terre et retour en contrôle pour Assembler. Éviter la duplication miroir des signes asymétriques.</x:v>
      </x:c>
      <x:c r="K38" s="7" t="str">
        <x:v>Sans bande sonore embarquée dans la planche ; émettre uniquement des événements nommés vers le système audio pour éviter les doublons.</x:v>
      </x:c>
      <x:c r="L38" s="7" t="str">
        <x:v>Prévu : fiche de données mea/sprites/enm-assembler ; rattacher les ressources et états cités à cet identifiant. Aucun fichier de jeu créé par ce catalogue.</x:v>
      </x:c>
      <x:c r="M38" s="7" t="str">
        <x:v>Sites reliquats.</x:v>
      </x:c>
      <x:c r="N38" s="7" t="str">
        <x:v>À l’échelle de jeu, Assembler est identifiable en silhouette ; pivot aux pieds, masque de profondeur et huit orientations proposés restent stables devant les couverts.</x:v>
      </x:c>
      <x:c r="O38" s="7" t="str">
        <x:v>MEA-ENM-ASSEMBLER</x:v>
      </x:c>
      <x:c r="P38" s="7" t="str">
        <x:v>Adaptation originale — spécification de production</x:v>
      </x:c>
      <x:c r="Q38" s="7" t="str"/>
      <x:c r="R38" s="7" t="str"/>
      <x:c r="S38" s="7" t="str">
        <x:v>Spécification à réaliser. Les champs adaptation, gameplay, visual, animation, audio et implementation décrivent le fan game ; ils ne donnent pas des caractéristiques officielles de l’œuvre.</x:v>
      </x:c>
    </x:row>
    <x:row r="39" ht="68" customHeight="1">
      <x:c r="A39" s="18" t="str">
        <x:v>MEA-SPR-ENM-BREACHER</x:v>
      </x:c>
      <x:c r="B39" s="9" t="str">
        <x:v>Planche sprites — Breacher</x:v>
      </x:c>
      <x:c r="C39" s="15" t="str">
        <x:v>Défini</x:v>
      </x:c>
      <x:c r="D39" s="16" t="str">
        <x:v>Extrapolation</x:v>
      </x:c>
      <x:c r="E39" s="16" t="str">
        <x:v>P1</x:v>
      </x:c>
      <x:c r="F39" s="9" t="str">
        <x:v>Livrable original proposé : Planche sprites — Breacher.</x:v>
      </x:c>
      <x:c r="G39" s="9" t="str">
        <x:v>Produire une planche originale de Breacher pour le groupe 2D sur décor 3D. Séparer visage, arme et effets pour préserver les variantes d’état décrites dans la fiche de rôle.</x:v>
      </x:c>
      <x:c r="H39" s="9" t="str">
        <x:v>Le sprite ne définit pas la hitbox. Distinguer position au sol, hauteur visuelle et zone ciblable afin que les grandes silhouettes ne cachent pas les cibles voisines.</x:v>
      </x:c>
      <x:c r="I39" s="9" t="str">
        <x:v>Petite machine segmentée.</x:v>
      </x:c>
      <x:c r="J39" s="9" t="str">
        <x:v>Prévoir un état neutre, déplacement, préparation de l’action signature, impact reçu, mise à terre et retour en contrôle pour Breacher. Éviter la duplication miroir des signes asymétriques.</x:v>
      </x:c>
      <x:c r="K39" s="9" t="str">
        <x:v>Sans bande sonore embarquée dans la planche ; émettre uniquement des événements nommés vers le système audio pour éviter les doublons.</x:v>
      </x:c>
      <x:c r="L39" s="9" t="str">
        <x:v>Prévu : fiche de données mea/sprites/enm-breacher ; rattacher les ressources et états cités à cet identifiant. Aucun fichier de jeu créé par ce catalogue.</x:v>
      </x:c>
      <x:c r="M39" s="9" t="str">
        <x:v>Sites reliquats.</x:v>
      </x:c>
      <x:c r="N39" s="9" t="str">
        <x:v>À l’échelle de jeu, Breacher est identifiable en silhouette ; pivot aux pieds, masque de profondeur et huit orientations proposés restent stables devant les couverts.</x:v>
      </x:c>
      <x:c r="O39" s="9" t="str">
        <x:v>MEA-ENM-BREACHER</x:v>
      </x:c>
      <x:c r="P39" s="9" t="str">
        <x:v>Adaptation originale — spécification de production</x:v>
      </x:c>
      <x:c r="Q39" s="9" t="str"/>
      <x:c r="R39" s="9" t="str"/>
      <x:c r="S39" s="9" t="str">
        <x:v>Spécification à réaliser. Les champs adaptation, gameplay, visual, animation, audio et implementation décrivent le fan game ; ils ne donnent pas des caractéristiques officielles de l’œuvre.</x:v>
      </x:c>
    </x:row>
    <x:row r="40" ht="68" customHeight="1">
      <x:c r="A40" s="19" t="str">
        <x:v>MEA-SPR-ENM-CREEPER</x:v>
      </x:c>
      <x:c r="B40" s="7" t="str">
        <x:v>Planche sprites — Creeper</x:v>
      </x:c>
      <x:c r="C40" s="15" t="str">
        <x:v>Défini</x:v>
      </x:c>
      <x:c r="D40" s="17" t="str">
        <x:v>Extrapolation</x:v>
      </x:c>
      <x:c r="E40" s="17" t="str">
        <x:v>P1</x:v>
      </x:c>
      <x:c r="F40" s="7" t="str">
        <x:v>Livrable original proposé : Planche sprites — Creeper.</x:v>
      </x:c>
      <x:c r="G40" s="7" t="str">
        <x:v>Produire une planche originale de Creeper pour le groupe 2D sur décor 3D. Séparer visage, arme et effets pour préserver les variantes d’état décrites dans la fiche de rôle.</x:v>
      </x:c>
      <x:c r="H40" s="7" t="str">
        <x:v>Le sprite ne définit pas la hitbox. Distinguer position au sol, hauteur visuelle et zone ciblable afin que les grandes silhouettes ne cachent pas les cibles voisines.</x:v>
      </x:c>
      <x:c r="I40" s="7" t="str">
        <x:v>Petite silhouette mécanique et pattes.</x:v>
      </x:c>
      <x:c r="J40" s="7" t="str">
        <x:v>Prévoir un état neutre, déplacement, préparation de l’action signature, impact reçu, mise à terre et retour en contrôle pour Creeper. Éviter la duplication miroir des signes asymétriques.</x:v>
      </x:c>
      <x:c r="K40" s="7" t="str">
        <x:v>Sans bande sonore embarquée dans la planche ; émettre uniquement des événements nommés vers le système audio pour éviter les doublons.</x:v>
      </x:c>
      <x:c r="L40" s="7" t="str">
        <x:v>Prévu : fiche de données mea/sprites/enm-creeper ; rattacher les ressources et états cités à cet identifiant. Aucun fichier de jeu créé par ce catalogue.</x:v>
      </x:c>
      <x:c r="M40" s="7" t="str">
        <x:v>Sites reliquats.</x:v>
      </x:c>
      <x:c r="N40" s="7" t="str">
        <x:v>À l’échelle de jeu, Creeper est identifiable en silhouette ; pivot aux pieds, masque de profondeur et huit orientations proposés restent stables devant les couverts.</x:v>
      </x:c>
      <x:c r="O40" s="7" t="str">
        <x:v>MEA-ENM-CREEPER</x:v>
      </x:c>
      <x:c r="P40" s="7" t="str">
        <x:v>Adaptation originale — spécification de production</x:v>
      </x:c>
      <x:c r="Q40" s="7" t="str"/>
      <x:c r="R40" s="7" t="str"/>
      <x:c r="S40" s="7" t="str">
        <x:v>Spécification à réaliser. Les champs adaptation, gameplay, visual, animation, audio et implementation décrivent le fan game ; ils ne donnent pas des caractéristiques officielles de l’œuvre.</x:v>
      </x:c>
    </x:row>
    <x:row r="41" ht="68" customHeight="1">
      <x:c r="A41" s="18" t="str">
        <x:v>MEA-SPR-ENM-DESTROYER</x:v>
      </x:c>
      <x:c r="B41" s="9" t="str">
        <x:v>Planche sprites — Destroyer</x:v>
      </x:c>
      <x:c r="C41" s="15" t="str">
        <x:v>Défini</x:v>
      </x:c>
      <x:c r="D41" s="16" t="str">
        <x:v>Extrapolation</x:v>
      </x:c>
      <x:c r="E41" s="16" t="str">
        <x:v>P1</x:v>
      </x:c>
      <x:c r="F41" s="9" t="str">
        <x:v>Livrable original proposé : Planche sprites — Destroyer.</x:v>
      </x:c>
      <x:c r="G41" s="9" t="str">
        <x:v>Produire une planche originale de Destroyer pour le groupe 2D sur décor 3D. Séparer visage, arme et effets pour préserver les variantes d’état décrites dans la fiche de rôle.</x:v>
      </x:c>
      <x:c r="H41" s="9" t="str">
        <x:v>Le sprite ne définit pas la hitbox. Distinguer position au sol, hauteur visuelle et zone ciblable afin que les grandes silhouettes ne cachent pas les cibles voisines.</x:v>
      </x:c>
      <x:c r="I41" s="9" t="str">
        <x:v>Châssis massif et lumière turquoise.</x:v>
      </x:c>
      <x:c r="J41" s="9" t="str">
        <x:v>Prévoir un état neutre, déplacement, préparation de l’action signature, impact reçu, mise à terre et retour en contrôle pour Destroyer. Éviter la duplication miroir des signes asymétriques.</x:v>
      </x:c>
      <x:c r="K41" s="9" t="str">
        <x:v>Sans bande sonore embarquée dans la planche ; émettre uniquement des événements nommés vers le système audio pour éviter les doublons.</x:v>
      </x:c>
      <x:c r="L41" s="9" t="str">
        <x:v>Prévu : fiche de données mea/sprites/enm-destroyer ; rattacher les ressources et états cités à cet identifiant. Aucun fichier de jeu créé par ce catalogue.</x:v>
      </x:c>
      <x:c r="M41" s="9" t="str">
        <x:v>Sites reliquats.</x:v>
      </x:c>
      <x:c r="N41" s="9" t="str">
        <x:v>À l’échelle de jeu, Destroyer est identifiable en silhouette ; pivot aux pieds, masque de profondeur et huit orientations proposés restent stables devant les couverts.</x:v>
      </x:c>
      <x:c r="O41" s="9" t="str">
        <x:v>MEA-ENM-DESTROYER</x:v>
      </x:c>
      <x:c r="P41" s="9" t="str">
        <x:v>Adaptation originale — spécification de production</x:v>
      </x:c>
      <x:c r="Q41" s="9" t="str"/>
      <x:c r="R41" s="9" t="str"/>
      <x:c r="S41" s="9" t="str">
        <x:v>Spécification à réaliser. Les champs adaptation, gameplay, visual, animation, audio et implementation décrivent le fan game ; ils ne donnent pas des caractéristiques officielles de l’œuvre.</x:v>
      </x:c>
    </x:row>
    <x:row r="42" ht="68" customHeight="1">
      <x:c r="A42" s="19" t="str">
        <x:v>MEA-SPR-ENM-NULLIFIER</x:v>
      </x:c>
      <x:c r="B42" s="7" t="str">
        <x:v>Planche sprites — Nullifier</x:v>
      </x:c>
      <x:c r="C42" s="15" t="str">
        <x:v>Défini</x:v>
      </x:c>
      <x:c r="D42" s="17" t="str">
        <x:v>Extrapolation</x:v>
      </x:c>
      <x:c r="E42" s="17" t="str">
        <x:v>P1</x:v>
      </x:c>
      <x:c r="F42" s="7" t="str">
        <x:v>Livrable original proposé : Planche sprites — Nullifier.</x:v>
      </x:c>
      <x:c r="G42" s="7" t="str">
        <x:v>Produire une planche originale de Nullifier pour le groupe 2D sur décor 3D. Séparer visage, arme et effets pour préserver les variantes d’état décrites dans la fiche de rôle.</x:v>
      </x:c>
      <x:c r="H42" s="7" t="str">
        <x:v>Le sprite ne définit pas la hitbox. Distinguer position au sol, hauteur visuelle et zone ciblable afin que les grandes silhouettes ne cachent pas les cibles voisines.</x:v>
      </x:c>
      <x:c r="I42" s="7" t="str">
        <x:v>Bouclier frontal et corps mécanique.</x:v>
      </x:c>
      <x:c r="J42" s="7" t="str">
        <x:v>Prévoir un état neutre, déplacement, préparation de l’action signature, impact reçu, mise à terre et retour en contrôle pour Nullifier. Éviter la duplication miroir des signes asymétriques.</x:v>
      </x:c>
      <x:c r="K42" s="7" t="str">
        <x:v>Sans bande sonore embarquée dans la planche ; émettre uniquement des événements nommés vers le système audio pour éviter les doublons.</x:v>
      </x:c>
      <x:c r="L42" s="7" t="str">
        <x:v>Prévu : fiche de données mea/sprites/enm-nullifier ; rattacher les ressources et états cités à cet identifiant. Aucun fichier de jeu créé par ce catalogue.</x:v>
      </x:c>
      <x:c r="M42" s="7" t="str">
        <x:v>Sites reliquats.</x:v>
      </x:c>
      <x:c r="N42" s="7" t="str">
        <x:v>À l’échelle de jeu, Nullifier est identifiable en silhouette ; pivot aux pieds, masque de profondeur et huit orientations proposés restent stables devant les couverts.</x:v>
      </x:c>
      <x:c r="O42" s="7" t="str">
        <x:v>MEA-ENM-NULLIFIER</x:v>
      </x:c>
      <x:c r="P42" s="7" t="str">
        <x:v>Adaptation originale — spécification de production</x:v>
      </x:c>
      <x:c r="Q42" s="7" t="str"/>
      <x:c r="R42" s="7" t="str"/>
      <x:c r="S42" s="7" t="str">
        <x:v>Spécification à réaliser. Les champs adaptation, gameplay, visual, animation, audio et implementation décrivent le fan game ; ils ne donnent pas des caractéristiques officielles de l’œuvre.</x:v>
      </x:c>
    </x:row>
    <x:row r="43" ht="68" customHeight="1">
      <x:c r="A43" s="18" t="str">
        <x:v>MEA-SPR-ENM-OBSERVER</x:v>
      </x:c>
      <x:c r="B43" s="9" t="str">
        <x:v>Planche sprites — Observer</x:v>
      </x:c>
      <x:c r="C43" s="15" t="str">
        <x:v>Défini</x:v>
      </x:c>
      <x:c r="D43" s="16" t="str">
        <x:v>Extrapolation</x:v>
      </x:c>
      <x:c r="E43" s="16" t="str">
        <x:v>P1</x:v>
      </x:c>
      <x:c r="F43" s="9" t="str">
        <x:v>Livrable original proposé : Planche sprites — Observer.</x:v>
      </x:c>
      <x:c r="G43" s="9" t="str">
        <x:v>Produire une planche originale de Observer pour le groupe 2D sur décor 3D. Séparer visage, arme et effets pour préserver les variantes d’état décrites dans la fiche de rôle.</x:v>
      </x:c>
      <x:c r="H43" s="9" t="str">
        <x:v>Le sprite ne définit pas la hitbox. Distinguer position au sol, hauteur visuelle et zone ciblable afin que les grandes silhouettes ne cachent pas les cibles voisines.</x:v>
      </x:c>
      <x:c r="I43" s="9" t="str">
        <x:v>Petit œil flottant et faisceau.</x:v>
      </x:c>
      <x:c r="J43" s="9" t="str">
        <x:v>Prévoir un état neutre, déplacement, préparation de l’action signature, impact reçu, mise à terre et retour en contrôle pour Observer. Éviter la duplication miroir des signes asymétriques.</x:v>
      </x:c>
      <x:c r="K43" s="9" t="str">
        <x:v>Sans bande sonore embarquée dans la planche ; émettre uniquement des événements nommés vers le système audio pour éviter les doublons.</x:v>
      </x:c>
      <x:c r="L43" s="9" t="str">
        <x:v>Prévu : fiche de données mea/sprites/enm-observer ; rattacher les ressources et états cités à cet identifiant. Aucun fichier de jeu créé par ce catalogue.</x:v>
      </x:c>
      <x:c r="M43" s="9" t="str">
        <x:v>Hostile ou allié selon console / mission.</x:v>
      </x:c>
      <x:c r="N43" s="9" t="str">
        <x:v>À l’échelle de jeu, Observer est identifiable en silhouette ; pivot aux pieds, masque de profondeur et huit orientations proposés restent stables devant les couverts.</x:v>
      </x:c>
      <x:c r="O43" s="9" t="str">
        <x:v>MEA-ENM-OBSERVER</x:v>
      </x:c>
      <x:c r="P43" s="9" t="str">
        <x:v>Adaptation originale — spécification de production</x:v>
      </x:c>
      <x:c r="Q43" s="9" t="str"/>
      <x:c r="R43" s="9" t="str"/>
      <x:c r="S43" s="9" t="str">
        <x:v>Spécification à réaliser. Les champs adaptation, gameplay, visual, animation, audio et implementation décrivent le fan game ; ils ne donnent pas des caractéristiques officielles de l’œuvre.</x:v>
      </x:c>
    </x:row>
    <x:row r="44" ht="82" customHeight="1">
      <x:c r="A44" s="19" t="str">
        <x:v>MEA-SPR-ENM-REM-TURRET</x:v>
      </x:c>
      <x:c r="B44" s="7" t="str">
        <x:v>Planche sprites — Tourelle reliquate</x:v>
      </x:c>
      <x:c r="C44" s="15" t="str">
        <x:v>Défini</x:v>
      </x:c>
      <x:c r="D44" s="17" t="str">
        <x:v>Extrapolation</x:v>
      </x:c>
      <x:c r="E44" s="17" t="str">
        <x:v>P1</x:v>
      </x:c>
      <x:c r="F44" s="7" t="str">
        <x:v>Livrable original proposé : Planche sprites — Tourelle reliquate.</x:v>
      </x:c>
      <x:c r="G44" s="7" t="str">
        <x:v>Produire une planche originale de Tourelle reliquate pour le groupe 2D sur décor 3D. Séparer visage, arme et effets pour préserver les variantes d’état décrites dans la fiche de rôle.</x:v>
      </x:c>
      <x:c r="H44" s="7" t="str">
        <x:v>Le sprite ne définit pas la hitbox. Distinguer position au sol, hauteur visuelle et zone ciblable afin que les grandes silhouettes ne cachent pas les cibles voisines.</x:v>
      </x:c>
      <x:c r="I44" s="7" t="str">
        <x:v>Pylône et canon géométriques.</x:v>
      </x:c>
      <x:c r="J44" s="7" t="str">
        <x:v>Prévoir un état neutre, déplacement, préparation de l’action signature, impact reçu, mise à terre et retour en contrôle pour Tourelle reliquate. Éviter la duplication miroir des signes asymétriques.</x:v>
      </x:c>
      <x:c r="K44" s="7" t="str">
        <x:v>Sans bande sonore embarquée dans la planche ; émettre uniquement des événements nommés vers le système audio pour éviter les doublons.</x:v>
      </x:c>
      <x:c r="L44" s="7" t="str">
        <x:v>Prévu : fiche de données mea/sprites/enm-rem-turret ; rattacher les ressources et états cités à cet identifiant. Aucun fichier de jeu créé par ce catalogue.</x:v>
      </x:c>
      <x:c r="M44" s="7" t="str">
        <x:v>Sites reliquats.</x:v>
      </x:c>
      <x:c r="N44" s="7" t="str">
        <x:v>À l’échelle de jeu, Tourelle reliquate est identifiable en silhouette ; pivot aux pieds, masque de profondeur et huit orientations proposés restent stables devant les couverts.</x:v>
      </x:c>
      <x:c r="O44" s="7" t="str">
        <x:v>MEA-ENM-REM-TURRET</x:v>
      </x:c>
      <x:c r="P44" s="7" t="str">
        <x:v>Adaptation originale — spécification de production</x:v>
      </x:c>
      <x:c r="Q44" s="7" t="str"/>
      <x:c r="R44" s="7" t="str"/>
      <x:c r="S44" s="7" t="str">
        <x:v>Spécification à réaliser. Les champs adaptation, gameplay, visual, animation, audio et implementation décrivent le fan game ; ils ne donnent pas des caractéristiques officielles de l’œuvre.</x:v>
      </x:c>
    </x:row>
    <x:row r="45" ht="82" customHeight="1">
      <x:c r="A45" s="18" t="str">
        <x:v>MEA-SPR-ENM-ARCHITECT</x:v>
      </x:c>
      <x:c r="B45" s="9" t="str">
        <x:v>Planche sprites — Architecte reliquat</x:v>
      </x:c>
      <x:c r="C45" s="15" t="str">
        <x:v>Défini</x:v>
      </x:c>
      <x:c r="D45" s="16" t="str">
        <x:v>Extrapolation</x:v>
      </x:c>
      <x:c r="E45" s="16" t="str">
        <x:v>P1</x:v>
      </x:c>
      <x:c r="F45" s="9" t="str">
        <x:v>Livrable original proposé : Planche sprites — Architecte reliquat.</x:v>
      </x:c>
      <x:c r="G45" s="9" t="str">
        <x:v>Produire une planche originale de Architecte reliquat pour le groupe 2D sur décor 3D. Séparer visage, arme et effets pour préserver les variantes d’état décrites dans la fiche de rôle.</x:v>
      </x:c>
      <x:c r="H45" s="9" t="str">
        <x:v>Le sprite ne définit pas la hitbox. Distinguer position au sol, hauteur visuelle et zone ciblable afin que les grandes silhouettes ne cachent pas les cibles voisines.</x:v>
      </x:c>
      <x:c r="I45" s="9" t="str">
        <x:v>Long corps et trois membres monumentaux.</x:v>
      </x:c>
      <x:c r="J45" s="9" t="str">
        <x:v>Prévoir un état neutre, déplacement, préparation de l’action signature, impact reçu, mise à terre et retour en contrôle pour Architecte reliquat. Éviter la duplication miroir des signes asymétriques.</x:v>
      </x:c>
      <x:c r="K45" s="9" t="str">
        <x:v>Sans bande sonore embarquée dans la planche ; émettre uniquement des événements nommés vers le système audio pour éviter les doublons.</x:v>
      </x:c>
      <x:c r="L45" s="9" t="str">
        <x:v>Prévu : fiche de données mea/sprites/enm-architect ; rattacher les ressources et états cités à cet identifiant. Aucun fichier de jeu créé par ce catalogue.</x:v>
      </x:c>
      <x:c r="M45" s="9" t="str">
        <x:v>Rencontres Eos/Voeld/Kadara/Elaaden à parametrer séparément.</x:v>
      </x:c>
      <x:c r="N45" s="9" t="str">
        <x:v>À l’échelle de jeu, Architecte reliquat est identifiable en silhouette ; pivot aux pieds, masque de profondeur et huit orientations proposés restent stables devant les couverts.</x:v>
      </x:c>
      <x:c r="O45" s="9" t="str">
        <x:v>MEA-ENM-ARCHITECT</x:v>
      </x:c>
      <x:c r="P45" s="9" t="str">
        <x:v>Adaptation originale — spécification de production</x:v>
      </x:c>
      <x:c r="Q45" s="9" t="str"/>
      <x:c r="R45" s="9" t="str"/>
      <x:c r="S45" s="9" t="str">
        <x:v>Spécification à réaliser. Les champs adaptation, gameplay, visual, animation, audio et implementation décrivent le fan game ; ils ne donnent pas des caractéristiques officielles de l’œuvre.</x:v>
      </x:c>
    </x:row>
    <x:row r="46" ht="68" customHeight="1">
      <x:c r="A46" s="19" t="str">
        <x:v>MEA-SPR-ENM-PROGENITOR</x:v>
      </x:c>
      <x:c r="B46" s="7" t="str">
        <x:v>Planche sprites — Progenitor</x:v>
      </x:c>
      <x:c r="C46" s="15" t="str">
        <x:v>Défini</x:v>
      </x:c>
      <x:c r="D46" s="17" t="str">
        <x:v>Extrapolation</x:v>
      </x:c>
      <x:c r="E46" s="17" t="str">
        <x:v>P1</x:v>
      </x:c>
      <x:c r="F46" s="7" t="str">
        <x:v>Livrable original proposé : Planche sprites — Progenitor.</x:v>
      </x:c>
      <x:c r="G46" s="7" t="str">
        <x:v>Produire une planche originale de Progenitor pour le groupe 2D sur décor 3D. Séparer visage, arme et effets pour préserver les variantes d’état décrites dans la fiche de rôle.</x:v>
      </x:c>
      <x:c r="H46" s="7" t="str">
        <x:v>Le sprite ne définit pas la hitbox. Distinguer position au sol, hauteur visuelle et zone ciblable afin que les grandes silhouettes ne cachent pas les cibles voisines.</x:v>
      </x:c>
      <x:c r="I46" s="7" t="str">
        <x:v>Machine lourde aux points lumineux.</x:v>
      </x:c>
      <x:c r="J46" s="7" t="str">
        <x:v>Prévoir un état neutre, déplacement, préparation de l’action signature, impact reçu, mise à terre et retour en contrôle pour Progenitor. Éviter la duplication miroir des signes asymétriques.</x:v>
      </x:c>
      <x:c r="K46" s="7" t="str">
        <x:v>Sans bande sonore embarquée dans la planche ; émettre uniquement des événements nommés vers le système audio pour éviter les doublons.</x:v>
      </x:c>
      <x:c r="L46" s="7" t="str">
        <x:v>Prévu : fiche de données mea/sprites/enm-progenitor ; rattacher les ressources et états cités à cet identifiant. Aucun fichier de jeu créé par ce catalogue.</x:v>
      </x:c>
      <x:c r="M46" s="7" t="str">
        <x:v>The Remnant Tiller.</x:v>
      </x:c>
      <x:c r="N46" s="7" t="str">
        <x:v>À l’échelle de jeu, Progenitor est identifiable en silhouette ; pivot aux pieds, masque de profondeur et huit orientations proposés restent stables devant les couverts.</x:v>
      </x:c>
      <x:c r="O46" s="7" t="str">
        <x:v>MEA-ENM-PROGENITOR</x:v>
      </x:c>
      <x:c r="P46" s="7" t="str">
        <x:v>Adaptation originale — spécification de production</x:v>
      </x:c>
      <x:c r="Q46" s="7" t="str"/>
      <x:c r="R46" s="7" t="str"/>
      <x:c r="S46" s="7" t="str">
        <x:v>Spécification à réaliser. Les champs adaptation, gameplay, visual, animation, audio et implementation décrivent le fan game ; ils ne donnent pas des caractéristiques officielles de l’œuvre.</x:v>
      </x:c>
    </x:row>
    <x:row r="47" ht="82" customHeight="1">
      <x:c r="A47" s="18" t="str">
        <x:v>MEA-SPR-ENM-ARCHON-FINAL</x:v>
      </x:c>
      <x:c r="B47" s="9" t="str">
        <x:v>Planche sprites — Archonte et réseau de Méridiane</x:v>
      </x:c>
      <x:c r="C47" s="15" t="str">
        <x:v>Défini</x:v>
      </x:c>
      <x:c r="D47" s="16" t="str">
        <x:v>Extrapolation</x:v>
      </x:c>
      <x:c r="E47" s="16" t="str">
        <x:v>P1</x:v>
      </x:c>
      <x:c r="F47" s="9" t="str">
        <x:v>Livrable original proposé : Planche sprites — Archonte et réseau de Méridiane.</x:v>
      </x:c>
      <x:c r="G47" s="9" t="str">
        <x:v>Produire une planche originale de Archonte et réseau de Méridiane pour le groupe 2D sur décor 3D. Séparer visage, arme et effets pour préserver les variantes d’état décrites dans la fiche de rôle.</x:v>
      </x:c>
      <x:c r="H47" s="9" t="str">
        <x:v>Le sprite ne définit pas la hitbox. Distinguer position au sol, hauteur visuelle et zone ciblable afin que les grandes silhouettes ne cachent pas les cibles voisines.</x:v>
      </x:c>
      <x:c r="I47" s="9" t="str">
        <x:v>Plateforme de contrôle et machine géante.</x:v>
      </x:c>
      <x:c r="J47" s="9" t="str">
        <x:v>Prévoir un état neutre, déplacement, préparation de l’action signature, impact reçu, mise à terre et retour en contrôle pour Archonte et réseau de Méridiane. Éviter la duplication miroir des signes asymétriques.</x:v>
      </x:c>
      <x:c r="K47" s="9" t="str">
        <x:v>Sans bande sonore embarquée dans la planche ; émettre uniquement des événements nommés vers le système audio pour éviter les doublons.</x:v>
      </x:c>
      <x:c r="L47" s="9" t="str">
        <x:v>Prévu : fiche de données mea/sprites/enm-archon-final ; rattacher les ressources et états cités à cet identifiant. Aucun fichier de jeu créé par ce catalogue.</x:v>
      </x:c>
      <x:c r="M47" s="9" t="str">
        <x:v>Final solo uniquement.</x:v>
      </x:c>
      <x:c r="N47" s="9" t="str">
        <x:v>À l’échelle de jeu, Archonte et réseau de Méridiane est identifiable en silhouette ; pivot aux pieds, masque de profondeur et huit orientations proposés restent stables devant les couverts.</x:v>
      </x:c>
      <x:c r="O47" s="9" t="str">
        <x:v>MEA-ENM-ARCHON-FINAL</x:v>
      </x:c>
      <x:c r="P47" s="9" t="str">
        <x:v>Adaptation originale — spécification de production</x:v>
      </x:c>
      <x:c r="Q47" s="9" t="str"/>
      <x:c r="R47" s="9" t="str"/>
      <x:c r="S47" s="9" t="str">
        <x:v>Spécification à réaliser. Les champs adaptation, gameplay, visual, animation, audio et implementation décrivent le fan game ; ils ne donnent pas des caractéristiques officielles de l’œuvre.</x:v>
      </x:c>
    </x:row>
    <x:row r="48" ht="68" customHeight="1">
      <x:c r="A48" s="19" t="str">
        <x:v>MEA-SPR-ENM-CALOT</x:v>
      </x:c>
      <x:c r="B48" s="7" t="str">
        <x:v>Planche sprites — Calot Gurting</x:v>
      </x:c>
      <x:c r="C48" s="15" t="str">
        <x:v>Défini</x:v>
      </x:c>
      <x:c r="D48" s="17" t="str">
        <x:v>Extrapolation</x:v>
      </x:c>
      <x:c r="E48" s="17" t="str">
        <x:v>P1</x:v>
      </x:c>
      <x:c r="F48" s="7" t="str">
        <x:v>Livrable original proposé : Planche sprites — Calot Gurting.</x:v>
      </x:c>
      <x:c r="G48" s="7" t="str">
        <x:v>Produire une planche originale de Calot Gurting pour le groupe 2D sur décor 3D. Séparer visage, arme et effets pour préserver les variantes d’état décrites dans la fiche de rôle.</x:v>
      </x:c>
      <x:c r="H48" s="7" t="str">
        <x:v>Le sprite ne définit pas la hitbox. Distinguer position au sol, hauteur visuelle et zone ciblable afin que les grandes silhouettes ne cachent pas les cibles voisines.</x:v>
      </x:c>
      <x:c r="I48" s="7" t="str">
        <x:v>Angara de commandement et champ protecteur.</x:v>
      </x:c>
      <x:c r="J48" s="7" t="str">
        <x:v>Prévoir un état neutre, déplacement, préparation de l’action signature, impact reçu, mise à terre et retour en contrôle pour Calot Gurting. Éviter la duplication miroir des signes asymétriques.</x:v>
      </x:c>
      <x:c r="K48" s="7" t="str">
        <x:v>Sans bande sonore embarquée dans la planche ; émettre uniquement des événements nommés vers le système audio pour éviter les doublons.</x:v>
      </x:c>
      <x:c r="L48" s="7" t="str">
        <x:v>Prévu : fiche de données mea/sprites/enm-calot ; rattacher les ressources et états cités à cet identifiant. Aucun fichier de jeu créé par ce catalogue.</x:v>
      </x:c>
      <x:c r="M48" s="7" t="str">
        <x:v>Liam: All In.</x:v>
      </x:c>
      <x:c r="N48" s="7" t="str">
        <x:v>À l’échelle de jeu, Calot Gurting est identifiable en silhouette ; pivot aux pieds, masque de profondeur et huit orientations proposés restent stables devant les couverts.</x:v>
      </x:c>
      <x:c r="O48" s="7" t="str">
        <x:v>MEA-ENM-CALOT</x:v>
      </x:c>
      <x:c r="P48" s="7" t="str">
        <x:v>Adaptation originale — spécification de production</x:v>
      </x:c>
      <x:c r="Q48" s="7" t="str"/>
      <x:c r="R48" s="7" t="str"/>
      <x:c r="S48" s="7" t="str">
        <x:v>Spécification à réaliser. Les champs adaptation, gameplay, visual, animation, audio et implementation décrivent le fan game ; ils ne donnent pas des caractéristiques officielles de l’œuvre.</x:v>
      </x:c>
    </x:row>
    <x:row r="49" ht="68" customHeight="1">
      <x:c r="A49" s="18" t="str">
        <x:v>MEA-SPR-ENM-MERIWEATHER</x:v>
      </x:c>
      <x:c r="B49" s="9" t="str">
        <x:v>Planche sprites — Meriweather</x:v>
      </x:c>
      <x:c r="C49" s="15" t="str">
        <x:v>Défini</x:v>
      </x:c>
      <x:c r="D49" s="16" t="str">
        <x:v>Extrapolation</x:v>
      </x:c>
      <x:c r="E49" s="16" t="str">
        <x:v>P1</x:v>
      </x:c>
      <x:c r="F49" s="9" t="str">
        <x:v>Livrable original proposé : Planche sprites — Meriweather.</x:v>
      </x:c>
      <x:c r="G49" s="9" t="str">
        <x:v>Produire une planche originale de Meriweather pour le groupe 2D sur décor 3D. Séparer visage, arme et effets pour préserver les variantes d’état décrites dans la fiche de rôle.</x:v>
      </x:c>
      <x:c r="H49" s="9" t="str">
        <x:v>Le sprite ne définit pas la hitbox. Distinguer position au sol, hauteur visuelle et zone ciblable afin que les grandes silhouettes ne cachent pas les cibles voisines.</x:v>
      </x:c>
      <x:c r="I49" s="9" t="str">
        <x:v>Chef de groupe et mine industrielle.</x:v>
      </x:c>
      <x:c r="J49" s="9" t="str">
        <x:v>Prévoir un état neutre, déplacement, préparation de l’action signature, impact reçu, mise à terre et retour en contrôle pour Meriweather. Éviter la duplication miroir des signes asymétriques.</x:v>
      </x:c>
      <x:c r="K49" s="9" t="str">
        <x:v>Sans bande sonore embarquée dans la planche ; émettre uniquement des événements nommés vers le système audio pour éviter les doublons.</x:v>
      </x:c>
      <x:c r="L49" s="9" t="str">
        <x:v>Prévu : fiche de données mea/sprites/enm-meriweather ; rattacher les ressources et états cités à cet identifiant. Aucun fichier de jeu créé par ce catalogue.</x:v>
      </x:c>
      <x:c r="M49" s="9" t="str">
        <x:v>Vetra: Means and Ends.</x:v>
      </x:c>
      <x:c r="N49" s="9" t="str">
        <x:v>À l’échelle de jeu, Meriweather est identifiable en silhouette ; pivot aux pieds, masque de profondeur et huit orientations proposés restent stables devant les couverts.</x:v>
      </x:c>
      <x:c r="O49" s="9" t="str">
        <x:v>MEA-ENM-MERIWEATHER</x:v>
      </x:c>
      <x:c r="P49" s="9" t="str">
        <x:v>Adaptation originale — spécification de production</x:v>
      </x:c>
      <x:c r="Q49" s="9" t="str"/>
      <x:c r="R49" s="9" t="str"/>
      <x:c r="S49" s="9" t="str">
        <x:v>Spécification à réaliser. Les champs adaptation, gameplay, visual, animation, audio et implementation décrivent le fan game ; ils ne donnent pas des caractéristiques officielles de l’œuvre.</x:v>
      </x:c>
    </x:row>
    <x:row r="50" ht="68" customHeight="1">
      <x:c r="A50" s="19" t="str">
        <x:v>MEA-SPR-ENM-ADHI-WILD</x:v>
      </x:c>
      <x:c r="B50" s="7" t="str">
        <x:v>Planche sprites — Adhi sauvage</x:v>
      </x:c>
      <x:c r="C50" s="15" t="str">
        <x:v>Défini</x:v>
      </x:c>
      <x:c r="D50" s="17" t="str">
        <x:v>Extrapolation</x:v>
      </x:c>
      <x:c r="E50" s="17" t="str">
        <x:v>P1</x:v>
      </x:c>
      <x:c r="F50" s="7" t="str">
        <x:v>Livrable original proposé : Planche sprites — Adhi sauvage.</x:v>
      </x:c>
      <x:c r="G50" s="7" t="str">
        <x:v>Produire une planche originale de Adhi sauvage pour le groupe 2D sur décor 3D. Séparer visage, arme et effets pour préserver les variantes d’état décrites dans la fiche de rôle.</x:v>
      </x:c>
      <x:c r="H50" s="7" t="str">
        <x:v>Le sprite ne définit pas la hitbox. Distinguer position au sol, hauteur visuelle et zone ciblable afin que les grandes silhouettes ne cachent pas les cibles voisines.</x:v>
      </x:c>
      <x:c r="I50" s="7" t="str">
        <x:v>Quadrupède nerveux.</x:v>
      </x:c>
      <x:c r="J50" s="7" t="str">
        <x:v>Prévoir un état neutre, déplacement, préparation de l’action signature, impact reçu, mise à terre et retour en contrôle pour Adhi sauvage. Éviter la duplication miroir des signes asymétriques.</x:v>
      </x:c>
      <x:c r="K50" s="7" t="str">
        <x:v>Sans bande sonore embarquée dans la planche ; émettre uniquement des événements nommés vers le système audio pour éviter les doublons.</x:v>
      </x:c>
      <x:c r="L50" s="7" t="str">
        <x:v>Prévu : fiche de données mea/sprites/enm-adhi-wild ; rattacher les ressources et états cités à cet identifiant. Aucun fichier de jeu créé par ce catalogue.</x:v>
      </x:c>
      <x:c r="M50" s="7" t="str">
        <x:v>Faune, pas faction kett par défaut.</x:v>
      </x:c>
      <x:c r="N50" s="7" t="str">
        <x:v>À l’échelle de jeu, Adhi sauvage est identifiable en silhouette ; pivot aux pieds, masque de profondeur et huit orientations proposés restent stables devant les couverts.</x:v>
      </x:c>
      <x:c r="O50" s="7" t="str">
        <x:v>MEA-ENM-ADHI-WILD</x:v>
      </x:c>
      <x:c r="P50" s="7" t="str">
        <x:v>Adaptation originale — spécification de production</x:v>
      </x:c>
      <x:c r="Q50" s="7" t="str"/>
      <x:c r="R50" s="7" t="str"/>
      <x:c r="S50" s="7" t="str">
        <x:v>Spécification à réaliser. Les champs adaptation, gameplay, visual, animation, audio et implementation décrivent le fan game ; ils ne donnent pas des caractéristiques officielles de l’œuvre.</x:v>
      </x:c>
    </x:row>
    <x:row r="51" ht="68" customHeight="1">
      <x:c r="A51" s="18" t="str">
        <x:v>MEA-SPR-ENM-ANCIENT-EIROCH</x:v>
      </x:c>
      <x:c r="B51" s="9" t="str">
        <x:v>Planche sprites — Ancient Eiroch</x:v>
      </x:c>
      <x:c r="C51" s="15" t="str">
        <x:v>Défini</x:v>
      </x:c>
      <x:c r="D51" s="16" t="str">
        <x:v>Extrapolation</x:v>
      </x:c>
      <x:c r="E51" s="16" t="str">
        <x:v>P1</x:v>
      </x:c>
      <x:c r="F51" s="9" t="str">
        <x:v>Livrable original proposé : Planche sprites — Ancient Eiroch.</x:v>
      </x:c>
      <x:c r="G51" s="9" t="str">
        <x:v>Produire une planche originale de Ancient Eiroch pour le groupe 2D sur décor 3D. Séparer visage, arme et effets pour préserver les variantes d’état décrites dans la fiche de rôle.</x:v>
      </x:c>
      <x:c r="H51" s="9" t="str">
        <x:v>Le sprite ne définit pas la hitbox. Distinguer position au sol, hauteur visuelle et zone ciblable afin que les grandes silhouettes ne cachent pas les cibles voisines.</x:v>
      </x:c>
      <x:c r="I51" s="9" t="str">
        <x:v>Grand quadrupède et tête massive.</x:v>
      </x:c>
      <x:c r="J51" s="9" t="str">
        <x:v>Prévoir un état neutre, déplacement, préparation de l’action signature, impact reçu, mise à terre et retour en contrôle pour Ancient Eiroch. Éviter la duplication miroir des signes asymétriques.</x:v>
      </x:c>
      <x:c r="K51" s="9" t="str">
        <x:v>Sans bande sonore embarquée dans la planche ; émettre uniquement des événements nommés vers le système audio pour éviter les doublons.</x:v>
      </x:c>
      <x:c r="L51" s="9" t="str">
        <x:v>Prévu : fiche de données mea/sprites/enm-ancient-eiroch ; rattacher les ressources et états cités à cet identifiant. Aucun fichier de jeu créé par ce catalogue.</x:v>
      </x:c>
      <x:c r="M51" s="9" t="str">
        <x:v>Rencontre de faune.</x:v>
      </x:c>
      <x:c r="N51" s="9" t="str">
        <x:v>À l’échelle de jeu, Ancient Eiroch est identifiable en silhouette ; pivot aux pieds, masque de profondeur et huit orientations proposés restent stables devant les couverts.</x:v>
      </x:c>
      <x:c r="O51" s="9" t="str">
        <x:v>MEA-ENM-ANCIENT-EIROCH</x:v>
      </x:c>
      <x:c r="P51" s="9" t="str">
        <x:v>Adaptation originale — spécification de production</x:v>
      </x:c>
      <x:c r="Q51" s="9" t="str"/>
      <x:c r="R51" s="9" t="str"/>
      <x:c r="S51" s="9" t="str">
        <x:v>Spécification à réaliser. Les champs adaptation, gameplay, visual, animation, audio et implementation décrivent le fan game ; ils ne donnent pas des caractéristiques officielles de l’œuvre.</x:v>
      </x:c>
    </x:row>
    <x:row r="52" ht="68" customHeight="1">
      <x:c r="A52" s="19" t="str">
        <x:v>MEA-SPR-ENM-KAERKYN</x:v>
      </x:c>
      <x:c r="B52" s="7" t="str">
        <x:v>Planche sprites — Kaerkyn</x:v>
      </x:c>
      <x:c r="C52" s="15" t="str">
        <x:v>Défini</x:v>
      </x:c>
      <x:c r="D52" s="17" t="str">
        <x:v>Extrapolation</x:v>
      </x:c>
      <x:c r="E52" s="17" t="str">
        <x:v>P1</x:v>
      </x:c>
      <x:c r="F52" s="7" t="str">
        <x:v>Livrable original proposé : Planche sprites — Kaerkyn.</x:v>
      </x:c>
      <x:c r="G52" s="7" t="str">
        <x:v>Produire une planche originale de Kaerkyn pour le groupe 2D sur décor 3D. Séparer visage, arme et effets pour préserver les variantes d’état décrites dans la fiche de rôle.</x:v>
      </x:c>
      <x:c r="H52" s="7" t="str">
        <x:v>Le sprite ne définit pas la hitbox. Distinguer position au sol, hauteur visuelle et zone ciblable afin que les grandes silhouettes ne cachent pas les cibles voisines.</x:v>
      </x:c>
      <x:c r="I52" s="7" t="str">
        <x:v>Créature locale à silhouette distincte.</x:v>
      </x:c>
      <x:c r="J52" s="7" t="str">
        <x:v>Prévoir un état neutre, déplacement, préparation de l’action signature, impact reçu, mise à terre et retour en contrôle pour Kaerkyn. Éviter la duplication miroir des signes asymétriques.</x:v>
      </x:c>
      <x:c r="K52" s="7" t="str">
        <x:v>Sans bande sonore embarquée dans la planche ; émettre uniquement des événements nommés vers le système audio pour éviter les doublons.</x:v>
      </x:c>
      <x:c r="L52" s="7" t="str">
        <x:v>Prévu : fiche de données mea/sprites/enm-kaerkyn ; rattacher les ressources et états cités à cet identifiant. Aucun fichier de jeu créé par ce catalogue.</x:v>
      </x:c>
      <x:c r="M52" s="7" t="str">
        <x:v>Paramètres d’hostilité à vérifier par lieu.</x:v>
      </x:c>
      <x:c r="N52" s="7" t="str">
        <x:v>À l’échelle de jeu, Kaerkyn est identifiable en silhouette ; pivot aux pieds, masque de profondeur et huit orientations proposés restent stables devant les couverts.</x:v>
      </x:c>
      <x:c r="O52" s="7" t="str">
        <x:v>MEA-ENM-KAERKYN</x:v>
      </x:c>
      <x:c r="P52" s="7" t="str">
        <x:v>Adaptation originale — spécification de production</x:v>
      </x:c>
      <x:c r="Q52" s="7" t="str"/>
      <x:c r="R52" s="7" t="str"/>
      <x:c r="S52" s="7" t="str">
        <x:v>Spécification à réaliser. Les champs adaptation, gameplay, visual, animation, audio et implementation décrivent le fan game ; ils ne donnent pas des caractéristiques officielles de l’œuvre.</x:v>
      </x:c>
    </x:row>
    <x:row r="53" ht="68" customHeight="1">
      <x:c r="A53" s="18" t="str">
        <x:v>MEA-SPR-ENM-SPITBUG</x:v>
      </x:c>
      <x:c r="B53" s="9" t="str">
        <x:v>Planche sprites — Spitbug</x:v>
      </x:c>
      <x:c r="C53" s="15" t="str">
        <x:v>Défini</x:v>
      </x:c>
      <x:c r="D53" s="16" t="str">
        <x:v>Extrapolation</x:v>
      </x:c>
      <x:c r="E53" s="16" t="str">
        <x:v>P1</x:v>
      </x:c>
      <x:c r="F53" s="9" t="str">
        <x:v>Livrable original proposé : Planche sprites — Spitbug.</x:v>
      </x:c>
      <x:c r="G53" s="9" t="str">
        <x:v>Produire une planche originale de Spitbug pour le groupe 2D sur décor 3D. Séparer visage, arme et effets pour préserver les variantes d’état décrites dans la fiche de rôle.</x:v>
      </x:c>
      <x:c r="H53" s="9" t="str">
        <x:v>Le sprite ne définit pas la hitbox. Distinguer position au sol, hauteur visuelle et zone ciblable afin que les grandes silhouettes ne cachent pas les cibles voisines.</x:v>
      </x:c>
      <x:c r="I53" s="9" t="str">
        <x:v>Insectoïde et projectile visible.</x:v>
      </x:c>
      <x:c r="J53" s="9" t="str">
        <x:v>Prévoir un état neutre, déplacement, préparation de l’action signature, impact reçu, mise à terre et retour en contrôle pour Spitbug. Éviter la duplication miroir des signes asymétriques.</x:v>
      </x:c>
      <x:c r="K53" s="9" t="str">
        <x:v>Sans bande sonore embarquée dans la planche ; émettre uniquement des événements nommés vers le système audio pour éviter les doublons.</x:v>
      </x:c>
      <x:c r="L53" s="9" t="str">
        <x:v>Prévu : fiche de données mea/sprites/enm-spitbug ; rattacher les ressources et états cités à cet identifiant. Aucun fichier de jeu créé par ce catalogue.</x:v>
      </x:c>
      <x:c r="M53" s="9" t="str">
        <x:v>Faune.</x:v>
      </x:c>
      <x:c r="N53" s="9" t="str">
        <x:v>À l’échelle de jeu, Spitbug est identifiable en silhouette ; pivot aux pieds, masque de profondeur et huit orientations proposés restent stables devant les couverts.</x:v>
      </x:c>
      <x:c r="O53" s="9" t="str">
        <x:v>MEA-ENM-SPITBUG</x:v>
      </x:c>
      <x:c r="P53" s="9" t="str">
        <x:v>Adaptation originale — spécification de production</x:v>
      </x:c>
      <x:c r="Q53" s="9" t="str"/>
      <x:c r="R53" s="9" t="str"/>
      <x:c r="S53" s="9" t="str">
        <x:v>Spécification à réaliser. Les champs adaptation, gameplay, visual, animation, audio et implementation décrivent le fan game ; ils ne donnent pas des caractéristiques officielles de l’œuvre.</x:v>
      </x:c>
    </x:row>
    <x:row r="54" ht="68" customHeight="1">
      <x:c r="A54" s="19" t="str">
        <x:v>MEA-SPR-ENM-TAURG</x:v>
      </x:c>
      <x:c r="B54" s="7" t="str">
        <x:v>Planche sprites — Taurg</x:v>
      </x:c>
      <x:c r="C54" s="15" t="str">
        <x:v>Défini</x:v>
      </x:c>
      <x:c r="D54" s="17" t="str">
        <x:v>Extrapolation</x:v>
      </x:c>
      <x:c r="E54" s="17" t="str">
        <x:v>P1</x:v>
      </x:c>
      <x:c r="F54" s="7" t="str">
        <x:v>Livrable original proposé : Planche sprites — Taurg.</x:v>
      </x:c>
      <x:c r="G54" s="7" t="str">
        <x:v>Produire une planche originale de Taurg pour le groupe 2D sur décor 3D. Séparer visage, arme et effets pour préserver les variantes d’état décrites dans la fiche de rôle.</x:v>
      </x:c>
      <x:c r="H54" s="7" t="str">
        <x:v>Le sprite ne définit pas la hitbox. Distinguer position au sol, hauteur visuelle et zone ciblable afin que les grandes silhouettes ne cachent pas les cibles voisines.</x:v>
      </x:c>
      <x:c r="I54" s="7" t="str">
        <x:v>Grande silhouette de faune.</x:v>
      </x:c>
      <x:c r="J54" s="7" t="str">
        <x:v>Prévoir un état neutre, déplacement, préparation de l’action signature, impact reçu, mise à terre et retour en contrôle pour Taurg. Éviter la duplication miroir des signes asymétriques.</x:v>
      </x:c>
      <x:c r="K54" s="7" t="str">
        <x:v>Sans bande sonore embarquée dans la planche ; émettre uniquement des événements nommés vers le système audio pour éviter les doublons.</x:v>
      </x:c>
      <x:c r="L54" s="7" t="str">
        <x:v>Prévu : fiche de données mea/sprites/enm-taurg ; rattacher les ressources et états cités à cet identifiant. Aucun fichier de jeu créé par ce catalogue.</x:v>
      </x:c>
      <x:c r="M54" s="7" t="str">
        <x:v>Hostilité déterminée par variante documentée.</x:v>
      </x:c>
      <x:c r="N54" s="7" t="str">
        <x:v>À l’échelle de jeu, Taurg est identifiable en silhouette ; pivot aux pieds, masque de profondeur et huit orientations proposés restent stables devant les couverts.</x:v>
      </x:c>
      <x:c r="O54" s="7" t="str">
        <x:v>MEA-ENM-TAURG</x:v>
      </x:c>
      <x:c r="P54" s="7" t="str">
        <x:v>Adaptation originale — spécification de production</x:v>
      </x:c>
      <x:c r="Q54" s="7" t="str"/>
      <x:c r="R54" s="7" t="str"/>
      <x:c r="S54" s="7" t="str">
        <x:v>Spécification à réaliser. Les champs adaptation, gameplay, visual, animation, audio et implementation décrivent le fan game ; ils ne donnent pas des caractéristiques officielles de l’œuvre.</x:v>
      </x:c>
    </x:row>
    <x:row r="55" ht="68" customHeight="1">
      <x:c r="A55" s="18" t="str">
        <x:v>MEA-SPR-ENM-CHALLYRION</x:v>
      </x:c>
      <x:c r="B55" s="9" t="str">
        <x:v>Planche sprites — Challyrion</x:v>
      </x:c>
      <x:c r="C55" s="15" t="str">
        <x:v>Défini</x:v>
      </x:c>
      <x:c r="D55" s="16" t="str">
        <x:v>Extrapolation</x:v>
      </x:c>
      <x:c r="E55" s="16" t="str">
        <x:v>P1</x:v>
      </x:c>
      <x:c r="F55" s="9" t="str">
        <x:v>Livrable original proposé : Planche sprites — Challyrion.</x:v>
      </x:c>
      <x:c r="G55" s="9" t="str">
        <x:v>Produire une planche originale de Challyrion pour le groupe 2D sur décor 3D. Séparer visage, arme et effets pour préserver les variantes d’état décrites dans la fiche de rôle.</x:v>
      </x:c>
      <x:c r="H55" s="9" t="str">
        <x:v>Le sprite ne définit pas la hitbox. Distinguer position au sol, hauteur visuelle et zone ciblable afin que les grandes silhouettes ne cachent pas les cibles voisines.</x:v>
      </x:c>
      <x:c r="I55" s="9" t="str">
        <x:v>Créature de jungle et variante plus grande.</x:v>
      </x:c>
      <x:c r="J55" s="9" t="str">
        <x:v>Prévoir un état neutre, déplacement, préparation de l’action signature, impact reçu, mise à terre et retour en contrôle pour Challyrion. Éviter la duplication miroir des signes asymétriques.</x:v>
      </x:c>
      <x:c r="K55" s="9" t="str">
        <x:v>Sans bande sonore embarquée dans la planche ; émettre uniquement des événements nommés vers le système audio pour éviter les doublons.</x:v>
      </x:c>
      <x:c r="L55" s="9" t="str">
        <x:v>Prévu : fiche de données mea/sprites/enm-challyrion ; rattacher les ressources et états cités à cet identifiant. Aucun fichier de jeu créé par ce catalogue.</x:v>
      </x:c>
      <x:c r="M55" s="9" t="str">
        <x:v>Overgrown pour variante mutée.</x:v>
      </x:c>
      <x:c r="N55" s="9" t="str">
        <x:v>À l’échelle de jeu, Challyrion est identifiable en silhouette ; pivot aux pieds, masque de profondeur et huit orientations proposés restent stables devant les couverts.</x:v>
      </x:c>
      <x:c r="O55" s="9" t="str">
        <x:v>MEA-ENM-CHALLYRION</x:v>
      </x:c>
      <x:c r="P55" s="9" t="str">
        <x:v>Adaptation originale — spécification de production</x:v>
      </x:c>
      <x:c r="Q55" s="9" t="str"/>
      <x:c r="R55" s="9" t="str"/>
      <x:c r="S55" s="9" t="str">
        <x:v>Spécification à réaliser. Les champs adaptation, gameplay, visual, animation, audio et implementation décrivent le fan game ; ils ne donnent pas des caractéristiques officielles de l’œuvre.</x:v>
      </x:c>
    </x:row>
    <x:row r="56" ht="82" customHeight="1">
      <x:c r="A56" s="19" t="str">
        <x:v>MEA-SPR-CHR-MP-HUMAN-KINETICIST</x:v>
      </x:c>
      <x:c r="B56" s="7" t="str">
        <x:v>Planche sprites — Human Kineticist</x:v>
      </x:c>
      <x:c r="C56" s="15" t="str">
        <x:v>Défini</x:v>
      </x:c>
      <x:c r="D56" s="17" t="str">
        <x:v>Extrapolation</x:v>
      </x:c>
      <x:c r="E56" s="17" t="str">
        <x:v>P1</x:v>
      </x:c>
      <x:c r="F56" s="7" t="str">
        <x:v>Livrable original proposé : Planche sprites — Human Kineticist.</x:v>
      </x:c>
      <x:c r="G56" s="7" t="str">
        <x:v>Produire une planche originale de Human Kineticist pour le groupe 2D sur décor 3D. Séparer visage, arme et effets pour préserver les variantes d’état décrites dans la fiche de rôle.</x:v>
      </x:c>
      <x:c r="H56" s="7" t="str">
        <x:v>Le sprite ne définit pas la hitbox. Distinguer position au sol, hauteur visuelle et zone ciblable afin que les grandes silhouettes ne cachent pas les cibles voisines.</x:v>
      </x:c>
      <x:c r="I56" s="7" t="str">
        <x:v>Humain à aura biotique.</x:v>
      </x:c>
      <x:c r="J56" s="7" t="str">
        <x:v>Prévoir un état neutre, déplacement, préparation de l’action signature, impact reçu, mise à terre et retour en contrôle pour Human Kineticist. Éviter la duplication miroir des signes asymétriques.</x:v>
      </x:c>
      <x:c r="K56" s="7" t="str">
        <x:v>Sans bande sonore embarquée dans la planche ; émettre uniquement des événements nommés vers le système audio pour éviter les doublons.</x:v>
      </x:c>
      <x:c r="L56" s="7" t="str">
        <x:v>Prévu : fiche de données mea/sprites/chr-mp-human-kineticist ; rattacher les ressources et états cités à cet identifiant. Aucun fichier de jeu créé par ce catalogue.</x:v>
      </x:c>
      <x:c r="M56" s="7" t="str">
        <x:v>Multijoueur APEX uniquement ; aucun recrutement dans la campagne de Ryder.</x:v>
      </x:c>
      <x:c r="N56" s="7" t="str">
        <x:v>À l’échelle de jeu, Human Kineticist est identifiable en silhouette ; pivot aux pieds, masque de profondeur et huit orientations proposés restent stables devant les couverts.</x:v>
      </x:c>
      <x:c r="O56" s="7" t="str">
        <x:v>MEA-CHR-MP-HUMAN-KINETICIST</x:v>
      </x:c>
      <x:c r="P56" s="7" t="str">
        <x:v>Adaptation originale — spécification de production</x:v>
      </x:c>
      <x:c r="Q56" s="7" t="str"/>
      <x:c r="R56" s="7" t="str"/>
      <x:c r="S56" s="7" t="str">
        <x:v>Spécification à réaliser. Les champs adaptation, gameplay, visual, animation, audio et implementation décrivent le fan game ; ils ne donnent pas des caractéristiques officielles de l’œuvre.</x:v>
      </x:c>
    </x:row>
    <x:row r="57" ht="68" customHeight="1">
      <x:c r="A57" s="18" t="str">
        <x:v>MEA-SPR-CHR-MP-ASARI-DUELIST</x:v>
      </x:c>
      <x:c r="B57" s="9" t="str">
        <x:v>Planche sprites — Asari Duelist</x:v>
      </x:c>
      <x:c r="C57" s="15" t="str">
        <x:v>Défini</x:v>
      </x:c>
      <x:c r="D57" s="16" t="str">
        <x:v>Extrapolation</x:v>
      </x:c>
      <x:c r="E57" s="16" t="str">
        <x:v>P1</x:v>
      </x:c>
      <x:c r="F57" s="9" t="str">
        <x:v>Livrable original proposé : Planche sprites — Asari Duelist.</x:v>
      </x:c>
      <x:c r="G57" s="9" t="str">
        <x:v>Produire une planche originale de Asari Duelist pour le groupe 2D sur décor 3D. Séparer visage, arme et effets pour préserver les variantes d’état décrites dans la fiche de rôle.</x:v>
      </x:c>
      <x:c r="H57" s="9" t="str">
        <x:v>Le sprite ne définit pas la hitbox. Distinguer position au sol, hauteur visuelle et zone ciblable afin que les grandes silhouettes ne cachent pas les cibles voisines.</x:v>
      </x:c>
      <x:c r="I57" s="9" t="str">
        <x:v>Asari et arme de mêlée.</x:v>
      </x:c>
      <x:c r="J57" s="9" t="str">
        <x:v>Prévoir un état neutre, déplacement, préparation de l’action signature, impact reçu, mise à terre et retour en contrôle pour Asari Duelist. Éviter la duplication miroir des signes asymétriques.</x:v>
      </x:c>
      <x:c r="K57" s="9" t="str">
        <x:v>Sans bande sonore embarquée dans la planche ; émettre uniquement des événements nommés vers le système audio pour éviter les doublons.</x:v>
      </x:c>
      <x:c r="L57" s="9" t="str">
        <x:v>Prévu : fiche de données mea/sprites/chr-mp-asari-duelist ; rattacher les ressources et états cités à cet identifiant. Aucun fichier de jeu créé par ce catalogue.</x:v>
      </x:c>
      <x:c r="M57" s="9" t="str">
        <x:v>Multijoueur APEX uniquement ; aucun recrutement dans la campagne de Ryder.</x:v>
      </x:c>
      <x:c r="N57" s="9" t="str">
        <x:v>À l’échelle de jeu, Asari Duelist est identifiable en silhouette ; pivot aux pieds, masque de profondeur et huit orientations proposés restent stables devant les couverts.</x:v>
      </x:c>
      <x:c r="O57" s="9" t="str">
        <x:v>MEA-CHR-MP-ASARI-DUELIST</x:v>
      </x:c>
      <x:c r="P57" s="9" t="str">
        <x:v>Adaptation originale — spécification de production</x:v>
      </x:c>
      <x:c r="Q57" s="9" t="str"/>
      <x:c r="R57" s="9" t="str"/>
      <x:c r="S57" s="9" t="str">
        <x:v>Spécification à réaliser. Les champs adaptation, gameplay, visual, animation, audio et implementation décrivent le fan game ; ils ne donnent pas des caractéristiques officielles de l’œuvre.</x:v>
      </x:c>
    </x:row>
    <x:row r="58" ht="82" customHeight="1">
      <x:c r="A58" s="19" t="str">
        <x:v>MEA-SPR-CHR-MP-TURIAN-HAVOC</x:v>
      </x:c>
      <x:c r="B58" s="7" t="str">
        <x:v>Planche sprites — Turian Havoc Trooper</x:v>
      </x:c>
      <x:c r="C58" s="15" t="str">
        <x:v>Défini</x:v>
      </x:c>
      <x:c r="D58" s="17" t="str">
        <x:v>Extrapolation</x:v>
      </x:c>
      <x:c r="E58" s="17" t="str">
        <x:v>P1</x:v>
      </x:c>
      <x:c r="F58" s="7" t="str">
        <x:v>Livrable original proposé : Planche sprites — Turian Havoc Trooper.</x:v>
      </x:c>
      <x:c r="G58" s="7" t="str">
        <x:v>Produire une planche originale de Turian Havoc Trooper pour le groupe 2D sur décor 3D. Séparer visage, arme et effets pour préserver les variantes d’état décrites dans la fiche de rôle.</x:v>
      </x:c>
      <x:c r="H58" s="7" t="str">
        <x:v>Le sprite ne définit pas la hitbox. Distinguer position au sol, hauteur visuelle et zone ciblable afin que les grandes silhouettes ne cachent pas les cibles voisines.</x:v>
      </x:c>
      <x:c r="I58" s="7" t="str">
        <x:v>Turien à propulseurs.</x:v>
      </x:c>
      <x:c r="J58" s="7" t="str">
        <x:v>Prévoir un état neutre, déplacement, préparation de l’action signature, impact reçu, mise à terre et retour en contrôle pour Turian Havoc Trooper. Éviter la duplication miroir des signes asymétriques.</x:v>
      </x:c>
      <x:c r="K58" s="7" t="str">
        <x:v>Sans bande sonore embarquée dans la planche ; émettre uniquement des événements nommés vers le système audio pour éviter les doublons.</x:v>
      </x:c>
      <x:c r="L58" s="7" t="str">
        <x:v>Prévu : fiche de données mea/sprites/chr-mp-turian-havoc ; rattacher les ressources et états cités à cet identifiant. Aucun fichier de jeu créé par ce catalogue.</x:v>
      </x:c>
      <x:c r="M58" s="7" t="str">
        <x:v>Multijoueur APEX uniquement ; aucun recrutement dans la campagne de Ryder.</x:v>
      </x:c>
      <x:c r="N58" s="7" t="str">
        <x:v>À l’échelle de jeu, Turian Havoc Trooper est identifiable en silhouette ; pivot aux pieds, masque de profondeur et huit orientations proposés restent stables devant les couverts.</x:v>
      </x:c>
      <x:c r="O58" s="7" t="str">
        <x:v>MEA-CHR-MP-TURIAN-HAVOC</x:v>
      </x:c>
      <x:c r="P58" s="7" t="str">
        <x:v>Adaptation originale — spécification de production</x:v>
      </x:c>
      <x:c r="Q58" s="7" t="str"/>
      <x:c r="R58" s="7" t="str"/>
      <x:c r="S58" s="7" t="str">
        <x:v>Spécification à réaliser. Les champs adaptation, gameplay, visual, animation, audio et implementation décrivent le fan game ; ils ne donnent pas des caractéristiques officielles de l’œuvre.</x:v>
      </x:c>
    </x:row>
    <x:row r="59" ht="68" customHeight="1">
      <x:c r="A59" s="18" t="str">
        <x:v>MEA-SPR-CHR-MP-KROGAN-ENGINEER</x:v>
      </x:c>
      <x:c r="B59" s="9" t="str">
        <x:v>Planche sprites — Krogan Engineer</x:v>
      </x:c>
      <x:c r="C59" s="15" t="str">
        <x:v>Défini</x:v>
      </x:c>
      <x:c r="D59" s="16" t="str">
        <x:v>Extrapolation</x:v>
      </x:c>
      <x:c r="E59" s="16" t="str">
        <x:v>P1</x:v>
      </x:c>
      <x:c r="F59" s="9" t="str">
        <x:v>Livrable original proposé : Planche sprites — Krogan Engineer.</x:v>
      </x:c>
      <x:c r="G59" s="9" t="str">
        <x:v>Produire une planche originale de Krogan Engineer pour le groupe 2D sur décor 3D. Séparer visage, arme et effets pour préserver les variantes d’état décrites dans la fiche de rôle.</x:v>
      </x:c>
      <x:c r="H59" s="9" t="str">
        <x:v>Le sprite ne définit pas la hitbox. Distinguer position au sol, hauteur visuelle et zone ciblable afin que les grandes silhouettes ne cachent pas les cibles voisines.</x:v>
      </x:c>
      <x:c r="I59" s="9" t="str">
        <x:v>Krogan avec outils techniques.</x:v>
      </x:c>
      <x:c r="J59" s="9" t="str">
        <x:v>Prévoir un état neutre, déplacement, préparation de l’action signature, impact reçu, mise à terre et retour en contrôle pour Krogan Engineer. Éviter la duplication miroir des signes asymétriques.</x:v>
      </x:c>
      <x:c r="K59" s="9" t="str">
        <x:v>Sans bande sonore embarquée dans la planche ; émettre uniquement des événements nommés vers le système audio pour éviter les doublons.</x:v>
      </x:c>
      <x:c r="L59" s="9" t="str">
        <x:v>Prévu : fiche de données mea/sprites/chr-mp-krogan-engineer ; rattacher les ressources et états cités à cet identifiant. Aucun fichier de jeu créé par ce catalogue.</x:v>
      </x:c>
      <x:c r="M59" s="9" t="str">
        <x:v>Multijoueur APEX uniquement ; aucun recrutement dans la campagne de Ryder.</x:v>
      </x:c>
      <x:c r="N59" s="9" t="str">
        <x:v>À l’échelle de jeu, Krogan Engineer est identifiable en silhouette ; pivot aux pieds, masque de profondeur et huit orientations proposés restent stables devant les couverts.</x:v>
      </x:c>
      <x:c r="O59" s="9" t="str">
        <x:v>MEA-CHR-MP-KROGAN-ENGINEER</x:v>
      </x:c>
      <x:c r="P59" s="9" t="str">
        <x:v>Adaptation originale — spécification de production</x:v>
      </x:c>
      <x:c r="Q59" s="9" t="str"/>
      <x:c r="R59" s="9" t="str"/>
      <x:c r="S59" s="9" t="str">
        <x:v>Spécification à réaliser. Les champs adaptation, gameplay, visual, animation, audio et implementation décrivent le fan game ; ils ne donnent pas des caractéristiques officielles de l’œuvre.</x:v>
      </x:c>
    </x:row>
    <x:row r="60" ht="82" customHeight="1">
      <x:c r="A60" s="19" t="str">
        <x:v>MEA-SPR-CHR-MP-SALARIAN-ARCHITECT</x:v>
      </x:c>
      <x:c r="B60" s="7" t="str">
        <x:v>Planche sprites — Salarian Architect</x:v>
      </x:c>
      <x:c r="C60" s="15" t="str">
        <x:v>Défini</x:v>
      </x:c>
      <x:c r="D60" s="17" t="str">
        <x:v>Extrapolation</x:v>
      </x:c>
      <x:c r="E60" s="17" t="str">
        <x:v>P1</x:v>
      </x:c>
      <x:c r="F60" s="7" t="str">
        <x:v>Livrable original proposé : Planche sprites — Salarian Architect.</x:v>
      </x:c>
      <x:c r="G60" s="7" t="str">
        <x:v>Produire une planche originale de Salarian Architect pour le groupe 2D sur décor 3D. Séparer visage, arme et effets pour préserver les variantes d’état décrites dans la fiche de rôle.</x:v>
      </x:c>
      <x:c r="H60" s="7" t="str">
        <x:v>Le sprite ne définit pas la hitbox. Distinguer position au sol, hauteur visuelle et zone ciblable afin que les grandes silhouettes ne cachent pas les cibles voisines.</x:v>
      </x:c>
      <x:c r="I60" s="7" t="str">
        <x:v>Salarien en armure technique.</x:v>
      </x:c>
      <x:c r="J60" s="7" t="str">
        <x:v>Prévoir un état neutre, déplacement, préparation de l’action signature, impact reçu, mise à terre et retour en contrôle pour Salarian Architect. Éviter la duplication miroir des signes asymétriques.</x:v>
      </x:c>
      <x:c r="K60" s="7" t="str">
        <x:v>Sans bande sonore embarquée dans la planche ; émettre uniquement des événements nommés vers le système audio pour éviter les doublons.</x:v>
      </x:c>
      <x:c r="L60" s="7" t="str">
        <x:v>Prévu : fiche de données mea/sprites/chr-mp-salarian-architect ; rattacher les ressources et états cités à cet identifiant. Aucun fichier de jeu créé par ce catalogue.</x:v>
      </x:c>
      <x:c r="M60" s="7" t="str">
        <x:v>Multijoueur APEX uniquement ; aucun recrutement dans la campagne de Ryder.</x:v>
      </x:c>
      <x:c r="N60" s="7" t="str">
        <x:v>À l’échelle de jeu, Salarian Architect est identifiable en silhouette ; pivot aux pieds, masque de profondeur et huit orientations proposés restent stables devant les couverts.</x:v>
      </x:c>
      <x:c r="O60" s="7" t="str">
        <x:v>MEA-CHR-MP-SALARIAN-ARCHITECT</x:v>
      </x:c>
      <x:c r="P60" s="7" t="str">
        <x:v>Adaptation originale — spécification de production</x:v>
      </x:c>
      <x:c r="Q60" s="7" t="str"/>
      <x:c r="R60" s="7" t="str"/>
      <x:c r="S60" s="7" t="str">
        <x:v>Spécification à réaliser. Les champs adaptation, gameplay, visual, animation, audio et implementation décrivent le fan game ; ils ne donnent pas des caractéristiques officielles de l’œuvre.</x:v>
      </x:c>
    </x:row>
    <x:row r="61" ht="68" customHeight="1">
      <x:c r="A61" s="18" t="str">
        <x:v>MEA-SPR-CHR-MP-ANGARA-AVENGER</x:v>
      </x:c>
      <x:c r="B61" s="9" t="str">
        <x:v>Planche sprites — Angara Avenger</x:v>
      </x:c>
      <x:c r="C61" s="15" t="str">
        <x:v>Défini</x:v>
      </x:c>
      <x:c r="D61" s="16" t="str">
        <x:v>Extrapolation</x:v>
      </x:c>
      <x:c r="E61" s="16" t="str">
        <x:v>P1</x:v>
      </x:c>
      <x:c r="F61" s="9" t="str">
        <x:v>Livrable original proposé : Planche sprites — Angara Avenger.</x:v>
      </x:c>
      <x:c r="G61" s="9" t="str">
        <x:v>Produire une planche originale de Angara Avenger pour le groupe 2D sur décor 3D. Séparer visage, arme et effets pour préserver les variantes d’état décrites dans la fiche de rôle.</x:v>
      </x:c>
      <x:c r="H61" s="9" t="str">
        <x:v>Le sprite ne définit pas la hitbox. Distinguer position au sol, hauteur visuelle et zone ciblable afin que les grandes silhouettes ne cachent pas les cibles voisines.</x:v>
      </x:c>
      <x:c r="I61" s="9" t="str">
        <x:v>Angara et voile de camouflage.</x:v>
      </x:c>
      <x:c r="J61" s="9" t="str">
        <x:v>Prévoir un état neutre, déplacement, préparation de l’action signature, impact reçu, mise à terre et retour en contrôle pour Angara Avenger. Éviter la duplication miroir des signes asymétriques.</x:v>
      </x:c>
      <x:c r="K61" s="9" t="str">
        <x:v>Sans bande sonore embarquée dans la planche ; émettre uniquement des événements nommés vers le système audio pour éviter les doublons.</x:v>
      </x:c>
      <x:c r="L61" s="9" t="str">
        <x:v>Prévu : fiche de données mea/sprites/chr-mp-angara-avenger ; rattacher les ressources et états cités à cet identifiant. Aucun fichier de jeu créé par ce catalogue.</x:v>
      </x:c>
      <x:c r="M61" s="9" t="str">
        <x:v>Multijoueur APEX uniquement ; aucun recrutement dans la campagne de Ryder.</x:v>
      </x:c>
      <x:c r="N61" s="9" t="str">
        <x:v>À l’échelle de jeu, Angara Avenger est identifiable en silhouette ; pivot aux pieds, masque de profondeur et huit orientations proposés restent stables devant les couverts.</x:v>
      </x:c>
      <x:c r="O61" s="9" t="str">
        <x:v>MEA-CHR-MP-ANGARA-AVENGER</x:v>
      </x:c>
      <x:c r="P61" s="9" t="str">
        <x:v>Adaptation originale — spécification de production</x:v>
      </x:c>
      <x:c r="Q61" s="9" t="str"/>
      <x:c r="R61" s="9" t="str"/>
      <x:c r="S61" s="9" t="str">
        <x:v>Spécification à réaliser. Les champs adaptation, gameplay, visual, animation, audio et implementation décrivent le fan game ; ils ne donnent pas des caractéristiques officielles de l’œuvre.</x:v>
      </x:c>
    </x:row>
    <x:row r="62" ht="82" customHeight="1">
      <x:c r="A62" s="19" t="str">
        <x:v>MEA-SPR-CHR-MP-BATARIAN-VANGUARD</x:v>
      </x:c>
      <x:c r="B62" s="7" t="str">
        <x:v>Planche sprites — Batarian Vanguard</x:v>
      </x:c>
      <x:c r="C62" s="15" t="str">
        <x:v>Défini</x:v>
      </x:c>
      <x:c r="D62" s="17" t="str">
        <x:v>Extrapolation</x:v>
      </x:c>
      <x:c r="E62" s="17" t="str">
        <x:v>P1</x:v>
      </x:c>
      <x:c r="F62" s="7" t="str">
        <x:v>Livrable original proposé : Planche sprites — Batarian Vanguard.</x:v>
      </x:c>
      <x:c r="G62" s="7" t="str">
        <x:v>Produire une planche originale de Batarian Vanguard pour le groupe 2D sur décor 3D. Séparer visage, arme et effets pour préserver les variantes d’état décrites dans la fiche de rôle.</x:v>
      </x:c>
      <x:c r="H62" s="7" t="str">
        <x:v>Le sprite ne définit pas la hitbox. Distinguer position au sol, hauteur visuelle et zone ciblable afin que les grandes silhouettes ne cachent pas les cibles voisines.</x:v>
      </x:c>
      <x:c r="I62" s="7" t="str">
        <x:v>Batarien à quatre yeux et armure.</x:v>
      </x:c>
      <x:c r="J62" s="7" t="str">
        <x:v>Prévoir un état neutre, déplacement, préparation de l’action signature, impact reçu, mise à terre et retour en contrôle pour Batarian Vanguard. Éviter la duplication miroir des signes asymétriques.</x:v>
      </x:c>
      <x:c r="K62" s="7" t="str">
        <x:v>Sans bande sonore embarquée dans la planche ; émettre uniquement des événements nommés vers le système audio pour éviter les doublons.</x:v>
      </x:c>
      <x:c r="L62" s="7" t="str">
        <x:v>Prévu : fiche de données mea/sprites/chr-mp-batarian-vanguard ; rattacher les ressources et états cités à cet identifiant. Aucun fichier de jeu créé par ce catalogue.</x:v>
      </x:c>
      <x:c r="M62" s="7" t="str">
        <x:v>Multijoueur APEX uniquement ; aucun recrutement dans la campagne de Ryder.</x:v>
      </x:c>
      <x:c r="N62" s="7" t="str">
        <x:v>À l’échelle de jeu, Batarian Vanguard est identifiable en silhouette ; pivot aux pieds, masque de profondeur et huit orientations proposés restent stables devant les couverts.</x:v>
      </x:c>
      <x:c r="O62" s="7" t="str">
        <x:v>MEA-CHR-MP-BATARIAN-VANGUARD</x:v>
      </x:c>
      <x:c r="P62" s="7" t="str">
        <x:v>Adaptation originale — spécification de production</x:v>
      </x:c>
      <x:c r="Q62" s="7" t="str"/>
      <x:c r="R62" s="7" t="str"/>
      <x:c r="S62" s="7" t="str">
        <x:v>Spécification à réaliser. Les champs adaptation, gameplay, visual, animation, audio et implementation décrivent le fan game ; ils ne donnent pas des caractéristiques officielles de l’œuvre.</x:v>
      </x:c>
    </x:row>
  </x:sheetData>
  <x:conditionalFormatting sqref="D7:D62">
    <x:cfRule type="cellIs" dxfId="80" priority="1" operator="equal">
      <x:formula>"À vérifier"</x:formula>
    </x:cfRule>
    <x:cfRule type="cellIs" dxfId="81" priority="2" operator="equal">
      <x:formula>"Extrapolation"</x:formula>
    </x:cfRule>
  </x:conditionalFormatting>
  <x:conditionalFormatting sqref="C7:C62">
    <x:cfRule type="cellIs" dxfId="82" priority="3" operator="equal">
      <x:formula>"Validé"</x:formula>
    </x:cfRule>
  </x:conditionalFormatting>
  <x:conditionalFormatting sqref="E7:E62">
    <x:cfRule type="cellIs" dxfId="83" priority="4" operator="equal">
      <x:formula>"P0"</x:formula>
    </x:cfRule>
  </x:conditionalFormatting>
  <x:dataValidations count="3">
    <x:dataValidation type="list" sqref="C7:C62">
      <x:formula1>"Défini,Prototype,Intégré,Validé"</x:formula1>
    </x:dataValidation>
    <x:dataValidation type="list" sqref="D7:D62">
      <x:formula1>"Établi,À vérifier,Extrapolation,Coupé attesté,Concept abandonné,Allégation écartée"</x:formula1>
    </x:dataValidation>
    <x:dataValidation type="list" sqref="E7:E62">
      <x:formula1>"P0,P1,P2"</x:formula1>
    </x:dataValidation>
  </x:dataValidations>
  <x:pageMargins left="0.7" right="0.7" top="0.75" bottom="0.75" header="0.3" footer="0.3"/>
  <x:tableParts count="1">
    <x:tablePart xmlns:r="http://schemas.openxmlformats.org/officeDocument/2006/relationships" r:id="Ra67f52c4183e41a3"/>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Andromeda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MEA-VFX-JET</x:v>
      </x:c>
      <x:c r="B7" s="9" t="str">
        <x:v>Propulseurs et déplacement</x:v>
      </x:c>
      <x:c r="C7" s="15" t="str">
        <x:v>Défini</x:v>
      </x:c>
      <x:c r="D7" s="16" t="str">
        <x:v>Extrapolation</x:v>
      </x:c>
      <x:c r="E7" s="16" t="str">
        <x:v>P1</x:v>
      </x:c>
      <x:c r="F7" s="9" t="str">
        <x:v>Livrable original proposé : Propulseurs et déplacement.</x:v>
      </x:c>
      <x:c r="G7" s="9" t="str">
        <x:v>Traînée courte sans cacher ligne d’attaque ennemie ; intensité réglable et retours au sol visibles.</x:v>
      </x:c>
      <x:c r="H7" s="9" t="str">
        <x:v>Traînée courte sans cacher ligne d’attaque ennemie ; intensité réglable et retours au sol visibles.</x:v>
      </x:c>
      <x:c r="I7" s="9" t="str">
        <x:v>Gaz bleu et ombre nette.</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mea/vfx/jet ; rattacher les ressources et états cités à cet identifiant. Aucun fichier de jeu créé par ce catalogue.</x:v>
      </x:c>
      <x:c r="M7" s="9" t="str"/>
      <x:c r="N7" s="9" t="str">
        <x:v>Le livrable « Propulseurs et déplacement » possède une scène ou un scénario de contrôle ; ses règles proposées, ses conditions et ses retours visuels sont vérifiables séparément.</x:v>
      </x:c>
      <x:c r="O7" s="9" t="str">
        <x:v>MEA-ANI-JUMP</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MEA-VFX-SCAN</x:v>
      </x:c>
      <x:c r="B8" s="7" t="str">
        <x:v>Contours de scanner</x:v>
      </x:c>
      <x:c r="C8" s="15" t="str">
        <x:v>Défini</x:v>
      </x:c>
      <x:c r="D8" s="17" t="str">
        <x:v>Extrapolation</x:v>
      </x:c>
      <x:c r="E8" s="17" t="str">
        <x:v>P1</x:v>
      </x:c>
      <x:c r="F8" s="7" t="str">
        <x:v>Livrable original proposé : Contours de scanner.</x:v>
      </x:c>
      <x:c r="G8" s="7" t="str">
        <x:v>Objet utile, déjà lu et pure décoration ont états distincts ; format texte accessible en plus de couleur.</x:v>
      </x:c>
      <x:c r="H8" s="7" t="str">
        <x:v>Objet utile, déjà lu et pure décoration ont états distincts ; format texte accessible en plus de couleur.</x:v>
      </x:c>
      <x:c r="I8" s="7" t="str">
        <x:v>Orange, trame et nom de cible.</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mea/vfx/scan ; rattacher les ressources et états cités à cet identifiant. Aucun fichier de jeu créé par ce catalogue.</x:v>
      </x:c>
      <x:c r="M8" s="7" t="str"/>
      <x:c r="N8" s="7" t="str">
        <x:v>Le livrable « Contours de scanner » possède une scène ou un scénario de contrôle ; ses règles proposées, ses conditions et ses retours visuels sont vérifiables séparément.</x:v>
      </x:c>
      <x:c r="O8" s="7" t="str">
        <x:v>MEA-PRP-SCANNER</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MEA-VFX-SCOURGE</x:v>
      </x:c>
      <x:c r="B9" s="9" t="str">
        <x:v>Filaments du Fléau</x:v>
      </x:c>
      <x:c r="C9" s="15" t="str">
        <x:v>Défini</x:v>
      </x:c>
      <x:c r="D9" s="16" t="str">
        <x:v>Extrapolation</x:v>
      </x:c>
      <x:c r="E9" s="16" t="str">
        <x:v>P1</x:v>
      </x:c>
      <x:c r="F9" s="9" t="str">
        <x:v>Livrable original proposé : Filaments du Fléau.</x:v>
      </x:c>
      <x:c r="G9" s="9" t="str">
        <x:v>Effet spatial en fond et danger narratif ; ne pas créer projectiles évitables là où scène ne donne aucun contrôle.</x:v>
      </x:c>
      <x:c r="H9" s="9" t="str">
        <x:v>Effet spatial en fond et danger narratif ; ne pas créer projectiles évitables là où scène ne donne aucun contrôle.</x:v>
      </x:c>
      <x:c r="I9" s="9" t="str">
        <x:v>Noir, violets et éclairs étirés.</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mea/vfx/scourge ; rattacher les ressources et états cités à cet identifiant. Aucun fichier de jeu créé par ce catalogue.</x:v>
      </x:c>
      <x:c r="M9" s="9" t="str"/>
      <x:c r="N9" s="9" t="str">
        <x:v>Le livrable « Filaments du Fléau » possède une scène ou un scénario de contrôle ; ses règles proposées, ses conditions et ses retours visuels sont vérifiables séparément.</x:v>
      </x:c>
      <x:c r="O9" s="9" t="str">
        <x:v>MEA-LOR-SCOURGE</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MEA-VFX-HAZARDS</x:v>
      </x:c>
      <x:c r="B10" s="7" t="str">
        <x:v>Radiation, froid, chaleur et vide</x:v>
      </x:c>
      <x:c r="C10" s="15" t="str">
        <x:v>Défini</x:v>
      </x:c>
      <x:c r="D10" s="17" t="str">
        <x:v>Extrapolation</x:v>
      </x:c>
      <x:c r="E10" s="17" t="str">
        <x:v>P1</x:v>
      </x:c>
      <x:c r="F10" s="7" t="str">
        <x:v>Livrable original proposé : Radiation, froid, chaleur et vide.</x:v>
      </x:c>
      <x:c r="G10" s="7" t="str">
        <x:v>Quatre motifs et mots, vignette limitée ; danger local se lit avant barre critique et sans déformation agressive.</x:v>
      </x:c>
      <x:c r="H10" s="7" t="str">
        <x:v>Quatre motifs et mots, vignette limitée ; danger local se lit avant barre critique et sans déformation agressive.</x:v>
      </x:c>
      <x:c r="I10" s="7" t="str">
        <x:v>Icônes de combinaison et bord d’écran discret.</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mea/vfx/hazards ; rattacher les ressources et états cités à cet identifiant. Aucun fichier de jeu créé par ce catalogue.</x:v>
      </x:c>
      <x:c r="M10" s="7" t="str"/>
      <x:c r="N10" s="7" t="str">
        <x:v>Le livrable « Radiation, froid, chaleur et vide » possède une scène ou un scénario de contrôle ; ses règles proposées, ses conditions et ses retours visuels sont vérifiables séparément.</x:v>
      </x:c>
      <x:c r="O10" s="7" t="str">
        <x:v>MEA-SYS-HAZARDS</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MEA-VFX-SHIELD</x:v>
      </x:c>
      <x:c r="B11" s="9" t="str">
        <x:v>Protection et armure</x:v>
      </x:c>
      <x:c r="C11" s="15" t="str">
        <x:v>Défini</x:v>
      </x:c>
      <x:c r="D11" s="16" t="str">
        <x:v>Extrapolation</x:v>
      </x:c>
      <x:c r="E11" s="16" t="str">
        <x:v>P1</x:v>
      </x:c>
      <x:c r="F11" s="9" t="str">
        <x:v>Livrable original proposé : Protection et armure.</x:v>
      </x:c>
      <x:c r="G11" s="9" t="str">
        <x:v>Bouclier, santé et armure de cible ne se confondent pas avec les pièces d’armure équipées de Ryder.</x:v>
      </x:c>
      <x:c r="H11" s="9" t="str">
        <x:v>Bouclier, santé et armure de cible ne se confondent pas avec les pièces d’armure équipées de Ryder.</x:v>
      </x:c>
      <x:c r="I11" s="9" t="str">
        <x:v>Barres et motifs segmentés.</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mea/vfx/shield ; rattacher les ressources et états cités à cet identifiant. Aucun fichier de jeu créé par ce catalogue.</x:v>
      </x:c>
      <x:c r="M11" s="9" t="str"/>
      <x:c r="N11" s="9" t="str">
        <x:v>Le livrable « Protection et armure » possède une scène ou un scénario de contrôle ; ses règles proposées, ses conditions et ses retours visuels sont vérifiables séparément.</x:v>
      </x:c>
      <x:c r="O11" s="9" t="str">
        <x:v>MEA-SYS-DEFENSES</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MEA-VFX-COMBOS</x:v>
      </x:c>
      <x:c r="B12" s="7" t="str">
        <x:v>Amorces et détonations</x:v>
      </x:c>
      <x:c r="C12" s="15" t="str">
        <x:v>Défini</x:v>
      </x:c>
      <x:c r="D12" s="17" t="str">
        <x:v>Extrapolation</x:v>
      </x:c>
      <x:c r="E12" s="17" t="str">
        <x:v>P1</x:v>
      </x:c>
      <x:c r="F12" s="7" t="str">
        <x:v>Livrable original proposé : Amorces et détonations.</x:v>
      </x:c>
      <x:c r="G12" s="7" t="str">
        <x:v>Familles feu/glace/tech/biotique distinctes ; afficher la compatibilité avant ordre et une seule onde par combo résolu.</x:v>
      </x:c>
      <x:c r="H12" s="7" t="str">
        <x:v>Familles feu/glace/tech/biotique distinctes ; afficher la compatibilité avant ordre et une seule onde par combo résolu.</x:v>
      </x:c>
      <x:c r="I12" s="7" t="str">
        <x:v>Pictogrammes et cercles d’impact.</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mea/vfx/combos ; rattacher les ressources et états cités à cet identifiant. Aucun fichier de jeu créé par ce catalogue.</x:v>
      </x:c>
      <x:c r="M12" s="7" t="str"/>
      <x:c r="N12" s="7" t="str">
        <x:v>Le livrable « Amorces et détonations » possède une scène ou un scénario de contrôle ; ses règles proposées, ses conditions et ses retours visuels sont vérifiables séparément.</x:v>
      </x:c>
      <x:c r="O12" s="7" t="str">
        <x:v>MEA-SYS-COMBOS</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MEA-VFX-ANNIHILATION</x:v>
      </x:c>
      <x:c r="B13" s="9" t="str">
        <x:v>Aura portée par Ryder</x:v>
      </x:c>
      <x:c r="C13" s="15" t="str">
        <x:v>Défini</x:v>
      </x:c>
      <x:c r="D13" s="16" t="str">
        <x:v>Extrapolation</x:v>
      </x:c>
      <x:c r="E13" s="16" t="str">
        <x:v>P1</x:v>
      </x:c>
      <x:c r="F13" s="9" t="str">
        <x:v>Livrable original proposé : Aura portée par Ryder.</x:v>
      </x:c>
      <x:c r="G13" s="9" t="str">
        <x:v>Rayon précis sur sol, hauteur de sprite non prise pour portée ; luminosité plafonnée à plusieurs auras.</x:v>
      </x:c>
      <x:c r="H13" s="9" t="str">
        <x:v>Rayon précis sur sol, hauteur de sprite non prise pour portée ; luminosité plafonnée à plusieurs auras.</x:v>
      </x:c>
      <x:c r="I13" s="9" t="str">
        <x:v>Anneau violet et particules de bord.</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mea/vfx/annihilation ; rattacher les ressources et états cités à cet identifiant. Aucun fichier de jeu créé par ce catalogue.</x:v>
      </x:c>
      <x:c r="M13" s="9" t="str"/>
      <x:c r="N13" s="9" t="str">
        <x:v>Le livrable « Aura portée par Ryder » possède une scène ou un scénario de contrôle ; ses règles proposées, ses conditions et ses retours visuels sont vérifiables séparément.</x:v>
      </x:c>
      <x:c r="O13" s="9" t="str">
        <x:v>MEA-POW-ANNIHILATION</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MEA-VFX-BACKLASH</x:v>
      </x:c>
      <x:c r="B14" s="7" t="str">
        <x:v>Réflexion de Backlash</x:v>
      </x:c>
      <x:c r="C14" s="15" t="str">
        <x:v>Défini</x:v>
      </x:c>
      <x:c r="D14" s="17" t="str">
        <x:v>Extrapolation</x:v>
      </x:c>
      <x:c r="E14" s="17" t="str">
        <x:v>P1</x:v>
      </x:c>
      <x:c r="F14" s="7" t="str">
        <x:v>Livrable original proposé : Réflexion de Backlash.</x:v>
      </x:c>
      <x:c r="G14" s="7" t="str">
        <x:v>Panneau frontal avec normal visible ; projectile renvoyé change direction et faction à l’événement exact.</x:v>
      </x:c>
      <x:c r="H14" s="7" t="str">
        <x:v>Panneau frontal avec normal visible ; projectile renvoyé change direction et faction à l’événement exact.</x:v>
      </x:c>
      <x:c r="I14" s="7" t="str">
        <x:v>Plan courbe et ricochet lumineux.</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mea/vfx/backlash ; rattacher les ressources et états cités à cet identifiant. Aucun fichier de jeu créé par ce catalogue.</x:v>
      </x:c>
      <x:c r="M14" s="7" t="str"/>
      <x:c r="N14" s="7" t="str">
        <x:v>Le livrable « Réflexion de Backlash » possède une scène ou un scénario de contrôle ; ses règles proposées, ses conditions et ses retours visuels sont vérifiables séparément.</x:v>
      </x:c>
      <x:c r="O14" s="7" t="str">
        <x:v>MEA-POW-BACKLASH</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MEA-VFX-ORB</x:v>
      </x:c>
      <x:c r="B15" s="9" t="str">
        <x:v>Orbe et champ d’Ascendant</x:v>
      </x:c>
      <x:c r="C15" s="15" t="str">
        <x:v>Défini</x:v>
      </x:c>
      <x:c r="D15" s="16" t="str">
        <x:v>Extrapolation</x:v>
      </x:c>
      <x:c r="E15" s="16" t="str">
        <x:v>P1</x:v>
      </x:c>
      <x:c r="F15" s="9" t="str">
        <x:v>Livrable original proposé : Orbe et champ d’Ascendant.</x:v>
      </x:c>
      <x:c r="G15" s="9" t="str">
        <x:v>Lien visible entre sphère et protection ; changement d’état signalé par forme, pas seulement teinte.</x:v>
      </x:c>
      <x:c r="H15" s="9" t="str">
        <x:v>Lien visible entre sphère et protection ; changement d’état signalé par forme, pas seulement teinte.</x:v>
      </x:c>
      <x:c r="I15" s="9" t="str">
        <x:v>Orbite et champ concentrique.</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mea/vfx/orb ; rattacher les ressources et états cités à cet identifiant. Aucun fichier de jeu créé par ce catalogue.</x:v>
      </x:c>
      <x:c r="M15" s="9" t="str"/>
      <x:c r="N15" s="9" t="str">
        <x:v>Le livrable « Orbe et champ d’Ascendant » possède une scène ou un scénario de contrôle ; ses règles proposées, ses conditions et ses retours visuels sont vérifiables séparément.</x:v>
      </x:c>
      <x:c r="O15" s="9" t="str">
        <x:v>MEA-PRP-ASCENDANT-ORB</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MEA-VFX-ARCHITECT</x:v>
      </x:c>
      <x:c r="B16" s="7" t="str">
        <x:v>Signaux d’Architecte</x:v>
      </x:c>
      <x:c r="C16" s="15" t="str">
        <x:v>Défini</x:v>
      </x:c>
      <x:c r="D16" s="17" t="str">
        <x:v>Extrapolation</x:v>
      </x:c>
      <x:c r="E16" s="17" t="str">
        <x:v>P1</x:v>
      </x:c>
      <x:c r="F16" s="7" t="str">
        <x:v>Livrable original proposé : Signaux d’Architecte.</x:v>
      </x:c>
      <x:c r="G16" s="7" t="str">
        <x:v>Zones de salve, balayage et renfort annoncées ; tête vulnérable garde signal même derrière son corps géant.</x:v>
      </x:c>
      <x:c r="H16" s="7" t="str">
        <x:v>Zones de salve, balayage et renfort annoncées ; tête vulnérable garde signal même derrière son corps géant.</x:v>
      </x:c>
      <x:c r="I16" s="7" t="str">
        <x:v>Bandes au sol et noyau pulsant.</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mea/vfx/architect ; rattacher les ressources et états cités à cet identifiant. Aucun fichier de jeu créé par ce catalogue.</x:v>
      </x:c>
      <x:c r="M16" s="7" t="str"/>
      <x:c r="N16" s="7" t="str">
        <x:v>Le livrable « Signaux d’Architecte » possède une scène ou un scénario de contrôle ; ses règles proposées, ses conditions et ses retours visuels sont vérifiables séparément.</x:v>
      </x:c>
      <x:c r="O16" s="7" t="str">
        <x:v>MEA-PRP-ARCHITECT-NODES</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MEA-VFX-PURIFY</x:v>
      </x:c>
      <x:c r="B17" s="9" t="str">
        <x:v>Purification de caveau</x:v>
      </x:c>
      <x:c r="C17" s="15" t="str">
        <x:v>Défini</x:v>
      </x:c>
      <x:c r="D17" s="16" t="str">
        <x:v>Extrapolation</x:v>
      </x:c>
      <x:c r="E17" s="16" t="str">
        <x:v>P1</x:v>
      </x:c>
      <x:c r="F17" s="9" t="str">
        <x:v>Livrable original proposé : Purification de caveau.</x:v>
      </x:c>
      <x:c r="G17" s="9" t="str">
        <x:v>Front de danger homogène, flèches de sortie et alternative de faible mouvement ; effet ne traverse pas une porte fermée sans règle.</x:v>
      </x:c>
      <x:c r="H17" s="9" t="str">
        <x:v>Front de danger homogène, flèches de sortie et alternative de faible mouvement ; effet ne traverse pas une porte fermée sans règle.</x:v>
      </x:c>
      <x:c r="I17" s="9" t="str">
        <x:v>Mur d’énergie et piste de course.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mea/vfx/purify ; rattacher les ressources et états cités à cet identifiant. Aucun fichier de jeu créé par ce catalogue.</x:v>
      </x:c>
      <x:c r="M17" s="9" t="str"/>
      <x:c r="N17" s="9" t="str">
        <x:v>Le livrable « Purification de caveau » possède une scène ou un scénario de contrôle ; ses règles proposées, ses conditions et ses retours visuels sont vérifiables séparément.</x:v>
      </x:c>
      <x:c r="O17" s="9" t="str">
        <x:v>MEA-PRP-PURIFICATION</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MEA-VFX-RESTORE</x:v>
      </x:c>
      <x:c r="B18" s="7" t="str">
        <x:v>Avant/après restauration</x:v>
      </x:c>
      <x:c r="C18" s="15" t="str">
        <x:v>Défini</x:v>
      </x:c>
      <x:c r="D18" s="17" t="str">
        <x:v>Extrapolation</x:v>
      </x:c>
      <x:c r="E18" s="17" t="str">
        <x:v>P1</x:v>
      </x:c>
      <x:c r="F18" s="7" t="str">
        <x:v>Livrable original proposé : Avant/après restauration.</x:v>
      </x:c>
      <x:c r="G18" s="7" t="str">
        <x:v>Couches d’environnement par état de planète ; changement cohérent mais progressif, sans promettre pluie immédiate partout.</x:v>
      </x:c>
      <x:c r="H18" s="7" t="str">
        <x:v>Couches d’environnement par état de planète ; changement cohérent mais progressif, sans promettre pluie immédiate partout.</x:v>
      </x:c>
      <x:c r="I18" s="7" t="str">
        <x:v>Nuages, végétation et eaux selon monde.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mea/vfx/restore ; rattacher les ressources et états cités à cet identifiant. Aucun fichier de jeu créé par ce catalogue.</x:v>
      </x:c>
      <x:c r="M18" s="7" t="str"/>
      <x:c r="N18" s="7" t="str">
        <x:v>Le livrable « Avant/après restauration » possède une scène ou un scénario de contrôle ; ses règles proposées, ses conditions et ses retours visuels sont vérifiables séparément.</x:v>
      </x:c>
      <x:c r="O18" s="7" t="str">
        <x:v>MEA-CHO-RESTORE</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MEA-VFX-GRAVITY</x:v>
      </x:c>
      <x:c r="B19" s="9" t="str">
        <x:v>Transition de gravité</x:v>
      </x:c>
      <x:c r="C19" s="15" t="str">
        <x:v>Défini</x:v>
      </x:c>
      <x:c r="D19" s="16" t="str">
        <x:v>Extrapolation</x:v>
      </x:c>
      <x:c r="E19" s="16" t="str">
        <x:v>P1</x:v>
      </x:c>
      <x:c r="F19" s="9" t="str">
        <x:v>Livrable original proposé : Transition de gravité.</x:v>
      </x:c>
      <x:c r="G19" s="9" t="str">
        <x:v>Particules et éclairages réorientés pendant fondus ; repère d’horizon revient avant la première commande jouable.</x:v>
      </x:c>
      <x:c r="H19" s="9" t="str">
        <x:v>Particules et éclairages réorientés pendant fondus ; repère d’horizon revient avant la première commande jouable.</x:v>
      </x:c>
      <x:c r="I19" s="9" t="str">
        <x:v>Débris flottants et balises de sol.</x:v>
      </x:c>
      <x:c r="J19" s="9" t="str">
        <x:v>Préparer état de repos, anticipation, activation et retour au repos ; aligner les événements visuels sur la résolution de l’action ATB.</x:v>
      </x:c>
      <x:c r="K19" s="9" t="str">
        <x:v>Créer des bruitages et ambiances originaux adaptés au livrable ; sous-titrer les indices utiles et proposer un réglage indépendant des effets. Aucune extraction audio demandée.</x:v>
      </x:c>
      <x:c r="L19" s="9" t="str">
        <x:v>Prévu : fiche de données mea/vfx/gravity ; rattacher les ressources et états cités à cet identifiant. Aucun fichier de jeu créé par ce catalogue.</x:v>
      </x:c>
      <x:c r="M19" s="9" t="str"/>
      <x:c r="N19" s="9" t="str">
        <x:v>Le livrable « Transition de gravité » possède une scène ou un scénario de contrôle ; ses règles proposées, ses conditions et ses retours visuels sont vérifiables séparément.</x:v>
      </x:c>
      <x:c r="O19" s="9" t="str">
        <x:v>MEA-LNK-LIAM-GRAVITY</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MEA-VFX-MINE-GAS</x:v>
      </x:c>
      <x:c r="B20" s="7" t="str">
        <x:v>Gaz de sabotage de Sid</x:v>
      </x:c>
      <x:c r="C20" s="15" t="str">
        <x:v>Défini</x:v>
      </x:c>
      <x:c r="D20" s="17" t="str">
        <x:v>Extrapolation</x:v>
      </x:c>
      <x:c r="E20" s="17" t="str">
        <x:v>P1</x:v>
      </x:c>
      <x:c r="F20" s="7" t="str">
        <x:v>Livrable original proposé : Gaz de sabotage de Sid.</x:v>
      </x:c>
      <x:c r="G20" s="7" t="str">
        <x:v>Volume dangereux avec limites, durée/état permanent affiché ; ne pas faire disparaître le danger après une simple entrée/sortie de caméra.</x:v>
      </x:c>
      <x:c r="H20" s="7" t="str">
        <x:v>Volume dangereux avec limites, durée/état permanent affiché ; ne pas faire disparaître le danger après une simple entrée/sortie de caméra.</x:v>
      </x:c>
      <x:c r="I20" s="7" t="str">
        <x:v>Brume verte et symbole toxique.</x:v>
      </x:c>
      <x:c r="J20" s="7" t="str">
        <x:v>Préparer état de repos, anticipation, activation et retour au repos ; aligner les événements visuels sur la résolution de l’action ATB.</x:v>
      </x:c>
      <x:c r="K20" s="7" t="str">
        <x:v>Créer des bruitages et ambiances originaux adaptés au livrable ; sous-titrer les indices utiles et proposer un réglage indépendant des effets. Aucune extraction audio demandée.</x:v>
      </x:c>
      <x:c r="L20" s="7" t="str">
        <x:v>Prévu : fiche de données mea/vfx/mine-gas ; rattacher les ressources et états cités à cet identifiant. Aucun fichier de jeu créé par ce catalogue.</x:v>
      </x:c>
      <x:c r="M20" s="7" t="str"/>
      <x:c r="N20" s="7" t="str">
        <x:v>Le livrable « Gaz de sabotage de Sid » possède une scène ou un scénario de contrôle ; ses règles proposées, ses conditions et ses retours visuels sont vérifiables séparément.</x:v>
      </x:c>
      <x:c r="O20" s="7" t="str">
        <x:v>MEA-CHO-SID</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sheetData>
  <x:conditionalFormatting sqref="D7:D20">
    <x:cfRule type="cellIs" dxfId="84" priority="1" operator="equal">
      <x:formula>"À vérifier"</x:formula>
    </x:cfRule>
    <x:cfRule type="cellIs" dxfId="85" priority="2" operator="equal">
      <x:formula>"Extrapolation"</x:formula>
    </x:cfRule>
  </x:conditionalFormatting>
  <x:conditionalFormatting sqref="C7:C20">
    <x:cfRule type="cellIs" dxfId="86" priority="3" operator="equal">
      <x:formula>"Validé"</x:formula>
    </x:cfRule>
  </x:conditionalFormatting>
  <x:conditionalFormatting sqref="E7:E20">
    <x:cfRule type="cellIs" dxfId="87" priority="4" operator="equal">
      <x:formula>"P0"</x:formula>
    </x:cfRule>
  </x:conditionalFormatting>
  <x:dataValidations count="3">
    <x:dataValidation type="list" sqref="C7:C20">
      <x:formula1>"Défini,Prototype,Intégré,Validé"</x:formula1>
    </x:dataValidation>
    <x:dataValidation type="list" sqref="D7:D20">
      <x:formula1>"Établi,À vérifier,Extrapolation,Coupé attesté,Concept abandonné,Allégation écartée"</x:formula1>
    </x:dataValidation>
    <x:dataValidation type="list" sqref="E7:E20">
      <x:formula1>"P0,P1,P2"</x:formula1>
    </x:dataValidation>
  </x:dataValidations>
  <x:pageMargins left="0.7" right="0.7" top="0.75" bottom="0.75" header="0.3" footer="0.3"/>
  <x:tableParts count="1">
    <x:tablePart xmlns:r="http://schemas.openxmlformats.org/officeDocument/2006/relationships" r:id="Rf8b60fcde1914afe"/>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Andromeda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MEA-AUD-TEMPEST</x:v>
      </x:c>
      <x:c r="B7" s="9" t="str">
        <x:v>Ambiance du Tempest</x:v>
      </x:c>
      <x:c r="C7" s="15" t="str">
        <x:v>Défini</x:v>
      </x:c>
      <x:c r="D7" s="16" t="str">
        <x:v>Extrapolation</x:v>
      </x:c>
      <x:c r="E7" s="16" t="str">
        <x:v>P1</x:v>
      </x:c>
      <x:c r="F7" s="9" t="str">
        <x:v>Livrable original proposé : Ambiance du Tempest.</x:v>
      </x:c>
      <x:c r="G7" s="9" t="str">
        <x:v>Moteur doux, consoles et vie d’équipage ; prioriser conversation active et différencier alertes de SAM des barks ordinaires.</x:v>
      </x:c>
      <x:c r="H7" s="9" t="str">
        <x:v>Moteur doux, consoles et vie d’équipage ; prioriser conversation active et différencier alertes de SAM des barks ordinaires.</x:v>
      </x:c>
      <x:c r="I7" s="9" t="str">
        <x:v>Sous-titres avec source et nom.</x:v>
      </x:c>
      <x:c r="J7" s="9" t="str">
        <x:v>Préparer état de repos, anticipation, activation et retour au repos ; aligner les événements visuels sur la résolution de l’action ATB.</x:v>
      </x:c>
      <x:c r="K7" s="9" t="str">
        <x:v>Créer des bruitages et ambiances originaux adaptés au livrable ; sous-titrer les indices utiles et proposer un réglage indépendant des effets. Aucune extraction audio demandée.</x:v>
      </x:c>
      <x:c r="L7" s="9" t="str">
        <x:v>Prévu : fiche de données mea/audio/tempest ; rattacher les ressources et états cités à cet identifiant. Aucun fichier de jeu créé par ce catalogue.</x:v>
      </x:c>
      <x:c r="M7" s="9" t="str"/>
      <x:c r="N7" s="9" t="str">
        <x:v>Le livrable « Ambiance du Tempest » possède une scène ou un scénario de contrôle ; ses règles proposées, ses conditions et ses retours visuels sont vérifiables séparément.</x:v>
      </x:c>
      <x:c r="O7" s="9" t="str">
        <x:v>MEA-ZON-TEMPEST-BRIDGE</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MEA-AUD-SAM</x:v>
      </x:c>
      <x:c r="B8" s="7" t="str">
        <x:v>Voix originale de l’assistant SAM</x:v>
      </x:c>
      <x:c r="C8" s="15" t="str">
        <x:v>Défini</x:v>
      </x:c>
      <x:c r="D8" s="17" t="str">
        <x:v>Extrapolation</x:v>
      </x:c>
      <x:c r="E8" s="17" t="str">
        <x:v>P1</x:v>
      </x:c>
      <x:c r="F8" s="7" t="str">
        <x:v>Livrable original proposé : Voix originale de l’assistant SAM.</x:v>
      </x:c>
      <x:c r="G8" s="7" t="str">
        <x:v>Répliques brèves et répétition contrôlée ; choix de fréquence des conseils, aucun signal essentiel seulement sonore.</x:v>
      </x:c>
      <x:c r="H8" s="7" t="str">
        <x:v>Répliques brèves et répétition contrôlée ; choix de fréquence des conseils, aucun signal essentiel seulement sonore.</x:v>
      </x:c>
      <x:c r="I8" s="7" t="str">
        <x:v>Journal des dernières analyses.</x:v>
      </x:c>
      <x:c r="J8" s="7" t="str">
        <x:v>Préparer état de repos, anticipation, activation et retour au repos ; aligner les événements visuels sur la résolution de l’action ATB.</x:v>
      </x:c>
      <x:c r="K8" s="7" t="str">
        <x:v>Créer des bruitages et ambiances originaux adaptés au livrable ; sous-titrer les indices utiles et proposer un réglage indépendant des effets. Aucune extraction audio demandée.</x:v>
      </x:c>
      <x:c r="L8" s="7" t="str">
        <x:v>Prévu : fiche de données mea/audio/sam ; rattacher les ressources et états cités à cet identifiant. Aucun fichier de jeu créé par ce catalogue.</x:v>
      </x:c>
      <x:c r="M8" s="7" t="str"/>
      <x:c r="N8" s="7" t="str">
        <x:v>Le livrable « Voix originale de l’assistant SAM » possède une scène ou un scénario de contrôle ; ses règles proposées, ses conditions et ses retours visuels sont vérifiables séparément.</x:v>
      </x:c>
      <x:c r="O8" s="7" t="str">
        <x:v>MEA-DIA-SAM</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MEA-AUD-NEXUS</x:v>
      </x:c>
      <x:c r="B9" s="9" t="str">
        <x:v>Ambiance du Nexus</x:v>
      </x:c>
      <x:c r="C9" s="15" t="str">
        <x:v>Défini</x:v>
      </x:c>
      <x:c r="D9" s="16" t="str">
        <x:v>Extrapolation</x:v>
      </x:c>
      <x:c r="E9" s="16" t="str">
        <x:v>P1</x:v>
      </x:c>
      <x:c r="F9" s="9" t="str">
        <x:v>Livrable original proposé : Ambiance du Nexus.</x:v>
      </x:c>
      <x:c r="G9" s="9" t="str">
        <x:v>Outils, foule et annonces selon progression ; déclarations importantes du HNS sous-titrées, ambiances fictives clairement non informatives.</x:v>
      </x:c>
      <x:c r="H9" s="9" t="str">
        <x:v>Outils, foule et annonces selon progression ; déclarations importantes du HNS sous-titrées, ambiances fictives clairement non informatives.</x:v>
      </x:c>
      <x:c r="I9" s="9" t="str">
        <x:v>Haut-parleurs et marqueur de bulletin.</x:v>
      </x:c>
      <x:c r="J9" s="9" t="str">
        <x:v>Préparer état de repos, anticipation, activation et retour au repos ; aligner les événements visuels sur la résolution de l’action ATB.</x:v>
      </x:c>
      <x:c r="K9" s="9" t="str">
        <x:v>Créer des bruitages et ambiances originaux adaptés au livrable ; sous-titrer les indices utiles et proposer un réglage indépendant des effets. Aucune extraction audio demandée.</x:v>
      </x:c>
      <x:c r="L9" s="9" t="str">
        <x:v>Prévu : fiche de données mea/audio/nexus ; rattacher les ressources et états cités à cet identifiant. Aucun fichier de jeu créé par ce catalogue.</x:v>
      </x:c>
      <x:c r="M9" s="9" t="str"/>
      <x:c r="N9" s="9" t="str">
        <x:v>Le livrable « Ambiance du Nexus » possède une scène ou un scénario de contrôle ; ses règles proposées, ses conditions et ses retours visuels sont vérifiables séparément.</x:v>
      </x:c>
      <x:c r="O9" s="9" t="str">
        <x:v>MEA-WRL-NEXUS</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MEA-AUD-HABITAT</x:v>
      </x:c>
      <x:c r="B10" s="7" t="str">
        <x:v>Orages de Habitat 7</x:v>
      </x:c>
      <x:c r="C10" s="15" t="str">
        <x:v>Défini</x:v>
      </x:c>
      <x:c r="D10" s="17" t="str">
        <x:v>Extrapolation</x:v>
      </x:c>
      <x:c r="E10" s="17" t="str">
        <x:v>P1</x:v>
      </x:c>
      <x:c r="F10" s="7" t="str">
        <x:v>Livrable original proposé : Orages de Habitat 7.</x:v>
      </x:c>
      <x:c r="G10" s="7" t="str">
        <x:v>Tonnerre à différentes distances, éclair avant impact annoncé ; mode basses réduites sans perdre la menace.</x:v>
      </x:c>
      <x:c r="H10" s="7" t="str">
        <x:v>Tonnerre à différentes distances, éclair avant impact annoncé ; mode basses réduites sans perdre la menace.</x:v>
      </x:c>
      <x:c r="I10" s="7" t="str">
        <x:v>Flash limité et zone de frappe.</x:v>
      </x:c>
      <x:c r="J10" s="7" t="str">
        <x:v>Préparer état de repos, anticipation, activation et retour au repos ; aligner les événements visuels sur la résolution de l’action ATB.</x:v>
      </x:c>
      <x:c r="K10" s="7" t="str">
        <x:v>Créer des bruitages et ambiances originaux adaptés au livrable ; sous-titrer les indices utiles et proposer un réglage indépendant des effets. Aucune extraction audio demandée.</x:v>
      </x:c>
      <x:c r="L10" s="7" t="str">
        <x:v>Prévu : fiche de données mea/audio/habitat ; rattacher les ressources et états cités à cet identifiant. Aucun fichier de jeu créé par ce catalogue.</x:v>
      </x:c>
      <x:c r="M10" s="7" t="str"/>
      <x:c r="N10" s="7" t="str">
        <x:v>Le livrable « Orages de Habitat 7 » possède une scène ou un scénario de contrôle ; ses règles proposées, ses conditions et ses retours visuels sont vérifiables séparément.</x:v>
      </x:c>
      <x:c r="O10" s="7" t="str">
        <x:v>MEA-WRL-HABITAT7</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MEA-AUD-ANGARA</x:v>
      </x:c>
      <x:c r="B11" s="9" t="str">
        <x:v>Identité sonore angara</x:v>
      </x:c>
      <x:c r="C11" s="15" t="str">
        <x:v>Défini</x:v>
      </x:c>
      <x:c r="D11" s="16" t="str">
        <x:v>Extrapolation</x:v>
      </x:c>
      <x:c r="E11" s="16" t="str">
        <x:v>P1</x:v>
      </x:c>
      <x:c r="F11" s="9" t="str">
        <x:v>Livrable original proposé : Identité sonore angara.</x:v>
      </x:c>
      <x:c r="G11" s="9" t="str">
        <x:v>Créer langues d’ambiance et instruments originaux sans copier dialogues ; sous-titres pour les informations de quête uniquement.</x:v>
      </x:c>
      <x:c r="H11" s="9" t="str">
        <x:v>Créer langues d’ambiance et instruments originaux sans copier dialogues ; sous-titres pour les informations de quête uniquement.</x:v>
      </x:c>
      <x:c r="I11" s="9" t="str">
        <x:v>Sources locales au marché et sanctuaire.</x:v>
      </x:c>
      <x:c r="J11" s="9" t="str">
        <x:v>Préparer état de repos, anticipation, activation et retour au repos ; aligner les événements visuels sur la résolution de l’action ATB.</x:v>
      </x:c>
      <x:c r="K11" s="9" t="str">
        <x:v>Créer des bruitages et ambiances originaux adaptés au livrable ; sous-titrer les indices utiles et proposer un réglage indépendant des effets. Aucune extraction audio demandée.</x:v>
      </x:c>
      <x:c r="L11" s="9" t="str">
        <x:v>Prévu : fiche de données mea/audio/angara ; rattacher les ressources et états cités à cet identifiant. Aucun fichier de jeu créé par ce catalogue.</x:v>
      </x:c>
      <x:c r="M11" s="9" t="str"/>
      <x:c r="N11" s="9" t="str">
        <x:v>Le livrable « Identité sonore angara » possède une scène ou un scénario de contrôle ; ses règles proposées, ses conditions et ses retours visuels sont vérifiables séparément.</x:v>
      </x:c>
      <x:c r="O11" s="9" t="str">
        <x:v>MEA-WRL-AYA</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MEA-AUD-VOELD</x:v>
      </x:c>
      <x:c r="B12" s="7" t="str">
        <x:v>Vent et froid de Voeld</x:v>
      </x:c>
      <x:c r="C12" s="15" t="str">
        <x:v>Défini</x:v>
      </x:c>
      <x:c r="D12" s="17" t="str">
        <x:v>Extrapolation</x:v>
      </x:c>
      <x:c r="E12" s="17" t="str">
        <x:v>P1</x:v>
      </x:c>
      <x:c r="F12" s="7" t="str">
        <x:v>Livrable original proposé : Vent et froid de Voeld.</x:v>
      </x:c>
      <x:c r="G12" s="7" t="str">
        <x:v>Souffle de vent, pas neige et abris ; signal de danger thermique rare et clair, pas spam à chaque seuil oscillant.</x:v>
      </x:c>
      <x:c r="H12" s="7" t="str">
        <x:v>Souffle de vent, pas neige et abris ; signal de danger thermique rare et clair, pas spam à chaque seuil oscillant.</x:v>
      </x:c>
      <x:c r="I12" s="7" t="str">
        <x:v>Icône de froid et passage en chaleur.</x:v>
      </x:c>
      <x:c r="J12" s="7" t="str">
        <x:v>Préparer état de repos, anticipation, activation et retour au repos ; aligner les événements visuels sur la résolution de l’action ATB.</x:v>
      </x:c>
      <x:c r="K12" s="7" t="str">
        <x:v>Créer des bruitages et ambiances originaux adaptés au livrable ; sous-titrer les indices utiles et proposer un réglage indépendant des effets. Aucune extraction audio demandée.</x:v>
      </x:c>
      <x:c r="L12" s="7" t="str">
        <x:v>Prévu : fiche de données mea/audio/voeld ; rattacher les ressources et états cités à cet identifiant. Aucun fichier de jeu créé par ce catalogue.</x:v>
      </x:c>
      <x:c r="M12" s="7" t="str"/>
      <x:c r="N12" s="7" t="str">
        <x:v>Le livrable « Vent et froid de Voeld » possède une scène ou un scénario de contrôle ; ses règles proposées, ses conditions et ses retours visuels sont vérifiables séparément.</x:v>
      </x:c>
      <x:c r="O12" s="7" t="str">
        <x:v>MEA-WRL-VOELD</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MEA-AUD-HAVARL</x:v>
      </x:c>
      <x:c r="B13" s="9" t="str">
        <x:v>Faune et jungle Havarl</x:v>
      </x:c>
      <x:c r="C13" s="15" t="str">
        <x:v>Défini</x:v>
      </x:c>
      <x:c r="D13" s="16" t="str">
        <x:v>Extrapolation</x:v>
      </x:c>
      <x:c r="E13" s="16" t="str">
        <x:v>P1</x:v>
      </x:c>
      <x:c r="F13" s="9" t="str">
        <x:v>Livrable original proposé : Faune et jungle Havarl.</x:v>
      </x:c>
      <x:c r="G13" s="9" t="str">
        <x:v>Couches animales et végétales originales ; signal de créature hostile distinct de chant de fond non menaçant.</x:v>
      </x:c>
      <x:c r="H13" s="9" t="str">
        <x:v>Couches animales et végétales originales ; signal de créature hostile distinct de chant de fond non menaçant.</x:v>
      </x:c>
      <x:c r="I13" s="9" t="str">
        <x:v>Marqueur de danger hors champ.</x:v>
      </x:c>
      <x:c r="J13" s="9" t="str">
        <x:v>Préparer état de repos, anticipation, activation et retour au repos ; aligner les événements visuels sur la résolution de l’action ATB.</x:v>
      </x:c>
      <x:c r="K13" s="9" t="str">
        <x:v>Créer des bruitages et ambiances originaux adaptés au livrable ; sous-titrer les indices utiles et proposer un réglage indépendant des effets. Aucune extraction audio demandée.</x:v>
      </x:c>
      <x:c r="L13" s="9" t="str">
        <x:v>Prévu : fiche de données mea/audio/havarl ; rattacher les ressources et états cités à cet identifiant. Aucun fichier de jeu créé par ce catalogue.</x:v>
      </x:c>
      <x:c r="M13" s="9" t="str"/>
      <x:c r="N13" s="9" t="str">
        <x:v>Le livrable « Faune et jungle Havarl » possède une scène ou un scénario de contrôle ; ses règles proposées, ses conditions et ses retours visuels sont vérifiables séparément.</x:v>
      </x:c>
      <x:c r="O13" s="9" t="str">
        <x:v>MEA-WRL-HAVARL</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MEA-AUD-KETT</x:v>
      </x:c>
      <x:c r="B14" s="7" t="str">
        <x:v>Machines et voix kett</x:v>
      </x:c>
      <x:c r="C14" s="15" t="str">
        <x:v>Défini</x:v>
      </x:c>
      <x:c r="D14" s="17" t="str">
        <x:v>Extrapolation</x:v>
      </x:c>
      <x:c r="E14" s="17" t="str">
        <x:v>P1</x:v>
      </x:c>
      <x:c r="F14" s="7" t="str">
        <x:v>Livrable original proposé : Machines et voix kett.</x:v>
      </x:c>
      <x:c r="G14" s="7" t="str">
        <x:v>Timbres organiques/industriels ; conserver intelligibilité des ordres ennemis utiles sans besoin de comprendre mots fictifs.</x:v>
      </x:c>
      <x:c r="H14" s="7" t="str">
        <x:v>Timbres organiques/industriels ; conserver intelligibilité des ordres ennemis utiles sans besoin de comprendre mots fictifs.</x:v>
      </x:c>
      <x:c r="I14" s="7" t="str">
        <x:v>Pictogrammes de charge et renfort.</x:v>
      </x:c>
      <x:c r="J14" s="7" t="str">
        <x:v>Préparer état de repos, anticipation, activation et retour au repos ; aligner les événements visuels sur la résolution de l’action ATB.</x:v>
      </x:c>
      <x:c r="K14" s="7" t="str">
        <x:v>Créer des bruitages et ambiances originaux adaptés au livrable ; sous-titrer les indices utiles et proposer un réglage indépendant des effets. Aucune extraction audio demandée.</x:v>
      </x:c>
      <x:c r="L14" s="7" t="str">
        <x:v>Prévu : fiche de données mea/audio/kett ; rattacher les ressources et états cités à cet identifiant. Aucun fichier de jeu créé par ce catalogue.</x:v>
      </x:c>
      <x:c r="M14" s="7" t="str"/>
      <x:c r="N14" s="7" t="str">
        <x:v>Le livrable « Machines et voix kett » possède une scène ou un scénario de contrôle ; ses règles proposées, ses conditions et ses retours visuels sont vérifiables séparément.</x:v>
      </x:c>
      <x:c r="O14" s="7" t="str">
        <x:v>MEA-ENM-ASCENDANT</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MEA-AUD-REMNANT</x:v>
      </x:c>
      <x:c r="B15" s="9" t="str">
        <x:v>Résonance des Reliquats</x:v>
      </x:c>
      <x:c r="C15" s="15" t="str">
        <x:v>Défini</x:v>
      </x:c>
      <x:c r="D15" s="16" t="str">
        <x:v>Extrapolation</x:v>
      </x:c>
      <x:c r="E15" s="16" t="str">
        <x:v>P1</x:v>
      </x:c>
      <x:c r="F15" s="9" t="str">
        <x:v>Livrable original proposé : Résonance des Reliquats.</x:v>
      </x:c>
      <x:c r="G15" s="9" t="str">
        <x:v>Motifs de machine par famille, tonalité d’activation de console distincte de tir ; puzzle a validation visuelle équivalente.</x:v>
      </x:c>
      <x:c r="H15" s="9" t="str">
        <x:v>Motifs de machine par famille, tonalité d’activation de console distincte de tir ; puzzle a validation visuelle équivalente.</x:v>
      </x:c>
      <x:c r="I15" s="9" t="str">
        <x:v>Formes et lueurs synchronisées.</x:v>
      </x:c>
      <x:c r="J15" s="9" t="str">
        <x:v>Préparer état de repos, anticipation, activation et retour au repos ; aligner les événements visuels sur la résolution de l’action ATB.</x:v>
      </x:c>
      <x:c r="K15" s="9" t="str">
        <x:v>Créer des bruitages et ambiances originaux adaptés au livrable ; sous-titrer les indices utiles et proposer un réglage indépendant des effets. Aucune extraction audio demandée.</x:v>
      </x:c>
      <x:c r="L15" s="9" t="str">
        <x:v>Prévu : fiche de données mea/audio/remnant ; rattacher les ressources et états cités à cet identifiant. Aucun fichier de jeu créé par ce catalogue.</x:v>
      </x:c>
      <x:c r="M15" s="9" t="str"/>
      <x:c r="N15" s="9" t="str">
        <x:v>Le livrable « Résonance des Reliquats » possède une scène ou un scénario de contrôle ; ses règles proposées, ses conditions et ses retours visuels sont vérifiables séparément.</x:v>
      </x:c>
      <x:c r="O15" s="9" t="str">
        <x:v>MEA-LOR-REMNANT</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MEA-AUD-NOMAD</x:v>
      </x:c>
      <x:c r="B16" s="7" t="str">
        <x:v>Moteur et relief du Nomad</x:v>
      </x:c>
      <x:c r="C16" s="15" t="str">
        <x:v>Défini</x:v>
      </x:c>
      <x:c r="D16" s="17" t="str">
        <x:v>Extrapolation</x:v>
      </x:c>
      <x:c r="E16" s="17" t="str">
        <x:v>P1</x:v>
      </x:c>
      <x:c r="F16" s="7" t="str">
        <x:v>Livrable original proposé : Moteur et relief du Nomad.</x:v>
      </x:c>
      <x:c r="G16" s="7" t="str">
        <x:v>Son de traction, boost et réception selon contact réel ; pas de moteur de vaisseau sur sortie de dôme.</x:v>
      </x:c>
      <x:c r="H16" s="7" t="str">
        <x:v>Son de traction, boost et réception selon contact réel ; pas de moteur de vaisseau sur sortie de dôme.</x:v>
      </x:c>
      <x:c r="I16" s="7" t="str">
        <x:v>Indicateur de mode et patinage.</x:v>
      </x:c>
      <x:c r="J16" s="7" t="str">
        <x:v>Préparer état de repos, anticipation, activation et retour au repos ; aligner les événements visuels sur la résolution de l’action ATB.</x:v>
      </x:c>
      <x:c r="K16" s="7" t="str">
        <x:v>Créer des bruitages et ambiances originaux adaptés au livrable ; sous-titrer les indices utiles et proposer un réglage indépendant des effets. Aucune extraction audio demandée.</x:v>
      </x:c>
      <x:c r="L16" s="7" t="str">
        <x:v>Prévu : fiche de données mea/audio/nomad ; rattacher les ressources et états cités à cet identifiant. Aucun fichier de jeu créé par ce catalogue.</x:v>
      </x:c>
      <x:c r="M16" s="7" t="str"/>
      <x:c r="N16" s="7" t="str">
        <x:v>Le livrable « Moteur et relief du Nomad » possède une scène ou un scénario de contrôle ; ses règles proposées, ses conditions et ses retours visuels sont vérifiables séparément.</x:v>
      </x:c>
      <x:c r="O16" s="7" t="str">
        <x:v>MEA-SYS-NOMAD</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MEA-AUD-LOYALTY</x:v>
      </x:c>
      <x:c r="B17" s="9" t="str">
        <x:v>Musique originale des loyautés</x:v>
      </x:c>
      <x:c r="C17" s="15" t="str">
        <x:v>Défini</x:v>
      </x:c>
      <x:c r="D17" s="16" t="str">
        <x:v>Extrapolation</x:v>
      </x:c>
      <x:c r="E17" s="16" t="str">
        <x:v>P1</x:v>
      </x:c>
      <x:c r="F17" s="9" t="str">
        <x:v>Livrable original proposé : Musique originale des loyautés.</x:v>
      </x:c>
      <x:c r="G17" s="9" t="str">
        <x:v>Six palettes propres aux missions : arche, gravité, famille, graines, mine et volcan ; transitions par phase du récit.</x:v>
      </x:c>
      <x:c r="H17" s="9" t="str">
        <x:v>Six palettes propres aux missions : arche, gravité, famille, graines, mine et volcan ; transitions par phase du récit.</x:v>
      </x:c>
      <x:c r="I17" s="9" t="str">
        <x:v>Nom de scène et intensité modulable.</x:v>
      </x:c>
      <x:c r="J17" s="9" t="str">
        <x:v>Préparer état de repos, anticipation, activation et retour au repos ; aligner les événements visuels sur la résolution de l’action ATB.</x:v>
      </x:c>
      <x:c r="K17" s="9" t="str">
        <x:v>Créer des bruitages et ambiances originaux adaptés au livrable ; sous-titrer les indices utiles et proposer un réglage indépendant des effets. Aucune extraction audio demandée.</x:v>
      </x:c>
      <x:c r="L17" s="9" t="str">
        <x:v>Prévu : fiche de données mea/audio/loyalty ; rattacher les ressources et états cités à cet identifiant. Aucun fichier de jeu créé par ce catalogue.</x:v>
      </x:c>
      <x:c r="M17" s="9" t="str"/>
      <x:c r="N17" s="9" t="str">
        <x:v>Le livrable « Musique originale des loyautés » possède une scène ou un scénario de contrôle ; ses règles proposées, ses conditions et ses retours visuels sont vérifiables séparément.</x:v>
      </x:c>
      <x:c r="O17" s="9" t="str">
        <x:v>MEA-SQ-CORA-EDGE, MEA-SQ-LIAM-ALLIN</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MEA-AUD-MERIDIAN</x:v>
      </x:c>
      <x:c r="B18" s="7" t="str">
        <x:v>Final et retour au calme</x:v>
      </x:c>
      <x:c r="C18" s="15" t="str">
        <x:v>Défini</x:v>
      </x:c>
      <x:c r="D18" s="17" t="str">
        <x:v>Extrapolation</x:v>
      </x:c>
      <x:c r="E18" s="17" t="str">
        <x:v>P1</x:v>
      </x:c>
      <x:c r="F18" s="7" t="str">
        <x:v>Livrable original proposé : Final et retour au calme.</x:v>
      </x:c>
      <x:c r="G18" s="7" t="str">
        <x:v>Composition originale de tension puis ouverture ; montage selon alliés disponibles et volume de communication prioritaire.</x:v>
      </x:c>
      <x:c r="H18" s="7" t="str">
        <x:v>Composition originale de tension puis ouverture ; montage selon alliés disponibles et volume de communication prioritaire.</x:v>
      </x:c>
      <x:c r="I18" s="7" t="str">
        <x:v>Sous-titres de renforts et d’épilogue.</x:v>
      </x:c>
      <x:c r="J18" s="7" t="str">
        <x:v>Préparer état de repos, anticipation, activation et retour au repos ; aligner les événements visuels sur la résolution de l’action ATB.</x:v>
      </x:c>
      <x:c r="K18" s="7" t="str">
        <x:v>Créer des bruitages et ambiances originaux adaptés au livrable ; sous-titrer les indices utiles et proposer un réglage indépendant des effets. Aucune extraction audio demandée.</x:v>
      </x:c>
      <x:c r="L18" s="7" t="str">
        <x:v>Prévu : fiche de données mea/audio/meridian ; rattacher les ressources et états cités à cet identifiant. Aucun fichier de jeu créé par ce catalogue.</x:v>
      </x:c>
      <x:c r="M18" s="7" t="str"/>
      <x:c r="N18" s="7" t="str">
        <x:v>Le livrable « Final et retour au calme » possède une scène ou un scénario de contrôle ; ses règles proposées, ses conditions et ses retours visuels sont vérifiables séparément.</x:v>
      </x:c>
      <x:c r="O18" s="7" t="str">
        <x:v>MEA-MQ-MERIDIAN, MEA-MQ-EPILOGUE</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sheetData>
  <x:conditionalFormatting sqref="D7:D18">
    <x:cfRule type="cellIs" dxfId="88" priority="1" operator="equal">
      <x:formula>"À vérifier"</x:formula>
    </x:cfRule>
    <x:cfRule type="cellIs" dxfId="89" priority="2" operator="equal">
      <x:formula>"Extrapolation"</x:formula>
    </x:cfRule>
  </x:conditionalFormatting>
  <x:conditionalFormatting sqref="C7:C18">
    <x:cfRule type="cellIs" dxfId="90" priority="3" operator="equal">
      <x:formula>"Validé"</x:formula>
    </x:cfRule>
  </x:conditionalFormatting>
  <x:conditionalFormatting sqref="E7:E18">
    <x:cfRule type="cellIs" dxfId="9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a6deb26d24fc427b"/>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Andromeda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MEA-SYS-ATB</x:v>
      </x:c>
      <x:c r="B7" s="9" t="str">
        <x:v>ATB hybride d’exploration mobile</x:v>
      </x:c>
      <x:c r="C7" s="15" t="str">
        <x:v>Défini</x:v>
      </x:c>
      <x:c r="D7" s="16" t="str">
        <x:v>Extrapolation</x:v>
      </x:c>
      <x:c r="E7" s="16" t="str">
        <x:v>P1</x:v>
      </x:c>
      <x:c r="F7" s="9" t="str">
        <x:v>Livrable original proposé : ATB hybride d’exploration mobile.</x:v>
      </x:c>
      <x:c r="G7" s="9" t="str">
        <x:v>Actions à préparation/résolution/récupération, deux équipiers et Ryder ; déplacement vertical consomme le coût proposé sans figer les ennemis hors règle de pause.</x:v>
      </x:c>
      <x:c r="H7" s="9" t="str">
        <x:v>Actions à préparation/résolution/récupération, deux équipiers et Ryder ; déplacement vertical consomme le coût proposé sans figer les ennemis hors règle de pause.</x:v>
      </x:c>
      <x:c r="I7" s="9" t="str">
        <x:v>Chronologie courte, portraits et chemins.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mea/systems/atb ; rattacher les ressources et états cités à cet identifiant. Aucun fichier de jeu créé par ce catalogue.</x:v>
      </x:c>
      <x:c r="M7" s="9" t="str"/>
      <x:c r="N7" s="9" t="str">
        <x:v>Le livrable « ATB hybride d’exploration mobile » possède une scène ou un scénario de contrôle ; ses règles proposées, ses conditions et ses retours visuels sont vérifiables séparément.</x:v>
      </x:c>
      <x:c r="O7" s="9" t="str">
        <x:v>MEA-CHR-RYDER</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MEA-SYS-VERTICAL</x:v>
      </x:c>
      <x:c r="B8" s="7" t="str">
        <x:v>Saut, vol bref et sol cible</x:v>
      </x:c>
      <x:c r="C8" s="15" t="str">
        <x:v>Défini</x:v>
      </x:c>
      <x:c r="D8" s="17" t="str">
        <x:v>Extrapolation</x:v>
      </x:c>
      <x:c r="E8" s="17" t="str">
        <x:v>P1</x:v>
      </x:c>
      <x:c r="F8" s="7" t="str">
        <x:v>Livrable original proposé : Saut, vol bref et sol cible.</x:v>
      </x:c>
      <x:c r="G8" s="7" t="str">
        <x:v>Séparer altitude visuelle, position au sol et collision ; tout bond réserve destination et teste plafond, pente et espace d’allié.</x:v>
      </x:c>
      <x:c r="H8" s="7" t="str">
        <x:v>Séparer altitude visuelle, position au sol et collision ; tout bond réserve destination et teste plafond, pente et espace d’allié.</x:v>
      </x:c>
      <x:c r="I8" s="7" t="str">
        <x:v>Projection au sol et marque de réception.</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mea/systems/vertical ; rattacher les ressources et états cités à cet identifiant. Aucun fichier de jeu créé par ce catalogue.</x:v>
      </x:c>
      <x:c r="M8" s="7" t="str"/>
      <x:c r="N8" s="7" t="str">
        <x:v>Le livrable « Saut, vol bref et sol cible » possède une scène ou un scénario de contrôle ; ses règles proposées, ses conditions et ses retours visuels sont vérifiables séparément.</x:v>
      </x:c>
      <x:c r="O8" s="7" t="str">
        <x:v>MEA-CHR-RYDER</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MEA-SYS-COVER</x:v>
      </x:c>
      <x:c r="B9" s="9" t="str">
        <x:v>Couvert contextualisé</x:v>
      </x:c>
      <x:c r="C9" s="15" t="str">
        <x:v>Défini</x:v>
      </x:c>
      <x:c r="D9" s="16" t="str">
        <x:v>Extrapolation</x:v>
      </x:c>
      <x:c r="E9" s="16" t="str">
        <x:v>P1</x:v>
      </x:c>
      <x:c r="F9" s="9" t="str">
        <x:v>Livrable original proposé : Couvert contextualisé.</x:v>
      </x:c>
      <x:c r="G9" s="9" t="str">
        <x:v>Détecter orientation et hauteur du couvert, montrer protection réelle avant tir ; couverts de décor 3D taggés indépendamment des textures.</x:v>
      </x:c>
      <x:c r="H9" s="9" t="str">
        <x:v>Détecter orientation et hauteur du couvert, montrer protection réelle avant tir ; couverts de décor 3D taggés indépendamment des textures.</x:v>
      </x:c>
      <x:c r="I9" s="9" t="str">
        <x:v>Bords de couvert et flanc exposé.</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mea/systems/cover ; rattacher les ressources et états cités à cet identifiant. Aucun fichier de jeu créé par ce catalogue.</x:v>
      </x:c>
      <x:c r="M9" s="9" t="str"/>
      <x:c r="N9" s="9" t="str">
        <x:v>Le livrable « Couvert contextualisé » possède une scène ou un scénario de contrôle ; ses règles proposées, ses conditions et ses retours visuels sont vérifiables séparément.</x:v>
      </x:c>
      <x:c r="O9" s="9" t="str">
        <x:v>MEA-SCN-KETT</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MEA-SYS-FAVORITES</x:v>
      </x:c>
      <x:c r="B10" s="7" t="str">
        <x:v>Favoris de compétences</x:v>
      </x:c>
      <x:c r="C10" s="15" t="str">
        <x:v>Défini</x:v>
      </x:c>
      <x:c r="D10" s="17" t="str">
        <x:v>Extrapolation</x:v>
      </x:c>
      <x:c r="E10" s="17" t="str">
        <x:v>P1</x:v>
      </x:c>
      <x:c r="F10" s="7" t="str">
        <x:v>Livrable original proposé : Favoris de compétences.</x:v>
      </x:c>
      <x:c r="G10" s="7" t="str">
        <x:v>Trois actions par favori, profils et récupération annoncée au changement ; aucun reset exploitable en changeant d’onglet.</x:v>
      </x:c>
      <x:c r="H10" s="7" t="str">
        <x:v>Trois actions par favori, profils et récupération annoncée au changement ; aucun reset exploitable en changeant d’onglet.</x:v>
      </x:c>
      <x:c r="I10" s="7" t="str">
        <x:v>Barre de trois slots et profil actif.</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mea/systems/favorites ; rattacher les ressources et états cités à cet identifiant. Aucun fichier de jeu créé par ce catalogue.</x:v>
      </x:c>
      <x:c r="M10" s="7" t="str"/>
      <x:c r="N10" s="7" t="str">
        <x:v>Le livrable « Favoris de compétences » possède une scène ou un scénario de contrôle ; ses règles proposées, ses conditions et ses retours visuels sont vérifiables séparément.</x:v>
      </x:c>
      <x:c r="O10" s="7" t="str">
        <x:v>MEA-POW-CHARGE, MEA-POW-OVERLOAD</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MEA-SYS-PROFILES</x:v>
      </x:c>
      <x:c r="B11" s="9" t="str">
        <x:v>Sept profils de Ryder</x:v>
      </x:c>
      <x:c r="C11" s="15" t="str">
        <x:v>Défini</x:v>
      </x:c>
      <x:c r="D11" s="16" t="str">
        <x:v>Extrapolation</x:v>
      </x:c>
      <x:c r="E11" s="16" t="str">
        <x:v>P1</x:v>
      </x:c>
      <x:c r="F11" s="9" t="str">
        <x:v>Livrable original proposé : Sept profils de Ryder.</x:v>
      </x:c>
      <x:c r="G11" s="9" t="str">
        <x:v>Soldier, Engineer, Adept, Sentinel, Vanguard, Infiltrator, Explorer ; déblocages par investissement, bonus et rangs vérifiés séparément des propositions ATB.</x:v>
      </x:c>
      <x:c r="H11" s="9" t="str">
        <x:v>Soldier, Engineer, Adept, Sentinel, Vanguard, Infiltrator, Explorer ; déblocages par investissement, bonus et rangs vérifiés séparément des propositions ATB.</x:v>
      </x:c>
      <x:c r="I11" s="9" t="str">
        <x:v>Sept emblèmes et résumé de rôle.</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mea/systems/profiles ; rattacher les ressources et états cités à cet identifiant. Aucun fichier de jeu créé par ce catalogue.</x:v>
      </x:c>
      <x:c r="M11" s="9" t="str"/>
      <x:c r="N11" s="9" t="str">
        <x:v>Le livrable « Sept profils de Ryder » possède une scène ou un scénario de contrôle ; ses règles proposées, ses conditions et ses retours visuels sont vérifiables séparément.</x:v>
      </x:c>
      <x:c r="O11" s="9" t="str">
        <x:v>MEA-SYS-FAVORITES</x:v>
      </x:c>
      <x:c r="P11" s="9" t="str">
        <x:v>Profiles — index des profils MEA</x:v>
      </x:c>
      <x:c r="Q11" s="9" t="str">
        <x:v>MEA-SRC-PROFILES</x:v>
      </x:c>
      <x:c r="R11" s="9" t="str">
        <x:v>https://masseffect.fandom.com/wiki/Profiles</x:v>
      </x:c>
      <x:c r="S11" s="9" t="str">
        <x:v>Spécification à réaliser. Les champs adaptation, gameplay, visual, animation, audio et implementation décrivent le fan game ; ils ne donnent pas des caractéristiques officielles de l’œuvre.</x:v>
      </x:c>
    </x:row>
    <x:row r="12" ht="68" customHeight="1">
      <x:c r="A12" s="19" t="str">
        <x:v>MEA-SYS-SKILL-TREE</x:v>
      </x:c>
      <x:c r="B12" s="7" t="str">
        <x:v>Compétences actives et passives</x:v>
      </x:c>
      <x:c r="C12" s="15" t="str">
        <x:v>Défini</x:v>
      </x:c>
      <x:c r="D12" s="17" t="str">
        <x:v>Extrapolation</x:v>
      </x:c>
      <x:c r="E12" s="17" t="str">
        <x:v>P1</x:v>
      </x:c>
      <x:c r="F12" s="7" t="str">
        <x:v>Livrable original proposé : Compétences actives et passives.</x:v>
      </x:c>
      <x:c r="G12" s="7" t="str">
        <x:v>Arbres de combat, tech et biotique ; passifs exclus de la barre d’action, compétences d’alliés dans tables propres.</x:v>
      </x:c>
      <x:c r="H12" s="7" t="str">
        <x:v>Arbres de combat, tech et biotique ; passifs exclus de la barre d’action, compétences d’alliés dans tables propres.</x:v>
      </x:c>
      <x:c r="I12" s="7" t="str">
        <x:v>Arbre à trois familles et bifurcations.</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mea/systems/skill-tree ; rattacher les ressources et états cités à cet identifiant. Aucun fichier de jeu créé par ce catalogue.</x:v>
      </x:c>
      <x:c r="M12" s="7" t="str"/>
      <x:c r="N12" s="7" t="str">
        <x:v>Le livrable « Compétences actives et passives » possède une scène ou un scénario de contrôle ; ses règles proposées, ses conditions et ses retours visuels sont vérifiables séparément.</x:v>
      </x:c>
      <x:c r="O12" s="7" t="str">
        <x:v>MEA-POW-BARRIER, MEA-POW-TEAM-SUPPORT</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MEA-SYS-LOYALTY</x:v>
      </x:c>
      <x:c r="B13" s="9" t="str">
        <x:v>Loyauté et progression de compagnon</x:v>
      </x:c>
      <x:c r="C13" s="15" t="str">
        <x:v>Défini</x:v>
      </x:c>
      <x:c r="D13" s="16" t="str">
        <x:v>Extrapolation</x:v>
      </x:c>
      <x:c r="E13" s="16" t="str">
        <x:v>P1</x:v>
      </x:c>
      <x:c r="F13" s="9" t="str">
        <x:v>Livrable original proposé : Loyauté et progression de compagnon.</x:v>
      </x:c>
      <x:c r="G13" s="9" t="str">
        <x:v>Déverrouillage des rangs avancés après mission propre ; aucune matrice de survie de suicide mission ME2 importée.</x:v>
      </x:c>
      <x:c r="H13" s="9" t="str">
        <x:v>Déverrouillage des rangs avancés après mission propre ; aucune matrice de survie de suicide mission ME2 importée.</x:v>
      </x:c>
      <x:c r="I13" s="9" t="str">
        <x:v>Portrait, mission et rang accessible.</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mea/systems/loyalty ; rattacher les ressources et états cités à cet identifiant. Aucun fichier de jeu créé par ce catalogue.</x:v>
      </x:c>
      <x:c r="M13" s="9" t="str"/>
      <x:c r="N13" s="9" t="str">
        <x:v>Le livrable « Loyauté et progression de compagnon » possède une scène ou un scénario de contrôle ; ses règles proposées, ses conditions et ses retours visuels sont vérifiables séparément.</x:v>
      </x:c>
      <x:c r="O13" s="9" t="str">
        <x:v>MEA-SQ-CORA-EDGE, MEA-SQ-DRACK-FUTURE</x:v>
      </x:c>
      <x:c r="P13" s="9" t="str">
        <x:v>Adaptation originale — spécification de production</x:v>
      </x:c>
      <x:c r="Q13" s="9" t="str">
        <x:v>MEA-SRC-LOYALTY, MEA-SRC-SKILLS</x:v>
      </x:c>
      <x:c r="R13" s="9" t="str">
        <x:v>https://masseffect.fandom.com/wiki/Loyalty_Missions_%28Mass_Effect%3A_Andromeda%29
https://masseffect.fandom.com/wiki/Skills</x:v>
      </x:c>
      <x:c r="S13" s="9" t="str">
        <x:v>Spécification à réaliser. Les champs adaptation, gameplay, visual, animation, audio et implementation décrivent le fan game ; ils ne donnent pas des caractéristiques officielles de l’œuvre.</x:v>
      </x:c>
    </x:row>
    <x:row r="14" ht="68" customHeight="1">
      <x:c r="A14" s="19" t="str">
        <x:v>MEA-SYS-DEFENSES</x:v>
      </x:c>
      <x:c r="B14" s="7" t="str">
        <x:v>Protections et contrôle</x:v>
      </x:c>
      <x:c r="C14" s="15" t="str">
        <x:v>Défini</x:v>
      </x:c>
      <x:c r="D14" s="17" t="str">
        <x:v>Extrapolation</x:v>
      </x:c>
      <x:c r="E14" s="17" t="str">
        <x:v>P1</x:v>
      </x:c>
      <x:c r="F14" s="7" t="str">
        <x:v>Livrable original proposé : Protections et contrôle.</x:v>
      </x:c>
      <x:c r="G14" s="7" t="str">
        <x:v>Table santé/bouclier/armure, immunités par unité ; l’armure portée de Ryder n’est pas une barre jaune de créature.</x:v>
      </x:c>
      <x:c r="H14" s="7" t="str">
        <x:v>Table santé/bouclier/armure, immunités par unité ; l’armure portée de Ryder n’est pas une barre jaune de créature.</x:v>
      </x:c>
      <x:c r="I14" s="7" t="str">
        <x:v>Barres nommées et aperçu d’effet.</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mea/systems/defenses ; rattacher les ressources et états cités à cet identifiant. Aucun fichier de jeu créé par ce catalogue.</x:v>
      </x:c>
      <x:c r="M14" s="7" t="str"/>
      <x:c r="N14" s="7" t="str">
        <x:v>Le livrable « Protections et contrôle » possède une scène ou un scénario de contrôle ; ses règles proposées, ses conditions et ses retours visuels sont vérifiables séparément.</x:v>
      </x:c>
      <x:c r="O14" s="7" t="str">
        <x:v>MEA-ENM-ANCIENT-EIROCH</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MEA-SYS-COMBOS</x:v>
      </x:c>
      <x:c r="B15" s="9" t="str">
        <x:v>Amorces, détonateurs et propagation</x:v>
      </x:c>
      <x:c r="C15" s="15" t="str">
        <x:v>Défini</x:v>
      </x:c>
      <x:c r="D15" s="16" t="str">
        <x:v>Extrapolation</x:v>
      </x:c>
      <x:c r="E15" s="16" t="str">
        <x:v>P1</x:v>
      </x:c>
      <x:c r="F15" s="9" t="str">
        <x:v>Livrable original proposé : Amorces, détonateurs et propagation.</x:v>
      </x:c>
      <x:c r="G15" s="9" t="str">
        <x:v>Compatibilités définies et nombre de transmissions borné ; les primings du familier et de l’allié ont source affichée.</x:v>
      </x:c>
      <x:c r="H15" s="9" t="str">
        <x:v>Compatibilités définies et nombre de transmissions borné ; les primings du familier et de l’allié ont source affichée.</x:v>
      </x:c>
      <x:c r="I15" s="9" t="str">
        <x:v>Icônes d’amorce et lien de combo.</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mea/systems/combos ; rattacher les ressources et états cités à cet identifiant. Aucun fichier de jeu créé par ce catalogue.</x:v>
      </x:c>
      <x:c r="M15" s="9" t="str"/>
      <x:c r="N15" s="9" t="str">
        <x:v>Le livrable « Amorces, détonateurs et propagation » possède une scène ou un scénario de contrôle ; ses règles proposées, ses conditions et ses retours visuels sont vérifiables séparément.</x:v>
      </x:c>
      <x:c r="O15" s="9" t="str">
        <x:v>MEA-POW-INCINERATE, MEA-POW-LANCE</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MEA-SYS-SCAN</x:v>
      </x:c>
      <x:c r="B16" s="7" t="str">
        <x:v>Scanner et données de recherche</x:v>
      </x:c>
      <x:c r="C16" s="15" t="str">
        <x:v>Défini</x:v>
      </x:c>
      <x:c r="D16" s="17" t="str">
        <x:v>Extrapolation</x:v>
      </x:c>
      <x:c r="E16" s="17" t="str">
        <x:v>P1</x:v>
      </x:c>
      <x:c r="F16" s="7" t="str">
        <x:v>Livrable original proposé : Scanner et données de recherche.</x:v>
      </x:c>
      <x:c r="G16" s="7" t="str">
        <x:v>Cibles de lore, indices de quête et données techniques séparées ; rescan relit mais ne recrée pas récompense.</x:v>
      </x:c>
      <x:c r="H16" s="7" t="str">
        <x:v>Cibles de lore, indices de quête et données techniques séparées ; rescan relit mais ne recrée pas récompense.</x:v>
      </x:c>
      <x:c r="I16" s="7" t="str">
        <x:v>Carte de cible et catégorie de données.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mea/systems/scan ; rattacher les ressources et états cités à cet identifiant. Aucun fichier de jeu créé par ce catalogue.</x:v>
      </x:c>
      <x:c r="M16" s="7" t="str"/>
      <x:c r="N16" s="7" t="str">
        <x:v>Le livrable « Scanner et données de recherche » possède une scène ou un scénario de contrôle ; ses règles proposées, ses conditions et ses retours visuels sont vérifiables séparément.</x:v>
      </x:c>
      <x:c r="O16" s="7" t="str">
        <x:v>MEA-SYS-RESEARCH</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MEA-SYS-RESEARCH</x:v>
      </x:c>
      <x:c r="B17" s="9" t="str">
        <x:v>Recherche puis développement</x:v>
      </x:c>
      <x:c r="C17" s="15" t="str">
        <x:v>Défini</x:v>
      </x:c>
      <x:c r="D17" s="16" t="str">
        <x:v>Extrapolation</x:v>
      </x:c>
      <x:c r="E17" s="16" t="str">
        <x:v>P1</x:v>
      </x:c>
      <x:c r="F17" s="9" t="str">
        <x:v>Livrable original proposé : Recherche puis développement.</x:v>
      </x:c>
      <x:c r="G17" s="9" t="str">
        <x:v>Points Voie lactée/Heleus/Reliquat séparés des matériaux ; plan débloqué ne consomme pas les ressources de fabrication.</x:v>
      </x:c>
      <x:c r="H17" s="9" t="str">
        <x:v>Points Voie lactée/Heleus/Reliquat séparés des matériaux ; plan débloqué ne consomme pas les ressources de fabrication.</x:v>
      </x:c>
      <x:c r="I17" s="9" t="str">
        <x:v>Deux écrans reliés, coûts visibles.</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mea/systems/research ; rattacher les ressources et états cités à cet identifiant. Aucun fichier de jeu créé par ce catalogue.</x:v>
      </x:c>
      <x:c r="M17" s="9" t="str"/>
      <x:c r="N17" s="9" t="str">
        <x:v>Le livrable « Recherche puis développement » possède une scène ou un scénario de contrôle ; ses règles proposées, ses conditions et ses retours visuels sont vérifiables séparément.</x:v>
      </x:c>
      <x:c r="O17" s="9" t="str">
        <x:v>MEA-EQP-AUGMENT</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MEA-SYS-CRAFT</x:v>
      </x:c>
      <x:c r="B18" s="7" t="str">
        <x:v>Fabrication, augmentations et mods</x:v>
      </x:c>
      <x:c r="C18" s="15" t="str">
        <x:v>Défini</x:v>
      </x:c>
      <x:c r="D18" s="17" t="str">
        <x:v>Extrapolation</x:v>
      </x:c>
      <x:c r="E18" s="17" t="str">
        <x:v>P1</x:v>
      </x:c>
      <x:c r="F18" s="7" t="str">
        <x:v>Livrable original proposé : Fabrication, augmentations et mods.</x:v>
      </x:c>
      <x:c r="G18" s="7" t="str">
        <x:v>Augmentations choisies à création, mods équipables ensuite, fusion sur torse compatible ; aperçu global et démontage versionné.</x:v>
      </x:c>
      <x:c r="H18" s="7" t="str">
        <x:v>Augmentations choisies à création, mods équipables ensuite, fusion sur torse compatible ; aperçu global et démontage versionné.</x:v>
      </x:c>
      <x:c r="I18" s="7" t="str">
        <x:v>Recette, emplacements et récapitulatif.</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mea/systems/craft ; rattacher les ressources et états cités à cet identifiant. Aucun fichier de jeu créé par ce catalogue.</x:v>
      </x:c>
      <x:c r="M18" s="7" t="str"/>
      <x:c r="N18" s="7" t="str">
        <x:v>Le livrable « Fabrication, augmentations et mods » possède une scène ou un scénario de contrôle ; ses règles proposées, ses conditions et ses retours visuels sont vérifiables séparément.</x:v>
      </x:c>
      <x:c r="O18" s="7" t="str">
        <x:v>MEA-EQP-FUSION, MEA-EQP-WEAPON-MODS</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MEA-SYS-NOMAD</x:v>
      </x:c>
      <x:c r="B19" s="9" t="str">
        <x:v>Nomad d’exploration</x:v>
      </x:c>
      <x:c r="C19" s="15" t="str">
        <x:v>Défini</x:v>
      </x:c>
      <x:c r="D19" s="16" t="str">
        <x:v>Extrapolation</x:v>
      </x:c>
      <x:c r="E19" s="16" t="str">
        <x:v>P1</x:v>
      </x:c>
      <x:c r="F19" s="9" t="str">
        <x:v>Livrable original proposé : Nomad d’exploration.</x:v>
      </x:c>
      <x:c r="G19" s="9" t="str">
        <x:v>Six roues, modes de traction et boost ; véhicule sans arme ajoutée comme fait canon, transition pied seulement sur sol admissible.</x:v>
      </x:c>
      <x:c r="H19" s="9" t="str">
        <x:v>Six roues, modes de traction et boost ; véhicule sans arme ajoutée comme fait canon, transition pied seulement sur sol admissible.</x:v>
      </x:c>
      <x:c r="I19" s="9" t="str">
        <x:v>HUD de véhicule et état de survie.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mea/systems/nomad ; rattacher les ressources et états cités à cet identifiant. Aucun fichier de jeu créé par ce catalogue.</x:v>
      </x:c>
      <x:c r="M19" s="9" t="str"/>
      <x:c r="N19" s="9" t="str">
        <x:v>Le livrable « Nomad d’exploration » possède une scène ou un scénario de contrôle ; ses règles proposées, ses conditions et ses retours visuels sont vérifiables séparément.</x:v>
      </x:c>
      <x:c r="O19" s="9" t="str">
        <x:v>MEA-EQP-NOMAD-UPGRADES</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MEA-SYS-FORWARD</x:v>
      </x:c>
      <x:c r="B20" s="7" t="str">
        <x:v>Stations avancées et préparation</x:v>
      </x:c>
      <x:c r="C20" s="15" t="str">
        <x:v>Défini</x:v>
      </x:c>
      <x:c r="D20" s="17" t="str">
        <x:v>Extrapolation</x:v>
      </x:c>
      <x:c r="E20" s="17" t="str">
        <x:v>P1</x:v>
      </x:c>
      <x:c r="F20" s="7" t="str">
        <x:v>Livrable original proposé : Stations avancées et préparation.</x:v>
      </x:c>
      <x:c r="G20" s="7" t="str">
        <x:v>Déploiement unique, réapprovisionnement et voyage ; conditions hors combat et dangers testées avant servir de refuge.</x:v>
      </x:c>
      <x:c r="H20" s="7" t="str">
        <x:v>Déploiement unique, réapprovisionnement et voyage ; conditions hors combat et dangers testées avant servir de refuge.</x:v>
      </x:c>
      <x:c r="I20" s="7" t="str">
        <x:v>Balise et menu de services.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mea/systems/forward ; rattacher les ressources et états cités à cet identifiant. Aucun fichier de jeu créé par ce catalogue.</x:v>
      </x:c>
      <x:c r="M20" s="7" t="str"/>
      <x:c r="N20" s="7" t="str">
        <x:v>Le livrable « Stations avancées et préparation » possède une scène ou un scénario de contrôle ; ses règles proposées, ses conditions et ses retours visuels sont vérifiables séparément.</x:v>
      </x:c>
      <x:c r="O20" s="7" t="str">
        <x:v>MEA-SYS-NOMAD</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MEA-SYS-HAZARDS</x:v>
      </x:c>
      <x:c r="B21" s="9" t="str">
        <x:v>Survie environnementale par monde</x:v>
      </x:c>
      <x:c r="C21" s="15" t="str">
        <x:v>Défini</x:v>
      </x:c>
      <x:c r="D21" s="16" t="str">
        <x:v>Extrapolation</x:v>
      </x:c>
      <x:c r="E21" s="16" t="str">
        <x:v>P1</x:v>
      </x:c>
      <x:c r="F21" s="9" t="str">
        <x:v>Livrable original proposé : Survie environnementale par monde.</x:v>
      </x:c>
      <x:c r="G21" s="9" t="str">
        <x:v>Eos radiation, Voeld froid, Elaaden chaleur, Kadara eau dangereuse, H-047c vide ; Havarl n’a pas de jauge de poison ambiant globale inventée.</x:v>
      </x:c>
      <x:c r="H21" s="9" t="str">
        <x:v>Eos radiation, Voeld froid, Elaaden chaleur, Kadara eau dangereuse, H-047c vide ; Havarl n’a pas de jauge de poison ambiant globale inventée.</x:v>
      </x:c>
      <x:c r="I21" s="9" t="str">
        <x:v>Jauge, type et niveau local.</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mea/systems/hazards ; rattacher les ressources et états cités à cet identifiant. Aucun fichier de jeu créé par ce catalogue.</x:v>
      </x:c>
      <x:c r="M21" s="9" t="str"/>
      <x:c r="N21" s="9" t="str">
        <x:v>Le livrable « Survie environnementale par monde » possède une scène ou un scénario de contrôle ; ses règles proposées, ses conditions et ses retours visuels sont vérifiables séparément.</x:v>
      </x:c>
      <x:c r="O21" s="9" t="str">
        <x:v>MEA-WRL-EOS, MEA-WRL-H047C</x:v>
      </x:c>
      <x:c r="P21" s="9" t="str">
        <x:v>Adaptation originale — spécification de production</x:v>
      </x:c>
      <x:c r="Q21" s="9" t="str">
        <x:v>MEA-SRC-HAZARD</x:v>
      </x:c>
      <x:c r="R21" s="9" t="str">
        <x:v>https://masseffect.fandom.com/wiki/Hazard</x:v>
      </x:c>
      <x:c r="S21" s="9" t="str">
        <x:v>Spécification à réaliser. Les champs adaptation, gameplay, visual, animation, audio et implementation décrivent le fan game ; ils ne donnent pas des caractéristiques officielles de l’œuvre.</x:v>
      </x:c>
    </x:row>
    <x:row r="22" ht="68" customHeight="1">
      <x:c r="A22" s="19" t="str">
        <x:v>MEA-SYS-PUZZLES</x:v>
      </x:c>
      <x:c r="B22" s="7" t="str">
        <x:v>Glyphes et décryptage reliquat</x:v>
      </x:c>
      <x:c r="C22" s="15" t="str">
        <x:v>Défini</x:v>
      </x:c>
      <x:c r="D22" s="17" t="str">
        <x:v>Extrapolation</x:v>
      </x:c>
      <x:c r="E22" s="17" t="str">
        <x:v>P1</x:v>
      </x:c>
      <x:c r="F22" s="7" t="str">
        <x:v>Livrable original proposé : Glyphes et décryptage reliquat.</x:v>
      </x:c>
      <x:c r="G22" s="7" t="str">
        <x:v>Grille à contraintes, vérification locale et option d’aide explicite ; symboles jamais réduits à couleurs et solution persistée après chargement.</x:v>
      </x:c>
      <x:c r="H22" s="7" t="str">
        <x:v>Grille à contraintes, vérification locale et option d’aide explicite ; symboles jamais réduits à couleurs et solution persistée après chargement.</x:v>
      </x:c>
      <x:c r="I22" s="7" t="str">
        <x:v>Grille, symboles et règle lisible.</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mea/systems/puzzles ; rattacher les ressources et états cités à cet identifiant. Aucun fichier de jeu créé par ce catalogue.</x:v>
      </x:c>
      <x:c r="M22" s="7" t="str"/>
      <x:c r="N22" s="7" t="str">
        <x:v>Le livrable « Glyphes et décryptage reliquat » possède une scène ou un scénario de contrôle ; ses règles proposées, ses conditions et ses retours visuels sont vérifiables séparément.</x:v>
      </x:c>
      <x:c r="O22" s="7" t="str">
        <x:v>MEA-LOR-REMNANT</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row r="23" ht="68" customHeight="1">
      <x:c r="A23" s="18" t="str">
        <x:v>MEA-SYS-VAULTS</x:v>
      </x:c>
      <x:c r="B23" s="9" t="str">
        <x:v>Caveaux et purification</x:v>
      </x:c>
      <x:c r="C23" s="15" t="str">
        <x:v>Défini</x:v>
      </x:c>
      <x:c r="D23" s="16" t="str">
        <x:v>Extrapolation</x:v>
      </x:c>
      <x:c r="E23" s="16" t="str">
        <x:v>P1</x:v>
      </x:c>
      <x:c r="F23" s="9" t="str">
        <x:v>Livrable original proposé : Caveaux et purification.</x:v>
      </x:c>
      <x:c r="G23" s="9" t="str">
        <x:v>Graphe consoles/portes/énergie, objectif de restauration et course finale ; activer une console ne téléporte pas le groupe hors carte.</x:v>
      </x:c>
      <x:c r="H23" s="9" t="str">
        <x:v>Graphe consoles/portes/énergie, objectif de restauration et course finale ; activer une console ne téléporte pas le groupe hors carte.</x:v>
      </x:c>
      <x:c r="I23" s="9" t="str">
        <x:v>Carte de circuit et voie de sortie.</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mea/systems/vaults ; rattacher les ressources et états cités à cet identifiant. Aucun fichier de jeu créé par ce catalogue.</x:v>
      </x:c>
      <x:c r="M23" s="9" t="str"/>
      <x:c r="N23" s="9" t="str">
        <x:v>Le livrable « Caveaux et purification » possède une scène ou un scénario de contrôle ; ses règles proposées, ses conditions et ses retours visuels sont vérifiables séparément.</x:v>
      </x:c>
      <x:c r="O23" s="9" t="str">
        <x:v>MEA-LOR-VAULTS</x:v>
      </x:c>
      <x:c r="P23" s="9" t="str">
        <x:v>Adaptation originale — spécification de production</x:v>
      </x:c>
      <x:c r="Q23" s="9" t="str"/>
      <x:c r="R23" s="9" t="str"/>
      <x:c r="S23" s="9" t="str">
        <x:v>Spécification à réaliser. Les champs adaptation, gameplay, visual, animation, audio et implementation décrivent le fan game ; ils ne donnent pas des caractéristiques officielles de l’œuvre.</x:v>
      </x:c>
    </x:row>
    <x:row r="24" ht="68" customHeight="1">
      <x:c r="A24" s="19" t="str">
        <x:v>MEA-SYS-VIABILITY</x:v>
      </x:c>
      <x:c r="B24" s="7" t="str">
        <x:v>Viabilité et implantation</x:v>
      </x:c>
      <x:c r="C24" s="15" t="str">
        <x:v>Défini</x:v>
      </x:c>
      <x:c r="D24" s="17" t="str">
        <x:v>Extrapolation</x:v>
      </x:c>
      <x:c r="E24" s="17" t="str">
        <x:v>P1</x:v>
      </x:c>
      <x:c r="F24" s="7" t="str">
        <x:v>Livrable original proposé : Viabilité et implantation.</x:v>
      </x:c>
      <x:c r="G24" s="7" t="str">
        <x:v>Score d’exploration distinct de caveau, négociation et fondation ; toutes contributions indiquent provenance et ne se comptent qu’une fois.</x:v>
      </x:c>
      <x:c r="H24" s="7" t="str">
        <x:v>Score d’exploration distinct de caveau, négociation et fondation ; toutes contributions indiquent provenance et ne se comptent qu’une fois.</x:v>
      </x:c>
      <x:c r="I24" s="7" t="str">
        <x:v>Tableau planétaire et critères d’avant-poste.</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mea/systems/viability ; rattacher les ressources et états cités à cet identifiant. Aucun fichier de jeu créé par ce catalogue.</x:v>
      </x:c>
      <x:c r="M24" s="7" t="str"/>
      <x:c r="N24" s="7" t="str">
        <x:v>Le livrable « Viabilité et implantation » possède une scène ou un scénario de contrôle ; ses règles proposées, ses conditions et ses retours visuels sont vérifiables séparément.</x:v>
      </x:c>
      <x:c r="O24" s="7" t="str">
        <x:v>MEA-CHO-RESTORE</x:v>
      </x:c>
      <x:c r="P24" s="7" t="str">
        <x:v>Adaptation originale — spécification de production</x:v>
      </x:c>
      <x:c r="Q24" s="7" t="str"/>
      <x:c r="R24" s="7" t="str"/>
      <x:c r="S24" s="7" t="str">
        <x:v>Spécification à réaliser. Les champs adaptation, gameplay, visual, animation, audio et implementation décrivent le fan game ; ils ne donnent pas des caractéristiques officielles de l’œuvre.</x:v>
      </x:c>
    </x:row>
    <x:row r="25" ht="68" customHeight="1">
      <x:c r="A25" s="18" t="str">
        <x:v>MEA-SYS-AVP</x:v>
      </x:c>
      <x:c r="B25" s="9" t="str">
        <x:v>AVP et réveil des spécialistes</x:v>
      </x:c>
      <x:c r="C25" s="15" t="str">
        <x:v>Défini</x:v>
      </x:c>
      <x:c r="D25" s="16" t="str">
        <x:v>Extrapolation</x:v>
      </x:c>
      <x:c r="E25" s="16" t="str">
        <x:v>P1</x:v>
      </x:c>
      <x:c r="F25" s="9" t="str">
        <x:v>Livrable original proposé : AVP et réveil des spécialistes.</x:v>
      </x:c>
      <x:c r="G25" s="9" t="str">
        <x:v>Points globaux, catégorie de spécialiste et bonus proposés séparés ; pas de membre de squad généré par sélection d’un perk.</x:v>
      </x:c>
      <x:c r="H25" s="9" t="str">
        <x:v>Points globaux, catégorie de spécialiste et bonus proposés séparés ; pas de membre de squad généré par sélection d’un perk.</x:v>
      </x:c>
      <x:c r="I25" s="9" t="str">
        <x:v>Pods et liste de spécialistes.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mea/systems/avp ; rattacher les ressources et états cités à cet identifiant. Aucun fichier de jeu créé par ce catalogue.</x:v>
      </x:c>
      <x:c r="M25" s="9" t="str"/>
      <x:c r="N25" s="9" t="str">
        <x:v>Le livrable « AVP et réveil des spécialistes » possède une scène ou un scénario de contrôle ; ses règles proposées, ses conditions et ses retours visuels sont vérifiables séparément.</x:v>
      </x:c>
      <x:c r="O25" s="9" t="str">
        <x:v>MEA-MQ-AVP</x:v>
      </x:c>
      <x:c r="P25" s="9" t="str">
        <x:v>Adaptation originale — spécification de production</x:v>
      </x:c>
      <x:c r="Q25" s="9" t="str"/>
      <x:c r="R25" s="9" t="str"/>
      <x:c r="S25" s="9" t="str">
        <x:v>Spécification à réaliser. Les champs adaptation, gameplay, visual, animation, audio et implementation décrivent le fan game ; ils ne donnent pas des caractéristiques officielles de l’œuvre.</x:v>
      </x:c>
    </x:row>
    <x:row r="26" ht="68" customHeight="1">
      <x:c r="A26" s="19" t="str">
        <x:v>MEA-SYS-JOURNAL</x:v>
      </x:c>
      <x:c r="B26" s="7" t="str">
        <x:v>Journal à catégories conditionnelles</x:v>
      </x:c>
      <x:c r="C26" s="15" t="str">
        <x:v>Défini</x:v>
      </x:c>
      <x:c r="D26" s="17" t="str">
        <x:v>Extrapolation</x:v>
      </x:c>
      <x:c r="E26" s="17" t="str">
        <x:v>P1</x:v>
      </x:c>
      <x:c r="F26" s="7" t="str">
        <x:v>Livrable original proposé : Journal à catégories conditionnelles.</x:v>
      </x:c>
      <x:c r="G26" s="7" t="str">
        <x:v>Priority Ops, Allies and Relationships, Heleus Assignments, Additional Tasks ; même mission Havarl/Voeld conserve ID malgré changement de catégorie.</x:v>
      </x:c>
      <x:c r="H26" s="7" t="str">
        <x:v>Priority Ops, Allies and Relationships, Heleus Assignments, Additional Tasks ; même mission Havarl/Voeld conserve ID malgré changement de catégorie.</x:v>
      </x:c>
      <x:c r="I26" s="7" t="str">
        <x:v>Filtres, étapes et état En attente.</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mea/systems/journal ; rattacher les ressources et états cités à cet identifiant. Aucun fichier de jeu créé par ce catalogue.</x:v>
      </x:c>
      <x:c r="M26" s="7" t="str"/>
      <x:c r="N26" s="7" t="str">
        <x:v>Le livrable « Journal à catégories conditionnelles » possède une scène ou un scénario de contrôle ; ses règles proposées, ses conditions et ses retours visuels sont vérifiables séparément.</x:v>
      </x:c>
      <x:c r="O26" s="7" t="str">
        <x:v>MEA-MQ-RESISTANCE, MEA-MQ-HAVARL</x:v>
      </x:c>
      <x:c r="P26" s="7" t="str">
        <x:v>Adaptation originale — spécification de production</x:v>
      </x:c>
      <x:c r="Q26" s="7" t="str"/>
      <x:c r="R26" s="7" t="str"/>
      <x:c r="S26" s="7" t="str">
        <x:v>Spécification à réaliser. Les champs adaptation, gameplay, visual, animation, audio et implementation décrivent le fan game ; ils ne donnent pas des caractéristiques officielles de l’œuvre.</x:v>
      </x:c>
    </x:row>
    <x:row r="27" ht="68" customHeight="1">
      <x:c r="A27" s="18" t="str">
        <x:v>MEA-SYS-RELATIONS</x:v>
      </x:c>
      <x:c r="B27" s="9" t="str">
        <x:v>Relations et version de dialogue</x:v>
      </x:c>
      <x:c r="C27" s="15" t="str">
        <x:v>Défini</x:v>
      </x:c>
      <x:c r="D27" s="16" t="str">
        <x:v>Extrapolation</x:v>
      </x:c>
      <x:c r="E27" s="16" t="str">
        <x:v>P1</x:v>
      </x:c>
      <x:c r="F27" s="9" t="str">
        <x:v>Livrable original proposé : Relations et version de dialogue.</x:v>
      </x:c>
      <x:c r="G27" s="9" t="str">
        <x:v>Partenaire, Ryder, patch, exclusivité et scène vue ont variables séparées ; table 1.08 traite Jaal/Scott sans réécrire arbitrairement tous les partenaires.</x:v>
      </x:c>
      <x:c r="H27" s="9" t="str">
        <x:v>Partenaire, Ryder, patch, exclusivité et scène vue ont variables séparées ; table 1.08 traite Jaal/Scott sans réécrire arbitrairement tous les partenaires.</x:v>
      </x:c>
      <x:c r="I27" s="9" t="str">
        <x:v>Fiche de relation et message d’engagement.</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mea/systems/relations ; rattacher les ressources et états cités à cet identifiant. Aucun fichier de jeu créé par ce catalogue.</x:v>
      </x:c>
      <x:c r="M27" s="9" t="str"/>
      <x:c r="N27" s="9" t="str">
        <x:v>Le livrable « Relations et version de dialogue » possède une scène ou un scénario de contrôle ; ses règles proposées, ses conditions et ses retours visuels sont vérifiables séparément.</x:v>
      </x:c>
      <x:c r="O27" s="9" t="str">
        <x:v>MEA-CHO-ROMANCE</x:v>
      </x:c>
      <x:c r="P27" s="9" t="str">
        <x:v>Adaptation originale — spécification de production</x:v>
      </x:c>
      <x:c r="Q27" s="9" t="str">
        <x:v>MEA-SRC-ROMANCE, MEA-SRC-BW-108</x:v>
      </x:c>
      <x:c r="R27" s="9" t="str">
        <x:v>https://masseffect.fandom.com/wiki/Romance_%28Mass_Effect%3A_Andromeda%29
https://blog.bioware.com/2017/06/06/mass-effect-andromeda-patch-1-08-notes/</x:v>
      </x:c>
      <x:c r="S27" s="9" t="str">
        <x:v>Spécification à réaliser. Les champs adaptation, gameplay, visual, animation, audio et implementation décrivent le fan game ; ils ne donnent pas des caractéristiques officielles de l’œuvre.</x:v>
      </x:c>
    </x:row>
    <x:row r="28" ht="68" customHeight="1">
      <x:c r="A28" s="19" t="str">
        <x:v>MEA-SYS-STRIKE</x:v>
      </x:c>
      <x:c r="B28" s="7" t="str">
        <x:v>Strike Teams et missions APEX</x:v>
      </x:c>
      <x:c r="C28" s="15" t="str">
        <x:v>Défini</x:v>
      </x:c>
      <x:c r="D28" s="17" t="str">
        <x:v>Extrapolation</x:v>
      </x:c>
      <x:c r="E28" s="17" t="str">
        <x:v>P1</x:v>
      </x:c>
      <x:c r="F28" s="7" t="str">
        <x:v>Livrable original proposé : Strike Teams et missions APEX.</x:v>
      </x:c>
      <x:c r="G28" s="7" t="str">
        <x:v>Envoyer équipe abstraite ou choisir mission coop admissible ; services multi facultatifs et récompenses réclamées une seule fois.</x:v>
      </x:c>
      <x:c r="H28" s="7" t="str">
        <x:v>Envoyer équipe abstraite ou choisir mission coop admissible ; services multi facultatifs et récompenses réclamées une seule fois.</x:v>
      </x:c>
      <x:c r="I28" s="7" t="str">
        <x:v>Table des équipes et rapport de mission.</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mea/systems/strike ; rattacher les ressources et états cités à cet identifiant. Aucun fichier de jeu créé par ce catalogue.</x:v>
      </x:c>
      <x:c r="M28" s="7" t="str"/>
      <x:c r="N28" s="7" t="str">
        <x:v>Le livrable « Strike Teams et missions APEX » possède une scène ou un scénario de contrôle ; ses règles proposées, ses conditions et ses retours visuels sont vérifiables séparément.</x:v>
      </x:c>
      <x:c r="O28" s="7" t="str">
        <x:v>MEA-MQ-FIRST-STRIKE</x:v>
      </x:c>
      <x:c r="P28" s="7" t="str">
        <x:v>Adaptation originale — spécification de production</x:v>
      </x:c>
      <x:c r="Q28" s="7" t="str">
        <x:v>MEA-SRC-MP, MEA-SRC-MANUAL</x:v>
      </x:c>
      <x:c r="R28" s="7" t="str">
        <x:v>https://masseffect.fandom.com/wiki/Mass_Effect%3A_Andromeda_Multiplayer
https://eaassets-a.akamaihd.net/eahelp/manuals/mass-effect-andromeda-pc-en.pdf</x:v>
      </x:c>
      <x:c r="S28" s="7" t="str">
        <x:v>Spécification à réaliser. Les champs adaptation, gameplay, visual, animation, audio et implementation décrivent le fan game ; ils ne donnent pas des caractéristiques officielles de l’œuvre.</x:v>
      </x:c>
    </x:row>
    <x:row r="29" ht="68" customHeight="1">
      <x:c r="A29" s="18" t="str">
        <x:v>MEA-SYS-MP-ROSTER</x:v>
      </x:c>
      <x:c r="B29" s="9" t="str">
        <x:v>Roster et progression multijoueurs</x:v>
      </x:c>
      <x:c r="C29" s="15" t="str">
        <x:v>Défini</x:v>
      </x:c>
      <x:c r="D29" s="16" t="str">
        <x:v>Extrapolation</x:v>
      </x:c>
      <x:c r="E29" s="16" t="str">
        <x:v>P1</x:v>
      </x:c>
      <x:c r="F29" s="9" t="str">
        <x:v>Livrable original proposé : Roster et progression multijoueurs.</x:v>
      </x:c>
      <x:c r="G29" s="9" t="str">
        <x:v>Classes spécifiques, équipements, Prestige et Veteran Bonus restent dans sauvegarde multi ; pas de rang vétéran ajouté au build solo de Ryder.</x:v>
      </x:c>
      <x:c r="H29" s="9" t="str">
        <x:v>Classes spécifiques, équipements, Prestige et Veteran Bonus restent dans sauvegarde multi ; pas de rang vétéran ajouté au build solo de Ryder.</x:v>
      </x:c>
      <x:c r="I29" s="9" t="str">
        <x:v>Sélecteur de classe et badge APEX.</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mea/systems/mp-roster ; rattacher les ressources et états cités à cet identifiant. Aucun fichier de jeu créé par ce catalogue.</x:v>
      </x:c>
      <x:c r="M29" s="9" t="str">
        <x:v>Multijoueur uniquement.</x:v>
      </x:c>
      <x:c r="N29" s="9" t="str">
        <x:v>Le livrable « Roster et progression multijoueurs » possède une scène ou un scénario de contrôle ; ses règles proposées, ses conditions et ses retours visuels sont vérifiables séparément.</x:v>
      </x:c>
      <x:c r="O29" s="9" t="str">
        <x:v>MEA-CHR-MP-HUMAN-KINETICIST</x:v>
      </x:c>
      <x:c r="P29" s="9" t="str">
        <x:v>Adaptation originale — spécification de production</x:v>
      </x:c>
      <x:c r="Q29" s="9" t="str">
        <x:v>MEA-SRC-MP, MEA-SRC-MANUAL</x:v>
      </x:c>
      <x:c r="R29" s="9" t="str">
        <x:v>https://masseffect.fandom.com/wiki/Mass_Effect%3A_Andromeda_Multiplayer
https://eaassets-a.akamaihd.net/eahelp/manuals/mass-effect-andromeda-pc-en.pdf</x:v>
      </x:c>
      <x:c r="S29" s="9" t="str">
        <x:v>Spécification à réaliser. Les champs adaptation, gameplay, visual, animation, audio et implementation décrivent le fan game ; ils ne donnent pas des caractéristiques officielles de l’œuvre.</x:v>
      </x:c>
    </x:row>
    <x:row r="30" ht="68" customHeight="1">
      <x:c r="A30" s="19" t="str">
        <x:v>MEA-SYS-MP-WAVES</x:v>
      </x:c>
      <x:c r="B30" s="7" t="str">
        <x:v>Coopératif à vagues</x:v>
      </x:c>
      <x:c r="C30" s="15" t="str">
        <x:v>Défini</x:v>
      </x:c>
      <x:c r="D30" s="17" t="str">
        <x:v>Extrapolation</x:v>
      </x:c>
      <x:c r="E30" s="17" t="str">
        <x:v>P1</x:v>
      </x:c>
      <x:c r="F30" s="7" t="str">
        <x:v>Livrable original proposé : Coopératif à vagues.</x:v>
      </x:c>
      <x:c r="G30" s="7" t="str">
        <x:v>Objectifs, réanimation et extraction ; synchronisation ATB coop est une adaptation expérimentale à spécifier, aucune promesse réseau déjà développée.</x:v>
      </x:c>
      <x:c r="H30" s="7" t="str">
        <x:v>Objectifs, réanimation et extraction ; synchronisation ATB coop est une adaptation expérimentale à spécifier, aucune promesse réseau déjà développée.</x:v>
      </x:c>
      <x:c r="I30" s="7" t="str">
        <x:v>Quatre portraits et phase de vague.</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mea/systems/mp-waves ; rattacher les ressources et états cités à cet identifiant. Aucun fichier de jeu créé par ce catalogue.</x:v>
      </x:c>
      <x:c r="M30" s="7" t="str">
        <x:v>Multijoueur uniquement.</x:v>
      </x:c>
      <x:c r="N30" s="7" t="str">
        <x:v>Le livrable « Coopératif à vagues » possède une scène ou un scénario de contrôle ; ses règles proposées, ses conditions et ses retours visuels sont vérifiables séparément.</x:v>
      </x:c>
      <x:c r="O30" s="7" t="str">
        <x:v>MEA-ZON-MP-ZERO</x:v>
      </x:c>
      <x:c r="P30" s="7" t="str">
        <x:v>Adaptation originale — spécification de production</x:v>
      </x:c>
      <x:c r="Q30" s="7" t="str">
        <x:v>MEA-SRC-MP, MEA-SRC-MANUAL</x:v>
      </x:c>
      <x:c r="R30" s="7" t="str">
        <x:v>https://masseffect.fandom.com/wiki/Mass_Effect%3A_Andromeda_Multiplayer
https://eaassets-a.akamaihd.net/eahelp/manuals/mass-effect-andromeda-pc-en.pdf</x:v>
      </x:c>
      <x:c r="S30" s="7" t="str">
        <x:v>Spécification à réaliser. Les champs adaptation, gameplay, visual, animation, audio et implementation décrivent le fan game ; ils ne donnent pas des caractéristiques officielles de l’œuvre.</x:v>
      </x:c>
    </x:row>
    <x:row r="31" ht="68" customHeight="1">
      <x:c r="A31" s="18" t="str">
        <x:v>MEA-SYS-MP-SKILLS</x:v>
      </x:c>
      <x:c r="B31" s="9" t="str">
        <x:v>Compétences propres au multijoueur</x:v>
      </x:c>
      <x:c r="C31" s="15" t="str">
        <x:v>Défini</x:v>
      </x:c>
      <x:c r="D31" s="16" t="str">
        <x:v>Extrapolation</x:v>
      </x:c>
      <x:c r="E31" s="16" t="str">
        <x:v>P1</x:v>
      </x:c>
      <x:c r="F31" s="9" t="str">
        <x:v>Livrable original proposé : Compétences propres au multijoueur.</x:v>
      </x:c>
      <x:c r="G31" s="9" t="str">
        <x:v>Warp, Tech Armor, Stealth Grid et autres options vérifiées au roster ; aucune importation automatique dans les 36 compétences solo.</x:v>
      </x:c>
      <x:c r="H31" s="9" t="str">
        <x:v>Warp, Tech Armor, Stealth Grid et autres options vérifiées au roster ; aucune importation automatique dans les 36 compétences solo.</x:v>
      </x:c>
      <x:c r="I31" s="9" t="str">
        <x:v>Badge multi sur fiche de compétence.</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mea/systems/mp-skills ; rattacher les ressources et états cités à cet identifiant. Aucun fichier de jeu créé par ce catalogue.</x:v>
      </x:c>
      <x:c r="M31" s="9" t="str">
        <x:v>Multijoueur uniquement.</x:v>
      </x:c>
      <x:c r="N31" s="9" t="str">
        <x:v>Le livrable « Compétences propres au multijoueur » possède une scène ou un scénario de contrôle ; ses règles proposées, ses conditions et ses retours visuels sont vérifiables séparément.</x:v>
      </x:c>
      <x:c r="O31" s="9" t="str">
        <x:v>MEA-SYS-MP-ROSTER</x:v>
      </x:c>
      <x:c r="P31" s="9" t="str">
        <x:v>Adaptation originale — spécification de production</x:v>
      </x:c>
      <x:c r="Q31" s="9" t="str">
        <x:v>MEA-SRC-MP, MEA-SRC-MANUAL</x:v>
      </x:c>
      <x:c r="R31" s="9" t="str">
        <x:v>https://masseffect.fandom.com/wiki/Mass_Effect%3A_Andromeda_Multiplayer
https://eaassets-a.akamaihd.net/eahelp/manuals/mass-effect-andromeda-pc-en.pdf</x:v>
      </x:c>
      <x:c r="S31" s="9" t="str">
        <x:v>Spécification à réaliser. Les champs adaptation, gameplay, visual, animation, audio et implementation décrivent le fan game ; ils ne donnent pas des caractéristiques officielles de l’œuvre.</x:v>
      </x:c>
    </x:row>
    <x:row r="32" ht="68" customHeight="1">
      <x:c r="A32" s="19" t="str">
        <x:v>MEA-SYS-SAVE</x:v>
      </x:c>
      <x:c r="B32" s="7" t="str">
        <x:v>Sauvegardes et grands choix</x:v>
      </x:c>
      <x:c r="C32" s="15" t="str">
        <x:v>Défini</x:v>
      </x:c>
      <x:c r="D32" s="17" t="str">
        <x:v>Extrapolation</x:v>
      </x:c>
      <x:c r="E32" s="17" t="str">
        <x:v>P1</x:v>
      </x:c>
      <x:c r="F32" s="7" t="str">
        <x:v>Livrable original proposé : Sauvegardes et grands choix.</x:v>
      </x:c>
      <x:c r="G32" s="7" t="str">
        <x:v>Snapshots avant loyauté, choix de secours et final proposés ; progression de terrain, mutations de décor et inventaire atomiques.</x:v>
      </x:c>
      <x:c r="H32" s="7" t="str">
        <x:v>Snapshots avant loyauté, choix de secours et final proposés ; progression de terrain, mutations de décor et inventaire atomiques.</x:v>
      </x:c>
      <x:c r="I32" s="7" t="str">
        <x:v>Emplacements nommés et résumé d’état.</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mea/systems/save ; rattacher les ressources et états cités à cet identifiant. Aucun fichier de jeu créé par ce catalogue.</x:v>
      </x:c>
      <x:c r="M32" s="7" t="str"/>
      <x:c r="N32" s="7" t="str">
        <x:v>Le livrable « Sauvegardes et grands choix » possède une scène ou un scénario de contrôle ; ses règles proposées, ses conditions et ses retours visuels sont vérifiables séparément.</x:v>
      </x:c>
      <x:c r="O32" s="7" t="str">
        <x:v>MEA-CHO-RAEKA, MEA-CHO-DUNN</x:v>
      </x:c>
      <x:c r="P32" s="7" t="str">
        <x:v>Adaptation originale — spécification de production</x:v>
      </x:c>
      <x:c r="Q32" s="7" t="str"/>
      <x:c r="R32" s="7" t="str"/>
      <x:c r="S32" s="7" t="str">
        <x:v>Spécification à réaliser. Les champs adaptation, gameplay, visual, animation, audio et implementation décrivent le fan game ; ils ne donnent pas des caractéristiques officielles de l’œuvre.</x:v>
      </x:c>
    </x:row>
    <x:row r="33" ht="68" customHeight="1">
      <x:c r="A33" s="18" t="str">
        <x:v>MEA-SYS-ACCESS</x:v>
      </x:c>
      <x:c r="B33" s="9" t="str">
        <x:v>Options d’accès</x:v>
      </x:c>
      <x:c r="C33" s="15" t="str">
        <x:v>Défini</x:v>
      </x:c>
      <x:c r="D33" s="16" t="str">
        <x:v>Extrapolation</x:v>
      </x:c>
      <x:c r="E33" s="16" t="str">
        <x:v>P1</x:v>
      </x:c>
      <x:c r="F33" s="9" t="str">
        <x:v>Livrable original proposé : Options d’accès.</x:v>
      </x:c>
      <x:c r="G33" s="9" t="str">
        <x:v>Sous-titres, texte d’indices, formes de danger, maintien/toggle et réduction de mouvement ; fenêtres d’interruption non chronométrées proposées.</x:v>
      </x:c>
      <x:c r="H33" s="9" t="str">
        <x:v>Sous-titres, texte d’indices, formes de danger, maintien/toggle et réduction de mouvement ; fenêtres d’interruption non chronométrées proposées.</x:v>
      </x:c>
      <x:c r="I33" s="9" t="str">
        <x:v>Panneau de réglages avec démonstrations.</x:v>
      </x:c>
      <x:c r="J33" s="9" t="str">
        <x:v>Transitions de caméra et d’interface interruptibles ; aucun délai d’animation ne doit consommer une décision encore ouverte.</x:v>
      </x:c>
      <x:c r="K33" s="9" t="str">
        <x:v>Créer des bruitages et ambiances originaux adaptés au livrable ; sous-titrer les indices utiles et proposer un réglage indépendant des effets. Aucune extraction audio demandée.</x:v>
      </x:c>
      <x:c r="L33" s="9" t="str">
        <x:v>Prévu : fiche de données mea/systems/access ; rattacher les ressources et états cités à cet identifiant. Aucun fichier de jeu créé par ce catalogue.</x:v>
      </x:c>
      <x:c r="M33" s="9" t="str"/>
      <x:c r="N33" s="9" t="str">
        <x:v>Le livrable « Options d’accès » possède une scène ou un scénario de contrôle ; ses règles proposées, ses conditions et ses retours visuels sont vérifiables séparément.</x:v>
      </x:c>
      <x:c r="O33" s="9" t="str">
        <x:v>MEA-CHO-KALINDA</x:v>
      </x:c>
      <x:c r="P33" s="9" t="str">
        <x:v>Adaptation originale — spécification de production</x:v>
      </x:c>
      <x:c r="Q33" s="9" t="str"/>
      <x:c r="R33" s="9" t="str"/>
      <x:c r="S33" s="9" t="str">
        <x:v>Spécification à réaliser. Les champs adaptation, gameplay, visual, animation, audio et implementation décrivent le fan game ; ils ne donnent pas des caractéristiques officielles de l’œuvre.</x:v>
      </x:c>
    </x:row>
  </x:sheetData>
  <x:conditionalFormatting sqref="D7:D33">
    <x:cfRule type="cellIs" dxfId="92" priority="1" operator="equal">
      <x:formula>"À vérifier"</x:formula>
    </x:cfRule>
    <x:cfRule type="cellIs" dxfId="93" priority="2" operator="equal">
      <x:formula>"Extrapolation"</x:formula>
    </x:cfRule>
  </x:conditionalFormatting>
  <x:conditionalFormatting sqref="C7:C33">
    <x:cfRule type="cellIs" dxfId="94" priority="3" operator="equal">
      <x:formula>"Validé"</x:formula>
    </x:cfRule>
  </x:conditionalFormatting>
  <x:conditionalFormatting sqref="E7:E33">
    <x:cfRule type="cellIs" dxfId="95" priority="4" operator="equal">
      <x:formula>"P0"</x:formula>
    </x:cfRule>
  </x:conditionalFormatting>
  <x:dataValidations count="3">
    <x:dataValidation type="list" sqref="C7:C33">
      <x:formula1>"Défini,Prototype,Intégré,Validé"</x:formula1>
    </x:dataValidation>
    <x:dataValidation type="list" sqref="D7:D33">
      <x:formula1>"Établi,À vérifier,Extrapolation,Coupé attesté,Concept abandonné,Allégation écartée"</x:formula1>
    </x:dataValidation>
    <x:dataValidation type="list" sqref="E7:E33">
      <x:formula1>"P0,P1,P2"</x:formula1>
    </x:dataValidation>
  </x:dataValidations>
  <x:pageMargins left="0.7" right="0.7" top="0.75" bottom="0.75" header="0.3" footer="0.3"/>
  <x:tableParts count="1">
    <x:tablePart xmlns:r="http://schemas.openxmlformats.org/officeDocument/2006/relationships" r:id="R4677449fddb94490"/>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Andromeda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MEA-QA-RYDER</x:v>
      </x:c>
      <x:c r="B7" s="9" t="str">
        <x:v>QA — identité des jumeaux</x:v>
      </x:c>
      <x:c r="C7" s="15" t="str">
        <x:v>Défini</x:v>
      </x:c>
      <x:c r="D7" s="16" t="str">
        <x:v>Extrapolation</x:v>
      </x:c>
      <x:c r="E7" s="16" t="str">
        <x:v>P1</x:v>
      </x:c>
      <x:c r="F7" s="9" t="str">
        <x:v>Livrable original proposé : QA — identité des jumeaux.</x:v>
      </x:c>
      <x:c r="G7" s="9" t="str">
        <x:v>Tester Sara et Scott, apparences personnalisées et relais final ; portraits, noms, voix et retour au protagoniste cohérents.</x:v>
      </x:c>
      <x:c r="H7" s="9" t="str">
        <x:v>Tester Sara et Scott, apparences personnalisées et relais final ; portraits, noms, voix et retour au protagoniste cohérents.</x:v>
      </x:c>
      <x:c r="I7" s="9" t="str">
        <x:v>Deux parcours de sauvegarde.</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mea/qa/ryder ; rattacher les ressources et états cités à cet identifiant. Aucun fichier de jeu créé par ce catalogue.</x:v>
      </x:c>
      <x:c r="M7" s="9" t="str"/>
      <x:c r="N7" s="9" t="str">
        <x:v>Le livrable « QA — identité des jumeaux » possède une scène ou un scénario de contrôle ; ses règles proposées, ses conditions et ses retours visuels sont vérifiables séparément.</x:v>
      </x:c>
      <x:c r="O7" s="9" t="str">
        <x:v>MEA-CHO-RYDER</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MEA-QA-ORDER</x:v>
      </x:c>
      <x:c r="B8" s="7" t="str">
        <x:v>QA — ordre Havarl/Voeld</x:v>
      </x:c>
      <x:c r="C8" s="15" t="str">
        <x:v>Défini</x:v>
      </x:c>
      <x:c r="D8" s="17" t="str">
        <x:v>Extrapolation</x:v>
      </x:c>
      <x:c r="E8" s="17" t="str">
        <x:v>P1</x:v>
      </x:c>
      <x:c r="F8" s="7" t="str">
        <x:v>Livrable original proposé : QA — ordre Havarl/Voeld.</x:v>
      </x:c>
      <x:c r="G8" s="7" t="str">
        <x:v>Jouer chaque ordre, puis parcours partiellement engagé ; mission possède un seul état et la bonne catégorie, jamais deux récompenses ni blocage de A Trail of Hope.</x:v>
      </x:c>
      <x:c r="H8" s="7" t="str">
        <x:v>Jouer chaque ordre, puis parcours partiellement engagé ; mission possède un seul état et la bonne catégorie, jamais deux récompenses ni blocage de A Trail of Hope.</x:v>
      </x:c>
      <x:c r="I8" s="7" t="str">
        <x:v>Table de missions et journal comparé.</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mea/qa/order ; rattacher les ressources et états cités à cet identifiant. Aucun fichier de jeu créé par ce catalogue.</x:v>
      </x:c>
      <x:c r="M8" s="7" t="str"/>
      <x:c r="N8" s="7" t="str">
        <x:v>Le livrable « QA — ordre Havarl/Voeld » possède une scène ou un scénario de contrôle ; ses règles proposées, ses conditions et ses retours visuels sont vérifiables séparément.</x:v>
      </x:c>
      <x:c r="O8" s="7" t="str">
        <x:v>MEA-SYS-JOURNAL</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MEA-QA-EOS</x:v>
      </x:c>
      <x:c r="B9" s="9" t="str">
        <x:v>QA — première implantation</x:v>
      </x:c>
      <x:c r="C9" s="15" t="str">
        <x:v>Défini</x:v>
      </x:c>
      <x:c r="D9" s="16" t="str">
        <x:v>Extrapolation</x:v>
      </x:c>
      <x:c r="E9" s="16" t="str">
        <x:v>P1</x:v>
      </x:c>
      <x:c r="F9" s="9" t="str">
        <x:v>Livrable original proposé : QA — première implantation.</x:v>
      </x:c>
      <x:c r="G9" s="9" t="str">
        <x:v>Tester monolithes dans ordres différents, sauvegarde dans caveau, restauration puis chaque type d’avant-poste ; Prodromos reflète le choix après retour.</x:v>
      </x:c>
      <x:c r="H9" s="9" t="str">
        <x:v>Tester monolithes dans ordres différents, sauvegarde dans caveau, restauration puis chaque type d’avant-poste ; Prodromos reflète le choix après retour.</x:v>
      </x:c>
      <x:c r="I9" s="9" t="str">
        <x:v>Carte et versions de colonie.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mea/qa/eos ; rattacher les ressources et états cités à cet identifiant. Aucun fichier de jeu créé par ce catalogue.</x:v>
      </x:c>
      <x:c r="M9" s="9" t="str"/>
      <x:c r="N9" s="9" t="str">
        <x:v>Le livrable « QA — première implantation » possède une scène ou un scénario de contrôle ; ses règles proposées, ses conditions et ses retours visuels sont vérifiables séparément.</x:v>
      </x:c>
      <x:c r="O9" s="9" t="str">
        <x:v>MEA-MQ-EOS, MEA-CHO-EOS</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MEA-QA-VAULTS</x:v>
      </x:c>
      <x:c r="B10" s="7" t="str">
        <x:v>QA — caveaux et purification</x:v>
      </x:c>
      <x:c r="C10" s="15" t="str">
        <x:v>Défini</x:v>
      </x:c>
      <x:c r="D10" s="17" t="str">
        <x:v>Extrapolation</x:v>
      </x:c>
      <x:c r="E10" s="17" t="str">
        <x:v>P1</x:v>
      </x:c>
      <x:c r="F10" s="7" t="str">
        <x:v>Livrable original proposé : QA — caveaux et purification.</x:v>
      </x:c>
      <x:c r="G10" s="7" t="str">
        <x:v>Pour chaque monde : alimentation, grille, portes, cache optionnelle et fuite ; un groupe retardataire suit sans rester condamné derrière porte fermée.</x:v>
      </x:c>
      <x:c r="H10" s="7" t="str">
        <x:v>Pour chaque monde : alimentation, grille, portes, cache optionnelle et fuite ; un groupe retardataire suit sans rester condamné derrière porte fermée.</x:v>
      </x:c>
      <x:c r="I10" s="7" t="str">
        <x:v>Parcours par caveau et route de sortie.</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mea/qa/vaults ; rattacher les ressources et états cités à cet identifiant. Aucun fichier de jeu créé par ce catalogue.</x:v>
      </x:c>
      <x:c r="M10" s="7" t="str"/>
      <x:c r="N10" s="7" t="str">
        <x:v>Le livrable « QA — caveaux et purification » possède une scène ou un scénario de contrôle ; ses règles proposées, ses conditions et ses retours visuels sont vérifiables séparément.</x:v>
      </x:c>
      <x:c r="O10" s="7" t="str">
        <x:v>MEA-SYS-VAULTS</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MEA-QA-HAZARD</x:v>
      </x:c>
      <x:c r="B11" s="9" t="str">
        <x:v>QA — dangers locaux</x:v>
      </x:c>
      <x:c r="C11" s="15" t="str">
        <x:v>Défini</x:v>
      </x:c>
      <x:c r="D11" s="16" t="str">
        <x:v>Extrapolation</x:v>
      </x:c>
      <x:c r="E11" s="16" t="str">
        <x:v>P1</x:v>
      </x:c>
      <x:c r="F11" s="9" t="str">
        <x:v>Livrable original proposé : QA — dangers locaux.</x:v>
      </x:c>
      <x:c r="G11" s="9" t="str">
        <x:v>Tester passage ombre/soleil Elaaden, eau/terre Kadara, chaleur/froid Voeld et dôme/vide H-047c ; absence de faux poison global Havarl.</x:v>
      </x:c>
      <x:c r="H11" s="9" t="str">
        <x:v>Tester passage ombre/soleil Elaaden, eau/terre Kadara, chaleur/froid Voeld et dôme/vide H-047c ; absence de faux poison global Havarl.</x:v>
      </x:c>
      <x:c r="I11" s="9" t="str">
        <x:v>Scènes de seuil et états de jauge.</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mea/qa/hazard ; rattacher les ressources et états cités à cet identifiant. Aucun fichier de jeu créé par ce catalogue.</x:v>
      </x:c>
      <x:c r="M11" s="9" t="str"/>
      <x:c r="N11" s="9" t="str">
        <x:v>Le livrable « QA — dangers locaux » possède une scène ou un scénario de contrôle ; ses règles proposées, ses conditions et ses retours visuels sont vérifiables séparément.</x:v>
      </x:c>
      <x:c r="O11" s="9" t="str">
        <x:v>MEA-SYS-HAZARDS</x:v>
      </x:c>
      <x:c r="P11" s="9" t="str">
        <x:v>Adaptation originale — spécification de production</x:v>
      </x:c>
      <x:c r="Q11" s="9" t="str"/>
      <x:c r="R11" s="9" t="str"/>
      <x:c r="S11" s="9" t="str">
        <x:v>Spécification à réaliser. Les champs adaptation, gameplay, visual, animation, audio et implementation décrivent le fan game ; ils ne donnent pas des caractéristiques officielles de l’œuvre.</x:v>
      </x:c>
    </x:row>
    <x:row r="12" ht="68" customHeight="1">
      <x:c r="A12" s="19" t="str">
        <x:v>MEA-QA-NOMAD</x:v>
      </x:c>
      <x:c r="B12" s="7" t="str">
        <x:v>QA — Nomad et terrain</x:v>
      </x:c>
      <x:c r="C12" s="15" t="str">
        <x:v>Défini</x:v>
      </x:c>
      <x:c r="D12" s="17" t="str">
        <x:v>Extrapolation</x:v>
      </x:c>
      <x:c r="E12" s="17" t="str">
        <x:v>P1</x:v>
      </x:c>
      <x:c r="F12" s="7" t="str">
        <x:v>Livrable original proposé : QA — Nomad et terrain.</x:v>
      </x:c>
      <x:c r="G12" s="7" t="str">
        <x:v>Tester pente, boost, eau, bord de dôme et sortie avec grandes silhouettes ; pas de spawn d’allié dans vide ou intérieur de roue.</x:v>
      </x:c>
      <x:c r="H12" s="7" t="str">
        <x:v>Tester pente, boost, eau, bord de dôme et sortie avec grandes silhouettes ; pas de spawn d’allié dans vide ou intérieur de roue.</x:v>
      </x:c>
      <x:c r="I12" s="7" t="str">
        <x:v>Routes de contrôle et emplacements de sortie.</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mea/qa/nomad ; rattacher les ressources et états cités à cet identifiant. Aucun fichier de jeu créé par ce catalogue.</x:v>
      </x:c>
      <x:c r="M12" s="7" t="str"/>
      <x:c r="N12" s="7" t="str">
        <x:v>Le livrable « QA — Nomad et terrain » possède une scène ou un scénario de contrôle ; ses règles proposées, ses conditions et ses retours visuels sont vérifiables séparément.</x:v>
      </x:c>
      <x:c r="O12" s="7" t="str">
        <x:v>MEA-SYS-NOMAD</x:v>
      </x:c>
      <x:c r="P12" s="7" t="str">
        <x:v>Adaptation originale — spécification de production</x:v>
      </x:c>
      <x:c r="Q12" s="7" t="str"/>
      <x:c r="R12" s="7" t="str"/>
      <x:c r="S12" s="7" t="str">
        <x:v>Spécification à réaliser. Les champs adaptation, gameplay, visual, animation, audio et implementation décrivent le fan game ; ils ne donnent pas des caractéristiques officielles de l’œuvre.</x:v>
      </x:c>
    </x:row>
    <x:row r="13" ht="68" customHeight="1">
      <x:c r="A13" s="18" t="str">
        <x:v>MEA-QA-SCAN</x:v>
      </x:c>
      <x:c r="B13" s="9" t="str">
        <x:v>QA — scans et collections</x:v>
      </x:c>
      <x:c r="C13" s="15" t="str">
        <x:v>Défini</x:v>
      </x:c>
      <x:c r="D13" s="16" t="str">
        <x:v>Extrapolation</x:v>
      </x:c>
      <x:c r="E13" s="16" t="str">
        <x:v>P1</x:v>
      </x:c>
      <x:c r="F13" s="9" t="str">
        <x:v>Livrable original proposé : QA — scans et collections.</x:v>
      </x:c>
      <x:c r="G13" s="9" t="str">
        <x:v>Scanner deux fois, recharger puis revenir après restauration ; données et objets uniques récompensés une fois, lore toujours relisible.</x:v>
      </x:c>
      <x:c r="H13" s="9" t="str">
        <x:v>Scanner deux fois, recharger puis revenir après restauration ; données et objets uniques récompensés une fois, lore toujours relisible.</x:v>
      </x:c>
      <x:c r="I13" s="9" t="str">
        <x:v>Journal de scans et inventaire.</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mea/qa/scan ; rattacher les ressources et états cités à cet identifiant. Aucun fichier de jeu créé par ce catalogue.</x:v>
      </x:c>
      <x:c r="M13" s="9" t="str"/>
      <x:c r="N13" s="9" t="str">
        <x:v>Le livrable « QA — scans et collections » possède une scène ou un scénario de contrôle ; ses règles proposées, ses conditions et ses retours visuels sont vérifiables séparément.</x:v>
      </x:c>
      <x:c r="O13" s="9" t="str">
        <x:v>MEA-SYS-SCAN</x:v>
      </x:c>
      <x:c r="P13" s="9" t="str">
        <x:v>Adaptation originale — spécification de production</x:v>
      </x:c>
      <x:c r="Q13" s="9" t="str"/>
      <x:c r="R13" s="9" t="str"/>
      <x:c r="S13" s="9" t="str">
        <x:v>Spécification à réaliser. Les champs adaptation, gameplay, visual, animation, audio et implementation décrivent le fan game ; ils ne donnent pas des caractéristiques officielles de l’œuvre.</x:v>
      </x:c>
    </x:row>
    <x:row r="14" ht="68" customHeight="1">
      <x:c r="A14" s="19" t="str">
        <x:v>MEA-QA-CRAFT</x:v>
      </x:c>
      <x:c r="B14" s="7" t="str">
        <x:v>QA — fabrication et augmentation</x:v>
      </x:c>
      <x:c r="C14" s="15" t="str">
        <x:v>Défini</x:v>
      </x:c>
      <x:c r="D14" s="17" t="str">
        <x:v>Extrapolation</x:v>
      </x:c>
      <x:c r="E14" s="17" t="str">
        <x:v>P1</x:v>
      </x:c>
      <x:c r="F14" s="7" t="str">
        <x:v>Livrable original proposé : QA — fabrication et augmentation.</x:v>
      </x:c>
      <x:c r="G14" s="7" t="str">
        <x:v>Séparer recherche et développement ; tester matériaux insuffisants, annulation, mod incompatible, fusion interdite et démontage sans duplication.</x:v>
      </x:c>
      <x:c r="H14" s="7" t="str">
        <x:v>Séparer recherche et développement ; tester matériaux insuffisants, annulation, mod incompatible, fusion interdite et démontage sans duplication.</x:v>
      </x:c>
      <x:c r="I14" s="7" t="str">
        <x:v>Table de recettes et comparatif d’inventaire.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mea/qa/craft ; rattacher les ressources et états cités à cet identifiant. Aucun fichier de jeu créé par ce catalogue.</x:v>
      </x:c>
      <x:c r="M14" s="7" t="str"/>
      <x:c r="N14" s="7" t="str">
        <x:v>Le livrable « QA — fabrication et augmentation » possède une scène ou un scénario de contrôle ; ses règles proposées, ses conditions et ses retours visuels sont vérifiables séparément.</x:v>
      </x:c>
      <x:c r="O14" s="7" t="str">
        <x:v>MEA-SYS-CRAFT</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MEA-QA-SKILLS</x:v>
      </x:c>
      <x:c r="B15" s="9" t="str">
        <x:v>QA — favoris et compétences</x:v>
      </x:c>
      <x:c r="C15" s="15" t="str">
        <x:v>Défini</x:v>
      </x:c>
      <x:c r="D15" s="16" t="str">
        <x:v>Extrapolation</x:v>
      </x:c>
      <x:c r="E15" s="16" t="str">
        <x:v>P1</x:v>
      </x:c>
      <x:c r="F15" s="9" t="str">
        <x:v>Livrable original proposé : QA — favoris et compétences.</x:v>
      </x:c>
      <x:c r="G15" s="9" t="str">
        <x:v>Tester chaque type actif/passif, changement de favori en récupération et respec ; aucun cooldown remis à zéro ni pouvoir d’allié débloqué chez Ryder.</x:v>
      </x:c>
      <x:c r="H15" s="9" t="str">
        <x:v>Tester chaque type actif/passif, changement de favori en récupération et respec ; aucun cooldown remis à zéro ni pouvoir d’allié débloqué chez Ryder.</x:v>
      </x:c>
      <x:c r="I15" s="9" t="str">
        <x:v>Arène de compétences et arbre.</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mea/qa/skills ; rattacher les ressources et états cités à cet identifiant. Aucun fichier de jeu créé par ce catalogue.</x:v>
      </x:c>
      <x:c r="M15" s="9" t="str"/>
      <x:c r="N15" s="9" t="str">
        <x:v>Le livrable « QA — favoris et compétences » possède une scène ou un scénario de contrôle ; ses règles proposées, ses conditions et ses retours visuels sont vérifiables séparément.</x:v>
      </x:c>
      <x:c r="O15" s="9" t="str">
        <x:v>MEA-SYS-FAVORITES, MEA-SYS-SKILL-TREE</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MEA-QA-COMBOS</x:v>
      </x:c>
      <x:c r="B16" s="7" t="str">
        <x:v>QA — protections et combos</x:v>
      </x:c>
      <x:c r="C16" s="15" t="str">
        <x:v>Défini</x:v>
      </x:c>
      <x:c r="D16" s="17" t="str">
        <x:v>Extrapolation</x:v>
      </x:c>
      <x:c r="E16" s="17" t="str">
        <x:v>P1</x:v>
      </x:c>
      <x:c r="F16" s="7" t="str">
        <x:v>Livrable original proposé : QA — protections et combos.</x:v>
      </x:c>
      <x:c r="G16" s="7" t="str">
        <x:v>Tester santé, armure, bouclier, immunités puis propagation ; aperçu et effet concordent, dégâts et amorce résolus une fois.</x:v>
      </x:c>
      <x:c r="H16" s="7" t="str">
        <x:v>Tester santé, armure, bouclier, immunités puis propagation ; aperçu et effet concordent, dégâts et amorce résolus une fois.</x:v>
      </x:c>
      <x:c r="I16" s="7" t="str">
        <x:v>Mannequins et journal d’événements.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mea/qa/combos ; rattacher les ressources et états cités à cet identifiant. Aucun fichier de jeu créé par ce catalogue.</x:v>
      </x:c>
      <x:c r="M16" s="7" t="str"/>
      <x:c r="N16" s="7" t="str">
        <x:v>Le livrable « QA — protections et combos » possède une scène ou un scénario de contrôle ; ses règles proposées, ses conditions et ses retours visuels sont vérifiables séparément.</x:v>
      </x:c>
      <x:c r="O16" s="7" t="str">
        <x:v>MEA-SYS-COMBOS, MEA-SYS-DEFENSES</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MEA-QA-CORA</x:v>
      </x:c>
      <x:c r="B17" s="9" t="str">
        <x:v>QA — arche asari</x:v>
      </x:c>
      <x:c r="C17" s="15" t="str">
        <x:v>Défini</x:v>
      </x:c>
      <x:c r="D17" s="16" t="str">
        <x:v>Extrapolation</x:v>
      </x:c>
      <x:c r="E17" s="16" t="str">
        <x:v>P1</x:v>
      </x:c>
      <x:c r="F17" s="9" t="str">
        <x:v>Livrable original proposé : QA — arche asari.</x:v>
      </x:c>
      <x:c r="G17" s="9" t="str">
        <x:v>Croiser révélation de Sarissa et choix de Pionnière ; Cora conserve progression, bonne Pionnière apparaît au final et dialogues ne supposent pas divulgation absente.</x:v>
      </x:c>
      <x:c r="H17" s="9" t="str">
        <x:v>Croiser révélation de Sarissa et choix de Pionnière ; Cora conserve progression, bonne Pionnière apparaît au final et dialogues ne supposent pas divulgation absente.</x:v>
      </x:c>
      <x:c r="I17" s="9" t="str">
        <x:v>Table de branches Leusinia.</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mea/qa/cora ; rattacher les ressources et états cités à cet identifiant. Aucun fichier de jeu créé par ce catalogue.</x:v>
      </x:c>
      <x:c r="M17" s="9" t="str"/>
      <x:c r="N17" s="9" t="str">
        <x:v>Le livrable « QA — arche asari » possède une scène ou un scénario de contrôle ; ses règles proposées, ses conditions et ses retours visuels sont vérifiables séparément.</x:v>
      </x:c>
      <x:c r="O17" s="9" t="str">
        <x:v>MEA-CHO-SARISSA-TRUTH, MEA-CHO-SARISSA-ROLE</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MEA-QA-LIAM</x:v>
      </x:c>
      <x:c r="B18" s="7" t="str">
        <x:v>QA — gravité et captivité</x:v>
      </x:c>
      <x:c r="C18" s="15" t="str">
        <x:v>Défini</x:v>
      </x:c>
      <x:c r="D18" s="17" t="str">
        <x:v>Extrapolation</x:v>
      </x:c>
      <x:c r="E18" s="17" t="str">
        <x:v>P1</x:v>
      </x:c>
      <x:c r="F18" s="7" t="str">
        <x:v>Livrable original proposé : QA — gravité et captivité.</x:v>
      </x:c>
      <x:c r="G18" s="7" t="str">
        <x:v>Chaque orientation de vaisseau : pivots, caméra, loot et scanner ; captifs évacués une fois, débrief Verand ne force pas rupture non attestée.</x:v>
      </x:c>
      <x:c r="H18" s="7" t="str">
        <x:v>Chaque orientation de vaisseau : pivots, caméra, loot et scanner ; captifs évacués une fois, débrief Verand ne force pas rupture non attestée.</x:v>
      </x:c>
      <x:c r="I18" s="7" t="str">
        <x:v>Trois scènes d’orientation et état final.</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mea/qa/liam ; rattacher les ressources et états cités à cet identifiant. Aucun fichier de jeu créé par ce catalogue.</x:v>
      </x:c>
      <x:c r="M18" s="7" t="str"/>
      <x:c r="N18" s="7" t="str">
        <x:v>Le livrable « QA — gravité et captivité » possède une scène ou un scénario de contrôle ; ses règles proposées, ses conditions et ses retours visuels sont vérifiables séparément.</x:v>
      </x:c>
      <x:c r="O18" s="7" t="str">
        <x:v>MEA-SQ-LIAM-ALLIN</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MEA-QA-VETRA</x:v>
      </x:c>
      <x:c r="B19" s="9" t="str">
        <x:v>QA — caméras et dangers</x:v>
      </x:c>
      <x:c r="C19" s="15" t="str">
        <x:v>Défini</x:v>
      </x:c>
      <x:c r="D19" s="16" t="str">
        <x:v>Extrapolation</x:v>
      </x:c>
      <x:c r="E19" s="16" t="str">
        <x:v>P1</x:v>
      </x:c>
      <x:c r="F19" s="9" t="str">
        <x:v>Livrable original proposé : QA — caméras et dangers.</x:v>
      </x:c>
      <x:c r="G19" s="9" t="str">
        <x:v>Tester chaque option de Sid par salle, aucune action et reprise ; gaz, Hydra, grues et ennemis doivent refléter l’option choisie.</x:v>
      </x:c>
      <x:c r="H19" s="9" t="str">
        <x:v>Tester chaque option de Sid par salle, aucune action et reprise ; gaz, Hydra, grues et ennemis doivent refléter l’option choisie.</x:v>
      </x:c>
      <x:c r="I19" s="9" t="str">
        <x:v>Moniteur puis capture de salle jouée.</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mea/qa/vetra ; rattacher les ressources et états cités à cet identifiant. Aucun fichier de jeu créé par ce catalogue.</x:v>
      </x:c>
      <x:c r="M19" s="9" t="str"/>
      <x:c r="N19" s="9" t="str">
        <x:v>Le livrable « QA — caméras et dangers » possède une scène ou un scénario de contrôle ; ses règles proposées, ses conditions et ses retours visuels sont vérifiables séparément.</x:v>
      </x:c>
      <x:c r="O19" s="9" t="str">
        <x:v>MEA-CHO-SID</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MEA-QA-DRACK</x:v>
      </x:c>
      <x:c r="B20" s="7" t="str">
        <x:v>QA — graines et verdict</x:v>
      </x:c>
      <x:c r="C20" s="15" t="str">
        <x:v>Défini</x:v>
      </x:c>
      <x:c r="D20" s="17" t="str">
        <x:v>Extrapolation</x:v>
      </x:c>
      <x:c r="E20" s="17" t="str">
        <x:v>P1</x:v>
      </x:c>
      <x:c r="F20" s="7" t="str">
        <x:v>Livrable original proposé : QA — graines et verdict.</x:v>
      </x:c>
      <x:c r="G20" s="7" t="str">
        <x:v>Sauver Vorn, sécuriser transport, puis prison/exil de Spender ; déblocage de loyauté et clôture administrative ne se confondent pas.</x:v>
      </x:c>
      <x:c r="H20" s="7" t="str">
        <x:v>Sauver Vorn, sécuriser transport, puis prison/exil de Spender ; déblocage de loyauté et clôture administrative ne se confondent pas.</x:v>
      </x:c>
      <x:c r="I20" s="7" t="str">
        <x:v>Journal de mission et roster de compétences.</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mea/qa/drack ; rattacher les ressources et états cités à cet identifiant. Aucun fichier de jeu créé par ce catalogue.</x:v>
      </x:c>
      <x:c r="M20" s="7" t="str"/>
      <x:c r="N20" s="7" t="str">
        <x:v>Le livrable « QA — graines et verdict » possède une scène ou un scénario de contrôle ; ses règles proposées, ses conditions et ses retours visuels sont vérifiables séparément.</x:v>
      </x:c>
      <x:c r="O20" s="7" t="str">
        <x:v>MEA-SQ-DRACK-FUTURE</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row r="21" ht="68" customHeight="1">
      <x:c r="A21" s="18" t="str">
        <x:v>MEA-QA-JAAL</x:v>
      </x:c>
      <x:c r="B21" s="9" t="str">
        <x:v>QA — Akksul et confiance</x:v>
      </x:c>
      <x:c r="C21" s="15" t="str">
        <x:v>Défini</x:v>
      </x:c>
      <x:c r="D21" s="16" t="str">
        <x:v>Extrapolation</x:v>
      </x:c>
      <x:c r="E21" s="16" t="str">
        <x:v>P1</x:v>
      </x:c>
      <x:c r="F21" s="9" t="str">
        <x:v>Livrable original proposé : QA — Akksul et confiance.</x:v>
      </x:c>
      <x:c r="G21" s="9" t="str">
        <x:v>Tir, absence de tir et mode non chronométré ; acteurs visés corrects, conséquences de blessure/mort cohérentes, loyauté ne déclenche pas romance automatique.</x:v>
      </x:c>
      <x:c r="H21" s="9" t="str">
        <x:v>Tir, absence de tir et mode non chronométré ; acteurs visés corrects, conséquences de blessure/mort cohérentes, loyauté ne déclenche pas romance automatique.</x:v>
      </x:c>
      <x:c r="I21" s="9" t="str">
        <x:v>Captures de confrontation et bilan.</x:v>
      </x:c>
      <x:c r="J21" s="9" t="str">
        <x:v>Transitions de caméra et d’interface interruptibles ; aucun délai d’animation ne doit consommer une décision encore ouverte.</x:v>
      </x:c>
      <x:c r="K21" s="9" t="str">
        <x:v>Créer des bruitages et ambiances originaux adaptés au livrable ; sous-titrer les indices utiles et proposer un réglage indépendant des effets. Aucune extraction audio demandée.</x:v>
      </x:c>
      <x:c r="L21" s="9" t="str">
        <x:v>Prévu : fiche de données mea/qa/jaal ; rattacher les ressources et états cités à cet identifiant. Aucun fichier de jeu créé par ce catalogue.</x:v>
      </x:c>
      <x:c r="M21" s="9" t="str"/>
      <x:c r="N21" s="9" t="str">
        <x:v>Le livrable « QA — Akksul et confiance » possède une scène ou un scénario de contrôle ; ses règles proposées, ses conditions et ses retours visuels sont vérifiables séparément.</x:v>
      </x:c>
      <x:c r="O21" s="9" t="str">
        <x:v>MEA-CHO-AKKSUL</x:v>
      </x:c>
      <x:c r="P21" s="9" t="str">
        <x:v>Adaptation originale — spécification de production</x:v>
      </x:c>
      <x:c r="Q21" s="9" t="str"/>
      <x:c r="R21" s="9" t="str"/>
      <x:c r="S21" s="9" t="str">
        <x:v>Spécification à réaliser. Les champs adaptation, gameplay, visual, animation, audio et implementation décrivent le fan game ; ils ne donnent pas des caractéristiques officielles de l’œuvre.</x:v>
      </x:c>
    </x:row>
    <x:row r="22" ht="68" customHeight="1">
      <x:c r="A22" s="19" t="str">
        <x:v>MEA-QA-PEEBEE</x:v>
      </x:c>
      <x:c r="B22" s="7" t="str">
        <x:v>QA — appareil et Kalinda</x:v>
      </x:c>
      <x:c r="C22" s="15" t="str">
        <x:v>Défini</x:v>
      </x:c>
      <x:c r="D22" s="17" t="str">
        <x:v>Extrapolation</x:v>
      </x:c>
      <x:c r="E22" s="17" t="str">
        <x:v>P1</x:v>
      </x:c>
      <x:c r="F22" s="7" t="str">
        <x:v>Livrable original proposé : QA — appareil et Kalinda.</x:v>
      </x:c>
      <x:c r="G22" s="7" t="str">
        <x:v>Deux branches exclusives : appareil récupéré avec mort ou Kalinda sauvée avec appareil perdu ; fuite et retours de mission conservent le bon inventaire.</x:v>
      </x:c>
      <x:c r="H22" s="7" t="str">
        <x:v>Deux branches exclusives : appareil récupéré avec mort ou Kalinda sauvée avec appareil perdu ; fuite et retours de mission conservent le bon inventaire.</x:v>
      </x:c>
      <x:c r="I22" s="7" t="str">
        <x:v>Plateforme, objet et messages postmission.</x:v>
      </x:c>
      <x:c r="J22" s="7" t="str">
        <x:v>Transitions de caméra et d’interface interruptibles ; aucun délai d’animation ne doit consommer une décision encore ouverte.</x:v>
      </x:c>
      <x:c r="K22" s="7" t="str">
        <x:v>Créer des bruitages et ambiances originaux adaptés au livrable ; sous-titrer les indices utiles et proposer un réglage indépendant des effets. Aucune extraction audio demandée.</x:v>
      </x:c>
      <x:c r="L22" s="7" t="str">
        <x:v>Prévu : fiche de données mea/qa/peebee ; rattacher les ressources et états cités à cet identifiant. Aucun fichier de jeu créé par ce catalogue.</x:v>
      </x:c>
      <x:c r="M22" s="7" t="str"/>
      <x:c r="N22" s="7" t="str">
        <x:v>Le livrable « QA — appareil et Kalinda » possède une scène ou un scénario de contrôle ; ses règles proposées, ses conditions et ses retours visuels sont vérifiables séparément.</x:v>
      </x:c>
      <x:c r="O22" s="7" t="str">
        <x:v>MEA-CHO-KALINDA</x:v>
      </x:c>
      <x:c r="P22" s="7" t="str">
        <x:v>Adaptation originale — spécification de production</x:v>
      </x:c>
      <x:c r="Q22" s="7" t="str"/>
      <x:c r="R22" s="7" t="str"/>
      <x:c r="S22" s="7" t="str">
        <x:v>Spécification à réaliser. Les champs adaptation, gameplay, visual, animation, audio et implementation décrivent le fan game ; ils ne donnent pas des caractéristiques officielles de l’œuvre.</x:v>
      </x:c>
    </x:row>
    <x:row r="23" ht="68" customHeight="1">
      <x:c r="A23" s="18" t="str">
        <x:v>MEA-QA-ARKS</x:v>
      </x:c>
      <x:c r="B23" s="9" t="str">
        <x:v>QA — secours galarien et succession turienne</x:v>
      </x:c>
      <x:c r="C23" s="15" t="str">
        <x:v>Défini</x:v>
      </x:c>
      <x:c r="D23" s="16" t="str">
        <x:v>Extrapolation</x:v>
      </x:c>
      <x:c r="E23" s="16" t="str">
        <x:v>P1</x:v>
      </x:c>
      <x:c r="F23" s="9" t="str">
        <x:v>Livrable original proposé : QA — secours galarien et succession turienne.</x:v>
      </x:c>
      <x:c r="G23" s="9" t="str">
        <x:v>Choisir Raeka ou scouts, Avitus convaincu ou non ; roster de Pionniers et réactions de Drack reflètent ces deux axes indépendants.</x:v>
      </x:c>
      <x:c r="H23" s="9" t="str">
        <x:v>Choisir Raeka ou scouts, Avitus convaincu ou non ; roster de Pionniers et réactions de Drack reflètent ces deux axes indépendants.</x:v>
      </x:c>
      <x:c r="I23" s="9" t="str">
        <x:v>Matrice de quatre fonctions.</x:v>
      </x:c>
      <x:c r="J23" s="9" t="str">
        <x:v>Transitions de caméra et d’interface interruptibles ; aucun délai d’animation ne doit consommer une décision encore ouverte.</x:v>
      </x:c>
      <x:c r="K23" s="9" t="str">
        <x:v>Créer des bruitages et ambiances originaux adaptés au livrable ; sous-titrer les indices utiles et proposer un réglage indépendant des effets. Aucune extraction audio demandée.</x:v>
      </x:c>
      <x:c r="L23" s="9" t="str">
        <x:v>Prévu : fiche de données mea/qa/arks ; rattacher les ressources et états cités à cet identifiant. Aucun fichier de jeu créé par ce catalogue.</x:v>
      </x:c>
      <x:c r="M23" s="9" t="str"/>
      <x:c r="N23" s="9" t="str">
        <x:v>Le livrable « QA — secours galarien et succession turienne » possède une scène ou un scénario de contrôle ; ses règles proposées, ses conditions et ses retours visuels sont vérifiables séparément.</x:v>
      </x:c>
      <x:c r="O23" s="9" t="str">
        <x:v>MEA-CHO-RAEKA, MEA-CHO-AVITUS</x:v>
      </x:c>
      <x:c r="P23" s="9" t="str">
        <x:v>Adaptation originale — spécification de production</x:v>
      </x:c>
      <x:c r="Q23" s="9" t="str"/>
      <x:c r="R23" s="9" t="str"/>
      <x:c r="S23" s="9" t="str">
        <x:v>Spécification à réaliser. Les champs adaptation, gameplay, visual, animation, audio et implementation décrivent le fan game ; ils ne donnent pas des caractéristiques officielles de l’œuvre.</x:v>
      </x:c>
    </x:row>
    <x:row r="24" ht="68" customHeight="1">
      <x:c r="A24" s="19" t="str">
        <x:v>MEA-QA-POLITICS</x:v>
      </x:c>
      <x:c r="B24" s="7" t="str">
        <x:v>QA — Kadara et Elaaden</x:v>
      </x:c>
      <x:c r="C24" s="15" t="str">
        <x:v>Défini</x:v>
      </x:c>
      <x:c r="D24" s="17" t="str">
        <x:v>Extrapolation</x:v>
      </x:c>
      <x:c r="E24" s="17" t="str">
        <x:v>P1</x:v>
      </x:c>
      <x:c r="F24" s="7" t="str">
        <x:v>Livrable original proposé : QA — Kadara et Elaaden.</x:v>
      </x:c>
      <x:c r="G24" s="7" t="str">
        <x:v>Tester changements de régime, moteur gardé/donné, retours aux hubs et fondation ; aucun ancien chef mort ne donne une quête ni accord absent ne valide colonie.</x:v>
      </x:c>
      <x:c r="H24" s="7" t="str">
        <x:v>Tester changements de régime, moteur gardé/donné, retours aux hubs et fondation ; aucun ancien chef mort ne donne une quête ni accord absent ne valide colonie.</x:v>
      </x:c>
      <x:c r="I24" s="7" t="str">
        <x:v>Cartes politiques avant/après.</x:v>
      </x:c>
      <x:c r="J24" s="7" t="str">
        <x:v>Transitions de caméra et d’interface interruptibles ; aucun délai d’animation ne doit consommer une décision encore ouverte.</x:v>
      </x:c>
      <x:c r="K24" s="7" t="str">
        <x:v>Créer des bruitages et ambiances originaux adaptés au livrable ; sous-titrer les indices utiles et proposer un réglage indépendant des effets. Aucune extraction audio demandée.</x:v>
      </x:c>
      <x:c r="L24" s="7" t="str">
        <x:v>Prévu : fiche de données mea/qa/politics ; rattacher les ressources et états cités à cet identifiant. Aucun fichier de jeu créé par ce catalogue.</x:v>
      </x:c>
      <x:c r="M24" s="7" t="str"/>
      <x:c r="N24" s="7" t="str">
        <x:v>Le livrable « QA — Kadara et Elaaden » possède une scène ou un scénario de contrôle ; ses règles proposées, ses conditions et ses retours visuels sont vérifiables séparément.</x:v>
      </x:c>
      <x:c r="O24" s="7" t="str">
        <x:v>MEA-CHO-SLOANE-REYES, MEA-CHO-CORE</x:v>
      </x:c>
      <x:c r="P24" s="7" t="str">
        <x:v>Adaptation originale — spécification de production</x:v>
      </x:c>
      <x:c r="Q24" s="7" t="str"/>
      <x:c r="R24" s="7" t="str"/>
      <x:c r="S24" s="7" t="str">
        <x:v>Spécification à réaliser. Les champs adaptation, gameplay, visual, animation, audio et implementation décrivent le fan game ; ils ne donnent pas des caractéristiques officielles de l’œuvre.</x:v>
      </x:c>
    </x:row>
    <x:row r="25" ht="68" customHeight="1">
      <x:c r="A25" s="18" t="str">
        <x:v>MEA-QA-ANCIENT-AI</x:v>
      </x:c>
      <x:c r="B25" s="9" t="str">
        <x:v>QA — IA, otage et destination</x:v>
      </x:c>
      <x:c r="C25" s="15" t="str">
        <x:v>Défini</x:v>
      </x:c>
      <x:c r="D25" s="16" t="str">
        <x:v>Extrapolation</x:v>
      </x:c>
      <x:c r="E25" s="16" t="str">
        <x:v>P1</x:v>
      </x:c>
      <x:c r="F25" s="9" t="str">
        <x:v>Livrable original proposé : QA — IA, otage et destination.</x:v>
      </x:c>
      <x:c r="G25" s="9" t="str">
        <x:v>Trois issues : IA détruite, conservée chez SAM, confiée aux angara ; otage, terminal, message et soutien final cohérents, aucune duplication de l’IA.</x:v>
      </x:c>
      <x:c r="H25" s="9" t="str">
        <x:v>Trois issues : IA détruite, conservée chez SAM, confiée aux angara ; otage, terminal, message et soutien final cohérents, aucune duplication de l’IA.</x:v>
      </x:c>
      <x:c r="I25" s="9" t="str">
        <x:v>Table des trois branches.</x:v>
      </x:c>
      <x:c r="J25" s="9" t="str">
        <x:v>Transitions de caméra et d’interface interruptibles ; aucun délai d’animation ne doit consommer une décision encore ouverte.</x:v>
      </x:c>
      <x:c r="K25" s="9" t="str">
        <x:v>Créer des bruitages et ambiances originaux adaptés au livrable ; sous-titrer les indices utiles et proposer un réglage indépendant des effets. Aucune extraction audio demandée.</x:v>
      </x:c>
      <x:c r="L25" s="9" t="str">
        <x:v>Prévu : fiche de données mea/qa/ancient-ai ; rattacher les ressources et états cités à cet identifiant. Aucun fichier de jeu créé par ce catalogue.</x:v>
      </x:c>
      <x:c r="M25" s="9" t="str"/>
      <x:c r="N25" s="9" t="str">
        <x:v>Le livrable « QA — IA, otage et destination » possède une scène ou un scénario de contrôle ; ses règles proposées, ses conditions et ses retours visuels sont vérifiables séparément.</x:v>
      </x:c>
      <x:c r="O25" s="9" t="str">
        <x:v>MEA-CHO-AI-LIFE, MEA-CHO-AI-OWNER</x:v>
      </x:c>
      <x:c r="P25" s="9" t="str">
        <x:v>Adaptation originale — spécification de production</x:v>
      </x:c>
      <x:c r="Q25" s="9" t="str"/>
      <x:c r="R25" s="9" t="str"/>
      <x:c r="S25" s="9" t="str">
        <x:v>Spécification à réaliser. Les champs adaptation, gameplay, visual, animation, audio et implementation décrivent le fan game ; ils ne donnent pas des caractéristiques officielles de l’œuvre.</x:v>
      </x:c>
    </x:row>
    <x:row r="26" ht="68" customHeight="1">
      <x:c r="A26" s="19" t="str">
        <x:v>MEA-QA-FAMILY</x:v>
      </x:c>
      <x:c r="B26" s="7" t="str">
        <x:v>QA — souvenirs de Ryder</x:v>
      </x:c>
      <x:c r="C26" s="15" t="str">
        <x:v>Défini</x:v>
      </x:c>
      <x:c r="D26" s="17" t="str">
        <x:v>Extrapolation</x:v>
      </x:c>
      <x:c r="E26" s="17" t="str">
        <x:v>P1</x:v>
      </x:c>
      <x:c r="F26" s="7" t="str">
        <x:v>Livrable original proposé : QA — souvenirs de Ryder.</x:v>
      </x:c>
      <x:c r="G26" s="7" t="str">
        <x:v>Trouver déclencheurs dans ordre variable, lire logs puis dernière mémoire ; Ellen, Garson et Bienfaiteur se révèlent seulement au bon état, jumeau visible à scène requise.</x:v>
      </x:c>
      <x:c r="H26" s="7" t="str">
        <x:v>Trouver déclencheurs dans ordre variable, lire logs puis dernière mémoire ; Ellen, Garson et Bienfaiteur se révèlent seulement au bon état, jumeau visible à scène requise.</x:v>
      </x:c>
      <x:c r="I26" s="7" t="str">
        <x:v>Index des mémoires et scènes.</x:v>
      </x:c>
      <x:c r="J26" s="7" t="str">
        <x:v>Transitions de caméra et d’interface interruptibles ; aucun délai d’animation ne doit consommer une décision encore ouverte.</x:v>
      </x:c>
      <x:c r="K26" s="7" t="str">
        <x:v>Créer des bruitages et ambiances originaux adaptés au livrable ; sous-titrer les indices utiles et proposer un réglage indépendant des effets. Aucune extraction audio demandée.</x:v>
      </x:c>
      <x:c r="L26" s="7" t="str">
        <x:v>Prévu : fiche de données mea/qa/family ; rattacher les ressources et états cités à cet identifiant. Aucun fichier de jeu créé par ce catalogue.</x:v>
      </x:c>
      <x:c r="M26" s="7" t="str"/>
      <x:c r="N26" s="7" t="str">
        <x:v>Le livrable « QA — souvenirs de Ryder » possède une scène ou un scénario de contrôle ; ses règles proposées, ses conditions et ses retours visuels sont vérifiables séparément.</x:v>
      </x:c>
      <x:c r="O26" s="7" t="str">
        <x:v>MEA-SQ-FAMILY</x:v>
      </x:c>
      <x:c r="P26" s="7" t="str">
        <x:v>Adaptation originale — spécification de production</x:v>
      </x:c>
      <x:c r="Q26" s="7" t="str"/>
      <x:c r="R26" s="7" t="str"/>
      <x:c r="S26" s="7" t="str">
        <x:v>Spécification à réaliser. Les champs adaptation, gameplay, visual, animation, audio et implementation décrivent le fan game ; ils ne donnent pas des caractéristiques officielles de l’œuvre.</x:v>
      </x:c>
    </x:row>
    <x:row r="27" ht="68" customHeight="1">
      <x:c r="A27" s="18" t="str">
        <x:v>MEA-QA-ROMANCE</x:v>
      </x:c>
      <x:c r="B27" s="9" t="str">
        <x:v>QA — partenaires et patch</x:v>
      </x:c>
      <x:c r="C27" s="15" t="str">
        <x:v>Défini</x:v>
      </x:c>
      <x:c r="D27" s="16" t="str">
        <x:v>Extrapolation</x:v>
      </x:c>
      <x:c r="E27" s="16" t="str">
        <x:v>P1</x:v>
      </x:c>
      <x:c r="F27" s="9" t="str">
        <x:v>Livrable original proposé : QA — partenaires et patch.</x:v>
      </x:c>
      <x:c r="G27" s="9" t="str">
        <x:v>Tester Sara/Scott avec profil 1.08+, relations exclusives et non exclusives selon table vérifiée ; Jaal/Scott disponible sans copier conditions de lancement.</x:v>
      </x:c>
      <x:c r="H27" s="9" t="str">
        <x:v>Tester Sara/Scott avec profil 1.08+, relations exclusives et non exclusives selon table vérifiée ; Jaal/Scott disponible sans copier conditions de lancement.</x:v>
      </x:c>
      <x:c r="I27" s="9" t="str">
        <x:v>Matrice de relation par version.</x:v>
      </x:c>
      <x:c r="J27" s="9" t="str">
        <x:v>Transitions de caméra et d’interface interruptibles ; aucun délai d’animation ne doit consommer une décision encore ouverte.</x:v>
      </x:c>
      <x:c r="K27" s="9" t="str">
        <x:v>Créer des bruitages et ambiances originaux adaptés au livrable ; sous-titrer les indices utiles et proposer un réglage indépendant des effets. Aucune extraction audio demandée.</x:v>
      </x:c>
      <x:c r="L27" s="9" t="str">
        <x:v>Prévu : fiche de données mea/qa/romance ; rattacher les ressources et états cités à cet identifiant. Aucun fichier de jeu créé par ce catalogue.</x:v>
      </x:c>
      <x:c r="M27" s="9" t="str"/>
      <x:c r="N27" s="9" t="str">
        <x:v>Le livrable « QA — partenaires et patch » possède une scène ou un scénario de contrôle ; ses règles proposées, ses conditions et ses retours visuels sont vérifiables séparément.</x:v>
      </x:c>
      <x:c r="O27" s="9" t="str">
        <x:v>MEA-SYS-RELATIONS</x:v>
      </x:c>
      <x:c r="P27" s="9" t="str">
        <x:v>Adaptation originale — spécification de production</x:v>
      </x:c>
      <x:c r="Q27" s="9" t="str"/>
      <x:c r="R27" s="9" t="str"/>
      <x:c r="S27" s="9" t="str">
        <x:v>Spécification à réaliser. Les champs adaptation, gameplay, visual, animation, audio et implementation décrivent le fan game ; ils ne donnent pas des caractéristiques officielles de l’œuvre.</x:v>
      </x:c>
    </x:row>
    <x:row r="28" ht="68" customHeight="1">
      <x:c r="A28" s="19" t="str">
        <x:v>MEA-QA-DUNN</x:v>
      </x:c>
      <x:c r="B28" s="7" t="str">
        <x:v>QA — final Hyperion</x:v>
      </x:c>
      <x:c r="C28" s="15" t="str">
        <x:v>Défini</x:v>
      </x:c>
      <x:c r="D28" s="17" t="str">
        <x:v>Extrapolation</x:v>
      </x:c>
      <x:c r="E28" s="17" t="str">
        <x:v>P1</x:v>
      </x:c>
      <x:c r="F28" s="7" t="str">
        <x:v>Livrable original proposé : QA — final Hyperion.</x:v>
      </x:c>
      <x:c r="G28" s="7" t="str">
        <x:v>Matrice des Pionniers réellement disponibles, identité des remplaçants et Avitus ; brancher survie de Dunn et communications sans acteur absent.</x:v>
      </x:c>
      <x:c r="H28" s="7" t="str">
        <x:v>Matrice des Pionniers réellement disponibles, identité des remplaçants et Avitus ; brancher survie de Dunn et communications sans acteur absent.</x:v>
      </x:c>
      <x:c r="I28" s="7" t="str">
        <x:v>Table de secours et montage d’atterrissage.</x:v>
      </x:c>
      <x:c r="J28" s="7" t="str">
        <x:v>Transitions de caméra et d’interface interruptibles ; aucun délai d’animation ne doit consommer une décision encore ouverte.</x:v>
      </x:c>
      <x:c r="K28" s="7" t="str">
        <x:v>Créer des bruitages et ambiances originaux adaptés au livrable ; sous-titrer les indices utiles et proposer un réglage indépendant des effets. Aucune extraction audio demandée.</x:v>
      </x:c>
      <x:c r="L28" s="7" t="str">
        <x:v>Prévu : fiche de données mea/qa/dunn ; rattacher les ressources et états cités à cet identifiant. Aucun fichier de jeu créé par ce catalogue.</x:v>
      </x:c>
      <x:c r="M28" s="7" t="str"/>
      <x:c r="N28" s="7" t="str">
        <x:v>Le livrable « QA — final Hyperion » possède une scène ou un scénario de contrôle ; ses règles proposées, ses conditions et ses retours visuels sont vérifiables séparément.</x:v>
      </x:c>
      <x:c r="O28" s="7" t="str">
        <x:v>MEA-CHO-DUNN</x:v>
      </x:c>
      <x:c r="P28" s="7" t="str">
        <x:v>Adaptation originale — spécification de production</x:v>
      </x:c>
      <x:c r="Q28" s="7" t="str"/>
      <x:c r="R28" s="7" t="str"/>
      <x:c r="S28" s="7" t="str">
        <x:v>Spécification à réaliser. Les champs adaptation, gameplay, visual, animation, audio et implementation décrivent le fan game ; ils ne donnent pas des caractéristiques officielles de l’œuvre.</x:v>
      </x:c>
    </x:row>
    <x:row r="29" ht="68" customHeight="1">
      <x:c r="A29" s="18" t="str">
        <x:v>MEA-QA-FINAL</x:v>
      </x:c>
      <x:c r="B29" s="9" t="str">
        <x:v>QA — Archonte et épilogue</x:v>
      </x:c>
      <x:c r="C29" s="15" t="str">
        <x:v>Défini</x:v>
      </x:c>
      <x:c r="D29" s="16" t="str">
        <x:v>Extrapolation</x:v>
      </x:c>
      <x:c r="E29" s="16" t="str">
        <x:v>P1</x:v>
      </x:c>
      <x:c r="F29" s="9" t="str">
        <x:v>Livrable original proposé : QA — Archonte et épilogue.</x:v>
      </x:c>
      <x:c r="G29" s="9" t="str">
        <x:v>Objectifs de réseau terminent combat, jumeau revient au bon rôle, ambassadeur appartient à liste valide et signal quarien ne crée pas de mission fictive.</x:v>
      </x:c>
      <x:c r="H29" s="9" t="str">
        <x:v>Objectifs de réseau terminent combat, jumeau revient au bon rôle, ambassadeur appartient à liste valide et signal quarien ne crée pas de mission fictive.</x:v>
      </x:c>
      <x:c r="I29" s="9" t="str">
        <x:v>Journal final et scène Port Meridian.</x:v>
      </x:c>
      <x:c r="J29" s="9" t="str">
        <x:v>Transitions de caméra et d’interface interruptibles ; aucun délai d’animation ne doit consommer une décision encore ouverte.</x:v>
      </x:c>
      <x:c r="K29" s="9" t="str">
        <x:v>Créer des bruitages et ambiances originaux adaptés au livrable ; sous-titrer les indices utiles et proposer un réglage indépendant des effets. Aucune extraction audio demandée.</x:v>
      </x:c>
      <x:c r="L29" s="9" t="str">
        <x:v>Prévu : fiche de données mea/qa/final ; rattacher les ressources et états cités à cet identifiant. Aucun fichier de jeu créé par ce catalogue.</x:v>
      </x:c>
      <x:c r="M29" s="9" t="str"/>
      <x:c r="N29" s="9" t="str">
        <x:v>Le livrable « QA — Archonte et épilogue » possède une scène ou un scénario de contrôle ; ses règles proposées, ses conditions et ses retours visuels sont vérifiables séparément.</x:v>
      </x:c>
      <x:c r="O29" s="9" t="str">
        <x:v>MEA-MQ-MERIDIAN, MEA-MQ-EPILOGUE</x:v>
      </x:c>
      <x:c r="P29" s="9" t="str">
        <x:v>Adaptation originale — spécification de production</x:v>
      </x:c>
      <x:c r="Q29" s="9" t="str"/>
      <x:c r="R29" s="9" t="str"/>
      <x:c r="S29" s="9" t="str">
        <x:v>Spécification à réaliser. Les champs adaptation, gameplay, visual, animation, audio et implementation décrivent le fan game ; ils ne donnent pas des caractéristiques officielles de l’œuvre.</x:v>
      </x:c>
    </x:row>
    <x:row r="30" ht="68" customHeight="1">
      <x:c r="A30" s="19" t="str">
        <x:v>MEA-QA-MP</x:v>
      </x:c>
      <x:c r="B30" s="7" t="str">
        <x:v>QA — séparation APEX / solo</x:v>
      </x:c>
      <x:c r="C30" s="15" t="str">
        <x:v>Défini</x:v>
      </x:c>
      <x:c r="D30" s="17" t="str">
        <x:v>Extrapolation</x:v>
      </x:c>
      <x:c r="E30" s="17" t="str">
        <x:v>P1</x:v>
      </x:c>
      <x:c r="F30" s="7" t="str">
        <x:v>Livrable original proposé : QA — séparation APEX / solo.</x:v>
      </x:c>
      <x:c r="G30" s="7" t="str">
        <x:v>Échec de connexion, désactivation du multi, récompense déjà réclamée et classe batarienne ; campagne reste jouable, aucune classe multi ajoutée à Tempest.</x:v>
      </x:c>
      <x:c r="H30" s="7" t="str">
        <x:v>Échec de connexion, désactivation du multi, récompense déjà réclamée et classe batarienne ; campagne reste jouable, aucune classe multi ajoutée à Tempest.</x:v>
      </x:c>
      <x:c r="I30" s="7" t="str">
        <x:v>Deux sauvegardes et écrans de mode.</x:v>
      </x:c>
      <x:c r="J30" s="7" t="str">
        <x:v>Transitions de caméra et d’interface interruptibles ; aucun délai d’animation ne doit consommer une décision encore ouverte.</x:v>
      </x:c>
      <x:c r="K30" s="7" t="str">
        <x:v>Créer des bruitages et ambiances originaux adaptés au livrable ; sous-titrer les indices utiles et proposer un réglage indépendant des effets. Aucune extraction audio demandée.</x:v>
      </x:c>
      <x:c r="L30" s="7" t="str">
        <x:v>Prévu : fiche de données mea/qa/mp ; rattacher les ressources et états cités à cet identifiant. Aucun fichier de jeu créé par ce catalogue.</x:v>
      </x:c>
      <x:c r="M30" s="7" t="str"/>
      <x:c r="N30" s="7" t="str">
        <x:v>Le livrable « QA — séparation APEX / solo » possède une scène ou un scénario de contrôle ; ses règles proposées, ses conditions et ses retours visuels sont vérifiables séparément.</x:v>
      </x:c>
      <x:c r="O30" s="7" t="str">
        <x:v>MEA-SYS-STRIKE, MEA-SYS-MP-ROSTER</x:v>
      </x:c>
      <x:c r="P30" s="7" t="str">
        <x:v>Adaptation originale — spécification de production</x:v>
      </x:c>
      <x:c r="Q30" s="7" t="str"/>
      <x:c r="R30" s="7" t="str"/>
      <x:c r="S30" s="7" t="str">
        <x:v>Spécification à réaliser. Les champs adaptation, gameplay, visual, animation, audio et implementation décrivent le fan game ; ils ne donnent pas des caractéristiques officielles de l’œuvre.</x:v>
      </x:c>
    </x:row>
    <x:row r="31" ht="68" customHeight="1">
      <x:c r="A31" s="18" t="str">
        <x:v>MEA-QA-DEPTH</x:v>
      </x:c>
      <x:c r="B31" s="9" t="str">
        <x:v>QA — sprites et décors 3D</x:v>
      </x:c>
      <x:c r="C31" s="15" t="str">
        <x:v>Défini</x:v>
      </x:c>
      <x:c r="D31" s="16" t="str">
        <x:v>Extrapolation</x:v>
      </x:c>
      <x:c r="E31" s="16" t="str">
        <x:v>P1</x:v>
      </x:c>
      <x:c r="F31" s="9" t="str">
        <x:v>Livrable original proposé : QA — sprites et décors 3D.</x:v>
      </x:c>
      <x:c r="G31" s="9" t="str">
        <x:v>Tester hauteurs, couverts, caméra sous plafond et boss géant ; pivot au sol, masque de profondeur et sélection des sous-cibles restent stables.</x:v>
      </x:c>
      <x:c r="H31" s="9" t="str">
        <x:v>Tester hauteurs, couverts, caméra sous plafond et boss géant ; pivot au sol, masque de profondeur et sélection des sous-cibles restent stables.</x:v>
      </x:c>
      <x:c r="I31" s="9" t="str">
        <x:v>Arène d’essai de reliefs.</x:v>
      </x:c>
      <x:c r="J31" s="9" t="str">
        <x:v>Transitions de caméra et d’interface interruptibles ; aucun délai d’animation ne doit consommer une décision encore ouverte.</x:v>
      </x:c>
      <x:c r="K31" s="9" t="str">
        <x:v>Créer des bruitages et ambiances originaux adaptés au livrable ; sous-titrer les indices utiles et proposer un réglage indépendant des effets. Aucune extraction audio demandée.</x:v>
      </x:c>
      <x:c r="L31" s="9" t="str">
        <x:v>Prévu : fiche de données mea/qa/depth ; rattacher les ressources et états cités à cet identifiant. Aucun fichier de jeu créé par ce catalogue.</x:v>
      </x:c>
      <x:c r="M31" s="9" t="str"/>
      <x:c r="N31" s="9" t="str">
        <x:v>Le livrable « QA — sprites et décors 3D » possède une scène ou un scénario de contrôle ; ses règles proposées, ses conditions et ses retours visuels sont vérifiables séparément.</x:v>
      </x:c>
      <x:c r="O31" s="9" t="str">
        <x:v>MEA-SYS-VERTICAL, MEA-PRP-ARCHITECT-NODES</x:v>
      </x:c>
      <x:c r="P31" s="9" t="str">
        <x:v>Adaptation originale — spécification de production</x:v>
      </x:c>
      <x:c r="Q31" s="9" t="str"/>
      <x:c r="R31" s="9" t="str"/>
      <x:c r="S31" s="9" t="str">
        <x:v>Spécification à réaliser. Les champs adaptation, gameplay, visual, animation, audio et implementation décrivent le fan game ; ils ne donnent pas des caractéristiques officielles de l’œuvre.</x:v>
      </x:c>
    </x:row>
    <x:row r="32" ht="68" customHeight="1">
      <x:c r="A32" s="19" t="str">
        <x:v>MEA-QA-ACCESS</x:v>
      </x:c>
      <x:c r="B32" s="7" t="str">
        <x:v>QA — lecture des dangers</x:v>
      </x:c>
      <x:c r="C32" s="15" t="str">
        <x:v>Défini</x:v>
      </x:c>
      <x:c r="D32" s="17" t="str">
        <x:v>Extrapolation</x:v>
      </x:c>
      <x:c r="E32" s="17" t="str">
        <x:v>P1</x:v>
      </x:c>
      <x:c r="F32" s="7" t="str">
        <x:v>Livrable original proposé : QA — lecture des dangers.</x:v>
      </x:c>
      <x:c r="G32" s="7" t="str">
        <x:v>Parcours sans son, sans couleur et à faible mouvement ; scan, glyphes, saut, orbe et purification conservent signaux nécessaires.</x:v>
      </x:c>
      <x:c r="H32" s="7" t="str">
        <x:v>Parcours sans son, sans couleur et à faible mouvement ; scan, glyphes, saut, orbe et purification conservent signaux nécessaires.</x:v>
      </x:c>
      <x:c r="I32" s="7" t="str">
        <x:v>Captures des modes accessibles.</x:v>
      </x:c>
      <x:c r="J32" s="7" t="str">
        <x:v>Transitions de caméra et d’interface interruptibles ; aucun délai d’animation ne doit consommer une décision encore ouverte.</x:v>
      </x:c>
      <x:c r="K32" s="7" t="str">
        <x:v>Créer des bruitages et ambiances originaux adaptés au livrable ; sous-titrer les indices utiles et proposer un réglage indépendant des effets. Aucune extraction audio demandée.</x:v>
      </x:c>
      <x:c r="L32" s="7" t="str">
        <x:v>Prévu : fiche de données mea/qa/access ; rattacher les ressources et états cités à cet identifiant. Aucun fichier de jeu créé par ce catalogue.</x:v>
      </x:c>
      <x:c r="M32" s="7" t="str"/>
      <x:c r="N32" s="7" t="str">
        <x:v>Le livrable « QA — lecture des dangers » possède une scène ou un scénario de contrôle ; ses règles proposées, ses conditions et ses retours visuels sont vérifiables séparément.</x:v>
      </x:c>
      <x:c r="O32" s="7" t="str">
        <x:v>MEA-SYS-ACCESS</x:v>
      </x:c>
      <x:c r="P32" s="7" t="str">
        <x:v>Adaptation originale — spécification de production</x:v>
      </x:c>
      <x:c r="Q32" s="7" t="str"/>
      <x:c r="R32" s="7" t="str"/>
      <x:c r="S32" s="7" t="str">
        <x:v>Spécification à réaliser. Les champs adaptation, gameplay, visual, animation, audio et implementation décrivent le fan game ; ils ne donnent pas des caractéristiques officielles de l’œuvre.</x:v>
      </x:c>
    </x:row>
  </x:sheetData>
  <x:conditionalFormatting sqref="D7:D32">
    <x:cfRule type="cellIs" dxfId="96" priority="1" operator="equal">
      <x:formula>"À vérifier"</x:formula>
    </x:cfRule>
    <x:cfRule type="cellIs" dxfId="97" priority="2" operator="equal">
      <x:formula>"Extrapolation"</x:formula>
    </x:cfRule>
  </x:conditionalFormatting>
  <x:conditionalFormatting sqref="C7:C32">
    <x:cfRule type="cellIs" dxfId="98" priority="3" operator="equal">
      <x:formula>"Validé"</x:formula>
    </x:cfRule>
  </x:conditionalFormatting>
  <x:conditionalFormatting sqref="E7:E32">
    <x:cfRule type="cellIs" dxfId="99" priority="4" operator="equal">
      <x:formula>"P0"</x:formula>
    </x:cfRule>
  </x:conditionalFormatting>
  <x:dataValidations count="3">
    <x:dataValidation type="list" sqref="C7:C32">
      <x:formula1>"Défini,Prototype,Intégré,Validé"</x:formula1>
    </x:dataValidation>
    <x:dataValidation type="list" sqref="D7:D32">
      <x:formula1>"Établi,À vérifier,Extrapolation,Coupé attesté,Concept abandonné,Allégation écartée"</x:formula1>
    </x:dataValidation>
    <x:dataValidation type="list" sqref="E7:E32">
      <x:formula1>"P0,P1,P2"</x:formula1>
    </x:dataValidation>
  </x:dataValidations>
  <x:pageMargins left="0.7" right="0.7" top="0.75" bottom="0.75" header="0.3" footer="0.3"/>
  <x:tableParts count="1">
    <x:tablePart xmlns:r="http://schemas.openxmlformats.org/officeDocument/2006/relationships" r:id="R0c3b3fb8c11b4583"/>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72"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Andromeda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MEA-CON-TRILOGY</x:v>
      </x:c>
      <x:c r="B7" s="9" t="str">
        <x:v>Continuité — trilogie et Andromeda</x:v>
      </x:c>
      <x:c r="C7" s="15" t="str">
        <x:v>Défini</x:v>
      </x:c>
      <x:c r="D7" s="16" t="str">
        <x:v>Extrapolation</x:v>
      </x:c>
      <x:c r="E7" s="16" t="str">
        <x:v>P1</x:v>
      </x:c>
      <x:c r="F7" s="9" t="str">
        <x:v>Livrable original proposé : Continuité — trilogie et Andromeda.</x:v>
      </x:c>
      <x:c r="G7" s="9" t="str">
        <x:v>Chronologie de départ et d’arrivée distincte des choix de fin ME3 ; aucune importation de fin rouge/bleue/verte comme vérité du récit d’Andromeda.</x:v>
      </x:c>
      <x:c r="H7" s="9" t="str">
        <x:v>Chronologie de départ et d’arrivée distincte des choix de fin ME3 ; aucune importation de fin rouge/bleue/verte comme vérité du récit d’Andromeda.</x:v>
      </x:c>
      <x:c r="I7" s="9" t="str">
        <x:v>Deux frises de galaxies et événements.</x:v>
      </x:c>
      <x:c r="J7" s="9" t="str">
        <x:v>Transitions de caméra et d’interface interruptibles ; aucun délai d’animation ne doit consommer une décision encore ouverte.</x:v>
      </x:c>
      <x:c r="K7" s="9" t="str">
        <x:v>Créer des bruitages et ambiances originaux adaptés au livrable ; sous-titrer les indices utiles et proposer un réglage indépendant des effets. Aucune extraction audio demandée.</x:v>
      </x:c>
      <x:c r="L7" s="9" t="str">
        <x:v>Prévu : fiche de données mea/continuity/trilogy ; rattacher les ressources et états cités à cet identifiant. Aucun fichier de jeu créé par ce catalogue.</x:v>
      </x:c>
      <x:c r="M7" s="9" t="str"/>
      <x:c r="N7" s="9" t="str">
        <x:v>Le livrable « Continuité — trilogie et Andromeda » possède une scène ou un scénario de contrôle ; ses règles proposées, ses conditions et ses retours visuels sont vérifiables séparément.</x:v>
      </x:c>
      <x:c r="O7" s="9" t="str">
        <x:v>MEA-LOR-INITIATIVE</x:v>
      </x:c>
      <x:c r="P7" s="9" t="str">
        <x:v>Adaptation originale — spécification de production</x:v>
      </x:c>
      <x:c r="Q7" s="9" t="str"/>
      <x:c r="R7" s="9" t="str"/>
      <x:c r="S7" s="9" t="str">
        <x:v>Spécification à réaliser. Les champs adaptation, gameplay, visual, animation, audio et implementation décrivent le fan game ; ils ne donnent pas des caractéristiques officielles de l’œuvre.</x:v>
      </x:c>
    </x:row>
    <x:row r="8" ht="68" customHeight="1">
      <x:c r="A8" s="19" t="str">
        <x:v>MEA-CON-INITIATIVE</x:v>
      </x:c>
      <x:c r="B8" s="7" t="str">
        <x:v>Continuité — Nexus Uprising</x:v>
      </x:c>
      <x:c r="C8" s="15" t="str">
        <x:v>Défini</x:v>
      </x:c>
      <x:c r="D8" s="17" t="str">
        <x:v>Extrapolation</x:v>
      </x:c>
      <x:c r="E8" s="17" t="str">
        <x:v>P1</x:v>
      </x:c>
      <x:c r="F8" s="7" t="str">
        <x:v>Livrable original proposé : Continuité — Nexus Uprising.</x:v>
      </x:c>
      <x:c r="G8" s="7" t="str">
        <x:v>Événements du Nexus et départ des exilés renvoient au roman dans son propre catalogue ; pas d’invention de participation de Ryder avant réveil.</x:v>
      </x:c>
      <x:c r="H8" s="7" t="str">
        <x:v>Événements du Nexus et départ des exilés renvoient au roman dans son propre catalogue ; pas d’invention de participation de Ryder avant réveil.</x:v>
      </x:c>
      <x:c r="I8" s="7" t="str">
        <x:v>Bibliographie liée à lore d’exilés.</x:v>
      </x:c>
      <x:c r="J8" s="7" t="str">
        <x:v>Transitions de caméra et d’interface interruptibles ; aucun délai d’animation ne doit consommer une décision encore ouverte.</x:v>
      </x:c>
      <x:c r="K8" s="7" t="str">
        <x:v>Créer des bruitages et ambiances originaux adaptés au livrable ; sous-titrer les indices utiles et proposer un réglage indépendant des effets. Aucune extraction audio demandée.</x:v>
      </x:c>
      <x:c r="L8" s="7" t="str">
        <x:v>Prévu : fiche de données mea/continuity/initiative ; rattacher les ressources et états cités à cet identifiant. Aucun fichier de jeu créé par ce catalogue.</x:v>
      </x:c>
      <x:c r="M8" s="7" t="str"/>
      <x:c r="N8" s="7" t="str">
        <x:v>Le livrable « Continuité — Nexus Uprising » possède une scène ou un scénario de contrôle ; ses règles proposées, ses conditions et ses retours visuels sont vérifiables séparément.</x:v>
      </x:c>
      <x:c r="O8" s="7" t="str">
        <x:v>MEA-LOR-EXILES</x:v>
      </x:c>
      <x:c r="P8" s="7" t="str">
        <x:v>Adaptation originale — spécification de production</x:v>
      </x:c>
      <x:c r="Q8" s="7" t="str"/>
      <x:c r="R8" s="7" t="str"/>
      <x:c r="S8" s="7" t="str">
        <x:v>Spécification à réaliser. Les champs adaptation, gameplay, visual, animation, audio et implementation décrivent le fan game ; ils ne donnent pas des caractéristiques officielles de l’œuvre.</x:v>
      </x:c>
    </x:row>
    <x:row r="9" ht="68" customHeight="1">
      <x:c r="A9" s="18" t="str">
        <x:v>MEA-CON-INITIATION</x:v>
      </x:c>
      <x:c r="B9" s="9" t="str">
        <x:v>Continuité — Cora et SAM</x:v>
      </x:c>
      <x:c r="C9" s="15" t="str">
        <x:v>Défini</x:v>
      </x:c>
      <x:c r="D9" s="16" t="str">
        <x:v>Extrapolation</x:v>
      </x:c>
      <x:c r="E9" s="16" t="str">
        <x:v>P1</x:v>
      </x:c>
      <x:c r="F9" s="9" t="str">
        <x:v>Livrable original proposé : Continuité — Cora et SAM.</x:v>
      </x:c>
      <x:c r="G9" s="9" t="str">
        <x:v>Le roman Initiation éclaire un passé distinct ; les pouvoirs et missions du jeu restent définis par leur propre version.</x:v>
      </x:c>
      <x:c r="H9" s="9" t="str">
        <x:v>Le roman Initiation éclaire un passé distinct ; les pouvoirs et missions du jeu restent définis par leur propre version.</x:v>
      </x:c>
      <x:c r="I9" s="9" t="str">
        <x:v>Dossier de Cora et références de période.</x:v>
      </x:c>
      <x:c r="J9" s="9" t="str">
        <x:v>Transitions de caméra et d’interface interruptibles ; aucun délai d’animation ne doit consommer une décision encore ouverte.</x:v>
      </x:c>
      <x:c r="K9" s="9" t="str">
        <x:v>Créer des bruitages et ambiances originaux adaptés au livrable ; sous-titrer les indices utiles et proposer un réglage indépendant des effets. Aucune extraction audio demandée.</x:v>
      </x:c>
      <x:c r="L9" s="9" t="str">
        <x:v>Prévu : fiche de données mea/continuity/initiation ; rattacher les ressources et états cités à cet identifiant. Aucun fichier de jeu créé par ce catalogue.</x:v>
      </x:c>
      <x:c r="M9" s="9" t="str"/>
      <x:c r="N9" s="9" t="str">
        <x:v>Le livrable « Continuité — Cora et SAM » possède une scène ou un scénario de contrôle ; ses règles proposées, ses conditions et ses retours visuels sont vérifiables séparément.</x:v>
      </x:c>
      <x:c r="O9" s="9" t="str">
        <x:v>MEA-CHR-CORA</x:v>
      </x:c>
      <x:c r="P9" s="9" t="str">
        <x:v>Adaptation originale — spécification de production</x:v>
      </x:c>
      <x:c r="Q9" s="9" t="str"/>
      <x:c r="R9" s="9" t="str"/>
      <x:c r="S9" s="9" t="str">
        <x:v>Spécification à réaliser. Les champs adaptation, gameplay, visual, animation, audio et implementation décrivent le fan game ; ils ne donnent pas des caractéristiques officielles de l’œuvre.</x:v>
      </x:c>
    </x:row>
    <x:row r="10" ht="68" customHeight="1">
      <x:c r="A10" s="19" t="str">
        <x:v>MEA-CON-ANNIHILATION</x:v>
      </x:c>
      <x:c r="B10" s="7" t="str">
        <x:v>Continuité — Keelah Si’yah</x:v>
      </x:c>
      <x:c r="C10" s="15" t="str">
        <x:v>Défini</x:v>
      </x:c>
      <x:c r="D10" s="17" t="str">
        <x:v>Extrapolation</x:v>
      </x:c>
      <x:c r="E10" s="17" t="str">
        <x:v>P1</x:v>
      </x:c>
      <x:c r="F10" s="7" t="str">
        <x:v>Livrable original proposé : Continuité — Keelah Si’yah.</x:v>
      </x:c>
      <x:c r="G10" s="7" t="str">
        <x:v>Roman Annihilation traité séparément ; signal d’épilogue reste un appel non résolu par une extension solo supposée.</x:v>
      </x:c>
      <x:c r="H10" s="7" t="str">
        <x:v>Roman Annihilation traité séparément ; signal d’épilogue reste un appel non résolu par une extension solo supposée.</x:v>
      </x:c>
      <x:c r="I10" s="7" t="str">
        <x:v>Lien bibliographique et archive radio.</x:v>
      </x:c>
      <x:c r="J10" s="7" t="str">
        <x:v>Transitions de caméra et d’interface interruptibles ; aucun délai d’animation ne doit consommer une décision encore ouverte.</x:v>
      </x:c>
      <x:c r="K10" s="7" t="str">
        <x:v>Créer des bruitages et ambiances originaux adaptés au livrable ; sous-titrer les indices utiles et proposer un réglage indépendant des effets. Aucune extraction audio demandée.</x:v>
      </x:c>
      <x:c r="L10" s="7" t="str">
        <x:v>Prévu : fiche de données mea/continuity/annihilation ; rattacher les ressources et états cités à cet identifiant. Aucun fichier de jeu créé par ce catalogue.</x:v>
      </x:c>
      <x:c r="M10" s="7" t="str"/>
      <x:c r="N10" s="7" t="str">
        <x:v>Le livrable « Continuité — Keelah Si’yah » possède une scène ou un scénario de contrôle ; ses règles proposées, ses conditions et ses retours visuels sont vérifiables séparément.</x:v>
      </x:c>
      <x:c r="O10" s="7" t="str">
        <x:v>MEA-LOR-QUARIAN</x:v>
      </x:c>
      <x:c r="P10" s="7" t="str">
        <x:v>Adaptation originale — spécification de production</x:v>
      </x:c>
      <x:c r="Q10" s="7" t="str"/>
      <x:c r="R10" s="7" t="str"/>
      <x:c r="S10" s="7" t="str">
        <x:v>Spécification à réaliser. Les champs adaptation, gameplay, visual, animation, audio et implementation décrivent le fan game ; ils ne donnent pas des caractéristiques officielles de l’œuvre.</x:v>
      </x:c>
    </x:row>
    <x:row r="11" ht="68" customHeight="1">
      <x:c r="A11" s="18" t="str">
        <x:v>MEA-CON-DLC</x:v>
      </x:c>
      <x:c r="B11" s="9" t="str">
        <x:v>Continuité — absence de DLC solo publié</x:v>
      </x:c>
      <x:c r="C11" s="15" t="str">
        <x:v>Défini</x:v>
      </x:c>
      <x:c r="D11" s="16" t="str">
        <x:v>Extrapolation</x:v>
      </x:c>
      <x:c r="E11" s="16" t="str">
        <x:v>P1</x:v>
      </x:c>
      <x:c r="F11" s="9" t="str">
        <x:v>Livrable original proposé : Continuité — absence de DLC solo publié.</x:v>
      </x:c>
      <x:c r="G11" s="9" t="str">
        <x:v>Le message BioWare de 2017 annonce fin du suivi solo après 1.10 ; aucune mission d’arche quarienne, monde ou compagnon additionnel fictif ne remplit le catalogue.</x:v>
      </x:c>
      <x:c r="H11" s="9" t="str">
        <x:v>Le message BioWare de 2017 annonce fin du suivi solo après 1.10 ; aucune mission d’arche quarienne, monde ou compagnon additionnel fictif ne remplit le catalogue.</x:v>
      </x:c>
      <x:c r="I11" s="9" t="str">
        <x:v>Notice de périmètre des extensions.</x:v>
      </x:c>
      <x:c r="J11" s="9" t="str">
        <x:v>Transitions de caméra et d’interface interruptibles ; aucun délai d’animation ne doit consommer une décision encore ouverte.</x:v>
      </x:c>
      <x:c r="K11" s="9" t="str">
        <x:v>Créer des bruitages et ambiances originaux adaptés au livrable ; sous-titrer les indices utiles et proposer un réglage indépendant des effets. Aucune extraction audio demandée.</x:v>
      </x:c>
      <x:c r="L11" s="9" t="str">
        <x:v>Prévu : fiche de données mea/continuity/dlc ; rattacher les ressources et états cités à cet identifiant. Aucun fichier de jeu créé par ce catalogue.</x:v>
      </x:c>
      <x:c r="M11" s="9" t="str"/>
      <x:c r="N11" s="9" t="str">
        <x:v>Le livrable « Continuité — absence de DLC solo publié » possède une scène ou un scénario de contrôle ; ses règles proposées, ses conditions et ses retours visuels sont vérifiables séparément.</x:v>
      </x:c>
      <x:c r="O11" s="9" t="str">
        <x:v>MEA-PRP-QUARIAN-SIGNAL</x:v>
      </x:c>
      <x:c r="P11" s="9" t="str">
        <x:v>Message BioWare du 19 août 2017</x:v>
      </x:c>
      <x:c r="Q11" s="9" t="str">
        <x:v>MEA-SRC-BW-FINAL</x:v>
      </x:c>
      <x:c r="R11" s="9" t="str">
        <x:v>https://blog.bioware.com/2017/08/19/mass-effect-andromeda/</x:v>
      </x:c>
      <x:c r="S11" s="9" t="str">
        <x:v>Spécification à réaliser. Les champs adaptation, gameplay, visual, animation, audio et implementation décrivent le fan game ; ils ne donnent pas des caractéristiques officielles de l’œuvre.</x:v>
      </x:c>
    </x:row>
    <x:row r="12" ht="68" customHeight="1">
      <x:c r="A12" s="19" t="str">
        <x:v>MEA-CON-PATCH108</x:v>
      </x:c>
      <x:c r="B12" s="7" t="str">
        <x:v>Continuité — patch 1.08</x:v>
      </x:c>
      <x:c r="C12" s="15" t="str">
        <x:v>Défini</x:v>
      </x:c>
      <x:c r="D12" s="17" t="str">
        <x:v>Extrapolation</x:v>
      </x:c>
      <x:c r="E12" s="17" t="str">
        <x:v>P1</x:v>
      </x:c>
      <x:c r="F12" s="7" t="str">
        <x:v>Livrable original proposé : Continuité — patch 1.08.</x:v>
      </x:c>
      <x:c r="G12" s="7" t="str">
        <x:v>Jaal/Scott, personnalisation et ajustements de dialogue ont une version ; conserver règles choisies dans sauvegarde et fiches de relation.</x:v>
      </x:c>
      <x:c r="H12" s="7" t="str">
        <x:v>Jaal/Scott, personnalisation et ajustements de dialogue ont une version ; conserver règles choisies dans sauvegarde et fiches de relation.</x:v>
      </x:c>
      <x:c r="I12" s="7" t="str">
        <x:v>Badge de patch et journal de variation.</x:v>
      </x:c>
      <x:c r="J12" s="7" t="str">
        <x:v>Transitions de caméra et d’interface interruptibles ; aucun délai d’animation ne doit consommer une décision encore ouverte.</x:v>
      </x:c>
      <x:c r="K12" s="7" t="str">
        <x:v>Créer des bruitages et ambiances originaux adaptés au livrable ; sous-titrer les indices utiles et proposer un réglage indépendant des effets. Aucune extraction audio demandée.</x:v>
      </x:c>
      <x:c r="L12" s="7" t="str">
        <x:v>Prévu : fiche de données mea/continuity/patch108 ; rattacher les ressources et états cités à cet identifiant. Aucun fichier de jeu créé par ce catalogue.</x:v>
      </x:c>
      <x:c r="M12" s="7" t="str"/>
      <x:c r="N12" s="7" t="str">
        <x:v>Le livrable « Continuité — patch 1.08 » possède une scène ou un scénario de contrôle ; ses règles proposées, ses conditions et ses retours visuels sont vérifiables séparément.</x:v>
      </x:c>
      <x:c r="O12" s="7" t="str">
        <x:v>MEA-SYS-RELATIONS, MEA-NPC-HAINLY</x:v>
      </x:c>
      <x:c r="P12" s="7" t="str">
        <x:v>Adaptation originale — spécification de production</x:v>
      </x:c>
      <x:c r="Q12" s="7" t="str">
        <x:v>MEA-SRC-BW-108</x:v>
      </x:c>
      <x:c r="R12" s="7" t="str">
        <x:v>https://blog.bioware.com/2017/06/06/mass-effect-andromeda-patch-1-08-notes/</x:v>
      </x:c>
      <x:c r="S12" s="7" t="str">
        <x:v>Spécification à réaliser. Les champs adaptation, gameplay, visual, animation, audio et implementation décrivent le fan game ; ils ne donnent pas des caractéristiques officielles de l’œuvre.</x:v>
      </x:c>
    </x:row>
    <x:row r="13" ht="68" customHeight="1">
      <x:c r="A13" s="18" t="str">
        <x:v>MEA-CON-PATCH110</x:v>
      </x:c>
      <x:c r="B13" s="9" t="str">
        <x:v>Continuité — patch et bugs</x:v>
      </x:c>
      <x:c r="C13" s="15" t="str">
        <x:v>Défini</x:v>
      </x:c>
      <x:c r="D13" s="16" t="str">
        <x:v>Extrapolation</x:v>
      </x:c>
      <x:c r="E13" s="16" t="str">
        <x:v>P1</x:v>
      </x:c>
      <x:c r="F13" s="9" t="str">
        <x:v>Livrable original proposé : Continuité — patch et bugs.</x:v>
      </x:c>
      <x:c r="G13" s="9" t="str">
        <x:v>Corrections de dialogue/sauvegarde servent à définir scénarios QA ; aucun bug de lancement reproduit comme caractéristique voulue de l’adaptation.</x:v>
      </x:c>
      <x:c r="H13" s="9" t="str">
        <x:v>Corrections de dialogue/sauvegarde servent à définir scénarios QA ; aucun bug de lancement reproduit comme caractéristique voulue de l’adaptation.</x:v>
      </x:c>
      <x:c r="I13" s="9" t="str">
        <x:v>Table d’écarts de version.</x:v>
      </x:c>
      <x:c r="J13" s="9" t="str">
        <x:v>Transitions de caméra et d’interface interruptibles ; aucun délai d’animation ne doit consommer une décision encore ouverte.</x:v>
      </x:c>
      <x:c r="K13" s="9" t="str">
        <x:v>Créer des bruitages et ambiances originaux adaptés au livrable ; sous-titrer les indices utiles et proposer un réglage indépendant des effets. Aucune extraction audio demandée.</x:v>
      </x:c>
      <x:c r="L13" s="9" t="str">
        <x:v>Prévu : fiche de données mea/continuity/patch110 ; rattacher les ressources et états cités à cet identifiant. Aucun fichier de jeu créé par ce catalogue.</x:v>
      </x:c>
      <x:c r="M13" s="9" t="str"/>
      <x:c r="N13" s="9" t="str">
        <x:v>Le livrable « Continuité — patch et bugs » possède une scène ou un scénario de contrôle ; ses règles proposées, ses conditions et ses retours visuels sont vérifiables séparément.</x:v>
      </x:c>
      <x:c r="O13" s="9" t="str">
        <x:v>MEA-SYS-SAVE</x:v>
      </x:c>
      <x:c r="P13" s="9" t="str">
        <x:v>Adaptation originale — spécification de production</x:v>
      </x:c>
      <x:c r="Q13" s="9" t="str">
        <x:v>MEA-SRC-BW-106, MEA-SRC-BW-FINAL</x:v>
      </x:c>
      <x:c r="R13" s="9" t="str">
        <x:v>https://blog.bioware.com/2017/05/09/mass-effect-andromeda-patch-1-06-notes/
https://blog.bioware.com/2017/08/19/mass-effect-andromeda/</x:v>
      </x:c>
      <x:c r="S13" s="9" t="str">
        <x:v>Spécification à réaliser. Les champs adaptation, gameplay, visual, animation, audio et implementation décrivent le fan game ; ils ne donnent pas des caractéristiques officielles de l’œuvre.</x:v>
      </x:c>
    </x:row>
    <x:row r="14" ht="68" customHeight="1">
      <x:c r="A14" s="19" t="str">
        <x:v>MEA-CON-ROSTER</x:v>
      </x:c>
      <x:c r="B14" s="7" t="str">
        <x:v>Continuité — six équipiers de Tempest</x:v>
      </x:c>
      <x:c r="C14" s="15" t="str">
        <x:v>Défini</x:v>
      </x:c>
      <x:c r="D14" s="17" t="str">
        <x:v>Extrapolation</x:v>
      </x:c>
      <x:c r="E14" s="17" t="str">
        <x:v>P1</x:v>
      </x:c>
      <x:c r="F14" s="7" t="str">
        <x:v>Livrable original proposé : Continuité — six équipiers de Tempest.</x:v>
      </x:c>
      <x:c r="G14" s="7" t="str">
        <x:v>Cora, Liam, Vetra, Jaal, Drack et Peebee restent groupe permanent ; Alec prologue, jumeau temporaire et classes APEX ont des portées distinctes.</x:v>
      </x:c>
      <x:c r="H14" s="7" t="str">
        <x:v>Cora, Liam, Vetra, Jaal, Drack et Peebee restent groupe permanent ; Alec prologue, jumeau temporaire et classes APEX ont des portées distinctes.</x:v>
      </x:c>
      <x:c r="I14" s="7" t="str">
        <x:v>Roster avec raisons de présence.</x:v>
      </x:c>
      <x:c r="J14" s="7" t="str">
        <x:v>Transitions de caméra et d’interface interruptibles ; aucun délai d’animation ne doit consommer une décision encore ouverte.</x:v>
      </x:c>
      <x:c r="K14" s="7" t="str">
        <x:v>Créer des bruitages et ambiances originaux adaptés au livrable ; sous-titrer les indices utiles et proposer un réglage indépendant des effets. Aucune extraction audio demandée.</x:v>
      </x:c>
      <x:c r="L14" s="7" t="str">
        <x:v>Prévu : fiche de données mea/continuity/roster ; rattacher les ressources et états cités à cet identifiant. Aucun fichier de jeu créé par ce catalogue.</x:v>
      </x:c>
      <x:c r="M14" s="7" t="str"/>
      <x:c r="N14" s="7" t="str">
        <x:v>Le livrable « Continuité — six équipiers de Tempest » possède une scène ou un scénario de contrôle ; ses règles proposées, ses conditions et ses retours visuels sont vérifiables séparément.</x:v>
      </x:c>
      <x:c r="O14" s="7" t="str">
        <x:v>MEA-CHR-ALEC, MEA-NPC-TWIN</x:v>
      </x:c>
      <x:c r="P14" s="7" t="str">
        <x:v>Adaptation originale — spécification de production</x:v>
      </x:c>
      <x:c r="Q14" s="7" t="str"/>
      <x:c r="R14" s="7" t="str"/>
      <x:c r="S14" s="7" t="str">
        <x:v>Spécification à réaliser. Les champs adaptation, gameplay, visual, animation, audio et implementation décrivent le fan game ; ils ne donnent pas des caractéristiques officielles de l’œuvre.</x:v>
      </x:c>
    </x:row>
    <x:row r="15" ht="68" customHeight="1">
      <x:c r="A15" s="18" t="str">
        <x:v>MEA-CON-PATHFINDERS</x:v>
      </x:c>
      <x:c r="B15" s="9" t="str">
        <x:v>Continuité — fonctions et personnes</x:v>
      </x:c>
      <x:c r="C15" s="15" t="str">
        <x:v>Défini</x:v>
      </x:c>
      <x:c r="D15" s="16" t="str">
        <x:v>Extrapolation</x:v>
      </x:c>
      <x:c r="E15" s="16" t="str">
        <x:v>P1</x:v>
      </x:c>
      <x:c r="F15" s="9" t="str">
        <x:v>Livrable original proposé : Continuité — fonctions et personnes.</x:v>
      </x:c>
      <x:c r="G15" s="9" t="str">
        <x:v>Raeka/Hayjer, Sarissa/Vederia et Avitus/Macen ; un rôle vacant n’est pas rempli par substitution automatique non choisie.</x:v>
      </x:c>
      <x:c r="H15" s="9" t="str">
        <x:v>Raeka/Hayjer, Sarissa/Vederia et Avitus/Macen ; un rôle vacant n’est pas rempli par substitution automatique non choisie.</x:v>
      </x:c>
      <x:c r="I15" s="9" t="str">
        <x:v>Matrice des postes et survivants.</x:v>
      </x:c>
      <x:c r="J15" s="9" t="str">
        <x:v>Transitions de caméra et d’interface interruptibles ; aucun délai d’animation ne doit consommer une décision encore ouverte.</x:v>
      </x:c>
      <x:c r="K15" s="9" t="str">
        <x:v>Créer des bruitages et ambiances originaux adaptés au livrable ; sous-titrer les indices utiles et proposer un réglage indépendant des effets. Aucune extraction audio demandée.</x:v>
      </x:c>
      <x:c r="L15" s="9" t="str">
        <x:v>Prévu : fiche de données mea/continuity/pathfinders ; rattacher les ressources et états cités à cet identifiant. Aucun fichier de jeu créé par ce catalogue.</x:v>
      </x:c>
      <x:c r="M15" s="9" t="str"/>
      <x:c r="N15" s="9" t="str">
        <x:v>Le livrable « Continuité — fonctions et personnes » possède une scène ou un scénario de contrôle ; ses règles proposées, ses conditions et ses retours visuels sont vérifiables séparément.</x:v>
      </x:c>
      <x:c r="O15" s="9" t="str">
        <x:v>MEA-CHO-DUNN</x:v>
      </x:c>
      <x:c r="P15" s="9" t="str">
        <x:v>Adaptation originale — spécification de production</x:v>
      </x:c>
      <x:c r="Q15" s="9" t="str"/>
      <x:c r="R15" s="9" t="str"/>
      <x:c r="S15" s="9" t="str">
        <x:v>Spécification à réaliser. Les champs adaptation, gameplay, visual, animation, audio et implementation décrivent le fan game ; ils ne donnent pas des caractéristiques officielles de l’œuvre.</x:v>
      </x:c>
    </x:row>
    <x:row r="16" ht="68" customHeight="1">
      <x:c r="A16" s="19" t="str">
        <x:v>MEA-CON-COLONIES</x:v>
      </x:c>
      <x:c r="B16" s="7" t="str">
        <x:v>Continuité — restauration et accords</x:v>
      </x:c>
      <x:c r="C16" s="15" t="str">
        <x:v>Défini</x:v>
      </x:c>
      <x:c r="D16" s="17" t="str">
        <x:v>Extrapolation</x:v>
      </x:c>
      <x:c r="E16" s="17" t="str">
        <x:v>P1</x:v>
      </x:c>
      <x:c r="F16" s="7" t="str">
        <x:v>Livrable original proposé : Continuité — restauration et accords.</x:v>
      </x:c>
      <x:c r="G16" s="7" t="str">
        <x:v>Caveau, danger, viabilité et fondation suivent quatre axes ; politique de Kadara/Elaaden reste visible après final.</x:v>
      </x:c>
      <x:c r="H16" s="7" t="str">
        <x:v>Caveau, danger, viabilité et fondation suivent quatre axes ; politique de Kadara/Elaaden reste visible après final.</x:v>
      </x:c>
      <x:c r="I16" s="7" t="str">
        <x:v>Carte avant/après avec états.</x:v>
      </x:c>
      <x:c r="J16" s="7" t="str">
        <x:v>Transitions de caméra et d’interface interruptibles ; aucun délai d’animation ne doit consommer une décision encore ouverte.</x:v>
      </x:c>
      <x:c r="K16" s="7" t="str">
        <x:v>Créer des bruitages et ambiances originaux adaptés au livrable ; sous-titrer les indices utiles et proposer un réglage indépendant des effets. Aucune extraction audio demandée.</x:v>
      </x:c>
      <x:c r="L16" s="7" t="str">
        <x:v>Prévu : fiche de données mea/continuity/colonies ; rattacher les ressources et états cités à cet identifiant. Aucun fichier de jeu créé par ce catalogue.</x:v>
      </x:c>
      <x:c r="M16" s="7" t="str"/>
      <x:c r="N16" s="7" t="str">
        <x:v>Le livrable « Continuité — restauration et accords » possède une scène ou un scénario de contrôle ; ses règles proposées, ses conditions et ses retours visuels sont vérifiables séparément.</x:v>
      </x:c>
      <x:c r="O16" s="7" t="str">
        <x:v>MEA-SYS-VIABILITY</x:v>
      </x:c>
      <x:c r="P16" s="7" t="str">
        <x:v>Adaptation originale — spécification de production</x:v>
      </x:c>
      <x:c r="Q16" s="7" t="str"/>
      <x:c r="R16" s="7" t="str"/>
      <x:c r="S16" s="7" t="str">
        <x:v>Spécification à réaliser. Les champs adaptation, gameplay, visual, animation, audio et implementation décrivent le fan game ; ils ne donnent pas des caractéristiques officielles de l’œuvre.</x:v>
      </x:c>
    </x:row>
    <x:row r="17" ht="68" customHeight="1">
      <x:c r="A17" s="18" t="str">
        <x:v>MEA-CON-FAMILY</x:v>
      </x:c>
      <x:c r="B17" s="9" t="str">
        <x:v>Continuité — mystères familiaux</x:v>
      </x:c>
      <x:c r="C17" s="15" t="str">
        <x:v>Défini</x:v>
      </x:c>
      <x:c r="D17" s="16" t="str">
        <x:v>Extrapolation</x:v>
      </x:c>
      <x:c r="E17" s="16" t="str">
        <x:v>P1</x:v>
      </x:c>
      <x:c r="F17" s="9" t="str">
        <x:v>Livrable original proposé : Continuité — mystères familiaux.</x:v>
      </x:c>
      <x:c r="G17" s="9" t="str">
        <x:v>Révélation d’Ellen est un fait conditionnel découvert ; identité du Bienfaiteur et suite du projet ne sont pas résolues par le fan game comme canon.</x:v>
      </x:c>
      <x:c r="H17" s="9" t="str">
        <x:v>Révélation d’Ellen est un fait conditionnel découvert ; identité du Bienfaiteur et suite du projet ne sont pas résolues par le fan game comme canon.</x:v>
      </x:c>
      <x:c r="I17" s="9" t="str">
        <x:v>Dossier de connaissances acquises.</x:v>
      </x:c>
      <x:c r="J17" s="9" t="str">
        <x:v>Transitions de caméra et d’interface interruptibles ; aucun délai d’animation ne doit consommer une décision encore ouverte.</x:v>
      </x:c>
      <x:c r="K17" s="9" t="str">
        <x:v>Créer des bruitages et ambiances originaux adaptés au livrable ; sous-titrer les indices utiles et proposer un réglage indépendant des effets. Aucune extraction audio demandée.</x:v>
      </x:c>
      <x:c r="L17" s="9" t="str">
        <x:v>Prévu : fiche de données mea/continuity/family ; rattacher les ressources et états cités à cet identifiant. Aucun fichier de jeu créé par ce catalogue.</x:v>
      </x:c>
      <x:c r="M17" s="9" t="str"/>
      <x:c r="N17" s="9" t="str">
        <x:v>Le livrable « Continuité — mystères familiaux » possède une scène ou un scénario de contrôle ; ses règles proposées, ses conditions et ses retours visuels sont vérifiables séparément.</x:v>
      </x:c>
      <x:c r="O17" s="9" t="str">
        <x:v>MEA-SQ-FAMILY</x:v>
      </x:c>
      <x:c r="P17" s="9" t="str">
        <x:v>Adaptation originale — spécification de production</x:v>
      </x:c>
      <x:c r="Q17" s="9" t="str"/>
      <x:c r="R17" s="9" t="str"/>
      <x:c r="S17" s="9" t="str">
        <x:v>Spécification à réaliser. Les champs adaptation, gameplay, visual, animation, audio et implementation décrivent le fan game ; ils ne donnent pas des caractéristiques officielles de l’œuvre.</x:v>
      </x:c>
    </x:row>
    <x:row r="18" ht="68" customHeight="1">
      <x:c r="A18" s="19" t="str">
        <x:v>MEA-CON-LOYALTY</x:v>
      </x:c>
      <x:c r="B18" s="7" t="str">
        <x:v>Continuité — sens de la loyauté</x:v>
      </x:c>
      <x:c r="C18" s="15" t="str">
        <x:v>Défini</x:v>
      </x:c>
      <x:c r="D18" s="17" t="str">
        <x:v>Extrapolation</x:v>
      </x:c>
      <x:c r="E18" s="17" t="str">
        <x:v>P1</x:v>
      </x:c>
      <x:c r="F18" s="7" t="str">
        <x:v>Livrable original proposé : Continuité — sens de la loyauté.</x:v>
      </x:c>
      <x:c r="G18" s="7" t="str">
        <x:v>Les missions débloquent progression et scènes ; ne pas copier la sélection de spécialistes et la mortalité de la suicide mission ME2.</x:v>
      </x:c>
      <x:c r="H18" s="7" t="str">
        <x:v>Les missions débloquent progression et scènes ; ne pas copier la sélection de spécialistes et la mortalité de la suicide mission ME2.</x:v>
      </x:c>
      <x:c r="I18" s="7" t="str">
        <x:v>Comparaison des systèmes sans import de règle.</x:v>
      </x:c>
      <x:c r="J18" s="7" t="str">
        <x:v>Transitions de caméra et d’interface interruptibles ; aucun délai d’animation ne doit consommer une décision encore ouverte.</x:v>
      </x:c>
      <x:c r="K18" s="7" t="str">
        <x:v>Créer des bruitages et ambiances originaux adaptés au livrable ; sous-titrer les indices utiles et proposer un réglage indépendant des effets. Aucune extraction audio demandée.</x:v>
      </x:c>
      <x:c r="L18" s="7" t="str">
        <x:v>Prévu : fiche de données mea/continuity/loyalty ; rattacher les ressources et états cités à cet identifiant. Aucun fichier de jeu créé par ce catalogue.</x:v>
      </x:c>
      <x:c r="M18" s="7" t="str"/>
      <x:c r="N18" s="7" t="str">
        <x:v>Le livrable « Continuité — sens de la loyauté » possède une scène ou un scénario de contrôle ; ses règles proposées, ses conditions et ses retours visuels sont vérifiables séparément.</x:v>
      </x:c>
      <x:c r="O18" s="7" t="str">
        <x:v>MEA-SYS-LOYALTY</x:v>
      </x:c>
      <x:c r="P18" s="7" t="str">
        <x:v>Adaptation originale — spécification de production</x:v>
      </x:c>
      <x:c r="Q18" s="7" t="str"/>
      <x:c r="R18" s="7" t="str"/>
      <x:c r="S18" s="7" t="str">
        <x:v>Spécification à réaliser. Les champs adaptation, gameplay, visual, animation, audio et implementation décrivent le fan game ; ils ne donnent pas des caractéristiques officielles de l’œuvre.</x:v>
      </x:c>
    </x:row>
    <x:row r="19" ht="68" customHeight="1">
      <x:c r="A19" s="18" t="str">
        <x:v>MEA-CON-MULTI</x:v>
      </x:c>
      <x:c r="B19" s="9" t="str">
        <x:v>Continuité — APEX et campagne</x:v>
      </x:c>
      <x:c r="C19" s="15" t="str">
        <x:v>Défini</x:v>
      </x:c>
      <x:c r="D19" s="16" t="str">
        <x:v>Extrapolation</x:v>
      </x:c>
      <x:c r="E19" s="16" t="str">
        <x:v>P1</x:v>
      </x:c>
      <x:c r="F19" s="9" t="str">
        <x:v>Livrable original proposé : Continuité — APEX et campagne.</x:v>
      </x:c>
      <x:c r="G19" s="9" t="str">
        <x:v>Le multi complète contexte et récompenses facultatives ; ni Prestige ni statistiques Veteran Bonus ne deviennent des capacités de Ryder.</x:v>
      </x:c>
      <x:c r="H19" s="9" t="str">
        <x:v>Le multi complète contexte et récompenses facultatives ; ni Prestige ni statistiques Veteran Bonus ne deviennent des capacités de Ryder.</x:v>
      </x:c>
      <x:c r="I19" s="9" t="str">
        <x:v>Manifeste de modes et sauvegardes.</x:v>
      </x:c>
      <x:c r="J19" s="9" t="str">
        <x:v>Transitions de caméra et d’interface interruptibles ; aucun délai d’animation ne doit consommer une décision encore ouverte.</x:v>
      </x:c>
      <x:c r="K19" s="9" t="str">
        <x:v>Créer des bruitages et ambiances originaux adaptés au livrable ; sous-titrer les indices utiles et proposer un réglage indépendant des effets. Aucune extraction audio demandée.</x:v>
      </x:c>
      <x:c r="L19" s="9" t="str">
        <x:v>Prévu : fiche de données mea/continuity/multi ; rattacher les ressources et états cités à cet identifiant. Aucun fichier de jeu créé par ce catalogue.</x:v>
      </x:c>
      <x:c r="M19" s="9" t="str"/>
      <x:c r="N19" s="9" t="str">
        <x:v>Le livrable « Continuité — APEX et campagne » possède une scène ou un scénario de contrôle ; ses règles proposées, ses conditions et ses retours visuels sont vérifiables séparément.</x:v>
      </x:c>
      <x:c r="O19" s="9" t="str">
        <x:v>MEA-SYS-MP-ROSTER</x:v>
      </x:c>
      <x:c r="P19" s="9" t="str">
        <x:v>Adaptation originale — spécification de production</x:v>
      </x:c>
      <x:c r="Q19" s="9" t="str"/>
      <x:c r="R19" s="9" t="str"/>
      <x:c r="S19" s="9" t="str">
        <x:v>Spécification à réaliser. Les champs adaptation, gameplay, visual, animation, audio et implementation décrivent le fan game ; ils ne donnent pas des caractéristiques officielles de l’œuvre.</x:v>
      </x:c>
    </x:row>
    <x:row r="20" ht="68" customHeight="1">
      <x:c r="A20" s="19" t="str">
        <x:v>MEA-CON-ORIGINAL</x:v>
      </x:c>
      <x:c r="B20" s="7" t="str">
        <x:v>Continuité — statut des créations</x:v>
      </x:c>
      <x:c r="C20" s="15" t="str">
        <x:v>Défini</x:v>
      </x:c>
      <x:c r="D20" s="17" t="str">
        <x:v>Extrapolation</x:v>
      </x:c>
      <x:c r="E20" s="17" t="str">
        <x:v>P1</x:v>
      </x:c>
      <x:c r="F20" s="7" t="str">
        <x:v>Livrable original proposé : Continuité — statut des créations.</x:v>
      </x:c>
      <x:c r="G20" s="7" t="str">
        <x:v>ATB, arènes proposées, contrôles, animations, sons et ressources graphiques sont du design original ; aucune valeur de dégâts ne prétend reconstituer BioWare.</x:v>
      </x:c>
      <x:c r="H20" s="7" t="str">
        <x:v>ATB, arènes proposées, contrôles, animations, sons et ressources graphiques sont du design original ; aucune valeur de dégâts ne prétend reconstituer BioWare.</x:v>
      </x:c>
      <x:c r="I20" s="7" t="str">
        <x:v>Bandeau de nature et source.</x:v>
      </x:c>
      <x:c r="J20" s="7" t="str">
        <x:v>Transitions de caméra et d’interface interruptibles ; aucun délai d’animation ne doit consommer une décision encore ouverte.</x:v>
      </x:c>
      <x:c r="K20" s="7" t="str">
        <x:v>Créer des bruitages et ambiances originaux adaptés au livrable ; sous-titrer les indices utiles et proposer un réglage indépendant des effets. Aucune extraction audio demandée.</x:v>
      </x:c>
      <x:c r="L20" s="7" t="str">
        <x:v>Prévu : fiche de données mea/continuity/original ; rattacher les ressources et états cités à cet identifiant. Aucun fichier de jeu créé par ce catalogue.</x:v>
      </x:c>
      <x:c r="M20" s="7" t="str"/>
      <x:c r="N20" s="7" t="str">
        <x:v>Le livrable « Continuité — statut des créations » possède une scène ou un scénario de contrôle ; ses règles proposées, ses conditions et ses retours visuels sont vérifiables séparément.</x:v>
      </x:c>
      <x:c r="O20" s="7" t="str">
        <x:v>MEA-SYS-ATB</x:v>
      </x:c>
      <x:c r="P20" s="7" t="str">
        <x:v>Adaptation originale — spécification de production</x:v>
      </x:c>
      <x:c r="Q20" s="7" t="str"/>
      <x:c r="R20" s="7" t="str"/>
      <x:c r="S20" s="7" t="str">
        <x:v>Spécification à réaliser. Les champs adaptation, gameplay, visual, animation, audio et implementation décrivent le fan game ; ils ne donnent pas des caractéristiques officielles de l’œuvre.</x:v>
      </x:c>
    </x:row>
  </x:sheetData>
  <x:conditionalFormatting sqref="D7:D20">
    <x:cfRule type="cellIs" dxfId="100" priority="1" operator="equal">
      <x:formula>"À vérifier"</x:formula>
    </x:cfRule>
    <x:cfRule type="cellIs" dxfId="101" priority="2" operator="equal">
      <x:formula>"Extrapolation"</x:formula>
    </x:cfRule>
  </x:conditionalFormatting>
  <x:conditionalFormatting sqref="C7:C20">
    <x:cfRule type="cellIs" dxfId="102" priority="3" operator="equal">
      <x:formula>"Validé"</x:formula>
    </x:cfRule>
  </x:conditionalFormatting>
  <x:conditionalFormatting sqref="E7:E20">
    <x:cfRule type="cellIs" dxfId="103" priority="4" operator="equal">
      <x:formula>"P0"</x:formula>
    </x:cfRule>
  </x:conditionalFormatting>
  <x:dataValidations count="3">
    <x:dataValidation type="list" sqref="C7:C20">
      <x:formula1>"Défini,Prototype,Intégré,Validé"</x:formula1>
    </x:dataValidation>
    <x:dataValidation type="list" sqref="D7:D20">
      <x:formula1>"Établi,À vérifier,Extrapolation,Coupé attesté,Concept abandonné,Allégation écartée"</x:formula1>
    </x:dataValidation>
    <x:dataValidation type="list" sqref="E7:E20">
      <x:formula1>"P0,P1,P2"</x:formula1>
    </x:dataValidation>
  </x:dataValidations>
  <x:pageMargins left="0.7" right="0.7" top="0.75" bottom="0.75" header="0.3" footer="0.3"/>
  <x:tableParts count="1">
    <x:tablePart xmlns:r="http://schemas.openxmlformats.org/officeDocument/2006/relationships" r:id="R3709699d812448fb"/>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Andromeda</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Andromeda</x:v>
      </x:c>
      <x:c r="C7" s="2"/>
      <x:c r="D7" s="2"/>
      <x:c r="E7" s="2"/>
      <x:c r="F7" s="2"/>
    </x:row>
    <x:row r="8" ht="30" customHeight="1">
      <x:c r="A8" s="7" t="str">
        <x:v>Support</x:v>
      </x:c>
      <x:c r="B8" s="7" t="str">
        <x:v>Jeu vidéo</x:v>
      </x:c>
      <x:c r="C8" s="2"/>
      <x:c r="D8" s="2"/>
      <x:c r="E8" s="2"/>
      <x:c r="F8" s="2"/>
    </x:row>
    <x:row r="9" ht="82" customHeight="1">
      <x:c r="A9" s="7" t="str">
        <x:v>Périmètre</x:v>
      </x:c>
      <x:c r="B9" s="7" t="str">
        <x:v>Campagne solo complète comme périmètre de préparation, grands arcs d’alliés, mondes de Heleus, tâches représentatives et épilogue. Profils de patch explicités. APEX et multijoueur coopératif sont des modules séparés ; aucun DLC narratif solo hypothétique ni résolution inventée de l’arche quarienne.</x:v>
      </x:c>
      <x:c r="C9" s="2"/>
      <x:c r="D9" s="2"/>
      <x:c r="E9" s="2"/>
      <x:c r="F9" s="2"/>
    </x:row>
    <x:row r="10" ht="54" customHeight="1">
      <x:c r="A10" s="7" t="str">
        <x:v>Projet</x:v>
      </x:c>
      <x:c r="B10" s="7" t="str">
        <x:v>763 fiches de production ; 52 fiches au stade Prototype de portée partielle. Les autres livrables restent des spécifications ; aucun achèvement intégral 1:1 revendiqué.</x:v>
      </x:c>
      <x:c r="C10" s="2"/>
      <x:c r="D10" s="2"/>
      <x:c r="E10" s="2"/>
      <x:c r="F10" s="2"/>
    </x:row>
    <x:row r="11" ht="124" customHeight="1">
      <x:c r="A11" s="7" t="str">
        <x:v>Références et limites</x:v>
      </x:c>
      <x:c r="B11" s="7" t="str">
        <x:v>Les faits de l’œuvre sont limités au champ description et à leur référence. Toutes les règles ATB, les valeurs de réglage, les découpages d’arènes, les mouvements combinés et les ressources proposées sont des créations d’adaptation. Les variantes de choix sont mutuellement conditionnelles ; aucune partie type ne devient canon universel. Les sources wiki restent secondaires et les intitulés anglais servent de clés de recherche, pas de traduction française officielle.</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42" customHeight="1">
      <x:c r="A27" s="6" t="str">
        <x:v>MEA-SRC-EA-GAME</x:v>
      </x:c>
      <x:c r="B27" s="6" t="str">
        <x:v>Mass Effect: Andromeda — EA</x:v>
      </x:c>
      <x:c r="C27" s="6" t="str">
        <x:v>source officielle</x:v>
      </x:c>
      <x:c r="D27" s="6" t="str">
        <x:v>https://www.ea.com/games/mass-effect/mass-effect-andromeda</x:v>
      </x:c>
      <x:c r="E27" s="6" t="str">
        <x:v>Exploration, rôle du Pathfinder et équipage</x:v>
      </x:c>
      <x:c r="F27" s="6" t="str">
        <x:v>Source officielle consultée le 22 octobre 2026 ; portée limitée au sujet annoncé.</x:v>
      </x:c>
    </x:row>
    <x:row r="28" ht="42" customHeight="1">
      <x:c r="A28" s="6" t="str">
        <x:v>MEA-SRC-BW-FINAL</x:v>
      </x:c>
      <x:c r="B28" s="6" t="str">
        <x:v>Mass Effect: Andromeda — message du studio</x:v>
      </x:c>
      <x:c r="C28" s="6" t="str">
        <x:v>source officielle</x:v>
      </x:c>
      <x:c r="D28" s="6" t="str">
        <x:v>https://blog.bioware.com/2017/08/19/mass-effect-andromeda/</x:v>
      </x:c>
      <x:c r="E28" s="6" t="str">
        <x:v>Fin des mises à jour solo après 1.10, autres supports narratifs</x:v>
      </x:c>
      <x:c r="F28" s="6" t="str">
        <x:v>Source officielle consultée le 22 octobre 2026 ; portée limitée au sujet annoncé.</x:v>
      </x:c>
    </x:row>
    <x:row r="29" ht="42" customHeight="1">
      <x:c r="A29" s="6" t="str">
        <x:v>MEA-SRC-BW-108</x:v>
      </x:c>
      <x:c r="B29" s="6" t="str">
        <x:v>Mass Effect: Andromeda Patch 1.08 Notes</x:v>
      </x:c>
      <x:c r="C29" s="6" t="str">
        <x:v>source officielle</x:v>
      </x:c>
      <x:c r="D29" s="6" t="str">
        <x:v>https://blog.bioware.com/2017/06/06/mass-effect-andromeda-patch-1-08-notes/</x:v>
      </x:c>
      <x:c r="E29" s="6" t="str">
        <x:v>Romance Jaal/Scott et changements de personnages</x:v>
      </x:c>
      <x:c r="F29" s="6" t="str">
        <x:v>Source officielle consultée le 22 octobre 2026 ; portée limitée au sujet annoncé.</x:v>
      </x:c>
    </x:row>
    <x:row r="30" ht="42" customHeight="1">
      <x:c r="A30" s="6" t="str">
        <x:v>MEA-SRC-BW-106</x:v>
      </x:c>
      <x:c r="B30" s="6" t="str">
        <x:v>Mass Effect: Andromeda Patch 1.06 Notes</x:v>
      </x:c>
      <x:c r="C30" s="6" t="str">
        <x:v>source officielle</x:v>
      </x:c>
      <x:c r="D30" s="6" t="str">
        <x:v>https://blog.bioware.com/2017/05/09/mass-effect-andromeda-patch-1-06-notes/</x:v>
      </x:c>
      <x:c r="E30" s="6" t="str">
        <x:v>Correctifs de dialogue, cinématique et sauvegarde</x:v>
      </x:c>
      <x:c r="F30" s="6" t="str">
        <x:v>Source officielle consultée le 22 octobre 2026 ; portée limitée au sujet annoncé.</x:v>
      </x:c>
    </x:row>
    <x:row r="31" ht="42" customHeight="1">
      <x:c r="A31" s="6" t="str">
        <x:v>MEA-SRC-MANUAL</x:v>
      </x:c>
      <x:c r="B31" s="6" t="str">
        <x:v>Mass Effect: Andromeda — manuel PC</x:v>
      </x:c>
      <x:c r="C31" s="6" t="str">
        <x:v>source officielle</x:v>
      </x:c>
      <x:c r="D31" s="6" t="str">
        <x:v>https://eaassets-a.akamaihd.net/eahelp/manuals/mass-effect-andromeda-pc-en.pdf</x:v>
      </x:c>
      <x:c r="E31" s="6" t="str">
        <x:v>Commandes, personnages, loadout et modes</x:v>
      </x:c>
      <x:c r="F31" s="6" t="str">
        <x:v>Source officielle consultée le 22 octobre 2026 ; portée limitée au sujet annoncé.</x:v>
      </x:c>
    </x:row>
    <x:row r="32" ht="42" customHeight="1">
      <x:c r="A32" s="6" t="str">
        <x:v>MEA-SRC-EA-DELUXE</x:v>
      </x:c>
      <x:c r="B32" s="6" t="str">
        <x:v>Mass Effect: Andromeda — boutique EA sur Steam</x:v>
      </x:c>
      <x:c r="C32" s="6" t="str">
        <x:v>source officielle</x:v>
      </x:c>
      <x:c r="D32" s="6" t="str">
        <x:v>https://store.steampowered.com/app/1238000/Mass_EffectAndromeda/</x:v>
      </x:c>
      <x:c r="E32" s="6" t="str">
        <x:v>Édition Deluxe, armes/armures/skins et pyjak</x:v>
      </x:c>
      <x:c r="F32" s="6" t="str">
        <x:v>Source officielle consultée le 22 octobre 2026 ; portée limitée au sujet annoncé.</x:v>
      </x:c>
    </x:row>
    <x:row r="33" ht="82" customHeight="1">
      <x:c r="A33" s="6" t="str">
        <x:v>MEA-SRC-GAME</x:v>
      </x:c>
      <x:c r="B33" s="6" t="str">
        <x:v>Mass Effect: Andromeda</x:v>
      </x:c>
      <x:c r="C33" s="6" t="str">
        <x:v>wiki</x:v>
      </x:c>
      <x:c r="D33" s="6" t="str">
        <x:v>https://masseffect.fandom.com/wiki/Mass_Effect%3A_Andromeda</x:v>
      </x:c>
      <x:c r="E33" s="6" t="str">
        <x:v>Périmètre et chronologie</x:v>
      </x:c>
      <x:c r="F33" s="6" t="str">
        <x:v>Consulté le 22 octobre 2026 via les résultats indexés du moteur de recherche ; index communautaire secondaire, ouverture directe Fandom limitée par robots/402. Titres et faits brefs paraphrasés ; aucune capture ni validation exhaustive en jeu.</x:v>
      </x:c>
    </x:row>
    <x:row r="34" ht="82" customHeight="1">
      <x:c r="A34" s="6" t="str">
        <x:v>MEA-SRC-GUIDE</x:v>
      </x:c>
      <x:c r="B34" s="6" t="str">
        <x:v>Mass Effect: Andromeda Guide</x:v>
      </x:c>
      <x:c r="C34" s="6" t="str">
        <x:v>wiki</x:v>
      </x:c>
      <x:c r="D34" s="6" t="str">
        <x:v>https://masseffect.fandom.com/wiki/Mass_Effect%3A_Andromeda_Guide</x:v>
      </x:c>
      <x:c r="E34" s="6" t="str">
        <x:v>Campagne, ordre variable et missions</x:v>
      </x:c>
      <x:c r="F34" s="6" t="str">
        <x:v>Consulté le 22 octobre 2026 via les résultats indexés du moteur de recherche ; index communautaire secondaire, ouverture directe Fandom limitée par robots/402. Titres et faits brefs paraphrasés ; aucune capture ni validation exhaustive en jeu.</x:v>
      </x:c>
    </x:row>
    <x:row r="35" ht="82" customHeight="1">
      <x:c r="A35" s="6" t="str">
        <x:v>MEA-SRC-MISSIONS</x:v>
      </x:c>
      <x:c r="B35" s="6" t="str">
        <x:v>Missions (Mass Effect: Andromeda)</x:v>
      </x:c>
      <x:c r="C35" s="6" t="str">
        <x:v>wiki</x:v>
      </x:c>
      <x:c r="D35" s="6" t="str">
        <x:v>https://masseffect.fandom.com/wiki/Missions_%28Mass_Effect%3A_Andromeda%29</x:v>
      </x:c>
      <x:c r="E35" s="6" t="str">
        <x:v>Index des missions et catégories de journal</x:v>
      </x:c>
      <x:c r="F35" s="6" t="str">
        <x:v>Consulté le 22 octobre 2026 via les résultats indexés du moteur de recherche ; index communautaire secondaire, ouverture directe Fandom limitée par robots/402. Titres et faits brefs paraphrasés ; aucune capture ni validation exhaustive en jeu.</x:v>
      </x:c>
    </x:row>
    <x:row r="36" ht="82" customHeight="1">
      <x:c r="A36" s="6" t="str">
        <x:v>MEA-SRC-CHAR</x:v>
      </x:c>
      <x:c r="B36" s="6" t="str">
        <x:v>Characters/Mass Effect: Andromeda</x:v>
      </x:c>
      <x:c r="C36" s="6" t="str">
        <x:v>wiki</x:v>
      </x:c>
      <x:c r="D36" s="6" t="str">
        <x:v>https://masseffect.fandom.com/wiki/Characters/Mass_Effect%3A_Andromeda</x:v>
      </x:c>
      <x:c r="E36" s="6" t="str">
        <x:v>Personnages et factions</x:v>
      </x:c>
      <x:c r="F36" s="6" t="str">
        <x:v>Consulté le 22 octobre 2026 via les résultats indexés du moteur de recherche ; index communautaire secondaire, ouverture directe Fandom limitée par robots/402. Titres et faits brefs paraphrasés ; aucune capture ni validation exhaustive en jeu.</x:v>
      </x:c>
    </x:row>
    <x:row r="37" ht="82" customHeight="1">
      <x:c r="A37" s="6" t="str">
        <x:v>MEA-SRC-SQUAD</x:v>
      </x:c>
      <x:c r="B37" s="6" t="str">
        <x:v>Squad Members Guide (Mass Effect: Andromeda)</x:v>
      </x:c>
      <x:c r="C37" s="6" t="str">
        <x:v>wiki</x:v>
      </x:c>
      <x:c r="D37" s="6" t="str">
        <x:v>https://masseffect.fandom.com/wiki/Squad_Members_Guide_%28Mass_Effect%3A_Andromeda%29</x:v>
      </x:c>
      <x:c r="E37" s="6" t="str">
        <x:v>Équipiers et composition</x:v>
      </x:c>
      <x:c r="F37" s="6" t="str">
        <x:v>Consulté le 22 octobre 2026 via les résultats indexés du moteur de recherche ; index communautaire secondaire, ouverture directe Fandom limitée par robots/402. Titres et faits brefs paraphrasés ; aucune capture ni validation exhaustive en jeu.</x:v>
      </x:c>
    </x:row>
    <x:row r="38" ht="82" customHeight="1">
      <x:c r="A38" s="6" t="str">
        <x:v>MEA-SRC-LOYALTY</x:v>
      </x:c>
      <x:c r="B38" s="6" t="str">
        <x:v>Loyalty Missions (Mass Effect: Andromeda)</x:v>
      </x:c>
      <x:c r="C38" s="6" t="str">
        <x:v>wiki</x:v>
      </x:c>
      <x:c r="D38" s="6" t="str">
        <x:v>https://masseffect.fandom.com/wiki/Loyalty_Missions_%28Mass_Effect%3A_Andromeda%29</x:v>
      </x:c>
      <x:c r="E38" s="6" t="str">
        <x:v>Missions d’alliés et déblocages</x:v>
      </x:c>
      <x:c r="F38" s="6" t="str">
        <x:v>Consulté le 22 octobre 2026 via les résultats indexés du moteur de recherche ; index communautaire secondaire, ouverture directe Fandom limitée par robots/402. Titres et faits brefs paraphrasés ; aucune capture ni validation exhaustive en jeu.</x:v>
      </x:c>
    </x:row>
    <x:row r="39" ht="82" customHeight="1">
      <x:c r="A39" s="6" t="str">
        <x:v>MEA-SRC-COMBAT</x:v>
      </x:c>
      <x:c r="B39" s="6" t="str">
        <x:v>Combat (Mass Effect: Andromeda)</x:v>
      </x:c>
      <x:c r="C39" s="6" t="str">
        <x:v>wiki</x:v>
      </x:c>
      <x:c r="D39" s="6" t="str">
        <x:v>https://masseffect.fandom.com/wiki/Combat_%28Mass_Effect%3A_Andromeda%29</x:v>
      </x:c>
      <x:c r="E39" s="6" t="str">
        <x:v>Déplacement, protections et combat</x:v>
      </x:c>
      <x:c r="F39" s="6" t="str">
        <x:v>Consulté le 22 octobre 2026 via les résultats indexés du moteur de recherche ; index communautaire secondaire, ouverture directe Fandom limitée par robots/402. Titres et faits brefs paraphrasés ; aucune capture ni validation exhaustive en jeu.</x:v>
      </x:c>
    </x:row>
    <x:row r="40" ht="82" customHeight="1">
      <x:c r="A40" s="6" t="str">
        <x:v>MEA-SRC-SKILLS</x:v>
      </x:c>
      <x:c r="B40" s="6" t="str">
        <x:v>Skills</x:v>
      </x:c>
      <x:c r="C40" s="6" t="str">
        <x:v>wiki</x:v>
      </x:c>
      <x:c r="D40" s="6" t="str">
        <x:v>https://masseffect.fandom.com/wiki/Skills</x:v>
      </x:c>
      <x:c r="E40" s="6" t="str">
        <x:v>Compétences de combat, biotique, tech et équipiers</x:v>
      </x:c>
      <x:c r="F40" s="6" t="str">
        <x:v>Consulté le 22 octobre 2026 via les résultats indexés du moteur de recherche ; index communautaire secondaire, ouverture directe Fandom limitée par robots/402. Titres et faits brefs paraphrasés ; aucune capture ni validation exhaustive en jeu.</x:v>
      </x:c>
    </x:row>
    <x:row r="41" ht="82" customHeight="1">
      <x:c r="A41" s="6" t="str">
        <x:v>MEA-SRC-TOOLS</x:v>
      </x:c>
      <x:c r="B41" s="6" t="str">
        <x:v>Combat Tools</x:v>
      </x:c>
      <x:c r="C41" s="6" t="str">
        <x:v>wiki</x:v>
      </x:c>
      <x:c r="D41" s="6" t="str">
        <x:v>https://masseffect.fandom.com/wiki/Combat_Tools</x:v>
      </x:c>
      <x:c r="E41" s="6" t="str">
        <x:v>Passifs de combat</x:v>
      </x:c>
      <x:c r="F41" s="6" t="str">
        <x:v>Consulté le 22 octobre 2026 via les résultats indexés du moteur de recherche ; index communautaire secondaire, ouverture directe Fandom limitée par robots/402. Titres et faits brefs paraphrasés ; aucune capture ni validation exhaustive en jeu.</x:v>
      </x:c>
    </x:row>
    <x:row r="42" ht="82" customHeight="1">
      <x:c r="A42" s="6" t="str">
        <x:v>MEA-SRC-AUX</x:v>
      </x:c>
      <x:c r="B42" s="6" t="str">
        <x:v>Auxiliary Systems</x:v>
      </x:c>
      <x:c r="C42" s="6" t="str">
        <x:v>wiki</x:v>
      </x:c>
      <x:c r="D42" s="6" t="str">
        <x:v>https://masseffect.fandom.com/wiki/Auxiliary_Systems</x:v>
      </x:c>
      <x:c r="E42" s="6" t="str">
        <x:v>Passif tech</x:v>
      </x:c>
      <x:c r="F42" s="6" t="str">
        <x:v>Consulté le 22 octobre 2026 via les résultats indexés du moteur de recherche ; index communautaire secondaire, ouverture directe Fandom limitée par robots/402. Titres et faits brefs paraphrasés ; aucune capture ni validation exhaustive en jeu.</x:v>
      </x:c>
    </x:row>
    <x:row r="43" ht="82" customHeight="1">
      <x:c r="A43" s="6" t="str">
        <x:v>MEA-SRC-SUPPORT</x:v>
      </x:c>
      <x:c r="B43" s="6" t="str">
        <x:v>Team Support (skill)</x:v>
      </x:c>
      <x:c r="C43" s="6" t="str">
        <x:v>wiki</x:v>
      </x:c>
      <x:c r="D43" s="6" t="str">
        <x:v>https://masseffect.fandom.com/wiki/Team_Support_%28skill%29</x:v>
      </x:c>
      <x:c r="E43" s="6" t="str">
        <x:v>Passif de soutien</x:v>
      </x:c>
      <x:c r="F43" s="6" t="str">
        <x:v>Consulté le 22 octobre 2026 via les résultats indexés du moteur de recherche ; index communautaire secondaire, ouverture directe Fandom limitée par robots/402. Titres et faits brefs paraphrasés ; aucune capture ni validation exhaustive en jeu.</x:v>
      </x:c>
    </x:row>
    <x:row r="44" ht="82" customHeight="1">
      <x:c r="A44" s="6" t="str">
        <x:v>MEA-SRC-BARRICADE</x:v>
      </x:c>
      <x:c r="B44" s="6" t="str">
        <x:v>Barricade (skill)</x:v>
      </x:c>
      <x:c r="C44" s="6" t="str">
        <x:v>wiki</x:v>
      </x:c>
      <x:c r="D44" s="6" t="str">
        <x:v>https://masseffect.fandom.com/wiki/Barricade_%28skill%29</x:v>
      </x:c>
      <x:c r="E44" s="6" t="str">
        <x:v>Barrière de combat</x:v>
      </x:c>
      <x:c r="F44" s="6" t="str">
        <x:v>Consulté le 22 octobre 2026 via les résultats indexés du moteur de recherche ; index communautaire secondaire, ouverture directe Fandom limitée par robots/402. Titres et faits brefs paraphrasés ; aucune capture ni validation exhaustive en jeu.</x:v>
      </x:c>
    </x:row>
    <x:row r="45" ht="82" customHeight="1">
      <x:c r="A45" s="6" t="str">
        <x:v>MEA-SRC-TURRET</x:v>
      </x:c>
      <x:c r="B45" s="6" t="str">
        <x:v>Assault Turret (skill)</x:v>
      </x:c>
      <x:c r="C45" s="6" t="str">
        <x:v>wiki</x:v>
      </x:c>
      <x:c r="D45" s="6" t="str">
        <x:v>https://masseffect.fandom.com/wiki/Assault_Turret_%28skill%29</x:v>
      </x:c>
      <x:c r="E45" s="6" t="str">
        <x:v>Construction technique</x:v>
      </x:c>
      <x:c r="F45" s="6" t="str">
        <x:v>Consulté le 22 octobre 2026 via les résultats indexés du moteur de recherche ; index communautaire secondaire, ouverture directe Fandom limitée par robots/402. Titres et faits brefs paraphrasés ; aucune capture ni validation exhaustive en jeu.</x:v>
      </x:c>
    </x:row>
    <x:row r="46" ht="82" customHeight="1">
      <x:c r="A46" s="6" t="str">
        <x:v>MEA-SRC-CORA</x:v>
      </x:c>
      <x:c r="B46" s="6" t="str">
        <x:v>Cora Harper</x:v>
      </x:c>
      <x:c r="C46" s="6" t="str">
        <x:v>wiki</x:v>
      </x:c>
      <x:c r="D46" s="6" t="str">
        <x:v>https://masseffect.fandom.com/wiki/Cora_Harper</x:v>
      </x:c>
      <x:c r="E46" s="6" t="str">
        <x:v>Équipière et compétences</x:v>
      </x:c>
      <x:c r="F46" s="6" t="str">
        <x:v>Consulté le 22 octobre 2026 via les résultats indexés du moteur de recherche ; index communautaire secondaire, ouverture directe Fandom limitée par robots/402. Titres et faits brefs paraphrasés ; aucune capture ni validation exhaustive en jeu.</x:v>
      </x:c>
    </x:row>
    <x:row r="47" ht="82" customHeight="1">
      <x:c r="A47" s="6" t="str">
        <x:v>MEA-SRC-VETRA</x:v>
      </x:c>
      <x:c r="B47" s="6" t="str">
        <x:v>Vetra Nyx</x:v>
      </x:c>
      <x:c r="C47" s="6" t="str">
        <x:v>wiki</x:v>
      </x:c>
      <x:c r="D47" s="6" t="str">
        <x:v>https://masseffect.fandom.com/wiki/Vetra_Nyx</x:v>
      </x:c>
      <x:c r="E47" s="6" t="str">
        <x:v>Équipière et compétences</x:v>
      </x:c>
      <x:c r="F47" s="6" t="str">
        <x:v>Consulté le 22 octobre 2026 via les résultats indexés du moteur de recherche ; index communautaire secondaire, ouverture directe Fandom limitée par robots/402. Titres et faits brefs paraphrasés ; aucune capture ni validation exhaustive en jeu.</x:v>
      </x:c>
    </x:row>
    <x:row r="48" ht="82" customHeight="1">
      <x:c r="A48" s="6" t="str">
        <x:v>MEA-SRC-JAAL</x:v>
      </x:c>
      <x:c r="B48" s="6" t="str">
        <x:v>Jaal Ama Darav</x:v>
      </x:c>
      <x:c r="C48" s="6" t="str">
        <x:v>wiki</x:v>
      </x:c>
      <x:c r="D48" s="6" t="str">
        <x:v>https://masseffect.fandom.com/wiki/Jaal_Ama_Darav</x:v>
      </x:c>
      <x:c r="E48" s="6" t="str">
        <x:v>Équipier et arc familial</x:v>
      </x:c>
      <x:c r="F48" s="6" t="str">
        <x:v>Consulté le 22 octobre 2026 via les résultats indexés du moteur de recherche ; index communautaire secondaire, ouverture directe Fandom limitée par robots/402. Titres et faits brefs paraphrasés ; aucune capture ni validation exhaustive en jeu.</x:v>
      </x:c>
    </x:row>
    <x:row r="49" ht="82" customHeight="1">
      <x:c r="A49" s="6" t="str">
        <x:v>MEA-SRC-ROMANCE</x:v>
      </x:c>
      <x:c r="B49" s="6" t="str">
        <x:v>Romance (Mass Effect: Andromeda)</x:v>
      </x:c>
      <x:c r="C49" s="6" t="str">
        <x:v>wiki</x:v>
      </x:c>
      <x:c r="D49" s="6" t="str">
        <x:v>https://masseffect.fandom.com/wiki/Romance_%28Mass_Effect%3A_Andromeda%29</x:v>
      </x:c>
      <x:c r="E49" s="6" t="str">
        <x:v>Relations et versions</x:v>
      </x:c>
      <x:c r="F49" s="6" t="str">
        <x:v>Consulté le 22 octobre 2026 via les résultats indexés du moteur de recherche ; index communautaire secondaire, ouverture directe Fandom limitée par robots/402. Titres et faits brefs paraphrasés ; aucune capture ni validation exhaustive en jeu.</x:v>
      </x:c>
    </x:row>
    <x:row r="50" ht="82" customHeight="1">
      <x:c r="A50" s="6" t="str">
        <x:v>MEA-SRC-WEAPONS</x:v>
      </x:c>
      <x:c r="B50" s="6" t="str">
        <x:v>Weapons (Mass Effect: Andromeda)</x:v>
      </x:c>
      <x:c r="C50" s="6" t="str">
        <x:v>wiki</x:v>
      </x:c>
      <x:c r="D50" s="6" t="str">
        <x:v>https://masseffect.fandom.com/wiki/Weapons_%28Mass_Effect%3A_Andromeda%29</x:v>
      </x:c>
      <x:c r="E50" s="6" t="str">
        <x:v>Familles et armes</x:v>
      </x:c>
      <x:c r="F50" s="6" t="str">
        <x:v>Consulté le 22 octobre 2026 via les résultats indexés du moteur de recherche ; index communautaire secondaire, ouverture directe Fandom limitée par robots/402. Titres et faits brefs paraphrasés ; aucune capture ni validation exhaustive en jeu.</x:v>
      </x:c>
    </x:row>
    <x:row r="51" ht="82" customHeight="1">
      <x:c r="A51" s="6" t="str">
        <x:v>MEA-SRC-MELEE</x:v>
      </x:c>
      <x:c r="B51" s="6" t="str">
        <x:v>Melee Weapons</x:v>
      </x:c>
      <x:c r="C51" s="6" t="str">
        <x:v>wiki</x:v>
      </x:c>
      <x:c r="D51" s="6" t="str">
        <x:v>https://masseffect.fandom.com/wiki/Melee_Weapons</x:v>
      </x:c>
      <x:c r="E51" s="6" t="str">
        <x:v>Armes de contact</x:v>
      </x:c>
      <x:c r="F51" s="6" t="str">
        <x:v>Consulté le 22 octobre 2026 via les résultats indexés du moteur de recherche ; index communautaire secondaire, ouverture directe Fandom limitée par robots/402. Titres et faits brefs paraphrasés ; aucune capture ni validation exhaustive en jeu.</x:v>
      </x:c>
    </x:row>
    <x:row r="52" ht="82" customHeight="1">
      <x:c r="A52" s="6" t="str">
        <x:v>MEA-SRC-SWEEPER</x:v>
      </x:c>
      <x:c r="B52" s="6" t="str">
        <x:v>Sweeper</x:v>
      </x:c>
      <x:c r="C52" s="6" t="str">
        <x:v>wiki</x:v>
      </x:c>
      <x:c r="D52" s="6" t="str">
        <x:v>https://masseffect.fandom.com/wiki/Sweeper</x:v>
      </x:c>
      <x:c r="E52" s="6" t="str">
        <x:v>Arme reliquate</x:v>
      </x:c>
      <x:c r="F52" s="6" t="str">
        <x:v>Consulté le 22 octobre 2026 via les résultats indexés du moteur de recherche ; index communautaire secondaire, ouverture directe Fandom limitée par robots/402. Titres et faits brefs paraphrasés ; aucune capture ni validation exhaustive en jeu.</x:v>
      </x:c>
    </x:row>
    <x:row r="53" ht="82" customHeight="1">
      <x:c r="A53" s="6" t="str">
        <x:v>MEA-SRC-ARMOR</x:v>
      </x:c>
      <x:c r="B53" s="6" t="str">
        <x:v>Armor (Mass Effect: Andromeda)</x:v>
      </x:c>
      <x:c r="C53" s="6" t="str">
        <x:v>wiki</x:v>
      </x:c>
      <x:c r="D53" s="6" t="str">
        <x:v>https://masseffect.fandom.com/wiki/Armor_%28Mass_Effect%3A_Andromeda%29</x:v>
      </x:c>
      <x:c r="E53" s="6" t="str">
        <x:v>Pièces et familles technologiques</x:v>
      </x:c>
      <x:c r="F53" s="6" t="str">
        <x:v>Consulté le 22 octobre 2026 via les résultats indexés du moteur de recherche ; index communautaire secondaire, ouverture directe Fandom limitée par robots/402. Titres et faits brefs paraphrasés ; aucune capture ni validation exhaustive en jeu.</x:v>
      </x:c>
    </x:row>
    <x:row r="54" ht="82" customHeight="1">
      <x:c r="A54" s="6" t="str">
        <x:v>MEA-SRC-ANGARA-ARMOR</x:v>
      </x:c>
      <x:c r="B54" s="6" t="str">
        <x:v>Angaran Armor</x:v>
      </x:c>
      <x:c r="C54" s="6" t="str">
        <x:v>wiki</x:v>
      </x:c>
      <x:c r="D54" s="6" t="str">
        <x:v>https://masseffect.fandom.com/wiki/Angaran_Armor</x:v>
      </x:c>
      <x:c r="E54" s="6" t="str">
        <x:v>Armure angara</x:v>
      </x:c>
      <x:c r="F54" s="6" t="str">
        <x:v>Consulté le 22 octobre 2026 via les résultats indexés du moteur de recherche ; index communautaire secondaire, ouverture directe Fandom limitée par robots/402. Titres et faits brefs paraphrasés ; aucune capture ni validation exhaustive en jeu.</x:v>
      </x:c>
    </x:row>
    <x:row r="55" ht="82" customHeight="1">
      <x:c r="A55" s="6" t="str">
        <x:v>MEA-SRC-N7-ARMOR</x:v>
      </x:c>
      <x:c r="B55" s="6" t="str">
        <x:v>N7 Armor</x:v>
      </x:c>
      <x:c r="C55" s="6" t="str">
        <x:v>wiki</x:v>
      </x:c>
      <x:c r="D55" s="6" t="str">
        <x:v>https://masseffect.fandom.com/wiki/N7_Armor</x:v>
      </x:c>
      <x:c r="E55" s="6" t="str">
        <x:v>Armure N7</x:v>
      </x:c>
      <x:c r="F55" s="6" t="str">
        <x:v>Consulté le 22 octobre 2026 via les résultats indexés du moteur de recherche ; index communautaire secondaire, ouverture directe Fandom limitée par robots/402. Titres et faits brefs paraphrasés ; aucune capture ni validation exhaustive en jeu.</x:v>
      </x:c>
    </x:row>
    <x:row r="56" ht="82" customHeight="1">
      <x:c r="A56" s="6" t="str">
        <x:v>MEA-SRC-REM-ARMOR</x:v>
      </x:c>
      <x:c r="B56" s="6" t="str">
        <x:v>Remnant Armor</x:v>
      </x:c>
      <x:c r="C56" s="6" t="str">
        <x:v>wiki</x:v>
      </x:c>
      <x:c r="D56" s="6" t="str">
        <x:v>https://masseffect.fandom.com/wiki/Remnant_Armor</x:v>
      </x:c>
      <x:c r="E56" s="6" t="str">
        <x:v>Armure reliquate</x:v>
      </x:c>
      <x:c r="F56" s="6" t="str">
        <x:v>Consulté le 22 octobre 2026 via les résultats indexés du moteur de recherche ; index communautaire secondaire, ouverture directe Fandom limitée par robots/402. Titres et faits brefs paraphrasés ; aucune capture ni validation exhaustive en jeu.</x:v>
      </x:c>
    </x:row>
    <x:row r="57" ht="82" customHeight="1">
      <x:c r="A57" s="6" t="str">
        <x:v>MEA-SRC-SCAV-ARMOR</x:v>
      </x:c>
      <x:c r="B57" s="6" t="str">
        <x:v>Scavenger Armor</x:v>
      </x:c>
      <x:c r="C57" s="6" t="str">
        <x:v>wiki</x:v>
      </x:c>
      <x:c r="D57" s="6" t="str">
        <x:v>https://masseffect.fandom.com/wiki/Scavenger_Armor</x:v>
      </x:c>
      <x:c r="E57" s="6" t="str">
        <x:v>Armure additionnelle</x:v>
      </x:c>
      <x:c r="F57" s="6" t="str">
        <x:v>Consulté le 22 octobre 2026 via les résultats indexés du moteur de recherche ; index communautaire secondaire, ouverture directe Fandom limitée par robots/402. Titres et faits brefs paraphrasés ; aucune capture ni validation exhaustive en jeu.</x:v>
      </x:c>
    </x:row>
    <x:row r="58" ht="82" customHeight="1">
      <x:c r="A58" s="6" t="str">
        <x:v>MEA-SRC-HELEUS-ARMOR</x:v>
      </x:c>
      <x:c r="B58" s="6" t="str">
        <x:v>Heleus Armor</x:v>
      </x:c>
      <x:c r="C58" s="6" t="str">
        <x:v>wiki</x:v>
      </x:c>
      <x:c r="D58" s="6" t="str">
        <x:v>https://masseffect.fandom.com/wiki/Heleus_Armor</x:v>
      </x:c>
      <x:c r="E58" s="6" t="str">
        <x:v>Armure de fusion technologique</x:v>
      </x:c>
      <x:c r="F58" s="6" t="str">
        <x:v>Consulté le 22 octobre 2026 via les résultats indexés du moteur de recherche ; index communautaire secondaire, ouverture directe Fandom limitée par robots/402. Titres et faits brefs paraphrasés ; aucune capture ni validation exhaustive en jeu.</x:v>
      </x:c>
    </x:row>
    <x:row r="59" ht="82" customHeight="1">
      <x:c r="A59" s="6" t="str">
        <x:v>MEA-SRC-KETT-ARMOR</x:v>
      </x:c>
      <x:c r="B59" s="6" t="str">
        <x:v>Kett Armor</x:v>
      </x:c>
      <x:c r="C59" s="6" t="str">
        <x:v>wiki</x:v>
      </x:c>
      <x:c r="D59" s="6" t="str">
        <x:v>https://masseffect.fandom.com/wiki/Kett_Armor</x:v>
      </x:c>
      <x:c r="E59" s="6" t="str">
        <x:v>Armure inspirée kett</x:v>
      </x:c>
      <x:c r="F59" s="6" t="str">
        <x:v>Consulté le 22 octobre 2026 via les résultats indexés du moteur de recherche ; index communautaire secondaire, ouverture directe Fandom limitée par robots/402. Titres et faits brefs paraphrasés ; aucune capture ni validation exhaustive en jeu.</x:v>
      </x:c>
    </x:row>
    <x:row r="60" ht="82" customHeight="1">
      <x:c r="A60" s="6" t="str">
        <x:v>MEA-SRC-RESEARCH</x:v>
      </x:c>
      <x:c r="B60" s="6" t="str">
        <x:v>Research Center (Mass Effect: Andromeda)</x:v>
      </x:c>
      <x:c r="C60" s="6" t="str">
        <x:v>wiki</x:v>
      </x:c>
      <x:c r="D60" s="6" t="str">
        <x:v>https://masseffect.fandom.com/wiki/Research_Center_%28Mass_Effect%3A_Andromeda%29</x:v>
      </x:c>
      <x:c r="E60" s="6" t="str">
        <x:v>Recherche et fabrication</x:v>
      </x:c>
      <x:c r="F60" s="6" t="str">
        <x:v>Consulté le 22 octobre 2026 via les résultats indexés du moteur de recherche ; index communautaire secondaire, ouverture directe Fandom limitée par robots/402. Titres et faits brefs paraphrasés ; aucune capture ni validation exhaustive en jeu.</x:v>
      </x:c>
    </x:row>
    <x:row r="61" ht="82" customHeight="1">
      <x:c r="A61" s="6" t="str">
        <x:v>MEA-SRC-LOADOUT</x:v>
      </x:c>
      <x:c r="B61" s="6" t="str">
        <x:v>Loadout</x:v>
      </x:c>
      <x:c r="C61" s="6" t="str">
        <x:v>wiki</x:v>
      </x:c>
      <x:c r="D61" s="6" t="str">
        <x:v>https://masseffect.fandom.com/wiki/Loadout</x:v>
      </x:c>
      <x:c r="E61" s="6" t="str">
        <x:v>Armes et armures sélectionnées</x:v>
      </x:c>
      <x:c r="F61" s="6" t="str">
        <x:v>Consulté le 22 octobre 2026 via les résultats indexés du moteur de recherche ; index communautaire secondaire, ouverture directe Fandom limitée par robots/402. Titres et faits brefs paraphrasés ; aucune capture ni validation exhaustive en jeu.</x:v>
      </x:c>
    </x:row>
    <x:row r="62" ht="82" customHeight="1">
      <x:c r="A62" s="6" t="str">
        <x:v>MEA-SRC-WARDROBE</x:v>
      </x:c>
      <x:c r="B62" s="6" t="str">
        <x:v>Wardrobe</x:v>
      </x:c>
      <x:c r="C62" s="6" t="str">
        <x:v>wiki</x:v>
      </x:c>
      <x:c r="D62" s="6" t="str">
        <x:v>https://masseffect.fandom.com/wiki/Wardrobe</x:v>
      </x:c>
      <x:c r="E62" s="6" t="str">
        <x:v>Tenues et couleurs</x:v>
      </x:c>
      <x:c r="F62" s="6" t="str">
        <x:v>Consulté le 22 octobre 2026 via les résultats indexés du moteur de recherche ; index communautaire secondaire, ouverture directe Fandom limitée par robots/402. Titres et faits brefs paraphrasés ; aucune capture ni validation exhaustive en jeu.</x:v>
      </x:c>
    </x:row>
    <x:row r="63" ht="82" customHeight="1">
      <x:c r="A63" s="6" t="str">
        <x:v>MEA-SRC-CODEX</x:v>
      </x:c>
      <x:c r="B63" s="6" t="str">
        <x:v>Codex Entry Guide (Mass Effect: Andromeda)</x:v>
      </x:c>
      <x:c r="C63" s="6" t="str">
        <x:v>wiki</x:v>
      </x:c>
      <x:c r="D63" s="6" t="str">
        <x:v>https://masseffect.fandom.com/wiki/Codex_Entry_Guide_%28Mass_Effect%3A_Andromeda%29</x:v>
      </x:c>
      <x:c r="E63" s="6" t="str">
        <x:v>Codex et contexte</x:v>
      </x:c>
      <x:c r="F63" s="6" t="str">
        <x:v>Consulté le 22 octobre 2026 via les résultats indexés du moteur de recherche ; index communautaire secondaire, ouverture directe Fandom limitée par robots/402. Titres et faits brefs paraphrasés ; aucune capture ni validation exhaustive en jeu.</x:v>
      </x:c>
    </x:row>
    <x:row r="64" ht="82" customHeight="1">
      <x:c r="A64" s="6" t="str">
        <x:v>MEA-SRC-LOCATIONS</x:v>
      </x:c>
      <x:c r="B64" s="6" t="str">
        <x:v>Codex — Planets And Locations</x:v>
      </x:c>
      <x:c r="C64" s="6" t="str">
        <x:v>wiki</x:v>
      </x:c>
      <x:c r="D64" s="6" t="str">
        <x:v>https://masseffect.fandom.com/wiki/Codex_%28Mass_Effect%3A_Andromeda%29/Planets_And_Locations</x:v>
      </x:c>
      <x:c r="E64" s="6" t="str">
        <x:v>Planètes et lieux</x:v>
      </x:c>
      <x:c r="F64" s="6" t="str">
        <x:v>Consulté le 22 octobre 2026 via les résultats indexés du moteur de recherche ; index communautaire secondaire, ouverture directe Fandom limitée par robots/402. Titres et faits brefs paraphrasés ; aucune capture ni validation exhaustive en jeu.</x:v>
      </x:c>
    </x:row>
    <x:row r="65" ht="82" customHeight="1">
      <x:c r="A65" s="6" t="str">
        <x:v>MEA-SRC-VAULT</x:v>
      </x:c>
      <x:c r="B65" s="6" t="str">
        <x:v>Vault</x:v>
      </x:c>
      <x:c r="C65" s="6" t="str">
        <x:v>wiki</x:v>
      </x:c>
      <x:c r="D65" s="6" t="str">
        <x:v>https://masseffect.fandom.com/wiki/Vault</x:v>
      </x:c>
      <x:c r="E65" s="6" t="str">
        <x:v>Caveaux reliquats</x:v>
      </x:c>
      <x:c r="F65" s="6" t="str">
        <x:v>Consulté le 22 octobre 2026 via les résultats indexés du moteur de recherche ; index communautaire secondaire, ouverture directe Fandom limitée par robots/402. Titres et faits brefs paraphrasés ; aucune capture ni validation exhaustive en jeu.</x:v>
      </x:c>
    </x:row>
    <x:row r="66" ht="82" customHeight="1">
      <x:c r="A66" s="6" t="str">
        <x:v>MEA-SRC-HAZARD</x:v>
      </x:c>
      <x:c r="B66" s="6" t="str">
        <x:v>Hazard</x:v>
      </x:c>
      <x:c r="C66" s="6" t="str">
        <x:v>wiki</x:v>
      </x:c>
      <x:c r="D66" s="6" t="str">
        <x:v>https://masseffect.fandom.com/wiki/Hazard</x:v>
      </x:c>
      <x:c r="E66" s="6" t="str">
        <x:v>Dangers environnementaux par monde</x:v>
      </x:c>
      <x:c r="F66" s="6" t="str">
        <x:v>Consulté le 22 octobre 2026 via les résultats indexés du moteur de recherche ; index communautaire secondaire, ouverture directe Fandom limitée par robots/402. Titres et faits brefs paraphrasés ; aucune capture ni validation exhaustive en jeu.</x:v>
      </x:c>
    </x:row>
    <x:row r="67" ht="82" customHeight="1">
      <x:c r="A67" s="6" t="str">
        <x:v>MEA-SRC-ASCENDANT</x:v>
      </x:c>
      <x:c r="B67" s="6" t="str">
        <x:v>Ascendant</x:v>
      </x:c>
      <x:c r="C67" s="6" t="str">
        <x:v>wiki</x:v>
      </x:c>
      <x:c r="D67" s="6" t="str">
        <x:v>https://masseffect.fandom.com/wiki/Ascendant</x:v>
      </x:c>
      <x:c r="E67" s="6" t="str">
        <x:v>Unité kett, orbe et attaques</x:v>
      </x:c>
      <x:c r="F67" s="6" t="str">
        <x:v>Consulté le 22 octobre 2026 via les résultats indexés du moteur de recherche ; index communautaire secondaire, ouverture directe Fandom limitée par robots/402. Titres et faits brefs paraphrasés ; aucune capture ni validation exhaustive en jeu.</x:v>
      </x:c>
    </x:row>
    <x:row r="68" ht="82" customHeight="1">
      <x:c r="A68" s="6" t="str">
        <x:v>MEA-SRC-AGENT</x:v>
      </x:c>
      <x:c r="B68" s="6" t="str">
        <x:v>Agent</x:v>
      </x:c>
      <x:c r="C68" s="6" t="str">
        <x:v>wiki</x:v>
      </x:c>
      <x:c r="D68" s="6" t="str">
        <x:v>https://masseffect.fandom.com/wiki/Agent</x:v>
      </x:c>
      <x:c r="E68" s="6" t="str">
        <x:v>Unité hors-la-loi et index bestiaire</x:v>
      </x:c>
      <x:c r="F68" s="6" t="str">
        <x:v>Consulté le 22 octobre 2026 via les résultats indexés du moteur de recherche ; index communautaire secondaire, ouverture directe Fandom limitée par robots/402. Titres et faits brefs paraphrasés ; aucune capture ni validation exhaustive en jeu.</x:v>
      </x:c>
    </x:row>
    <x:row r="69" ht="82" customHeight="1">
      <x:c r="A69" s="6" t="str">
        <x:v>MEA-SRC-CHOSEN</x:v>
      </x:c>
      <x:c r="B69" s="6" t="str">
        <x:v>Chosen</x:v>
      </x:c>
      <x:c r="C69" s="6" t="str">
        <x:v>wiki</x:v>
      </x:c>
      <x:c r="D69" s="6" t="str">
        <x:v>https://masseffect.fandom.com/wiki/Chosen</x:v>
      </x:c>
      <x:c r="E69" s="6" t="str">
        <x:v>Unité kett et index bestiaire</x:v>
      </x:c>
      <x:c r="F69" s="6" t="str">
        <x:v>Consulté le 22 octobre 2026 via les résultats indexés du moteur de recherche ; index communautaire secondaire, ouverture directe Fandom limitée par robots/402. Titres et faits brefs paraphrasés ; aucune capture ni validation exhaustive en jeu.</x:v>
      </x:c>
    </x:row>
    <x:row r="70" ht="82" customHeight="1">
      <x:c r="A70" s="6" t="str">
        <x:v>MEA-SRC-ASSEMBLER</x:v>
      </x:c>
      <x:c r="B70" s="6" t="str">
        <x:v>Assembler</x:v>
      </x:c>
      <x:c r="C70" s="6" t="str">
        <x:v>wiki</x:v>
      </x:c>
      <x:c r="D70" s="6" t="str">
        <x:v>https://masseffect.fandom.com/wiki/Assembler</x:v>
      </x:c>
      <x:c r="E70" s="6" t="str">
        <x:v>Unité reliquate et renforts</x:v>
      </x:c>
      <x:c r="F70" s="6" t="str">
        <x:v>Consulté le 22 octobre 2026 via les résultats indexés du moteur de recherche ; index communautaire secondaire, ouverture directe Fandom limitée par robots/402. Titres et faits brefs paraphrasés ; aucune capture ni validation exhaustive en jeu.</x:v>
      </x:c>
    </x:row>
    <x:row r="71" ht="82" customHeight="1">
      <x:c r="A71" s="6" t="str">
        <x:v>MEA-SRC-ADHI</x:v>
      </x:c>
      <x:c r="B71" s="6" t="str">
        <x:v>Adhi</x:v>
      </x:c>
      <x:c r="C71" s="6" t="str">
        <x:v>wiki</x:v>
      </x:c>
      <x:c r="D71" s="6" t="str">
        <x:v>https://masseffect.fandom.com/wiki/Adhi</x:v>
      </x:c>
      <x:c r="E71" s="6" t="str">
        <x:v>Faune et usage par ennemis</x:v>
      </x:c>
      <x:c r="F71" s="6" t="str">
        <x:v>Consulté le 22 octobre 2026 via les résultats indexés du moteur de recherche ; index communautaire secondaire, ouverture directe Fandom limitée par robots/402. Titres et faits brefs paraphrasés ; aucune capture ni validation exhaustive en jeu.</x:v>
      </x:c>
    </x:row>
    <x:row r="72" ht="82" customHeight="1">
      <x:c r="A72" s="6" t="str">
        <x:v>MEA-SRC-KAERKYN</x:v>
      </x:c>
      <x:c r="B72" s="6" t="str">
        <x:v>Kaerkyn</x:v>
      </x:c>
      <x:c r="C72" s="6" t="str">
        <x:v>wiki</x:v>
      </x:c>
      <x:c r="D72" s="6" t="str">
        <x:v>https://masseffect.fandom.com/wiki/Kaerkyn</x:v>
      </x:c>
      <x:c r="E72" s="6" t="str">
        <x:v>Faune</x:v>
      </x:c>
      <x:c r="F72" s="6" t="str">
        <x:v>Consulté le 22 octobre 2026 via les résultats indexés du moteur de recherche ; index communautaire secondaire, ouverture directe Fandom limitée par robots/402. Titres et faits brefs paraphrasés ; aucune capture ni validation exhaustive en jeu.</x:v>
      </x:c>
    </x:row>
    <x:row r="73" ht="82" customHeight="1">
      <x:c r="A73" s="6" t="str">
        <x:v>MEA-SRC-SPITBUG</x:v>
      </x:c>
      <x:c r="B73" s="6" t="str">
        <x:v>Spitbug</x:v>
      </x:c>
      <x:c r="C73" s="6" t="str">
        <x:v>wiki</x:v>
      </x:c>
      <x:c r="D73" s="6" t="str">
        <x:v>https://masseffect.fandom.com/wiki/Spitbug</x:v>
      </x:c>
      <x:c r="E73" s="6" t="str">
        <x:v>Faune et projectile</x:v>
      </x:c>
      <x:c r="F73" s="6" t="str">
        <x:v>Consulté le 22 octobre 2026 via les résultats indexés du moteur de recherche ; index communautaire secondaire, ouverture directe Fandom limitée par robots/402. Titres et faits brefs paraphrasés ; aucune capture ni validation exhaustive en jeu.</x:v>
      </x:c>
    </x:row>
    <x:row r="74" ht="82" customHeight="1">
      <x:c r="A74" s="6" t="str">
        <x:v>MEA-SRC-CHALLYRION</x:v>
      </x:c>
      <x:c r="B74" s="6" t="str">
        <x:v>Challyrion</x:v>
      </x:c>
      <x:c r="C74" s="6" t="str">
        <x:v>wiki</x:v>
      </x:c>
      <x:c r="D74" s="6" t="str">
        <x:v>https://masseffect.fandom.com/wiki/Challyrion</x:v>
      </x:c>
      <x:c r="E74" s="6" t="str">
        <x:v>Faune</x:v>
      </x:c>
      <x:c r="F74" s="6" t="str">
        <x:v>Consulté le 22 octobre 2026 via les résultats indexés du moteur de recherche ; index communautaire secondaire, ouverture directe Fandom limitée par robots/402. Titres et faits brefs paraphrasés ; aucune capture ni validation exhaustive en jeu.</x:v>
      </x:c>
    </x:row>
    <x:row r="75" ht="82" customHeight="1">
      <x:c r="A75" s="6" t="str">
        <x:v>MEA-SRC-TAURG</x:v>
      </x:c>
      <x:c r="B75" s="6" t="str">
        <x:v>Taurg</x:v>
      </x:c>
      <x:c r="C75" s="6" t="str">
        <x:v>wiki</x:v>
      </x:c>
      <x:c r="D75" s="6" t="str">
        <x:v>https://masseffect.fandom.com/wiki/Taurg</x:v>
      </x:c>
      <x:c r="E75" s="6" t="str">
        <x:v>Faune</x:v>
      </x:c>
      <x:c r="F75" s="6" t="str">
        <x:v>Consulté le 22 octobre 2026 via les résultats indexés du moteur de recherche ; index communautaire secondaire, ouverture directe Fandom limitée par robots/402. Titres et faits brefs paraphrasés ; aucune capture ni validation exhaustive en jeu.</x:v>
      </x:c>
    </x:row>
    <x:row r="76" ht="82" customHeight="1">
      <x:c r="A76" s="6" t="str">
        <x:v>MEA-SRC-EIROCH</x:v>
      </x:c>
      <x:c r="B76" s="6" t="str">
        <x:v>Ancient Eiroch</x:v>
      </x:c>
      <x:c r="C76" s="6" t="str">
        <x:v>wiki</x:v>
      </x:c>
      <x:c r="D76" s="6" t="str">
        <x:v>https://masseffect.fandom.com/wiki/Ancient_Eiroch</x:v>
      </x:c>
      <x:c r="E76" s="6" t="str">
        <x:v>Créature lourde</x:v>
      </x:c>
      <x:c r="F76" s="6" t="str">
        <x:v>Consulté le 22 octobre 2026 via les résultats indexés du moteur de recherche ; index communautaire secondaire, ouverture directe Fandom limitée par robots/402. Titres et faits brefs paraphrasés ; aucune capture ni validation exhaustive en jeu.</x:v>
      </x:c>
    </x:row>
    <x:row r="77" ht="82" customHeight="1">
      <x:c r="A77" s="6" t="str">
        <x:v>MEA-SRC-MP</x:v>
      </x:c>
      <x:c r="B77" s="6" t="str">
        <x:v>Mass Effect: Andromeda Multiplayer</x:v>
      </x:c>
      <x:c r="C77" s="6" t="str">
        <x:v>wiki</x:v>
      </x:c>
      <x:c r="D77" s="6" t="str">
        <x:v>https://masseffect.fandom.com/wiki/Mass_Effect%3A_Andromeda_Multiplayer</x:v>
      </x:c>
      <x:c r="E77" s="6" t="str">
        <x:v>Coopératif séparé du solo</x:v>
      </x:c>
      <x:c r="F77" s="6" t="str">
        <x:v>Consulté le 22 octobre 2026 via les résultats indexés du moteur de recherche ; index communautaire secondaire, ouverture directe Fandom limitée par robots/402. Titres et faits brefs paraphrasés ; aucune capture ni validation exhaustive en jeu.</x:v>
      </x:c>
    </x:row>
    <x:row r="78" ht="82" customHeight="1">
      <x:c r="A78" s="6" t="str">
        <x:v>MEA-SRC-MP-CHARS</x:v>
      </x:c>
      <x:c r="B78" s="6" t="str">
        <x:v>Multiplayer Characters (Mass Effect: Andromeda)</x:v>
      </x:c>
      <x:c r="C78" s="6" t="str">
        <x:v>wiki</x:v>
      </x:c>
      <x:c r="D78" s="6" t="str">
        <x:v>https://masseffect.fandom.com/wiki/Category%3AMultiplayer_Characters_%28Mass_Effect%3A_Andromeda%29</x:v>
      </x:c>
      <x:c r="E78" s="6" t="str">
        <x:v>Roster multijoueur distinct</x:v>
      </x:c>
      <x:c r="F78" s="6" t="str">
        <x:v>Consulté le 22 octobre 2026 via les résultats indexés du moteur de recherche ; index communautaire secondaire, ouverture directe Fandom limitée par robots/402. Titres et faits brefs paraphrasés ; aucune capture ni validation exhaustive en jeu.</x:v>
      </x:c>
    </x:row>
    <x:row r="79" ht="82" customHeight="1">
      <x:c r="A79" s="6" t="str">
        <x:v>MEA-SRC-ARCHON</x:v>
      </x:c>
      <x:c r="B79" s="6" t="str">
        <x:v>Hunting the Archon</x:v>
      </x:c>
      <x:c r="C79" s="6" t="str">
        <x:v>wiki</x:v>
      </x:c>
      <x:c r="D79" s="6" t="str">
        <x:v>https://masseffect.fandom.com/wiki/Hunting_the_Archon</x:v>
      </x:c>
      <x:c r="E79" s="6" t="str">
        <x:v>Arche galarienne et choix de secours</x:v>
      </x:c>
      <x:c r="F79" s="6" t="str">
        <x:v>Consulté le 22 octobre 2026 via les résultats indexés du moteur de recherche ; index communautaire secondaire, ouverture directe Fandom limitée par robots/402. Titres et faits brefs paraphrasés ; aucune capture ni validation exhaustive en jeu.</x:v>
      </x:c>
    </x:row>
    <x:row r="80" ht="82" customHeight="1">
      <x:c r="A80" s="6" t="str">
        <x:v>MEA-SRC-MERIDIAN</x:v>
      </x:c>
      <x:c r="B80" s="6" t="str">
        <x:v>Meridian: The Way Home</x:v>
      </x:c>
      <x:c r="C80" s="6" t="str">
        <x:v>wiki</x:v>
      </x:c>
      <x:c r="D80" s="6" t="str">
        <x:v>https://masseffect.fandom.com/wiki/Meridian%3A_The_Way_Home</x:v>
      </x:c>
      <x:c r="E80" s="6" t="str">
        <x:v>Final, Hyperion et alliés</x:v>
      </x:c>
      <x:c r="F80" s="6" t="str">
        <x:v>Consulté le 22 octobre 2026 via les résultats indexés du moteur de recherche ; index communautaire secondaire, ouverture directe Fandom limitée par robots/402. Titres et faits brefs paraphrasés ; aucune capture ni validation exhaustive en jeu.</x:v>
      </x:c>
    </x:row>
    <x:row r="81" ht="82" customHeight="1">
      <x:c r="A81" s="6" t="str">
        <x:v>MEA-SRC-EPILOGUE</x:v>
      </x:c>
      <x:c r="B81" s="6" t="str">
        <x:v>Epilogue: Home and Away</x:v>
      </x:c>
      <x:c r="C81" s="6" t="str">
        <x:v>wiki</x:v>
      </x:c>
      <x:c r="D81" s="6" t="str">
        <x:v>https://masseffect.fandom.com/wiki/Epilogue%3A_Home_and_Away</x:v>
      </x:c>
      <x:c r="E81" s="6" t="str">
        <x:v>Ambassade, équipage et signal quarien</x:v>
      </x:c>
      <x:c r="F81" s="6" t="str">
        <x:v>Consulté le 22 octobre 2026 via les résultats indexés du moteur de recherche ; index communautaire secondaire, ouverture directe Fandom limitée par robots/402. Titres et faits brefs paraphrasés ; aucune capture ni validation exhaustive en jeu.</x:v>
      </x:c>
    </x:row>
    <x:row r="82" ht="82" customHeight="1">
      <x:c r="A82" s="6" t="str">
        <x:v>MEA-SRC-CORA-LOYAL</x:v>
      </x:c>
      <x:c r="B82" s="6" t="str">
        <x:v>Cora Harper: At Duty’s Edge</x:v>
      </x:c>
      <x:c r="C82" s="6" t="str">
        <x:v>wiki</x:v>
      </x:c>
      <x:c r="D82" s="6" t="str">
        <x:v>https://masseffect.fandom.com/wiki/Cora_Harper%3A_At_Duty%27s_Edge</x:v>
      </x:c>
      <x:c r="E82" s="6" t="str">
        <x:v>Arche asari et Sarissa</x:v>
      </x:c>
      <x:c r="F82" s="6" t="str">
        <x:v>Consulté le 22 octobre 2026 via les résultats indexés du moteur de recherche ; index communautaire secondaire, ouverture directe Fandom limitée par robots/402. Titres et faits brefs paraphrasés ; aucune capture ni validation exhaustive en jeu.</x:v>
      </x:c>
    </x:row>
    <x:row r="83" ht="82" customHeight="1">
      <x:c r="A83" s="6" t="str">
        <x:v>MEA-SRC-PEEBEE-LOYAL</x:v>
      </x:c>
      <x:c r="B83" s="6" t="str">
        <x:v>Peebee: A Mysterious Remnant Signal</x:v>
      </x:c>
      <x:c r="C83" s="6" t="str">
        <x:v>wiki</x:v>
      </x:c>
      <x:c r="D83" s="6" t="str">
        <x:v>https://masseffect.fandom.com/wiki/Peebee%3A_A_Mysterious_Remnant_Signal</x:v>
      </x:c>
      <x:c r="E83" s="6" t="str">
        <x:v>Pas-10, Kalinda et choix</x:v>
      </x:c>
      <x:c r="F83" s="6" t="str">
        <x:v>Consulté le 22 octobre 2026 via les résultats indexés du moteur de recherche ; index communautaire secondaire, ouverture directe Fandom limitée par robots/402. Titres et faits brefs paraphrasés ; aucune capture ni validation exhaustive en jeu.</x:v>
      </x:c>
    </x:row>
    <x:row r="84" ht="82" customHeight="1">
      <x:c r="A84" s="6" t="str">
        <x:v>MEA-SRC-PEEBEE-POC</x:v>
      </x:c>
      <x:c r="B84" s="6" t="str">
        <x:v>Peebee: Reclaiming Poc</x:v>
      </x:c>
      <x:c r="C84" s="6" t="str">
        <x:v>wiki</x:v>
      </x:c>
      <x:c r="D84" s="6" t="str">
        <x:v>https://masseffect.fandom.com/wiki/Peebee%3A_Reclaiming_Poc</x:v>
      </x:c>
      <x:c r="E84" s="6" t="str">
        <x:v>Poc et lien vers mission de loyauté</x:v>
      </x:c>
      <x:c r="F84" s="6" t="str">
        <x:v>Consulté le 22 octobre 2026 via les résultats indexés du moteur de recherche ; index communautaire secondaire, ouverture directe Fandom limitée par robots/402. Titres et faits brefs paraphrasés ; aucune capture ni validation exhaustive en jeu.</x:v>
      </x:c>
    </x:row>
    <x:row r="85" ht="82" customHeight="1">
      <x:c r="A85" s="6" t="str">
        <x:v>MEA-SRC-JAAL-LOYAL</x:v>
      </x:c>
      <x:c r="B85" s="6" t="str">
        <x:v>Jaal Ama Darav: Flesh and Blood</x:v>
      </x:c>
      <x:c r="C85" s="6" t="str">
        <x:v>wiki</x:v>
      </x:c>
      <x:c r="D85" s="6" t="str">
        <x:v>https://masseffect.fandom.com/wiki/Jaal_Ama_Darav%3A_Flesh_and_Blood</x:v>
      </x:c>
      <x:c r="E85" s="6" t="str">
        <x:v>Akksul et famille de Jaal</x:v>
      </x:c>
      <x:c r="F85" s="6" t="str">
        <x:v>Consulté le 22 octobre 2026 via les résultats indexés du moteur de recherche ; index communautaire secondaire, ouverture directe Fandom limitée par robots/402. Titres et faits brefs paraphrasés ; aucune capture ni validation exhaustive en jeu.</x:v>
      </x:c>
    </x:row>
    <x:row r="86" ht="82" customHeight="1">
      <x:c r="A86" s="6" t="str">
        <x:v>MEA-SRC-MISSING-ARKS</x:v>
      </x:c>
      <x:c r="B86" s="6" t="str">
        <x:v>Missing Arks</x:v>
      </x:c>
      <x:c r="C86" s="6" t="str">
        <x:v>wiki</x:v>
      </x:c>
      <x:c r="D86" s="6" t="str">
        <x:v>https://masseffect.fandom.com/wiki/Missing_Arks</x:v>
      </x:c>
      <x:c r="E86" s="6" t="str">
        <x:v>Arches disparues et missions</x:v>
      </x:c>
      <x:c r="F86" s="6" t="str">
        <x:v>Consulté le 22 octobre 2026 via les résultats indexés du moteur de recherche ; index communautaire secondaire, ouverture directe Fandom limitée par robots/402. Titres et faits brefs paraphrasés ; aucune capture ni validation exhaustive en jeu.</x:v>
      </x:c>
    </x:row>
    <x:row r="87" ht="82" customHeight="1">
      <x:c r="A87" s="6" t="str">
        <x:v>MEA-SRC-MURDER</x:v>
      </x:c>
      <x:c r="B87" s="6" t="str">
        <x:v>First Murderer</x:v>
      </x:c>
      <x:c r="C87" s="6" t="str">
        <x:v>wiki</x:v>
      </x:c>
      <x:c r="D87" s="6" t="str">
        <x:v>https://masseffect.fandom.com/wiki/First_Murderer</x:v>
      </x:c>
      <x:c r="E87" s="6" t="str">
        <x:v>Enquête de Nilken Rensus</x:v>
      </x:c>
      <x:c r="F87" s="6" t="str">
        <x:v>Consulté le 22 octobre 2026 via les résultats indexés du moteur de recherche ; index communautaire secondaire, ouverture directe Fandom limitée par robots/402. Titres et faits brefs paraphrasés ; aucune capture ni validation exhaustive en jeu.</x:v>
      </x:c>
    </x:row>
    <x:row r="88" ht="82" customHeight="1">
      <x:c r="A88" s="6" t="str">
        <x:v>MEA-SRC-NILKEN</x:v>
      </x:c>
      <x:c r="B88" s="6" t="str">
        <x:v>Nilken Rensus</x:v>
      </x:c>
      <x:c r="C88" s="6" t="str">
        <x:v>wiki</x:v>
      </x:c>
      <x:c r="D88" s="6" t="str">
        <x:v>https://masseffect.fandom.com/wiki/Nilken_Rensus</x:v>
      </x:c>
      <x:c r="E88" s="6" t="str">
        <x:v>Accusation et enquête</x:v>
      </x:c>
      <x:c r="F88" s="6" t="str">
        <x:v>Consulté le 22 octobre 2026 via les résultats indexés du moteur de recherche ; index communautaire secondaire, ouverture directe Fandom limitée par robots/402. Titres et faits brefs paraphrasés ; aucune capture ni validation exhaustive en jeu.</x:v>
      </x:c>
    </x:row>
    <x:row r="89" ht="82" customHeight="1">
      <x:c r="A89" s="6" t="str">
        <x:v>MEA-SRC-HIGH-NOON</x:v>
      </x:c>
      <x:c r="B89" s="6" t="str">
        <x:v>High Noon</x:v>
      </x:c>
      <x:c r="C89" s="6" t="str">
        <x:v>wiki</x:v>
      </x:c>
      <x:c r="D89" s="6" t="str">
        <x:v>https://masseffect.fandom.com/wiki/High_Noon</x:v>
      </x:c>
      <x:c r="E89" s="6" t="str">
        <x:v>Pouvoir à Kadara</x:v>
      </x:c>
      <x:c r="F89" s="6" t="str">
        <x:v>Consulté le 22 octobre 2026 via les résultats indexés du moteur de recherche ; index communautaire secondaire, ouverture directe Fandom limitée par robots/402. Titres et faits brefs paraphrasés ; aucune capture ni validation exhaustive en jeu.</x:v>
      </x:c>
    </x:row>
    <x:row r="90" ht="82" customHeight="1">
      <x:c r="A90" s="6" t="str">
        <x:v>MEA-SRC-LIAM-OUTPOST</x:v>
      </x:c>
      <x:c r="B90" s="6" t="str">
        <x:v>Liam Kosta: Outpost Worlds</x:v>
      </x:c>
      <x:c r="C90" s="6" t="str">
        <x:v>wiki</x:v>
      </x:c>
      <x:c r="D90" s="6" t="str">
        <x:v>https://masseffect.fandom.com/wiki/Liam_Kosta%3A_Outpost_Worlds</x:v>
      </x:c>
      <x:c r="E90" s="6" t="str">
        <x:v>Arc de Liam</x:v>
      </x:c>
      <x:c r="F90" s="6" t="str">
        <x:v>Consulté le 22 octobre 2026 via les résultats indexés du moteur de recherche ; index communautaire secondaire, ouverture directe Fandom limitée par robots/402. Titres et faits brefs paraphrasés ; aucune capture ni validation exhaustive en jeu.</x:v>
      </x:c>
    </x:row>
    <x:row r="91" ht="82" customHeight="1">
      <x:c r="A91" s="6" t="str">
        <x:v>MEA-SRC-ALIEN-TASK</x:v>
      </x:c>
      <x:c r="B91" s="6" t="str">
        <x:v>Task: Comparatively Alien</x:v>
      </x:c>
      <x:c r="C91" s="6" t="str">
        <x:v>wiki</x:v>
      </x:c>
      <x:c r="D91" s="6" t="str">
        <x:v>https://masseffect.fandom.com/wiki/Task%3A_Comparatively_Alien</x:v>
      </x:c>
      <x:c r="E91" s="6" t="str">
        <x:v>Tâche scientifique</x:v>
      </x:c>
      <x:c r="F91" s="6" t="str">
        <x:v>Consulté le 22 octobre 2026 via les résultats indexés du moteur de recherche ; index communautaire secondaire, ouverture directe Fandom limitée par robots/402. Titres et faits brefs paraphrasés ; aucune capture ni validation exhaustive en jeu.</x:v>
      </x:c>
    </x:row>
    <x:row r="92" ht="82" customHeight="1">
      <x:c r="A92" s="6" t="str">
        <x:v>MEA-SRC-LIAM-LOYAL</x:v>
      </x:c>
      <x:c r="B92" s="6" t="str">
        <x:v>Liam Kosta: All In</x:v>
      </x:c>
      <x:c r="C92" s="6" t="str">
        <x:v>wiki</x:v>
      </x:c>
      <x:c r="D92" s="6" t="str">
        <x:v>https://masseffect.fandom.com/wiki/Liam_Kosta%3A_All_In</x:v>
      </x:c>
      <x:c r="E92" s="6" t="str">
        <x:v>Sauvetage, gravité et retour de Liam</x:v>
      </x:c>
      <x:c r="F92" s="6" t="str">
        <x:v>Consulté le 22 octobre 2026 via les résultats indexés du moteur de recherche ; index communautaire secondaire, ouverture directe Fandom limitée par robots/402. Titres et faits brefs paraphrasés ; aucune capture ni validation exhaustive en jeu.</x:v>
      </x:c>
    </x:row>
    <x:row r="93" ht="82" customHeight="1">
      <x:c r="A93" s="6" t="str">
        <x:v>MEA-SRC-VETRA-LOYAL</x:v>
      </x:c>
      <x:c r="B93" s="6" t="str">
        <x:v>Vetra Nyx: Means and Ends</x:v>
      </x:c>
      <x:c r="C93" s="6" t="str">
        <x:v>wiki</x:v>
      </x:c>
      <x:c r="D93" s="6" t="str">
        <x:v>https://masseffect.fandom.com/wiki/Vetra_Nyx%3A_Means_and_Ends</x:v>
      </x:c>
      <x:c r="E93" s="6" t="str">
        <x:v>Piège, Sid et systèmes de sécurité</x:v>
      </x:c>
      <x:c r="F93" s="6" t="str">
        <x:v>Consulté le 22 octobre 2026 via les résultats indexés du moteur de recherche ; index communautaire secondaire, ouverture directe Fandom limitée par robots/402. Titres et faits brefs paraphrasés ; aucune capture ni validation exhaustive en jeu.</x:v>
      </x:c>
    </x:row>
    <x:row r="94" ht="82" customHeight="1">
      <x:c r="A94" s="6" t="str">
        <x:v>MEA-SRC-DRACK-LOYAL</x:v>
      </x:c>
      <x:c r="B94" s="6" t="str">
        <x:v>Nakmor Drack: A Future for our People</x:v>
      </x:c>
      <x:c r="C94" s="6" t="str">
        <x:v>wiki</x:v>
      </x:c>
      <x:c r="D94" s="6" t="str">
        <x:v>https://masseffect.fandom.com/wiki/Nakmor_Drack%3A_A_Future_for_our_People</x:v>
      </x:c>
      <x:c r="E94" s="6" t="str">
        <x:v>Vorn, graines, Aroane et Spender</x:v>
      </x:c>
      <x:c r="F94" s="6" t="str">
        <x:v>Consulté le 22 octobre 2026 via les résultats indexés du moteur de recherche ; index communautaire secondaire, ouverture directe Fandom limitée par robots/402. Titres et faits brefs paraphrasés ; aucune capture ni validation exhaustive en jeu.</x:v>
      </x:c>
    </x:row>
    <x:row r="95" ht="82" customHeight="1">
      <x:c r="A95" s="6" t="str">
        <x:v>MEA-SRC-DRACK</x:v>
      </x:c>
      <x:c r="B95" s="6" t="str">
        <x:v>Nakmor Drack</x:v>
      </x:c>
      <x:c r="C95" s="6" t="str">
        <x:v>wiki</x:v>
      </x:c>
      <x:c r="D95" s="6" t="str">
        <x:v>https://masseffect.fandom.com/wiki/Nakmor_Drack</x:v>
      </x:c>
      <x:c r="E95" s="6" t="str">
        <x:v>Équipier, prothèses et compétences</x:v>
      </x:c>
      <x:c r="F95" s="6" t="str">
        <x:v>Consulté le 22 octobre 2026 via les résultats indexés du moteur de recherche ; index communautaire secondaire, ouverture directe Fandom limitée par robots/402. Titres et faits brefs paraphrasés ; aucune capture ni validation exhaustive en jeu.</x:v>
      </x:c>
    </x:row>
    <x:row r="96" ht="82" customHeight="1">
      <x:c r="A96" s="6" t="str">
        <x:v>MEA-SRC-EOS-PAGE</x:v>
      </x:c>
      <x:c r="B96" s="6" t="str">
        <x:v>Eos</x:v>
      </x:c>
      <x:c r="C96" s="6" t="str">
        <x:v>wiki</x:v>
      </x:c>
      <x:c r="D96" s="6" t="str">
        <x:v>https://masseffect.fandom.com/wiki/Eos</x:v>
      </x:c>
      <x:c r="E96" s="6" t="str">
        <x:v>Lieu et index de missions associés</x:v>
      </x:c>
      <x:c r="F96" s="6" t="str">
        <x:v>Consulté le 22 octobre 2026 via les résultats indexés du moteur de recherche ; index communautaire secondaire, ouverture directe Fandom limitée par robots/402. Titres et faits brefs paraphrasés ; aucune capture ni validation exhaustive en jeu.</x:v>
      </x:c>
    </x:row>
    <x:row r="97" ht="82" customHeight="1">
      <x:c r="A97" s="6" t="str">
        <x:v>MEA-SRC-VOELD-PAGE</x:v>
      </x:c>
      <x:c r="B97" s="6" t="str">
        <x:v>Voeld</x:v>
      </x:c>
      <x:c r="C97" s="6" t="str">
        <x:v>wiki</x:v>
      </x:c>
      <x:c r="D97" s="6" t="str">
        <x:v>https://masseffect.fandom.com/wiki/Voeld</x:v>
      </x:c>
      <x:c r="E97" s="6" t="str">
        <x:v>Lieu et index de missions associés</x:v>
      </x:c>
      <x:c r="F97" s="6" t="str">
        <x:v>Consulté le 22 octobre 2026 via les résultats indexés du moteur de recherche ; index communautaire secondaire, ouverture directe Fandom limitée par robots/402. Titres et faits brefs paraphrasés ; aucune capture ni validation exhaustive en jeu.</x:v>
      </x:c>
    </x:row>
    <x:row r="98" ht="82" customHeight="1">
      <x:c r="A98" s="6" t="str">
        <x:v>MEA-SRC-KADARA-PAGE</x:v>
      </x:c>
      <x:c r="B98" s="6" t="str">
        <x:v>Kadara</x:v>
      </x:c>
      <x:c r="C98" s="6" t="str">
        <x:v>wiki</x:v>
      </x:c>
      <x:c r="D98" s="6" t="str">
        <x:v>https://masseffect.fandom.com/wiki/Kadara</x:v>
      </x:c>
      <x:c r="E98" s="6" t="str">
        <x:v>Lieu et index de missions associés</x:v>
      </x:c>
      <x:c r="F98" s="6" t="str">
        <x:v>Consulté le 22 octobre 2026 via les résultats indexés du moteur de recherche ; index communautaire secondaire, ouverture directe Fandom limitée par robots/402. Titres et faits brefs paraphrasés ; aucune capture ni validation exhaustive en jeu.</x:v>
      </x:c>
    </x:row>
    <x:row r="99" ht="82" customHeight="1">
      <x:c r="A99" s="6" t="str">
        <x:v>MEA-SRC-ELAADEN-PAGE</x:v>
      </x:c>
      <x:c r="B99" s="6" t="str">
        <x:v>Elaaden</x:v>
      </x:c>
      <x:c r="C99" s="6" t="str">
        <x:v>wiki</x:v>
      </x:c>
      <x:c r="D99" s="6" t="str">
        <x:v>https://masseffect.fandom.com/wiki/Elaaden</x:v>
      </x:c>
      <x:c r="E99" s="6" t="str">
        <x:v>Lieu et index de missions associés</x:v>
      </x:c>
      <x:c r="F99" s="6" t="str">
        <x:v>Consulté le 22 octobre 2026 via les résultats indexés du moteur de recherche ; index communautaire secondaire, ouverture directe Fandom limitée par robots/402. Titres et faits brefs paraphrasés ; aucune capture ni validation exhaustive en jeu.</x:v>
      </x:c>
    </x:row>
    <x:row r="100" ht="82" customHeight="1">
      <x:c r="A100" s="6" t="str">
        <x:v>MEA-SRC-HAVARL-PAGE</x:v>
      </x:c>
      <x:c r="B100" s="6" t="str">
        <x:v>Havarl</x:v>
      </x:c>
      <x:c r="C100" s="6" t="str">
        <x:v>wiki</x:v>
      </x:c>
      <x:c r="D100" s="6" t="str">
        <x:v>https://masseffect.fandom.com/wiki/Havarl</x:v>
      </x:c>
      <x:c r="E100" s="6" t="str">
        <x:v>Lieu et index de missions associés</x:v>
      </x:c>
      <x:c r="F100" s="6" t="str">
        <x:v>Consulté le 22 octobre 2026 via les résultats indexés du moteur de recherche ; index communautaire secondaire, ouverture directe Fandom limitée par robots/402. Titres et faits brefs paraphrasés ; aucune capture ni validation exhaustive en jeu.</x:v>
      </x:c>
    </x:row>
    <x:row r="101" ht="82" customHeight="1">
      <x:c r="A101" s="6" t="str">
        <x:v>MEA-SRC-AYA-PAGE</x:v>
      </x:c>
      <x:c r="B101" s="6" t="str">
        <x:v>Aya</x:v>
      </x:c>
      <x:c r="C101" s="6" t="str">
        <x:v>wiki</x:v>
      </x:c>
      <x:c r="D101" s="6" t="str">
        <x:v>https://masseffect.fandom.com/wiki/Aya</x:v>
      </x:c>
      <x:c r="E101" s="6" t="str">
        <x:v>Lieu et index de missions associés</x:v>
      </x:c>
      <x:c r="F101" s="6" t="str">
        <x:v>Consulté le 22 octobre 2026 via les résultats indexés du moteur de recherche ; index communautaire secondaire, ouverture directe Fandom limitée par robots/402. Titres et faits brefs paraphrasés ; aucune capture ni validation exhaustive en jeu.</x:v>
      </x:c>
    </x:row>
    <x:row r="102" ht="82" customHeight="1">
      <x:c r="A102" s="6" t="str">
        <x:v>MEA-SRC-TEMPEST-PAGE</x:v>
      </x:c>
      <x:c r="B102" s="6" t="str">
        <x:v>Tempest</x:v>
      </x:c>
      <x:c r="C102" s="6" t="str">
        <x:v>wiki</x:v>
      </x:c>
      <x:c r="D102" s="6" t="str">
        <x:v>https://masseffect.fandom.com/wiki/Tempest</x:v>
      </x:c>
      <x:c r="E102" s="6" t="str">
        <x:v>Lieu et index de missions associés</x:v>
      </x:c>
      <x:c r="F102" s="6" t="str">
        <x:v>Consulté le 22 octobre 2026 via les résultats indexés du moteur de recherche ; index communautaire secondaire, ouverture directe Fandom limitée par robots/402. Titres et faits brefs paraphrasés ; aucune capture ni validation exhaustive en jeu.</x:v>
      </x:c>
    </x:row>
    <x:row r="103" ht="82" customHeight="1">
      <x:c r="A103" s="6" t="str">
        <x:v>MEA-SRC-MOVIE</x:v>
      </x:c>
      <x:c r="B103" s="6" t="str">
        <x:v>Movie Night</x:v>
      </x:c>
      <x:c r="C103" s="6" t="str">
        <x:v>wiki</x:v>
      </x:c>
      <x:c r="D103" s="6" t="str">
        <x:v>https://masseffect.fandom.com/wiki/Movie_Night</x:v>
      </x:c>
      <x:c r="E103" s="6" t="str">
        <x:v>Chaîne et fenêtres de soirée film</x:v>
      </x:c>
      <x:c r="F103" s="6" t="str">
        <x:v>Consulté le 22 octobre 2026 via les résultats indexés du moteur de recherche ; index communautaire secondaire, ouverture directe Fandom limitée par robots/402. Titres et faits brefs paraphrasés ; aucune capture ni validation exhaustive en jeu.</x:v>
      </x:c>
    </x:row>
    <x:row r="104" ht="82" customHeight="1">
      <x:c r="A104" s="6" t="str">
        <x:v>MEA-SRC-OVERGROWN</x:v>
      </x:c>
      <x:c r="B104" s="6" t="str">
        <x:v>Overgrown</x:v>
      </x:c>
      <x:c r="C104" s="6" t="str">
        <x:v>wiki</x:v>
      </x:c>
      <x:c r="D104" s="6" t="str">
        <x:v>https://masseffect.fandom.com/wiki/Overgrown</x:v>
      </x:c>
      <x:c r="E104" s="6" t="str">
        <x:v>Analyse de faune mutée de Havarl</x:v>
      </x:c>
      <x:c r="F104" s="6" t="str">
        <x:v>Consulté le 22 octobre 2026 via les résultats indexés du moteur de recherche ; index communautaire secondaire, ouverture directe Fandom limitée par robots/402. Titres et faits brefs paraphrasés ; aucune capture ni validation exhaustive en jeu.</x:v>
      </x:c>
    </x:row>
    <x:row r="105" ht="82" customHeight="1">
      <x:c r="A105" s="6" t="str">
        <x:v>MEA-SRC-VESAAL</x:v>
      </x:c>
      <x:c r="B105" s="6" t="str">
        <x:v>The Vesaal</x:v>
      </x:c>
      <x:c r="C105" s="6" t="str">
        <x:v>wiki</x:v>
      </x:c>
      <x:c r="D105" s="6" t="str">
        <x:v>https://masseffect.fandom.com/wiki/The_Vesaal</x:v>
      </x:c>
      <x:c r="E105" s="6" t="str">
        <x:v>Équilibre de population sur Aya</x:v>
      </x:c>
      <x:c r="F105" s="6" t="str">
        <x:v>Consulté le 22 octobre 2026 via les résultats indexés du moteur de recherche ; index communautaire secondaire, ouverture directe Fandom limitée par robots/402. Titres et faits brefs paraphrasés ; aucune capture ni validation exhaustive en jeu.</x:v>
      </x:c>
    </x:row>
    <x:row r="106" ht="82" customHeight="1">
      <x:c r="A106" s="6" t="str">
        <x:v>MEA-SRC-DRAGONS</x:v>
      </x:c>
      <x:c r="B106" s="6" t="str">
        <x:v>Sleeping Dragons</x:v>
      </x:c>
      <x:c r="C106" s="6" t="str">
        <x:v>wiki</x:v>
      </x:c>
      <x:c r="D106" s="6" t="str">
        <x:v>https://masseffect.fandom.com/wiki/Sleeping_Dragons</x:v>
      </x:c>
      <x:c r="E106" s="6" t="str">
        <x:v>Familles en cryostase et protestation</x:v>
      </x:c>
      <x:c r="F106" s="6" t="str">
        <x:v>Consulté le 22 octobre 2026 via les résultats indexés du moteur de recherche ; index communautaire secondaire, ouverture directe Fandom limitée par robots/402. Titres et faits brefs paraphrasés ; aucune capture ni validation exhaustive en jeu.</x:v>
      </x:c>
    </x:row>
    <x:row r="107" ht="82" customHeight="1">
      <x:c r="A107" s="6" t="str">
        <x:v>MEA-SRC-PROFILES</x:v>
      </x:c>
      <x:c r="B107" s="6" t="str">
        <x:v>Profiles</x:v>
      </x:c>
      <x:c r="C107" s="6" t="str">
        <x:v>wiki</x:v>
      </x:c>
      <x:c r="D107" s="6" t="str">
        <x:v>https://masseffect.fandom.com/wiki/Profiles</x:v>
      </x:c>
      <x:c r="E107" s="6" t="str">
        <x:v>Sept profils de Ryder et progression</x:v>
      </x:c>
      <x:c r="F107" s="6" t="str">
        <x:v>Consulté le 22 octobre 2026 via les résultats indexés du moteur de recherche ; index communautaire secondaire, ouverture directe Fandom limitée par robots/402. Titres et faits brefs paraphrasés ; aucune capture ni validation exhaustive en jeu.</x:v>
      </x:c>
    </x:row>
    <x:row r="108" ht="82" customHeight="1">
      <x:c r="A108" s="6" t="str">
        <x:v>MEA-SRC-FAMILY</x:v>
      </x:c>
      <x:c r="B108" s="6" t="str">
        <x:v>Ryder Family Secrets</x:v>
      </x:c>
      <x:c r="C108" s="6" t="str">
        <x:v>wiki</x:v>
      </x:c>
      <x:c r="D108" s="6" t="str">
        <x:v>https://masseffect.fandom.com/wiki/Ryder_Family_Secrets</x:v>
      </x:c>
      <x:c r="E108" s="6" t="str">
        <x:v>Souvenirs, Ellen et Bienfaiteur</x:v>
      </x:c>
      <x:c r="F108" s="6" t="str">
        <x:v>Consulté le 22 octobre 2026 via les résultats indexés du moteur de recherche ; index communautaire secondaire, ouverture directe Fandom limitée par robots/402. Titres et faits brefs paraphrasés ; aucune capture ni validation exhaustive en jeu.</x:v>
      </x:c>
    </x:row>
    <x:row r="109" ht="82" customHeight="1">
      <x:c r="A109" s="6" t="str">
        <x:v>MEA-SRC-OMNI-GRENADE</x:v>
      </x:c>
      <x:c r="B109" s="6" t="str">
        <x:v>Omni Grenade</x:v>
      </x:c>
      <x:c r="C109" s="6" t="str">
        <x:v>wiki</x:v>
      </x:c>
      <x:c r="D109" s="6" t="str">
        <x:v>https://masseffect.fandom.com/wiki/Omni_Grenade</x:v>
      </x:c>
      <x:c r="E109" s="6" t="str">
        <x:v>Compétence, réserve et variantes</x:v>
      </x:c>
      <x:c r="F109" s="6" t="str">
        <x:v>Consulté le 22 octobre 2026 via les résultats indexés du moteur de recherche ; index communautaire secondaire, ouverture directe Fandom limitée par robots/402. Titres et faits brefs paraphrasés ; aucune capture ni validation exhaustive en jeu.</x:v>
      </x:c>
    </x:row>
    <x:row r="110" ht="82" customHeight="1">
      <x:c r="A110" s="6" t="str">
        <x:v>MEA-SRC-FLAK</x:v>
      </x:c>
      <x:c r="B110" s="6" t="str">
        <x:v>Flak Cannon</x:v>
      </x:c>
      <x:c r="C110" s="6" t="str">
        <x:v>wiki</x:v>
      </x:c>
      <x:c r="D110" s="6" t="str">
        <x:v>https://masseffect.fandom.com/wiki/Flak_Cannon</x:v>
      </x:c>
      <x:c r="E110" s="6" t="str">
        <x:v>Compétence de Ryder et Drack</x:v>
      </x:c>
      <x:c r="F110" s="6" t="str">
        <x:v>Consulté le 22 octobre 2026 via les résultats indexés du moteur de recherche ; index communautaire secondaire, ouverture directe Fandom limitée par robots/402. Titres et faits brefs paraphrasés ; aucune capture ni validation exhaustive en jeu.</x:v>
      </x:c>
    </x:row>
    <x:row r="111" ht="82" customHeight="1">
      <x:c r="A111" s="6" t="str">
        <x:v>MEA-SRC-PATH-ARMOR</x:v>
      </x:c>
      <x:c r="B111" s="6" t="str">
        <x:v>Pathfinder Armor</x:v>
      </x:c>
      <x:c r="C111" s="6" t="str">
        <x:v>wiki</x:v>
      </x:c>
      <x:c r="D111" s="6" t="str">
        <x:v>https://masseffect.fandom.com/wiki/Pathfinder_Armor</x:v>
      </x:c>
      <x:c r="E111" s="6" t="str">
        <x:v>Pièces et compatibilité d’armure</x:v>
      </x:c>
      <x:c r="F111" s="6" t="str">
        <x:v>Consulté le 22 octobre 2026 via les résultats indexés du moteur de recherche ; index communautaire secondaire, ouverture directe Fandom limitée par robots/402. Titres et faits brefs paraphrasés ; aucune capture ni validation exhaustive en jeu.</x:v>
      </x:c>
    </x:row>
    <x:row r="112" ht="82" customHeight="1">
      <x:c r="A112" s="6" t="str">
        <x:v>MEA-SRC-TRAIL2</x:v>
      </x:c>
      <x:c r="B112" s="6" t="str">
        <x:v>A Trail of Hope II</x:v>
      </x:c>
      <x:c r="C112" s="6" t="str">
        <x:v>wiki</x:v>
      </x:c>
      <x:c r="D112" s="6" t="str">
        <x:v>https://masseffect.fandom.com/wiki/A_Trail_of_Hope_II</x:v>
      </x:c>
      <x:c r="E112" s="6" t="str">
        <x:v>Captifs et Cardinal</x:v>
      </x:c>
      <x:c r="F112" s="6" t="str">
        <x:v>Consulté le 22 octobre 2026 via les résultats indexés du moteur de recherche ; index communautaire secondaire, ouverture directe Fandom limitée par robots/402. Titres et faits brefs paraphrasés ; aucune capture ni validation exhaustive en jeu.</x:v>
      </x:c>
    </x:row>
    <x:row r="113" ht="82" customHeight="1">
      <x:c r="A113" s="6" t="str">
        <x:v>MEA-SRC-ANCIENT-AI</x:v>
      </x:c>
      <x:c r="B113" s="6" t="str">
        <x:v>Uncovering the Past</x:v>
      </x:c>
      <x:c r="C113" s="6" t="str">
        <x:v>wiki</x:v>
      </x:c>
      <x:c r="D113" s="6" t="str">
        <x:v>https://masseffect.fandom.com/wiki/Uncovering_the_Past</x:v>
      </x:c>
      <x:c r="E113" s="6" t="str">
        <x:v>IA ancienne, otage et destinataire</x:v>
      </x:c>
      <x:c r="F113" s="6" t="str">
        <x:v>Consulté le 22 octobre 2026 via les résultats indexés du moteur de recherche ; index communautaire secondaire, ouverture directe Fandom limitée par robots/402. Titres et faits brefs paraphrasés ; aucune capture ni validation exhaustive en jeu.</x:v>
      </x:c>
    </x:row>
    <x:row r="114" ht="82" customHeight="1">
      <x:c r="A114" s="6" t="str">
        <x:v>MEA-SRC-TURIAN-LOST</x:v>
      </x:c>
      <x:c r="B114" s="6" t="str">
        <x:v>Turian Ark: Lost But Not Forgotten</x:v>
      </x:c>
      <x:c r="C114" s="6" t="str">
        <x:v>wiki</x:v>
      </x:c>
      <x:c r="D114" s="6" t="str">
        <x:v>https://masseffect.fandom.com/wiki/Turian_Ark%3A_Lost_But_Not_Forgotten</x:v>
      </x:c>
      <x:c r="E114" s="6" t="str">
        <x:v>Avitus et secours final</x:v>
      </x:c>
      <x:c r="F114" s="6" t="str">
        <x:v>Consulté le 22 octobre 2026 via les résultats indexés du moteur de recherche ; index communautaire secondaire, ouverture directe Fandom limitée par robots/402. Titres et faits brefs paraphrasés ; aucune capture ni validation exhaustive en jeu.</x:v>
      </x:c>
    </x:row>
    <x:row r="115" ht="82" customHeight="1">
      <x:c r="A115" s="6" t="str">
        <x:v>MEA-SRC-DUNN</x:v>
      </x:c>
      <x:c r="B115" s="6" t="str">
        <x:v>Nozomi Dunn</x:v>
      </x:c>
      <x:c r="C115" s="6" t="str">
        <x:v>wiki</x:v>
      </x:c>
      <x:c r="D115" s="6" t="str">
        <x:v>https://masseffect.fandom.com/wiki/Nozomi_Dunn</x:v>
      </x:c>
      <x:c r="E115" s="6" t="str">
        <x:v>Capitaine et destin final</x:v>
      </x:c>
      <x:c r="F115" s="6" t="str">
        <x:v>Consulté le 22 octobre 2026 via les résultats indexés du moteur de recherche ; index communautaire secondaire, ouverture directe Fandom limitée par robots/402. Titres et faits brefs paraphrasés ; aucune capture ni validation exhaustive en jeu.</x:v>
      </x:c>
    </x:row>
    <x:row r="116" ht="82" customHeight="1">
      <x:c r="A116" s="6" t="str">
        <x:v>MEA-SRC-MP-ZERO</x:v>
      </x:c>
      <x:c r="B116" s="6" t="str">
        <x:v>Firebase Zero</x:v>
      </x:c>
      <x:c r="C116" s="6" t="str">
        <x:v>wiki</x:v>
      </x:c>
      <x:c r="D116" s="6" t="str">
        <x:v>https://masseffect.fandom.com/wiki/Firebase_Zero</x:v>
      </x:c>
      <x:c r="E116" s="6" t="str">
        <x:v>Carte multijoueur et index de cartes</x:v>
      </x:c>
      <x:c r="F116" s="6" t="str">
        <x:v>Consulté le 22 octobre 2026 via les résultats indexés du moteur de recherche ; index communautaire secondaire, ouverture directe Fandom limitée par robots/402. Titres et faits brefs paraphrasés ; aucune capture ni validation exhaustive en jeu.</x:v>
      </x:c>
    </x:row>
    <x:row r="117" ht="82" customHeight="1">
      <x:c r="A117" s="6" t="str">
        <x:v>MEA-SRC-MP-MAGMA</x:v>
      </x:c>
      <x:c r="B117" s="6" t="str">
        <x:v>Firebase Magma</x:v>
      </x:c>
      <x:c r="C117" s="6" t="str">
        <x:v>wiki</x:v>
      </x:c>
      <x:c r="D117" s="6" t="str">
        <x:v>https://masseffect.fandom.com/wiki/Firebase_Magma</x:v>
      </x:c>
      <x:c r="E117" s="6" t="str">
        <x:v>Carte multijoueur et index de cartes</x:v>
      </x:c>
      <x:c r="F117" s="6" t="str">
        <x:v>Consulté le 22 octobre 2026 via les résultats indexés du moteur de recherche ; index communautaire secondaire, ouverture directe Fandom limitée par robots/402. Titres et faits brefs paraphrasés ; aucune capture ni validation exhaustive en jeu.</x:v>
      </x:c>
    </x:row>
    <x:row r="118" ht="82" customHeight="1">
      <x:c r="A118" s="6" t="str">
        <x:v>MEA-SRC-APEX</x:v>
      </x:c>
      <x:c r="B118" s="6" t="str">
        <x:v>APEX Missions</x:v>
      </x:c>
      <x:c r="C118" s="6" t="str">
        <x:v>wiki</x:v>
      </x:c>
      <x:c r="D118" s="6" t="str">
        <x:v>https://masseffect.fandom.com/wiki/APEX_Missions</x:v>
      </x:c>
      <x:c r="E118" s="6" t="str">
        <x:v>Opérations coopératives et contexte</x:v>
      </x:c>
      <x:c r="F118" s="6" t="str">
        <x:v>Consulté le 22 octobre 2026 via les résultats indexés du moteur de recherche ; index communautaire secondaire, ouverture directe Fandom limitée par robots/402. Titres et faits brefs paraphrasés ; aucune capture ni validation exhaustive en jeu.</x:v>
      </x:c>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34" customHeight="1">
      <x:c r="A122" s="28" t="str">
        <x:v>Domaine</x:v>
      </x:c>
      <x:c r="B122" s="29" t="str">
        <x:v>Couverture actuelle</x:v>
      </x:c>
      <x:c r="C122" s="30" t="str">
        <x:v>Travail restant</x:v>
      </x:c>
      <x:c r="D122" s="2"/>
      <x:c r="E122" s="2"/>
      <x:c r="F122" s="2"/>
    </x:row>
    <x:row r="123" ht="82" customHeight="1">
      <x:c r="A123" s="6" t="str">
        <x:v>Campagne et missions</x:v>
      </x:c>
      <x:c r="B123" s="6" t="str">
        <x:v>19 opérations principales, six arcs de loyauté, nombreuses rencontres d’équipage, missions de chaque monde, tâches choisies et épilogue.</x:v>
      </x:c>
      <x:c r="C123" s="6" t="str">
        <x:v>Les 130 fiches annexes incluent quelques chaînes regroupées (Friend or Foe, Movie Night) ; tâches restantes, datapads, positions de tous collectibles et variantes de chaque conversation non exhaustives.</x:v>
      </x:c>
      <x:c r="D123" s="2"/>
      <x:c r="E123" s="2"/>
      <x:c r="F123" s="2"/>
    </x:row>
    <x:row r="124" ht="68" customHeight="1">
      <x:c r="A124" s="6" t="str">
        <x:v>Personnages et monde</x:v>
      </x:c>
      <x:c r="B124" s="6" t="str">
        <x:v>Ryder, six équipiers, Alec temporaire, principaux PNJ, arches, mondes, caveaux et lieux d’alliés.</x:v>
      </x:c>
      <x:c r="C124" s="6" t="str">
        <x:v>Figuration, marchands mineurs, tous membres de familles angara et chaque variante de costume restent à détailler après relevé en jeu.</x:v>
      </x:c>
      <x:c r="D124" s="2"/>
      <x:c r="E124" s="2"/>
      <x:c r="F124" s="2"/>
    </x:row>
    <x:row r="125" ht="68" customHeight="1">
      <x:c r="A125" s="6" t="str">
        <x:v>Combat et arsenal</x:v>
      </x:c>
      <x:c r="B125" s="6" t="str">
        <x:v>Familles kett/hors-la-loi/reliquates/faune, boss, movesets originaux, 36 compétences de Ryder plus alliés, arsenal et armures substantiels.</x:v>
      </x:c>
      <x:c r="C125" s="6" t="str">
        <x:v>Statistiques, rangs I–X, augmentations individuelles, toutes armes et immunités d’origine ne sont pas certifiés ; design ATB à prototyper et équilibrer.</x:v>
      </x:c>
      <x:c r="D125" s="2"/>
      <x:c r="E125" s="2"/>
      <x:c r="F125" s="2"/>
    </x:row>
    <x:row r="126" ht="68" customHeight="1">
      <x:c r="A126" s="6" t="str">
        <x:v>Production graphique et sonore</x:v>
      </x:c>
      <x:c r="B126" s="6" t="str">
        <x:v>Planches de sprites à produire, cycles d’animation, décors 3D, props, VFX, ambiances et critères de profondeur/verticalité.</x:v>
      </x:c>
      <x:c r="C126" s="6" t="str">
        <x:v>Ce catalogue ne fournit pas les fichiers artistiques, meshes ou sons ; validation de silhouette, atlas, performance et écoute à réaliser.</x:v>
      </x:c>
      <x:c r="D126" s="2"/>
      <x:c r="E126" s="2"/>
      <x:c r="F126" s="2"/>
    </x:row>
    <x:row r="127" ht="68" customHeight="1">
      <x:c r="A127" s="6" t="str">
        <x:v>Choix et continuité</x:v>
      </x:c>
      <x:c r="B127" s="6" t="str">
        <x:v>Moshae, Raeka/scouts, Pionniers, Dunn, Kalinda, Akksul, régime Kadara, moteur krogan, IA de Voeld, famille et romance versionnée.</x:v>
      </x:c>
      <x:c r="C127" s="6" t="str">
        <x:v>Conditions exactes de tous dialogues, petites réactions et fenêtres de patch à confirmer par sauvegardes/captures ; aucune fin ou identité de Bienfaiteur imposée.</x:v>
      </x:c>
      <x:c r="D127" s="2"/>
      <x:c r="E127" s="2"/>
      <x:c r="F127" s="2"/>
    </x:row>
    <x:row r="128" ht="82" customHeight="1">
      <x:c r="A128" s="6" t="str">
        <x:v>Multijoueur / APEX</x:v>
      </x:c>
      <x:c r="B128" s="6" t="str">
        <x:v>Dix cartes, échantillon de sept classes de plusieurs espèces, Strike Teams, Prestige/Veteran et compétences propres isolés du solo.</x:v>
      </x:c>
      <x:c r="C128" s="6" t="str">
        <x:v>Roster multi complet, toutes vagues, événements, cartes de danger, armes exclusives et disponibilité des services ne sont pas audités ; coop ATB reste une proposition.</x:v>
      </x:c>
      <x:c r="D128" s="2"/>
      <x:c r="E128" s="2"/>
      <x:c r="F128" s="2"/>
    </x:row>
    <x:row r="129" ht="68" customHeight="1">
      <x:c r="A129" s="6" t="str">
        <x:v>Extensions et suivi</x:v>
      </x:c>
      <x:c r="B129" s="6" t="str">
        <x:v>Édition Deluxe et contenu additionnel d’équipement distingués du récit ; déclaration BioWare de fin du suivi solo documentée.</x:v>
      </x:c>
      <x:c r="C129" s="6" t="str">
        <x:v>Aucun DLC narratif solo ni résolution jouable de l’arche quarienne inventé ; les romans et comics sont couverts dans leurs propres catalogues.</x:v>
      </x:c>
      <x:c r="D129" s="2"/>
      <x:c r="E129" s="2"/>
      <x:c r="F129" s="2"/>
    </x:row>
    <x:row r="130" ht="68" customHeight="1">
      <x:c r="A130" s="6" t="str">
        <x:v>Sources</x:v>
      </x:c>
      <x:c r="B130" s="6" t="str">
        <x:v>Sources EA/BioWare/manuel pour périmètre et versions, pages wiki de missions et mondes pour inventaire secondaire.</x:v>
      </x:c>
      <x:c r="C130" s="6" t="str">
        <x:v>Pages Fandom consultées par index de recherche lorsque accès direct limité ; inventaire substantiel sans revendication d’exhaustivité vérifiée en jeu.</x:v>
      </x:c>
      <x:c r="D130" s="2"/>
      <x:c r="E130" s="2"/>
      <x:c r="F130" s="2"/>
    </x:row>
    <x:row r="131" ht="96" customHeight="1">
      <x:c r="A131" s="6" t="str">
        <x:v>Prototype Chroniques indépendant</x:v>
      </x:c>
      <x:c r="B131" s="6" t="str">
        <x:v>8 personnages sélectionnables, 34 équipements utilisables sous restrictions d’œuvre, segment, scène et porteur ; preuves dans implementationPaths et evidence des seules lignes Prototype.</x:v>
      </x:c>
      <x:c r="C131" s="6" t="str">
        <x:v>Campagne complète, dialogues, acquisition canonique, sprites, costumes, animations et statistiques originales à réaliser ou vérifier. Les ateliers sont des essais de préparation ATB, sans progression canonique ni transfert ME1.</x:v>
      </x:c>
      <x:c r="D131" s="2"/>
      <x:c r="E131" s="2"/>
      <x:c r="F131" s="2"/>
    </x:row>
    <x:row r="132" ht="96" customHeight="1">
      <x:c r="A132" s="6" t="str">
        <x:v>Complément pouvoirs, modules et lectures</x:v>
      </x:c>
      <x:c r="B132" s="6" t="str">
        <x:v>10 fiches de pouvoirs effectivement utilisées, 0 familles de modules préparables et 0 références au stade Prototype consultables dans des lectures documentaires. Les chemins et preuves sont inscrits sur les seules lignes Prototype.</x:v>
      </x:c>
      <x:c r="C132" s="6" t="str">
        <x:v>Arbres et progression complets, modèles et rangs exacts, campagnes et dialogues intégraux, niveaux et ressources visuelles propres à l’œuvre restent à réaliser ou vérifier. Les références lues ne rendent pas leurs personnages jouables.</x:v>
      </x:c>
      <x:c r="D132" s="2"/>
      <x:c r="E132" s="2"/>
      <x:c r="F132" s="2"/>
    </x:row>
    <x:row r="133" ht="110" customHeight="1">
      <x:c r="A133" s="6" t="str">
        <x:v>Complément spécialistes contextualisés</x:v>
      </x:c>
      <x:c r="B133" s="6" t="str">
        <x:v>0 profils supplémentaires limités aux bancs de spécialistes, 4 profils d’armes spéciales et 3 fiches de pouvoirs supplémentaires effectivement exposées. Vérification fonctionnelle liée au rapport docs/qa/chronicle-specialists-browser-report.json.</x:v>
      </x:c>
      <x:c r="C133" s="6" t="str">
        <x:v>Bancs ATB sur mannequins originaux, conditions préparées et dotations abstraites ; aucune reconstruction des missions, acquisition de campagne, illustration, animation, doublage ni valeur originale certifiée. Les sources secondaires et incertitudes restent explicites.</x:v>
      </x:c>
      <x:c r="D133" s="2"/>
      <x:c r="E133" s="2"/>
      <x:c r="F133" s="2"/>
    </x:row>
    <x:row r="134" ht="22" customHeight="1">
      <x:c r="A134" s="2"/>
      <x:c r="B134" s="2"/>
      <x:c r="C134" s="2"/>
      <x:c r="D134" s="2"/>
      <x:c r="E134" s="2"/>
      <x:c r="F134" s="2"/>
    </x:row>
    <x:row r="135" ht="22" customHeight="1">
      <x:c r="A135" s="2"/>
      <x:c r="B135" s="2"/>
      <x:c r="C135" s="2"/>
      <x:c r="D135" s="2"/>
      <x:c r="E135" s="2"/>
      <x:c r="F135" s="2"/>
    </x:row>
    <x:row r="136" ht="22" customHeight="1">
      <x:c r="A136" s="2"/>
      <x:c r="B136" s="2"/>
      <x:c r="C136" s="2"/>
      <x:c r="D136" s="2"/>
      <x:c r="E136" s="2"/>
      <x:c r="F136" s="2"/>
    </x:row>
    <x:row r="137" ht="22" customHeight="1">
      <x:c r="A137" s="2"/>
      <x:c r="B137" s="2"/>
      <x:c r="C137" s="2"/>
      <x:c r="D137" s="2"/>
      <x:c r="E137" s="2"/>
      <x:c r="F137" s="2"/>
    </x:row>
    <x:row r="138" ht="22" customHeight="1">
      <x:c r="A138" s="2"/>
      <x:c r="B138" s="2"/>
      <x:c r="C138" s="2"/>
      <x:c r="D138" s="2"/>
      <x:c r="E138" s="2"/>
      <x:c r="F138" s="2"/>
    </x:row>
    <x:row r="139" ht="22" customHeight="1">
      <x:c r="A139" s="2"/>
      <x:c r="B139" s="2"/>
      <x:c r="C139" s="2"/>
      <x:c r="D139" s="2"/>
      <x:c r="E139" s="2"/>
      <x:c r="F139" s="2"/>
    </x:row>
    <x:row r="140" ht="22" customHeight="1">
      <x:c r="A140" s="2"/>
      <x:c r="B140" s="2"/>
      <x:c r="C140" s="2"/>
      <x:c r="D140" s="2"/>
      <x:c r="E140" s="2"/>
      <x:c r="F140" s="2"/>
    </x:row>
    <x:row r="141" ht="22" customHeight="1">
      <x:c r="A141" s="2"/>
      <x:c r="B141" s="2"/>
      <x:c r="C141" s="2"/>
      <x:c r="D141" s="2"/>
      <x:c r="E141" s="2"/>
      <x:c r="F141" s="2"/>
    </x:row>
    <x:row r="142" ht="22" customHeight="1">
      <x:c r="A142" s="2"/>
      <x:c r="B142" s="2"/>
      <x:c r="C142" s="2"/>
      <x:c r="D142" s="2"/>
      <x:c r="E142" s="2"/>
      <x:c r="F142" s="2"/>
    </x:row>
    <x:row r="143" ht="22" customHeight="1">
      <x:c r="A143" s="2"/>
      <x:c r="B143" s="2"/>
      <x:c r="C143" s="2"/>
      <x:c r="D143" s="2"/>
      <x:c r="E143" s="2"/>
      <x:c r="F143" s="2"/>
    </x:row>
    <x:row r="144" ht="22" customHeight="1">
      <x:c r="A144" s="2"/>
      <x:c r="B144" s="2"/>
      <x:c r="C144" s="2"/>
      <x:c r="D144" s="2"/>
      <x:c r="E144" s="2"/>
      <x:c r="F144" s="2"/>
    </x:row>
    <x:row r="145" ht="22" customHeight="1">
      <x:c r="A145" s="2"/>
      <x:c r="B145" s="2"/>
      <x:c r="C145" s="2"/>
      <x:c r="D145" s="2"/>
      <x:c r="E145" s="2"/>
      <x:c r="F145" s="2"/>
    </x:row>
    <x:row r="146" ht="22" customHeight="1">
      <x:c r="A146" s="2"/>
      <x:c r="B146" s="2"/>
      <x:c r="C146" s="2"/>
      <x:c r="D146" s="2"/>
      <x:c r="E146" s="2"/>
      <x:c r="F146" s="2"/>
    </x:row>
    <x:row r="147" ht="22" customHeight="1">
      <x:c r="A147" s="2"/>
      <x:c r="B147" s="2"/>
      <x:c r="C147" s="2"/>
      <x:c r="D147" s="2"/>
      <x:c r="E147" s="2"/>
      <x:c r="F147" s="2"/>
    </x:row>
    <x:row r="148" ht="22" customHeight="1">
      <x:c r="A148" s="2"/>
      <x:c r="B148" s="2"/>
      <x:c r="C148" s="2"/>
      <x:c r="D148" s="2"/>
      <x:c r="E148" s="2"/>
      <x:c r="F148" s="2"/>
    </x:row>
    <x:row r="149" ht="22" customHeight="1">
      <x:c r="A149" s="2"/>
      <x:c r="B149" s="2"/>
      <x:c r="C149" s="2"/>
      <x:c r="D149" s="2"/>
      <x:c r="E149" s="2"/>
      <x:c r="F149" s="2"/>
    </x:row>
    <x:row r="150" ht="22" customHeight="1">
      <x:c r="A150" s="2"/>
      <x:c r="B150" s="2"/>
      <x:c r="C150" s="2"/>
      <x:c r="D150" s="2"/>
      <x:c r="E150" s="2"/>
      <x:c r="F150" s="2"/>
    </x:row>
    <x:row r="151" ht="22" customHeight="1">
      <x:c r="A151" s="2"/>
      <x:c r="B151" s="2"/>
      <x:c r="C151" s="2"/>
      <x:c r="D151" s="2"/>
      <x:c r="E151" s="2"/>
      <x:c r="F151" s="2"/>
    </x:row>
    <x:row r="152" ht="22" customHeight="1">
      <x:c r="A152" s="2"/>
      <x:c r="B152" s="2"/>
      <x:c r="C152" s="2"/>
      <x:c r="D152" s="2"/>
      <x:c r="E152" s="2"/>
      <x:c r="F152" s="2"/>
    </x:row>
    <x:row r="153" ht="22" customHeight="1">
      <x:c r="A153" s="2"/>
      <x:c r="B153" s="2"/>
      <x:c r="C153" s="2"/>
      <x:c r="D153" s="2"/>
      <x:c r="E153" s="2"/>
      <x:c r="F153" s="2"/>
    </x:row>
    <x:row r="154" ht="22" customHeight="1">
      <x:c r="A154" s="2"/>
      <x:c r="B154" s="2"/>
      <x:c r="C154" s="2"/>
      <x:c r="D154" s="2"/>
      <x:c r="E154" s="2"/>
      <x:c r="F154" s="2"/>
    </x:row>
    <x:row r="155" ht="22" customHeight="1">
      <x:c r="A155" s="2"/>
      <x:c r="B155" s="2"/>
      <x:c r="C155" s="2"/>
      <x:c r="D155" s="2"/>
      <x:c r="E155" s="2"/>
      <x:c r="F155" s="2"/>
    </x:row>
    <x:row r="156" ht="22" customHeight="1">
      <x:c r="A156" s="2"/>
      <x:c r="B156" s="2"/>
      <x:c r="C156" s="2"/>
      <x:c r="D156" s="2"/>
      <x:c r="E156" s="2"/>
      <x:c r="F156" s="2"/>
    </x:row>
    <x:row r="157" ht="22" customHeight="1">
      <x:c r="A157" s="2"/>
      <x:c r="B157" s="2"/>
      <x:c r="C157" s="2"/>
      <x:c r="D157" s="2"/>
      <x:c r="E157" s="2"/>
      <x:c r="F157" s="2"/>
    </x:row>
    <x:row r="158" ht="22" customHeight="1">
      <x:c r="A158" s="2"/>
      <x:c r="B158" s="2"/>
      <x:c r="C158" s="2"/>
      <x:c r="D158" s="2"/>
      <x:c r="E158" s="2"/>
      <x:c r="F158" s="2"/>
    </x:row>
    <x:row r="159" ht="22" customHeight="1">
      <x:c r="A159" s="2"/>
      <x:c r="B159" s="2"/>
      <x:c r="C159" s="2"/>
      <x:c r="D159" s="2"/>
      <x:c r="E159" s="2"/>
      <x:c r="F159" s="2"/>
    </x:row>
    <x:row r="160" ht="22" customHeight="1">
      <x:c r="A160" s="2"/>
      <x:c r="B160" s="2"/>
      <x:c r="C160" s="2"/>
      <x:c r="D160" s="2"/>
      <x:c r="E160" s="2"/>
      <x:c r="F160" s="2"/>
    </x:row>
    <x:row r="161" ht="22" customHeight="1">
      <x:c r="A161" s="2"/>
      <x:c r="B161" s="2"/>
      <x:c r="C161" s="2"/>
      <x:c r="D161" s="2"/>
      <x:c r="E161" s="2"/>
      <x:c r="F161" s="2"/>
    </x:row>
    <x:row r="162" ht="22" customHeight="1">
      <x:c r="A162" s="2"/>
      <x:c r="B162" s="2"/>
      <x:c r="C162" s="2"/>
      <x:c r="D162" s="2"/>
      <x:c r="E162" s="2"/>
      <x:c r="F162" s="2"/>
    </x:row>
    <x:row r="163" ht="22" customHeight="1">
      <x:c r="A163" s="2"/>
      <x:c r="B163" s="2"/>
      <x:c r="C163" s="2"/>
      <x:c r="D163" s="2"/>
      <x:c r="E163" s="2"/>
      <x:c r="F163" s="2"/>
    </x:row>
    <x:row r="164" ht="22" customHeight="1">
      <x:c r="A164" s="2"/>
      <x:c r="B164" s="2"/>
      <x:c r="C164" s="2"/>
      <x:c r="D164" s="2"/>
      <x:c r="E164" s="2"/>
      <x:c r="F164" s="2"/>
    </x:row>
    <x:row r="165" ht="22" customHeight="1">
      <x:c r="A165" s="2"/>
      <x:c r="B165" s="2"/>
      <x:c r="C165" s="2"/>
      <x:c r="D165" s="2"/>
      <x:c r="E165" s="2"/>
      <x:c r="F165" s="2"/>
    </x:row>
    <x:row r="166" ht="22" customHeight="1">
      <x:c r="A166" s="2"/>
      <x:c r="B166" s="2"/>
      <x:c r="C166" s="2"/>
      <x:c r="D166" s="2"/>
      <x:c r="E166" s="2"/>
      <x:c r="F166" s="2"/>
    </x:row>
    <x:row r="167" ht="22" customHeight="1">
      <x:c r="A167" s="2"/>
      <x:c r="B167" s="2"/>
      <x:c r="C167" s="2"/>
      <x:c r="D167" s="2"/>
      <x:c r="E167" s="2"/>
      <x:c r="F167" s="2"/>
    </x:row>
    <x:row r="168" ht="22" customHeight="1">
      <x:c r="A168" s="2"/>
      <x:c r="B168" s="2"/>
      <x:c r="C168" s="2"/>
      <x:c r="D168" s="2"/>
      <x:c r="E168" s="2"/>
      <x:c r="F168" s="2"/>
    </x:row>
    <x:row r="169" ht="22" customHeight="1">
      <x:c r="A169" s="2"/>
      <x:c r="B169" s="2"/>
      <x:c r="C169" s="2"/>
      <x:c r="D169" s="2"/>
      <x:c r="E169" s="2"/>
      <x:c r="F169" s="2"/>
    </x:row>
    <x:row r="170" ht="22" customHeight="1">
      <x:c r="A170" s="2"/>
      <x:c r="B170" s="2"/>
      <x:c r="C170" s="2"/>
      <x:c r="D170" s="2"/>
      <x:c r="E170" s="2"/>
      <x:c r="F170" s="2"/>
    </x:row>
    <x:row r="171" ht="22" customHeight="1">
      <x:c r="A171" s="2"/>
      <x:c r="B171" s="2"/>
      <x:c r="C171" s="2"/>
      <x:c r="D171" s="2"/>
      <x:c r="E171" s="2"/>
      <x:c r="F171" s="2"/>
    </x:row>
    <x:row r="172" ht="22" customHeight="1">
      <x:c r="A172" s="2"/>
      <x:c r="B172" s="2"/>
      <x:c r="C172" s="2"/>
      <x:c r="D172" s="2"/>
      <x:c r="E172" s="2"/>
      <x:c r="F172" s="2"/>
    </x:row>
    <x:row r="173" ht="22" customHeight="1">
      <x:c r="A173" s="2"/>
      <x:c r="B173" s="2"/>
      <x:c r="C173" s="2"/>
      <x:c r="D173" s="2"/>
      <x:c r="E173" s="2"/>
      <x:c r="F173" s="2"/>
    </x:row>
    <x:row r="174" ht="22" customHeight="1">
      <x:c r="A174" s="2"/>
      <x:c r="B174" s="2"/>
      <x:c r="C174" s="2"/>
      <x:c r="D174" s="2"/>
      <x:c r="E174" s="2"/>
      <x:c r="F174" s="2"/>
    </x:row>
    <x:row r="175" ht="22" customHeight="1">
      <x:c r="A175" s="2"/>
      <x:c r="B175" s="2"/>
      <x:c r="C175" s="2"/>
      <x:c r="D175" s="2"/>
      <x:c r="E175" s="2"/>
      <x:c r="F175" s="2"/>
    </x:row>
    <x:row r="176" ht="22" customHeight="1">
      <x:c r="A176" s="2"/>
      <x:c r="B176" s="2"/>
      <x:c r="C176" s="2"/>
      <x:c r="D176" s="2"/>
      <x:c r="E176" s="2"/>
      <x:c r="F176" s="2"/>
    </x:row>
    <x:row r="177" ht="22" customHeight="1">
      <x:c r="A177" s="2"/>
      <x:c r="B177" s="2"/>
      <x:c r="C177" s="2"/>
      <x:c r="D177" s="2"/>
      <x:c r="E177" s="2"/>
      <x:c r="F177" s="2"/>
    </x:row>
    <x:row r="178" ht="22" customHeight="1">
      <x:c r="A178" s="2"/>
      <x:c r="B178" s="2"/>
      <x:c r="C178" s="2"/>
      <x:c r="D178" s="2"/>
      <x:c r="E178" s="2"/>
      <x:c r="F178" s="2"/>
    </x:row>
    <x:row r="179" ht="22" customHeight="1">
      <x:c r="A179" s="2"/>
      <x:c r="B179" s="2"/>
      <x:c r="C179" s="2"/>
      <x:c r="D179" s="2"/>
      <x:c r="E179" s="2"/>
      <x:c r="F179" s="2"/>
    </x:row>
    <x:row r="180" ht="22" customHeight="1">
      <x:c r="A180" s="2"/>
      <x:c r="B180" s="2"/>
      <x:c r="C180" s="2"/>
      <x:c r="D180" s="2"/>
      <x:c r="E180" s="2"/>
      <x:c r="F180" s="2"/>
    </x:row>
    <x:row r="181" ht="22" customHeight="1">
      <x:c r="A181" s="2"/>
      <x:c r="B181" s="2"/>
      <x:c r="C181" s="2"/>
      <x:c r="D181" s="2"/>
      <x:c r="E181" s="2"/>
      <x:c r="F181" s="2"/>
    </x:row>
    <x:row r="182" ht="22" customHeight="1">
      <x:c r="A182" s="2"/>
      <x:c r="B182" s="2"/>
      <x:c r="C182" s="2"/>
      <x:c r="D182" s="2"/>
      <x:c r="E182" s="2"/>
      <x:c r="F182" s="2"/>
    </x:row>
    <x:row r="183" ht="22" customHeight="1">
      <x:c r="A183" s="2"/>
      <x:c r="B183" s="2"/>
      <x:c r="C183" s="2"/>
      <x:c r="D183" s="2"/>
      <x:c r="E183" s="2"/>
      <x:c r="F183" s="2"/>
    </x:row>
    <x:row r="184" ht="22" customHeight="1">
      <x:c r="A184" s="2"/>
      <x:c r="B184" s="2"/>
      <x:c r="C184" s="2"/>
      <x:c r="D184" s="2"/>
      <x:c r="E184" s="2"/>
      <x:c r="F184" s="2"/>
    </x:row>
    <x:row r="185" ht="22" customHeight="1">
      <x:c r="A185" s="2"/>
      <x:c r="B185" s="2"/>
      <x:c r="C185" s="2"/>
      <x:c r="D185" s="2"/>
      <x:c r="E185" s="2"/>
      <x:c r="F185" s="2"/>
    </x:row>
    <x:row r="186" ht="22" customHeight="1">
      <x:c r="A186" s="2"/>
      <x:c r="B186" s="2"/>
      <x:c r="C186" s="2"/>
      <x:c r="D186" s="2"/>
      <x:c r="E186" s="2"/>
      <x:c r="F186" s="2"/>
    </x:row>
    <x:row r="187" ht="22" customHeight="1">
      <x:c r="A187" s="2"/>
      <x:c r="B187" s="2"/>
      <x:c r="C187" s="2"/>
      <x:c r="D187" s="2"/>
      <x:c r="E187" s="2"/>
      <x:c r="F187" s="2"/>
    </x:row>
    <x:row r="188" ht="22" customHeight="1">
      <x:c r="A188" s="2"/>
      <x:c r="B188" s="2"/>
      <x:c r="C188" s="2"/>
      <x:c r="D188" s="2"/>
      <x:c r="E188" s="2"/>
      <x:c r="F188" s="2"/>
    </x:row>
    <x:row r="189" ht="22" customHeight="1">
      <x:c r="A189" s="2"/>
      <x:c r="B189" s="2"/>
      <x:c r="C189" s="2"/>
      <x:c r="D189" s="2"/>
      <x:c r="E189" s="2"/>
      <x:c r="F189" s="2"/>
    </x:row>
    <x:row r="190" ht="22" customHeight="1">
      <x:c r="A190" s="2"/>
      <x:c r="B190" s="2"/>
      <x:c r="C190" s="2"/>
      <x:c r="D190" s="2"/>
      <x:c r="E190" s="2"/>
      <x:c r="F190" s="2"/>
    </x:row>
    <x:row r="191" ht="22" customHeight="1">
      <x:c r="A191" s="2"/>
      <x:c r="B191" s="2"/>
      <x:c r="C191" s="2"/>
      <x:c r="D191" s="2"/>
      <x:c r="E191" s="2"/>
      <x:c r="F191" s="2"/>
    </x:row>
    <x:row r="192" ht="22" customHeight="1">
      <x:c r="A192" s="2"/>
      <x:c r="B192" s="2"/>
      <x:c r="C192" s="2"/>
      <x:c r="D192" s="2"/>
      <x:c r="E192" s="2"/>
      <x:c r="F192" s="2"/>
    </x:row>
    <x:row r="193" ht="22" customHeight="1">
      <x:c r="A193" s="2"/>
      <x:c r="B193" s="2"/>
      <x:c r="C193" s="2"/>
      <x:c r="D193" s="2"/>
      <x:c r="E193" s="2"/>
      <x:c r="F193" s="2"/>
    </x:row>
    <x:row r="194" ht="22" customHeight="1">
      <x:c r="A194" s="2"/>
      <x:c r="B194" s="2"/>
      <x:c r="C194" s="2"/>
      <x:c r="D194" s="2"/>
      <x:c r="E194" s="2"/>
      <x:c r="F194" s="2"/>
    </x:row>
    <x:row r="195" ht="22" customHeight="1">
      <x:c r="A195" s="2"/>
      <x:c r="B195" s="2"/>
      <x:c r="C195" s="2"/>
      <x:c r="D195" s="2"/>
      <x:c r="E195" s="2"/>
      <x:c r="F195" s="2"/>
    </x:row>
    <x:row r="196" ht="22" customHeight="1">
      <x:c r="A196" s="2"/>
      <x:c r="B196" s="2"/>
      <x:c r="C196" s="2"/>
      <x:c r="D196" s="2"/>
      <x:c r="E196" s="2"/>
      <x:c r="F196" s="2"/>
    </x:row>
    <x:row r="197" ht="22" customHeight="1">
      <x:c r="A197" s="2"/>
      <x:c r="B197" s="2"/>
      <x:c r="C197" s="2"/>
      <x:c r="D197" s="2"/>
      <x:c r="E197" s="2"/>
      <x:c r="F197" s="2"/>
    </x:row>
    <x:row r="198" ht="22" customHeight="1">
      <x:c r="A198" s="2"/>
      <x:c r="B198" s="2"/>
      <x:c r="C198" s="2"/>
      <x:c r="D198" s="2"/>
      <x:c r="E198" s="2"/>
      <x:c r="F198" s="2"/>
    </x:row>
    <x:row r="199" ht="22" customHeight="1">
      <x:c r="A199" s="2"/>
      <x:c r="B199" s="2"/>
      <x:c r="C199" s="2"/>
      <x:c r="D199" s="2"/>
      <x:c r="E199" s="2"/>
      <x:c r="F199" s="2"/>
    </x:row>
    <x:row r="200" ht="22" customHeight="1">
      <x:c r="A200" s="2"/>
      <x:c r="B200" s="2"/>
      <x:c r="C200" s="2"/>
      <x:c r="D200" s="2"/>
      <x:c r="E200" s="2"/>
      <x:c r="F200" s="2"/>
    </x:row>
    <x:row r="201" ht="22" customHeight="1">
      <x:c r="A201" s="2"/>
      <x:c r="B201" s="2"/>
      <x:c r="C201" s="2"/>
      <x:c r="D201" s="2"/>
      <x:c r="E201" s="2"/>
      <x:c r="F201" s="2"/>
    </x:row>
    <x:row r="202" ht="22" customHeight="1">
      <x:c r="A202" s="2"/>
      <x:c r="B202" s="2"/>
      <x:c r="C202" s="2"/>
      <x:c r="D202" s="2"/>
      <x:c r="E202" s="2"/>
      <x:c r="F202" s="2"/>
    </x:row>
    <x:row r="203" ht="22" customHeight="1">
      <x:c r="A203" s="2"/>
      <x:c r="B203" s="2"/>
      <x:c r="C203" s="2"/>
      <x:c r="D203" s="2"/>
      <x:c r="E203" s="2"/>
      <x:c r="F203" s="2"/>
    </x:row>
  </x:sheetData>
  <x:pageMargins left="0.7" right="0.7" top="0.75" bottom="0.75" header="0.3" footer="0.3"/>
</x:worksheet>
</file>