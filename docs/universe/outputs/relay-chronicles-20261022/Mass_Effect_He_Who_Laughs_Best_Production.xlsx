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a1191c91a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155049412e54245"/>
    <x:sheet xmlns:r="http://schemas.openxmlformats.org/officeDocument/2006/relationships" name="Personnages" sheetId="2" r:id="R470719bb7f064b13"/>
    <x:sheet xmlns:r="http://schemas.openxmlformats.org/officeDocument/2006/relationships" name="PNJ" sheetId="3" r:id="R295ee92bd1ce487c"/>
    <x:sheet xmlns:r="http://schemas.openxmlformats.org/officeDocument/2006/relationships" name="Especes_factions" sheetId="4" r:id="R1bbafe1e049249f3"/>
    <x:sheet xmlns:r="http://schemas.openxmlformats.org/officeDocument/2006/relationships" name="Mondes" sheetId="5" r:id="R7fd1add14b1a4611"/>
    <x:sheet xmlns:r="http://schemas.openxmlformats.org/officeDocument/2006/relationships" name="Zones" sheetId="6" r:id="R48f612c07fb94ba0"/>
    <x:sheet xmlns:r="http://schemas.openxmlformats.org/officeDocument/2006/relationships" name="Liaisons" sheetId="7" r:id="Rf15699f5e5464689"/>
    <x:sheet xmlns:r="http://schemas.openxmlformats.org/officeDocument/2006/relationships" name="Decors" sheetId="8" r:id="Rbcc45a2f8e5c405e"/>
    <x:sheet xmlns:r="http://schemas.openxmlformats.org/officeDocument/2006/relationships" name="Props" sheetId="9" r:id="Rddfa5a6b603d4b51"/>
    <x:sheet xmlns:r="http://schemas.openxmlformats.org/officeDocument/2006/relationships" name="Ennemis_boss" sheetId="10" r:id="R4da595e669644b15"/>
    <x:sheet xmlns:r="http://schemas.openxmlformats.org/officeDocument/2006/relationships" name="Missions" sheetId="11" r:id="R87f96d627e4a4aea"/>
    <x:sheet xmlns:r="http://schemas.openxmlformats.org/officeDocument/2006/relationships" name="Secondaires_DLC" sheetId="12" r:id="R3106740633eb46e7"/>
    <x:sheet xmlns:r="http://schemas.openxmlformats.org/officeDocument/2006/relationships" name="Choix_relations" sheetId="13" r:id="Ra586e9340a894493"/>
    <x:sheet xmlns:r="http://schemas.openxmlformats.org/officeDocument/2006/relationships" name="Dialogues" sheetId="14" r:id="Ra4a9368ca316400a"/>
    <x:sheet xmlns:r="http://schemas.openxmlformats.org/officeDocument/2006/relationships" name="Cinematiques" sheetId="15" r:id="R65a2a4114bcf49ed"/>
    <x:sheet xmlns:r="http://schemas.openxmlformats.org/officeDocument/2006/relationships" name="Armes" sheetId="16" r:id="R037ba37a1afa48d9"/>
    <x:sheet xmlns:r="http://schemas.openxmlformats.org/officeDocument/2006/relationships" name="Armures_equipement" sheetId="17" r:id="R2f4d9196ea6e45bd"/>
    <x:sheet xmlns:r="http://schemas.openxmlformats.org/officeDocument/2006/relationships" name="Pouvoirs" sheetId="18" r:id="R7697f6f2e9c34ac5"/>
    <x:sheet xmlns:r="http://schemas.openxmlformats.org/officeDocument/2006/relationships" name="Movesets_allies" sheetId="19" r:id="Rb44767b89efc4d34"/>
    <x:sheet xmlns:r="http://schemas.openxmlformats.org/officeDocument/2006/relationships" name="Movesets_ennemis" sheetId="20" r:id="R7b99da5d351247c0"/>
    <x:sheet xmlns:r="http://schemas.openxmlformats.org/officeDocument/2006/relationships" name="Animations" sheetId="21" r:id="R0d52b402b2fe4ecc"/>
    <x:sheet xmlns:r="http://schemas.openxmlformats.org/officeDocument/2006/relationships" name="Sprites" sheetId="22" r:id="R6239f23e035b4bd0"/>
    <x:sheet xmlns:r="http://schemas.openxmlformats.org/officeDocument/2006/relationships" name="VFX" sheetId="23" r:id="R9675042b9c6c4d6e"/>
    <x:sheet xmlns:r="http://schemas.openxmlformats.org/officeDocument/2006/relationships" name="Audio" sheetId="24" r:id="Raa910e4b32cb4d78"/>
    <x:sheet xmlns:r="http://schemas.openxmlformats.org/officeDocument/2006/relationships" name="UI_systemes" sheetId="25" r:id="R764eb056d6944479"/>
    <x:sheet xmlns:r="http://schemas.openxmlformats.org/officeDocument/2006/relationships" name="QA" sheetId="26" r:id="Racf749087f294ca6"/>
    <x:sheet xmlns:r="http://schemas.openxmlformats.org/officeDocument/2006/relationships" name="Continuite" sheetId="27" r:id="R3e1634c6ee654baf"/>
    <x:sheet xmlns:r="http://schemas.openxmlformats.org/officeDocument/2006/relationships" name="Guide" sheetId="28" r:id="Rc66fb45b468c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a0279b45f4feb" /><Relationship Type="http://schemas.openxmlformats.org/officeDocument/2006/relationships/theme" Target="/xl/theme/theme1.xml" Id="Rffdac9d2b57c4fd0" /><Relationship Type="http://schemas.openxmlformats.org/officeDocument/2006/relationships/sharedStrings" Target="/xl/sharedStrings.xml" Id="R098af4cbfd914341" /><Relationship Type="http://schemas.openxmlformats.org/officeDocument/2006/relationships/worksheet" Target="/xl/worksheets/sheet1.xml" Id="R6155049412e54245" /><Relationship Type="http://schemas.openxmlformats.org/officeDocument/2006/relationships/worksheet" Target="/xl/worksheets/sheet2.xml" Id="R470719bb7f064b13" /><Relationship Type="http://schemas.openxmlformats.org/officeDocument/2006/relationships/worksheet" Target="/xl/worksheets/sheet3.xml" Id="R295ee92bd1ce487c" /><Relationship Type="http://schemas.openxmlformats.org/officeDocument/2006/relationships/worksheet" Target="/xl/worksheets/sheet4.xml" Id="R1bbafe1e049249f3" /><Relationship Type="http://schemas.openxmlformats.org/officeDocument/2006/relationships/worksheet" Target="/xl/worksheets/sheet5.xml" Id="R7fd1add14b1a4611" /><Relationship Type="http://schemas.openxmlformats.org/officeDocument/2006/relationships/worksheet" Target="/xl/worksheets/sheet6.xml" Id="R48f612c07fb94ba0" /><Relationship Type="http://schemas.openxmlformats.org/officeDocument/2006/relationships/worksheet" Target="/xl/worksheets/sheet7.xml" Id="Rf15699f5e5464689" /><Relationship Type="http://schemas.openxmlformats.org/officeDocument/2006/relationships/worksheet" Target="/xl/worksheets/sheet8.xml" Id="Rbcc45a2f8e5c405e" /><Relationship Type="http://schemas.openxmlformats.org/officeDocument/2006/relationships/worksheet" Target="/xl/worksheets/sheet9.xml" Id="Rddfa5a6b603d4b51" /><Relationship Type="http://schemas.openxmlformats.org/officeDocument/2006/relationships/worksheet" Target="/xl/worksheets/sheet10.xml" Id="R4da595e669644b15" /><Relationship Type="http://schemas.openxmlformats.org/officeDocument/2006/relationships/worksheet" Target="/xl/worksheets/sheet11.xml" Id="R87f96d627e4a4aea" /><Relationship Type="http://schemas.openxmlformats.org/officeDocument/2006/relationships/worksheet" Target="/xl/worksheets/sheet12.xml" Id="R3106740633eb46e7" /><Relationship Type="http://schemas.openxmlformats.org/officeDocument/2006/relationships/worksheet" Target="/xl/worksheets/sheet13.xml" Id="Ra586e9340a894493" /><Relationship Type="http://schemas.openxmlformats.org/officeDocument/2006/relationships/worksheet" Target="/xl/worksheets/sheet14.xml" Id="Ra4a9368ca316400a" /><Relationship Type="http://schemas.openxmlformats.org/officeDocument/2006/relationships/worksheet" Target="/xl/worksheets/sheet15.xml" Id="R65a2a4114bcf49ed" /><Relationship Type="http://schemas.openxmlformats.org/officeDocument/2006/relationships/worksheet" Target="/xl/worksheets/sheet16.xml" Id="R037ba37a1afa48d9" /><Relationship Type="http://schemas.openxmlformats.org/officeDocument/2006/relationships/worksheet" Target="/xl/worksheets/sheet17.xml" Id="R2f4d9196ea6e45bd" /><Relationship Type="http://schemas.openxmlformats.org/officeDocument/2006/relationships/worksheet" Target="/xl/worksheets/sheet18.xml" Id="R7697f6f2e9c34ac5" /><Relationship Type="http://schemas.openxmlformats.org/officeDocument/2006/relationships/worksheet" Target="/xl/worksheets/sheet19.xml" Id="Rb44767b89efc4d34" /><Relationship Type="http://schemas.openxmlformats.org/officeDocument/2006/relationships/worksheet" Target="/xl/worksheets/sheet20.xml" Id="R7b99da5d351247c0" /><Relationship Type="http://schemas.openxmlformats.org/officeDocument/2006/relationships/worksheet" Target="/xl/worksheets/sheet21.xml" Id="R0d52b402b2fe4ecc" /><Relationship Type="http://schemas.openxmlformats.org/officeDocument/2006/relationships/worksheet" Target="/xl/worksheets/sheet22.xml" Id="R6239f23e035b4bd0" /><Relationship Type="http://schemas.openxmlformats.org/officeDocument/2006/relationships/worksheet" Target="/xl/worksheets/sheet23.xml" Id="R9675042b9c6c4d6e" /><Relationship Type="http://schemas.openxmlformats.org/officeDocument/2006/relationships/worksheet" Target="/xl/worksheets/sheet24.xml" Id="Raa910e4b32cb4d78" /><Relationship Type="http://schemas.openxmlformats.org/officeDocument/2006/relationships/worksheet" Target="/xl/worksheets/sheet25.xml" Id="R764eb056d6944479" /><Relationship Type="http://schemas.openxmlformats.org/officeDocument/2006/relationships/worksheet" Target="/xl/worksheets/sheet26.xml" Id="Racf749087f294ca6" /><Relationship Type="http://schemas.openxmlformats.org/officeDocument/2006/relationships/worksheet" Target="/xl/worksheets/sheet27.xml" Id="R3e1634c6ee654baf" /><Relationship Type="http://schemas.openxmlformats.org/officeDocument/2006/relationships/worksheet" Target="/xl/worksheets/sheet28.xml" Id="Rc66fb45b468c4a3a" /></Relationships>
</file>

<file path=xl/tables/table1.xml><?xml version="1.0" encoding="utf-8"?>
<x:table xmlns:x="http://schemas.openxmlformats.org/spreadsheetml/2006/main" id="1" name="HWB_characters" displayName="HWB_character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WB_npcs" displayName="HWB_npc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WB_lore" displayName="HWB_lore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WB_worlds" displayName="HWB_world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WB_zones" displayName="HWB_zon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WB_links" displayName="HWB_link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WB_scenery" displayName="HWB_scenery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WB_props" displayName="HWB_prop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WB_enemies" displayName="HWB_enemie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WB_main_quests" displayName="HWB_main_quest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WB_side_quests" displayName="HWB_side_quest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WB_choices" displayName="HWB_choic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WB_dialogues" displayName="HWB_dialogu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WB_cinematics" displayName="HWB_cinematic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WB_weapons" displayName="HWB_weapon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WB_equipment" displayName="HWB_equipment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WB_powers" displayName="HWB_power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HWB_ally_moves" displayName="HWB_ally_move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HWB_enemy_moves" displayName="HWB_enemy_mov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HWB_animations" displayName="HWB_animations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HWB_sprites" displayName="HWB_sprites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HWB_vfx" displayName="HWB_vfx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HWB_audio" displayName="HWB_audio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HWB_systems" displayName="HWB_system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HWB_qa" displayName="HWB_qa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HWB_continuity" displayName="HWB_continuity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ebe3a424724a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e2474377d541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88ec0534c041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848eb9b4c342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f4c20ffe1b4a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ef35b188e040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a084bd54434f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7d7ab1cc1d41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6a035848efd48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0f058463064a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0f6b7def28e44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2e378a57c71497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7633c4616d44f0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bac5ef5957f47e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c1bce4ce776478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8947a5089f4496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1e79156e0794ee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50932a5de255424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4aefb42d048740a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db151f35c618417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947e985842f496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4d669a2c14754d9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395664d222524c5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27e7a4349a5d477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dd3d3ab53c6b478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1d6d1605bf0f41f3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Effect: He Who Laughs Best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3" t="n">
        <x:f>SUM(B10:B35)</x:f>
        <x:v>71</x:v>
      </x:c>
      <x:c r="C5" s="2"/>
      <x:c r="D5" s="2" t="str">
        <x:v>Intégrés</x:v>
      </x:c>
      <x:c r="E5" s="33" t="n">
        <x:f>SUM(E10:F35)</x:f>
        <x:v>0</x:v>
      </x:c>
      <x:c r="F5" s="2"/>
      <x:c r="G5" s="2" t="str">
        <x:v>À vérifier</x:v>
      </x:c>
      <x:c r="H5" s="33" t="n">
        <x:f>SUM(H10:H35)</x:f>
        <x:v>13</x:v>
      </x:c>
      <x:c r="I5" s="2"/>
      <x:c r="J5" s="2" t="str">
        <x:v>Extrapolations</x:v>
      </x:c>
      <x:c r="K5" s="33" t="n">
        <x:f>SUM(I10:I35)</x:f>
        <x:v>57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4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26" t="str">
        <x:v>Domaine</x:v>
      </x:c>
      <x:c r="B9" s="27" t="str">
        <x:v>Total</x:v>
      </x:c>
      <x:c r="C9" s="27" t="str">
        <x:v>Défini</x:v>
      </x:c>
      <x:c r="D9" s="27" t="str">
        <x:v>Prototype</x:v>
      </x:c>
      <x:c r="E9" s="27" t="str">
        <x:v>Intégré</x:v>
      </x:c>
      <x:c r="F9" s="27" t="str">
        <x:v>Validé</x:v>
      </x:c>
      <x:c r="G9" s="27" t="str">
        <x:v>Établi</x:v>
      </x:c>
      <x:c r="H9" s="27" t="str">
        <x:v>À vérifier</x:v>
      </x:c>
      <x:c r="I9" s="27" t="str">
        <x:v>Extrapolation</x:v>
      </x:c>
      <x:c r="J9" s="27" t="str">
        <x:v>Coupé attesté</x:v>
      </x:c>
      <x:c r="K9" s="27" t="str">
        <x:v>Concept abandonné</x:v>
      </x:c>
      <x:c r="L9" s="27" t="str">
        <x:v>Allégation écartée</x:v>
      </x:c>
      <x:c r="M9" s="28" t="str">
        <x:v>Priorité P0</x:v>
      </x:c>
    </x:row>
    <x:row r="10" ht="22" customHeight="1">
      <x:c r="A10" s="35" t="str">
        <x:v>Personnages</x:v>
      </x:c>
      <x:c r="B10" s="39" t="n">
        <x:f>COUNTA('Personnages'!$A$7:$A$7)</x:f>
        <x:v>1</x:v>
      </x:c>
      <x:c r="C10" s="39" t="n">
        <x:f>COUNTIFS('Personnages'!$C$7:$C$7,"Défini")</x:f>
        <x:v>1</x:v>
      </x:c>
      <x:c r="D10" s="39" t="n">
        <x:f>COUNTIFS('Personnages'!$C$7:$C$7,"Prototype")</x:f>
        <x:v>0</x:v>
      </x:c>
      <x:c r="E10" s="39" t="n">
        <x:f>COUNTIFS('Personnages'!$C$7:$C$7,"Intégré")</x:f>
        <x:v>0</x:v>
      </x:c>
      <x:c r="F10" s="39" t="n">
        <x:f>COUNTIFS('Personnages'!$C$7:$C$7,"Validé")</x:f>
        <x:v>0</x:v>
      </x:c>
      <x:c r="G10" s="39" t="n">
        <x:f>COUNTIFS('Personnages'!$D$7:$D$7,"Établi")</x:f>
        <x:v>0</x:v>
      </x:c>
      <x:c r="H10" s="39" t="n">
        <x:f>COUNTIFS('Personnages'!$D$7:$D$7,"À vérifier")</x:f>
        <x:v>1</x:v>
      </x:c>
      <x:c r="I10" s="39" t="n">
        <x:f>COUNTIFS('Personnages'!$D$7:$D$7,"Extrapolation")</x:f>
        <x:v>0</x:v>
      </x:c>
      <x:c r="J10" s="39" t="n">
        <x:f>COUNTIFS('Personnages'!$D$7:$D$7,"Coupé attesté")</x:f>
        <x:v>0</x:v>
      </x:c>
      <x:c r="K10" s="39" t="n">
        <x:f>COUNTIFS('Personnages'!$D$7:$D$7,"Concept abandonné")</x:f>
        <x:v>0</x:v>
      </x:c>
      <x:c r="L10" s="39" t="n">
        <x:f>COUNTIFS('Personnages'!$D$7:$D$7,"Allégation écartée")</x:f>
        <x:v>0</x:v>
      </x:c>
      <x:c r="M10" s="39" t="n">
        <x:f>COUNTIFS('Personnages'!$E$7:$E$7,"P0")</x:f>
        <x:v>0</x:v>
      </x:c>
    </x:row>
    <x:row r="11" ht="22" customHeight="1">
      <x:c r="A11" s="2" t="str">
        <x:v>PNJ</x:v>
      </x:c>
      <x:c r="B11" s="40" t="n">
        <x:f>COUNTA('PNJ'!$A$7:$A$10)</x:f>
        <x:v>4</x:v>
      </x:c>
      <x:c r="C11" s="40" t="n">
        <x:f>COUNTIFS('PNJ'!$C$7:$C$10,"Défini")</x:f>
        <x:v>4</x:v>
      </x:c>
      <x:c r="D11" s="40" t="n">
        <x:f>COUNTIFS('PNJ'!$C$7:$C$10,"Prototype")</x:f>
        <x:v>0</x:v>
      </x:c>
      <x:c r="E11" s="40" t="n">
        <x:f>COUNTIFS('PNJ'!$C$7:$C$10,"Intégré")</x:f>
        <x:v>0</x:v>
      </x:c>
      <x:c r="F11" s="40" t="n">
        <x:f>COUNTIFS('PNJ'!$C$7:$C$10,"Validé")</x:f>
        <x:v>0</x:v>
      </x:c>
      <x:c r="G11" s="40" t="n">
        <x:f>COUNTIFS('PNJ'!$D$7:$D$10,"Établi")</x:f>
        <x:v>0</x:v>
      </x:c>
      <x:c r="H11" s="40" t="n">
        <x:f>COUNTIFS('PNJ'!$D$7:$D$10,"À vérifier")</x:f>
        <x:v>4</x:v>
      </x:c>
      <x:c r="I11" s="40" t="n">
        <x:f>COUNTIFS('PNJ'!$D$7:$D$10,"Extrapolation")</x:f>
        <x:v>0</x:v>
      </x:c>
      <x:c r="J11" s="40" t="n">
        <x:f>COUNTIFS('PNJ'!$D$7:$D$10,"Coupé attesté")</x:f>
        <x:v>0</x:v>
      </x:c>
      <x:c r="K11" s="40" t="n">
        <x:f>COUNTIFS('PNJ'!$D$7:$D$10,"Concept abandonné")</x:f>
        <x:v>0</x:v>
      </x:c>
      <x:c r="L11" s="40" t="n">
        <x:f>COUNTIFS('PNJ'!$D$7:$D$10,"Allégation écartée")</x:f>
        <x:v>0</x:v>
      </x:c>
      <x:c r="M11" s="40" t="n">
        <x:f>COUNTIFS('PNJ'!$E$7:$E$10,"P0")</x:f>
        <x:v>0</x:v>
      </x:c>
    </x:row>
    <x:row r="12" ht="22" customHeight="1">
      <x:c r="A12" s="35" t="str">
        <x:v>Espèces et factions</x:v>
      </x:c>
      <x:c r="B12" s="39" t="n">
        <x:f>COUNTA('Especes_factions'!$A$7:$A$12)</x:f>
        <x:v>6</x:v>
      </x:c>
      <x:c r="C12" s="39" t="n">
        <x:f>COUNTIFS('Especes_factions'!$C$7:$C$12,"Défini")</x:f>
        <x:v>6</x:v>
      </x:c>
      <x:c r="D12" s="39" t="n">
        <x:f>COUNTIFS('Especes_factions'!$C$7:$C$12,"Prototype")</x:f>
        <x:v>0</x:v>
      </x:c>
      <x:c r="E12" s="39" t="n">
        <x:f>COUNTIFS('Especes_factions'!$C$7:$C$12,"Intégré")</x:f>
        <x:v>0</x:v>
      </x:c>
      <x:c r="F12" s="39" t="n">
        <x:f>COUNTIFS('Especes_factions'!$C$7:$C$12,"Validé")</x:f>
        <x:v>0</x:v>
      </x:c>
      <x:c r="G12" s="39" t="n">
        <x:f>COUNTIFS('Especes_factions'!$D$7:$D$12,"Établi")</x:f>
        <x:v>1</x:v>
      </x:c>
      <x:c r="H12" s="39" t="n">
        <x:f>COUNTIFS('Especes_factions'!$D$7:$D$12,"À vérifier")</x:f>
        <x:v>5</x:v>
      </x:c>
      <x:c r="I12" s="39" t="n">
        <x:f>COUNTIFS('Especes_factions'!$D$7:$D$12,"Extrapolation")</x:f>
        <x:v>0</x:v>
      </x:c>
      <x:c r="J12" s="39" t="n">
        <x:f>COUNTIFS('Especes_factions'!$D$7:$D$12,"Coupé attesté")</x:f>
        <x:v>0</x:v>
      </x:c>
      <x:c r="K12" s="39" t="n">
        <x:f>COUNTIFS('Especes_factions'!$D$7:$D$12,"Concept abandonné")</x:f>
        <x:v>0</x:v>
      </x:c>
      <x:c r="L12" s="39" t="n">
        <x:f>COUNTIFS('Especes_factions'!$D$7:$D$12,"Allégation écartée")</x:f>
        <x:v>0</x:v>
      </x:c>
      <x:c r="M12" s="39" t="n">
        <x:f>COUNTIFS('Especes_factions'!$E$7:$E$12,"P0")</x:f>
        <x:v>3</x:v>
      </x:c>
    </x:row>
    <x:row r="13" ht="22" customHeight="1">
      <x:c r="A13" s="2" t="str">
        <x:v>Mondes</x:v>
      </x:c>
      <x:c r="B13" s="40" t="n">
        <x:f>COUNTA('Mondes'!$A$7:$A$8)</x:f>
        <x:v>2</x:v>
      </x:c>
      <x:c r="C13" s="40" t="n">
        <x:f>COUNTIFS('Mondes'!$C$7:$C$8,"Défini")</x:f>
        <x:v>2</x:v>
      </x:c>
      <x:c r="D13" s="40" t="n">
        <x:f>COUNTIFS('Mondes'!$C$7:$C$8,"Prototype")</x:f>
        <x:v>0</x:v>
      </x:c>
      <x:c r="E13" s="40" t="n">
        <x:f>COUNTIFS('Mondes'!$C$7:$C$8,"Intégré")</x:f>
        <x:v>0</x:v>
      </x:c>
      <x:c r="F13" s="40" t="n">
        <x:f>COUNTIFS('Mondes'!$C$7:$C$8,"Validé")</x:f>
        <x:v>0</x:v>
      </x:c>
      <x:c r="G13" s="40" t="n">
        <x:f>COUNTIFS('Mondes'!$D$7:$D$8,"Établi")</x:f>
        <x:v>0</x:v>
      </x:c>
      <x:c r="H13" s="40" t="n">
        <x:f>COUNTIFS('Mondes'!$D$7:$D$8,"À vérifier")</x:f>
        <x:v>2</x:v>
      </x:c>
      <x:c r="I13" s="40" t="n">
        <x:f>COUNTIFS('Mondes'!$D$7:$D$8,"Extrapolation")</x:f>
        <x:v>0</x:v>
      </x:c>
      <x:c r="J13" s="40" t="n">
        <x:f>COUNTIFS('Mondes'!$D$7:$D$8,"Coupé attesté")</x:f>
        <x:v>0</x:v>
      </x:c>
      <x:c r="K13" s="40" t="n">
        <x:f>COUNTIFS('Mondes'!$D$7:$D$8,"Concept abandonné")</x:f>
        <x:v>0</x:v>
      </x:c>
      <x:c r="L13" s="40" t="n">
        <x:f>COUNTIFS('Mondes'!$D$7:$D$8,"Allégation écartée")</x:f>
        <x:v>0</x:v>
      </x:c>
      <x:c r="M13" s="40" t="n">
        <x:f>COUNTIFS('Mondes'!$E$7:$E$8,"P0")</x:f>
        <x:v>0</x:v>
      </x:c>
    </x:row>
    <x:row r="14" ht="22" customHeight="1">
      <x:c r="A14" s="35" t="str">
        <x:v>Zones</x:v>
      </x:c>
      <x:c r="B14" s="39" t="n">
        <x:f>COUNTA('Zones'!$A$7:$A$8)</x:f>
        <x:v>2</x:v>
      </x:c>
      <x:c r="C14" s="39" t="n">
        <x:f>COUNTIFS('Zones'!$C$7:$C$8,"Défini")</x:f>
        <x:v>2</x:v>
      </x:c>
      <x:c r="D14" s="39" t="n">
        <x:f>COUNTIFS('Zones'!$C$7:$C$8,"Prototype")</x:f>
        <x:v>0</x:v>
      </x:c>
      <x:c r="E14" s="39" t="n">
        <x:f>COUNTIFS('Zones'!$C$7:$C$8,"Intégré")</x:f>
        <x:v>0</x:v>
      </x:c>
      <x:c r="F14" s="39" t="n">
        <x:f>COUNTIFS('Zones'!$C$7:$C$8,"Validé")</x:f>
        <x:v>0</x:v>
      </x:c>
      <x:c r="G14" s="39" t="n">
        <x:f>COUNTIFS('Zones'!$D$7:$D$8,"Établi")</x:f>
        <x:v>0</x:v>
      </x:c>
      <x:c r="H14" s="39" t="n">
        <x:f>COUNTIFS('Zones'!$D$7:$D$8,"À vérifier")</x:f>
        <x:v>0</x:v>
      </x:c>
      <x:c r="I14" s="39" t="n">
        <x:f>COUNTIFS('Zones'!$D$7:$D$8,"Extrapolation")</x:f>
        <x:v>2</x:v>
      </x:c>
      <x:c r="J14" s="39" t="n">
        <x:f>COUNTIFS('Zones'!$D$7:$D$8,"Coupé attesté")</x:f>
        <x:v>0</x:v>
      </x:c>
      <x:c r="K14" s="39" t="n">
        <x:f>COUNTIFS('Zones'!$D$7:$D$8,"Concept abandonné")</x:f>
        <x:v>0</x:v>
      </x:c>
      <x:c r="L14" s="39" t="n">
        <x:f>COUNTIFS('Zones'!$D$7:$D$8,"Allégation écartée")</x:f>
        <x:v>0</x:v>
      </x:c>
      <x:c r="M14" s="39" t="n">
        <x:f>COUNTIFS('Zones'!$E$7:$E$8,"P0")</x:f>
        <x:v>0</x:v>
      </x:c>
    </x:row>
    <x:row r="15" ht="22" customHeight="1">
      <x:c r="A15" s="2" t="str">
        <x:v>Liaisons</x:v>
      </x:c>
      <x:c r="B15" s="40" t="n">
        <x:f>COUNTA('Liaisons'!$A$7:$A$8)</x:f>
        <x:v>2</x:v>
      </x:c>
      <x:c r="C15" s="40" t="n">
        <x:f>COUNTIFS('Liaisons'!$C$7:$C$8,"Défini")</x:f>
        <x:v>2</x:v>
      </x:c>
      <x:c r="D15" s="40" t="n">
        <x:f>COUNTIFS('Liaisons'!$C$7:$C$8,"Prototype")</x:f>
        <x:v>0</x:v>
      </x:c>
      <x:c r="E15" s="40" t="n">
        <x:f>COUNTIFS('Liaisons'!$C$7:$C$8,"Intégré")</x:f>
        <x:v>0</x:v>
      </x:c>
      <x:c r="F15" s="40" t="n">
        <x:f>COUNTIFS('Liaisons'!$C$7:$C$8,"Validé")</x:f>
        <x:v>0</x:v>
      </x:c>
      <x:c r="G15" s="40" t="n">
        <x:f>COUNTIFS('Liaisons'!$D$7:$D$8,"Établi")</x:f>
        <x:v>0</x:v>
      </x:c>
      <x:c r="H15" s="40" t="n">
        <x:f>COUNTIFS('Liaisons'!$D$7:$D$8,"À vérifier")</x:f>
        <x:v>0</x:v>
      </x:c>
      <x:c r="I15" s="40" t="n">
        <x:f>COUNTIFS('Liaisons'!$D$7:$D$8,"Extrapolation")</x:f>
        <x:v>2</x:v>
      </x:c>
      <x:c r="J15" s="40" t="n">
        <x:f>COUNTIFS('Liaisons'!$D$7:$D$8,"Coupé attesté")</x:f>
        <x:v>0</x:v>
      </x:c>
      <x:c r="K15" s="40" t="n">
        <x:f>COUNTIFS('Liaisons'!$D$7:$D$8,"Concept abandonné")</x:f>
        <x:v>0</x:v>
      </x:c>
      <x:c r="L15" s="40" t="n">
        <x:f>COUNTIFS('Liaisons'!$D$7:$D$8,"Allégation écartée")</x:f>
        <x:v>0</x:v>
      </x:c>
      <x:c r="M15" s="40" t="n">
        <x:f>COUNTIFS('Liaisons'!$E$7:$E$8,"P0")</x:f>
        <x:v>0</x:v>
      </x:c>
    </x:row>
    <x:row r="16" ht="22" customHeight="1">
      <x:c r="A16" s="35" t="str">
        <x:v>Décors</x:v>
      </x:c>
      <x:c r="B16" s="39" t="n">
        <x:f>COUNTA('Decors'!$A$7:$A$8)</x:f>
        <x:v>2</x:v>
      </x:c>
      <x:c r="C16" s="39" t="n">
        <x:f>COUNTIFS('Decors'!$C$7:$C$8,"Défini")</x:f>
        <x:v>2</x:v>
      </x:c>
      <x:c r="D16" s="39" t="n">
        <x:f>COUNTIFS('Decors'!$C$7:$C$8,"Prototype")</x:f>
        <x:v>0</x:v>
      </x:c>
      <x:c r="E16" s="39" t="n">
        <x:f>COUNTIFS('Decors'!$C$7:$C$8,"Intégré")</x:f>
        <x:v>0</x:v>
      </x:c>
      <x:c r="F16" s="39" t="n">
        <x:f>COUNTIFS('Decors'!$C$7:$C$8,"Validé")</x:f>
        <x:v>0</x:v>
      </x:c>
      <x:c r="G16" s="39" t="n">
        <x:f>COUNTIFS('Decors'!$D$7:$D$8,"Établi")</x:f>
        <x:v>0</x:v>
      </x:c>
      <x:c r="H16" s="39" t="n">
        <x:f>COUNTIFS('Decors'!$D$7:$D$8,"À vérifier")</x:f>
        <x:v>0</x:v>
      </x:c>
      <x:c r="I16" s="39" t="n">
        <x:f>COUNTIFS('Decors'!$D$7:$D$8,"Extrapolation")</x:f>
        <x:v>2</x:v>
      </x:c>
      <x:c r="J16" s="39" t="n">
        <x:f>COUNTIFS('Decors'!$D$7:$D$8,"Coupé attesté")</x:f>
        <x:v>0</x:v>
      </x:c>
      <x:c r="K16" s="39" t="n">
        <x:f>COUNTIFS('Decors'!$D$7:$D$8,"Concept abandonné")</x:f>
        <x:v>0</x:v>
      </x:c>
      <x:c r="L16" s="39" t="n">
        <x:f>COUNTIFS('Decors'!$D$7:$D$8,"Allégation écartée")</x:f>
        <x:v>0</x:v>
      </x:c>
      <x:c r="M16" s="39" t="n">
        <x:f>COUNTIFS('Decors'!$E$7:$E$8,"P0")</x:f>
        <x:v>0</x:v>
      </x:c>
    </x:row>
    <x:row r="17" ht="22" customHeight="1">
      <x:c r="A17" s="2" t="str">
        <x:v>Props</x:v>
      </x:c>
      <x:c r="B17" s="40" t="n">
        <x:f>COUNTA('Props'!$A$7:$A$9)</x:f>
        <x:v>3</x:v>
      </x:c>
      <x:c r="C17" s="40" t="n">
        <x:f>COUNTIFS('Props'!$C$7:$C$9,"Défini")</x:f>
        <x:v>3</x:v>
      </x:c>
      <x:c r="D17" s="40" t="n">
        <x:f>COUNTIFS('Props'!$C$7:$C$9,"Prototype")</x:f>
        <x:v>0</x:v>
      </x:c>
      <x:c r="E17" s="40" t="n">
        <x:f>COUNTIFS('Props'!$C$7:$C$9,"Intégré")</x:f>
        <x:v>0</x:v>
      </x:c>
      <x:c r="F17" s="40" t="n">
        <x:f>COUNTIFS('Props'!$C$7:$C$9,"Validé")</x:f>
        <x:v>0</x:v>
      </x:c>
      <x:c r="G17" s="40" t="n">
        <x:f>COUNTIFS('Props'!$D$7:$D$9,"Établi")</x:f>
        <x:v>0</x:v>
      </x:c>
      <x:c r="H17" s="40" t="n">
        <x:f>COUNTIFS('Props'!$D$7:$D$9,"À vérifier")</x:f>
        <x:v>0</x:v>
      </x:c>
      <x:c r="I17" s="40" t="n">
        <x:f>COUNTIFS('Props'!$D$7:$D$9,"Extrapolation")</x:f>
        <x:v>3</x:v>
      </x:c>
      <x:c r="J17" s="40" t="n">
        <x:f>COUNTIFS('Props'!$D$7:$D$9,"Coupé attesté")</x:f>
        <x:v>0</x:v>
      </x:c>
      <x:c r="K17" s="40" t="n">
        <x:f>COUNTIFS('Props'!$D$7:$D$9,"Concept abandonné")</x:f>
        <x:v>0</x:v>
      </x:c>
      <x:c r="L17" s="40" t="n">
        <x:f>COUNTIFS('Props'!$D$7:$D$9,"Allégation écartée")</x:f>
        <x:v>0</x:v>
      </x:c>
      <x:c r="M17" s="40" t="n">
        <x:f>COUNTIFS('Props'!$E$7:$E$9,"P0")</x:f>
        <x:v>0</x:v>
      </x:c>
    </x:row>
    <x:row r="18" ht="22" customHeight="1">
      <x:c r="A18" s="35" t="str">
        <x:v>Ennemis et boss</x:v>
      </x:c>
      <x:c r="B18" s="39" t="n">
        <x:f>COUNTA('Ennemis_boss'!$A$7:$A$7)</x:f>
        <x:v>1</x:v>
      </x:c>
      <x:c r="C18" s="39" t="n">
        <x:f>COUNTIFS('Ennemis_boss'!$C$7:$C$7,"Défini")</x:f>
        <x:v>1</x:v>
      </x:c>
      <x:c r="D18" s="39" t="n">
        <x:f>COUNTIFS('Ennemis_boss'!$C$7:$C$7,"Prototype")</x:f>
        <x:v>0</x:v>
      </x:c>
      <x:c r="E18" s="39" t="n">
        <x:f>COUNTIFS('Ennemis_boss'!$C$7:$C$7,"Intégré")</x:f>
        <x:v>0</x:v>
      </x:c>
      <x:c r="F18" s="39" t="n">
        <x:f>COUNTIFS('Ennemis_boss'!$C$7:$C$7,"Validé")</x:f>
        <x:v>0</x:v>
      </x:c>
      <x:c r="G18" s="39" t="n">
        <x:f>COUNTIFS('Ennemis_boss'!$D$7:$D$7,"Établi")</x:f>
        <x:v>0</x:v>
      </x:c>
      <x:c r="H18" s="39" t="n">
        <x:f>COUNTIFS('Ennemis_boss'!$D$7:$D$7,"À vérifier")</x:f>
        <x:v>1</x:v>
      </x:c>
      <x:c r="I18" s="39" t="n">
        <x:f>COUNTIFS('Ennemis_boss'!$D$7:$D$7,"Extrapolation")</x:f>
        <x:v>0</x:v>
      </x:c>
      <x:c r="J18" s="39" t="n">
        <x:f>COUNTIFS('Ennemis_boss'!$D$7:$D$7,"Coupé attesté")</x:f>
        <x:v>0</x:v>
      </x:c>
      <x:c r="K18" s="39" t="n">
        <x:f>COUNTIFS('Ennemis_boss'!$D$7:$D$7,"Concept abandonné")</x:f>
        <x:v>0</x:v>
      </x:c>
      <x:c r="L18" s="39" t="n">
        <x:f>COUNTIFS('Ennemis_boss'!$D$7:$D$7,"Allégation écartée")</x:f>
        <x:v>0</x:v>
      </x:c>
      <x:c r="M18" s="39" t="n">
        <x:f>COUNTIFS('Ennemis_boss'!$E$7:$E$7,"P0")</x:f>
        <x:v>0</x:v>
      </x:c>
    </x:row>
    <x:row r="19" ht="22" customHeight="1">
      <x:c r="A19" s="2" t="str">
        <x:v>Missions</x:v>
      </x:c>
      <x:c r="B19" s="40" t="n">
        <x:f>COUNTA('Missions'!$A$7:$A$9)</x:f>
        <x:v>3</x:v>
      </x:c>
      <x:c r="C19" s="40" t="n">
        <x:f>COUNTIFS('Missions'!$C$7:$C$9,"Défini")</x:f>
        <x:v>3</x:v>
      </x:c>
      <x:c r="D19" s="40" t="n">
        <x:f>COUNTIFS('Missions'!$C$7:$C$9,"Prototype")</x:f>
        <x:v>0</x:v>
      </x:c>
      <x:c r="E19" s="40" t="n">
        <x:f>COUNTIFS('Missions'!$C$7:$C$9,"Intégré")</x:f>
        <x:v>0</x:v>
      </x:c>
      <x:c r="F19" s="40" t="n">
        <x:f>COUNTIFS('Missions'!$C$7:$C$9,"Validé")</x:f>
        <x:v>0</x:v>
      </x:c>
      <x:c r="G19" s="40" t="n">
        <x:f>COUNTIFS('Missions'!$D$7:$D$9,"Établi")</x:f>
        <x:v>0</x:v>
      </x:c>
      <x:c r="H19" s="40" t="n">
        <x:f>COUNTIFS('Missions'!$D$7:$D$9,"À vérifier")</x:f>
        <x:v>0</x:v>
      </x:c>
      <x:c r="I19" s="40" t="n">
        <x:f>COUNTIFS('Missions'!$D$7:$D$9,"Extrapolation")</x:f>
        <x:v>3</x:v>
      </x:c>
      <x:c r="J19" s="40" t="n">
        <x:f>COUNTIFS('Missions'!$D$7:$D$9,"Coupé attesté")</x:f>
        <x:v>0</x:v>
      </x:c>
      <x:c r="K19" s="40" t="n">
        <x:f>COUNTIFS('Missions'!$D$7:$D$9,"Concept abandonné")</x:f>
        <x:v>0</x:v>
      </x:c>
      <x:c r="L19" s="40" t="n">
        <x:f>COUNTIFS('Missions'!$D$7:$D$9,"Allégation écartée")</x:f>
        <x:v>0</x:v>
      </x:c>
      <x:c r="M19" s="40" t="n">
        <x:f>COUNTIFS('Missions'!$E$7:$E$9,"P0")</x:f>
        <x:v>3</x:v>
      </x:c>
    </x:row>
    <x:row r="20" ht="22" customHeight="1">
      <x:c r="A20" s="35" t="str">
        <x:v>Secondaires et DLC</x:v>
      </x:c>
      <x:c r="B20" s="39" t="n">
        <x:f>COUNTA('Secondaires_DLC'!$A$7:$A$9)</x:f>
        <x:v>3</x:v>
      </x:c>
      <x:c r="C20" s="39" t="n">
        <x:f>COUNTIFS('Secondaires_DLC'!$C$7:$C$9,"Défini")</x:f>
        <x:v>3</x:v>
      </x:c>
      <x:c r="D20" s="39" t="n">
        <x:f>COUNTIFS('Secondaires_DLC'!$C$7:$C$9,"Prototype")</x:f>
        <x:v>0</x:v>
      </x:c>
      <x:c r="E20" s="39" t="n">
        <x:f>COUNTIFS('Secondaires_DLC'!$C$7:$C$9,"Intégré")</x:f>
        <x:v>0</x:v>
      </x:c>
      <x:c r="F20" s="39" t="n">
        <x:f>COUNTIFS('Secondaires_DLC'!$C$7:$C$9,"Validé")</x:f>
        <x:v>0</x:v>
      </x:c>
      <x:c r="G20" s="39" t="n">
        <x:f>COUNTIFS('Secondaires_DLC'!$D$7:$D$9,"Établi")</x:f>
        <x:v>0</x:v>
      </x:c>
      <x:c r="H20" s="39" t="n">
        <x:f>COUNTIFS('Secondaires_DLC'!$D$7:$D$9,"À vérifier")</x:f>
        <x:v>0</x:v>
      </x:c>
      <x:c r="I20" s="39" t="n">
        <x:f>COUNTIFS('Secondaires_DLC'!$D$7:$D$9,"Extrapolation")</x:f>
        <x:v>3</x:v>
      </x:c>
      <x:c r="J20" s="39" t="n">
        <x:f>COUNTIFS('Secondaires_DLC'!$D$7:$D$9,"Coupé attesté")</x:f>
        <x:v>0</x:v>
      </x:c>
      <x:c r="K20" s="39" t="n">
        <x:f>COUNTIFS('Secondaires_DLC'!$D$7:$D$9,"Concept abandonné")</x:f>
        <x:v>0</x:v>
      </x:c>
      <x:c r="L20" s="39" t="n">
        <x:f>COUNTIFS('Secondaires_DLC'!$D$7:$D$9,"Allégation écartée")</x:f>
        <x:v>0</x:v>
      </x:c>
      <x:c r="M20" s="39" t="n">
        <x:f>COUNTIFS('Secondaires_DLC'!$E$7:$E$9,"P0")</x:f>
        <x:v>0</x:v>
      </x:c>
    </x:row>
    <x:row r="21" ht="22" customHeight="1">
      <x:c r="A21" s="2" t="str">
        <x:v>Choix et relations</x:v>
      </x:c>
      <x:c r="B21" s="40" t="n">
        <x:f>COUNTA('Choix_relations'!$A$7:$A$9)</x:f>
        <x:v>3</x:v>
      </x:c>
      <x:c r="C21" s="40" t="n">
        <x:f>COUNTIFS('Choix_relations'!$C$7:$C$9,"Défini")</x:f>
        <x:v>3</x:v>
      </x:c>
      <x:c r="D21" s="40" t="n">
        <x:f>COUNTIFS('Choix_relations'!$C$7:$C$9,"Prototype")</x:f>
        <x:v>0</x:v>
      </x:c>
      <x:c r="E21" s="40" t="n">
        <x:f>COUNTIFS('Choix_relations'!$C$7:$C$9,"Intégré")</x:f>
        <x:v>0</x:v>
      </x:c>
      <x:c r="F21" s="40" t="n">
        <x:f>COUNTIFS('Choix_relations'!$C$7:$C$9,"Validé")</x:f>
        <x:v>0</x:v>
      </x:c>
      <x:c r="G21" s="40" t="n">
        <x:f>COUNTIFS('Choix_relations'!$D$7:$D$9,"Établi")</x:f>
        <x:v>0</x:v>
      </x:c>
      <x:c r="H21" s="40" t="n">
        <x:f>COUNTIFS('Choix_relations'!$D$7:$D$9,"À vérifier")</x:f>
        <x:v>0</x:v>
      </x:c>
      <x:c r="I21" s="40" t="n">
        <x:f>COUNTIFS('Choix_relations'!$D$7:$D$9,"Extrapolation")</x:f>
        <x:v>3</x:v>
      </x:c>
      <x:c r="J21" s="40" t="n">
        <x:f>COUNTIFS('Choix_relations'!$D$7:$D$9,"Coupé attesté")</x:f>
        <x:v>0</x:v>
      </x:c>
      <x:c r="K21" s="40" t="n">
        <x:f>COUNTIFS('Choix_relations'!$D$7:$D$9,"Concept abandonné")</x:f>
        <x:v>0</x:v>
      </x:c>
      <x:c r="L21" s="40" t="n">
        <x:f>COUNTIFS('Choix_relations'!$D$7:$D$9,"Allégation écartée")</x:f>
        <x:v>0</x:v>
      </x:c>
      <x:c r="M21" s="40" t="n">
        <x:f>COUNTIFS('Choix_relations'!$E$7:$E$9,"P0")</x:f>
        <x:v>0</x:v>
      </x:c>
    </x:row>
    <x:row r="22" ht="22" customHeight="1">
      <x:c r="A22" s="35" t="str">
        <x:v>Dialogues</x:v>
      </x:c>
      <x:c r="B22" s="39" t="n">
        <x:f>COUNTA('Dialogues'!$A$7:$A$9)</x:f>
        <x:v>3</x:v>
      </x:c>
      <x:c r="C22" s="39" t="n">
        <x:f>COUNTIFS('Dialogues'!$C$7:$C$9,"Défini")</x:f>
        <x:v>3</x:v>
      </x:c>
      <x:c r="D22" s="39" t="n">
        <x:f>COUNTIFS('Dialogues'!$C$7:$C$9,"Prototype")</x:f>
        <x:v>0</x:v>
      </x:c>
      <x:c r="E22" s="39" t="n">
        <x:f>COUNTIFS('Dialogues'!$C$7:$C$9,"Intégré")</x:f>
        <x:v>0</x:v>
      </x:c>
      <x:c r="F22" s="39" t="n">
        <x:f>COUNTIFS('Dialogues'!$C$7:$C$9,"Validé")</x:f>
        <x:v>0</x:v>
      </x:c>
      <x:c r="G22" s="39" t="n">
        <x:f>COUNTIFS('Dialogues'!$D$7:$D$9,"Établi")</x:f>
        <x:v>0</x:v>
      </x:c>
      <x:c r="H22" s="39" t="n">
        <x:f>COUNTIFS('Dialogues'!$D$7:$D$9,"À vérifier")</x:f>
        <x:v>0</x:v>
      </x:c>
      <x:c r="I22" s="39" t="n">
        <x:f>COUNTIFS('Dialogues'!$D$7:$D$9,"Extrapolation")</x:f>
        <x:v>3</x:v>
      </x:c>
      <x:c r="J22" s="39" t="n">
        <x:f>COUNTIFS('Dialogues'!$D$7:$D$9,"Coupé attesté")</x:f>
        <x:v>0</x:v>
      </x:c>
      <x:c r="K22" s="39" t="n">
        <x:f>COUNTIFS('Dialogues'!$D$7:$D$9,"Concept abandonné")</x:f>
        <x:v>0</x:v>
      </x:c>
      <x:c r="L22" s="39" t="n">
        <x:f>COUNTIFS('Dialogues'!$D$7:$D$9,"Allégation écartée")</x:f>
        <x:v>0</x:v>
      </x:c>
      <x:c r="M22" s="39" t="n">
        <x:f>COUNTIFS('Dialogues'!$E$7:$E$9,"P0")</x:f>
        <x:v>0</x:v>
      </x:c>
    </x:row>
    <x:row r="23" ht="22" customHeight="1">
      <x:c r="A23" s="2" t="str">
        <x:v>Cinématiques</x:v>
      </x:c>
      <x:c r="B23" s="40" t="n">
        <x:f>COUNTA('Cinematiques'!$A$7:$A$9)</x:f>
        <x:v>3</x:v>
      </x:c>
      <x:c r="C23" s="40" t="n">
        <x:f>COUNTIFS('Cinematiques'!$C$7:$C$9,"Défini")</x:f>
        <x:v>3</x:v>
      </x:c>
      <x:c r="D23" s="40" t="n">
        <x:f>COUNTIFS('Cinematiques'!$C$7:$C$9,"Prototype")</x:f>
        <x:v>0</x:v>
      </x:c>
      <x:c r="E23" s="40" t="n">
        <x:f>COUNTIFS('Cinematiques'!$C$7:$C$9,"Intégré")</x:f>
        <x:v>0</x:v>
      </x:c>
      <x:c r="F23" s="40" t="n">
        <x:f>COUNTIFS('Cinematiques'!$C$7:$C$9,"Validé")</x:f>
        <x:v>0</x:v>
      </x:c>
      <x:c r="G23" s="40" t="n">
        <x:f>COUNTIFS('Cinematiques'!$D$7:$D$9,"Établi")</x:f>
        <x:v>0</x:v>
      </x:c>
      <x:c r="H23" s="40" t="n">
        <x:f>COUNTIFS('Cinematiques'!$D$7:$D$9,"À vérifier")</x:f>
        <x:v>0</x:v>
      </x:c>
      <x:c r="I23" s="40" t="n">
        <x:f>COUNTIFS('Cinematiques'!$D$7:$D$9,"Extrapolation")</x:f>
        <x:v>3</x:v>
      </x:c>
      <x:c r="J23" s="40" t="n">
        <x:f>COUNTIFS('Cinematiques'!$D$7:$D$9,"Coupé attesté")</x:f>
        <x:v>0</x:v>
      </x:c>
      <x:c r="K23" s="40" t="n">
        <x:f>COUNTIFS('Cinematiques'!$D$7:$D$9,"Concept abandonné")</x:f>
        <x:v>0</x:v>
      </x:c>
      <x:c r="L23" s="40" t="n">
        <x:f>COUNTIFS('Cinematiques'!$D$7:$D$9,"Allégation écartée")</x:f>
        <x:v>0</x:v>
      </x:c>
      <x:c r="M23" s="40" t="n">
        <x:f>COUNTIFS('Cinematiques'!$E$7:$E$9,"P0")</x:f>
        <x:v>0</x:v>
      </x:c>
    </x:row>
    <x:row r="24" ht="22" customHeight="1">
      <x:c r="A24" s="35" t="str">
        <x:v>Armes</x:v>
      </x:c>
      <x:c r="B24" s="39" t="n">
        <x:f>COUNTA('Armes'!$A$7:$A$7)</x:f>
        <x:v>1</x:v>
      </x:c>
      <x:c r="C24" s="39" t="n">
        <x:f>COUNTIFS('Armes'!$C$7:$C$7,"Défini")</x:f>
        <x:v>1</x:v>
      </x:c>
      <x:c r="D24" s="39" t="n">
        <x:f>COUNTIFS('Armes'!$C$7:$C$7,"Prototype")</x:f>
        <x:v>0</x:v>
      </x:c>
      <x:c r="E24" s="39" t="n">
        <x:f>COUNTIFS('Armes'!$C$7:$C$7,"Intégré")</x:f>
        <x:v>0</x:v>
      </x:c>
      <x:c r="F24" s="39" t="n">
        <x:f>COUNTIFS('Armes'!$C$7:$C$7,"Validé")</x:f>
        <x:v>0</x:v>
      </x:c>
      <x:c r="G24" s="39" t="n">
        <x:f>COUNTIFS('Armes'!$D$7:$D$7,"Établi")</x:f>
        <x:v>0</x:v>
      </x:c>
      <x:c r="H24" s="39" t="n">
        <x:f>COUNTIFS('Armes'!$D$7:$D$7,"À vérifier")</x:f>
        <x:v>0</x:v>
      </x:c>
      <x:c r="I24" s="39" t="n">
        <x:f>COUNTIFS('Armes'!$D$7:$D$7,"Extrapolation")</x:f>
        <x:v>1</x:v>
      </x:c>
      <x:c r="J24" s="39" t="n">
        <x:f>COUNTIFS('Armes'!$D$7:$D$7,"Coupé attesté")</x:f>
        <x:v>0</x:v>
      </x:c>
      <x:c r="K24" s="39" t="n">
        <x:f>COUNTIFS('Armes'!$D$7:$D$7,"Concept abandonné")</x:f>
        <x:v>0</x:v>
      </x:c>
      <x:c r="L24" s="39" t="n">
        <x:f>COUNTIFS('Armes'!$D$7:$D$7,"Allégation écartée")</x:f>
        <x:v>0</x:v>
      </x:c>
      <x:c r="M24" s="39" t="n">
        <x:f>COUNTIFS('Armes'!$E$7:$E$7,"P0")</x:f>
        <x:v>0</x:v>
      </x:c>
    </x:row>
    <x:row r="25" ht="22" customHeight="1">
      <x:c r="A25" s="2" t="str">
        <x:v>Armures et équipement</x:v>
      </x:c>
      <x:c r="B25" s="40" t="n">
        <x:f>COUNTA('Armures_equipement'!$A$7:$A$7)</x:f>
        <x:v>1</x:v>
      </x:c>
      <x:c r="C25" s="40" t="n">
        <x:f>COUNTIFS('Armures_equipement'!$C$7:$C$7,"Défini")</x:f>
        <x:v>1</x:v>
      </x:c>
      <x:c r="D25" s="40" t="n">
        <x:f>COUNTIFS('Armures_equipement'!$C$7:$C$7,"Prototype")</x:f>
        <x:v>0</x:v>
      </x:c>
      <x:c r="E25" s="40" t="n">
        <x:f>COUNTIFS('Armures_equipement'!$C$7:$C$7,"Intégré")</x:f>
        <x:v>0</x:v>
      </x:c>
      <x:c r="F25" s="40" t="n">
        <x:f>COUNTIFS('Armures_equipement'!$C$7:$C$7,"Validé")</x:f>
        <x:v>0</x:v>
      </x:c>
      <x:c r="G25" s="40" t="n">
        <x:f>COUNTIFS('Armures_equipement'!$D$7:$D$7,"Établi")</x:f>
        <x:v>0</x:v>
      </x:c>
      <x:c r="H25" s="40" t="n">
        <x:f>COUNTIFS('Armures_equipement'!$D$7:$D$7,"À vérifier")</x:f>
        <x:v>0</x:v>
      </x:c>
      <x:c r="I25" s="40" t="n">
        <x:f>COUNTIFS('Armures_equipement'!$D$7:$D$7,"Extrapolation")</x:f>
        <x:v>1</x:v>
      </x:c>
      <x:c r="J25" s="40" t="n">
        <x:f>COUNTIFS('Armures_equipement'!$D$7:$D$7,"Coupé attesté")</x:f>
        <x:v>0</x:v>
      </x:c>
      <x:c r="K25" s="40" t="n">
        <x:f>COUNTIFS('Armures_equipement'!$D$7:$D$7,"Concept abandonné")</x:f>
        <x:v>0</x:v>
      </x:c>
      <x:c r="L25" s="40" t="n">
        <x:f>COUNTIFS('Armures_equipement'!$D$7:$D$7,"Allégation écartée")</x:f>
        <x:v>0</x:v>
      </x:c>
      <x:c r="M25" s="40" t="n">
        <x:f>COUNTIFS('Armures_equipement'!$E$7:$E$7,"P0")</x:f>
        <x:v>0</x:v>
      </x:c>
    </x:row>
    <x:row r="26" ht="22" customHeight="1">
      <x:c r="A26" s="35" t="str">
        <x:v>Pouvoirs</x:v>
      </x:c>
      <x:c r="B26" s="39" t="n">
        <x:f>COUNTA('Pouvoirs'!$A$7:$A$7)</x:f>
        <x:v>1</x:v>
      </x:c>
      <x:c r="C26" s="39" t="n">
        <x:f>COUNTIFS('Pouvoirs'!$C$7:$C$7,"Défini")</x:f>
        <x:v>1</x:v>
      </x:c>
      <x:c r="D26" s="39" t="n">
        <x:f>COUNTIFS('Pouvoirs'!$C$7:$C$7,"Prototype")</x:f>
        <x:v>0</x:v>
      </x:c>
      <x:c r="E26" s="39" t="n">
        <x:f>COUNTIFS('Pouvoirs'!$C$7:$C$7,"Intégré")</x:f>
        <x:v>0</x:v>
      </x:c>
      <x:c r="F26" s="39" t="n">
        <x:f>COUNTIFS('Pouvoirs'!$C$7:$C$7,"Validé")</x:f>
        <x:v>0</x:v>
      </x:c>
      <x:c r="G26" s="39" t="n">
        <x:f>COUNTIFS('Pouvoirs'!$D$7:$D$7,"Établi")</x:f>
        <x:v>0</x:v>
      </x:c>
      <x:c r="H26" s="39" t="n">
        <x:f>COUNTIFS('Pouvoirs'!$D$7:$D$7,"À vérifier")</x:f>
        <x:v>0</x:v>
      </x:c>
      <x:c r="I26" s="39" t="n">
        <x:f>COUNTIFS('Pouvoirs'!$D$7:$D$7,"Extrapolation")</x:f>
        <x:v>1</x:v>
      </x:c>
      <x:c r="J26" s="39" t="n">
        <x:f>COUNTIFS('Pouvoirs'!$D$7:$D$7,"Coupé attesté")</x:f>
        <x:v>0</x:v>
      </x:c>
      <x:c r="K26" s="39" t="n">
        <x:f>COUNTIFS('Pouvoirs'!$D$7:$D$7,"Concept abandonné")</x:f>
        <x:v>0</x:v>
      </x:c>
      <x:c r="L26" s="39" t="n">
        <x:f>COUNTIFS('Pouvoirs'!$D$7:$D$7,"Allégation écartée")</x:f>
        <x:v>0</x:v>
      </x:c>
      <x:c r="M26" s="39" t="n">
        <x:f>COUNTIFS('Pouvoirs'!$E$7:$E$7,"P0")</x:f>
        <x:v>0</x:v>
      </x:c>
    </x:row>
    <x:row r="27" ht="22" customHeight="1">
      <x:c r="A27" s="2" t="str">
        <x:v>Movesets alliés</x:v>
      </x:c>
      <x:c r="B27" s="40" t="n">
        <x:f>COUNTA('Movesets_allies'!$A$7:$A$7)</x:f>
        <x:v>1</x:v>
      </x:c>
      <x:c r="C27" s="40" t="n">
        <x:f>COUNTIFS('Movesets_allies'!$C$7:$C$7,"Défini")</x:f>
        <x:v>1</x:v>
      </x:c>
      <x:c r="D27" s="40" t="n">
        <x:f>COUNTIFS('Movesets_allies'!$C$7:$C$7,"Prototype")</x:f>
        <x:v>0</x:v>
      </x:c>
      <x:c r="E27" s="40" t="n">
        <x:f>COUNTIFS('Movesets_allies'!$C$7:$C$7,"Intégré")</x:f>
        <x:v>0</x:v>
      </x:c>
      <x:c r="F27" s="40" t="n">
        <x:f>COUNTIFS('Movesets_allies'!$C$7:$C$7,"Validé")</x:f>
        <x:v>0</x:v>
      </x:c>
      <x:c r="G27" s="40" t="n">
        <x:f>COUNTIFS('Movesets_allies'!$D$7:$D$7,"Établi")</x:f>
        <x:v>0</x:v>
      </x:c>
      <x:c r="H27" s="40" t="n">
        <x:f>COUNTIFS('Movesets_allies'!$D$7:$D$7,"À vérifier")</x:f>
        <x:v>0</x:v>
      </x:c>
      <x:c r="I27" s="40" t="n">
        <x:f>COUNTIFS('Movesets_allies'!$D$7:$D$7,"Extrapolation")</x:f>
        <x:v>1</x:v>
      </x:c>
      <x:c r="J27" s="40" t="n">
        <x:f>COUNTIFS('Movesets_allies'!$D$7:$D$7,"Coupé attesté")</x:f>
        <x:v>0</x:v>
      </x:c>
      <x:c r="K27" s="40" t="n">
        <x:f>COUNTIFS('Movesets_allies'!$D$7:$D$7,"Concept abandonné")</x:f>
        <x:v>0</x:v>
      </x:c>
      <x:c r="L27" s="40" t="n">
        <x:f>COUNTIFS('Movesets_allies'!$D$7:$D$7,"Allégation écartée")</x:f>
        <x:v>0</x:v>
      </x:c>
      <x:c r="M27" s="40" t="n">
        <x:f>COUNTIFS('Movesets_allies'!$E$7:$E$7,"P0")</x:f>
        <x:v>0</x:v>
      </x:c>
    </x:row>
    <x:row r="28" ht="22" customHeight="1">
      <x:c r="A28" s="35" t="str">
        <x:v>Movesets ennemis</x:v>
      </x:c>
      <x:c r="B28" s="39" t="n">
        <x:f>COUNTA('Movesets_ennemis'!$A$7:$A$8)</x:f>
        <x:v>2</x:v>
      </x:c>
      <x:c r="C28" s="39" t="n">
        <x:f>COUNTIFS('Movesets_ennemis'!$C$7:$C$8,"Défini")</x:f>
        <x:v>2</x:v>
      </x:c>
      <x:c r="D28" s="39" t="n">
        <x:f>COUNTIFS('Movesets_ennemis'!$C$7:$C$8,"Prototype")</x:f>
        <x:v>0</x:v>
      </x:c>
      <x:c r="E28" s="39" t="n">
        <x:f>COUNTIFS('Movesets_ennemis'!$C$7:$C$8,"Intégré")</x:f>
        <x:v>0</x:v>
      </x:c>
      <x:c r="F28" s="39" t="n">
        <x:f>COUNTIFS('Movesets_ennemis'!$C$7:$C$8,"Validé")</x:f>
        <x:v>0</x:v>
      </x:c>
      <x:c r="G28" s="39" t="n">
        <x:f>COUNTIFS('Movesets_ennemis'!$D$7:$D$8,"Établi")</x:f>
        <x:v>0</x:v>
      </x:c>
      <x:c r="H28" s="39" t="n">
        <x:f>COUNTIFS('Movesets_ennemis'!$D$7:$D$8,"À vérifier")</x:f>
        <x:v>0</x:v>
      </x:c>
      <x:c r="I28" s="39" t="n">
        <x:f>COUNTIFS('Movesets_ennemis'!$D$7:$D$8,"Extrapolation")</x:f>
        <x:v>2</x:v>
      </x:c>
      <x:c r="J28" s="39" t="n">
        <x:f>COUNTIFS('Movesets_ennemis'!$D$7:$D$8,"Coupé attesté")</x:f>
        <x:v>0</x:v>
      </x:c>
      <x:c r="K28" s="39" t="n">
        <x:f>COUNTIFS('Movesets_ennemis'!$D$7:$D$8,"Concept abandonné")</x:f>
        <x:v>0</x:v>
      </x:c>
      <x:c r="L28" s="39" t="n">
        <x:f>COUNTIFS('Movesets_ennemis'!$D$7:$D$8,"Allégation écartée")</x:f>
        <x:v>0</x:v>
      </x:c>
      <x:c r="M28" s="39" t="n">
        <x:f>COUNTIFS('Movesets_ennemis'!$E$7:$E$8,"P0")</x:f>
        <x:v>0</x:v>
      </x:c>
    </x:row>
    <x:row r="29" ht="22" customHeight="1">
      <x:c r="A29" s="2" t="str">
        <x:v>Animations</x:v>
      </x:c>
      <x:c r="B29" s="40" t="n">
        <x:f>COUNTA('Animations'!$A$7:$A$11)</x:f>
        <x:v>5</x:v>
      </x:c>
      <x:c r="C29" s="40" t="n">
        <x:f>COUNTIFS('Animations'!$C$7:$C$11,"Défini")</x:f>
        <x:v>5</x:v>
      </x:c>
      <x:c r="D29" s="40" t="n">
        <x:f>COUNTIFS('Animations'!$C$7:$C$11,"Prototype")</x:f>
        <x:v>0</x:v>
      </x:c>
      <x:c r="E29" s="40" t="n">
        <x:f>COUNTIFS('Animations'!$C$7:$C$11,"Intégré")</x:f>
        <x:v>0</x:v>
      </x:c>
      <x:c r="F29" s="40" t="n">
        <x:f>COUNTIFS('Animations'!$C$7:$C$11,"Validé")</x:f>
        <x:v>0</x:v>
      </x:c>
      <x:c r="G29" s="40" t="n">
        <x:f>COUNTIFS('Animations'!$D$7:$D$11,"Établi")</x:f>
        <x:v>0</x:v>
      </x:c>
      <x:c r="H29" s="40" t="n">
        <x:f>COUNTIFS('Animations'!$D$7:$D$11,"À vérifier")</x:f>
        <x:v>0</x:v>
      </x:c>
      <x:c r="I29" s="40" t="n">
        <x:f>COUNTIFS('Animations'!$D$7:$D$11,"Extrapolation")</x:f>
        <x:v>5</x:v>
      </x:c>
      <x:c r="J29" s="40" t="n">
        <x:f>COUNTIFS('Animations'!$D$7:$D$11,"Coupé attesté")</x:f>
        <x:v>0</x:v>
      </x:c>
      <x:c r="K29" s="40" t="n">
        <x:f>COUNTIFS('Animations'!$D$7:$D$11,"Concept abandonné")</x:f>
        <x:v>0</x:v>
      </x:c>
      <x:c r="L29" s="40" t="n">
        <x:f>COUNTIFS('Animations'!$D$7:$D$11,"Allégation écartée")</x:f>
        <x:v>0</x:v>
      </x:c>
      <x:c r="M29" s="40" t="n">
        <x:f>COUNTIFS('Animations'!$E$7:$E$11,"P0")</x:f>
        <x:v>0</x:v>
      </x:c>
    </x:row>
    <x:row r="30" ht="22" customHeight="1">
      <x:c r="A30" s="35" t="str">
        <x:v>Sprites</x:v>
      </x:c>
      <x:c r="B30" s="39" t="n">
        <x:f>COUNTA('Sprites'!$A$7:$A$11)</x:f>
        <x:v>5</x:v>
      </x:c>
      <x:c r="C30" s="39" t="n">
        <x:f>COUNTIFS('Sprites'!$C$7:$C$11,"Défini")</x:f>
        <x:v>5</x:v>
      </x:c>
      <x:c r="D30" s="39" t="n">
        <x:f>COUNTIFS('Sprites'!$C$7:$C$11,"Prototype")</x:f>
        <x:v>0</x:v>
      </x:c>
      <x:c r="E30" s="39" t="n">
        <x:f>COUNTIFS('Sprites'!$C$7:$C$11,"Intégré")</x:f>
        <x:v>0</x:v>
      </x:c>
      <x:c r="F30" s="39" t="n">
        <x:f>COUNTIFS('Sprites'!$C$7:$C$11,"Validé")</x:f>
        <x:v>0</x:v>
      </x:c>
      <x:c r="G30" s="39" t="n">
        <x:f>COUNTIFS('Sprites'!$D$7:$D$11,"Établi")</x:f>
        <x:v>0</x:v>
      </x:c>
      <x:c r="H30" s="39" t="n">
        <x:f>COUNTIFS('Sprites'!$D$7:$D$11,"À vérifier")</x:f>
        <x:v>0</x:v>
      </x:c>
      <x:c r="I30" s="39" t="n">
        <x:f>COUNTIFS('Sprites'!$D$7:$D$11,"Extrapolation")</x:f>
        <x:v>5</x:v>
      </x:c>
      <x:c r="J30" s="39" t="n">
        <x:f>COUNTIFS('Sprites'!$D$7:$D$11,"Coupé attesté")</x:f>
        <x:v>0</x:v>
      </x:c>
      <x:c r="K30" s="39" t="n">
        <x:f>COUNTIFS('Sprites'!$D$7:$D$11,"Concept abandonné")</x:f>
        <x:v>0</x:v>
      </x:c>
      <x:c r="L30" s="39" t="n">
        <x:f>COUNTIFS('Sprites'!$D$7:$D$11,"Allégation écartée")</x:f>
        <x:v>0</x:v>
      </x:c>
      <x:c r="M30" s="39" t="n">
        <x:f>COUNTIFS('Sprites'!$E$7:$E$11,"P0")</x:f>
        <x:v>0</x:v>
      </x:c>
    </x:row>
    <x:row r="31" ht="22" customHeight="1">
      <x:c r="A31" s="2" t="str">
        <x:v>VFX</x:v>
      </x:c>
      <x:c r="B31" s="40" t="n">
        <x:f>COUNTA('VFX'!$A$7:$A$9)</x:f>
        <x:v>3</x:v>
      </x:c>
      <x:c r="C31" s="40" t="n">
        <x:f>COUNTIFS('VFX'!$C$7:$C$9,"Défini")</x:f>
        <x:v>3</x:v>
      </x:c>
      <x:c r="D31" s="40" t="n">
        <x:f>COUNTIFS('VFX'!$C$7:$C$9,"Prototype")</x:f>
        <x:v>0</x:v>
      </x:c>
      <x:c r="E31" s="40" t="n">
        <x:f>COUNTIFS('VFX'!$C$7:$C$9,"Intégré")</x:f>
        <x:v>0</x:v>
      </x:c>
      <x:c r="F31" s="40" t="n">
        <x:f>COUNTIFS('VFX'!$C$7:$C$9,"Validé")</x:f>
        <x:v>0</x:v>
      </x:c>
      <x:c r="G31" s="40" t="n">
        <x:f>COUNTIFS('VFX'!$D$7:$D$9,"Établi")</x:f>
        <x:v>0</x:v>
      </x:c>
      <x:c r="H31" s="40" t="n">
        <x:f>COUNTIFS('VFX'!$D$7:$D$9,"À vérifier")</x:f>
        <x:v>0</x:v>
      </x:c>
      <x:c r="I31" s="40" t="n">
        <x:f>COUNTIFS('VFX'!$D$7:$D$9,"Extrapolation")</x:f>
        <x:v>3</x:v>
      </x:c>
      <x:c r="J31" s="40" t="n">
        <x:f>COUNTIFS('VFX'!$D$7:$D$9,"Coupé attesté")</x:f>
        <x:v>0</x:v>
      </x:c>
      <x:c r="K31" s="40" t="n">
        <x:f>COUNTIFS('VFX'!$D$7:$D$9,"Concept abandonné")</x:f>
        <x:v>0</x:v>
      </x:c>
      <x:c r="L31" s="40" t="n">
        <x:f>COUNTIFS('VFX'!$D$7:$D$9,"Allégation écartée")</x:f>
        <x:v>0</x:v>
      </x:c>
      <x:c r="M31" s="40" t="n">
        <x:f>COUNTIFS('VFX'!$E$7:$E$9,"P0")</x:f>
        <x:v>0</x:v>
      </x:c>
    </x:row>
    <x:row r="32" ht="22" customHeight="1">
      <x:c r="A32" s="35" t="str">
        <x:v>Audio</x:v>
      </x:c>
      <x:c r="B32" s="39" t="n">
        <x:f>COUNTA('Audio'!$A$7:$A$8)</x:f>
        <x:v>2</x:v>
      </x:c>
      <x:c r="C32" s="39" t="n">
        <x:f>COUNTIFS('Audio'!$C$7:$C$8,"Défini")</x:f>
        <x:v>2</x:v>
      </x:c>
      <x:c r="D32" s="39" t="n">
        <x:f>COUNTIFS('Audio'!$C$7:$C$8,"Prototype")</x:f>
        <x:v>0</x:v>
      </x:c>
      <x:c r="E32" s="39" t="n">
        <x:f>COUNTIFS('Audio'!$C$7:$C$8,"Intégré")</x:f>
        <x:v>0</x:v>
      </x:c>
      <x:c r="F32" s="39" t="n">
        <x:f>COUNTIFS('Audio'!$C$7:$C$8,"Validé")</x:f>
        <x:v>0</x:v>
      </x:c>
      <x:c r="G32" s="39" t="n">
        <x:f>COUNTIFS('Audio'!$D$7:$D$8,"Établi")</x:f>
        <x:v>0</x:v>
      </x:c>
      <x:c r="H32" s="39" t="n">
        <x:f>COUNTIFS('Audio'!$D$7:$D$8,"À vérifier")</x:f>
        <x:v>0</x:v>
      </x:c>
      <x:c r="I32" s="39" t="n">
        <x:f>COUNTIFS('Audio'!$D$7:$D$8,"Extrapolation")</x:f>
        <x:v>2</x:v>
      </x:c>
      <x:c r="J32" s="39" t="n">
        <x:f>COUNTIFS('Audio'!$D$7:$D$8,"Coupé attesté")</x:f>
        <x:v>0</x:v>
      </x:c>
      <x:c r="K32" s="39" t="n">
        <x:f>COUNTIFS('Audio'!$D$7:$D$8,"Concept abandonné")</x:f>
        <x:v>0</x:v>
      </x:c>
      <x:c r="L32" s="39" t="n">
        <x:f>COUNTIFS('Audio'!$D$7:$D$8,"Allégation écartée")</x:f>
        <x:v>0</x:v>
      </x:c>
      <x:c r="M32" s="39" t="n">
        <x:f>COUNTIFS('Audio'!$E$7:$E$8,"P0")</x:f>
        <x:v>0</x:v>
      </x:c>
    </x:row>
    <x:row r="33" ht="22" customHeight="1">
      <x:c r="A33" s="2" t="str">
        <x:v>Systèmes et UI</x:v>
      </x:c>
      <x:c r="B33" s="40" t="n">
        <x:f>COUNTA('UI_systemes'!$A$7:$A$10)</x:f>
        <x:v>4</x:v>
      </x:c>
      <x:c r="C33" s="40" t="n">
        <x:f>COUNTIFS('UI_systemes'!$C$7:$C$10,"Défini")</x:f>
        <x:v>4</x:v>
      </x:c>
      <x:c r="D33" s="40" t="n">
        <x:f>COUNTIFS('UI_systemes'!$C$7:$C$10,"Prototype")</x:f>
        <x:v>0</x:v>
      </x:c>
      <x:c r="E33" s="40" t="n">
        <x:f>COUNTIFS('UI_systemes'!$C$7:$C$10,"Intégré")</x:f>
        <x:v>0</x:v>
      </x:c>
      <x:c r="F33" s="40" t="n">
        <x:f>COUNTIFS('UI_systemes'!$C$7:$C$10,"Validé")</x:f>
        <x:v>0</x:v>
      </x:c>
      <x:c r="G33" s="40" t="n">
        <x:f>COUNTIFS('UI_systemes'!$D$7:$D$10,"Établi")</x:f>
        <x:v>0</x:v>
      </x:c>
      <x:c r="H33" s="40" t="n">
        <x:f>COUNTIFS('UI_systemes'!$D$7:$D$10,"À vérifier")</x:f>
        <x:v>0</x:v>
      </x:c>
      <x:c r="I33" s="40" t="n">
        <x:f>COUNTIFS('UI_systemes'!$D$7:$D$10,"Extrapolation")</x:f>
        <x:v>4</x:v>
      </x:c>
      <x:c r="J33" s="40" t="n">
        <x:f>COUNTIFS('UI_systemes'!$D$7:$D$10,"Coupé attesté")</x:f>
        <x:v>0</x:v>
      </x:c>
      <x:c r="K33" s="40" t="n">
        <x:f>COUNTIFS('UI_systemes'!$D$7:$D$10,"Concept abandonné")</x:f>
        <x:v>0</x:v>
      </x:c>
      <x:c r="L33" s="40" t="n">
        <x:f>COUNTIFS('UI_systemes'!$D$7:$D$10,"Allégation écartée")</x:f>
        <x:v>0</x:v>
      </x:c>
      <x:c r="M33" s="40" t="n">
        <x:f>COUNTIFS('UI_systemes'!$E$7:$E$10,"P0")</x:f>
        <x:v>0</x:v>
      </x:c>
    </x:row>
    <x:row r="34" ht="22" customHeight="1">
      <x:c r="A34" s="35" t="str">
        <x:v>QA</x:v>
      </x:c>
      <x:c r="B34" s="39" t="n">
        <x:f>COUNTA('QA'!$A$7:$A$12)</x:f>
        <x:v>6</x:v>
      </x:c>
      <x:c r="C34" s="39" t="n">
        <x:f>COUNTIFS('QA'!$C$7:$C$12,"Défini")</x:f>
        <x:v>6</x:v>
      </x:c>
      <x:c r="D34" s="39" t="n">
        <x:f>COUNTIFS('QA'!$C$7:$C$12,"Prototype")</x:f>
        <x:v>0</x:v>
      </x:c>
      <x:c r="E34" s="39" t="n">
        <x:f>COUNTIFS('QA'!$C$7:$C$12,"Intégré")</x:f>
        <x:v>0</x:v>
      </x:c>
      <x:c r="F34" s="39" t="n">
        <x:f>COUNTIFS('QA'!$C$7:$C$12,"Validé")</x:f>
        <x:v>0</x:v>
      </x:c>
      <x:c r="G34" s="39" t="n">
        <x:f>COUNTIFS('QA'!$D$7:$D$12,"Établi")</x:f>
        <x:v>0</x:v>
      </x:c>
      <x:c r="H34" s="39" t="n">
        <x:f>COUNTIFS('QA'!$D$7:$D$12,"À vérifier")</x:f>
        <x:v>0</x:v>
      </x:c>
      <x:c r="I34" s="39" t="n">
        <x:f>COUNTIFS('QA'!$D$7:$D$12,"Extrapolation")</x:f>
        <x:v>6</x:v>
      </x:c>
      <x:c r="J34" s="39" t="n">
        <x:f>COUNTIFS('QA'!$D$7:$D$12,"Coupé attesté")</x:f>
        <x:v>0</x:v>
      </x:c>
      <x:c r="K34" s="39" t="n">
        <x:f>COUNTIFS('QA'!$D$7:$D$12,"Concept abandonné")</x:f>
        <x:v>0</x:v>
      </x:c>
      <x:c r="L34" s="39" t="n">
        <x:f>COUNTIFS('QA'!$D$7:$D$12,"Allégation écartée")</x:f>
        <x:v>0</x:v>
      </x:c>
      <x:c r="M34" s="39" t="n">
        <x:f>COUNTIFS('QA'!$E$7:$E$12,"P0")</x:f>
        <x:v>6</x:v>
      </x:c>
    </x:row>
    <x:row r="35" ht="22" customHeight="1">
      <x:c r="A35" s="2" t="str">
        <x:v>Continuité</x:v>
      </x:c>
      <x:c r="B35" s="40" t="n">
        <x:f>COUNTA('Continuite'!$A$7:$A$8)</x:f>
        <x:v>2</x:v>
      </x:c>
      <x:c r="C35" s="40" t="n">
        <x:f>COUNTIFS('Continuite'!$C$7:$C$8,"Défini")</x:f>
        <x:v>2</x:v>
      </x:c>
      <x:c r="D35" s="40" t="n">
        <x:f>COUNTIFS('Continuite'!$C$7:$C$8,"Prototype")</x:f>
        <x:v>0</x:v>
      </x:c>
      <x:c r="E35" s="40" t="n">
        <x:f>COUNTIFS('Continuite'!$C$7:$C$8,"Intégré")</x:f>
        <x:v>0</x:v>
      </x:c>
      <x:c r="F35" s="40" t="n">
        <x:f>COUNTIFS('Continuite'!$C$7:$C$8,"Validé")</x:f>
        <x:v>0</x:v>
      </x:c>
      <x:c r="G35" s="40" t="n">
        <x:f>COUNTIFS('Continuite'!$D$7:$D$8,"Établi")</x:f>
        <x:v>0</x:v>
      </x:c>
      <x:c r="H35" s="40" t="n">
        <x:f>COUNTIFS('Continuite'!$D$7:$D$8,"À vérifier")</x:f>
        <x:v>0</x:v>
      </x:c>
      <x:c r="I35" s="40" t="n">
        <x:f>COUNTIFS('Continuite'!$D$7:$D$8,"Extrapolation")</x:f>
        <x:v>2</x:v>
      </x:c>
      <x:c r="J35" s="40" t="n">
        <x:f>COUNTIFS('Continuite'!$D$7:$D$8,"Coupé attesté")</x:f>
        <x:v>0</x:v>
      </x:c>
      <x:c r="K35" s="40" t="n">
        <x:f>COUNTIFS('Continuite'!$D$7:$D$8,"Concept abandonné")</x:f>
        <x:v>0</x:v>
      </x:c>
      <x:c r="L35" s="40" t="n">
        <x:f>COUNTIFS('Continuite'!$D$7:$D$8,"Allégation écartée")</x:f>
        <x:v>0</x:v>
      </x:c>
      <x:c r="M35" s="40" t="n">
        <x:f>COUNTIFS('Continuite'!$E$7:$E$8,"P0")</x:f>
        <x:v>0</x:v>
      </x:c>
    </x:row>
    <x:row r="36" ht="22" customHeight="1">
      <x:c r="A36" s="2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</x:row>
    <x:row r="37" ht="28" customHeight="1">
      <x:c r="A37" s="19" t="str">
        <x:v>TOTAL</x:v>
      </x:c>
      <x:c r="B37" s="41" t="n">
        <x:f>SUM(B10:B35)</x:f>
        <x:v>71</x:v>
      </x:c>
      <x:c r="C37" s="41" t="n">
        <x:f>SUM(C10:C35)</x:f>
        <x:v>71</x:v>
      </x:c>
      <x:c r="D37" s="41" t="n">
        <x:f>SUM(D10:D35)</x:f>
        <x:v>0</x:v>
      </x:c>
      <x:c r="E37" s="41" t="n">
        <x:f>SUM(E10:E35)</x:f>
        <x:v>0</x:v>
      </x:c>
      <x:c r="F37" s="41" t="n">
        <x:f>SUM(F10:F35)</x:f>
        <x:v>0</x:v>
      </x:c>
      <x:c r="G37" s="41" t="n">
        <x:f>SUM(G10:G35)</x:f>
        <x:v>1</x:v>
      </x:c>
      <x:c r="H37" s="41" t="n">
        <x:f>SUM(H10:H35)</x:f>
        <x:v>13</x:v>
      </x:c>
      <x:c r="I37" s="41" t="n">
        <x:f>SUM(I10:I35)</x:f>
        <x:v>57</x:v>
      </x:c>
      <x:c r="J37" s="41" t="n">
        <x:f>SUM(J10:J35)</x:f>
        <x:v>0</x:v>
      </x:c>
      <x:c r="K37" s="41" t="n">
        <x:f>SUM(K10:K35)</x:f>
        <x:v>0</x:v>
      </x:c>
      <x:c r="L37" s="41" t="n">
        <x:f>SUM(L10:L35)</x:f>
        <x:v>0</x:v>
      </x:c>
      <x:c r="M37" s="41" t="n">
        <x:f>SUM(M10:M35)</x:f>
        <x:v>12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HWB-ACT-JOKER</x:v>
      </x:c>
      <x:c r="B7" s="9" t="str">
        <x:v>Jeff « Joker » Moreau</x:v>
      </x:c>
      <x:c r="C7" s="14" t="str">
        <x:v>Défini</x:v>
      </x:c>
      <x:c r="D7" s="15" t="str">
        <x:v>À vérifier</x:v>
      </x:c>
      <x:c r="E7" s="15" t="str">
        <x:v>P1</x:v>
      </x:c>
      <x:c r="F7" s="9" t="str">
        <x:v>Joker démontre ses capacités de pilote dans le récit.</x:v>
      </x:c>
      <x:c r="G7" s="9" t="str">
        <x:v>Protagoniste de navigation; options de mobilité et d’interface conçues sans pénalité arbitraire.</x:v>
      </x:c>
      <x:c r="H7" s="9" t="str">
        <x:v>Rôle narratif; aucune statistique officielle déduite.</x:v>
      </x:c>
      <x:c r="I7" s="9" t="str">
        <x:v>Direction proposée : Tenue de pilote et appuis de marche à vérifier; cockpit compatible avec sa posture. Vérifier le costume sur l'édition autorisée avant peinture finale.</x:v>
      </x:c>
      <x:c r="J7" s="9" t="str">
        <x:v>Marche adaptée hors cockpit, installation, mains aux commandes et réaction ironique.</x:v>
      </x:c>
      <x:c r="K7" s="9" t="str">
        <x:v>Interprétation originale; sous-titres attribués au locuteur et aucune reprise des voix du jeu.</x:v>
      </x:c>
      <x:c r="L7" s="9" t="str">
        <x:v>Livrable proposé : spécification HWB/characters/act-joker; brancher au registre de contenu de l'œuvre seulement après production.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Jeff « Joker » Moreau possède une fiche de référence séparant rôle attesté, silhouette à contrôler et commandes proposées.</x:v>
      </x:c>
      <x:c r="O7" s="9" t="str"/>
      <x:c r="P7" s="9" t="str">
        <x:v>He Who Laughs Best, récit autonome FCBD</x:v>
      </x:c>
      <x:c r="Q7" s="9" t="str">
        <x:v>HWB-S-WIKI</x:v>
      </x:c>
      <x:c r="R7" s="17" t="str">
        <x:v>https://masseffect.fandom.com/wiki/Mass_Effect%3A_He_Who_Laughs_Best</x:v>
      </x:c>
      <x:c r="S7" s="17" t="str">
        <x:v>Le rôle dans la source ne prouve ni recrutement jouable ni disponibilité permanente.</x:v>
      </x:c>
    </x:row>
  </x:sheetData>
  <x:conditionalFormatting sqref="D7:D7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7">
    <x:cfRule type="cellIs" dxfId="2" priority="3" operator="equal">
      <x:formula>"Validé"</x:formula>
    </x:cfRule>
  </x:conditionalFormatting>
  <x:conditionalFormatting sqref="E7:E7">
    <x:cfRule type="cellIs" dxfId="3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ebe3a424724a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HWB-ACT-ANDERSON</x:v>
      </x:c>
      <x:c r="B7" s="9" t="str">
        <x:v>David Anderson</x:v>
      </x:c>
      <x:c r="C7" s="14" t="str">
        <x:v>Défini</x:v>
      </x:c>
      <x:c r="D7" s="15" t="str">
        <x:v>À vérifier</x:v>
      </x:c>
      <x:c r="E7" s="15" t="str">
        <x:v>P1</x:v>
      </x:c>
      <x:c r="F7" s="9" t="str">
        <x:v>Anderson participe à l’évaluation et à la décision finale.</x:v>
      </x:c>
      <x:c r="G7" s="9" t="str">
        <x:v>Interlocuteur évaluant compétence et conséquences de l’action.</x:v>
      </x:c>
      <x:c r="H7" s="9" t="str">
        <x:v>Rôle narratif; aucune statistique officielle déduite.</x:v>
      </x:c>
      <x:c r="I7" s="9" t="str">
        <x:v>Direction proposée : Uniforme de la période ME1 à contrôler, silhouette stable. Vérifier le costume sur l'édition autorisée avant peinture finale.</x:v>
      </x:c>
      <x:c r="J7" s="9" t="str">
        <x:v>Observation d’écran, échange et décision.</x:v>
      </x:c>
      <x:c r="K7" s="9" t="str">
        <x:v>Interprétation originale; sous-titres attribués au locuteur et aucune reprise des voix du jeu.</x:v>
      </x:c>
      <x:c r="L7" s="9" t="str">
        <x:v>Livrable proposé : spécification HWB/npcs/act-anderson; brancher au registre de contenu de l'œuvre seulement après production.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David Anderson possède une fiche de référence séparant rôle attesté, silhouette à contrôler et commandes proposées.</x:v>
      </x:c>
      <x:c r="O7" s="9" t="str"/>
      <x:c r="P7" s="9" t="str">
        <x:v>He Who Laughs Best, récit autonome FCBD</x:v>
      </x:c>
      <x:c r="Q7" s="9" t="str">
        <x:v>HWB-S-WIKI</x:v>
      </x:c>
      <x:c r="R7" s="17" t="str">
        <x:v>https://masseffect.fandom.com/wiki/Mass_Effect%3A_He_Who_Laughs_Best</x:v>
      </x:c>
      <x:c r="S7" s="17" t="str">
        <x:v>Le rôle dans la source ne prouve ni recrutement jouable ni disponibilité permanente.</x:v>
      </x:c>
    </x:row>
    <x:row r="8" ht="68" customHeight="1">
      <x:c r="A8" s="31" t="str">
        <x:v>HWB-ACT-DILLARD</x:v>
      </x:c>
      <x:c r="B8" s="7" t="str">
        <x:v>Capitaine Dillard</x:v>
      </x:c>
      <x:c r="C8" s="14" t="str">
        <x:v>Défini</x:v>
      </x:c>
      <x:c r="D8" s="30" t="str">
        <x:v>À vérifier</x:v>
      </x:c>
      <x:c r="E8" s="30" t="str">
        <x:v>P1</x:v>
      </x:c>
      <x:c r="F8" s="7" t="str">
        <x:v>Dillard supervise la situation depuis le contrôle dans le récit rapporté.</x:v>
      </x:c>
      <x:c r="G8" s="7" t="str">
        <x:v>Autorité de sécurité; contraintes de l’essai.</x:v>
      </x:c>
      <x:c r="H8" s="7" t="str">
        <x:v>Rôle narratif; aucune statistique officielle déduite.</x:v>
      </x:c>
      <x:c r="I8" s="7" t="str">
        <x:v>Direction proposée : Officier au poste de contrôle, insignes à vérifier. Vérifier le costume sur l'édition autorisée avant peinture finale.</x:v>
      </x:c>
      <x:c r="J8" s="7" t="str">
        <x:v>Pointage d’écran et ordre bref.</x:v>
      </x:c>
      <x:c r="K8" s="7" t="str">
        <x:v>Interprétation originale; sous-titres attribués au locuteur et aucune reprise des voix du jeu.</x:v>
      </x:c>
      <x:c r="L8" s="7" t="str">
        <x:v>Livrable proposé : spécification HWB/npcs/act-dillard; brancher au registre de contenu de l'œuvre seulement après production.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Capitaine Dillard possède une fiche de référence séparant rôle attesté, silhouette à contrôler et commandes proposées.</x:v>
      </x:c>
      <x:c r="O8" s="7" t="str"/>
      <x:c r="P8" s="7" t="str">
        <x:v>He Who Laughs Best, récit autonome FCBD</x:v>
      </x:c>
      <x:c r="Q8" s="7" t="str">
        <x:v>HWB-S-WIKI</x:v>
      </x:c>
      <x:c r="R8" s="32" t="str">
        <x:v>https://masseffect.fandom.com/wiki/Mass_Effect%3A_He_Who_Laughs_Best</x:v>
      </x:c>
      <x:c r="S8" s="32" t="str">
        <x:v>Le rôle dans la source ne prouve ni recrutement jouable ni disponibilité permanente.</x:v>
      </x:c>
    </x:row>
    <x:row r="9" ht="68" customHeight="1">
      <x:c r="A9" s="16" t="str">
        <x:v>HWB-ACT-INVECTUS</x:v>
      </x:c>
      <x:c r="B9" s="9" t="str">
        <x:v>Général Invectus</x:v>
      </x:c>
      <x:c r="C9" s="14" t="str">
        <x:v>Défini</x:v>
      </x:c>
      <x:c r="D9" s="15" t="str">
        <x:v>À vérifier</x:v>
      </x:c>
      <x:c r="E9" s="15" t="str">
        <x:v>P1</x:v>
      </x:c>
      <x:c r="F9" s="9" t="str">
        <x:v>Invectus intervient dans l’essai et la reconnaissance de Joker.</x:v>
      </x:c>
      <x:c r="G9" s="9" t="str">
        <x:v>Interlocuteur turien dont le jugement évolue; ne pas attribuer son préjugé au jeu lui-même.</x:v>
      </x:c>
      <x:c r="H9" s="9" t="str">
        <x:v>Rôle narratif; aucune statistique officielle déduite.</x:v>
      </x:c>
      <x:c r="I9" s="9" t="str">
        <x:v>Direction proposée : Tenue militaire turienne de la période, posture imposante. Vérifier le costume sur l'édition autorisée avant peinture finale.</x:v>
      </x:c>
      <x:c r="J9" s="9" t="str">
        <x:v>Silence, observation attentive puis intervention.</x:v>
      </x:c>
      <x:c r="K9" s="9" t="str">
        <x:v>Interprétation originale; sous-titres attribués au locuteur et aucune reprise des voix du jeu.</x:v>
      </x:c>
      <x:c r="L9" s="9" t="str">
        <x:v>Livrable proposé : spécification HWB/npcs/act-invectus; brancher au registre de contenu de l'œuvre seulement après production.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Général Invectus possède une fiche de référence séparant rôle attesté, silhouette à contrôler et commandes proposées.</x:v>
      </x:c>
      <x:c r="O9" s="9" t="str"/>
      <x:c r="P9" s="9" t="str">
        <x:v>He Who Laughs Best, récit autonome FCBD</x:v>
      </x:c>
      <x:c r="Q9" s="9" t="str">
        <x:v>HWB-S-WIKI</x:v>
      </x:c>
      <x:c r="R9" s="17" t="str">
        <x:v>https://masseffect.fandom.com/wiki/Mass_Effect%3A_He_Who_Laughs_Best</x:v>
      </x:c>
      <x:c r="S9" s="17" t="str">
        <x:v>Le rôle dans la source ne prouve ni recrutement jouable ni disponibilité permanente.</x:v>
      </x:c>
    </x:row>
    <x:row r="10" ht="68" customHeight="1">
      <x:c r="A10" s="31" t="str">
        <x:v>HWB-ACT-CROOKS</x:v>
      </x:c>
      <x:c r="B10" s="7" t="str">
        <x:v>Crooks</x:v>
      </x:c>
      <x:c r="C10" s="14" t="str">
        <x:v>Défini</x:v>
      </x:c>
      <x:c r="D10" s="30" t="str">
        <x:v>À vérifier</x:v>
      </x:c>
      <x:c r="E10" s="30" t="str">
        <x:v>P1</x:v>
      </x:c>
      <x:c r="F10" s="7" t="str">
        <x:v>Le wiki identifie Crooks comme le pilote initialement prévu.</x:v>
      </x:c>
      <x:c r="G10" s="7" t="str">
        <x:v>Rôle de contexte, sans rivalité de carrière inventée.</x:v>
      </x:c>
      <x:c r="H10" s="7" t="str">
        <x:v>Rôle narratif; aucune statistique officielle déduite.</x:v>
      </x:c>
      <x:c r="I10" s="7" t="str">
        <x:v>Direction proposée : Pilote Alliance et portrait à contrôler. Vérifier le costume sur l'édition autorisée avant peinture finale.</x:v>
      </x:c>
      <x:c r="J10" s="7" t="str">
        <x:v>Réaction au contrôle et geste explicatif.</x:v>
      </x:c>
      <x:c r="K10" s="7" t="str">
        <x:v>Interprétation originale; sous-titres attribués au locuteur et aucune reprise des voix du jeu.</x:v>
      </x:c>
      <x:c r="L10" s="7" t="str">
        <x:v>Livrable proposé : spécification HWB/npcs/act-crooks; brancher au registre de contenu de l'œuvre seulement après production.</x:v>
      </x:c>
      <x:c r="M10" s="7" t="str">
        <x:v>Conserver le résultat de l’essai et la décision narrative; les performances de mini-jeu n’annulent pas le recrutement publié. Les préjugés des personnages ne deviennent pas les règles du système.</x:v>
      </x:c>
      <x:c r="N10" s="7" t="str">
        <x:v>Crooks possède une fiche de référence séparant rôle attesté, silhouette à contrôler et commandes proposées.</x:v>
      </x:c>
      <x:c r="O10" s="7" t="str"/>
      <x:c r="P10" s="7" t="str">
        <x:v>He Who Laughs Best, récit autonome FCBD</x:v>
      </x:c>
      <x:c r="Q10" s="7" t="str">
        <x:v>HWB-S-WIKI</x:v>
      </x:c>
      <x:c r="R10" s="32" t="str">
        <x:v>https://masseffect.fandom.com/wiki/Mass_Effect%3A_He_Who_Laughs_Best</x:v>
      </x:c>
      <x:c r="S10" s="32" t="str">
        <x:v>Le rôle dans la source ne prouve ni recrutement jouable ni disponibilité permanente.</x:v>
      </x:c>
    </x:row>
  </x:sheetData>
  <x:conditionalFormatting sqref="D7:D10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10">
    <x:cfRule type="cellIs" dxfId="6" priority="3" operator="equal">
      <x:formula>"Validé"</x:formula>
    </x:cfRule>
  </x:conditionalFormatting>
  <x:conditionalFormatting sqref="E7:E10">
    <x:cfRule type="cellIs" dxfId="7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e2474377d541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86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54" customHeight="1">
      <x:c r="A7" s="16" t="str">
        <x:v>HWB-REF-SCOPE</x:v>
      </x:c>
      <x:c r="B7" s="9" t="str">
        <x:v>Récit FCBD rassemblé</x:v>
      </x:c>
      <x:c r="C7" s="14" t="str">
        <x:v>Défini</x:v>
      </x:c>
      <x:c r="D7" s="15" t="str">
        <x:v>Établi</x:v>
      </x:c>
      <x:c r="E7" s="15" t="str">
        <x:v>P0</x:v>
      </x:c>
      <x:c r="F7" s="9" t="str">
        <x:v>La notice officielle réunit He Who Laughs Best, issu du Free Comic Book Day 2013.</x:v>
      </x:c>
      <x:c r="G7" s="9" t="str">
        <x:v>Conserver cet ancrage dans les données éditoriales; les variantes de jeu restent dans un espace séparé.</x:v>
      </x:c>
      <x:c r="H7" s="9" t="str"/>
      <x:c r="I7" s="9" t="str"/>
      <x:c r="J7" s="9" t="str"/>
      <x:c r="K7" s="9" t="str"/>
      <x:c r="L7" s="9" t="str">
        <x:v>Livrable proposé : spécification HWB/lore/ref-scope; brancher au registre de contenu de l'œuvre seulement après production.</x:v>
      </x:c>
      <x:c r="M7" s="9" t="str">
        <x:v>Vérifier toute précision non contenue dans cette notice avant de la déclarer canon.</x:v>
      </x:c>
      <x:c r="N7" s="9" t="str">
        <x:v>Le dossier cite la source OMNI2 et distingue cette information de toute règle de gameplay.</x:v>
      </x:c>
      <x:c r="O7" s="9" t="str"/>
      <x:c r="P7" s="9" t="str">
        <x:v>He Who Laughs Best, récit autonome FCBD</x:v>
      </x:c>
      <x:c r="Q7" s="9" t="str">
        <x:v>HWB-S-OMNI2</x:v>
      </x:c>
      <x:c r="R7" s="17" t="str">
        <x:v>https://www.penguinrandomhouse.com/books/556082/mass-effect-omnibus-volume-2-by-jeremy-barlow/</x:v>
      </x:c>
      <x:c r="S7" s="17" t="str">
        <x:v>Fait résumé brièvement; aucun dialogue ni découpage intégral du comic reproduit.</x:v>
      </x:c>
    </x:row>
    <x:row r="8" ht="54" customHeight="1">
      <x:c r="A8" s="31" t="str">
        <x:v>HWB-REF-PILOT</x:v>
      </x:c>
      <x:c r="B8" s="7" t="str">
        <x:v>Origine de l’affectation de Joker</x:v>
      </x:c>
      <x:c r="C8" s="14" t="str">
        <x:v>Défini</x:v>
      </x:c>
      <x:c r="D8" s="30" t="str">
        <x:v>À vérifier</x:v>
      </x:c>
      <x:c r="E8" s="30" t="str">
        <x:v>P0</x:v>
      </x:c>
      <x:c r="F8" s="7" t="str">
        <x:v>Le wiki présente le récit comme l’accès de Joker au poste de pilote du Normandy.</x:v>
      </x:c>
      <x:c r="G8" s="7" t="str">
        <x:v>Conserver cet ancrage dans les données éditoriales; les variantes de jeu restent dans un espace séparé.</x:v>
      </x:c>
      <x:c r="H8" s="7" t="str"/>
      <x:c r="I8" s="7" t="str"/>
      <x:c r="J8" s="7" t="str"/>
      <x:c r="K8" s="7" t="str"/>
      <x:c r="L8" s="7" t="str">
        <x:v>Livrable proposé : spécification HWB/lore/ref-pilot; brancher au registre de contenu de l'œuvre seulement après production.</x:v>
      </x:c>
      <x:c r="M8" s="7" t="str">
        <x:v>Vérifier toute précision non contenue dans cette notice avant de la déclarer canon.</x:v>
      </x:c>
      <x:c r="N8" s="7" t="str">
        <x:v>Le dossier cite la source WIKI et distingue cette information de toute règle de gameplay.</x:v>
      </x:c>
      <x:c r="O8" s="7" t="str"/>
      <x:c r="P8" s="7" t="str">
        <x:v>He Who Laughs Best, récit autonome FCBD</x:v>
      </x:c>
      <x:c r="Q8" s="7" t="str">
        <x:v>HWB-S-WIKI</x:v>
      </x:c>
      <x:c r="R8" s="32" t="str">
        <x:v>https://masseffect.fandom.com/wiki/Mass_Effect%3A_He_Who_Laughs_Best</x:v>
      </x:c>
      <x:c r="S8" s="32" t="str">
        <x:v>Fait résumé brièvement; aucun dialogue ni découpage intégral du comic reproduit.</x:v>
      </x:c>
    </x:row>
    <x:row r="9" ht="54" customHeight="1">
      <x:c r="A9" s="16" t="str">
        <x:v>HWB-REF-SR1</x:v>
      </x:c>
      <x:c r="B9" s="9" t="str">
        <x:v>Normandy de première génération</x:v>
      </x:c>
      <x:c r="C9" s="14" t="str">
        <x:v>Défini</x:v>
      </x:c>
      <x:c r="D9" s="15" t="str">
        <x:v>À vérifier</x:v>
      </x:c>
      <x:c r="E9" s="15" t="str">
        <x:v>P0</x:v>
      </x:c>
      <x:c r="F9" s="9" t="str">
        <x:v>Le récit rapporté concerne le SSV Normandy avant les événements de ME1.</x:v>
      </x:c>
      <x:c r="G9" s="9" t="str">
        <x:v>Verrouiller le modèle SR-1; aucune fonctionnalité SR-2 ajoutée.</x:v>
      </x:c>
      <x:c r="H9" s="9" t="str"/>
      <x:c r="I9" s="9" t="str"/>
      <x:c r="J9" s="9" t="str"/>
      <x:c r="K9" s="9" t="str"/>
      <x:c r="L9" s="9" t="str">
        <x:v>Livrable proposé : spécification HWB/lore/ref-sr1; brancher au registre de contenu de l'œuvre seulement après production.</x:v>
      </x:c>
      <x:c r="M9" s="9" t="str">
        <x:v>Vérifier toute précision non contenue dans cette notice avant de la déclarer canon.</x:v>
      </x:c>
      <x:c r="N9" s="9" t="str">
        <x:v>Le dossier cite la source WIKI et distingue cette information de toute règle de gameplay.</x:v>
      </x:c>
      <x:c r="O9" s="9" t="str"/>
      <x:c r="P9" s="9" t="str">
        <x:v>He Who Laughs Best, récit autonome FCBD</x:v>
      </x:c>
      <x:c r="Q9" s="9" t="str">
        <x:v>HWB-S-WIKI</x:v>
      </x:c>
      <x:c r="R9" s="17" t="str">
        <x:v>https://masseffect.fandom.com/wiki/Mass_Effect%3A_He_Who_Laughs_Best</x:v>
      </x:c>
      <x:c r="S9" s="17" t="str">
        <x:v>Fait résumé brièvement; aucun dialogue ni découpage intégral du comic reproduit.</x:v>
      </x:c>
    </x:row>
    <x:row r="10" ht="68" customHeight="1">
      <x:c r="A10" s="31" t="str">
        <x:v>HWB-SC-ARRIVAL-REF</x:v>
      </x:c>
      <x:c r="B10" s="7" t="str">
        <x:v>Arrivée et jugement préalable</x:v>
      </x:c>
      <x:c r="C10" s="14" t="str">
        <x:v>Défini</x:v>
      </x:c>
      <x:c r="D10" s="30" t="str">
        <x:v>À vérifier</x:v>
      </x:c>
      <x:c r="E10" s="30" t="str">
        <x:v>P1</x:v>
      </x:c>
      <x:c r="F10" s="7" t="str">
        <x:v>Joker transporte Invectus avant l’essai du Normandy. </x:v>
      </x:c>
      <x:c r="G10" s="7" t="str">
        <x:v>Ancrage du module; les intitulés de quêtes et options ci-dessous sont des créations de production.</x:v>
      </x:c>
      <x:c r="H10" s="7" t="str"/>
      <x:c r="I10" s="7" t="str"/>
      <x:c r="J10" s="7" t="str"/>
      <x:c r="K10" s="7" t="str"/>
      <x:c r="L10" s="7" t="str">
        <x:v>Livrable proposé : spécification HWB/lore/sc-arrival-ref; brancher au registre de contenu de l'œuvre seulement après production.</x:v>
      </x:c>
      <x:c r="M10" s="7" t="str">
        <x:v>Conserver le résultat de l’essai et la décision narrative; les performances de mini-jeu n’annulent pas le recrutement publié. Les préjugés des personnages ne deviennent pas les règles du système.</x:v>
      </x:c>
      <x:c r="N10" s="7" t="str">
        <x:v>L’ancrage reste bref et son numéro/segment est identifiable dans les sources; les détails non confirmés portent À vérifier.</x:v>
      </x:c>
      <x:c r="O10" s="7" t="str"/>
      <x:c r="P10" s="7" t="str">
        <x:v>He Who Laughs Best, récit autonome FCBD</x:v>
      </x:c>
      <x:c r="Q10" s="7" t="str">
        <x:v>HWB-S-WIKI</x:v>
      </x:c>
      <x:c r="R10" s="32" t="str">
        <x:v>https://masseffect.fandom.com/wiki/Mass_Effect%3A_He_Who_Laughs_Best</x:v>
      </x:c>
      <x:c r="S10" s="32" t="str">
        <x:v>Ne remplace pas la lecture du numéro.</x:v>
      </x:c>
    </x:row>
    <x:row r="11" ht="68" customHeight="1">
      <x:c r="A11" s="16" t="str">
        <x:v>HWB-SC-FLIGHT-REF</x:v>
      </x:c>
      <x:c r="B11" s="9" t="str">
        <x:v>Essai du Normandy</x:v>
      </x:c>
      <x:c r="C11" s="14" t="str">
        <x:v>Défini</x:v>
      </x:c>
      <x:c r="D11" s="15" t="str">
        <x:v>À vérifier</x:v>
      </x:c>
      <x:c r="E11" s="15" t="str">
        <x:v>P1</x:v>
      </x:c>
      <x:c r="F11" s="9" t="str">
        <x:v>Le récit rapporte que Joker prend les commandes et démontre ses capacités pendant l’essai. </x:v>
      </x:c>
      <x:c r="G11" s="9" t="str">
        <x:v>Ancrage du module; les intitulés de quêtes et options ci-dessous sont des créations de production.</x:v>
      </x:c>
      <x:c r="H11" s="9" t="str"/>
      <x:c r="I11" s="9" t="str"/>
      <x:c r="J11" s="9" t="str"/>
      <x:c r="K11" s="9" t="str"/>
      <x:c r="L11" s="9" t="str">
        <x:v>Livrable proposé : spécification HWB/lore/sc-flight-ref; brancher au registre de contenu de l'œuvre seulement après production.</x:v>
      </x:c>
      <x:c r="M11" s="9" t="str">
        <x:v>Conserver le résultat de l’essai et la décision narrative; les performances de mini-jeu n’annulent pas le recrutement publié. Les préjugés des personnages ne deviennent pas les règles du système.</x:v>
      </x:c>
      <x:c r="N11" s="9" t="str">
        <x:v>L’ancrage reste bref et son numéro/segment est identifiable dans les sources; les détails non confirmés portent À vérifier.</x:v>
      </x:c>
      <x:c r="O11" s="9" t="str"/>
      <x:c r="P11" s="9" t="str">
        <x:v>He Who Laughs Best, récit autonome FCBD</x:v>
      </x:c>
      <x:c r="Q11" s="9" t="str">
        <x:v>HWB-S-WIKI</x:v>
      </x:c>
      <x:c r="R11" s="17" t="str">
        <x:v>https://masseffect.fandom.com/wiki/Mass_Effect%3A_He_Who_Laughs_Best</x:v>
      </x:c>
      <x:c r="S11" s="17" t="str">
        <x:v>Ne remplace pas la lecture du numéro.</x:v>
      </x:c>
    </x:row>
    <x:row r="12" ht="68" customHeight="1">
      <x:c r="A12" s="31" t="str">
        <x:v>HWB-SC-DECISION-REF</x:v>
      </x:c>
      <x:c r="B12" s="7" t="str">
        <x:v>Retour et reconnaissance</x:v>
      </x:c>
      <x:c r="C12" s="14" t="str">
        <x:v>Défini</x:v>
      </x:c>
      <x:c r="D12" s="30" t="str">
        <x:v>À vérifier</x:v>
      </x:c>
      <x:c r="E12" s="30" t="str">
        <x:v>P1</x:v>
      </x:c>
      <x:c r="F12" s="7" t="str">
        <x:v>Le récit rapporté se conclut par une décision favorable à Joker comme pilote. </x:v>
      </x:c>
      <x:c r="G12" s="7" t="str">
        <x:v>Ancrage du module; les intitulés de quêtes et options ci-dessous sont des créations de production.</x:v>
      </x:c>
      <x:c r="H12" s="7" t="str"/>
      <x:c r="I12" s="7" t="str"/>
      <x:c r="J12" s="7" t="str"/>
      <x:c r="K12" s="7" t="str"/>
      <x:c r="L12" s="7" t="str">
        <x:v>Livrable proposé : spécification HWB/lore/sc-decision-ref; brancher au registre de contenu de l'œuvre seulement après production.</x:v>
      </x:c>
      <x:c r="M12" s="7" t="str">
        <x:v>Conserver le résultat de l’essai et la décision narrative; les performances de mini-jeu n’annulent pas le recrutement publié. Les préjugés des personnages ne deviennent pas les règles du système.</x:v>
      </x:c>
      <x:c r="N12" s="7" t="str">
        <x:v>L’ancrage reste bref et son numéro/segment est identifiable dans les sources; les détails non confirmés portent À vérifier.</x:v>
      </x:c>
      <x:c r="O12" s="7" t="str"/>
      <x:c r="P12" s="7" t="str">
        <x:v>He Who Laughs Best, récit autonome FCBD</x:v>
      </x:c>
      <x:c r="Q12" s="7" t="str">
        <x:v>HWB-S-WIKI</x:v>
      </x:c>
      <x:c r="R12" s="32" t="str">
        <x:v>https://masseffect.fandom.com/wiki/Mass_Effect%3A_He_Who_Laughs_Best</x:v>
      </x:c>
      <x:c r="S12" s="32" t="str">
        <x:v>Ne remplace pas la lecture du numéro.</x:v>
      </x:c>
    </x:row>
  </x:sheetData>
  <x:conditionalFormatting sqref="D7:D12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12">
    <x:cfRule type="cellIs" dxfId="10" priority="3" operator="equal">
      <x:formula>"Validé"</x:formula>
    </x:cfRule>
  </x:conditionalFormatting>
  <x:conditionalFormatting sqref="E7:E12">
    <x:cfRule type="cellIs" dxfId="11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88ec0534c041b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HWB-WRL-ARCTURUS</x:v>
      </x:c>
      <x:c r="B7" s="9" t="str">
        <x:v>Arcturus Station</x:v>
      </x:c>
      <x:c r="C7" s="14" t="str">
        <x:v>Défini</x:v>
      </x:c>
      <x:c r="D7" s="15" t="str">
        <x:v>À vérifier</x:v>
      </x:c>
      <x:c r="E7" s="15" t="str">
        <x:v>P1</x:v>
      </x:c>
      <x:c r="F7" s="9" t="str">
        <x:v>Le récit rapporté se déroule autour d’Arcturus Station.</x:v>
      </x:c>
      <x:c r="G7" s="9" t="str">
        <x:v>Hub très court et salle de contrôle.</x:v>
      </x:c>
      <x:c r="H7" s="9" t="str"/>
      <x:c r="I7" s="9" t="str">
        <x:v>Surfaces militaires claires, rails d’appui et accès assez larges pour la mise en scène de Joker.</x:v>
      </x:c>
      <x:c r="J7" s="9" t="str"/>
      <x:c r="K7" s="9" t="str"/>
      <x:c r="L7" s="9" t="str">
        <x:v>Livrable proposé : spécification HWB/worlds/wrl-arcturus; brancher au registre de contenu de l'œuvre seulement après production.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Le nom Arcturus Station et sa fonction sont sourcés; les dimensions, chemins et interactions restent explicitement proposés.</x:v>
      </x:c>
      <x:c r="O7" s="9" t="str"/>
      <x:c r="P7" s="9" t="str">
        <x:v>He Who Laughs Best, récit autonome FCBD</x:v>
      </x:c>
      <x:c r="Q7" s="9" t="str">
        <x:v>HWB-S-WIKI</x:v>
      </x:c>
      <x:c r="R7" s="17" t="str">
        <x:v>https://masseffect.fandom.com/wiki/Mass_Effect%3A_He_Who_Laughs_Best</x:v>
      </x:c>
      <x:c r="S7" s="17" t="str">
        <x:v>La géométrie jouable ci-dessous est originale et ne prétend pas reconstituer une carte officielle.</x:v>
      </x:c>
    </x:row>
    <x:row r="8" ht="68" customHeight="1">
      <x:c r="A8" s="31" t="str">
        <x:v>HWB-WRL-SR1</x:v>
      </x:c>
      <x:c r="B8" s="7" t="str">
        <x:v>Normandy SR-1 — espace d’essai</x:v>
      </x:c>
      <x:c r="C8" s="14" t="str">
        <x:v>Défini</x:v>
      </x:c>
      <x:c r="D8" s="30" t="str">
        <x:v>À vérifier</x:v>
      </x:c>
      <x:c r="E8" s="30" t="str">
        <x:v>P1</x:v>
      </x:c>
      <x:c r="F8" s="7" t="str">
        <x:v>Joker pilote le Normandy dans le récit rapporté.</x:v>
      </x:c>
      <x:c r="G8" s="7" t="str">
        <x:v>Cockpit et représentation extérieure de trajectoires.</x:v>
      </x:c>
      <x:c r="H8" s="7" t="str"/>
      <x:c r="I8" s="7" t="str">
        <x:v>Interfaces sobres, siège et commandes à vérifier sur référence de période.</x:v>
      </x:c>
      <x:c r="J8" s="7" t="str"/>
      <x:c r="K8" s="7" t="str"/>
      <x:c r="L8" s="7" t="str">
        <x:v>Livrable proposé : spécification HWB/worlds/wrl-sr1; brancher au registre de contenu de l'œuvre seulement après production.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Le nom Normandy SR-1 — espace d’essai et sa fonction sont sourcés; les dimensions, chemins et interactions restent explicitement proposés.</x:v>
      </x:c>
      <x:c r="O8" s="7" t="str"/>
      <x:c r="P8" s="7" t="str">
        <x:v>He Who Laughs Best, récit autonome FCBD</x:v>
      </x:c>
      <x:c r="Q8" s="7" t="str">
        <x:v>HWB-S-WIKI</x:v>
      </x:c>
      <x:c r="R8" s="32" t="str">
        <x:v>https://masseffect.fandom.com/wiki/Mass_Effect%3A_He_Who_Laughs_Best</x:v>
      </x:c>
      <x:c r="S8" s="32" t="str">
        <x:v>La géométrie jouable ci-dessous est originale et ne prétend pas reconstituer une carte officielle.</x:v>
      </x:c>
    </x:row>
  </x:sheetData>
  <x:conditionalFormatting sqref="D7:D8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8">
    <x:cfRule type="cellIs" dxfId="14" priority="3" operator="equal">
      <x:formula>"Validé"</x:formula>
    </x:cfRule>
  </x:conditionalFormatting>
  <x:conditionalFormatting sqref="E7:E8">
    <x:cfRule type="cellIs" dxfId="1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848eb9b4c3423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HWB-ZONE-ARCTURUS</x:v>
      </x:c>
      <x:c r="B7" s="9" t="str">
        <x:v>Arcturus Station — espace jouable proposé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Quai de navette, passage de service et poste de contrôle reliés par ellipses.</x:v>
      </x:c>
      <x:c r="G7" s="9" t="str">
        <x:v>Hub très court et salle de contrôle.</x:v>
      </x:c>
      <x:c r="H7" s="9" t="str">
        <x:v>Les appuis de mobilité ne ralentissent pas artificiellement la narration.</x:v>
      </x:c>
      <x:c r="I7" s="9" t="str">
        <x:v>Surfaces militaires claires, rails d’appui et accès assez larges pour la mise en scène de Joker.</x:v>
      </x:c>
      <x:c r="J7" s="9" t="str">
        <x:v>Garder les trajectoires de sprites sur le sol navigable; traversées de premier plan traitées par masques.</x:v>
      </x:c>
      <x:c r="K7" s="9" t="str"/>
      <x:c r="L7" s="9" t="str">
        <x:v>Scène 3D prévue hwb/zones/arcturus; volumes de navigation, ancrages d'actions et caméras fixes séparés.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Le blocage de Arcturus Station permet un parcours aller-retour sans caméra aveugle; chaque danger annoncé possède une sortie lisible.</x:v>
      </x:c>
      <x:c r="O7" s="9" t="str">
        <x:v>HWB-WRL-ARCTURUS</x:v>
      </x:c>
      <x:c r="P7" s="9" t="str">
        <x:v>Plan original, dimensions à prototyper.</x:v>
      </x:c>
      <x:c r="Q7" s="9" t="str"/>
      <x:c r="R7" s="17" t="str"/>
      <x:c r="S7" s="17" t="str"/>
    </x:row>
    <x:row r="8" ht="68" customHeight="1">
      <x:c r="A8" s="31" t="str">
        <x:v>HWB-ZONE-SR1</x:v>
      </x:c>
      <x:c r="B8" s="7" t="str">
        <x:v>Normandy SR-1 — espace d’essai — espace jouable proposé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Cockpit fixe plus carte de navigation à segments courts.</x:v>
      </x:c>
      <x:c r="G8" s="7" t="str">
        <x:v>Cockpit et représentation extérieure de trajectoires.</x:v>
      </x:c>
      <x:c r="H8" s="7" t="str">
        <x:v>Obstacles annoncés et pause complète; aucun besoin de visée temps réel.</x:v>
      </x:c>
      <x:c r="I8" s="7" t="str">
        <x:v>Interfaces sobres, siège et commandes à vérifier sur référence de période.</x:v>
      </x:c>
      <x:c r="J8" s="7" t="str">
        <x:v>Garder les trajectoires de sprites sur le sol navigable; traversées de premier plan traitées par masques.</x:v>
      </x:c>
      <x:c r="K8" s="7" t="str"/>
      <x:c r="L8" s="7" t="str">
        <x:v>Scène 3D prévue hwb/zones/sr1; volumes de navigation, ancrages d'actions et caméras fixes séparés.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Le blocage de Normandy SR-1 — espace d’essai permet un parcours aller-retour sans caméra aveugle; chaque danger annoncé possède une sortie lisible.</x:v>
      </x:c>
      <x:c r="O8" s="7" t="str">
        <x:v>HWB-WRL-SR1</x:v>
      </x:c>
      <x:c r="P8" s="7" t="str">
        <x:v>Plan original, dimensions à prototyper.</x:v>
      </x:c>
      <x:c r="Q8" s="7" t="str"/>
      <x:c r="R8" s="32" t="str"/>
      <x:c r="S8" s="32" t="str"/>
    </x:row>
  </x:sheetData>
  <x:conditionalFormatting sqref="D7:D8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8">
    <x:cfRule type="cellIs" dxfId="18" priority="3" operator="equal">
      <x:formula>"Validé"</x:formula>
    </x:cfRule>
  </x:conditionalFormatting>
  <x:conditionalFormatting sqref="E7:E8">
    <x:cfRule type="cellIs" dxfId="19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f4c20ffe1b4a3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HWB-LINK-ARCTURUS</x:v>
      </x:c>
      <x:c r="B7" s="9" t="str">
        <x:v>Arcturus Station — accès et sortie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Navette → poste de contrôle → retour de l’essai; aucune carte complète de station.</x:v>
      </x:c>
      <x:c r="G7" s="9" t="str">
        <x:v>Conserver les raccords nécessaires au parcours sans inventer une route galactique officielle.</x:v>
      </x:c>
      <x:c r="H7" s="9" t="str">
        <x:v>Prévisualiser la destination; déclenchement sur confirmation hors combat; conserver objectifs et objets de mission au retour.</x:v>
      </x:c>
      <x:c r="I7" s="9" t="str">
        <x:v>Marquage de direction doublé d’un nom de destination; pas de code fondé sur une seule couleur.</x:v>
      </x:c>
      <x:c r="J7" s="9" t="str"/>
      <x:c r="K7" s="9" t="str"/>
      <x:c r="L7" s="9" t="str">
        <x:v>Liaison proposée HWB/ARCTURUS; sauvegarder zone, point d'entrée et version de chapitre.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Entrer, ressortir et recharger au seuil restitue le même état du chapitre; aucun accès ne court-circuite sa conclusion fixée.</x:v>
      </x:c>
      <x:c r="O7" s="9" t="str">
        <x:v>HWB-ZONE-ARCTURUS</x:v>
      </x:c>
      <x:c r="P7" s="9" t="str">
        <x:v>Raccord de gameplay original; ordre narratif selon les ancrages sourcés.</x:v>
      </x:c>
      <x:c r="Q7" s="9" t="str"/>
      <x:c r="R7" s="17" t="str"/>
      <x:c r="S7" s="17" t="str"/>
    </x:row>
    <x:row r="8" ht="68" customHeight="1">
      <x:c r="A8" s="31" t="str">
        <x:v>HWB-LINK-SR1</x:v>
      </x:c>
      <x:c r="B8" s="7" t="str">
        <x:v>Normandy SR-1 — espace d’essai — accès et sortie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Essai → retour au quai; pas de voyage galactique libre.</x:v>
      </x:c>
      <x:c r="G8" s="7" t="str">
        <x:v>Conserver les raccords nécessaires au parcours sans inventer une route galactique officielle.</x:v>
      </x:c>
      <x:c r="H8" s="7" t="str">
        <x:v>Prévisualiser la destination; déclenchement sur confirmation hors combat; conserver objectifs et objets de mission au retour.</x:v>
      </x:c>
      <x:c r="I8" s="7" t="str">
        <x:v>Marquage de direction doublé d’un nom de destination; pas de code fondé sur une seule couleur.</x:v>
      </x:c>
      <x:c r="J8" s="7" t="str"/>
      <x:c r="K8" s="7" t="str"/>
      <x:c r="L8" s="7" t="str">
        <x:v>Liaison proposée HWB/SR1; sauvegarder zone, point d'entrée et version de chapitre.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Entrer, ressortir et recharger au seuil restitue le même état du chapitre; aucun accès ne court-circuite sa conclusion fixée.</x:v>
      </x:c>
      <x:c r="O8" s="7" t="str">
        <x:v>HWB-ZONE-SR1</x:v>
      </x:c>
      <x:c r="P8" s="7" t="str">
        <x:v>Raccord de gameplay original; ordre narratif selon les ancrages sourcés.</x:v>
      </x:c>
      <x:c r="Q8" s="7" t="str"/>
      <x:c r="R8" s="32" t="str"/>
      <x:c r="S8" s="32" t="str"/>
    </x:row>
  </x:sheetData>
  <x:conditionalFormatting sqref="D7:D8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8">
    <x:cfRule type="cellIs" dxfId="22" priority="3" operator="equal">
      <x:formula>"Validé"</x:formula>
    </x:cfRule>
  </x:conditionalFormatting>
  <x:conditionalFormatting sqref="E7:E8">
    <x:cfRule type="cellIs" dxfId="2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ef35b188e040b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82" customHeight="1">
      <x:c r="A7" s="16" t="str">
        <x:v>HWB-SET-ARCTURUS</x:v>
      </x:c>
      <x:c r="B7" s="9" t="str">
        <x:v>Arcturus Station — décor et repère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Baie donnant sur l’espace d’essai.</x:v>
      </x:c>
      <x:c r="G7" s="9" t="str">
        <x:v>Hub très court et salle de contrôle.</x:v>
      </x:c>
      <x:c r="H7" s="9" t="str"/>
      <x:c r="I7" s="9" t="str">
        <x:v>Surfaces militaires claires, rails d’appui et accès assez larges pour la mise en scène de Joker. Séparer gros volumes, surfaces de parcours et petits accessoires; réserver le contraste maximal aux éléments utilisables.</x:v>
      </x:c>
      <x:c r="J7" s="9" t="str">
        <x:v>Seuls les éléments mobiles nécessaires à la lecture du lieu ont une boucle; les lumières restent stables en mode confort.</x:v>
      </x:c>
      <x:c r="K7" s="9" t="str"/>
      <x:c r="L7" s="9" t="str">
        <x:v>Kit modulaire prévu hwb/sets/arcturus; collisions simples et matériau de repère distinct.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Le repère décrit reste visible depuis l'entrée et depuis le retour; aucune décoration ne masque un signal d'interaction.</x:v>
      </x:c>
      <x:c r="O7" s="9" t="str">
        <x:v>HWB-ZONE-ARCTURUS</x:v>
      </x:c>
      <x:c r="P7" s="9" t="str">
        <x:v>Direction artistique originale, matériaux à confronter aux planches.</x:v>
      </x:c>
      <x:c r="Q7" s="9" t="str"/>
      <x:c r="R7" s="17" t="str"/>
      <x:c r="S7" s="17" t="str"/>
    </x:row>
    <x:row r="8" ht="68" customHeight="1">
      <x:c r="A8" s="31" t="str">
        <x:v>HWB-SET-SR1</x:v>
      </x:c>
      <x:c r="B8" s="7" t="str">
        <x:v>Normandy SR-1 — espace d’essai — décor et repère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Silhouette SR-1 devant l’axe de vol.</x:v>
      </x:c>
      <x:c r="G8" s="7" t="str">
        <x:v>Cockpit et représentation extérieure de trajectoires.</x:v>
      </x:c>
      <x:c r="H8" s="7" t="str"/>
      <x:c r="I8" s="7" t="str">
        <x:v>Interfaces sobres, siège et commandes à vérifier sur référence de période. Séparer gros volumes, surfaces de parcours et petits accessoires; réserver le contraste maximal aux éléments utilisables.</x:v>
      </x:c>
      <x:c r="J8" s="7" t="str">
        <x:v>Seuls les éléments mobiles nécessaires à la lecture du lieu ont une boucle; les lumières restent stables en mode confort.</x:v>
      </x:c>
      <x:c r="K8" s="7" t="str"/>
      <x:c r="L8" s="7" t="str">
        <x:v>Kit modulaire prévu hwb/sets/sr1; collisions simples et matériau de repère distinct.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Le repère décrit reste visible depuis l'entrée et depuis le retour; aucune décoration ne masque un signal d'interaction.</x:v>
      </x:c>
      <x:c r="O8" s="7" t="str">
        <x:v>HWB-ZONE-SR1</x:v>
      </x:c>
      <x:c r="P8" s="7" t="str">
        <x:v>Direction artistique originale, matériaux à confronter aux planches.</x:v>
      </x:c>
      <x:c r="Q8" s="7" t="str"/>
      <x:c r="R8" s="32" t="str"/>
      <x:c r="S8" s="32" t="str"/>
    </x:row>
  </x:sheetData>
  <x:conditionalFormatting sqref="D7:D8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8">
    <x:cfRule type="cellIs" dxfId="26" priority="3" operator="equal">
      <x:formula>"Validé"</x:formula>
    </x:cfRule>
  </x:conditionalFormatting>
  <x:conditionalFormatting sqref="E7:E8">
    <x:cfRule type="cellIs" dxfId="2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a084bd54434fa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HWB-SC-ARRIVAL-PROP</x:v>
      </x:c>
      <x:c r="B7" s="9" t="str">
        <x:v>Manifeste d’essai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Support d’information proposé.</x:v>
      </x:c>
      <x:c r="G7" s="9" t="str">
        <x:v>Décrire les contraintes de vol de façon lisible.</x:v>
      </x:c>
      <x:c r="H7" s="9" t="str">
        <x:v>Trois objectifs qualitatifs, sans chiffres prétendus officiels.</x:v>
      </x:c>
      <x:c r="I7" s="9" t="str">
        <x:v>Schéma de trajet et ordre d’essai.</x:v>
      </x:c>
      <x:c r="J7" s="9" t="str">
        <x:v>État repos, sélection, utilisation et remise en place; l’objet conserve son pivot entre ces états.</x:v>
      </x:c>
      <x:c r="K7" s="9" t="str">
        <x:v>Bruit de manipulation original et confirmation visible.</x:v>
      </x:c>
      <x:c r="L7" s="9" t="str">
        <x:v>Objet proposé HWB/ARRIVAL/prop; composant inspectable distinct du déclencheur narratif.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L’objet possède un état visible avant et après interaction; il ne peut pas être perdu ni dupliqué par rechargement.</x:v>
      </x:c>
      <x:c r="O7" s="9" t="str">
        <x:v>HWB-SC-ARRIVAL-MAIN</x:v>
      </x:c>
      <x:c r="P7" s="9" t="str">
        <x:v>Accessoire ou interaction de production proposé; ne vaut pas relevé exhaustif de la planche.</x:v>
      </x:c>
      <x:c r="Q7" s="9" t="str"/>
      <x:c r="R7" s="17" t="str"/>
      <x:c r="S7" s="17" t="str"/>
    </x:row>
    <x:row r="8" ht="68" customHeight="1">
      <x:c r="A8" s="31" t="str">
        <x:v>HWB-SC-FLIGHT-PROP</x:v>
      </x:c>
      <x:c r="B8" s="7" t="str">
        <x:v>Interface de trajectoire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Outil de navigation original.</x:v>
      </x:c>
      <x:c r="G8" s="7" t="str">
        <x:v>Prévisualiser la conséquence avant engagement.</x:v>
      </x:c>
      <x:c r="H8" s="7" t="str">
        <x:v>Sélection sans coût; validation consomme la fenêtre de manœuvre proposée.</x:v>
      </x:c>
      <x:c r="I8" s="7" t="str">
        <x:v>Courbe pleine, prévision pointillée, risque hachuré.</x:v>
      </x:c>
      <x:c r="J8" s="7" t="str">
        <x:v>État repos, sélection, utilisation et remise en place; l’objet conserve son pivot entre ces états.</x:v>
      </x:c>
      <x:c r="K8" s="7" t="str">
        <x:v>Bruit de manipulation original et confirmation visible.</x:v>
      </x:c>
      <x:c r="L8" s="7" t="str">
        <x:v>Objet proposé HWB/FLIGHT/prop; composant inspectable distinct du déclencheur narratif.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L’objet possède un état visible avant et après interaction; il ne peut pas être perdu ni dupliqué par rechargement.</x:v>
      </x:c>
      <x:c r="O8" s="7" t="str">
        <x:v>HWB-SC-FLIGHT-MAIN</x:v>
      </x:c>
      <x:c r="P8" s="7" t="str">
        <x:v>Accessoire ou interaction de production proposé; ne vaut pas relevé exhaustif de la planche.</x:v>
      </x:c>
      <x:c r="Q8" s="7" t="str"/>
      <x:c r="R8" s="32" t="str"/>
      <x:c r="S8" s="32" t="str"/>
    </x:row>
    <x:row r="9" ht="68" customHeight="1">
      <x:c r="A9" s="16" t="str">
        <x:v>HWB-SC-DECISION-PROP</x:v>
      </x:c>
      <x:c r="B9" s="9" t="str">
        <x:v>Bilan d’essai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Rapport de simulation proposé.</x:v>
      </x:c>
      <x:c r="G9" s="9" t="str">
        <x:v>Séparer performance observée, décision et discipline.</x:v>
      </x:c>
      <x:c r="H9" s="9" t="str">
        <x:v>Trois rubriques distinctes; aucune note biomédicale ni score de handicap.</x:v>
      </x:c>
      <x:c r="I9" s="9" t="str">
        <x:v>Tableau sobre à libellés textuels.</x:v>
      </x:c>
      <x:c r="J9" s="9" t="str">
        <x:v>État repos, sélection, utilisation et remise en place; l’objet conserve son pivot entre ces états.</x:v>
      </x:c>
      <x:c r="K9" s="9" t="str">
        <x:v>Bruit de manipulation original et confirmation visible.</x:v>
      </x:c>
      <x:c r="L9" s="9" t="str">
        <x:v>Objet proposé HWB/DECISION/prop; composant inspectable distinct du déclencheur narratif.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L’objet possède un état visible avant et après interaction; il ne peut pas être perdu ni dupliqué par rechargement.</x:v>
      </x:c>
      <x:c r="O9" s="9" t="str">
        <x:v>HWB-SC-DECISION-MAIN</x:v>
      </x:c>
      <x:c r="P9" s="9" t="str">
        <x:v>Accessoire ou interaction de production proposé; ne vaut pas relevé exhaustif de la planche.</x:v>
      </x:c>
      <x:c r="Q9" s="9" t="str"/>
      <x:c r="R9" s="17" t="str"/>
      <x:c r="S9" s="17" t="str"/>
    </x:row>
  </x:sheetData>
  <x:conditionalFormatting sqref="D7:D9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9">
    <x:cfRule type="cellIs" dxfId="30" priority="3" operator="equal">
      <x:formula>"Validé"</x:formula>
    </x:cfRule>
  </x:conditionalFormatting>
  <x:conditionalFormatting sqref="E7:E9">
    <x:cfRule type="cellIs" dxfId="3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7d7ab1cc1d41c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HWB-EN-PATROL</x:v>
      </x:c>
      <x:c r="B7" s="9" t="str">
        <x:v>Patrouille d’interception — simulation</x:v>
      </x:c>
      <x:c r="C7" s="14" t="str">
        <x:v>Défini</x:v>
      </x:c>
      <x:c r="D7" s="15" t="str">
        <x:v>À vérifier</x:v>
      </x:c>
      <x:c r="E7" s="15" t="str">
        <x:v>P1</x:v>
      </x:c>
      <x:c r="F7" s="9" t="str">
        <x:v>Le wiki décrit une intervention de patrouille pendant le vol.</x:v>
      </x:c>
      <x:c r="G7" s="9" t="str">
        <x:v>Opposition de trajectoire, pas ennemi à détruire.</x:v>
      </x:c>
      <x:c r="H7" s="9" t="str">
        <x:v>Profil proposé : Le joueur esquive et conserve le cap; aucun tir létal obligatoire de Joker.</x:v>
      </x:c>
      <x:c r="I7" s="9" t="str">
        <x:v>Silhouette proposée : Petits vaisseaux clairement distincts du Normandy et marqués interception.</x:v>
      </x:c>
      <x:c r="J7" s="9" t="str">
        <x:v>Virages annoncés et maintien de distance.</x:v>
      </x:c>
      <x:c r="K7" s="9" t="str">
        <x:v>Alerte et radio originale.</x:v>
      </x:c>
      <x:c r="L7" s="9" t="str">
        <x:v>Livrable proposé : spécification HWB/enemies/en-patrol; brancher au registre de contenu de l'œuvre seulement après production.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Patrouille d’interception — simulation a une silhouette distincte, un comportement télégraphié et une contre-mesure documentée; aucune valeur n'est annoncée comme statistique officielle.</x:v>
      </x:c>
      <x:c r="O7" s="9" t="str"/>
      <x:c r="P7" s="9" t="str">
        <x:v>He Who Laughs Best, récit autonome FCBD</x:v>
      </x:c>
      <x:c r="Q7" s="9" t="str">
        <x:v>HWB-S-WIKI</x:v>
      </x:c>
      <x:c r="R7" s="17" t="str">
        <x:v>https://masseffect.fandom.com/wiki/Mass_Effect%3A_He_Who_Laughs_Best</x:v>
      </x:c>
      <x:c r="S7" s="17" t="str">
        <x:v>L’adversaire ou groupe est attesté selon la source; le combat ATB et ses réglages sont entièrement proposés.</x:v>
      </x:c>
    </x:row>
  </x:sheetData>
  <x:conditionalFormatting sqref="D7:D7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7">
    <x:cfRule type="cellIs" dxfId="34" priority="3" operator="equal">
      <x:formula>"Validé"</x:formula>
    </x:cfRule>
  </x:conditionalFormatting>
  <x:conditionalFormatting sqref="E7:E7">
    <x:cfRule type="cellIs" dxfId="35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a035848efd481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HWB-SC-ARRIVAL-MAIN</x:v>
      </x:c>
      <x:c r="B7" s="9" t="str">
        <x:v>Arrivée et jugement préalable — objectif jouable</x:v>
      </x:c>
      <x:c r="C7" s="14" t="str">
        <x:v>Défini</x:v>
      </x:c>
      <x:c r="D7" s="15" t="str">
        <x:v>Extrapolation</x:v>
      </x:c>
      <x:c r="E7" s="15" t="str">
        <x:v>P0</x:v>
      </x:c>
      <x:c r="F7" s="9" t="str">
        <x:v>Présenter le pilote, son objectif et les contraintes sociales de la scène.</x:v>
      </x:c>
      <x:c r="G7" s="9" t="str">
        <x:v>Transport → conversation → arrivée → transition vers l’essai.</x:v>
      </x:c>
      <x:c r="H7" s="9" t="str">
        <x:v>Les réponses changent le ton de Joker; elles ne créent pas un score de valeur personnelle lié à son handicap.</x:v>
      </x:c>
      <x:c r="I7" s="9" t="str">
        <x:v>Cockpit de navette simple et quai éclairé.</x:v>
      </x:c>
      <x:c r="J7" s="9" t="str">
        <x:v>Entrée prudente, geste d'inspection et retour au contrôle pour « Arrivée et jugement préalable »; poser les sprites avant tout changement de caméra.</x:v>
      </x:c>
      <x:c r="K7" s="9" t="str">
        <x:v>Moteur de navette original et échange calme.</x:v>
      </x:c>
      <x:c r="L7" s="9" t="str">
        <x:v>Graphe proposé HWB/quests/ARRIVAL: entrée → objectif actif → résolution → raccord; conditions terminales séparées des points facultatifs.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L'objectif « Arrivée et jugement préalable » atteint son raccord annoncé après chaque méthode; sauvegarde, rechargement et saut de scène n'en changent ni le groupe ni les informations acquises.</x:v>
      </x:c>
      <x:c r="O7" s="9" t="str">
        <x:v>HWB-SC-ARRIVAL-REF</x:v>
      </x:c>
      <x:c r="P7" s="9" t="str">
        <x:v>Conception originale rattachée à He Who Laughs Best, récit autonome FCBD</x:v>
      </x:c>
      <x:c r="Q7" s="9" t="str"/>
      <x:c r="R7" s="17" t="str"/>
      <x:c r="S7" s="17" t="str"/>
    </x:row>
    <x:row r="8" ht="68" customHeight="1">
      <x:c r="A8" s="31" t="str">
        <x:v>HWB-SC-FLIGHT-MAIN</x:v>
      </x:c>
      <x:c r="B8" s="7" t="str">
        <x:v>Essai du Normandy — objectif jouable</x:v>
      </x:c>
      <x:c r="C8" s="14" t="str">
        <x:v>Défini</x:v>
      </x:c>
      <x:c r="D8" s="30" t="str">
        <x:v>Extrapolation</x:v>
      </x:c>
      <x:c r="E8" s="30" t="str">
        <x:v>P0</x:v>
      </x:c>
      <x:c r="F8" s="7" t="str">
        <x:v>Suivre une route de test et répondre à des interceptions visibles.</x:v>
      </x:c>
      <x:c r="G8" s="7" t="str">
        <x:v>Prise de contrôle → trajectoire → interception → retour.</x:v>
      </x:c>
      <x:c r="H8" s="7" t="str">
        <x:v>Choisir les manœuvres en pause puis résoudre; une erreur relance le segment, sans annuler l’issue narrative publiée.</x:v>
      </x:c>
      <x:c r="I8" s="7" t="str">
        <x:v>Axes de trajectoire et repères de station, fond étoilé peu chargé.</x:v>
      </x:c>
      <x:c r="J8" s="7" t="str">
        <x:v>Entrée prudente, geste d'inspection et retour au contrôle pour « Essai du Normandy »; poser les sprites avant tout changement de caméra.</x:v>
      </x:c>
      <x:c r="K8" s="7" t="str">
        <x:v>Variation de moteur proportionnée au geste et alerte d’interception douce.</x:v>
      </x:c>
      <x:c r="L8" s="7" t="str">
        <x:v>Graphe proposé HWB/quests/FLIGHT: entrée → objectif actif → résolution → raccord; conditions terminales séparées des points facultatifs.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L'objectif « Essai du Normandy » atteint son raccord annoncé après chaque méthode; sauvegarde, rechargement et saut de scène n'en changent ni le groupe ni les informations acquises.</x:v>
      </x:c>
      <x:c r="O8" s="7" t="str">
        <x:v>HWB-SC-FLIGHT-REF</x:v>
      </x:c>
      <x:c r="P8" s="7" t="str">
        <x:v>Conception originale rattachée à He Who Laughs Best, récit autonome FCBD</x:v>
      </x:c>
      <x:c r="Q8" s="7" t="str"/>
      <x:c r="R8" s="32" t="str"/>
      <x:c r="S8" s="32" t="str"/>
    </x:row>
    <x:row r="9" ht="68" customHeight="1">
      <x:c r="A9" s="16" t="str">
        <x:v>HWB-SC-DECISION-MAIN</x:v>
      </x:c>
      <x:c r="B9" s="9" t="str">
        <x:v>Retour et reconnaissance — objectif jouable</x:v>
      </x:c>
      <x:c r="C9" s="14" t="str">
        <x:v>Défini</x:v>
      </x:c>
      <x:c r="D9" s="15" t="str">
        <x:v>Extrapolation</x:v>
      </x:c>
      <x:c r="E9" s="15" t="str">
        <x:v>P0</x:v>
      </x:c>
      <x:c r="F9" s="9" t="str">
        <x:v>Présenter l’évaluation et clore l’affectation avant ME1.</x:v>
      </x:c>
      <x:c r="G9" s="9" t="str">
        <x:v>Retour → confrontation verbale → évaluation → affectation.</x:v>
      </x:c>
      <x:c r="H9" s="9" t="str">
        <x:v>La qualité de mini-jeu module un commentaire de prototype, pas la décision canon ni le handicap du personnage.</x:v>
      </x:c>
      <x:c r="I9" s="9" t="str">
        <x:v>Écran de retour au quai et silhouettes à hauteur égale dans la discussion finale.</x:v>
      </x:c>
      <x:c r="J9" s="9" t="str">
        <x:v>Entrée prudente, geste d'inspection et retour au contrôle pour « Retour et reconnaissance »; poser les sprites avant tout changement de caméra.</x:v>
      </x:c>
      <x:c r="K9" s="9" t="str">
        <x:v>Moteur qui s’éteint et résolution musicale originale discrète.</x:v>
      </x:c>
      <x:c r="L9" s="9" t="str">
        <x:v>Graphe proposé HWB/quests/DECISION: entrée → objectif actif → résolution → raccord; conditions terminales séparées des points facultatifs.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L'objectif « Retour et reconnaissance » atteint son raccord annoncé après chaque méthode; sauvegarde, rechargement et saut de scène n'en changent ni le groupe ni les informations acquises.</x:v>
      </x:c>
      <x:c r="O9" s="9" t="str">
        <x:v>HWB-SC-DECISION-REF</x:v>
      </x:c>
      <x:c r="P9" s="9" t="str">
        <x:v>Conception originale rattachée à He Who Laughs Best, récit autonome FCBD</x:v>
      </x:c>
      <x:c r="Q9" s="9" t="str"/>
      <x:c r="R9" s="17" t="str"/>
      <x:c r="S9" s="17" t="str"/>
    </x:row>
  </x:sheetData>
  <x:conditionalFormatting sqref="D7:D9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9">
    <x:cfRule type="cellIs" dxfId="38" priority="3" operator="equal">
      <x:formula>"Validé"</x:formula>
    </x:cfRule>
  </x:conditionalFormatting>
  <x:conditionalFormatting sqref="E7:E9">
    <x:cfRule type="cellIs" dxfId="39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0f058463064a9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HWB-SC-ARRIVAL-SIDE</x:v>
      </x:c>
      <x:c r="B7" s="9" t="str">
        <x:v>Consulter le plan de vol</x:v>
      </x:c>
      <x:c r="C7" s="14" t="str">
        <x:v>Défini</x:v>
      </x:c>
      <x:c r="D7" s="15" t="str">
        <x:v>Extrapolation</x:v>
      </x:c>
      <x:c r="E7" s="15" t="str">
        <x:v>P2</x:v>
      </x:c>
      <x:c r="F7" s="9" t="str">
        <x:v>Lecture facultative originale.</x:v>
      </x:c>
      <x:c r="G7" s="9" t="str">
        <x:v>Préparer le mini-module accessible.</x:v>
      </x:c>
      <x:c r="H7" s="9" t="str">
        <x:v>Aucune commande n’exige de mémoriser un long code.</x:v>
      </x:c>
      <x:c r="I7" s="9" t="str">
        <x:v>Cockpit de navette simple et quai éclairé.</x:v>
      </x:c>
      <x:c r="J7" s="9" t="str">
        <x:v>Inspection, interaction courte, confirmation; permettre de renoncer sans bloquer le chemin principal.</x:v>
      </x:c>
      <x:c r="K7" s="9" t="str">
        <x:v>Confirmation discrète; aucune réplique source réemployée.</x:v>
      </x:c>
      <x:c r="L7" s="9" t="str">
        <x:v>Objectif facultatif HWB/ARRIVAL/optional; récompense locale de contexte, pas de modification de la fin.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Terminer, ignorer ou abandonner cette tâche laisse le récit principal accessible et conserve correctement l’état en sauvegarde.</x:v>
      </x:c>
      <x:c r="O7" s="9" t="str">
        <x:v>HWB-SC-ARRIVAL-MAIN</x:v>
      </x:c>
      <x:c r="P7" s="9" t="str">
        <x:v>Ajout original; cette tâche n’est pas attestée dans le comic.</x:v>
      </x:c>
      <x:c r="Q7" s="9" t="str"/>
      <x:c r="R7" s="17" t="str"/>
      <x:c r="S7" s="17" t="str"/>
    </x:row>
    <x:row r="8" ht="68" customHeight="1">
      <x:c r="A8" s="31" t="str">
        <x:v>HWB-SC-FLIGHT-SIDE</x:v>
      </x:c>
      <x:c r="B8" s="7" t="str">
        <x:v>Maintenir une trajectoire douce</x:v>
      </x:c>
      <x:c r="C8" s="14" t="str">
        <x:v>Défini</x:v>
      </x:c>
      <x:c r="D8" s="30" t="str">
        <x:v>Extrapolation</x:v>
      </x:c>
      <x:c r="E8" s="30" t="str">
        <x:v>P2</x:v>
      </x:c>
      <x:c r="F8" s="7" t="str">
        <x:v>Objectif facultatif original.</x:v>
      </x:c>
      <x:c r="G8" s="7" t="str">
        <x:v>Permettre un style sûr sans compétition de réflexe.</x:v>
      </x:c>
      <x:c r="H8" s="7" t="str">
        <x:v>Bonus de commentaire local uniquement, pas niveau canon de compétence.</x:v>
      </x:c>
      <x:c r="I8" s="7" t="str">
        <x:v>Axes de trajectoire et repères de station, fond étoilé peu chargé.</x:v>
      </x:c>
      <x:c r="J8" s="7" t="str">
        <x:v>Inspection, interaction courte, confirmation; permettre de renoncer sans bloquer le chemin principal.</x:v>
      </x:c>
      <x:c r="K8" s="7" t="str">
        <x:v>Confirmation discrète; aucune réplique source réemployée.</x:v>
      </x:c>
      <x:c r="L8" s="7" t="str">
        <x:v>Objectif facultatif HWB/FLIGHT/optional; récompense locale de contexte, pas de modification de la fin.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Terminer, ignorer ou abandonner cette tâche laisse le récit principal accessible et conserve correctement l’état en sauvegarde.</x:v>
      </x:c>
      <x:c r="O8" s="7" t="str">
        <x:v>HWB-SC-FLIGHT-MAIN</x:v>
      </x:c>
      <x:c r="P8" s="7" t="str">
        <x:v>Ajout original; cette tâche n’est pas attestée dans le comic.</x:v>
      </x:c>
      <x:c r="Q8" s="7" t="str"/>
      <x:c r="R8" s="32" t="str"/>
      <x:c r="S8" s="32" t="str"/>
    </x:row>
    <x:row r="9" ht="68" customHeight="1">
      <x:c r="A9" s="16" t="str">
        <x:v>HWB-SC-DECISION-SIDE</x:v>
      </x:c>
      <x:c r="B9" s="9" t="str">
        <x:v>Relire les manœuvres réussies</x:v>
      </x:c>
      <x:c r="C9" s="14" t="str">
        <x:v>Défini</x:v>
      </x:c>
      <x:c r="D9" s="15" t="str">
        <x:v>Extrapolation</x:v>
      </x:c>
      <x:c r="E9" s="15" t="str">
        <x:v>P2</x:v>
      </x:c>
      <x:c r="F9" s="9" t="str">
        <x:v>Relecture facultative du parcours.</x:v>
      </x:c>
      <x:c r="G9" s="9" t="str">
        <x:v>Donner un retour pédagogique.</x:v>
      </x:c>
      <x:c r="H9" s="9" t="str">
        <x:v>Une erreur rejouée ne change pas la décision historique.</x:v>
      </x:c>
      <x:c r="I9" s="9" t="str">
        <x:v>Écran de retour au quai et silhouettes à hauteur égale dans la discussion finale.</x:v>
      </x:c>
      <x:c r="J9" s="9" t="str">
        <x:v>Inspection, interaction courte, confirmation; permettre de renoncer sans bloquer le chemin principal.</x:v>
      </x:c>
      <x:c r="K9" s="9" t="str">
        <x:v>Confirmation discrète; aucune réplique source réemployée.</x:v>
      </x:c>
      <x:c r="L9" s="9" t="str">
        <x:v>Objectif facultatif HWB/DECISION/optional; récompense locale de contexte, pas de modification de la fin.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Terminer, ignorer ou abandonner cette tâche laisse le récit principal accessible et conserve correctement l’état en sauvegarde.</x:v>
      </x:c>
      <x:c r="O9" s="9" t="str">
        <x:v>HWB-SC-DECISION-MAIN</x:v>
      </x:c>
      <x:c r="P9" s="9" t="str">
        <x:v>Ajout original; cette tâche n’est pas attestée dans le comic.</x:v>
      </x:c>
      <x:c r="Q9" s="9" t="str"/>
      <x:c r="R9" s="17" t="str"/>
      <x:c r="S9" s="17" t="str"/>
    </x:row>
  </x:sheetData>
  <x:conditionalFormatting sqref="D7:D9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9">
    <x:cfRule type="cellIs" dxfId="42" priority="3" operator="equal">
      <x:formula>"Validé"</x:formula>
    </x:cfRule>
  </x:conditionalFormatting>
  <x:conditionalFormatting sqref="E7:E9">
    <x:cfRule type="cellIs" dxfId="4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f6b7def28e44b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HWB-SC-ARRIVAL-CHOICE</x:v>
      </x:c>
      <x:c r="B7" s="9" t="str">
        <x:v>Arrivée et jugement préalable — stratégie locale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Question technique ou remarque ironique originale.</x:v>
      </x:c>
      <x:c r="G7" s="9" t="str">
        <x:v>Choix de méthode dans une adaptation; aucun embranchement alternatif n’est déclaré officiel.</x:v>
      </x:c>
      <x:c r="H7" s="9" t="str">
        <x:v>Même accès au récit; aucune option ne récompense l’acceptation d’une insulte.</x:v>
      </x:c>
      <x:c r="I7" s="9" t="str">
        <x:v>Deux options nommées avec leur conséquence immédiate; coût affiché avant engagement.</x:v>
      </x:c>
      <x:c r="J7" s="9" t="str">
        <x:v>Geler les poses de dialogue pendant le choix; ne pas consommer une action en quittant le menu.</x:v>
      </x:c>
      <x:c r="K7" s="9" t="str">
        <x:v>Retour de sélection sobre; confirmation distincte d’une simple navigation.</x:v>
      </x:c>
      <x:c r="L7" s="9" t="str">
        <x:v>Décision locale HWB/ARRIVAL; stocker la méthode choisie et les conséquences temporaires, puis rejoindre le point de raccord.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Les deux méthodes peuvent être comprises avant sélection; chacune rejoint le même ancrage canon sans supprimer un personnage nécessaire.</x:v>
      </x:c>
      <x:c r="O7" s="9" t="str">
        <x:v>HWB-SC-ARRIVAL-MAIN</x:v>
      </x:c>
      <x:c r="P7" s="9" t="str">
        <x:v>Bifurcation de gameplay originale, pas un choix présent dans l’œuvre.</x:v>
      </x:c>
      <x:c r="Q7" s="9" t="str"/>
      <x:c r="R7" s="17" t="str"/>
      <x:c r="S7" s="17" t="str"/>
    </x:row>
    <x:row r="8" ht="68" customHeight="1">
      <x:c r="A8" s="31" t="str">
        <x:v>HWB-SC-FLIGHT-CHOICE</x:v>
      </x:c>
      <x:c r="B8" s="7" t="str">
        <x:v>Essai du Normandy — stratégie locale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Correction courte précise ou détour large préparé.</x:v>
      </x:c>
      <x:c r="G8" s="7" t="str">
        <x:v>Choix de méthode dans une adaptation; aucun embranchement alternatif n’est déclaré officiel.</x:v>
      </x:c>
      <x:c r="H8" s="7" t="str">
        <x:v>Deux styles de pilotage valides; le premier conserve le trajet, le second réduit la proximité des obstacles.</x:v>
      </x:c>
      <x:c r="I8" s="7" t="str">
        <x:v>Deux options nommées avec leur conséquence immédiate; coût affiché avant engagement.</x:v>
      </x:c>
      <x:c r="J8" s="7" t="str">
        <x:v>Geler les poses de dialogue pendant le choix; ne pas consommer une action en quittant le menu.</x:v>
      </x:c>
      <x:c r="K8" s="7" t="str">
        <x:v>Retour de sélection sobre; confirmation distincte d’une simple navigation.</x:v>
      </x:c>
      <x:c r="L8" s="7" t="str">
        <x:v>Décision locale HWB/FLIGHT; stocker la méthode choisie et les conséquences temporaires, puis rejoindre le point de raccord.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Les deux méthodes peuvent être comprises avant sélection; chacune rejoint le même ancrage canon sans supprimer un personnage nécessaire.</x:v>
      </x:c>
      <x:c r="O8" s="7" t="str">
        <x:v>HWB-SC-FLIGHT-MAIN</x:v>
      </x:c>
      <x:c r="P8" s="7" t="str">
        <x:v>Bifurcation de gameplay originale, pas un choix présent dans l’œuvre.</x:v>
      </x:c>
      <x:c r="Q8" s="7" t="str"/>
      <x:c r="R8" s="32" t="str"/>
      <x:c r="S8" s="32" t="str"/>
    </x:row>
    <x:row r="9" ht="68" customHeight="1">
      <x:c r="A9" s="16" t="str">
        <x:v>HWB-SC-DECISION-CHOICE</x:v>
      </x:c>
      <x:c r="B9" s="9" t="str">
        <x:v>Retour et reconnaissance — stratégie locale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Expliquer la maîtrise technique ou le motif personnel.</x:v>
      </x:c>
      <x:c r="G9" s="9" t="str">
        <x:v>Choix de méthode dans une adaptation; aucun embranchement alternatif n’est déclaré officiel.</x:v>
      </x:c>
      <x:c r="H9" s="9" t="str">
        <x:v>Deux tons convergent vers la même affectation et les conséquences disciplinaires à vérifier.</x:v>
      </x:c>
      <x:c r="I9" s="9" t="str">
        <x:v>Deux options nommées avec leur conséquence immédiate; coût affiché avant engagement.</x:v>
      </x:c>
      <x:c r="J9" s="9" t="str">
        <x:v>Geler les poses de dialogue pendant le choix; ne pas consommer une action en quittant le menu.</x:v>
      </x:c>
      <x:c r="K9" s="9" t="str">
        <x:v>Retour de sélection sobre; confirmation distincte d’une simple navigation.</x:v>
      </x:c>
      <x:c r="L9" s="9" t="str">
        <x:v>Décision locale HWB/DECISION; stocker la méthode choisie et les conséquences temporaires, puis rejoindre le point de raccord.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Les deux méthodes peuvent être comprises avant sélection; chacune rejoint le même ancrage canon sans supprimer un personnage nécessaire.</x:v>
      </x:c>
      <x:c r="O9" s="9" t="str">
        <x:v>HWB-SC-DECISION-MAIN</x:v>
      </x:c>
      <x:c r="P9" s="9" t="str">
        <x:v>Bifurcation de gameplay originale, pas un choix présent dans l’œuvre.</x:v>
      </x:c>
      <x:c r="Q9" s="9" t="str"/>
      <x:c r="R9" s="17" t="str"/>
      <x:c r="S9" s="17" t="str"/>
    </x:row>
  </x:sheetData>
  <x:conditionalFormatting sqref="D7:D9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9">
    <x:cfRule type="cellIs" dxfId="46" priority="3" operator="equal">
      <x:formula>"Validé"</x:formula>
    </x:cfRule>
  </x:conditionalFormatting>
  <x:conditionalFormatting sqref="E7:E9">
    <x:cfRule type="cellIs" dxfId="4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e378a57c71497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HWB-SC-ARRIVAL-DIA</x:v>
      </x:c>
      <x:c r="B7" s="9" t="str">
        <x:v>Arrivée et jugement préalable — intentions de conversation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Montrer un préjugé de personnage avec attribution claire et laisser Joker exprimer sa compétence.</x:v>
      </x:c>
      <x:c r="G7" s="9" t="str">
        <x:v>Préserver le thème « compétence sous-estimée »; échanges nouveaux, sans recopier les bulles.</x:v>
      </x:c>
      <x:c r="H7" s="9" t="str">
        <x:v>Proposer questions de contexte, reformulation et fin de conversation; les informations nécessaires restent accessibles après une réponse sceptique.</x:v>
      </x:c>
      <x:c r="I7" s="9" t="str">
        <x:v>Portraits sobres avec locuteur et destinataire; encart distinct si l’information est un soupçon.</x:v>
      </x:c>
      <x:c r="J7" s="9" t="str">
        <x:v>Entrée prudente, geste d'inspection et retour au contrôle pour « Arrivée et jugement préalable »; poser les sprites avant tout changement de caméra.</x:v>
      </x:c>
      <x:c r="K7" s="9" t="str">
        <x:v>Dialogue original à écrire; texte intégral accessible, avance manuelle et rappel des locuteurs.</x:v>
      </x:c>
      <x:c r="L7" s="9" t="str">
        <x:v>Arbre proposé HWB/ARRIVAL/dialogue; séparer ce qui est su, ce qui est affirmé et ce qui reste caché au joueur.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Le lecteur peut identifier le locuteur, son but et le niveau de certitude; aucune phrase du comic n’est reproduite comme dialogue final.</x:v>
      </x:c>
      <x:c r="O7" s="9" t="str">
        <x:v>HWB-SC-ARRIVAL-MAIN</x:v>
      </x:c>
      <x:c r="P7" s="9" t="str">
        <x:v>Écriture originale à partir des thèmes, sans transcrire les bulles.</x:v>
      </x:c>
      <x:c r="Q7" s="9" t="str"/>
      <x:c r="R7" s="17" t="str"/>
      <x:c r="S7" s="17" t="str"/>
    </x:row>
    <x:row r="8" ht="68" customHeight="1">
      <x:c r="A8" s="31" t="str">
        <x:v>HWB-SC-FLIGHT-DIA</x:v>
      </x:c>
      <x:c r="B8" s="7" t="str">
        <x:v>Essai du Normandy — intentions de conversation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Communications originales entre contrôle et pilote; intentions d’autorité et de maîtrise sans transcription des bulles.</x:v>
      </x:c>
      <x:c r="G8" s="7" t="str">
        <x:v>Préserver le thème « démonstration de compétence »; échanges nouveaux, sans recopier les bulles.</x:v>
      </x:c>
      <x:c r="H8" s="7" t="str">
        <x:v>Proposer questions de contexte, reformulation et fin de conversation; les informations nécessaires restent accessibles après une réponse sceptique.</x:v>
      </x:c>
      <x:c r="I8" s="7" t="str">
        <x:v>Portraits sobres avec locuteur et destinataire; encart distinct si l’information est un soupçon.</x:v>
      </x:c>
      <x:c r="J8" s="7" t="str">
        <x:v>Entrée prudente, geste d'inspection et retour au contrôle pour « Essai du Normandy »; poser les sprites avant tout changement de caméra.</x:v>
      </x:c>
      <x:c r="K8" s="7" t="str">
        <x:v>Dialogue original à écrire; texte intégral accessible, avance manuelle et rappel des locuteurs.</x:v>
      </x:c>
      <x:c r="L8" s="7" t="str">
        <x:v>Arbre proposé HWB/FLIGHT/dialogue; séparer ce qui est su, ce qui est affirmé et ce qui reste caché au joueur.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Le lecteur peut identifier le locuteur, son but et le niveau de certitude; aucune phrase du comic n’est reproduite comme dialogue final.</x:v>
      </x:c>
      <x:c r="O8" s="7" t="str">
        <x:v>HWB-SC-FLIGHT-MAIN</x:v>
      </x:c>
      <x:c r="P8" s="7" t="str">
        <x:v>Écriture originale à partir des thèmes, sans transcrire les bulles.</x:v>
      </x:c>
      <x:c r="Q8" s="7" t="str"/>
      <x:c r="R8" s="32" t="str"/>
      <x:c r="S8" s="32" t="str"/>
    </x:row>
    <x:row r="9" ht="68" customHeight="1">
      <x:c r="A9" s="16" t="str">
        <x:v>HWB-SC-DECISION-DIA</x:v>
      </x:c>
      <x:c r="B9" s="9" t="str">
        <x:v>Retour et reconnaissance — intentions de conversation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Anderson et Invectus reconnaissent la compétence; le récit n’affirme pas que la désobéissance est sans conséquence générale.</x:v>
      </x:c>
      <x:c r="G9" s="9" t="str">
        <x:v>Préserver le thème « reconnaissance et conséquence »; échanges nouveaux, sans recopier les bulles.</x:v>
      </x:c>
      <x:c r="H9" s="9" t="str">
        <x:v>Proposer questions de contexte, reformulation et fin de conversation; les informations nécessaires restent accessibles après une réponse sceptique.</x:v>
      </x:c>
      <x:c r="I9" s="9" t="str">
        <x:v>Portraits sobres avec locuteur et destinataire; encart distinct si l’information est un soupçon.</x:v>
      </x:c>
      <x:c r="J9" s="9" t="str">
        <x:v>Entrée prudente, geste d'inspection et retour au contrôle pour « Retour et reconnaissance »; poser les sprites avant tout changement de caméra.</x:v>
      </x:c>
      <x:c r="K9" s="9" t="str">
        <x:v>Dialogue original à écrire; texte intégral accessible, avance manuelle et rappel des locuteurs.</x:v>
      </x:c>
      <x:c r="L9" s="9" t="str">
        <x:v>Arbre proposé HWB/DECISION/dialogue; séparer ce qui est su, ce qui est affirmé et ce qui reste caché au joueur.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Le lecteur peut identifier le locuteur, son but et le niveau de certitude; aucune phrase du comic n’est reproduite comme dialogue final.</x:v>
      </x:c>
      <x:c r="O9" s="9" t="str">
        <x:v>HWB-SC-DECISION-MAIN</x:v>
      </x:c>
      <x:c r="P9" s="9" t="str">
        <x:v>Écriture originale à partir des thèmes, sans transcrire les bulles.</x:v>
      </x:c>
      <x:c r="Q9" s="9" t="str"/>
      <x:c r="R9" s="17" t="str"/>
      <x:c r="S9" s="17" t="str"/>
    </x:row>
  </x:sheetData>
  <x:conditionalFormatting sqref="D7:D9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9">
    <x:cfRule type="cellIs" dxfId="50" priority="3" operator="equal">
      <x:formula>"Validé"</x:formula>
    </x:cfRule>
  </x:conditionalFormatting>
  <x:conditionalFormatting sqref="E7:E9">
    <x:cfRule type="cellIs" dxfId="5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633c4616d44f0c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HWB-SC-ARRIVAL-CINE</x:v>
      </x:c>
      <x:c r="B7" s="9" t="str">
        <x:v>Arrivée et jugement préalable — raccord mis en scène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Joker aux commandes puis duo à l’arrivée, plans respectant ses appuis de mobilité.</x:v>
      </x:c>
      <x:c r="G7" s="9" t="str">
        <x:v>Transport → conversation → arrivée → transition vers l’essai.</x:v>
      </x:c>
      <x:c r="H7" s="9" t="str"/>
      <x:c r="I7" s="9" t="str">
        <x:v>Cockpit de navette simple et quai éclairé.</x:v>
      </x:c>
      <x:c r="J7" s="9" t="str">
        <x:v>Entrée prudente, geste d'inspection et retour au contrôle pour « Arrivée et jugement préalable »; poser les sprites avant tout changement de caméra.</x:v>
      </x:c>
      <x:c r="K7" s="9" t="str">
        <x:v>Moteur de navette original et échange calme.</x:v>
      </x:c>
      <x:c r="L7" s="9" t="str">
        <x:v>Séquence proposée HWB/ARRIVAL/cinematic; mise à jour des états avant restitution du contrôle; bouton passer et relecture séparés.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La version passée et la version regardée aboutissent au même placement, inventaire et objectif; les sous-titres ne sont pas coupés.</x:v>
      </x:c>
      <x:c r="O7" s="9" t="str">
        <x:v>HWB-SC-ARRIVAL-MAIN</x:v>
      </x:c>
      <x:c r="P7" s="9" t="str">
        <x:v>Découpage original pour sprites 2D sur décor 3D.</x:v>
      </x:c>
      <x:c r="Q7" s="9" t="str"/>
      <x:c r="R7" s="17" t="str"/>
      <x:c r="S7" s="17" t="str"/>
    </x:row>
    <x:row r="8" ht="68" customHeight="1">
      <x:c r="A8" s="31" t="str">
        <x:v>HWB-SC-FLIGHT-CINE</x:v>
      </x:c>
      <x:c r="B8" s="7" t="str">
        <x:v>Essai du Normandy — raccord mis en scène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Cockpit pour décisions, vue extérieure stable pour résolution; aucune caméra qui tourne sans besoin.</x:v>
      </x:c>
      <x:c r="G8" s="7" t="str">
        <x:v>Prise de contrôle → trajectoire → interception → retour.</x:v>
      </x:c>
      <x:c r="H8" s="7" t="str"/>
      <x:c r="I8" s="7" t="str">
        <x:v>Axes de trajectoire et repères de station, fond étoilé peu chargé.</x:v>
      </x:c>
      <x:c r="J8" s="7" t="str">
        <x:v>Entrée prudente, geste d'inspection et retour au contrôle pour « Essai du Normandy »; poser les sprites avant tout changement de caméra.</x:v>
      </x:c>
      <x:c r="K8" s="7" t="str">
        <x:v>Variation de moteur proportionnée au geste et alerte d’interception douce.</x:v>
      </x:c>
      <x:c r="L8" s="7" t="str">
        <x:v>Séquence proposée HWB/FLIGHT/cinematic; mise à jour des états avant restitution du contrôle; bouton passer et relecture séparés.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La version passée et la version regardée aboutissent au même placement, inventaire et objectif; les sous-titres ne sont pas coupés.</x:v>
      </x:c>
      <x:c r="O8" s="7" t="str">
        <x:v>HWB-SC-FLIGHT-MAIN</x:v>
      </x:c>
      <x:c r="P8" s="7" t="str">
        <x:v>Découpage original pour sprites 2D sur décor 3D.</x:v>
      </x:c>
      <x:c r="Q8" s="7" t="str"/>
      <x:c r="R8" s="32" t="str"/>
      <x:c r="S8" s="32" t="str"/>
    </x:row>
    <x:row r="9" ht="68" customHeight="1">
      <x:c r="A9" s="16" t="str">
        <x:v>HWB-SC-DECISION-CINE</x:v>
      </x:c>
      <x:c r="B9" s="9" t="str">
        <x:v>Retour et reconnaissance — raccord mis en scène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Vue partagée au contrôle puis regard de Joker vers le vaisseau.</x:v>
      </x:c>
      <x:c r="G9" s="9" t="str">
        <x:v>Retour → confrontation verbale → évaluation → affectation.</x:v>
      </x:c>
      <x:c r="H9" s="9" t="str"/>
      <x:c r="I9" s="9" t="str">
        <x:v>Écran de retour au quai et silhouettes à hauteur égale dans la discussion finale.</x:v>
      </x:c>
      <x:c r="J9" s="9" t="str">
        <x:v>Entrée prudente, geste d'inspection et retour au contrôle pour « Retour et reconnaissance »; poser les sprites avant tout changement de caméra.</x:v>
      </x:c>
      <x:c r="K9" s="9" t="str">
        <x:v>Moteur qui s’éteint et résolution musicale originale discrète.</x:v>
      </x:c>
      <x:c r="L9" s="9" t="str">
        <x:v>Séquence proposée HWB/DECISION/cinematic; mise à jour des états avant restitution du contrôle; bouton passer et relecture séparés.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La version passée et la version regardée aboutissent au même placement, inventaire et objectif; les sous-titres ne sont pas coupés.</x:v>
      </x:c>
      <x:c r="O9" s="9" t="str">
        <x:v>HWB-SC-DECISION-MAIN</x:v>
      </x:c>
      <x:c r="P9" s="9" t="str">
        <x:v>Découpage original pour sprites 2D sur décor 3D.</x:v>
      </x:c>
      <x:c r="Q9" s="9" t="str"/>
      <x:c r="R9" s="17" t="str"/>
      <x:c r="S9" s="17" t="str"/>
    </x:row>
  </x:sheetData>
  <x:conditionalFormatting sqref="D7:D9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9">
    <x:cfRule type="cellIs" dxfId="54" priority="3" operator="equal">
      <x:formula>"Validé"</x:formula>
    </x:cfRule>
  </x:conditionalFormatting>
  <x:conditionalFormatting sqref="E7:E9">
    <x:cfRule type="cellIs" dxfId="55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c5ef5957f47ec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HWB-KIT-NO-ATTACK</x:v>
      </x:c>
      <x:c r="B7" s="9" t="str">
        <x:v>Armement : aucun combat destructif requis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Le prototype de vol est conçu autour de l’évitement.</x:v>
      </x:c>
      <x:c r="G7" s="9" t="str">
        <x:v>Respecter la démonstration de pilotage.</x:v>
      </x:c>
      <x:c r="H7" s="9" t="str">
        <x:v>Aucune commande de destruction de patrouille nécessaire pour progresser.</x:v>
      </x:c>
      <x:c r="I7" s="9" t="str">
        <x:v>Vaisseaux et trajectoires, pas curseur de tir offensif.</x:v>
      </x:c>
      <x:c r="J7" s="9" t="str">
        <x:v>Manœuvre et stabilisation.</x:v>
      </x:c>
      <x:c r="K7" s="9" t="str">
        <x:v>Confirmation audiovisuelle originale, doublée d’un libellé.</x:v>
      </x:c>
      <x:c r="L7" s="9" t="str">
        <x:v>Spécification de ressource HWB/kit/NO-ATTACK; données séparées du moteur, interface de coût et états d'épuisement prévus.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L’essai est terminable sans tirer.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17" t="str"/>
      <x:c r="S7" s="17" t="str"/>
    </x:row>
  </x:sheetData>
  <x:conditionalFormatting sqref="D7:D7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7">
    <x:cfRule type="cellIs" dxfId="58" priority="3" operator="equal">
      <x:formula>"Validé"</x:formula>
    </x:cfRule>
  </x:conditionalFormatting>
  <x:conditionalFormatting sqref="E7:E7">
    <x:cfRule type="cellIs" dxfId="59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1bce4ce7764784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HWB-KIT-COCKPIT</x:v>
      </x:c>
      <x:c r="B7" s="9" t="str">
        <x:v>Commandes de cockpit adaptées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Interface originale accessible de planification.</x:v>
      </x:c>
      <x:c r="G7" s="9" t="str">
        <x:v>Permettre maîtrise et choix sans test de rapidité.</x:v>
      </x:c>
      <x:c r="H7" s="9" t="str">
        <x:v>Navigation clavier/souris/manette, pause et vitesse réglables; prévisualisation complète.</x:v>
      </x:c>
      <x:c r="I7" s="9" t="str">
        <x:v>Boutons larges et trajet lisible sans couleurs seules.</x:v>
      </x:c>
      <x:c r="J7" s="9" t="str">
        <x:v>Actions de mains brèves, caméra stable.</x:v>
      </x:c>
      <x:c r="K7" s="9" t="str">
        <x:v>Confirmation audiovisuelle originale, doublée d’un libellé.</x:v>
      </x:c>
      <x:c r="L7" s="9" t="str">
        <x:v>Spécification de ressource HWB/kit/COCKPIT; données séparées du moteur, interface de coût et états d'épuisement prévus.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Toutes les manœuvres se choisissent sans temps de réaction imposé.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17" t="str"/>
      <x:c r="S7" s="17" t="str"/>
    </x:row>
  </x:sheetData>
  <x:conditionalFormatting sqref="D7:D7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7">
    <x:cfRule type="cellIs" dxfId="62" priority="3" operator="equal">
      <x:formula>"Validé"</x:formula>
    </x:cfRule>
  </x:conditionalFormatting>
  <x:conditionalFormatting sqref="E7:E7">
    <x:cfRule type="cellIs" dxfId="63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947a5089f44966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HWB-KIT-PILOT</x:v>
      </x:c>
      <x:c r="B7" s="9" t="str">
        <x:v>Sang-froid de pilotage — compétence proposée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Compétence d’interface, aucun pouvoir biotique ajouté à Joker.</x:v>
      </x:c>
      <x:c r="G7" s="9" t="str">
        <x:v>Réserver une correction utile.</x:v>
      </x:c>
      <x:c r="H7" s="9" t="str">
        <x:v>Une réserve de manœuvre limitée et annoncée; aucune télékinésie du vaisseau.</x:v>
      </x:c>
      <x:c r="I7" s="9" t="str">
        <x:v>Icône de correction, pas d’aura.</x:v>
      </x:c>
      <x:c r="J7" s="9" t="str">
        <x:v>Respiration et geste précis aux commandes.</x:v>
      </x:c>
      <x:c r="K7" s="9" t="str">
        <x:v>Confirmation audiovisuelle originale, doublée d’un libellé.</x:v>
      </x:c>
      <x:c r="L7" s="9" t="str">
        <x:v>Spécification de ressource HWB/kit/PILOT; données séparées du moteur, interface de coût et états d'épuisement prévus.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L’effet agit uniquement sur une trajectoire validée dans le mini-module.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17" t="str"/>
      <x:c r="S7" s="17" t="str"/>
    </x:row>
  </x:sheetData>
  <x:conditionalFormatting sqref="D7:D7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7">
    <x:cfRule type="cellIs" dxfId="66" priority="3" operator="equal">
      <x:formula>"Validé"</x:formula>
    </x:cfRule>
  </x:conditionalFormatting>
  <x:conditionalFormatting sqref="E7:E7">
    <x:cfRule type="cellIs" dxfId="67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e79156e0794ee9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HWB-ALLY-JOKER</x:v>
      </x:c>
      <x:c r="B7" s="9" t="str">
        <x:v>Correction de trajectoire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Action de groupe originale pour Jeff « Joker » Moreau.</x:v>
      </x:c>
      <x:c r="G7" s="9" t="str">
        <x:v>Protagoniste de navigation; options de mobilité et d’interface conçues sans pénalité arbitraire.</x:v>
      </x:c>
      <x:c r="H7" s="9" t="str">
        <x:v>Proposition : réserver une manœuvre qui ajuste un segment annoncé avant interception; aucun bonus lié à la vitesse physique de saisie.</x:v>
      </x:c>
      <x:c r="I7" s="9" t="str">
        <x:v>Arc prévu et arc corrigé en motifs distincts.</x:v>
      </x:c>
      <x:c r="J7" s="9" t="str">
        <x:v>Marche adaptée hors cockpit, installation, mains aux commandes et réaction ironique.</x:v>
      </x:c>
      <x:c r="K7" s="9" t="str">
        <x:v>Confirmation courte doublée d’un pictogramme; événement silencieux visible dans le journal de combat.</x:v>
      </x:c>
      <x:c r="L7" s="9" t="str">
        <x:v>Commande ATB proposée HWB/JOKER/assist; résoudre cible, coût proposé, contre-mesure et annulation avant les dégâts.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La commande indique son coût avant validation, échoue proprement si la cible devient invalide et ne déclenche pas une action canon supplémentaire.</x:v>
      </x:c>
      <x:c r="O7" s="9" t="str">
        <x:v>HWB-ACT-JOKER, HWB-ANI-JOKER</x:v>
      </x:c>
      <x:c r="P7" s="9" t="str">
        <x:v>Adaptation originale du rôle; pas un pouvoir officiel du comic.</x:v>
      </x:c>
      <x:c r="Q7" s="9" t="str"/>
      <x:c r="R7" s="17" t="str"/>
      <x:c r="S7" s="17" t="str"/>
    </x:row>
  </x:sheetData>
  <x:conditionalFormatting sqref="D7:D7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7">
    <x:cfRule type="cellIs" dxfId="70" priority="3" operator="equal">
      <x:formula>"Validé"</x:formula>
    </x:cfRule>
  </x:conditionalFormatting>
  <x:conditionalFormatting sqref="E7:E7">
    <x:cfRule type="cellIs" dxfId="71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932a5de2554242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HWB-EN-PATROL-M1</x:v>
      </x:c>
      <x:c r="B7" s="9" t="str">
        <x:v>Verrouillage de trajectoire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Pattern original d’interception.</x:v>
      </x:c>
      <x:c r="G7" s="9" t="str">
        <x:v>Opposition de trajectoire, pas ennemi à détruire.</x:v>
      </x:c>
      <x:c r="H7" s="9" t="str">
        <x:v>Choisir une correction avant résolution; le risque est visible sur la carte.</x:v>
      </x:c>
      <x:c r="I7" s="9" t="str">
        <x:v>Cône de poursuite.</x:v>
      </x:c>
      <x:c r="J7" s="9" t="str">
        <x:v>Virages annoncés et maintien de distance.</x:v>
      </x:c>
      <x:c r="K7" s="9" t="str">
        <x:v>Alerte et radio originale.</x:v>
      </x:c>
      <x:c r="L7" s="9" t="str">
        <x:v>Action proposée HWB/PATROL/1; étapes annonce → attente ATB → validation cible → résolution; annulation explicite si neutralisé.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Le joueur peut reconnaître la préparation et employer la contre-mesure avant la résolution; aucune attaque invisible ou imparable hors séquence annoncée.</x:v>
      </x:c>
      <x:c r="O7" s="9" t="str">
        <x:v>HWB-EN-PATROL</x:v>
      </x:c>
      <x:c r="P7" s="9" t="str">
        <x:v>Pattern original; pas de valeur numérique canon.</x:v>
      </x:c>
      <x:c r="Q7" s="9" t="str"/>
      <x:c r="R7" s="17" t="str"/>
      <x:c r="S7" s="17" t="str"/>
    </x:row>
    <x:row r="8" ht="68" customHeight="1">
      <x:c r="A8" s="31" t="str">
        <x:v>HWB-EN-PATROL-M2</x:v>
      </x:c>
      <x:c r="B8" s="7" t="str">
        <x:v>Passage de barrage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Pattern original spatial.</x:v>
      </x:c>
      <x:c r="G8" s="7" t="str">
        <x:v>Opposition de trajectoire, pas ennemi à détruire.</x:v>
      </x:c>
      <x:c r="H8" s="7" t="str">
        <x:v>Contourner un segment bloqué; pause de planification sans pénalité.</x:v>
      </x:c>
      <x:c r="I8" s="7" t="str">
        <x:v>Zone barrée et deux routes possibles.</x:v>
      </x:c>
      <x:c r="J8" s="7" t="str">
        <x:v>Virages annoncés et maintien de distance.</x:v>
      </x:c>
      <x:c r="K8" s="7" t="str">
        <x:v>Alerte et radio originale.</x:v>
      </x:c>
      <x:c r="L8" s="7" t="str">
        <x:v>Action proposée HWB/PATROL/2; étapes annonce → attente ATB → validation cible → résolution; annulation explicite si neutralisé.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Le joueur peut reconnaître la préparation et employer la contre-mesure avant la résolution; aucune attaque invisible ou imparable hors séquence annoncée.</x:v>
      </x:c>
      <x:c r="O8" s="7" t="str">
        <x:v>HWB-EN-PATROL</x:v>
      </x:c>
      <x:c r="P8" s="7" t="str">
        <x:v>Pattern original; pas de valeur numérique canon.</x:v>
      </x:c>
      <x:c r="Q8" s="7" t="str"/>
      <x:c r="R8" s="32" t="str"/>
      <x:c r="S8" s="32" t="str"/>
    </x:row>
  </x:sheetData>
  <x:conditionalFormatting sqref="D7:D8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8">
    <x:cfRule type="cellIs" dxfId="74" priority="3" operator="equal">
      <x:formula>"Validé"</x:formula>
    </x:cfRule>
  </x:conditionalFormatting>
  <x:conditionalFormatting sqref="E7:E8">
    <x:cfRule type="cellIs" dxfId="7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efb42d048740a0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82" customHeight="1">
      <x:c r="A7" s="16" t="str">
        <x:v>HWB-ANI-JOKER</x:v>
      </x:c>
      <x:c r="B7" s="9" t="str">
        <x:v>Jeff « Joker » Moreau — jeu de poses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Définir les transitions propres au rôle de Jeff « Joker » Moreau.</x:v>
      </x:c>
      <x:c r="G7" s="9" t="str">
        <x:v>Protagoniste de navigation; options de mobilité et d’interface conçues sans pénalité arbitraire.</x:v>
      </x:c>
      <x:c r="H7" s="9" t="str"/>
      <x:c r="I7" s="9" t="str">
        <x:v>Tenue de pilote et appuis de marche à vérifier; cockpit compatible avec sa posture.</x:v>
      </x:c>
      <x:c r="J7" s="9" t="str">
        <x:v>Marche adaptée hors cockpit, installation, mains aux commandes et réaction ironique. Décomposer anticipation, action, retour et interruption; garder un état neutre utilisable après une cinématique sautée.</x:v>
      </x:c>
      <x:c r="K7" s="9" t="str">
        <x:v>Associer les contacts de sol ou de siège à des événements; éviter le bruitage répété sur une pose tenue.</x:v>
      </x:c>
      <x:c r="L7" s="9" t="str">
        <x:v>Table d'animation prévue HWB/JOKER; paramètres direction, locomotion, accessoire et interruption.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Un enchaînement déplacement → interaction → interruption → reprise conserve le pivot et les accessoires de Jeff « Joker » Moreau.</x:v>
      </x:c>
      <x:c r="O7" s="9" t="str">
        <x:v>HWB-ACT-JOKER, HWB-SPR-JOKER</x:v>
      </x:c>
      <x:c r="P7" s="9" t="str">
        <x:v>Conception originale, aucune cadence extraite du comic.</x:v>
      </x:c>
      <x:c r="Q7" s="9" t="str"/>
      <x:c r="R7" s="17" t="str"/>
      <x:c r="S7" s="17" t="str"/>
    </x:row>
    <x:row r="8" ht="68" customHeight="1">
      <x:c r="A8" s="31" t="str">
        <x:v>HWB-ANI-ANDERSON</x:v>
      </x:c>
      <x:c r="B8" s="7" t="str">
        <x:v>David Anderson — jeu de poses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Définir les transitions propres au rôle de David Anderson.</x:v>
      </x:c>
      <x:c r="G8" s="7" t="str">
        <x:v>Interlocuteur évaluant compétence et conséquences de l’action.</x:v>
      </x:c>
      <x:c r="H8" s="7" t="str"/>
      <x:c r="I8" s="7" t="str">
        <x:v>Uniforme de la période ME1 à contrôler, silhouette stable.</x:v>
      </x:c>
      <x:c r="J8" s="7" t="str">
        <x:v>Observation d’écran, échange et décision. Décomposer anticipation, action, retour et interruption; garder un état neutre utilisable après une cinématique sautée.</x:v>
      </x:c>
      <x:c r="K8" s="7" t="str">
        <x:v>Associer les contacts de sol ou de siège à des événements; éviter le bruitage répété sur une pose tenue.</x:v>
      </x:c>
      <x:c r="L8" s="7" t="str">
        <x:v>Table d'animation prévue HWB/ANDERSON; paramètres direction, locomotion, accessoire et interruption.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Un enchaînement déplacement → interaction → interruption → reprise conserve le pivot et les accessoires de David Anderson.</x:v>
      </x:c>
      <x:c r="O8" s="7" t="str">
        <x:v>HWB-ACT-ANDERSON, HWB-SPR-ANDERSON</x:v>
      </x:c>
      <x:c r="P8" s="7" t="str">
        <x:v>Conception originale, aucune cadence extraite du comic.</x:v>
      </x:c>
      <x:c r="Q8" s="7" t="str"/>
      <x:c r="R8" s="32" t="str"/>
      <x:c r="S8" s="32" t="str"/>
    </x:row>
    <x:row r="9" ht="68" customHeight="1">
      <x:c r="A9" s="16" t="str">
        <x:v>HWB-ANI-DILLARD</x:v>
      </x:c>
      <x:c r="B9" s="9" t="str">
        <x:v>Capitaine Dillard — jeu de poses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Définir les transitions propres au rôle de Capitaine Dillard.</x:v>
      </x:c>
      <x:c r="G9" s="9" t="str">
        <x:v>Autorité de sécurité; contraintes de l’essai.</x:v>
      </x:c>
      <x:c r="H9" s="9" t="str"/>
      <x:c r="I9" s="9" t="str">
        <x:v>Officier au poste de contrôle, insignes à vérifier.</x:v>
      </x:c>
      <x:c r="J9" s="9" t="str">
        <x:v>Pointage d’écran et ordre bref. Décomposer anticipation, action, retour et interruption; garder un état neutre utilisable après une cinématique sautée.</x:v>
      </x:c>
      <x:c r="K9" s="9" t="str">
        <x:v>Associer les contacts de sol ou de siège à des événements; éviter le bruitage répété sur une pose tenue.</x:v>
      </x:c>
      <x:c r="L9" s="9" t="str">
        <x:v>Table d'animation prévue HWB/DILLARD; paramètres direction, locomotion, accessoire et interruption.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Un enchaînement déplacement → interaction → interruption → reprise conserve le pivot et les accessoires de Capitaine Dillard.</x:v>
      </x:c>
      <x:c r="O9" s="9" t="str">
        <x:v>HWB-ACT-DILLARD, HWB-SPR-DILLARD</x:v>
      </x:c>
      <x:c r="P9" s="9" t="str">
        <x:v>Conception originale, aucune cadence extraite du comic.</x:v>
      </x:c>
      <x:c r="Q9" s="9" t="str"/>
      <x:c r="R9" s="17" t="str"/>
      <x:c r="S9" s="17" t="str"/>
    </x:row>
    <x:row r="10" ht="68" customHeight="1">
      <x:c r="A10" s="31" t="str">
        <x:v>HWB-ANI-INVECTUS</x:v>
      </x:c>
      <x:c r="B10" s="7" t="str">
        <x:v>Général Invectus — jeu de poses</x:v>
      </x:c>
      <x:c r="C10" s="14" t="str">
        <x:v>Défini</x:v>
      </x:c>
      <x:c r="D10" s="30" t="str">
        <x:v>Extrapolation</x:v>
      </x:c>
      <x:c r="E10" s="30" t="str">
        <x:v>P1</x:v>
      </x:c>
      <x:c r="F10" s="7" t="str">
        <x:v>Définir les transitions propres au rôle de Général Invectus.</x:v>
      </x:c>
      <x:c r="G10" s="7" t="str">
        <x:v>Interlocuteur turien dont le jugement évolue; ne pas attribuer son préjugé au jeu lui-même.</x:v>
      </x:c>
      <x:c r="H10" s="7" t="str"/>
      <x:c r="I10" s="7" t="str">
        <x:v>Tenue militaire turienne de la période, posture imposante.</x:v>
      </x:c>
      <x:c r="J10" s="7" t="str">
        <x:v>Silence, observation attentive puis intervention. Décomposer anticipation, action, retour et interruption; garder un état neutre utilisable après une cinématique sautée.</x:v>
      </x:c>
      <x:c r="K10" s="7" t="str">
        <x:v>Associer les contacts de sol ou de siège à des événements; éviter le bruitage répété sur une pose tenue.</x:v>
      </x:c>
      <x:c r="L10" s="7" t="str">
        <x:v>Table d'animation prévue HWB/INVECTUS; paramètres direction, locomotion, accessoire et interruption.</x:v>
      </x:c>
      <x:c r="M10" s="7" t="str">
        <x:v>Conserver le résultat de l’essai et la décision narrative; les performances de mini-jeu n’annulent pas le recrutement publié. Les préjugés des personnages ne deviennent pas les règles du système.</x:v>
      </x:c>
      <x:c r="N10" s="7" t="str">
        <x:v>Un enchaînement déplacement → interaction → interruption → reprise conserve le pivot et les accessoires de Général Invectus.</x:v>
      </x:c>
      <x:c r="O10" s="7" t="str">
        <x:v>HWB-ACT-INVECTUS, HWB-SPR-INVECTUS</x:v>
      </x:c>
      <x:c r="P10" s="7" t="str">
        <x:v>Conception originale, aucune cadence extraite du comic.</x:v>
      </x:c>
      <x:c r="Q10" s="7" t="str"/>
      <x:c r="R10" s="32" t="str"/>
      <x:c r="S10" s="32" t="str"/>
    </x:row>
    <x:row r="11" ht="68" customHeight="1">
      <x:c r="A11" s="16" t="str">
        <x:v>HWB-ANI-CROOKS</x:v>
      </x:c>
      <x:c r="B11" s="9" t="str">
        <x:v>Crooks — jeu de poses</x:v>
      </x:c>
      <x:c r="C11" s="14" t="str">
        <x:v>Défini</x:v>
      </x:c>
      <x:c r="D11" s="15" t="str">
        <x:v>Extrapolation</x:v>
      </x:c>
      <x:c r="E11" s="15" t="str">
        <x:v>P1</x:v>
      </x:c>
      <x:c r="F11" s="9" t="str">
        <x:v>Définir les transitions propres au rôle de Crooks.</x:v>
      </x:c>
      <x:c r="G11" s="9" t="str">
        <x:v>Rôle de contexte, sans rivalité de carrière inventée.</x:v>
      </x:c>
      <x:c r="H11" s="9" t="str"/>
      <x:c r="I11" s="9" t="str">
        <x:v>Pilote Alliance et portrait à contrôler.</x:v>
      </x:c>
      <x:c r="J11" s="9" t="str">
        <x:v>Réaction au contrôle et geste explicatif. Décomposer anticipation, action, retour et interruption; garder un état neutre utilisable après une cinématique sautée.</x:v>
      </x:c>
      <x:c r="K11" s="9" t="str">
        <x:v>Associer les contacts de sol ou de siège à des événements; éviter le bruitage répété sur une pose tenue.</x:v>
      </x:c>
      <x:c r="L11" s="9" t="str">
        <x:v>Table d'animation prévue HWB/CROOKS; paramètres direction, locomotion, accessoire et interruption.</x:v>
      </x:c>
      <x:c r="M11" s="9" t="str">
        <x:v>Conserver le résultat de l’essai et la décision narrative; les performances de mini-jeu n’annulent pas le recrutement publié. Les préjugés des personnages ne deviennent pas les règles du système.</x:v>
      </x:c>
      <x:c r="N11" s="9" t="str">
        <x:v>Un enchaînement déplacement → interaction → interruption → reprise conserve le pivot et les accessoires de Crooks.</x:v>
      </x:c>
      <x:c r="O11" s="9" t="str">
        <x:v>HWB-ACT-CROOKS, HWB-SPR-CROOKS</x:v>
      </x:c>
      <x:c r="P11" s="9" t="str">
        <x:v>Conception originale, aucune cadence extraite du comic.</x:v>
      </x:c>
      <x:c r="Q11" s="9" t="str"/>
      <x:c r="R11" s="17" t="str"/>
      <x:c r="S11" s="17" t="str"/>
    </x:row>
  </x:sheetData>
  <x:conditionalFormatting sqref="D7:D11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11">
    <x:cfRule type="cellIs" dxfId="78" priority="3" operator="equal">
      <x:formula>"Validé"</x:formula>
    </x:cfRule>
  </x:conditionalFormatting>
  <x:conditionalFormatting sqref="E7:E11">
    <x:cfRule type="cellIs" dxfId="79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151f35c6184178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HWB-SPR-JOKER</x:v>
      </x:c>
      <x:c r="B7" s="9" t="str">
        <x:v>Jeff « Joker » Moreau — planche de sprites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Produire une silhouette lisible pour Jeff « Joker » Moreau dans le module He Who Laughs Best.</x:v>
      </x:c>
      <x:c r="G7" s="9" t="str">
        <x:v>Protagoniste de navigation; options de mobilité et d’interface conçues sans pénalité arbitraire.</x:v>
      </x:c>
      <x:c r="H7" s="9" t="str"/>
      <x:c r="I7" s="9" t="str">
        <x:v>Tenue de pilote et appuis de marche à vérifier; cockpit compatible avec sa posture. Prévoir face, dos et profils trois-quarts; conserver le même pivot de pieds dans chaque pose.</x:v>
      </x:c>
      <x:c r="J7" s="9" t="str">
        <x:v>Marche adaptée hors cockpit, installation, mains aux commandes et réaction ironique. Séparer arme/objet tenu du corps lorsque le changement de main est nécessaire.</x:v>
      </x:c>
      <x:c r="K7" s="9" t="str"/>
      <x:c r="L7" s="9" t="str">
        <x:v>Atlas prévu hwb/actors/joker; métadonnées pivot, masque d'occlusion, orientation et état. Aucun fichier de sprite n'est livré par ce catalogue.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La planche permet d'identifier Jeff « Joker » Moreau sans portrait UI à l'échelle de jeu; pieds stables devant les occultations du décor 3D.</x:v>
      </x:c>
      <x:c r="O7" s="9" t="str">
        <x:v>HWB-ACT-JOKER</x:v>
      </x:c>
      <x:c r="P7" s="9" t="str">
        <x:v>Conception originale; référence visuelle du personnage à contrôler.</x:v>
      </x:c>
      <x:c r="Q7" s="9" t="str"/>
      <x:c r="R7" s="17" t="str"/>
      <x:c r="S7" s="17" t="str"/>
    </x:row>
    <x:row r="8" ht="68" customHeight="1">
      <x:c r="A8" s="31" t="str">
        <x:v>HWB-SPR-ANDERSON</x:v>
      </x:c>
      <x:c r="B8" s="7" t="str">
        <x:v>David Anderson — planche de sprites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Produire une silhouette lisible pour David Anderson dans le module He Who Laughs Best.</x:v>
      </x:c>
      <x:c r="G8" s="7" t="str">
        <x:v>Interlocuteur évaluant compétence et conséquences de l’action.</x:v>
      </x:c>
      <x:c r="H8" s="7" t="str"/>
      <x:c r="I8" s="7" t="str">
        <x:v>Uniforme de la période ME1 à contrôler, silhouette stable. Prévoir face, dos et profils trois-quarts; conserver le même pivot de pieds dans chaque pose.</x:v>
      </x:c>
      <x:c r="J8" s="7" t="str">
        <x:v>Observation d’écran, échange et décision. Séparer arme/objet tenu du corps lorsque le changement de main est nécessaire.</x:v>
      </x:c>
      <x:c r="K8" s="7" t="str"/>
      <x:c r="L8" s="7" t="str">
        <x:v>Atlas prévu hwb/actors/anderson; métadonnées pivot, masque d'occlusion, orientation et état. Aucun fichier de sprite n'est livré par ce catalogue.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La planche permet d'identifier David Anderson sans portrait UI à l'échelle de jeu; pieds stables devant les occultations du décor 3D.</x:v>
      </x:c>
      <x:c r="O8" s="7" t="str">
        <x:v>HWB-ACT-ANDERSON</x:v>
      </x:c>
      <x:c r="P8" s="7" t="str">
        <x:v>Conception originale; référence visuelle du personnage à contrôler.</x:v>
      </x:c>
      <x:c r="Q8" s="7" t="str"/>
      <x:c r="R8" s="32" t="str"/>
      <x:c r="S8" s="32" t="str"/>
    </x:row>
    <x:row r="9" ht="68" customHeight="1">
      <x:c r="A9" s="16" t="str">
        <x:v>HWB-SPR-DILLARD</x:v>
      </x:c>
      <x:c r="B9" s="9" t="str">
        <x:v>Capitaine Dillard — planche de sprites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Produire une silhouette lisible pour Capitaine Dillard dans le module He Who Laughs Best.</x:v>
      </x:c>
      <x:c r="G9" s="9" t="str">
        <x:v>Autorité de sécurité; contraintes de l’essai.</x:v>
      </x:c>
      <x:c r="H9" s="9" t="str"/>
      <x:c r="I9" s="9" t="str">
        <x:v>Officier au poste de contrôle, insignes à vérifier. Prévoir face, dos et profils trois-quarts; conserver le même pivot de pieds dans chaque pose.</x:v>
      </x:c>
      <x:c r="J9" s="9" t="str">
        <x:v>Pointage d’écran et ordre bref. Séparer arme/objet tenu du corps lorsque le changement de main est nécessaire.</x:v>
      </x:c>
      <x:c r="K9" s="9" t="str"/>
      <x:c r="L9" s="9" t="str">
        <x:v>Atlas prévu hwb/actors/dillard; métadonnées pivot, masque d'occlusion, orientation et état. Aucun fichier de sprite n'est livré par ce catalogue.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La planche permet d'identifier Capitaine Dillard sans portrait UI à l'échelle de jeu; pieds stables devant les occultations du décor 3D.</x:v>
      </x:c>
      <x:c r="O9" s="9" t="str">
        <x:v>HWB-ACT-DILLARD</x:v>
      </x:c>
      <x:c r="P9" s="9" t="str">
        <x:v>Conception originale; référence visuelle du personnage à contrôler.</x:v>
      </x:c>
      <x:c r="Q9" s="9" t="str"/>
      <x:c r="R9" s="17" t="str"/>
      <x:c r="S9" s="17" t="str"/>
    </x:row>
    <x:row r="10" ht="68" customHeight="1">
      <x:c r="A10" s="31" t="str">
        <x:v>HWB-SPR-INVECTUS</x:v>
      </x:c>
      <x:c r="B10" s="7" t="str">
        <x:v>Général Invectus — planche de sprites</x:v>
      </x:c>
      <x:c r="C10" s="14" t="str">
        <x:v>Défini</x:v>
      </x:c>
      <x:c r="D10" s="30" t="str">
        <x:v>Extrapolation</x:v>
      </x:c>
      <x:c r="E10" s="30" t="str">
        <x:v>P1</x:v>
      </x:c>
      <x:c r="F10" s="7" t="str">
        <x:v>Produire une silhouette lisible pour Général Invectus dans le module He Who Laughs Best.</x:v>
      </x:c>
      <x:c r="G10" s="7" t="str">
        <x:v>Interlocuteur turien dont le jugement évolue; ne pas attribuer son préjugé au jeu lui-même.</x:v>
      </x:c>
      <x:c r="H10" s="7" t="str"/>
      <x:c r="I10" s="7" t="str">
        <x:v>Tenue militaire turienne de la période, posture imposante. Prévoir face, dos et profils trois-quarts; conserver le même pivot de pieds dans chaque pose.</x:v>
      </x:c>
      <x:c r="J10" s="7" t="str">
        <x:v>Silence, observation attentive puis intervention. Séparer arme/objet tenu du corps lorsque le changement de main est nécessaire.</x:v>
      </x:c>
      <x:c r="K10" s="7" t="str"/>
      <x:c r="L10" s="7" t="str">
        <x:v>Atlas prévu hwb/actors/invectus; métadonnées pivot, masque d'occlusion, orientation et état. Aucun fichier de sprite n'est livré par ce catalogue.</x:v>
      </x:c>
      <x:c r="M10" s="7" t="str">
        <x:v>Conserver le résultat de l’essai et la décision narrative; les performances de mini-jeu n’annulent pas le recrutement publié. Les préjugés des personnages ne deviennent pas les règles du système.</x:v>
      </x:c>
      <x:c r="N10" s="7" t="str">
        <x:v>La planche permet d'identifier Général Invectus sans portrait UI à l'échelle de jeu; pieds stables devant les occultations du décor 3D.</x:v>
      </x:c>
      <x:c r="O10" s="7" t="str">
        <x:v>HWB-ACT-INVECTUS</x:v>
      </x:c>
      <x:c r="P10" s="7" t="str">
        <x:v>Conception originale; référence visuelle du personnage à contrôler.</x:v>
      </x:c>
      <x:c r="Q10" s="7" t="str"/>
      <x:c r="R10" s="32" t="str"/>
      <x:c r="S10" s="32" t="str"/>
    </x:row>
    <x:row r="11" ht="68" customHeight="1">
      <x:c r="A11" s="16" t="str">
        <x:v>HWB-SPR-CROOKS</x:v>
      </x:c>
      <x:c r="B11" s="9" t="str">
        <x:v>Crooks — planche de sprites</x:v>
      </x:c>
      <x:c r="C11" s="14" t="str">
        <x:v>Défini</x:v>
      </x:c>
      <x:c r="D11" s="15" t="str">
        <x:v>Extrapolation</x:v>
      </x:c>
      <x:c r="E11" s="15" t="str">
        <x:v>P1</x:v>
      </x:c>
      <x:c r="F11" s="9" t="str">
        <x:v>Produire une silhouette lisible pour Crooks dans le module He Who Laughs Best.</x:v>
      </x:c>
      <x:c r="G11" s="9" t="str">
        <x:v>Rôle de contexte, sans rivalité de carrière inventée.</x:v>
      </x:c>
      <x:c r="H11" s="9" t="str"/>
      <x:c r="I11" s="9" t="str">
        <x:v>Pilote Alliance et portrait à contrôler. Prévoir face, dos et profils trois-quarts; conserver le même pivot de pieds dans chaque pose.</x:v>
      </x:c>
      <x:c r="J11" s="9" t="str">
        <x:v>Réaction au contrôle et geste explicatif. Séparer arme/objet tenu du corps lorsque le changement de main est nécessaire.</x:v>
      </x:c>
      <x:c r="K11" s="9" t="str"/>
      <x:c r="L11" s="9" t="str">
        <x:v>Atlas prévu hwb/actors/crooks; métadonnées pivot, masque d'occlusion, orientation et état. Aucun fichier de sprite n'est livré par ce catalogue.</x:v>
      </x:c>
      <x:c r="M11" s="9" t="str">
        <x:v>Conserver le résultat de l’essai et la décision narrative; les performances de mini-jeu n’annulent pas le recrutement publié. Les préjugés des personnages ne deviennent pas les règles du système.</x:v>
      </x:c>
      <x:c r="N11" s="9" t="str">
        <x:v>La planche permet d'identifier Crooks sans portrait UI à l'échelle de jeu; pieds stables devant les occultations du décor 3D.</x:v>
      </x:c>
      <x:c r="O11" s="9" t="str">
        <x:v>HWB-ACT-CROOKS</x:v>
      </x:c>
      <x:c r="P11" s="9" t="str">
        <x:v>Conception originale; référence visuelle du personnage à contrôler.</x:v>
      </x:c>
      <x:c r="Q11" s="9" t="str"/>
      <x:c r="R11" s="17" t="str"/>
      <x:c r="S11" s="17" t="str"/>
    </x:row>
  </x:sheetData>
  <x:conditionalFormatting sqref="D7:D11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1">
    <x:cfRule type="cellIs" dxfId="82" priority="3" operator="equal">
      <x:formula>"Validé"</x:formula>
    </x:cfRule>
  </x:conditionalFormatting>
  <x:conditionalFormatting sqref="E7:E11">
    <x:cfRule type="cellIs" dxfId="83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47e985842f4967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HWB-SC-ARRIVAL-VFX</x:v>
      </x:c>
      <x:c r="B7" s="9" t="str">
        <x:v>Arrivée et jugement préalable — signal visuel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Mise en évidence des compétences de pilotage via trajectoire, sans aura héroïque obligatoire.</x:v>
      </x:c>
      <x:c r="G7" s="9" t="str">
        <x:v>Rendre lisibles les interactions propres à cette séquence à la taille réelle du jeu.</x:v>
      </x:c>
      <x:c r="H7" s="9" t="str"/>
      <x:c r="I7" s="9" t="str">
        <x:v>Mise en évidence des compétences de pilotage via trajectoire, sans aura héroïque obligatoire.</x:v>
      </x:c>
      <x:c r="J7" s="9" t="str">
        <x:v>Anticipation séparée de l’impact; variante sans flash, sans secousse et à contraste renforcé.</x:v>
      </x:c>
      <x:c r="K7" s="9" t="str">
        <x:v>Moteur de navette original et échange calme.</x:v>
      </x:c>
      <x:c r="L7" s="9" t="str">
        <x:v>Émetteur proposé HWB/ARRIVAL/vfx; ancrage sur monde 3D et tri compatible avec les sprites; options de confort indépendantes.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Le signal reste identifiable en pause et sans son; aucun flash plein écran indispensable pour comprendre la résolution.</x:v>
      </x:c>
      <x:c r="O7" s="9" t="str">
        <x:v>HWB-SC-ARRIVAL-MAIN</x:v>
      </x:c>
      <x:c r="P7" s="9" t="str">
        <x:v>VFX original; intensité et timing à régler au prototype.</x:v>
      </x:c>
      <x:c r="Q7" s="9" t="str"/>
      <x:c r="R7" s="17" t="str"/>
      <x:c r="S7" s="17" t="str"/>
    </x:row>
    <x:row r="8" ht="68" customHeight="1">
      <x:c r="A8" s="31" t="str">
        <x:v>HWB-SC-FLIGHT-VFX</x:v>
      </x:c>
      <x:c r="B8" s="7" t="str">
        <x:v>Essai du Normandy — signal visuel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Traînées courtes et repères de proximité; pas de secousse obligatoire.</x:v>
      </x:c>
      <x:c r="G8" s="7" t="str">
        <x:v>Rendre lisibles les interactions propres à cette séquence à la taille réelle du jeu.</x:v>
      </x:c>
      <x:c r="H8" s="7" t="str"/>
      <x:c r="I8" s="7" t="str">
        <x:v>Traînées courtes et repères de proximité; pas de secousse obligatoire.</x:v>
      </x:c>
      <x:c r="J8" s="7" t="str">
        <x:v>Anticipation séparée de l’impact; variante sans flash, sans secousse et à contraste renforcé.</x:v>
      </x:c>
      <x:c r="K8" s="7" t="str">
        <x:v>Variation de moteur proportionnée au geste et alerte d’interception douce.</x:v>
      </x:c>
      <x:c r="L8" s="7" t="str">
        <x:v>Émetteur proposé HWB/FLIGHT/vfx; ancrage sur monde 3D et tri compatible avec les sprites; options de confort indépendantes.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Le signal reste identifiable en pause et sans son; aucun flash plein écran indispensable pour comprendre la résolution.</x:v>
      </x:c>
      <x:c r="O8" s="7" t="str">
        <x:v>HWB-SC-FLIGHT-MAIN</x:v>
      </x:c>
      <x:c r="P8" s="7" t="str">
        <x:v>VFX original; intensité et timing à régler au prototype.</x:v>
      </x:c>
      <x:c r="Q8" s="7" t="str"/>
      <x:c r="R8" s="32" t="str"/>
      <x:c r="S8" s="32" t="str"/>
    </x:row>
    <x:row r="9" ht="68" customHeight="1">
      <x:c r="A9" s="16" t="str">
        <x:v>HWB-SC-DECISION-VFX</x:v>
      </x:c>
      <x:c r="B9" s="9" t="str">
        <x:v>Retour et reconnaissance — signal visuel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Statut pilote affecté affiché après la conversation, sans gain d’armement.</x:v>
      </x:c>
      <x:c r="G9" s="9" t="str">
        <x:v>Rendre lisibles les interactions propres à cette séquence à la taille réelle du jeu.</x:v>
      </x:c>
      <x:c r="H9" s="9" t="str"/>
      <x:c r="I9" s="9" t="str">
        <x:v>Statut pilote affecté affiché après la conversation, sans gain d’armement.</x:v>
      </x:c>
      <x:c r="J9" s="9" t="str">
        <x:v>Anticipation séparée de l’impact; variante sans flash, sans secousse et à contraste renforcé.</x:v>
      </x:c>
      <x:c r="K9" s="9" t="str">
        <x:v>Moteur qui s’éteint et résolution musicale originale discrète.</x:v>
      </x:c>
      <x:c r="L9" s="9" t="str">
        <x:v>Émetteur proposé HWB/DECISION/vfx; ancrage sur monde 3D et tri compatible avec les sprites; options de confort indépendantes.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Le signal reste identifiable en pause et sans son; aucun flash plein écran indispensable pour comprendre la résolution.</x:v>
      </x:c>
      <x:c r="O9" s="9" t="str">
        <x:v>HWB-SC-DECISION-MAIN</x:v>
      </x:c>
      <x:c r="P9" s="9" t="str">
        <x:v>VFX original; intensité et timing à régler au prototype.</x:v>
      </x:c>
      <x:c r="Q9" s="9" t="str"/>
      <x:c r="R9" s="17" t="str"/>
      <x:c r="S9" s="17" t="str"/>
    </x:row>
  </x:sheetData>
  <x:conditionalFormatting sqref="D7:D9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9">
    <x:cfRule type="cellIs" dxfId="86" priority="3" operator="equal">
      <x:formula>"Validé"</x:formula>
    </x:cfRule>
  </x:conditionalFormatting>
  <x:conditionalFormatting sqref="E7:E9">
    <x:cfRule type="cellIs" dxfId="8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669a2c14754d97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HWB-AUD-ARCTURUS</x:v>
      </x:c>
      <x:c r="B7" s="9" t="str">
        <x:v>Arcturus Station — paysage sonore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Ventilation, communications et moteurs filtrés.</x:v>
      </x:c>
      <x:c r="G7" s="9" t="str">
        <x:v>Hub très court et salle de contrôle.</x:v>
      </x:c>
      <x:c r="H7" s="9" t="str">
        <x:v>Doubler les alarmes utiles par texte, symbole ou changement de pose; les bruits d’ambiance ne portent pas seuls une information obligatoire.</x:v>
      </x:c>
      <x:c r="I7" s="9" t="str">
        <x:v>Surfaces militaires claires, rails d’appui et accès assez larges pour la mise en scène de Joker.</x:v>
      </x:c>
      <x:c r="J7" s="9" t="str">
        <x:v>Déclencher les contacts mécaniques au mouvement visible; éviter les boucles désynchronisées des portes.</x:v>
      </x:c>
      <x:c r="K7" s="9" t="str">
        <x:v>Ventilation, communications et moteurs filtrés. Composer une ambiance originale en couches fond / activité / danger, avec réglage indépendant des voix.</x:v>
      </x:c>
      <x:c r="L7" s="9" t="str">
        <x:v>Bus proposé HWB/ARCTURUS; snapshots exploration, tension et dialogue; fondus après chargement.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Un parcours muet reste compréhensible; l’entrée en dialogue baisse les ambiances sans couper brutalement leur réverbération.</x:v>
      </x:c>
      <x:c r="O7" s="9" t="str">
        <x:v>HWB-ZONE-ARCTURUS</x:v>
      </x:c>
      <x:c r="P7" s="9" t="str">
        <x:v>Création sonore originale; aucune piste commerciale requise.</x:v>
      </x:c>
      <x:c r="Q7" s="9" t="str"/>
      <x:c r="R7" s="17" t="str"/>
      <x:c r="S7" s="17" t="str"/>
    </x:row>
    <x:row r="8" ht="68" customHeight="1">
      <x:c r="A8" s="31" t="str">
        <x:v>HWB-AUD-SR1</x:v>
      </x:c>
      <x:c r="B8" s="7" t="str">
        <x:v>Normandy SR-1 — espace d’essai — paysage sonore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Moteur stable, corrections douces et communications sous-titrées.</x:v>
      </x:c>
      <x:c r="G8" s="7" t="str">
        <x:v>Cockpit et représentation extérieure de trajectoires.</x:v>
      </x:c>
      <x:c r="H8" s="7" t="str">
        <x:v>Doubler les alarmes utiles par texte, symbole ou changement de pose; les bruits d’ambiance ne portent pas seuls une information obligatoire.</x:v>
      </x:c>
      <x:c r="I8" s="7" t="str">
        <x:v>Interfaces sobres, siège et commandes à vérifier sur référence de période.</x:v>
      </x:c>
      <x:c r="J8" s="7" t="str">
        <x:v>Déclencher les contacts mécaniques au mouvement visible; éviter les boucles désynchronisées des portes.</x:v>
      </x:c>
      <x:c r="K8" s="7" t="str">
        <x:v>Moteur stable, corrections douces et communications sous-titrées. Composer une ambiance originale en couches fond / activité / danger, avec réglage indépendant des voix.</x:v>
      </x:c>
      <x:c r="L8" s="7" t="str">
        <x:v>Bus proposé HWB/SR1; snapshots exploration, tension et dialogue; fondus après chargement.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Un parcours muet reste compréhensible; l’entrée en dialogue baisse les ambiances sans couper brutalement leur réverbération.</x:v>
      </x:c>
      <x:c r="O8" s="7" t="str">
        <x:v>HWB-ZONE-SR1</x:v>
      </x:c>
      <x:c r="P8" s="7" t="str">
        <x:v>Création sonore originale; aucune piste commerciale requise.</x:v>
      </x:c>
      <x:c r="Q8" s="7" t="str"/>
      <x:c r="R8" s="32" t="str"/>
      <x:c r="S8" s="32" t="str"/>
    </x:row>
  </x:sheetData>
  <x:conditionalFormatting sqref="D7:D8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8">
    <x:cfRule type="cellIs" dxfId="90" priority="3" operator="equal">
      <x:formula>"Validé"</x:formula>
    </x:cfRule>
  </x:conditionalFormatting>
  <x:conditionalFormatting sqref="E7:E8">
    <x:cfRule type="cellIs" dxfId="9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5664d222524c5b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HWB-SYS-CANON</x:v>
      </x:c>
      <x:c r="B7" s="9" t="str">
        <x:v>Journal à deux niveaux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Dans He Who Laughs Best, séparer faits attestés, données à contrôler et événements issus des règles du fan game.</x:v>
      </x:c>
      <x:c r="G7" s="9" t="str">
        <x:v>La continuité éditoriale est distincte des essais de gameplay; un choix stratégique ne réécrit pas la fin publiée.</x:v>
      </x:c>
      <x:c r="H7" s="9" t="str">
        <x:v>La continuité éditoriale est distincte des essais de gameplay; un choix stratégique ne réécrit pas la fin publiée.</x:v>
      </x:c>
      <x:c r="I7" s="9" t="str"/>
      <x:c r="J7" s="9" t="str"/>
      <x:c r="K7" s="9" t="str"/>
      <x:c r="L7" s="9" t="str">
        <x:v>Contrat de production HWB/SYS-CANON; à appliquer au futur contenu de l'œuvre.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Chaque entrée de journal porte sa provenance; un résultat de combat ne change jamais le niveau de certitude du fait source.</x:v>
      </x:c>
      <x:c r="O7" s="9" t="str">
        <x:v>HWB-REF-SCOPE</x:v>
      </x:c>
      <x:c r="P7" s="9" t="str">
        <x:v>Règle originale de production; les ancrages de continuité sont documentés dans les fiches REF.</x:v>
      </x:c>
      <x:c r="Q7" s="9" t="str"/>
      <x:c r="R7" s="17" t="str"/>
      <x:c r="S7" s="17" t="str"/>
    </x:row>
    <x:row r="8" ht="68" customHeight="1">
      <x:c r="A8" s="31" t="str">
        <x:v>HWB-SYS-GROUP</x:v>
      </x:c>
      <x:c r="B8" s="7" t="str">
        <x:v>Groupe propre au chapitre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Joker pilote; Anderson, Dillard et Invectus sont interlocuteurs de contrôle. Aucun groupe de fantassins n’est ajouté pour remplir le système ATB.</x:v>
      </x:c>
      <x:c r="G8" s="7" t="str">
        <x:v>Former le groupe à partir du chapitre actif; les rôles de soutien ne deviennent pas des recrutements permanents.</x:v>
      </x:c>
      <x:c r="H8" s="7" t="str">
        <x:v>Former le groupe à partir du chapitre actif; les rôles de soutien ne deviennent pas des recrutements permanents.</x:v>
      </x:c>
      <x:c r="I8" s="7" t="str"/>
      <x:c r="J8" s="7" t="str"/>
      <x:c r="K8" s="7" t="str"/>
      <x:c r="L8" s="7" t="str">
        <x:v>Contrat de production HWB/SYS-GROUP; à appliquer au futur contenu de l'œuvre.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Recharger un chapitre restitue uniquement son groupe autorisé, ses positions et ses commandes proposées.</x:v>
      </x:c>
      <x:c r="O8" s="7" t="str">
        <x:v>HWB-REF-SCOPE</x:v>
      </x:c>
      <x:c r="P8" s="7" t="str">
        <x:v>Règle originale de production; les ancrages de continuité sont documentés dans les fiches REF.</x:v>
      </x:c>
      <x:c r="Q8" s="7" t="str"/>
      <x:c r="R8" s="32" t="str"/>
      <x:c r="S8" s="32" t="str"/>
    </x:row>
    <x:row r="9" ht="68" customHeight="1">
      <x:c r="A9" s="16" t="str">
        <x:v>HWB-SYS-ATB</x:v>
      </x:c>
      <x:c r="B9" s="9" t="str">
        <x:v>Rythme ATB proposé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ATB de manœuvres proposé : préparer une trajectoire, tenir un cap, lire une interception; aucune obligation de réflexe rapide, vitesse et pause réglables.</x:v>
      </x:c>
      <x:c r="G9" s="9" t="str">
        <x:v>Pause de planification, annonce visible, résolution déterministe et commandes annulables avant confirmation.</x:v>
      </x:c>
      <x:c r="H9" s="9" t="str">
        <x:v>Pause de planification, annonce visible, résolution déterministe et commandes annulables avant confirmation.</x:v>
      </x:c>
      <x:c r="I9" s="9" t="str"/>
      <x:c r="J9" s="9" t="str"/>
      <x:c r="K9" s="9" t="str"/>
      <x:c r="L9" s="9" t="str">
        <x:v>Contrat de production HWB/SYS-ATB; à appliquer au futur contenu de l'œuvre.</x:v>
      </x:c>
      <x:c r="M9" s="9" t="str">
        <x:v>Conserver le résultat de l’essai et la décision narrative; les performances de mini-jeu n’annulent pas le recrutement publié. Les préjugés des personnages ne deviennent pas les règles du système.</x:v>
      </x:c>
      <x:c r="N9" s="9" t="str">
        <x:v>Un lecteur peut suivre chaque préparation sans son; la vitesse réglable ne modifie pas les conditions du raccord narratif.</x:v>
      </x:c>
      <x:c r="O9" s="9" t="str">
        <x:v>HWB-REF-SCOPE</x:v>
      </x:c>
      <x:c r="P9" s="9" t="str">
        <x:v>Règle originale de production; les ancrages de continuité sont documentés dans les fiches REF.</x:v>
      </x:c>
      <x:c r="Q9" s="9" t="str"/>
      <x:c r="R9" s="17" t="str"/>
      <x:c r="S9" s="17" t="str"/>
    </x:row>
    <x:row r="10" ht="68" customHeight="1">
      <x:c r="A10" s="31" t="str">
        <x:v>HWB-SYS-SAVE</x:v>
      </x:c>
      <x:c r="B10" s="7" t="str">
        <x:v>Sauvegarde des modules</x:v>
      </x:c>
      <x:c r="C10" s="14" t="str">
        <x:v>Défini</x:v>
      </x:c>
      <x:c r="D10" s="30" t="str">
        <x:v>Extrapolation</x:v>
      </x:c>
      <x:c r="E10" s="30" t="str">
        <x:v>P1</x:v>
      </x:c>
      <x:c r="F10" s="7" t="str">
        <x:v>Conserver la progression de He Who Laughs Best sans exporter une issue hypothétique vers la continuité des jeux.</x:v>
      </x:c>
      <x:c r="G10" s="7" t="str">
        <x:v>Stocker le numéro/segment, la méthode locale, les indices acquis et le raccord déjà vu; ne pas écrire dans une sauvegarde canon du jeu.</x:v>
      </x:c>
      <x:c r="H10" s="7" t="str">
        <x:v>Stocker le numéro/segment, la méthode locale, les indices acquis et le raccord déjà vu; ne pas écrire dans une sauvegarde canon du jeu.</x:v>
      </x:c>
      <x:c r="I10" s="7" t="str"/>
      <x:c r="J10" s="7" t="str"/>
      <x:c r="K10" s="7" t="str"/>
      <x:c r="L10" s="7" t="str">
        <x:v>Contrat de production HWB/SYS-SAVE; à appliquer au futur contenu de l'œuvre.</x:v>
      </x:c>
      <x:c r="M10" s="7" t="str">
        <x:v>Conserver le résultat de l’essai et la décision narrative; les performances de mini-jeu n’annulent pas le recrutement publié. Les préjugés des personnages ne deviennent pas les règles du système.</x:v>
      </x:c>
      <x:c r="N10" s="7" t="str">
        <x:v>Sauvegarder, quitter et reprendre avant/après un raccord ne double aucun objet, objectif ou récompense.</x:v>
      </x:c>
      <x:c r="O10" s="7" t="str">
        <x:v>HWB-REF-SCOPE</x:v>
      </x:c>
      <x:c r="P10" s="7" t="str">
        <x:v>Règle originale de production; les ancrages de continuité sont documentés dans les fiches REF.</x:v>
      </x:c>
      <x:c r="Q10" s="7" t="str"/>
      <x:c r="R10" s="32" t="str"/>
      <x:c r="S10" s="32" t="str"/>
    </x:row>
  </x:sheetData>
  <x:conditionalFormatting sqref="D7:D10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0">
    <x:cfRule type="cellIs" dxfId="94" priority="3" operator="equal">
      <x:formula>"Validé"</x:formula>
    </x:cfRule>
  </x:conditionalFormatting>
  <x:conditionalFormatting sqref="E7:E10">
    <x:cfRule type="cellIs" dxfId="9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e7a4349a5d4773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HWB-SC-ARRIVAL-QA</x:v>
      </x:c>
      <x:c r="B7" s="9" t="str">
        <x:v>Arrivée et jugement préalable — contrôle du parcours</x:v>
      </x:c>
      <x:c r="C7" s="14" t="str">
        <x:v>Défini</x:v>
      </x:c>
      <x:c r="D7" s="15" t="str">
        <x:v>Extrapolation</x:v>
      </x:c>
      <x:c r="E7" s="15" t="str">
        <x:v>P0</x:v>
      </x:c>
      <x:c r="F7" s="9" t="str">
        <x:v>Rejouer « Arrivée et jugement préalable » par les deux méthodes proposées, avec tâche facultative ignorée puis terminée, et en sautant le raccord.</x:v>
      </x:c>
      <x:c r="G7" s="9" t="str">
        <x:v>Transport → conversation → arrivée → transition vers l’essai.</x:v>
      </x:c>
      <x:c r="H7" s="9" t="str">
        <x:v>Les réponses changent le ton de Joker; elles ne créent pas un score de valeur personnelle lié à son handicap.</x:v>
      </x:c>
      <x:c r="I7" s="9" t="str"/>
      <x:c r="J7" s="9" t="str"/>
      <x:c r="K7" s="9" t="str"/>
      <x:c r="L7" s="9" t="str">
        <x:v>Scénarios de recette à exécuter pour HWB/ARRIVAL; consigner résultat réel et preuve seulement lors d’une future réalisation.</x:v>
      </x:c>
      <x:c r="M7" s="9" t="str">
        <x:v>Fiche de recette définie; aucun test du jeu n’a été exécuté par ce catalogue.</x:v>
      </x:c>
      <x:c r="N7" s="9" t="str">
        <x:v>L'objectif « Arrivée et jugement préalable » atteint son raccord annoncé après chaque méthode; sauvegarde, rechargement et saut de scène n'en changent ni le groupe ni les informations acquises.</x:v>
      </x:c>
      <x:c r="O7" s="9" t="str">
        <x:v>HWB-SC-ARRIVAL-MAIN, HWB-SC-ARRIVAL-CHOICE, HWB-SC-ARRIVAL-CINE, HWB-SC-ARRIVAL-PROP</x:v>
      </x:c>
      <x:c r="P7" s="9" t="str">
        <x:v>Critère de production original, pas une validation déjà obtenue.</x:v>
      </x:c>
      <x:c r="Q7" s="9" t="str"/>
      <x:c r="R7" s="17" t="str"/>
      <x:c r="S7" s="17" t="str"/>
    </x:row>
    <x:row r="8" ht="68" customHeight="1">
      <x:c r="A8" s="31" t="str">
        <x:v>HWB-SC-FLIGHT-QA</x:v>
      </x:c>
      <x:c r="B8" s="7" t="str">
        <x:v>Essai du Normandy — contrôle du parcours</x:v>
      </x:c>
      <x:c r="C8" s="14" t="str">
        <x:v>Défini</x:v>
      </x:c>
      <x:c r="D8" s="30" t="str">
        <x:v>Extrapolation</x:v>
      </x:c>
      <x:c r="E8" s="30" t="str">
        <x:v>P0</x:v>
      </x:c>
      <x:c r="F8" s="7" t="str">
        <x:v>Rejouer « Essai du Normandy » par les deux méthodes proposées, avec tâche facultative ignorée puis terminée, et en sautant le raccord.</x:v>
      </x:c>
      <x:c r="G8" s="7" t="str">
        <x:v>Prise de contrôle → trajectoire → interception → retour.</x:v>
      </x:c>
      <x:c r="H8" s="7" t="str">
        <x:v>Choisir les manœuvres en pause puis résoudre; une erreur relance le segment, sans annuler l’issue narrative publiée.</x:v>
      </x:c>
      <x:c r="I8" s="7" t="str"/>
      <x:c r="J8" s="7" t="str"/>
      <x:c r="K8" s="7" t="str"/>
      <x:c r="L8" s="7" t="str">
        <x:v>Scénarios de recette à exécuter pour HWB/FLIGHT; consigner résultat réel et preuve seulement lors d’une future réalisation.</x:v>
      </x:c>
      <x:c r="M8" s="7" t="str">
        <x:v>Fiche de recette définie; aucun test du jeu n’a été exécuté par ce catalogue.</x:v>
      </x:c>
      <x:c r="N8" s="7" t="str">
        <x:v>L'objectif « Essai du Normandy » atteint son raccord annoncé après chaque méthode; sauvegarde, rechargement et saut de scène n'en changent ni le groupe ni les informations acquises.</x:v>
      </x:c>
      <x:c r="O8" s="7" t="str">
        <x:v>HWB-SC-FLIGHT-MAIN, HWB-SC-FLIGHT-CHOICE, HWB-SC-FLIGHT-CINE, HWB-SC-FLIGHT-PROP</x:v>
      </x:c>
      <x:c r="P8" s="7" t="str">
        <x:v>Critère de production original, pas une validation déjà obtenue.</x:v>
      </x:c>
      <x:c r="Q8" s="7" t="str"/>
      <x:c r="R8" s="32" t="str"/>
      <x:c r="S8" s="32" t="str"/>
    </x:row>
    <x:row r="9" ht="68" customHeight="1">
      <x:c r="A9" s="16" t="str">
        <x:v>HWB-SC-DECISION-QA</x:v>
      </x:c>
      <x:c r="B9" s="9" t="str">
        <x:v>Retour et reconnaissance — contrôle du parcours</x:v>
      </x:c>
      <x:c r="C9" s="14" t="str">
        <x:v>Défini</x:v>
      </x:c>
      <x:c r="D9" s="15" t="str">
        <x:v>Extrapolation</x:v>
      </x:c>
      <x:c r="E9" s="15" t="str">
        <x:v>P0</x:v>
      </x:c>
      <x:c r="F9" s="9" t="str">
        <x:v>Rejouer « Retour et reconnaissance » par les deux méthodes proposées, avec tâche facultative ignorée puis terminée, et en sautant le raccord.</x:v>
      </x:c>
      <x:c r="G9" s="9" t="str">
        <x:v>Retour → confrontation verbale → évaluation → affectation.</x:v>
      </x:c>
      <x:c r="H9" s="9" t="str">
        <x:v>La qualité de mini-jeu module un commentaire de prototype, pas la décision canon ni le handicap du personnage.</x:v>
      </x:c>
      <x:c r="I9" s="9" t="str"/>
      <x:c r="J9" s="9" t="str"/>
      <x:c r="K9" s="9" t="str"/>
      <x:c r="L9" s="9" t="str">
        <x:v>Scénarios de recette à exécuter pour HWB/DECISION; consigner résultat réel et preuve seulement lors d’une future réalisation.</x:v>
      </x:c>
      <x:c r="M9" s="9" t="str">
        <x:v>Fiche de recette définie; aucun test du jeu n’a été exécuté par ce catalogue.</x:v>
      </x:c>
      <x:c r="N9" s="9" t="str">
        <x:v>L'objectif « Retour et reconnaissance » atteint son raccord annoncé après chaque méthode; sauvegarde, rechargement et saut de scène n'en changent ni le groupe ni les informations acquises.</x:v>
      </x:c>
      <x:c r="O9" s="9" t="str">
        <x:v>HWB-SC-DECISION-MAIN, HWB-SC-DECISION-CHOICE, HWB-SC-DECISION-CINE, HWB-SC-DECISION-PROP</x:v>
      </x:c>
      <x:c r="P9" s="9" t="str">
        <x:v>Critère de production original, pas une validation déjà obtenue.</x:v>
      </x:c>
      <x:c r="Q9" s="9" t="str"/>
      <x:c r="R9" s="17" t="str"/>
      <x:c r="S9" s="17" t="str"/>
    </x:row>
    <x:row r="10" ht="54" customHeight="1">
      <x:c r="A10" s="31" t="str">
        <x:v>HWB-QA-SOURCE</x:v>
      </x:c>
      <x:c r="B10" s="7" t="str">
        <x:v>Vérification des références</x:v>
      </x:c>
      <x:c r="C10" s="14" t="str">
        <x:v>Défini</x:v>
      </x:c>
      <x:c r="D10" s="30" t="str">
        <x:v>Extrapolation</x:v>
      </x:c>
      <x:c r="E10" s="30" t="str">
        <x:v>P0</x:v>
      </x:c>
      <x:c r="F10" s="7" t="str">
        <x:v>Contrôler He Who Laughs Best dans une édition autorisée avant de transformer les éléments À vérifier en faits établis.</x:v>
      </x:c>
      <x:c r="G10" s="7" t="str">
        <x:v>Contrôler le récit court dans son édition autorisée; ne pas inventer des numéros ou une pagination absents de la consultation.</x:v>
      </x:c>
      <x:c r="H10" s="7" t="str"/>
      <x:c r="I10" s="7" t="str"/>
      <x:c r="J10" s="7" t="str"/>
      <x:c r="K10" s="7" t="str"/>
      <x:c r="L10" s="7" t="str">
        <x:v>Contrat de production HWB/QA-SOURCE; à appliquer au futur contenu de l'œuvre.</x:v>
      </x:c>
      <x:c r="M10" s="7" t="str">
        <x:v>Recette planifiée; aucune réalisation testée ici.</x:v>
      </x:c>
      <x:c r="N10" s="7" t="str">
        <x:v>Chaque ajout de nom, page, costume ou date est lié à la bonne édition; les descriptions restent brèves et paraphrasées.</x:v>
      </x:c>
      <x:c r="O10" s="7" t="str">
        <x:v>HWB-REF-SCOPE</x:v>
      </x:c>
      <x:c r="P10" s="7" t="str">
        <x:v>Règle originale de production; les ancrages de continuité sont documentés dans les fiches REF.</x:v>
      </x:c>
      <x:c r="Q10" s="7" t="str"/>
      <x:c r="R10" s="32" t="str"/>
      <x:c r="S10" s="32" t="str"/>
    </x:row>
    <x:row r="11" ht="54" customHeight="1">
      <x:c r="A11" s="16" t="str">
        <x:v>HWB-QA-VISIBILITY</x:v>
      </x:c>
      <x:c r="B11" s="9" t="str">
        <x:v>Lecture des sprites et du terrain</x:v>
      </x:c>
      <x:c r="C11" s="14" t="str">
        <x:v>Défini</x:v>
      </x:c>
      <x:c r="D11" s="15" t="str">
        <x:v>Extrapolation</x:v>
      </x:c>
      <x:c r="E11" s="15" t="str">
        <x:v>P0</x:v>
      </x:c>
      <x:c r="F11" s="9" t="str">
        <x:v>Contrôler la taille des sprites, la séparation des silhouettes et les sorties sous la caméra fixe de chaque scène.</x:v>
      </x:c>
      <x:c r="G11" s="9" t="str">
        <x:v>Faire parcourir les zones avec premier plan actif, sous-titres larges et mode de contraste renforcé.</x:v>
      </x:c>
      <x:c r="H11" s="9" t="str"/>
      <x:c r="I11" s="9" t="str"/>
      <x:c r="J11" s="9" t="str"/>
      <x:c r="K11" s="9" t="str"/>
      <x:c r="L11" s="9" t="str">
        <x:v>Contrat de production HWB/QA-VISIBILITY; à appliquer au futur contenu de l'œuvre.</x:v>
      </x:c>
      <x:c r="M11" s="9" t="str">
        <x:v>Recette planifiée; aucune réalisation testée ici.</x:v>
      </x:c>
      <x:c r="N11" s="9" t="str">
        <x:v>Le personnage contrôlé, les sorties et le signal de danger restent localisables sans désactiver le décor.</x:v>
      </x:c>
      <x:c r="O11" s="9" t="str">
        <x:v>HWB-REF-SCOPE</x:v>
      </x:c>
      <x:c r="P11" s="9" t="str">
        <x:v>Règle originale de production; les ancrages de continuité sont documentés dans les fiches REF.</x:v>
      </x:c>
      <x:c r="Q11" s="9" t="str"/>
      <x:c r="R11" s="17" t="str"/>
      <x:c r="S11" s="17" t="str"/>
    </x:row>
    <x:row r="12" ht="82" customHeight="1">
      <x:c r="A12" s="31" t="str">
        <x:v>HWB-QA-NARRATIVE</x:v>
      </x:c>
      <x:c r="B12" s="7" t="str">
        <x:v>Convergence narrative</x:v>
      </x:c>
      <x:c r="C12" s="14" t="str">
        <x:v>Défini</x:v>
      </x:c>
      <x:c r="D12" s="30" t="str">
        <x:v>Extrapolation</x:v>
      </x:c>
      <x:c r="E12" s="30" t="str">
        <x:v>P0</x:v>
      </x:c>
      <x:c r="F12" s="7" t="str">
        <x:v>Conserver le résultat de l’essai et la décision narrative; les performances de mini-jeu n’annulent pas le recrutement publié. Les préjugés des personnages ne deviennent pas les règles du système.</x:v>
      </x:c>
      <x:c r="G12" s="7" t="str">
        <x:v>La continuité éditoriale est distincte des essais de gameplay; un choix stratégique ne réécrit pas la fin publiée.</x:v>
      </x:c>
      <x:c r="H12" s="7" t="str"/>
      <x:c r="I12" s="7" t="str"/>
      <x:c r="J12" s="7" t="str"/>
      <x:c r="K12" s="7" t="str"/>
      <x:c r="L12" s="7" t="str">
        <x:v>Contrat de production HWB/QA-NARRATIVE; à appliquer au futur contenu de l'œuvre.</x:v>
      </x:c>
      <x:c r="M12" s="7" t="str">
        <x:v>Recette planifiée; aucune réalisation testée ici.</x:v>
      </x:c>
      <x:c r="N12" s="7" t="str">
        <x:v>Jouer chaque choix local et passer chaque cinématique produit les mêmes ancrages de conclusion; les divergences restent marquées adaptation.</x:v>
      </x:c>
      <x:c r="O12" s="7" t="str">
        <x:v>HWB-REF-SCOPE</x:v>
      </x:c>
      <x:c r="P12" s="7" t="str">
        <x:v>Règle originale de production; les ancrages de continuité sont documentés dans les fiches REF.</x:v>
      </x:c>
      <x:c r="Q12" s="7" t="str"/>
      <x:c r="R12" s="32" t="str"/>
      <x:c r="S12" s="32" t="str"/>
    </x:row>
  </x:sheetData>
  <x:conditionalFormatting sqref="D7:D12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2">
    <x:cfRule type="cellIs" dxfId="98" priority="3" operator="equal">
      <x:formula>"Validé"</x:formula>
    </x:cfRule>
  </x:conditionalFormatting>
  <x:conditionalFormatting sqref="E7:E12">
    <x:cfRule type="cellIs" dxfId="99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3d3ab53c6b4788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He Who Laughs Best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HWB-CNT-PLACE</x:v>
      </x:c>
      <x:c r="B7" s="9" t="str">
        <x:v>Position dans l’univers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Le récit précède ME1 et concerne le Normandy SR-1. Ne pas utiliser la géométrie, les améliorations ou les fonctions du SR-2 comme s’ils étaient présents.</x:v>
      </x:c>
      <x:c r="G7" s="9" t="str">
        <x:v>La continuité éditoriale est distincte des essais de gameplay; un choix stratégique ne réécrit pas la fin publiée.</x:v>
      </x:c>
      <x:c r="H7" s="9" t="str"/>
      <x:c r="I7" s="9" t="str"/>
      <x:c r="J7" s="9" t="str"/>
      <x:c r="K7" s="9" t="str"/>
      <x:c r="L7" s="9" t="str">
        <x:v>Contrat de production HWB/CNT-PLACE; à appliquer au futur contenu de l'œuvre.</x:v>
      </x:c>
      <x:c r="M7" s="9" t="str">
        <x:v>Conserver le résultat de l’essai et la décision narrative; les performances de mini-jeu n’annulent pas le recrutement publié. Les préjugés des personnages ne deviennent pas les règles du système.</x:v>
      </x:c>
      <x:c r="N7" s="9" t="str">
        <x:v>La frise indique les incertitudes et les liens avec les autres œuvres sans attribuer une date non sourcée.</x:v>
      </x:c>
      <x:c r="O7" s="9" t="str">
        <x:v>HWB-REF-SCOPE</x:v>
      </x:c>
      <x:c r="P7" s="9" t="str">
        <x:v>Règle originale de production; les ancrages de continuité sont documentés dans les fiches REF.</x:v>
      </x:c>
      <x:c r="Q7" s="9" t="str"/>
      <x:c r="R7" s="17" t="str"/>
      <x:c r="S7" s="17" t="str"/>
    </x:row>
    <x:row r="8" ht="68" customHeight="1">
      <x:c r="A8" s="31" t="str">
        <x:v>HWB-CNT-NO-CUT</x:v>
      </x:c>
      <x:c r="B8" s="7" t="str">
        <x:v>Contenus non attestés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Aucune rumeur de scène coupée n’est intégrée à He Who Laughs Best.</x:v>
      </x:c>
      <x:c r="G8" s="7" t="str">
        <x:v>Un contenu absent des notices consultées reste non documenté; une illustration préparatoire ne prouve pas une scène canon.</x:v>
      </x:c>
      <x:c r="H8" s="7" t="str"/>
      <x:c r="I8" s="7" t="str"/>
      <x:c r="J8" s="7" t="str"/>
      <x:c r="K8" s="7" t="str"/>
      <x:c r="L8" s="7" t="str">
        <x:v>Contrat de production HWB/CNT-NO-CUT; à appliquer au futur contenu de l'œuvre.</x:v>
      </x:c>
      <x:c r="M8" s="7" t="str">
        <x:v>Conserver le résultat de l’essai et la décision narrative; les performances de mini-jeu n’annulent pas le recrutement publié. Les préjugés des personnages ne deviennent pas les règles du système.</x:v>
      </x:c>
      <x:c r="N8" s="7" t="str">
        <x:v>Une future fiche Coupé attesté ou Concept abandonné devra citer une preuve primaire spécifique.</x:v>
      </x:c>
      <x:c r="O8" s="7" t="str">
        <x:v>HWB-REF-SCOPE</x:v>
      </x:c>
      <x:c r="P8" s="7" t="str">
        <x:v>Règle originale de production; les ancrages de continuité sont documentés dans les fiches REF.</x:v>
      </x:c>
      <x:c r="Q8" s="7" t="str"/>
      <x:c r="R8" s="32" t="str"/>
      <x:c r="S8" s="32" t="str"/>
    </x:row>
  </x:sheetData>
  <x:conditionalFormatting sqref="D7:D8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8">
    <x:cfRule type="cellIs" dxfId="102" priority="3" operator="equal">
      <x:formula>"Validé"</x:formula>
    </x:cfRule>
  </x:conditionalFormatting>
  <x:conditionalFormatting sqref="E7:E8">
    <x:cfRule type="cellIs" dxfId="10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6d1605bf0f41f3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Effect: He Who Laughs Best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26" t="str">
        <x:v>Champ</x:v>
      </x:c>
      <x:c r="B6" s="28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Effect: He Who Laughs Best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Comic court / récit autonome</x:v>
      </x:c>
      <x:c r="C8" s="2"/>
      <x:c r="D8" s="2"/>
      <x:c r="E8" s="2"/>
      <x:c r="F8" s="2"/>
    </x:row>
    <x:row r="9" ht="54" customHeight="1">
      <x:c r="A9" s="7" t="str">
        <x:v>Périmètre</x:v>
      </x:c>
      <x:c r="B9" s="7" t="str">
        <x:v>Récit autonome de la manière dont Joker obtient la place de pilote du Normandy SR-1; Arcturus, essai et décision finale. Le pilotage proposé reste un mini-module accessible.</x:v>
      </x:c>
      <x:c r="C9" s="2"/>
      <x:c r="D9" s="2"/>
      <x:c r="E9" s="2"/>
      <x:c r="F9" s="2"/>
    </x:row>
    <x:row r="10" ht="68" customHeight="1">
      <x:c r="A10" s="7" t="str">
        <x:v>Projet</x:v>
      </x:c>
      <x:c r="B10" s="7" t="str">
        <x:v>Catalogue de mise en scène de compétence, préjugé et reconnaissance, avec simulation de trajectoires lisibles. La mobilité physique de Joker n’est pas traitée comme une pénalité de combat à vaincre.</x:v>
      </x:c>
      <x:c r="C10" s="2"/>
      <x:c r="D10" s="2"/>
      <x:c r="E10" s="2"/>
      <x:c r="F10" s="2"/>
    </x:row>
    <x:row r="11" ht="166" customHeight="1">
      <x:c r="A11" s="7" t="str">
        <x:v>Références et limites</x:v>
      </x:c>
      <x:c r="B11" s="7" t="str">
        <x:v>L’intrigue détaillée est lue dans le wiki indexé, donc À vérifier. La notice officielle confirme la collecte du récit FCBD 2013 dans Omnibus 2. Les missions, options, ATB, coûts, compositions 2D/3D, effets et fichiers proposés sont des extrapolations; aucun chiffre de réglage n’est présenté comme canon. « Établi » qualifie uniquement le fait bref de description, pas sa proposition d’adaptation. Les sources wiki consultées via l’index restent À vérifier. Les 12 pages Fandom fournies ont été tentées en accès direct et ont échoué; les notices officielles et notes d’auteur servent de remplacement lorsque disponibles.</x:v>
      </x:c>
      <x:c r="C11" s="2"/>
      <x:c r="D11" s="2"/>
      <x:c r="E11" s="2"/>
      <x:c r="F11" s="2"/>
    </x:row>
    <x:row r="12" ht="40" customHeight="1">
      <x:c r="A12" s="7" t="str">
        <x:v>Date de référence</x:v>
      </x:c>
      <x:c r="B12" s="44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26" t="str">
        <x:v>Source</x:v>
      </x:c>
      <x:c r="B26" s="27" t="str">
        <x:v>Titre</x:v>
      </x:c>
      <x:c r="C26" s="27" t="str">
        <x:v>Type</x:v>
      </x:c>
      <x:c r="D26" s="27" t="str">
        <x:v>URL</x:v>
      </x:c>
      <x:c r="E26" s="27" t="str">
        <x:v>Périmètre</x:v>
      </x:c>
      <x:c r="F26" s="28" t="str">
        <x:v>Accès et limites</x:v>
      </x:c>
    </x:row>
    <x:row r="27" ht="42" customHeight="1">
      <x:c r="A27" s="6" t="str">
        <x:v>HWB-S-OMNI2</x:v>
      </x:c>
      <x:c r="B27" s="6" t="str">
        <x:v>Dark Horse — Mass Effect Omnibus Volume 2</x:v>
      </x:c>
      <x:c r="C27" s="6" t="str">
        <x:v>source officielle — notice Dark Horse via Penguin Random House</x:v>
      </x:c>
      <x:c r="D27" s="6" t="str">
        <x:v>https://www.penguinrandomhouse.com/books/556082/mass-effect-omnibus-volume-2-by-jeremy-barlow/</x:v>
      </x:c>
      <x:c r="E27" s="6" t="str">
        <x:v>Foundation #1–13, Blasto et He Who Laughs Best rassemblés.</x:v>
      </x:c>
      <x:c r="F27" s="6" t="str">
        <x:v>Consulté le 22 octobre 2026; les faits sont paraphrasés brièvement.</x:v>
      </x:c>
    </x:row>
    <x:row r="28" ht="54" customHeight="1">
      <x:c r="A28" s="6" t="str">
        <x:v>HWB-S-WIKI</x:v>
      </x:c>
      <x:c r="B28" s="6" t="str">
        <x:v>Mass Effect: He Who Laughs Best</x:v>
      </x:c>
      <x:c r="C28" s="6" t="str">
        <x:v>wiki — extrait indexé, à contrôler</x:v>
      </x:c>
      <x:c r="D28" s="6" t="str">
        <x:v>https://masseffect.fandom.com/wiki/Mass_Effect%3A_He_Who_Laughs_Best</x:v>
      </x:c>
      <x:c r="E28" s="6" t="str">
        <x:v>Joker, Arcturus, test du Normandy, Invectus, Anderson et Dillard.</x:v>
      </x:c>
      <x:c r="F28" s="6" t="str">
        <x:v>Contenu lu dans le résultat de recherche indexé; ouverture directe Fandom restreinte ou en erreur. Comparaison avec le comic autorisé requise.</x:v>
      </x:c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  <x:row r="31" ht="22" customHeight="1">
      <x:c r="A31" s="2"/>
      <x:c r="B31" s="2"/>
      <x:c r="C31" s="2"/>
      <x:c r="D31" s="2"/>
      <x:c r="E31" s="2"/>
      <x:c r="F31" s="2"/>
    </x:row>
    <x:row r="32" ht="34" customHeight="1">
      <x:c r="A32" s="26" t="str">
        <x:v>Domaine</x:v>
      </x:c>
      <x:c r="B32" s="27" t="str">
        <x:v>Couverture actuelle</x:v>
      </x:c>
      <x:c r="C32" s="28" t="str">
        <x:v>Travail restant</x:v>
      </x:c>
      <x:c r="D32" s="2"/>
      <x:c r="E32" s="2"/>
      <x:c r="F32" s="2"/>
    </x:row>
    <x:row r="33" ht="68" customHeight="1">
      <x:c r="A33" s="6" t="str">
        <x:v>characters</x:v>
      </x:c>
      <x:c r="B33" s="6" t="str">
        <x:v>1 fiche(s) : Jeff « Joker » Moreau</x:v>
      </x:c>
      <x:c r="C33" s="6" t="str">
        <x:v>Comparer les détails marqués À vérifier à une édition autorisée; les sources éditoriales n’attestent pas chaque détail graphique.</x:v>
      </x:c>
      <x:c r="D33" s="2"/>
      <x:c r="E33" s="2"/>
      <x:c r="F33" s="2"/>
    </x:row>
    <x:row r="34" ht="68" customHeight="1">
      <x:c r="A34" s="6" t="str">
        <x:v>npcs</x:v>
      </x:c>
      <x:c r="B34" s="6" t="str">
        <x:v>4 fiche(s) : David Anderson; Capitaine Dillard; Général Invectus; Crooks</x:v>
      </x:c>
      <x:c r="C34" s="6" t="str">
        <x:v>Comparer les détails marqués À vérifier à une édition autorisée; les sources éditoriales n’attestent pas chaque détail graphique.</x:v>
      </x:c>
      <x:c r="D34" s="2"/>
      <x:c r="E34" s="2"/>
      <x:c r="F34" s="2"/>
    </x:row>
    <x:row r="35" ht="68" customHeight="1">
      <x:c r="A35" s="6" t="str">
        <x:v>lore</x:v>
      </x:c>
      <x:c r="B35" s="6" t="str">
        <x:v>6 fiche(s) : Récit FCBD rassemblé; Origine de l’affectation de Joker; Normandy de première génération; Arrivée et jugement préalable</x:v>
      </x:c>
      <x:c r="C35" s="6" t="str">
        <x:v>Comparer les détails marqués À vérifier à une édition autorisée; les sources éditoriales n’attestent pas chaque détail graphique.</x:v>
      </x:c>
      <x:c r="D35" s="2"/>
      <x:c r="E35" s="2"/>
      <x:c r="F35" s="2"/>
    </x:row>
    <x:row r="36" ht="68" customHeight="1">
      <x:c r="A36" s="6" t="str">
        <x:v>worlds</x:v>
      </x:c>
      <x:c r="B36" s="6" t="str">
        <x:v>2 fiche(s) : Arcturus Station; Normandy SR-1 — espace d’essai</x:v>
      </x:c>
      <x:c r="C36" s="6" t="str">
        <x:v>Comparer les détails marqués À vérifier à une édition autorisée; les sources éditoriales n’attestent pas chaque détail graphique.</x:v>
      </x:c>
      <x:c r="D36" s="2"/>
      <x:c r="E36" s="2"/>
      <x:c r="F36" s="2"/>
    </x:row>
    <x:row r="37" ht="54" customHeight="1">
      <x:c r="A37" s="6" t="str">
        <x:v>zones</x:v>
      </x:c>
      <x:c r="B37" s="6" t="str">
        <x:v>2 fiche(s) : Arcturus Station — espace jouable proposé; Normandy SR-1 — espace d’essai — espace jouable proposé</x:v>
      </x:c>
      <x:c r="C37" s="6" t="str">
        <x:v>Prototyper les règles proposées et exécuter les critères de recette; aucune fiche n’est déclarée intégrée ou validée.</x:v>
      </x:c>
      <x:c r="D37" s="2"/>
      <x:c r="E37" s="2"/>
      <x:c r="F37" s="2"/>
    </x:row>
    <x:row r="38" ht="54" customHeight="1">
      <x:c r="A38" s="6" t="str">
        <x:v>links</x:v>
      </x:c>
      <x:c r="B38" s="6" t="str">
        <x:v>2 fiche(s) : Arcturus Station — accès et sortie; Normandy SR-1 — espace d’essai — accès et sortie</x:v>
      </x:c>
      <x:c r="C38" s="6" t="str">
        <x:v>Prototyper les règles proposées et exécuter les critères de recette; aucune fiche n’est déclarée intégrée ou validée.</x:v>
      </x:c>
      <x:c r="D38" s="2"/>
      <x:c r="E38" s="2"/>
      <x:c r="F38" s="2"/>
    </x:row>
    <x:row r="39" ht="54" customHeight="1">
      <x:c r="A39" s="6" t="str">
        <x:v>scenery</x:v>
      </x:c>
      <x:c r="B39" s="6" t="str">
        <x:v>2 fiche(s) : Arcturus Station — décor et repère; Normandy SR-1 — espace d’essai — décor et repère</x:v>
      </x:c>
      <x:c r="C39" s="6" t="str">
        <x:v>Produire les assets originaux puis vérifier en situation; ce catalogue ne livre ni image, ni son, ni animation.</x:v>
      </x:c>
      <x:c r="D39" s="2"/>
      <x:c r="E39" s="2"/>
      <x:c r="F39" s="2"/>
    </x:row>
    <x:row r="40" ht="54" customHeight="1">
      <x:c r="A40" s="6" t="str">
        <x:v>props</x:v>
      </x:c>
      <x:c r="B40" s="6" t="str">
        <x:v>3 fiche(s) : Manifeste d’essai; Interface de trajectoire; Bilan d’essai</x:v>
      </x:c>
      <x:c r="C40" s="6" t="str">
        <x:v>Prototyper les règles proposées et exécuter les critères de recette; aucune fiche n’est déclarée intégrée ou validée.</x:v>
      </x:c>
      <x:c r="D40" s="2"/>
      <x:c r="E40" s="2"/>
      <x:c r="F40" s="2"/>
    </x:row>
    <x:row r="41" ht="54" customHeight="1">
      <x:c r="A41" s="6" t="str">
        <x:v>enemies</x:v>
      </x:c>
      <x:c r="B41" s="6" t="str">
        <x:v>1 fiche(s) : Patrouille d’interception — simulation</x:v>
      </x:c>
      <x:c r="C41" s="6" t="str">
        <x:v>Prototyper les règles proposées et exécuter les critères de recette; aucune fiche n’est déclarée intégrée ou validée.</x:v>
      </x:c>
      <x:c r="D41" s="2"/>
      <x:c r="E41" s="2"/>
      <x:c r="F41" s="2"/>
    </x:row>
    <x:row r="42" ht="54" customHeight="1">
      <x:c r="A42" s="6" t="str">
        <x:v>main_quests</x:v>
      </x:c>
      <x:c r="B42" s="6" t="str">
        <x:v>3 fiche(s) : Arrivée et jugement préalable — objectif jouable; Essai du Normandy — objectif jouable; Retour et reconnaissance — objectif jouable</x:v>
      </x:c>
      <x:c r="C42" s="6" t="str">
        <x:v>Prototyper les règles proposées et exécuter les critères de recette; aucune fiche n’est déclarée intégrée ou validée.</x:v>
      </x:c>
      <x:c r="D42" s="2"/>
      <x:c r="E42" s="2"/>
      <x:c r="F42" s="2"/>
    </x:row>
    <x:row r="43" ht="54" customHeight="1">
      <x:c r="A43" s="6" t="str">
        <x:v>side_quests</x:v>
      </x:c>
      <x:c r="B43" s="6" t="str">
        <x:v>3 fiche(s) : Consulter le plan de vol; Maintenir une trajectoire douce; Relire les manœuvres réussies</x:v>
      </x:c>
      <x:c r="C43" s="6" t="str">
        <x:v>Prototyper les règles proposées et exécuter les critères de recette; aucune fiche n’est déclarée intégrée ou validée.</x:v>
      </x:c>
      <x:c r="D43" s="2"/>
      <x:c r="E43" s="2"/>
      <x:c r="F43" s="2"/>
    </x:row>
    <x:row r="44" ht="54" customHeight="1">
      <x:c r="A44" s="6" t="str">
        <x:v>choices</x:v>
      </x:c>
      <x:c r="B44" s="6" t="str">
        <x:v>3 fiche(s) : Arrivée et jugement préalable — stratégie locale; Essai du Normandy — stratégie locale; Retour et reconnaissance — stratégie locale</x:v>
      </x:c>
      <x:c r="C44" s="6" t="str">
        <x:v>Prototyper les règles proposées et exécuter les critères de recette; aucune fiche n’est déclarée intégrée ou validée.</x:v>
      </x:c>
      <x:c r="D44" s="2"/>
      <x:c r="E44" s="2"/>
      <x:c r="F44" s="2"/>
    </x:row>
    <x:row r="45" ht="54" customHeight="1">
      <x:c r="A45" s="6" t="str">
        <x:v>dialogues</x:v>
      </x:c>
      <x:c r="B45" s="6" t="str">
        <x:v>3 fiche(s) : Arrivée et jugement préalable — intentions de conversation; Essai du Normandy — intentions de conversation; Retour et reconnaissance — intentions de conversation</x:v>
      </x:c>
      <x:c r="C45" s="6" t="str">
        <x:v>Prototyper les règles proposées et exécuter les critères de recette; aucune fiche n’est déclarée intégrée ou validée.</x:v>
      </x:c>
      <x:c r="D45" s="2"/>
      <x:c r="E45" s="2"/>
      <x:c r="F45" s="2"/>
    </x:row>
    <x:row r="46" ht="54" customHeight="1">
      <x:c r="A46" s="6" t="str">
        <x:v>cinematics</x:v>
      </x:c>
      <x:c r="B46" s="6" t="str">
        <x:v>3 fiche(s) : Arrivée et jugement préalable — raccord mis en scène; Essai du Normandy — raccord mis en scène; Retour et reconnaissance — raccord mis en scène</x:v>
      </x:c>
      <x:c r="C46" s="6" t="str">
        <x:v>Prototyper les règles proposées et exécuter les critères de recette; aucune fiche n’est déclarée intégrée ou validée.</x:v>
      </x:c>
      <x:c r="D46" s="2"/>
      <x:c r="E46" s="2"/>
      <x:c r="F46" s="2"/>
    </x:row>
    <x:row r="47" ht="54" customHeight="1">
      <x:c r="A47" s="6" t="str">
        <x:v>weapons</x:v>
      </x:c>
      <x:c r="B47" s="6" t="str">
        <x:v>1 fiche(s) : Armement : aucun combat destructif requis</x:v>
      </x:c>
      <x:c r="C47" s="6" t="str">
        <x:v>Prototyper les règles proposées et exécuter les critères de recette; aucune fiche n’est déclarée intégrée ou validée.</x:v>
      </x:c>
      <x:c r="D47" s="2"/>
      <x:c r="E47" s="2"/>
      <x:c r="F47" s="2"/>
    </x:row>
    <x:row r="48" ht="54" customHeight="1">
      <x:c r="A48" s="6" t="str">
        <x:v>equipment</x:v>
      </x:c>
      <x:c r="B48" s="6" t="str">
        <x:v>1 fiche(s) : Commandes de cockpit adaptées</x:v>
      </x:c>
      <x:c r="C48" s="6" t="str">
        <x:v>Prototyper les règles proposées et exécuter les critères de recette; aucune fiche n’est déclarée intégrée ou validée.</x:v>
      </x:c>
      <x:c r="D48" s="2"/>
      <x:c r="E48" s="2"/>
      <x:c r="F48" s="2"/>
    </x:row>
    <x:row r="49" ht="54" customHeight="1">
      <x:c r="A49" s="6" t="str">
        <x:v>powers</x:v>
      </x:c>
      <x:c r="B49" s="6" t="str">
        <x:v>1 fiche(s) : Sang-froid de pilotage — compétence proposée</x:v>
      </x:c>
      <x:c r="C49" s="6" t="str">
        <x:v>Prototyper les règles proposées et exécuter les critères de recette; aucune fiche n’est déclarée intégrée ou validée.</x:v>
      </x:c>
      <x:c r="D49" s="2"/>
      <x:c r="E49" s="2"/>
      <x:c r="F49" s="2"/>
    </x:row>
    <x:row r="50" ht="54" customHeight="1">
      <x:c r="A50" s="6" t="str">
        <x:v>ally_moves</x:v>
      </x:c>
      <x:c r="B50" s="6" t="str">
        <x:v>1 fiche(s) : Correction de trajectoire</x:v>
      </x:c>
      <x:c r="C50" s="6" t="str">
        <x:v>Prototyper les règles proposées et exécuter les critères de recette; aucune fiche n’est déclarée intégrée ou validée.</x:v>
      </x:c>
      <x:c r="D50" s="2"/>
      <x:c r="E50" s="2"/>
      <x:c r="F50" s="2"/>
    </x:row>
    <x:row r="51" ht="54" customHeight="1">
      <x:c r="A51" s="6" t="str">
        <x:v>enemy_moves</x:v>
      </x:c>
      <x:c r="B51" s="6" t="str">
        <x:v>2 fiche(s) : Verrouillage de trajectoire; Passage de barrage</x:v>
      </x:c>
      <x:c r="C51" s="6" t="str">
        <x:v>Prototyper les règles proposées et exécuter les critères de recette; aucune fiche n’est déclarée intégrée ou validée.</x:v>
      </x:c>
      <x:c r="D51" s="2"/>
      <x:c r="E51" s="2"/>
      <x:c r="F51" s="2"/>
    </x:row>
    <x:row r="52" ht="54" customHeight="1">
      <x:c r="A52" s="6" t="str">
        <x:v>animations</x:v>
      </x:c>
      <x:c r="B52" s="6" t="str">
        <x:v>5 fiche(s) : Jeff « Joker » Moreau — jeu de poses; David Anderson — jeu de poses; Capitaine Dillard — jeu de poses; Général Invectus — jeu de poses</x:v>
      </x:c>
      <x:c r="C52" s="6" t="str">
        <x:v>Produire les assets originaux puis vérifier en situation; ce catalogue ne livre ni image, ni son, ni animation.</x:v>
      </x:c>
      <x:c r="D52" s="2"/>
      <x:c r="E52" s="2"/>
      <x:c r="F52" s="2"/>
    </x:row>
    <x:row r="53" ht="54" customHeight="1">
      <x:c r="A53" s="6" t="str">
        <x:v>sprites</x:v>
      </x:c>
      <x:c r="B53" s="6" t="str">
        <x:v>5 fiche(s) : Jeff « Joker » Moreau — planche de sprites; David Anderson — planche de sprites; Capitaine Dillard — planche de sprites; Général Invectus — planche de sprites</x:v>
      </x:c>
      <x:c r="C53" s="6" t="str">
        <x:v>Produire les assets originaux puis vérifier en situation; ce catalogue ne livre ni image, ni son, ni animation.</x:v>
      </x:c>
      <x:c r="D53" s="2"/>
      <x:c r="E53" s="2"/>
      <x:c r="F53" s="2"/>
    </x:row>
    <x:row r="54" ht="54" customHeight="1">
      <x:c r="A54" s="6" t="str">
        <x:v>vfx</x:v>
      </x:c>
      <x:c r="B54" s="6" t="str">
        <x:v>3 fiche(s) : Arrivée et jugement préalable — signal visuel; Essai du Normandy — signal visuel; Retour et reconnaissance — signal visuel</x:v>
      </x:c>
      <x:c r="C54" s="6" t="str">
        <x:v>Produire les assets originaux puis vérifier en situation; ce catalogue ne livre ni image, ni son, ni animation.</x:v>
      </x:c>
      <x:c r="D54" s="2"/>
      <x:c r="E54" s="2"/>
      <x:c r="F54" s="2"/>
    </x:row>
    <x:row r="55" ht="54" customHeight="1">
      <x:c r="A55" s="6" t="str">
        <x:v>audio</x:v>
      </x:c>
      <x:c r="B55" s="6" t="str">
        <x:v>2 fiche(s) : Arcturus Station — paysage sonore; Normandy SR-1 — espace d’essai — paysage sonore</x:v>
      </x:c>
      <x:c r="C55" s="6" t="str">
        <x:v>Produire les assets originaux puis vérifier en situation; ce catalogue ne livre ni image, ni son, ni animation.</x:v>
      </x:c>
      <x:c r="D55" s="2"/>
      <x:c r="E55" s="2"/>
      <x:c r="F55" s="2"/>
    </x:row>
    <x:row r="56" ht="54" customHeight="1">
      <x:c r="A56" s="6" t="str">
        <x:v>systems</x:v>
      </x:c>
      <x:c r="B56" s="6" t="str">
        <x:v>4 fiche(s) : Journal à deux niveaux; Groupe propre au chapitre; Rythme ATB proposé; Sauvegarde des modules</x:v>
      </x:c>
      <x:c r="C56" s="6" t="str">
        <x:v>Prototyper les règles proposées et exécuter les critères de recette; aucune fiche n’est déclarée intégrée ou validée.</x:v>
      </x:c>
      <x:c r="D56" s="2"/>
      <x:c r="E56" s="2"/>
      <x:c r="F56" s="2"/>
    </x:row>
    <x:row r="57" ht="68" customHeight="1">
      <x:c r="A57" s="6" t="str">
        <x:v>qa</x:v>
      </x:c>
      <x:c r="B57" s="6" t="str">
        <x:v>6 fiche(s) : Arrivée et jugement préalable — contrôle du parcours; Essai du Normandy — contrôle du parcours; Retour et reconnaissance — contrôle du parcours; Vérification des références</x:v>
      </x:c>
      <x:c r="C57" s="6" t="str">
        <x:v>Prototyper les règles proposées et exécuter les critères de recette; aucune fiche n’est déclarée intégrée ou validée.</x:v>
      </x:c>
      <x:c r="D57" s="2"/>
      <x:c r="E57" s="2"/>
      <x:c r="F57" s="2"/>
    </x:row>
    <x:row r="58" ht="68" customHeight="1">
      <x:c r="A58" s="6" t="str">
        <x:v>continuity</x:v>
      </x:c>
      <x:c r="B58" s="6" t="str">
        <x:v>2 fiche(s) : Position dans l’univers; Contenus non attestés</x:v>
      </x:c>
      <x:c r="C58" s="6" t="str">
        <x:v>Comparer les détails marqués À vérifier à une édition autorisée; les sources éditoriales n’attestent pas chaque détail graphique.</x:v>
      </x:c>
      <x:c r="D58" s="2"/>
      <x:c r="E58" s="2"/>
      <x:c r="F58" s="2"/>
    </x:row>
    <x:row r="59" ht="22" customHeight="1">
      <x:c r="A59" s="2"/>
      <x:c r="B59" s="2"/>
      <x:c r="C59" s="2"/>
      <x:c r="D59" s="2"/>
      <x:c r="E59" s="2"/>
      <x:c r="F59" s="2"/>
    </x:row>
    <x:row r="60" ht="22" customHeight="1">
      <x:c r="A60" s="2"/>
      <x:c r="B60" s="2"/>
      <x:c r="C60" s="2"/>
      <x:c r="D60" s="2"/>
      <x:c r="E60" s="2"/>
      <x:c r="F60" s="2"/>
    </x:row>
    <x:row r="61" ht="22" customHeight="1">
      <x:c r="A61" s="2"/>
      <x:c r="B61" s="2"/>
      <x:c r="C61" s="2"/>
      <x:c r="D61" s="2"/>
      <x:c r="E61" s="2"/>
      <x:c r="F61" s="2"/>
    </x:row>
    <x:row r="62" ht="22" customHeight="1">
      <x:c r="A62" s="2"/>
      <x:c r="B62" s="2"/>
      <x:c r="C62" s="2"/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  <x:row r="116" ht="22" customHeight="1">
      <x:c r="A116" s="2"/>
      <x:c r="B116" s="2"/>
      <x:c r="C116" s="2"/>
      <x:c r="D116" s="2"/>
      <x:c r="E116" s="2"/>
      <x:c r="F116" s="2"/>
    </x:row>
    <x:row r="117" ht="22" customHeight="1">
      <x:c r="A117" s="2"/>
      <x:c r="B117" s="2"/>
      <x:c r="C117" s="2"/>
      <x:c r="D117" s="2"/>
      <x:c r="E117" s="2"/>
      <x:c r="F117" s="2"/>
    </x:row>
    <x:row r="118" ht="22" customHeight="1">
      <x:c r="A118" s="2"/>
      <x:c r="B118" s="2"/>
      <x:c r="C118" s="2"/>
      <x:c r="D118" s="2"/>
      <x:c r="E118" s="2"/>
      <x:c r="F118" s="2"/>
    </x:row>
    <x:row r="119" ht="22" customHeight="1">
      <x:c r="A119" s="2"/>
      <x:c r="B119" s="2"/>
      <x:c r="C119" s="2"/>
      <x:c r="D119" s="2"/>
      <x:c r="E119" s="2"/>
      <x:c r="F119" s="2"/>
    </x:row>
    <x:row r="120" ht="22" customHeight="1">
      <x:c r="A120" s="2"/>
      <x:c r="B120" s="2"/>
      <x:c r="C120" s="2"/>
      <x:c r="D120" s="2"/>
      <x:c r="E120" s="2"/>
      <x:c r="F120" s="2"/>
    </x:row>
    <x:row r="121" ht="22" customHeight="1">
      <x:c r="A121" s="2"/>
      <x:c r="B121" s="2"/>
      <x:c r="C121" s="2"/>
      <x:c r="D121" s="2"/>
      <x:c r="E121" s="2"/>
      <x:c r="F121" s="2"/>
    </x:row>
    <x:row r="122" ht="22" customHeight="1">
      <x:c r="A122" s="2"/>
      <x:c r="B122" s="2"/>
      <x:c r="C122" s="2"/>
      <x:c r="D122" s="2"/>
      <x:c r="E122" s="2"/>
      <x:c r="F122" s="2"/>
    </x:row>
    <x:row r="123" ht="22" customHeight="1">
      <x:c r="A123" s="2"/>
      <x:c r="B123" s="2"/>
      <x:c r="C123" s="2"/>
      <x:c r="D123" s="2"/>
      <x:c r="E123" s="2"/>
      <x:c r="F123" s="2"/>
    </x:row>
    <x:row r="124" ht="22" customHeight="1">
      <x:c r="A124" s="2"/>
      <x:c r="B124" s="2"/>
      <x:c r="C124" s="2"/>
      <x:c r="D124" s="2"/>
      <x:c r="E124" s="2"/>
      <x:c r="F124" s="2"/>
    </x:row>
    <x:row r="125" ht="22" customHeight="1">
      <x:c r="A125" s="2"/>
      <x:c r="B125" s="2"/>
      <x:c r="C125" s="2"/>
      <x:c r="D125" s="2"/>
      <x:c r="E125" s="2"/>
      <x:c r="F125" s="2"/>
    </x:row>
    <x:row r="126" ht="22" customHeight="1">
      <x:c r="A126" s="2"/>
      <x:c r="B126" s="2"/>
      <x:c r="C126" s="2"/>
      <x:c r="D126" s="2"/>
      <x:c r="E126" s="2"/>
      <x:c r="F126" s="2"/>
    </x:row>
    <x:row r="127" ht="22" customHeight="1">
      <x:c r="A127" s="2"/>
      <x:c r="B127" s="2"/>
      <x:c r="C127" s="2"/>
      <x:c r="D127" s="2"/>
      <x:c r="E127" s="2"/>
      <x:c r="F127" s="2"/>
    </x:row>
    <x:row r="128" ht="22" customHeight="1">
      <x:c r="A128" s="2"/>
      <x:c r="B128" s="2"/>
      <x:c r="C128" s="2"/>
      <x:c r="D128" s="2"/>
      <x:c r="E128" s="2"/>
      <x:c r="F128" s="2"/>
    </x:row>
  </x:sheetData>
  <x:pageMargins left="0.7" right="0.7" top="0.75" bottom="0.75" header="0.3" footer="0.3"/>
</x:worksheet>
</file>