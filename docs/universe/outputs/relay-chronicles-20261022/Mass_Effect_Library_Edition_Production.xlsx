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8cb6c5b7744b51" /></Relationships>
</file>

<file path=xl/workbook.xml><?xml version="1.0" encoding="utf-8"?>
<x:workbook xmlns:x="http://schemas.openxmlformats.org/spreadsheetml/2006/main">
  <x:sheets>
    <x:sheet xmlns:r="http://schemas.openxmlformats.org/officeDocument/2006/relationships" name="Dashboard" sheetId="1" r:id="Rdd834b4cf2cf4885"/>
    <x:sheet xmlns:r="http://schemas.openxmlformats.org/officeDocument/2006/relationships" name="Personnages" sheetId="2" r:id="R72d3ade0128b48f5"/>
    <x:sheet xmlns:r="http://schemas.openxmlformats.org/officeDocument/2006/relationships" name="PNJ" sheetId="3" r:id="R21d6be0cbc3a402a"/>
    <x:sheet xmlns:r="http://schemas.openxmlformats.org/officeDocument/2006/relationships" name="Especes_factions" sheetId="4" r:id="R621516f3143c47cf"/>
    <x:sheet xmlns:r="http://schemas.openxmlformats.org/officeDocument/2006/relationships" name="Mondes" sheetId="5" r:id="R08a4b752abe5462d"/>
    <x:sheet xmlns:r="http://schemas.openxmlformats.org/officeDocument/2006/relationships" name="Zones" sheetId="6" r:id="R71e76b4e93434849"/>
    <x:sheet xmlns:r="http://schemas.openxmlformats.org/officeDocument/2006/relationships" name="Liaisons" sheetId="7" r:id="Rf62483cff03e4fe7"/>
    <x:sheet xmlns:r="http://schemas.openxmlformats.org/officeDocument/2006/relationships" name="Decors" sheetId="8" r:id="R0c78eff62dfa4ee2"/>
    <x:sheet xmlns:r="http://schemas.openxmlformats.org/officeDocument/2006/relationships" name="Props" sheetId="9" r:id="R2284431b4c894d14"/>
    <x:sheet xmlns:r="http://schemas.openxmlformats.org/officeDocument/2006/relationships" name="Ennemis_boss" sheetId="10" r:id="Rbc4fef26fe204d05"/>
    <x:sheet xmlns:r="http://schemas.openxmlformats.org/officeDocument/2006/relationships" name="Missions" sheetId="11" r:id="R41e0967fc5464ba2"/>
    <x:sheet xmlns:r="http://schemas.openxmlformats.org/officeDocument/2006/relationships" name="Secondaires_DLC" sheetId="12" r:id="Rba40f4bec6074f94"/>
    <x:sheet xmlns:r="http://schemas.openxmlformats.org/officeDocument/2006/relationships" name="Choix_relations" sheetId="13" r:id="R1e350b18c63a44e4"/>
    <x:sheet xmlns:r="http://schemas.openxmlformats.org/officeDocument/2006/relationships" name="Dialogues" sheetId="14" r:id="R8c31865111974f8f"/>
    <x:sheet xmlns:r="http://schemas.openxmlformats.org/officeDocument/2006/relationships" name="Cinematiques" sheetId="15" r:id="Rc403b27909924048"/>
    <x:sheet xmlns:r="http://schemas.openxmlformats.org/officeDocument/2006/relationships" name="Armes" sheetId="16" r:id="Rb58be581c422423f"/>
    <x:sheet xmlns:r="http://schemas.openxmlformats.org/officeDocument/2006/relationships" name="Armures_equipement" sheetId="17" r:id="R6acf084a56bd47f2"/>
    <x:sheet xmlns:r="http://schemas.openxmlformats.org/officeDocument/2006/relationships" name="Pouvoirs" sheetId="18" r:id="R451c68d401e04fce"/>
    <x:sheet xmlns:r="http://schemas.openxmlformats.org/officeDocument/2006/relationships" name="Movesets_allies" sheetId="19" r:id="R8b6cbe0381d24e55"/>
    <x:sheet xmlns:r="http://schemas.openxmlformats.org/officeDocument/2006/relationships" name="Movesets_ennemis" sheetId="20" r:id="Reb188f55640c4e8c"/>
    <x:sheet xmlns:r="http://schemas.openxmlformats.org/officeDocument/2006/relationships" name="Animations" sheetId="21" r:id="R4a1540e7dcad4607"/>
    <x:sheet xmlns:r="http://schemas.openxmlformats.org/officeDocument/2006/relationships" name="Sprites" sheetId="22" r:id="R8909533fc6034e06"/>
    <x:sheet xmlns:r="http://schemas.openxmlformats.org/officeDocument/2006/relationships" name="VFX" sheetId="23" r:id="R950ce7afb2864a17"/>
    <x:sheet xmlns:r="http://schemas.openxmlformats.org/officeDocument/2006/relationships" name="Audio" sheetId="24" r:id="R6ef41575ea7c45e9"/>
    <x:sheet xmlns:r="http://schemas.openxmlformats.org/officeDocument/2006/relationships" name="UI_systemes" sheetId="25" r:id="R4259bc4675094631"/>
    <x:sheet xmlns:r="http://schemas.openxmlformats.org/officeDocument/2006/relationships" name="QA" sheetId="26" r:id="R173deed2ad91425c"/>
    <x:sheet xmlns:r="http://schemas.openxmlformats.org/officeDocument/2006/relationships" name="Continuite" sheetId="27" r:id="Rb79d8794d5bb4a6e"/>
    <x:sheet xmlns:r="http://schemas.openxmlformats.org/officeDocument/2006/relationships" name="Guide" sheetId="28" r:id="Refab1b121ef6421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1" fillId="0" borderId="0" xfId="0" applyNumberFormat="1" applyFont="1" applyFill="1" applyBorder="1" applyAlignment="1">
      <x:alignment vertical="top" wrapText="0"/>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24a45aff8f544896" /><Relationship Type="http://schemas.openxmlformats.org/officeDocument/2006/relationships/theme" Target="/xl/theme/theme1.xml" Id="Ra38f0b4b45004069" /><Relationship Type="http://schemas.openxmlformats.org/officeDocument/2006/relationships/sharedStrings" Target="/xl/sharedStrings.xml" Id="R82cf3048d0d14bab" /><Relationship Type="http://schemas.openxmlformats.org/officeDocument/2006/relationships/worksheet" Target="/xl/worksheets/sheet1.xml" Id="Rdd834b4cf2cf4885" /><Relationship Type="http://schemas.openxmlformats.org/officeDocument/2006/relationships/worksheet" Target="/xl/worksheets/sheet2.xml" Id="R72d3ade0128b48f5" /><Relationship Type="http://schemas.openxmlformats.org/officeDocument/2006/relationships/worksheet" Target="/xl/worksheets/sheet3.xml" Id="R21d6be0cbc3a402a" /><Relationship Type="http://schemas.openxmlformats.org/officeDocument/2006/relationships/worksheet" Target="/xl/worksheets/sheet4.xml" Id="R621516f3143c47cf" /><Relationship Type="http://schemas.openxmlformats.org/officeDocument/2006/relationships/worksheet" Target="/xl/worksheets/sheet5.xml" Id="R08a4b752abe5462d" /><Relationship Type="http://schemas.openxmlformats.org/officeDocument/2006/relationships/worksheet" Target="/xl/worksheets/sheet6.xml" Id="R71e76b4e93434849" /><Relationship Type="http://schemas.openxmlformats.org/officeDocument/2006/relationships/worksheet" Target="/xl/worksheets/sheet7.xml" Id="Rf62483cff03e4fe7" /><Relationship Type="http://schemas.openxmlformats.org/officeDocument/2006/relationships/worksheet" Target="/xl/worksheets/sheet8.xml" Id="R0c78eff62dfa4ee2" /><Relationship Type="http://schemas.openxmlformats.org/officeDocument/2006/relationships/worksheet" Target="/xl/worksheets/sheet9.xml" Id="R2284431b4c894d14" /><Relationship Type="http://schemas.openxmlformats.org/officeDocument/2006/relationships/worksheet" Target="/xl/worksheets/sheet10.xml" Id="Rbc4fef26fe204d05" /><Relationship Type="http://schemas.openxmlformats.org/officeDocument/2006/relationships/worksheet" Target="/xl/worksheets/sheet11.xml" Id="R41e0967fc5464ba2" /><Relationship Type="http://schemas.openxmlformats.org/officeDocument/2006/relationships/worksheet" Target="/xl/worksheets/sheet12.xml" Id="Rba40f4bec6074f94" /><Relationship Type="http://schemas.openxmlformats.org/officeDocument/2006/relationships/worksheet" Target="/xl/worksheets/sheet13.xml" Id="R1e350b18c63a44e4" /><Relationship Type="http://schemas.openxmlformats.org/officeDocument/2006/relationships/worksheet" Target="/xl/worksheets/sheet14.xml" Id="R8c31865111974f8f" /><Relationship Type="http://schemas.openxmlformats.org/officeDocument/2006/relationships/worksheet" Target="/xl/worksheets/sheet15.xml" Id="Rc403b27909924048" /><Relationship Type="http://schemas.openxmlformats.org/officeDocument/2006/relationships/worksheet" Target="/xl/worksheets/sheet16.xml" Id="Rb58be581c422423f" /><Relationship Type="http://schemas.openxmlformats.org/officeDocument/2006/relationships/worksheet" Target="/xl/worksheets/sheet17.xml" Id="R6acf084a56bd47f2" /><Relationship Type="http://schemas.openxmlformats.org/officeDocument/2006/relationships/worksheet" Target="/xl/worksheets/sheet18.xml" Id="R451c68d401e04fce" /><Relationship Type="http://schemas.openxmlformats.org/officeDocument/2006/relationships/worksheet" Target="/xl/worksheets/sheet19.xml" Id="R8b6cbe0381d24e55" /><Relationship Type="http://schemas.openxmlformats.org/officeDocument/2006/relationships/worksheet" Target="/xl/worksheets/sheet20.xml" Id="Reb188f55640c4e8c" /><Relationship Type="http://schemas.openxmlformats.org/officeDocument/2006/relationships/worksheet" Target="/xl/worksheets/sheet21.xml" Id="R4a1540e7dcad4607" /><Relationship Type="http://schemas.openxmlformats.org/officeDocument/2006/relationships/worksheet" Target="/xl/worksheets/sheet22.xml" Id="R8909533fc6034e06" /><Relationship Type="http://schemas.openxmlformats.org/officeDocument/2006/relationships/worksheet" Target="/xl/worksheets/sheet23.xml" Id="R950ce7afb2864a17" /><Relationship Type="http://schemas.openxmlformats.org/officeDocument/2006/relationships/worksheet" Target="/xl/worksheets/sheet24.xml" Id="R6ef41575ea7c45e9" /><Relationship Type="http://schemas.openxmlformats.org/officeDocument/2006/relationships/worksheet" Target="/xl/worksheets/sheet25.xml" Id="R4259bc4675094631" /><Relationship Type="http://schemas.openxmlformats.org/officeDocument/2006/relationships/worksheet" Target="/xl/worksheets/sheet26.xml" Id="R173deed2ad91425c" /><Relationship Type="http://schemas.openxmlformats.org/officeDocument/2006/relationships/worksheet" Target="/xl/worksheets/sheet27.xml" Id="Rb79d8794d5bb4a6e" /><Relationship Type="http://schemas.openxmlformats.org/officeDocument/2006/relationships/worksheet" Target="/xl/worksheets/sheet28.xml" Id="Refab1b121ef64217" /></Relationships>
</file>

<file path=xl/tables/table1.xml><?xml version="1.0" encoding="utf-8"?>
<x:table xmlns:x="http://schemas.openxmlformats.org/spreadsheetml/2006/main" id="1" name="LIB_characters" displayName="LIB_character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LIB_npcs" displayName="LIB_npc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LIB_lore" displayName="LIB_lore"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LIB_worlds" displayName="LIB_world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LIB_zones" displayName="LIB_zone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LIB_links" displayName="LIB_links"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LIB_scenery" displayName="LIB_scenery"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LIB_props" displayName="LIB_prop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LIB_enemies" displayName="LIB_enemie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LIB_main_quests" displayName="LIB_main_quest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LIB_side_quests" displayName="LIB_side_quest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LIB_choices" displayName="LIB_choice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LIB_dialogues" displayName="LIB_dialogue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LIB_cinematics" displayName="LIB_cinematic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LIB_weapons" displayName="LIB_weapon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LIB_equipment" displayName="LIB_equipment"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LIB_powers" displayName="LIB_power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LIB_ally_moves" displayName="LIB_ally_move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LIB_enemy_moves" displayName="LIB_enemy_move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LIB_animations" displayName="LIB_animation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LIB_sprites" displayName="LIB_sprite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LIB_vfx" displayName="LIB_vfx"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LIB_audio" displayName="LIB_audio"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LIB_systems" displayName="LIB_system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LIB_qa" displayName="LIB_qa" ref="A6:S23" headerRowCount="1" totalsRowCount="0" totalsRowShown="0">
  <x:autoFilter ref="A6:S2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LIB_continuity" displayName="LIB_continuity" ref="A6:S22" headerRowCount="1" totalsRowCount="0" totalsRowShown="0">
  <x:autoFilter ref="A6:S2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b4a33366c954b8a" /></Relationships>
</file>

<file path=xl/worksheets/_rels/sheet3.xml.rels>&#65279;<?xml version="1.0" encoding="utf-8"?><Relationships xmlns="http://schemas.openxmlformats.org/package/2006/relationships"><Relationship Type="http://schemas.openxmlformats.org/officeDocument/2006/relationships/table" Target="/xl/tables/table2.xml" Id="Rc7fe8d8bfae64ada" /></Relationships>
</file>

<file path=xl/worksheets/_rels/sheet4.xml.rels>&#65279;<?xml version="1.0" encoding="utf-8"?><Relationships xmlns="http://schemas.openxmlformats.org/package/2006/relationships"><Relationship Type="http://schemas.openxmlformats.org/officeDocument/2006/relationships/table" Target="/xl/tables/table3.xml" Id="Ra05894e3ed244f07" /></Relationships>
</file>

<file path=xl/worksheets/_rels/sheet5.xml.rels>&#65279;<?xml version="1.0" encoding="utf-8"?><Relationships xmlns="http://schemas.openxmlformats.org/package/2006/relationships"><Relationship Type="http://schemas.openxmlformats.org/officeDocument/2006/relationships/table" Target="/xl/tables/table4.xml" Id="Rbe203a143a614e90" /></Relationships>
</file>

<file path=xl/worksheets/_rels/sheet6.xml.rels>&#65279;<?xml version="1.0" encoding="utf-8"?><Relationships xmlns="http://schemas.openxmlformats.org/package/2006/relationships"><Relationship Type="http://schemas.openxmlformats.org/officeDocument/2006/relationships/table" Target="/xl/tables/table5.xml" Id="Ree67ce7b8fde4418" /></Relationships>
</file>

<file path=xl/worksheets/_rels/sheet7.xml.rels>&#65279;<?xml version="1.0" encoding="utf-8"?><Relationships xmlns="http://schemas.openxmlformats.org/package/2006/relationships"><Relationship Type="http://schemas.openxmlformats.org/officeDocument/2006/relationships/table" Target="/xl/tables/table6.xml" Id="R01e8e2553eaf4ebe" /></Relationships>
</file>

<file path=xl/worksheets/_rels/sheet8.xml.rels>&#65279;<?xml version="1.0" encoding="utf-8"?><Relationships xmlns="http://schemas.openxmlformats.org/package/2006/relationships"><Relationship Type="http://schemas.openxmlformats.org/officeDocument/2006/relationships/table" Target="/xl/tables/table7.xml" Id="R70f54ab7121641aa" /></Relationships>
</file>

<file path=xl/worksheets/_rels/sheet9.xml.rels>&#65279;<?xml version="1.0" encoding="utf-8"?><Relationships xmlns="http://schemas.openxmlformats.org/package/2006/relationships"><Relationship Type="http://schemas.openxmlformats.org/officeDocument/2006/relationships/table" Target="/xl/tables/table8.xml" Id="Rcc18f69536b8429a" /></Relationships>
</file>

<file path=xl/worksheets/_rels/sheet10.xml.rels>&#65279;<?xml version="1.0" encoding="utf-8"?><Relationships xmlns="http://schemas.openxmlformats.org/package/2006/relationships"><Relationship Type="http://schemas.openxmlformats.org/officeDocument/2006/relationships/table" Target="/xl/tables/table9.xml" Id="R934820823fd94b28" /></Relationships>
</file>

<file path=xl/worksheets/_rels/sheet11.xml.rels>&#65279;<?xml version="1.0" encoding="utf-8"?><Relationships xmlns="http://schemas.openxmlformats.org/package/2006/relationships"><Relationship Type="http://schemas.openxmlformats.org/officeDocument/2006/relationships/table" Target="/xl/tables/table10.xml" Id="R041c7b92708c49e8" /></Relationships>
</file>

<file path=xl/worksheets/_rels/sheet12.xml.rels>&#65279;<?xml version="1.0" encoding="utf-8"?><Relationships xmlns="http://schemas.openxmlformats.org/package/2006/relationships"><Relationship Type="http://schemas.openxmlformats.org/officeDocument/2006/relationships/table" Target="/xl/tables/table11.xml" Id="R49ec4faa614d4b7c" /></Relationships>
</file>

<file path=xl/worksheets/_rels/sheet13.xml.rels>&#65279;<?xml version="1.0" encoding="utf-8"?><Relationships xmlns="http://schemas.openxmlformats.org/package/2006/relationships"><Relationship Type="http://schemas.openxmlformats.org/officeDocument/2006/relationships/table" Target="/xl/tables/table12.xml" Id="Raeacd4e81f774d9e" /></Relationships>
</file>

<file path=xl/worksheets/_rels/sheet14.xml.rels>&#65279;<?xml version="1.0" encoding="utf-8"?><Relationships xmlns="http://schemas.openxmlformats.org/package/2006/relationships"><Relationship Type="http://schemas.openxmlformats.org/officeDocument/2006/relationships/table" Target="/xl/tables/table13.xml" Id="R06b6cbb0b00b4c41" /></Relationships>
</file>

<file path=xl/worksheets/_rels/sheet15.xml.rels>&#65279;<?xml version="1.0" encoding="utf-8"?><Relationships xmlns="http://schemas.openxmlformats.org/package/2006/relationships"><Relationship Type="http://schemas.openxmlformats.org/officeDocument/2006/relationships/table" Target="/xl/tables/table14.xml" Id="R0f9f36371bbf4596" /></Relationships>
</file>

<file path=xl/worksheets/_rels/sheet16.xml.rels>&#65279;<?xml version="1.0" encoding="utf-8"?><Relationships xmlns="http://schemas.openxmlformats.org/package/2006/relationships"><Relationship Type="http://schemas.openxmlformats.org/officeDocument/2006/relationships/table" Target="/xl/tables/table15.xml" Id="Rb174da25e70e450d" /></Relationships>
</file>

<file path=xl/worksheets/_rels/sheet17.xml.rels>&#65279;<?xml version="1.0" encoding="utf-8"?><Relationships xmlns="http://schemas.openxmlformats.org/package/2006/relationships"><Relationship Type="http://schemas.openxmlformats.org/officeDocument/2006/relationships/table" Target="/xl/tables/table16.xml" Id="R880dc693f590499a" /></Relationships>
</file>

<file path=xl/worksheets/_rels/sheet18.xml.rels>&#65279;<?xml version="1.0" encoding="utf-8"?><Relationships xmlns="http://schemas.openxmlformats.org/package/2006/relationships"><Relationship Type="http://schemas.openxmlformats.org/officeDocument/2006/relationships/table" Target="/xl/tables/table17.xml" Id="R0c02b56e84ca40d8" /></Relationships>
</file>

<file path=xl/worksheets/_rels/sheet19.xml.rels>&#65279;<?xml version="1.0" encoding="utf-8"?><Relationships xmlns="http://schemas.openxmlformats.org/package/2006/relationships"><Relationship Type="http://schemas.openxmlformats.org/officeDocument/2006/relationships/table" Target="/xl/tables/table18.xml" Id="R5b1cccf1c2a64d42" /></Relationships>
</file>

<file path=xl/worksheets/_rels/sheet20.xml.rels>&#65279;<?xml version="1.0" encoding="utf-8"?><Relationships xmlns="http://schemas.openxmlformats.org/package/2006/relationships"><Relationship Type="http://schemas.openxmlformats.org/officeDocument/2006/relationships/table" Target="/xl/tables/table19.xml" Id="R5ed3a8f937004fe2" /></Relationships>
</file>

<file path=xl/worksheets/_rels/sheet21.xml.rels>&#65279;<?xml version="1.0" encoding="utf-8"?><Relationships xmlns="http://schemas.openxmlformats.org/package/2006/relationships"><Relationship Type="http://schemas.openxmlformats.org/officeDocument/2006/relationships/table" Target="/xl/tables/table20.xml" Id="R220c3371fce24949" /></Relationships>
</file>

<file path=xl/worksheets/_rels/sheet22.xml.rels>&#65279;<?xml version="1.0" encoding="utf-8"?><Relationships xmlns="http://schemas.openxmlformats.org/package/2006/relationships"><Relationship Type="http://schemas.openxmlformats.org/officeDocument/2006/relationships/table" Target="/xl/tables/table21.xml" Id="R762037c6b19743b9" /></Relationships>
</file>

<file path=xl/worksheets/_rels/sheet23.xml.rels>&#65279;<?xml version="1.0" encoding="utf-8"?><Relationships xmlns="http://schemas.openxmlformats.org/package/2006/relationships"><Relationship Type="http://schemas.openxmlformats.org/officeDocument/2006/relationships/table" Target="/xl/tables/table22.xml" Id="R224aff2ef4e84f5d" /></Relationships>
</file>

<file path=xl/worksheets/_rels/sheet24.xml.rels>&#65279;<?xml version="1.0" encoding="utf-8"?><Relationships xmlns="http://schemas.openxmlformats.org/package/2006/relationships"><Relationship Type="http://schemas.openxmlformats.org/officeDocument/2006/relationships/table" Target="/xl/tables/table23.xml" Id="Rc5a0c466eb6449a5" /></Relationships>
</file>

<file path=xl/worksheets/_rels/sheet25.xml.rels>&#65279;<?xml version="1.0" encoding="utf-8"?><Relationships xmlns="http://schemas.openxmlformats.org/package/2006/relationships"><Relationship Type="http://schemas.openxmlformats.org/officeDocument/2006/relationships/table" Target="/xl/tables/table24.xml" Id="R915987f546d54f8f" /></Relationships>
</file>

<file path=xl/worksheets/_rels/sheet26.xml.rels>&#65279;<?xml version="1.0" encoding="utf-8"?><Relationships xmlns="http://schemas.openxmlformats.org/package/2006/relationships"><Relationship Type="http://schemas.openxmlformats.org/officeDocument/2006/relationships/table" Target="/xl/tables/table25.xml" Id="Rf6f044ac899c4081" /></Relationships>
</file>

<file path=xl/worksheets/_rels/sheet27.xml.rels>&#65279;<?xml version="1.0" encoding="utf-8"?><Relationships xmlns="http://schemas.openxmlformats.org/package/2006/relationships"><Relationship Type="http://schemas.openxmlformats.org/officeDocument/2006/relationships/table" Target="/xl/tables/table26.xml" Id="R27ddeaa1b11b4756"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Library Edition</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3" t="n">
        <x:f>SUM(B10:B35)</x:f>
        <x:v>80</x:v>
      </x:c>
      <x:c r="C5" s="2"/>
      <x:c r="D5" s="2" t="str">
        <x:v>Intégrés</x:v>
      </x:c>
      <x:c r="E5" s="33" t="n">
        <x:f>SUM(E10:F35)</x:f>
        <x:v>0</x:v>
      </x:c>
      <x:c r="F5" s="2"/>
      <x:c r="G5" s="2" t="str">
        <x:v>À vérifier</x:v>
      </x:c>
      <x:c r="H5" s="33" t="n">
        <x:f>SUM(H10:H35)</x:f>
        <x:v>13</x:v>
      </x:c>
      <x:c r="I5" s="2"/>
      <x:c r="J5" s="2" t="str">
        <x:v>Extrapolations</x:v>
      </x:c>
      <x:c r="K5" s="33" t="n">
        <x:f>SUM(I10:I35)</x:f>
        <x:v>62</x:v>
      </x:c>
      <x:c r="L5" s="2"/>
      <x:c r="M5" s="2"/>
    </x:row>
    <x:row r="6" ht="22" customHeight="1">
      <x:c r="A6" s="2"/>
      <x:c r="B6" s="2"/>
      <x:c r="C6" s="2"/>
      <x:c r="D6" s="2"/>
      <x:c r="E6" s="2"/>
      <x:c r="F6" s="2"/>
      <x:c r="G6" s="2"/>
      <x:c r="H6" s="2"/>
      <x:c r="I6" s="2"/>
      <x:c r="J6" s="2"/>
      <x:c r="K6" s="2"/>
      <x:c r="L6" s="2"/>
      <x:c r="M6" s="2"/>
    </x:row>
    <x:row r="7" ht="22" customHeight="1">
      <x:c r="A7" s="34"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26" t="str">
        <x:v>Domaine</x:v>
      </x:c>
      <x:c r="B9" s="27" t="str">
        <x:v>Total</x:v>
      </x:c>
      <x:c r="C9" s="27" t="str">
        <x:v>Défini</x:v>
      </x:c>
      <x:c r="D9" s="27" t="str">
        <x:v>Prototype</x:v>
      </x:c>
      <x:c r="E9" s="27" t="str">
        <x:v>Intégré</x:v>
      </x:c>
      <x:c r="F9" s="27" t="str">
        <x:v>Validé</x:v>
      </x:c>
      <x:c r="G9" s="27" t="str">
        <x:v>Établi</x:v>
      </x:c>
      <x:c r="H9" s="27" t="str">
        <x:v>À vérifier</x:v>
      </x:c>
      <x:c r="I9" s="27" t="str">
        <x:v>Extrapolation</x:v>
      </x:c>
      <x:c r="J9" s="27" t="str">
        <x:v>Coupé attesté</x:v>
      </x:c>
      <x:c r="K9" s="27" t="str">
        <x:v>Concept abandonné</x:v>
      </x:c>
      <x:c r="L9" s="27" t="str">
        <x:v>Allégation écartée</x:v>
      </x:c>
      <x:c r="M9" s="28" t="str">
        <x:v>Priorité P0</x:v>
      </x:c>
    </x:row>
    <x:row r="10" ht="22" customHeight="1">
      <x:c r="A10" s="35" t="str">
        <x:v>Personnages</x:v>
      </x:c>
      <x:c r="B10" s="39" t="n">
        <x:f>COUNTA('Personnages'!$A$7:$A$7)</x:f>
        <x:v>1</x:v>
      </x:c>
      <x:c r="C10" s="39" t="n">
        <x:f>COUNTIFS('Personnages'!$C$7:$C$7,"Défini")</x:f>
        <x:v>1</x:v>
      </x:c>
      <x:c r="D10" s="39" t="n">
        <x:f>COUNTIFS('Personnages'!$C$7:$C$7,"Prototype")</x:f>
        <x:v>0</x:v>
      </x:c>
      <x:c r="E10" s="39" t="n">
        <x:f>COUNTIFS('Personnages'!$C$7:$C$7,"Intégré")</x:f>
        <x:v>0</x:v>
      </x:c>
      <x:c r="F10" s="39" t="n">
        <x:f>COUNTIFS('Personnages'!$C$7:$C$7,"Validé")</x:f>
        <x:v>0</x:v>
      </x:c>
      <x:c r="G10" s="39" t="n">
        <x:f>COUNTIFS('Personnages'!$D$7:$D$7,"Établi")</x:f>
        <x:v>0</x:v>
      </x:c>
      <x:c r="H10" s="39" t="n">
        <x:f>COUNTIFS('Personnages'!$D$7:$D$7,"À vérifier")</x:f>
        <x:v>0</x:v>
      </x:c>
      <x:c r="I10" s="39" t="n">
        <x:f>COUNTIFS('Personnages'!$D$7:$D$7,"Extrapolation")</x:f>
        <x:v>1</x:v>
      </x:c>
      <x:c r="J10" s="39" t="n">
        <x:f>COUNTIFS('Personnages'!$D$7:$D$7,"Coupé attesté")</x:f>
        <x:v>0</x:v>
      </x:c>
      <x:c r="K10" s="39" t="n">
        <x:f>COUNTIFS('Personnages'!$D$7:$D$7,"Concept abandonné")</x:f>
        <x:v>0</x:v>
      </x:c>
      <x:c r="L10" s="39" t="n">
        <x:f>COUNTIFS('Personnages'!$D$7:$D$7,"Allégation écartée")</x:f>
        <x:v>0</x:v>
      </x:c>
      <x:c r="M10" s="39" t="n">
        <x:f>COUNTIFS('Personnages'!$E$7:$E$7,"P0")</x:f>
        <x:v>0</x:v>
      </x:c>
    </x:row>
    <x:row r="11" ht="22" customHeight="1">
      <x:c r="A11" s="2" t="str">
        <x:v>PNJ</x:v>
      </x:c>
      <x:c r="B11" s="40" t="n">
        <x:f>COUNTA('PNJ'!$A$7:$A$7)</x:f>
        <x:v>1</x:v>
      </x:c>
      <x:c r="C11" s="40" t="n">
        <x:f>COUNTIFS('PNJ'!$C$7:$C$7,"Défini")</x:f>
        <x:v>1</x:v>
      </x:c>
      <x:c r="D11" s="40" t="n">
        <x:f>COUNTIFS('PNJ'!$C$7:$C$7,"Prototype")</x:f>
        <x:v>0</x:v>
      </x:c>
      <x:c r="E11" s="40" t="n">
        <x:f>COUNTIFS('PNJ'!$C$7:$C$7,"Intégré")</x:f>
        <x:v>0</x:v>
      </x:c>
      <x:c r="F11" s="40" t="n">
        <x:f>COUNTIFS('PNJ'!$C$7:$C$7,"Validé")</x:f>
        <x:v>0</x:v>
      </x:c>
      <x:c r="G11" s="40" t="n">
        <x:f>COUNTIFS('PNJ'!$D$7:$D$7,"Établi")</x:f>
        <x:v>0</x:v>
      </x:c>
      <x:c r="H11" s="40" t="n">
        <x:f>COUNTIFS('PNJ'!$D$7:$D$7,"À vérifier")</x:f>
        <x:v>0</x:v>
      </x:c>
      <x:c r="I11" s="40" t="n">
        <x:f>COUNTIFS('PNJ'!$D$7:$D$7,"Extrapolation")</x:f>
        <x:v>1</x:v>
      </x:c>
      <x:c r="J11" s="40" t="n">
        <x:f>COUNTIFS('PNJ'!$D$7:$D$7,"Coupé attesté")</x:f>
        <x:v>0</x:v>
      </x:c>
      <x:c r="K11" s="40" t="n">
        <x:f>COUNTIFS('PNJ'!$D$7:$D$7,"Concept abandonné")</x:f>
        <x:v>0</x:v>
      </x:c>
      <x:c r="L11" s="40" t="n">
        <x:f>COUNTIFS('PNJ'!$D$7:$D$7,"Allégation écartée")</x:f>
        <x:v>0</x:v>
      </x:c>
      <x:c r="M11" s="40" t="n">
        <x:f>COUNTIFS('PNJ'!$E$7:$E$7,"P0")</x:f>
        <x:v>0</x:v>
      </x:c>
    </x:row>
    <x:row r="12" ht="22" customHeight="1">
      <x:c r="A12" s="35" t="str">
        <x:v>Espèces et factions</x:v>
      </x:c>
      <x:c r="B12" s="39" t="n">
        <x:f>COUNTA('Especes_factions'!$A$7:$A$14)</x:f>
        <x:v>8</x:v>
      </x:c>
      <x:c r="C12" s="39" t="n">
        <x:f>COUNTIFS('Especes_factions'!$C$7:$C$14,"Défini")</x:f>
        <x:v>8</x:v>
      </x:c>
      <x:c r="D12" s="39" t="n">
        <x:f>COUNTIFS('Especes_factions'!$C$7:$C$14,"Prototype")</x:f>
        <x:v>0</x:v>
      </x:c>
      <x:c r="E12" s="39" t="n">
        <x:f>COUNTIFS('Especes_factions'!$C$7:$C$14,"Intégré")</x:f>
        <x:v>0</x:v>
      </x:c>
      <x:c r="F12" s="39" t="n">
        <x:f>COUNTIFS('Especes_factions'!$C$7:$C$14,"Validé")</x:f>
        <x:v>0</x:v>
      </x:c>
      <x:c r="G12" s="39" t="n">
        <x:f>COUNTIFS('Especes_factions'!$D$7:$D$14,"Établi")</x:f>
        <x:v>2</x:v>
      </x:c>
      <x:c r="H12" s="39" t="n">
        <x:f>COUNTIFS('Especes_factions'!$D$7:$D$14,"À vérifier")</x:f>
        <x:v>3</x:v>
      </x:c>
      <x:c r="I12" s="39" t="n">
        <x:f>COUNTIFS('Especes_factions'!$D$7:$D$14,"Extrapolation")</x:f>
        <x:v>3</x:v>
      </x:c>
      <x:c r="J12" s="39" t="n">
        <x:f>COUNTIFS('Especes_factions'!$D$7:$D$14,"Coupé attesté")</x:f>
        <x:v>0</x:v>
      </x:c>
      <x:c r="K12" s="39" t="n">
        <x:f>COUNTIFS('Especes_factions'!$D$7:$D$14,"Concept abandonné")</x:f>
        <x:v>0</x:v>
      </x:c>
      <x:c r="L12" s="39" t="n">
        <x:f>COUNTIFS('Especes_factions'!$D$7:$D$14,"Allégation écartée")</x:f>
        <x:v>0</x:v>
      </x:c>
      <x:c r="M12" s="39" t="n">
        <x:f>COUNTIFS('Especes_factions'!$E$7:$E$14,"P0")</x:f>
        <x:v>2</x:v>
      </x:c>
    </x:row>
    <x:row r="13" ht="22" customHeight="1">
      <x:c r="A13" s="2" t="str">
        <x:v>Mondes</x:v>
      </x:c>
      <x:c r="B13" s="40" t="n">
        <x:f>COUNTA('Mondes'!$A$7:$A$7)</x:f>
        <x:v>1</x:v>
      </x:c>
      <x:c r="C13" s="40" t="n">
        <x:f>COUNTIFS('Mondes'!$C$7:$C$7,"Défini")</x:f>
        <x:v>1</x:v>
      </x:c>
      <x:c r="D13" s="40" t="n">
        <x:f>COUNTIFS('Mondes'!$C$7:$C$7,"Prototype")</x:f>
        <x:v>0</x:v>
      </x:c>
      <x:c r="E13" s="40" t="n">
        <x:f>COUNTIFS('Mondes'!$C$7:$C$7,"Intégré")</x:f>
        <x:v>0</x:v>
      </x:c>
      <x:c r="F13" s="40" t="n">
        <x:f>COUNTIFS('Mondes'!$C$7:$C$7,"Validé")</x:f>
        <x:v>0</x:v>
      </x:c>
      <x:c r="G13" s="40" t="n">
        <x:f>COUNTIFS('Mondes'!$D$7:$D$7,"Établi")</x:f>
        <x:v>0</x:v>
      </x:c>
      <x:c r="H13" s="40" t="n">
        <x:f>COUNTIFS('Mondes'!$D$7:$D$7,"À vérifier")</x:f>
        <x:v>0</x:v>
      </x:c>
      <x:c r="I13" s="40" t="n">
        <x:f>COUNTIFS('Mondes'!$D$7:$D$7,"Extrapolation")</x:f>
        <x:v>1</x:v>
      </x:c>
      <x:c r="J13" s="40" t="n">
        <x:f>COUNTIFS('Mondes'!$D$7:$D$7,"Coupé attesté")</x:f>
        <x:v>0</x:v>
      </x:c>
      <x:c r="K13" s="40" t="n">
        <x:f>COUNTIFS('Mondes'!$D$7:$D$7,"Concept abandonné")</x:f>
        <x:v>0</x:v>
      </x:c>
      <x:c r="L13" s="40" t="n">
        <x:f>COUNTIFS('Mondes'!$D$7:$D$7,"Allégation écartée")</x:f>
        <x:v>0</x:v>
      </x:c>
      <x:c r="M13" s="40" t="n">
        <x:f>COUNTIFS('Mondes'!$E$7:$E$7,"P0")</x:f>
        <x:v>0</x:v>
      </x:c>
    </x:row>
    <x:row r="14" ht="22" customHeight="1">
      <x:c r="A14" s="35" t="str">
        <x:v>Zones</x:v>
      </x:c>
      <x:c r="B14" s="39" t="n">
        <x:f>COUNTA('Zones'!$A$7:$A$7)</x:f>
        <x:v>1</x:v>
      </x:c>
      <x:c r="C14" s="39" t="n">
        <x:f>COUNTIFS('Zones'!$C$7:$C$7,"Défini")</x:f>
        <x:v>1</x:v>
      </x:c>
      <x:c r="D14" s="39" t="n">
        <x:f>COUNTIFS('Zones'!$C$7:$C$7,"Prototype")</x:f>
        <x:v>0</x:v>
      </x:c>
      <x:c r="E14" s="39" t="n">
        <x:f>COUNTIFS('Zones'!$C$7:$C$7,"Intégré")</x:f>
        <x:v>0</x:v>
      </x:c>
      <x:c r="F14" s="39" t="n">
        <x:f>COUNTIFS('Zones'!$C$7:$C$7,"Validé")</x:f>
        <x:v>0</x:v>
      </x:c>
      <x:c r="G14" s="39" t="n">
        <x:f>COUNTIFS('Zones'!$D$7:$D$7,"Établi")</x:f>
        <x:v>0</x:v>
      </x:c>
      <x:c r="H14" s="39" t="n">
        <x:f>COUNTIFS('Zones'!$D$7:$D$7,"À vérifier")</x:f>
        <x:v>0</x:v>
      </x:c>
      <x:c r="I14" s="39" t="n">
        <x:f>COUNTIFS('Zones'!$D$7:$D$7,"Extrapolation")</x:f>
        <x:v>1</x:v>
      </x:c>
      <x:c r="J14" s="39" t="n">
        <x:f>COUNTIFS('Zones'!$D$7:$D$7,"Coupé attesté")</x:f>
        <x:v>0</x:v>
      </x:c>
      <x:c r="K14" s="39" t="n">
        <x:f>COUNTIFS('Zones'!$D$7:$D$7,"Concept abandonné")</x:f>
        <x:v>0</x:v>
      </x:c>
      <x:c r="L14" s="39" t="n">
        <x:f>COUNTIFS('Zones'!$D$7:$D$7,"Allégation écartée")</x:f>
        <x:v>0</x:v>
      </x:c>
      <x:c r="M14" s="39" t="n">
        <x:f>COUNTIFS('Zones'!$E$7:$E$7,"P0")</x:f>
        <x:v>0</x:v>
      </x:c>
    </x:row>
    <x:row r="15" ht="22" customHeight="1">
      <x:c r="A15" s="2" t="str">
        <x:v>Liaisons</x:v>
      </x:c>
      <x:c r="B15" s="40" t="n">
        <x:f>COUNTA('Liaisons'!$A$7:$A$18)</x:f>
        <x:v>12</x:v>
      </x:c>
      <x:c r="C15" s="40" t="n">
        <x:f>COUNTIFS('Liaisons'!$C$7:$C$18,"Défini")</x:f>
        <x:v>12</x:v>
      </x:c>
      <x:c r="D15" s="40" t="n">
        <x:f>COUNTIFS('Liaisons'!$C$7:$C$18,"Prototype")</x:f>
        <x:v>0</x:v>
      </x:c>
      <x:c r="E15" s="40" t="n">
        <x:f>COUNTIFS('Liaisons'!$C$7:$C$18,"Intégré")</x:f>
        <x:v>0</x:v>
      </x:c>
      <x:c r="F15" s="40" t="n">
        <x:f>COUNTIFS('Liaisons'!$C$7:$C$18,"Validé")</x:f>
        <x:v>0</x:v>
      </x:c>
      <x:c r="G15" s="40" t="n">
        <x:f>COUNTIFS('Liaisons'!$D$7:$D$18,"Établi")</x:f>
        <x:v>0</x:v>
      </x:c>
      <x:c r="H15" s="40" t="n">
        <x:f>COUNTIFS('Liaisons'!$D$7:$D$18,"À vérifier")</x:f>
        <x:v>10</x:v>
      </x:c>
      <x:c r="I15" s="40" t="n">
        <x:f>COUNTIFS('Liaisons'!$D$7:$D$18,"Extrapolation")</x:f>
        <x:v>2</x:v>
      </x:c>
      <x:c r="J15" s="40" t="n">
        <x:f>COUNTIFS('Liaisons'!$D$7:$D$18,"Coupé attesté")</x:f>
        <x:v>0</x:v>
      </x:c>
      <x:c r="K15" s="40" t="n">
        <x:f>COUNTIFS('Liaisons'!$D$7:$D$18,"Concept abandonné")</x:f>
        <x:v>0</x:v>
      </x:c>
      <x:c r="L15" s="40" t="n">
        <x:f>COUNTIFS('Liaisons'!$D$7:$D$18,"Allégation écartée")</x:f>
        <x:v>0</x:v>
      </x:c>
      <x:c r="M15" s="40" t="n">
        <x:f>COUNTIFS('Liaisons'!$E$7:$E$18,"P0")</x:f>
        <x:v>0</x:v>
      </x:c>
    </x:row>
    <x:row r="16" ht="22" customHeight="1">
      <x:c r="A16" s="35" t="str">
        <x:v>Décors</x:v>
      </x:c>
      <x:c r="B16" s="39" t="n">
        <x:f>COUNTA('Decors'!$A$7:$A$7)</x:f>
        <x:v>1</x:v>
      </x:c>
      <x:c r="C16" s="39" t="n">
        <x:f>COUNTIFS('Decors'!$C$7:$C$7,"Défini")</x:f>
        <x:v>1</x:v>
      </x:c>
      <x:c r="D16" s="39" t="n">
        <x:f>COUNTIFS('Decors'!$C$7:$C$7,"Prototype")</x:f>
        <x:v>0</x:v>
      </x:c>
      <x:c r="E16" s="39" t="n">
        <x:f>COUNTIFS('Decors'!$C$7:$C$7,"Intégré")</x:f>
        <x:v>0</x:v>
      </x:c>
      <x:c r="F16" s="39" t="n">
        <x:f>COUNTIFS('Decors'!$C$7:$C$7,"Validé")</x:f>
        <x:v>0</x:v>
      </x:c>
      <x:c r="G16" s="39" t="n">
        <x:f>COUNTIFS('Decors'!$D$7:$D$7,"Établi")</x:f>
        <x:v>0</x:v>
      </x:c>
      <x:c r="H16" s="39" t="n">
        <x:f>COUNTIFS('Decors'!$D$7:$D$7,"À vérifier")</x:f>
        <x:v>0</x:v>
      </x:c>
      <x:c r="I16" s="39" t="n">
        <x:f>COUNTIFS('Decors'!$D$7:$D$7,"Extrapolation")</x:f>
        <x:v>1</x:v>
      </x:c>
      <x:c r="J16" s="39" t="n">
        <x:f>COUNTIFS('Decors'!$D$7:$D$7,"Coupé attesté")</x:f>
        <x:v>0</x:v>
      </x:c>
      <x:c r="K16" s="39" t="n">
        <x:f>COUNTIFS('Decors'!$D$7:$D$7,"Concept abandonné")</x:f>
        <x:v>0</x:v>
      </x:c>
      <x:c r="L16" s="39" t="n">
        <x:f>COUNTIFS('Decors'!$D$7:$D$7,"Allégation écartée")</x:f>
        <x:v>0</x:v>
      </x:c>
      <x:c r="M16" s="39" t="n">
        <x:f>COUNTIFS('Decors'!$E$7:$E$7,"P0")</x:f>
        <x:v>0</x:v>
      </x:c>
    </x:row>
    <x:row r="17" ht="22" customHeight="1">
      <x:c r="A17" s="2" t="str">
        <x:v>Props</x:v>
      </x:c>
      <x:c r="B17" s="40" t="n">
        <x:f>COUNTA('Props'!$A$7:$A$7)</x:f>
        <x:v>1</x:v>
      </x:c>
      <x:c r="C17" s="40" t="n">
        <x:f>COUNTIFS('Props'!$C$7:$C$7,"Défini")</x:f>
        <x:v>1</x:v>
      </x:c>
      <x:c r="D17" s="40" t="n">
        <x:f>COUNTIFS('Props'!$C$7:$C$7,"Prototype")</x:f>
        <x:v>0</x:v>
      </x:c>
      <x:c r="E17" s="40" t="n">
        <x:f>COUNTIFS('Props'!$C$7:$C$7,"Intégré")</x:f>
        <x:v>0</x:v>
      </x:c>
      <x:c r="F17" s="40" t="n">
        <x:f>COUNTIFS('Props'!$C$7:$C$7,"Validé")</x:f>
        <x:v>0</x:v>
      </x:c>
      <x:c r="G17" s="40" t="n">
        <x:f>COUNTIFS('Props'!$D$7:$D$7,"Établi")</x:f>
        <x:v>0</x:v>
      </x:c>
      <x:c r="H17" s="40" t="n">
        <x:f>COUNTIFS('Props'!$D$7:$D$7,"À vérifier")</x:f>
        <x:v>0</x:v>
      </x:c>
      <x:c r="I17" s="40" t="n">
        <x:f>COUNTIFS('Props'!$D$7:$D$7,"Extrapolation")</x:f>
        <x:v>1</x:v>
      </x:c>
      <x:c r="J17" s="40" t="n">
        <x:f>COUNTIFS('Props'!$D$7:$D$7,"Coupé attesté")</x:f>
        <x:v>0</x:v>
      </x:c>
      <x:c r="K17" s="40" t="n">
        <x:f>COUNTIFS('Props'!$D$7:$D$7,"Concept abandonné")</x:f>
        <x:v>0</x:v>
      </x:c>
      <x:c r="L17" s="40" t="n">
        <x:f>COUNTIFS('Props'!$D$7:$D$7,"Allégation écartée")</x:f>
        <x:v>0</x:v>
      </x:c>
      <x:c r="M17" s="40" t="n">
        <x:f>COUNTIFS('Props'!$E$7:$E$7,"P0")</x:f>
        <x:v>0</x:v>
      </x:c>
    </x:row>
    <x:row r="18" ht="22" customHeight="1">
      <x:c r="A18" s="35" t="str">
        <x:v>Ennemis et boss</x:v>
      </x:c>
      <x:c r="B18" s="39" t="n">
        <x:f>COUNTA('Ennemis_boss'!$A$7:$A$7)</x:f>
        <x:v>1</x:v>
      </x:c>
      <x:c r="C18" s="39" t="n">
        <x:f>COUNTIFS('Ennemis_boss'!$C$7:$C$7,"Défini")</x:f>
        <x:v>1</x:v>
      </x:c>
      <x:c r="D18" s="39" t="n">
        <x:f>COUNTIFS('Ennemis_boss'!$C$7:$C$7,"Prototype")</x:f>
        <x:v>0</x:v>
      </x:c>
      <x:c r="E18" s="39" t="n">
        <x:f>COUNTIFS('Ennemis_boss'!$C$7:$C$7,"Intégré")</x:f>
        <x:v>0</x:v>
      </x:c>
      <x:c r="F18" s="39" t="n">
        <x:f>COUNTIFS('Ennemis_boss'!$C$7:$C$7,"Validé")</x:f>
        <x:v>0</x:v>
      </x:c>
      <x:c r="G18" s="39" t="n">
        <x:f>COUNTIFS('Ennemis_boss'!$D$7:$D$7,"Établi")</x:f>
        <x:v>0</x:v>
      </x:c>
      <x:c r="H18" s="39" t="n">
        <x:f>COUNTIFS('Ennemis_boss'!$D$7:$D$7,"À vérifier")</x:f>
        <x:v>0</x:v>
      </x:c>
      <x:c r="I18" s="39" t="n">
        <x:f>COUNTIFS('Ennemis_boss'!$D$7:$D$7,"Extrapolation")</x:f>
        <x:v>1</x:v>
      </x:c>
      <x:c r="J18" s="39" t="n">
        <x:f>COUNTIFS('Ennemis_boss'!$D$7:$D$7,"Coupé attesté")</x:f>
        <x:v>0</x:v>
      </x:c>
      <x:c r="K18" s="39" t="n">
        <x:f>COUNTIFS('Ennemis_boss'!$D$7:$D$7,"Concept abandonné")</x:f>
        <x:v>0</x:v>
      </x:c>
      <x:c r="L18" s="39" t="n">
        <x:f>COUNTIFS('Ennemis_boss'!$D$7:$D$7,"Allégation écartée")</x:f>
        <x:v>0</x:v>
      </x:c>
      <x:c r="M18" s="39" t="n">
        <x:f>COUNTIFS('Ennemis_boss'!$E$7:$E$7,"P0")</x:f>
        <x:v>0</x:v>
      </x:c>
    </x:row>
    <x:row r="19" ht="22" customHeight="1">
      <x:c r="A19" s="2" t="str">
        <x:v>Missions</x:v>
      </x:c>
      <x:c r="B19" s="40" t="n">
        <x:f>COUNTA('Missions'!$A$7:$A$7)</x:f>
        <x:v>1</x:v>
      </x:c>
      <x:c r="C19" s="40" t="n">
        <x:f>COUNTIFS('Missions'!$C$7:$C$7,"Défini")</x:f>
        <x:v>1</x:v>
      </x:c>
      <x:c r="D19" s="40" t="n">
        <x:f>COUNTIFS('Missions'!$C$7:$C$7,"Prototype")</x:f>
        <x:v>0</x:v>
      </x:c>
      <x:c r="E19" s="40" t="n">
        <x:f>COUNTIFS('Missions'!$C$7:$C$7,"Intégré")</x:f>
        <x:v>0</x:v>
      </x:c>
      <x:c r="F19" s="40" t="n">
        <x:f>COUNTIFS('Missions'!$C$7:$C$7,"Validé")</x:f>
        <x:v>0</x:v>
      </x:c>
      <x:c r="G19" s="40" t="n">
        <x:f>COUNTIFS('Missions'!$D$7:$D$7,"Établi")</x:f>
        <x:v>0</x:v>
      </x:c>
      <x:c r="H19" s="40" t="n">
        <x:f>COUNTIFS('Missions'!$D$7:$D$7,"À vérifier")</x:f>
        <x:v>0</x:v>
      </x:c>
      <x:c r="I19" s="40" t="n">
        <x:f>COUNTIFS('Missions'!$D$7:$D$7,"Extrapolation")</x:f>
        <x:v>1</x:v>
      </x:c>
      <x:c r="J19" s="40" t="n">
        <x:f>COUNTIFS('Missions'!$D$7:$D$7,"Coupé attesté")</x:f>
        <x:v>0</x:v>
      </x:c>
      <x:c r="K19" s="40" t="n">
        <x:f>COUNTIFS('Missions'!$D$7:$D$7,"Concept abandonné")</x:f>
        <x:v>0</x:v>
      </x:c>
      <x:c r="L19" s="40" t="n">
        <x:f>COUNTIFS('Missions'!$D$7:$D$7,"Allégation écartée")</x:f>
        <x:v>0</x:v>
      </x:c>
      <x:c r="M19" s="40" t="n">
        <x:f>COUNTIFS('Missions'!$E$7:$E$7,"P0")</x:f>
        <x:v>0</x:v>
      </x:c>
    </x:row>
    <x:row r="20" ht="22" customHeight="1">
      <x:c r="A20" s="35" t="str">
        <x:v>Secondaires et DLC</x:v>
      </x:c>
      <x:c r="B20" s="39" t="n">
        <x:f>COUNTA('Secondaires_DLC'!$A$7:$A$7)</x:f>
        <x:v>1</x:v>
      </x:c>
      <x:c r="C20" s="39" t="n">
        <x:f>COUNTIFS('Secondaires_DLC'!$C$7:$C$7,"Défini")</x:f>
        <x:v>1</x:v>
      </x:c>
      <x:c r="D20" s="39" t="n">
        <x:f>COUNTIFS('Secondaires_DLC'!$C$7:$C$7,"Prototype")</x:f>
        <x:v>0</x:v>
      </x:c>
      <x:c r="E20" s="39" t="n">
        <x:f>COUNTIFS('Secondaires_DLC'!$C$7:$C$7,"Intégré")</x:f>
        <x:v>0</x:v>
      </x:c>
      <x:c r="F20" s="39" t="n">
        <x:f>COUNTIFS('Secondaires_DLC'!$C$7:$C$7,"Validé")</x:f>
        <x:v>0</x:v>
      </x:c>
      <x:c r="G20" s="39" t="n">
        <x:f>COUNTIFS('Secondaires_DLC'!$D$7:$D$7,"Établi")</x:f>
        <x:v>0</x:v>
      </x:c>
      <x:c r="H20" s="39" t="n">
        <x:f>COUNTIFS('Secondaires_DLC'!$D$7:$D$7,"À vérifier")</x:f>
        <x:v>0</x:v>
      </x:c>
      <x:c r="I20" s="39" t="n">
        <x:f>COUNTIFS('Secondaires_DLC'!$D$7:$D$7,"Extrapolation")</x:f>
        <x:v>1</x:v>
      </x:c>
      <x:c r="J20" s="39" t="n">
        <x:f>COUNTIFS('Secondaires_DLC'!$D$7:$D$7,"Coupé attesté")</x:f>
        <x:v>0</x:v>
      </x:c>
      <x:c r="K20" s="39" t="n">
        <x:f>COUNTIFS('Secondaires_DLC'!$D$7:$D$7,"Concept abandonné")</x:f>
        <x:v>0</x:v>
      </x:c>
      <x:c r="L20" s="39" t="n">
        <x:f>COUNTIFS('Secondaires_DLC'!$D$7:$D$7,"Allégation écartée")</x:f>
        <x:v>0</x:v>
      </x:c>
      <x:c r="M20" s="39" t="n">
        <x:f>COUNTIFS('Secondaires_DLC'!$E$7:$E$7,"P0")</x:f>
        <x:v>0</x:v>
      </x:c>
    </x:row>
    <x:row r="21" ht="22" customHeight="1">
      <x:c r="A21" s="2" t="str">
        <x:v>Choix et relations</x:v>
      </x:c>
      <x:c r="B21" s="40" t="n">
        <x:f>COUNTA('Choix_relations'!$A$7:$A$7)</x:f>
        <x:v>1</x:v>
      </x:c>
      <x:c r="C21" s="40" t="n">
        <x:f>COUNTIFS('Choix_relations'!$C$7:$C$7,"Défini")</x:f>
        <x:v>1</x:v>
      </x:c>
      <x:c r="D21" s="40" t="n">
        <x:f>COUNTIFS('Choix_relations'!$C$7:$C$7,"Prototype")</x:f>
        <x:v>0</x:v>
      </x:c>
      <x:c r="E21" s="40" t="n">
        <x:f>COUNTIFS('Choix_relations'!$C$7:$C$7,"Intégré")</x:f>
        <x:v>0</x:v>
      </x:c>
      <x:c r="F21" s="40" t="n">
        <x:f>COUNTIFS('Choix_relations'!$C$7:$C$7,"Validé")</x:f>
        <x:v>0</x:v>
      </x:c>
      <x:c r="G21" s="40" t="n">
        <x:f>COUNTIFS('Choix_relations'!$D$7:$D$7,"Établi")</x:f>
        <x:v>0</x:v>
      </x:c>
      <x:c r="H21" s="40" t="n">
        <x:f>COUNTIFS('Choix_relations'!$D$7:$D$7,"À vérifier")</x:f>
        <x:v>0</x:v>
      </x:c>
      <x:c r="I21" s="40" t="n">
        <x:f>COUNTIFS('Choix_relations'!$D$7:$D$7,"Extrapolation")</x:f>
        <x:v>1</x:v>
      </x:c>
      <x:c r="J21" s="40" t="n">
        <x:f>COUNTIFS('Choix_relations'!$D$7:$D$7,"Coupé attesté")</x:f>
        <x:v>0</x:v>
      </x:c>
      <x:c r="K21" s="40" t="n">
        <x:f>COUNTIFS('Choix_relations'!$D$7:$D$7,"Concept abandonné")</x:f>
        <x:v>0</x:v>
      </x:c>
      <x:c r="L21" s="40" t="n">
        <x:f>COUNTIFS('Choix_relations'!$D$7:$D$7,"Allégation écartée")</x:f>
        <x:v>0</x:v>
      </x:c>
      <x:c r="M21" s="40" t="n">
        <x:f>COUNTIFS('Choix_relations'!$E$7:$E$7,"P0")</x:f>
        <x:v>0</x:v>
      </x:c>
    </x:row>
    <x:row r="22" ht="22" customHeight="1">
      <x:c r="A22" s="35" t="str">
        <x:v>Dialogues</x:v>
      </x:c>
      <x:c r="B22" s="39" t="n">
        <x:f>COUNTA('Dialogues'!$A$7:$A$7)</x:f>
        <x:v>1</x:v>
      </x:c>
      <x:c r="C22" s="39" t="n">
        <x:f>COUNTIFS('Dialogues'!$C$7:$C$7,"Défini")</x:f>
        <x:v>1</x:v>
      </x:c>
      <x:c r="D22" s="39" t="n">
        <x:f>COUNTIFS('Dialogues'!$C$7:$C$7,"Prototype")</x:f>
        <x:v>0</x:v>
      </x:c>
      <x:c r="E22" s="39" t="n">
        <x:f>COUNTIFS('Dialogues'!$C$7:$C$7,"Intégré")</x:f>
        <x:v>0</x:v>
      </x:c>
      <x:c r="F22" s="39" t="n">
        <x:f>COUNTIFS('Dialogues'!$C$7:$C$7,"Validé")</x:f>
        <x:v>0</x:v>
      </x:c>
      <x:c r="G22" s="39" t="n">
        <x:f>COUNTIFS('Dialogues'!$D$7:$D$7,"Établi")</x:f>
        <x:v>0</x:v>
      </x:c>
      <x:c r="H22" s="39" t="n">
        <x:f>COUNTIFS('Dialogues'!$D$7:$D$7,"À vérifier")</x:f>
        <x:v>0</x:v>
      </x:c>
      <x:c r="I22" s="39" t="n">
        <x:f>COUNTIFS('Dialogues'!$D$7:$D$7,"Extrapolation")</x:f>
        <x:v>1</x:v>
      </x:c>
      <x:c r="J22" s="39" t="n">
        <x:f>COUNTIFS('Dialogues'!$D$7:$D$7,"Coupé attesté")</x:f>
        <x:v>0</x:v>
      </x:c>
      <x:c r="K22" s="39" t="n">
        <x:f>COUNTIFS('Dialogues'!$D$7:$D$7,"Concept abandonné")</x:f>
        <x:v>0</x:v>
      </x:c>
      <x:c r="L22" s="39" t="n">
        <x:f>COUNTIFS('Dialogues'!$D$7:$D$7,"Allégation écartée")</x:f>
        <x:v>0</x:v>
      </x:c>
      <x:c r="M22" s="39" t="n">
        <x:f>COUNTIFS('Dialogues'!$E$7:$E$7,"P0")</x:f>
        <x:v>0</x:v>
      </x:c>
    </x:row>
    <x:row r="23" ht="22" customHeight="1">
      <x:c r="A23" s="2" t="str">
        <x:v>Cinématiques</x:v>
      </x:c>
      <x:c r="B23" s="40" t="n">
        <x:f>COUNTA('Cinematiques'!$A$7:$A$7)</x:f>
        <x:v>1</x:v>
      </x:c>
      <x:c r="C23" s="40" t="n">
        <x:f>COUNTIFS('Cinematiques'!$C$7:$C$7,"Défini")</x:f>
        <x:v>1</x:v>
      </x:c>
      <x:c r="D23" s="40" t="n">
        <x:f>COUNTIFS('Cinematiques'!$C$7:$C$7,"Prototype")</x:f>
        <x:v>0</x:v>
      </x:c>
      <x:c r="E23" s="40" t="n">
        <x:f>COUNTIFS('Cinematiques'!$C$7:$C$7,"Intégré")</x:f>
        <x:v>0</x:v>
      </x:c>
      <x:c r="F23" s="40" t="n">
        <x:f>COUNTIFS('Cinematiques'!$C$7:$C$7,"Validé")</x:f>
        <x:v>0</x:v>
      </x:c>
      <x:c r="G23" s="40" t="n">
        <x:f>COUNTIFS('Cinematiques'!$D$7:$D$7,"Établi")</x:f>
        <x:v>0</x:v>
      </x:c>
      <x:c r="H23" s="40" t="n">
        <x:f>COUNTIFS('Cinematiques'!$D$7:$D$7,"À vérifier")</x:f>
        <x:v>0</x:v>
      </x:c>
      <x:c r="I23" s="40" t="n">
        <x:f>COUNTIFS('Cinematiques'!$D$7:$D$7,"Extrapolation")</x:f>
        <x:v>1</x:v>
      </x:c>
      <x:c r="J23" s="40" t="n">
        <x:f>COUNTIFS('Cinematiques'!$D$7:$D$7,"Coupé attesté")</x:f>
        <x:v>0</x:v>
      </x:c>
      <x:c r="K23" s="40" t="n">
        <x:f>COUNTIFS('Cinematiques'!$D$7:$D$7,"Concept abandonné")</x:f>
        <x:v>0</x:v>
      </x:c>
      <x:c r="L23" s="40" t="n">
        <x:f>COUNTIFS('Cinematiques'!$D$7:$D$7,"Allégation écartée")</x:f>
        <x:v>0</x:v>
      </x:c>
      <x:c r="M23" s="40" t="n">
        <x:f>COUNTIFS('Cinematiques'!$E$7:$E$7,"P0")</x:f>
        <x:v>0</x:v>
      </x:c>
    </x:row>
    <x:row r="24" ht="22" customHeight="1">
      <x:c r="A24" s="35" t="str">
        <x:v>Armes</x:v>
      </x:c>
      <x:c r="B24" s="39" t="n">
        <x:f>COUNTA('Armes'!$A$7:$A$7)</x:f>
        <x:v>1</x:v>
      </x:c>
      <x:c r="C24" s="39" t="n">
        <x:f>COUNTIFS('Armes'!$C$7:$C$7,"Défini")</x:f>
        <x:v>1</x:v>
      </x:c>
      <x:c r="D24" s="39" t="n">
        <x:f>COUNTIFS('Armes'!$C$7:$C$7,"Prototype")</x:f>
        <x:v>0</x:v>
      </x:c>
      <x:c r="E24" s="39" t="n">
        <x:f>COUNTIFS('Armes'!$C$7:$C$7,"Intégré")</x:f>
        <x:v>0</x:v>
      </x:c>
      <x:c r="F24" s="39" t="n">
        <x:f>COUNTIFS('Armes'!$C$7:$C$7,"Validé")</x:f>
        <x:v>0</x:v>
      </x:c>
      <x:c r="G24" s="39" t="n">
        <x:f>COUNTIFS('Armes'!$D$7:$D$7,"Établi")</x:f>
        <x:v>0</x:v>
      </x:c>
      <x:c r="H24" s="39" t="n">
        <x:f>COUNTIFS('Armes'!$D$7:$D$7,"À vérifier")</x:f>
        <x:v>0</x:v>
      </x:c>
      <x:c r="I24" s="39" t="n">
        <x:f>COUNTIFS('Armes'!$D$7:$D$7,"Extrapolation")</x:f>
        <x:v>1</x:v>
      </x:c>
      <x:c r="J24" s="39" t="n">
        <x:f>COUNTIFS('Armes'!$D$7:$D$7,"Coupé attesté")</x:f>
        <x:v>0</x:v>
      </x:c>
      <x:c r="K24" s="39" t="n">
        <x:f>COUNTIFS('Armes'!$D$7:$D$7,"Concept abandonné")</x:f>
        <x:v>0</x:v>
      </x:c>
      <x:c r="L24" s="39" t="n">
        <x:f>COUNTIFS('Armes'!$D$7:$D$7,"Allégation écartée")</x:f>
        <x:v>0</x:v>
      </x:c>
      <x:c r="M24" s="39" t="n">
        <x:f>COUNTIFS('Armes'!$E$7:$E$7,"P0")</x:f>
        <x:v>0</x:v>
      </x:c>
    </x:row>
    <x:row r="25" ht="22" customHeight="1">
      <x:c r="A25" s="2" t="str">
        <x:v>Armures et équipement</x:v>
      </x:c>
      <x:c r="B25" s="40" t="n">
        <x:f>COUNTA('Armures_equipement'!$A$7:$A$7)</x:f>
        <x:v>1</x:v>
      </x:c>
      <x:c r="C25" s="40" t="n">
        <x:f>COUNTIFS('Armures_equipement'!$C$7:$C$7,"Défini")</x:f>
        <x:v>1</x:v>
      </x:c>
      <x:c r="D25" s="40" t="n">
        <x:f>COUNTIFS('Armures_equipement'!$C$7:$C$7,"Prototype")</x:f>
        <x:v>0</x:v>
      </x:c>
      <x:c r="E25" s="40" t="n">
        <x:f>COUNTIFS('Armures_equipement'!$C$7:$C$7,"Intégré")</x:f>
        <x:v>0</x:v>
      </x:c>
      <x:c r="F25" s="40" t="n">
        <x:f>COUNTIFS('Armures_equipement'!$C$7:$C$7,"Validé")</x:f>
        <x:v>0</x:v>
      </x:c>
      <x:c r="G25" s="40" t="n">
        <x:f>COUNTIFS('Armures_equipement'!$D$7:$D$7,"Établi")</x:f>
        <x:v>0</x:v>
      </x:c>
      <x:c r="H25" s="40" t="n">
        <x:f>COUNTIFS('Armures_equipement'!$D$7:$D$7,"À vérifier")</x:f>
        <x:v>0</x:v>
      </x:c>
      <x:c r="I25" s="40" t="n">
        <x:f>COUNTIFS('Armures_equipement'!$D$7:$D$7,"Extrapolation")</x:f>
        <x:v>1</x:v>
      </x:c>
      <x:c r="J25" s="40" t="n">
        <x:f>COUNTIFS('Armures_equipement'!$D$7:$D$7,"Coupé attesté")</x:f>
        <x:v>0</x:v>
      </x:c>
      <x:c r="K25" s="40" t="n">
        <x:f>COUNTIFS('Armures_equipement'!$D$7:$D$7,"Concept abandonné")</x:f>
        <x:v>0</x:v>
      </x:c>
      <x:c r="L25" s="40" t="n">
        <x:f>COUNTIFS('Armures_equipement'!$D$7:$D$7,"Allégation écartée")</x:f>
        <x:v>0</x:v>
      </x:c>
      <x:c r="M25" s="40" t="n">
        <x:f>COUNTIFS('Armures_equipement'!$E$7:$E$7,"P0")</x:f>
        <x:v>0</x:v>
      </x:c>
    </x:row>
    <x:row r="26" ht="22" customHeight="1">
      <x:c r="A26" s="35" t="str">
        <x:v>Pouvoirs</x:v>
      </x:c>
      <x:c r="B26" s="39" t="n">
        <x:f>COUNTA('Pouvoirs'!$A$7:$A$7)</x:f>
        <x:v>1</x:v>
      </x:c>
      <x:c r="C26" s="39" t="n">
        <x:f>COUNTIFS('Pouvoirs'!$C$7:$C$7,"Défini")</x:f>
        <x:v>1</x:v>
      </x:c>
      <x:c r="D26" s="39" t="n">
        <x:f>COUNTIFS('Pouvoirs'!$C$7:$C$7,"Prototype")</x:f>
        <x:v>0</x:v>
      </x:c>
      <x:c r="E26" s="39" t="n">
        <x:f>COUNTIFS('Pouvoirs'!$C$7:$C$7,"Intégré")</x:f>
        <x:v>0</x:v>
      </x:c>
      <x:c r="F26" s="39" t="n">
        <x:f>COUNTIFS('Pouvoirs'!$C$7:$C$7,"Validé")</x:f>
        <x:v>0</x:v>
      </x:c>
      <x:c r="G26" s="39" t="n">
        <x:f>COUNTIFS('Pouvoirs'!$D$7:$D$7,"Établi")</x:f>
        <x:v>0</x:v>
      </x:c>
      <x:c r="H26" s="39" t="n">
        <x:f>COUNTIFS('Pouvoirs'!$D$7:$D$7,"À vérifier")</x:f>
        <x:v>0</x:v>
      </x:c>
      <x:c r="I26" s="39" t="n">
        <x:f>COUNTIFS('Pouvoirs'!$D$7:$D$7,"Extrapolation")</x:f>
        <x:v>1</x:v>
      </x:c>
      <x:c r="J26" s="39" t="n">
        <x:f>COUNTIFS('Pouvoirs'!$D$7:$D$7,"Coupé attesté")</x:f>
        <x:v>0</x:v>
      </x:c>
      <x:c r="K26" s="39" t="n">
        <x:f>COUNTIFS('Pouvoirs'!$D$7:$D$7,"Concept abandonné")</x:f>
        <x:v>0</x:v>
      </x:c>
      <x:c r="L26" s="39" t="n">
        <x:f>COUNTIFS('Pouvoirs'!$D$7:$D$7,"Allégation écartée")</x:f>
        <x:v>0</x:v>
      </x:c>
      <x:c r="M26" s="39" t="n">
        <x:f>COUNTIFS('Pouvoirs'!$E$7:$E$7,"P0")</x:f>
        <x:v>0</x:v>
      </x:c>
    </x:row>
    <x:row r="27" ht="22" customHeight="1">
      <x:c r="A27" s="2" t="str">
        <x:v>Movesets alliés</x:v>
      </x:c>
      <x:c r="B27" s="40" t="n">
        <x:f>COUNTA('Movesets_allies'!$A$7:$A$7)</x:f>
        <x:v>1</x:v>
      </x:c>
      <x:c r="C27" s="40" t="n">
        <x:f>COUNTIFS('Movesets_allies'!$C$7:$C$7,"Défini")</x:f>
        <x:v>1</x:v>
      </x:c>
      <x:c r="D27" s="40" t="n">
        <x:f>COUNTIFS('Movesets_allies'!$C$7:$C$7,"Prototype")</x:f>
        <x:v>0</x:v>
      </x:c>
      <x:c r="E27" s="40" t="n">
        <x:f>COUNTIFS('Movesets_allies'!$C$7:$C$7,"Intégré")</x:f>
        <x:v>0</x:v>
      </x:c>
      <x:c r="F27" s="40" t="n">
        <x:f>COUNTIFS('Movesets_allies'!$C$7:$C$7,"Validé")</x:f>
        <x:v>0</x:v>
      </x:c>
      <x:c r="G27" s="40" t="n">
        <x:f>COUNTIFS('Movesets_allies'!$D$7:$D$7,"Établi")</x:f>
        <x:v>0</x:v>
      </x:c>
      <x:c r="H27" s="40" t="n">
        <x:f>COUNTIFS('Movesets_allies'!$D$7:$D$7,"À vérifier")</x:f>
        <x:v>0</x:v>
      </x:c>
      <x:c r="I27" s="40" t="n">
        <x:f>COUNTIFS('Movesets_allies'!$D$7:$D$7,"Extrapolation")</x:f>
        <x:v>1</x:v>
      </x:c>
      <x:c r="J27" s="40" t="n">
        <x:f>COUNTIFS('Movesets_allies'!$D$7:$D$7,"Coupé attesté")</x:f>
        <x:v>0</x:v>
      </x:c>
      <x:c r="K27" s="40" t="n">
        <x:f>COUNTIFS('Movesets_allies'!$D$7:$D$7,"Concept abandonné")</x:f>
        <x:v>0</x:v>
      </x:c>
      <x:c r="L27" s="40" t="n">
        <x:f>COUNTIFS('Movesets_allies'!$D$7:$D$7,"Allégation écartée")</x:f>
        <x:v>0</x:v>
      </x:c>
      <x:c r="M27" s="40" t="n">
        <x:f>COUNTIFS('Movesets_allies'!$E$7:$E$7,"P0")</x:f>
        <x:v>0</x:v>
      </x:c>
    </x:row>
    <x:row r="28" ht="22" customHeight="1">
      <x:c r="A28" s="35" t="str">
        <x:v>Movesets ennemis</x:v>
      </x:c>
      <x:c r="B28" s="39" t="n">
        <x:f>COUNTA('Movesets_ennemis'!$A$7:$A$7)</x:f>
        <x:v>1</x:v>
      </x:c>
      <x:c r="C28" s="39" t="n">
        <x:f>COUNTIFS('Movesets_ennemis'!$C$7:$C$7,"Défini")</x:f>
        <x:v>1</x:v>
      </x:c>
      <x:c r="D28" s="39" t="n">
        <x:f>COUNTIFS('Movesets_ennemis'!$C$7:$C$7,"Prototype")</x:f>
        <x:v>0</x:v>
      </x:c>
      <x:c r="E28" s="39" t="n">
        <x:f>COUNTIFS('Movesets_ennemis'!$C$7:$C$7,"Intégré")</x:f>
        <x:v>0</x:v>
      </x:c>
      <x:c r="F28" s="39" t="n">
        <x:f>COUNTIFS('Movesets_ennemis'!$C$7:$C$7,"Validé")</x:f>
        <x:v>0</x:v>
      </x:c>
      <x:c r="G28" s="39" t="n">
        <x:f>COUNTIFS('Movesets_ennemis'!$D$7:$D$7,"Établi")</x:f>
        <x:v>0</x:v>
      </x:c>
      <x:c r="H28" s="39" t="n">
        <x:f>COUNTIFS('Movesets_ennemis'!$D$7:$D$7,"À vérifier")</x:f>
        <x:v>0</x:v>
      </x:c>
      <x:c r="I28" s="39" t="n">
        <x:f>COUNTIFS('Movesets_ennemis'!$D$7:$D$7,"Extrapolation")</x:f>
        <x:v>1</x:v>
      </x:c>
      <x:c r="J28" s="39" t="n">
        <x:f>COUNTIFS('Movesets_ennemis'!$D$7:$D$7,"Coupé attesté")</x:f>
        <x:v>0</x:v>
      </x:c>
      <x:c r="K28" s="39" t="n">
        <x:f>COUNTIFS('Movesets_ennemis'!$D$7:$D$7,"Concept abandonné")</x:f>
        <x:v>0</x:v>
      </x:c>
      <x:c r="L28" s="39" t="n">
        <x:f>COUNTIFS('Movesets_ennemis'!$D$7:$D$7,"Allégation écartée")</x:f>
        <x:v>0</x:v>
      </x:c>
      <x:c r="M28" s="39" t="n">
        <x:f>COUNTIFS('Movesets_ennemis'!$E$7:$E$7,"P0")</x:f>
        <x:v>0</x:v>
      </x:c>
    </x:row>
    <x:row r="29" ht="22" customHeight="1">
      <x:c r="A29" s="2" t="str">
        <x:v>Animations</x:v>
      </x:c>
      <x:c r="B29" s="40" t="n">
        <x:f>COUNTA('Animations'!$A$7:$A$7)</x:f>
        <x:v>1</x:v>
      </x:c>
      <x:c r="C29" s="40" t="n">
        <x:f>COUNTIFS('Animations'!$C$7:$C$7,"Défini")</x:f>
        <x:v>1</x:v>
      </x:c>
      <x:c r="D29" s="40" t="n">
        <x:f>COUNTIFS('Animations'!$C$7:$C$7,"Prototype")</x:f>
        <x:v>0</x:v>
      </x:c>
      <x:c r="E29" s="40" t="n">
        <x:f>COUNTIFS('Animations'!$C$7:$C$7,"Intégré")</x:f>
        <x:v>0</x:v>
      </x:c>
      <x:c r="F29" s="40" t="n">
        <x:f>COUNTIFS('Animations'!$C$7:$C$7,"Validé")</x:f>
        <x:v>0</x:v>
      </x:c>
      <x:c r="G29" s="40" t="n">
        <x:f>COUNTIFS('Animations'!$D$7:$D$7,"Établi")</x:f>
        <x:v>0</x:v>
      </x:c>
      <x:c r="H29" s="40" t="n">
        <x:f>COUNTIFS('Animations'!$D$7:$D$7,"À vérifier")</x:f>
        <x:v>0</x:v>
      </x:c>
      <x:c r="I29" s="40" t="n">
        <x:f>COUNTIFS('Animations'!$D$7:$D$7,"Extrapolation")</x:f>
        <x:v>1</x:v>
      </x:c>
      <x:c r="J29" s="40" t="n">
        <x:f>COUNTIFS('Animations'!$D$7:$D$7,"Coupé attesté")</x:f>
        <x:v>0</x:v>
      </x:c>
      <x:c r="K29" s="40" t="n">
        <x:f>COUNTIFS('Animations'!$D$7:$D$7,"Concept abandonné")</x:f>
        <x:v>0</x:v>
      </x:c>
      <x:c r="L29" s="40" t="n">
        <x:f>COUNTIFS('Animations'!$D$7:$D$7,"Allégation écartée")</x:f>
        <x:v>0</x:v>
      </x:c>
      <x:c r="M29" s="40" t="n">
        <x:f>COUNTIFS('Animations'!$E$7:$E$7,"P0")</x:f>
        <x:v>0</x:v>
      </x:c>
    </x:row>
    <x:row r="30" ht="22" customHeight="1">
      <x:c r="A30" s="35" t="str">
        <x:v>Sprites</x:v>
      </x:c>
      <x:c r="B30" s="39" t="n">
        <x:f>COUNTA('Sprites'!$A$7:$A$7)</x:f>
        <x:v>1</x:v>
      </x:c>
      <x:c r="C30" s="39" t="n">
        <x:f>COUNTIFS('Sprites'!$C$7:$C$7,"Défini")</x:f>
        <x:v>1</x:v>
      </x:c>
      <x:c r="D30" s="39" t="n">
        <x:f>COUNTIFS('Sprites'!$C$7:$C$7,"Prototype")</x:f>
        <x:v>0</x:v>
      </x:c>
      <x:c r="E30" s="39" t="n">
        <x:f>COUNTIFS('Sprites'!$C$7:$C$7,"Intégré")</x:f>
        <x:v>0</x:v>
      </x:c>
      <x:c r="F30" s="39" t="n">
        <x:f>COUNTIFS('Sprites'!$C$7:$C$7,"Validé")</x:f>
        <x:v>0</x:v>
      </x:c>
      <x:c r="G30" s="39" t="n">
        <x:f>COUNTIFS('Sprites'!$D$7:$D$7,"Établi")</x:f>
        <x:v>0</x:v>
      </x:c>
      <x:c r="H30" s="39" t="n">
        <x:f>COUNTIFS('Sprites'!$D$7:$D$7,"À vérifier")</x:f>
        <x:v>0</x:v>
      </x:c>
      <x:c r="I30" s="39" t="n">
        <x:f>COUNTIFS('Sprites'!$D$7:$D$7,"Extrapolation")</x:f>
        <x:v>1</x:v>
      </x:c>
      <x:c r="J30" s="39" t="n">
        <x:f>COUNTIFS('Sprites'!$D$7:$D$7,"Coupé attesté")</x:f>
        <x:v>0</x:v>
      </x:c>
      <x:c r="K30" s="39" t="n">
        <x:f>COUNTIFS('Sprites'!$D$7:$D$7,"Concept abandonné")</x:f>
        <x:v>0</x:v>
      </x:c>
      <x:c r="L30" s="39" t="n">
        <x:f>COUNTIFS('Sprites'!$D$7:$D$7,"Allégation écartée")</x:f>
        <x:v>0</x:v>
      </x:c>
      <x:c r="M30" s="39" t="n">
        <x:f>COUNTIFS('Sprites'!$E$7:$E$7,"P0")</x:f>
        <x:v>0</x:v>
      </x:c>
    </x:row>
    <x:row r="31" ht="22" customHeight="1">
      <x:c r="A31" s="2" t="str">
        <x:v>VFX</x:v>
      </x:c>
      <x:c r="B31" s="40" t="n">
        <x:f>COUNTA('VFX'!$A$7:$A$7)</x:f>
        <x:v>1</x:v>
      </x:c>
      <x:c r="C31" s="40" t="n">
        <x:f>COUNTIFS('VFX'!$C$7:$C$7,"Défini")</x:f>
        <x:v>1</x:v>
      </x:c>
      <x:c r="D31" s="40" t="n">
        <x:f>COUNTIFS('VFX'!$C$7:$C$7,"Prototype")</x:f>
        <x:v>0</x:v>
      </x:c>
      <x:c r="E31" s="40" t="n">
        <x:f>COUNTIFS('VFX'!$C$7:$C$7,"Intégré")</x:f>
        <x:v>0</x:v>
      </x:c>
      <x:c r="F31" s="40" t="n">
        <x:f>COUNTIFS('VFX'!$C$7:$C$7,"Validé")</x:f>
        <x:v>0</x:v>
      </x:c>
      <x:c r="G31" s="40" t="n">
        <x:f>COUNTIFS('VFX'!$D$7:$D$7,"Établi")</x:f>
        <x:v>0</x:v>
      </x:c>
      <x:c r="H31" s="40" t="n">
        <x:f>COUNTIFS('VFX'!$D$7:$D$7,"À vérifier")</x:f>
        <x:v>0</x:v>
      </x:c>
      <x:c r="I31" s="40" t="n">
        <x:f>COUNTIFS('VFX'!$D$7:$D$7,"Extrapolation")</x:f>
        <x:v>1</x:v>
      </x:c>
      <x:c r="J31" s="40" t="n">
        <x:f>COUNTIFS('VFX'!$D$7:$D$7,"Coupé attesté")</x:f>
        <x:v>0</x:v>
      </x:c>
      <x:c r="K31" s="40" t="n">
        <x:f>COUNTIFS('VFX'!$D$7:$D$7,"Concept abandonné")</x:f>
        <x:v>0</x:v>
      </x:c>
      <x:c r="L31" s="40" t="n">
        <x:f>COUNTIFS('VFX'!$D$7:$D$7,"Allégation écartée")</x:f>
        <x:v>0</x:v>
      </x:c>
      <x:c r="M31" s="40" t="n">
        <x:f>COUNTIFS('VFX'!$E$7:$E$7,"P0")</x:f>
        <x:v>0</x:v>
      </x:c>
    </x:row>
    <x:row r="32" ht="22" customHeight="1">
      <x:c r="A32" s="35" t="str">
        <x:v>Audio</x:v>
      </x:c>
      <x:c r="B32" s="39" t="n">
        <x:f>COUNTA('Audio'!$A$7:$A$7)</x:f>
        <x:v>1</x:v>
      </x:c>
      <x:c r="C32" s="39" t="n">
        <x:f>COUNTIFS('Audio'!$C$7:$C$7,"Défini")</x:f>
        <x:v>1</x:v>
      </x:c>
      <x:c r="D32" s="39" t="n">
        <x:f>COUNTIFS('Audio'!$C$7:$C$7,"Prototype")</x:f>
        <x:v>0</x:v>
      </x:c>
      <x:c r="E32" s="39" t="n">
        <x:f>COUNTIFS('Audio'!$C$7:$C$7,"Intégré")</x:f>
        <x:v>0</x:v>
      </x:c>
      <x:c r="F32" s="39" t="n">
        <x:f>COUNTIFS('Audio'!$C$7:$C$7,"Validé")</x:f>
        <x:v>0</x:v>
      </x:c>
      <x:c r="G32" s="39" t="n">
        <x:f>COUNTIFS('Audio'!$D$7:$D$7,"Établi")</x:f>
        <x:v>0</x:v>
      </x:c>
      <x:c r="H32" s="39" t="n">
        <x:f>COUNTIFS('Audio'!$D$7:$D$7,"À vérifier")</x:f>
        <x:v>0</x:v>
      </x:c>
      <x:c r="I32" s="39" t="n">
        <x:f>COUNTIFS('Audio'!$D$7:$D$7,"Extrapolation")</x:f>
        <x:v>1</x:v>
      </x:c>
      <x:c r="J32" s="39" t="n">
        <x:f>COUNTIFS('Audio'!$D$7:$D$7,"Coupé attesté")</x:f>
        <x:v>0</x:v>
      </x:c>
      <x:c r="K32" s="39" t="n">
        <x:f>COUNTIFS('Audio'!$D$7:$D$7,"Concept abandonné")</x:f>
        <x:v>0</x:v>
      </x:c>
      <x:c r="L32" s="39" t="n">
        <x:f>COUNTIFS('Audio'!$D$7:$D$7,"Allégation écartée")</x:f>
        <x:v>0</x:v>
      </x:c>
      <x:c r="M32" s="39" t="n">
        <x:f>COUNTIFS('Audio'!$E$7:$E$7,"P0")</x:f>
        <x:v>0</x:v>
      </x:c>
    </x:row>
    <x:row r="33" ht="22" customHeight="1">
      <x:c r="A33" s="2" t="str">
        <x:v>Systèmes et UI</x:v>
      </x:c>
      <x:c r="B33" s="40" t="n">
        <x:f>COUNTA('UI_systemes'!$A$7:$A$12)</x:f>
        <x:v>6</x:v>
      </x:c>
      <x:c r="C33" s="40" t="n">
        <x:f>COUNTIFS('UI_systemes'!$C$7:$C$12,"Défini")</x:f>
        <x:v>6</x:v>
      </x:c>
      <x:c r="D33" s="40" t="n">
        <x:f>COUNTIFS('UI_systemes'!$C$7:$C$12,"Prototype")</x:f>
        <x:v>0</x:v>
      </x:c>
      <x:c r="E33" s="40" t="n">
        <x:f>COUNTIFS('UI_systemes'!$C$7:$C$12,"Intégré")</x:f>
        <x:v>0</x:v>
      </x:c>
      <x:c r="F33" s="40" t="n">
        <x:f>COUNTIFS('UI_systemes'!$C$7:$C$12,"Validé")</x:f>
        <x:v>0</x:v>
      </x:c>
      <x:c r="G33" s="40" t="n">
        <x:f>COUNTIFS('UI_systemes'!$D$7:$D$12,"Établi")</x:f>
        <x:v>0</x:v>
      </x:c>
      <x:c r="H33" s="40" t="n">
        <x:f>COUNTIFS('UI_systemes'!$D$7:$D$12,"À vérifier")</x:f>
        <x:v>0</x:v>
      </x:c>
      <x:c r="I33" s="40" t="n">
        <x:f>COUNTIFS('UI_systemes'!$D$7:$D$12,"Extrapolation")</x:f>
        <x:v>6</x:v>
      </x:c>
      <x:c r="J33" s="40" t="n">
        <x:f>COUNTIFS('UI_systemes'!$D$7:$D$12,"Coupé attesté")</x:f>
        <x:v>0</x:v>
      </x:c>
      <x:c r="K33" s="40" t="n">
        <x:f>COUNTIFS('UI_systemes'!$D$7:$D$12,"Concept abandonné")</x:f>
        <x:v>0</x:v>
      </x:c>
      <x:c r="L33" s="40" t="n">
        <x:f>COUNTIFS('UI_systemes'!$D$7:$D$12,"Allégation écartée")</x:f>
        <x:v>0</x:v>
      </x:c>
      <x:c r="M33" s="40" t="n">
        <x:f>COUNTIFS('UI_systemes'!$E$7:$E$12,"P0")</x:f>
        <x:v>0</x:v>
      </x:c>
    </x:row>
    <x:row r="34" ht="22" customHeight="1">
      <x:c r="A34" s="35" t="str">
        <x:v>QA</x:v>
      </x:c>
      <x:c r="B34" s="39" t="n">
        <x:f>COUNTA('QA'!$A$7:$A$23)</x:f>
        <x:v>17</x:v>
      </x:c>
      <x:c r="C34" s="39" t="n">
        <x:f>COUNTIFS('QA'!$C$7:$C$23,"Défini")</x:f>
        <x:v>17</x:v>
      </x:c>
      <x:c r="D34" s="39" t="n">
        <x:f>COUNTIFS('QA'!$C$7:$C$23,"Prototype")</x:f>
        <x:v>0</x:v>
      </x:c>
      <x:c r="E34" s="39" t="n">
        <x:f>COUNTIFS('QA'!$C$7:$C$23,"Intégré")</x:f>
        <x:v>0</x:v>
      </x:c>
      <x:c r="F34" s="39" t="n">
        <x:f>COUNTIFS('QA'!$C$7:$C$23,"Validé")</x:f>
        <x:v>0</x:v>
      </x:c>
      <x:c r="G34" s="39" t="n">
        <x:f>COUNTIFS('QA'!$D$7:$D$23,"Établi")</x:f>
        <x:v>0</x:v>
      </x:c>
      <x:c r="H34" s="39" t="n">
        <x:f>COUNTIFS('QA'!$D$7:$D$23,"À vérifier")</x:f>
        <x:v>0</x:v>
      </x:c>
      <x:c r="I34" s="39" t="n">
        <x:f>COUNTIFS('QA'!$D$7:$D$23,"Extrapolation")</x:f>
        <x:v>17</x:v>
      </x:c>
      <x:c r="J34" s="39" t="n">
        <x:f>COUNTIFS('QA'!$D$7:$D$23,"Coupé attesté")</x:f>
        <x:v>0</x:v>
      </x:c>
      <x:c r="K34" s="39" t="n">
        <x:f>COUNTIFS('QA'!$D$7:$D$23,"Concept abandonné")</x:f>
        <x:v>0</x:v>
      </x:c>
      <x:c r="L34" s="39" t="n">
        <x:f>COUNTIFS('QA'!$D$7:$D$23,"Allégation écartée")</x:f>
        <x:v>0</x:v>
      </x:c>
      <x:c r="M34" s="39" t="n">
        <x:f>COUNTIFS('QA'!$E$7:$E$23,"P0")</x:f>
        <x:v>13</x:v>
      </x:c>
    </x:row>
    <x:row r="35" ht="22" customHeight="1">
      <x:c r="A35" s="2" t="str">
        <x:v>Continuité</x:v>
      </x:c>
      <x:c r="B35" s="40" t="n">
        <x:f>COUNTA('Continuite'!$A$7:$A$22)</x:f>
        <x:v>16</x:v>
      </x:c>
      <x:c r="C35" s="40" t="n">
        <x:f>COUNTIFS('Continuite'!$C$7:$C$22,"Défini")</x:f>
        <x:v>16</x:v>
      </x:c>
      <x:c r="D35" s="40" t="n">
        <x:f>COUNTIFS('Continuite'!$C$7:$C$22,"Prototype")</x:f>
        <x:v>0</x:v>
      </x:c>
      <x:c r="E35" s="40" t="n">
        <x:f>COUNTIFS('Continuite'!$C$7:$C$22,"Intégré")</x:f>
        <x:v>0</x:v>
      </x:c>
      <x:c r="F35" s="40" t="n">
        <x:f>COUNTIFS('Continuite'!$C$7:$C$22,"Validé")</x:f>
        <x:v>0</x:v>
      </x:c>
      <x:c r="G35" s="40" t="n">
        <x:f>COUNTIFS('Continuite'!$D$7:$D$22,"Établi")</x:f>
        <x:v>3</x:v>
      </x:c>
      <x:c r="H35" s="40" t="n">
        <x:f>COUNTIFS('Continuite'!$D$7:$D$22,"À vérifier")</x:f>
        <x:v>0</x:v>
      </x:c>
      <x:c r="I35" s="40" t="n">
        <x:f>COUNTIFS('Continuite'!$D$7:$D$22,"Extrapolation")</x:f>
        <x:v>13</x:v>
      </x:c>
      <x:c r="J35" s="40" t="n">
        <x:f>COUNTIFS('Continuite'!$D$7:$D$22,"Coupé attesté")</x:f>
        <x:v>0</x:v>
      </x:c>
      <x:c r="K35" s="40" t="n">
        <x:f>COUNTIFS('Continuite'!$D$7:$D$22,"Concept abandonné")</x:f>
        <x:v>0</x:v>
      </x:c>
      <x:c r="L35" s="40" t="n">
        <x:f>COUNTIFS('Continuite'!$D$7:$D$22,"Allégation écartée")</x:f>
        <x:v>0</x:v>
      </x:c>
      <x:c r="M35" s="40" t="n">
        <x:f>COUNTIFS('Continuite'!$E$7:$E$22,"P0")</x:f>
        <x:v>0</x:v>
      </x:c>
    </x:row>
    <x:row r="36" ht="22" customHeight="1">
      <x:c r="A36" s="2"/>
      <x:c r="B36" s="40"/>
      <x:c r="C36" s="40"/>
      <x:c r="D36" s="40"/>
      <x:c r="E36" s="40"/>
      <x:c r="F36" s="40"/>
      <x:c r="G36" s="40"/>
      <x:c r="H36" s="40"/>
      <x:c r="I36" s="40"/>
      <x:c r="J36" s="40"/>
      <x:c r="K36" s="40"/>
      <x:c r="L36" s="40"/>
      <x:c r="M36" s="40"/>
    </x:row>
    <x:row r="37" ht="28" customHeight="1">
      <x:c r="A37" s="19" t="str">
        <x:v>TOTAL</x:v>
      </x:c>
      <x:c r="B37" s="41" t="n">
        <x:f>SUM(B10:B35)</x:f>
        <x:v>80</x:v>
      </x:c>
      <x:c r="C37" s="41" t="n">
        <x:f>SUM(C10:C35)</x:f>
        <x:v>80</x:v>
      </x:c>
      <x:c r="D37" s="41" t="n">
        <x:f>SUM(D10:D35)</x:f>
        <x:v>0</x:v>
      </x:c>
      <x:c r="E37" s="41" t="n">
        <x:f>SUM(E10:E35)</x:f>
        <x:v>0</x:v>
      </x:c>
      <x:c r="F37" s="41" t="n">
        <x:f>SUM(F10:F35)</x:f>
        <x:v>0</x:v>
      </x:c>
      <x:c r="G37" s="41" t="n">
        <x:f>SUM(G10:G35)</x:f>
        <x:v>5</x:v>
      </x:c>
      <x:c r="H37" s="41" t="n">
        <x:f>SUM(H10:H35)</x:f>
        <x:v>13</x:v>
      </x:c>
      <x:c r="I37" s="41" t="n">
        <x:f>SUM(I10:I35)</x:f>
        <x:v>62</x:v>
      </x:c>
      <x:c r="J37" s="41" t="n">
        <x:f>SUM(J10:J35)</x:f>
        <x:v>0</x:v>
      </x:c>
      <x:c r="K37" s="41" t="n">
        <x:f>SUM(K10:K35)</x:f>
        <x:v>0</x:v>
      </x:c>
      <x:c r="L37" s="41" t="n">
        <x:f>SUM(L10:L35)</x:f>
        <x:v>0</x:v>
      </x:c>
      <x:c r="M37" s="41" t="n">
        <x:f>SUM(M10:M35)</x:f>
        <x:v>15</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Library Edition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LIB-DOMAIN-CHARACTERS</x:v>
      </x:c>
      <x:c r="B7" s="9" t="str">
        <x:v>Personnages : index des identités</x:v>
      </x:c>
      <x:c r="C7" s="14" t="str">
        <x:v>Défini</x:v>
      </x:c>
      <x:c r="D7" s="15" t="str">
        <x:v>Extrapolation</x:v>
      </x:c>
      <x:c r="E7" s="15" t="str">
        <x:v>P1</x:v>
      </x:c>
      <x:c r="F7" s="9" t="str">
        <x:v>Relier les variantes d’un même personnage aux fiches de leurs récits propriétaires.</x:v>
      </x:c>
      <x:c r="G7" s="9" t="str">
        <x:v>Exemples de contrôle : Liara dans RED/HOM, Aria dans INC/INV, Vega dans CON/HOM. La collection n’ajoute aucun recrutement.</x:v>
      </x:c>
      <x:c r="H7" s="9" t="str"/>
      <x:c r="I7" s="9" t="str"/>
      <x:c r="J7" s="9" t="str"/>
      <x:c r="K7" s="9" t="str"/>
      <x:c r="L7" s="9" t="str">
        <x:v>Contrat d’indexation LIB/characters; document de production, sans création d’asset ou de niveau.</x:v>
      </x:c>
      <x:c r="M7" s="9" t="str">
        <x:v>S’applique à la collection éditoriale et à ses éventuelles interfaces de consultation.</x:v>
      </x:c>
      <x:c r="N7" s="9" t="str">
        <x:v>Une identité unique peut avoir plusieurs variantes temporelles; aucune fusion aveugle de costumes ou de savoirs.</x:v>
      </x:c>
      <x:c r="O7" s="9" t="str">
        <x:v>LIB-REF-COLLECTION</x:v>
      </x:c>
      <x:c r="P7" s="9" t="str">
        <x:v>Conception éditoriale originale.</x:v>
      </x:c>
      <x:c r="Q7" s="9" t="str"/>
      <x:c r="R7" s="17" t="str"/>
      <x:c r="S7" s="17" t="str"/>
    </x:row>
  </x:sheetData>
  <x:conditionalFormatting sqref="D7:D7">
    <x:cfRule type="cellIs" dxfId="0" priority="1" operator="equal">
      <x:formula>"À vérifier"</x:formula>
    </x:cfRule>
    <x:cfRule type="cellIs" dxfId="1" priority="2" operator="equal">
      <x:formula>"Extrapolation"</x:formula>
    </x:cfRule>
  </x:conditionalFormatting>
  <x:conditionalFormatting sqref="C7:C7">
    <x:cfRule type="cellIs" dxfId="2" priority="3" operator="equal">
      <x:formula>"Validé"</x:formula>
    </x:cfRule>
  </x:conditionalFormatting>
  <x:conditionalFormatting sqref="E7:E7">
    <x:cfRule type="cellIs" dxfId="3"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eb4a33366c954b8a"/>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Library Edition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LIB-DOMAIN-NPCS</x:v>
      </x:c>
      <x:c r="B7" s="9" t="str">
        <x:v>PNJ : rôle selon l’œuvre</x:v>
      </x:c>
      <x:c r="C7" s="14" t="str">
        <x:v>Défini</x:v>
      </x:c>
      <x:c r="D7" s="15" t="str">
        <x:v>Extrapolation</x:v>
      </x:c>
      <x:c r="E7" s="15" t="str">
        <x:v>P1</x:v>
      </x:c>
      <x:c r="F7" s="9" t="str">
        <x:v>Conserver la fonction locale de chaque interlocuteur.</x:v>
      </x:c>
      <x:c r="G7" s="9" t="str">
        <x:v>Aria peut être interlocutrice d’un module et protagoniste d’un autre; le rôle ne se propage pas automatiquement à tous les récits.</x:v>
      </x:c>
      <x:c r="H7" s="9" t="str"/>
      <x:c r="I7" s="9" t="str"/>
      <x:c r="J7" s="9" t="str"/>
      <x:c r="K7" s="9" t="str"/>
      <x:c r="L7" s="9" t="str">
        <x:v>Contrat d’indexation LIB/npcs; document de production, sans création d’asset ou de niveau.</x:v>
      </x:c>
      <x:c r="M7" s="9" t="str">
        <x:v>S’applique à la collection éditoriale et à ses éventuelles interfaces de consultation.</x:v>
      </x:c>
      <x:c r="N7" s="9" t="str">
        <x:v>Le registre stocke œuvre, rôle et période séparément de l’identité.</x:v>
      </x:c>
      <x:c r="O7" s="9" t="str">
        <x:v>LIB-REF-COLLECTION</x:v>
      </x:c>
      <x:c r="P7" s="9" t="str">
        <x:v>Conception éditoriale originale.</x:v>
      </x:c>
      <x:c r="Q7" s="9" t="str"/>
      <x:c r="R7" s="17" t="str"/>
      <x:c r="S7" s="17" t="str"/>
    </x:row>
  </x:sheetData>
  <x:conditionalFormatting sqref="D7:D7">
    <x:cfRule type="cellIs" dxfId="4" priority="1" operator="equal">
      <x:formula>"À vérifier"</x:formula>
    </x:cfRule>
    <x:cfRule type="cellIs" dxfId="5" priority="2" operator="equal">
      <x:formula>"Extrapolation"</x:formula>
    </x:cfRule>
  </x:conditionalFormatting>
  <x:conditionalFormatting sqref="C7:C7">
    <x:cfRule type="cellIs" dxfId="6" priority="3" operator="equal">
      <x:formula>"Validé"</x:formula>
    </x:cfRule>
  </x:conditionalFormatting>
  <x:conditionalFormatting sqref="E7:E7">
    <x:cfRule type="cellIs" dxfId="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c7fe8d8bfae64ada"/>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4"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Library Edition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LIB-REF-COLLECTION</x:v>
      </x:c>
      <x:c r="B7" s="9" t="str">
        <x:v>Deux volumes de compilation</x:v>
      </x:c>
      <x:c r="C7" s="14" t="str">
        <x:v>Défini</x:v>
      </x:c>
      <x:c r="D7" s="15" t="str">
        <x:v>À vérifier</x:v>
      </x:c>
      <x:c r="E7" s="15" t="str">
        <x:v>P0</x:v>
      </x:c>
      <x:c r="F7" s="9" t="str">
        <x:v>Le wiki décrit deux volumes hardcover rassemblant des comics déjà publiés.</x:v>
      </x:c>
      <x:c r="G7" s="9" t="str">
        <x:v>Construire un index éditorial; aucune aventure supplémentaire à produire.</x:v>
      </x:c>
      <x:c r="H7" s="9" t="str"/>
      <x:c r="I7" s="9" t="str"/>
      <x:c r="J7" s="9" t="str"/>
      <x:c r="K7" s="9" t="str"/>
      <x:c r="L7" s="9" t="str">
        <x:v>Livrable proposé : spécification LIB/lore/ref-collection; brancher au registre de contenu de l'œuvre seulement après production.</x:v>
      </x:c>
      <x:c r="M7" s="9" t="str">
        <x:v>Vérifier toute précision non contenue dans cette notice avant de la déclarer canon.</x:v>
      </x:c>
      <x:c r="N7" s="9" t="str">
        <x:v>Le dossier cite la source WIKI et distingue cette information de toute règle de gameplay.</x:v>
      </x:c>
      <x:c r="O7" s="9" t="str"/>
      <x:c r="P7" s="9" t="str">
        <x:v>Mass Effect: Library_Edition, série concernée</x:v>
      </x:c>
      <x:c r="Q7" s="9" t="str">
        <x:v>LIB-S-WIKI</x:v>
      </x:c>
      <x:c r="R7" s="17" t="str">
        <x:v>https://masseffect.fandom.com/wiki/Mass_Effect_Library_Edition</x:v>
      </x:c>
      <x:c r="S7" s="17" t="str">
        <x:v>Fait résumé brièvement; aucun dialogue ni découpage intégral du comic reproduit.</x:v>
      </x:c>
    </x:row>
    <x:row r="8" ht="54" customHeight="1">
      <x:c r="A8" s="31" t="str">
        <x:v>LIB-REF-VOL2</x:v>
      </x:c>
      <x:c r="B8" s="7" t="str">
        <x:v>Volume 2 dans le catalogue officiel</x:v>
      </x:c>
      <x:c r="C8" s="14" t="str">
        <x:v>Défini</x:v>
      </x:c>
      <x:c r="D8" s="30" t="str">
        <x:v>Établi</x:v>
      </x:c>
      <x:c r="E8" s="30" t="str">
        <x:v>P0</x:v>
      </x:c>
      <x:c r="F8" s="7" t="str">
        <x:v>Le catalogue officiel 2015 annonce Library Edition Volume 2, ISBN 9781616556365, Foundation et annotations.</x:v>
      </x:c>
      <x:c r="G8" s="7" t="str">
        <x:v>Corroborer existence et bonus annoncés; la notice abrégée n’établit pas toutes les pages ou tous les bonus.</x:v>
      </x:c>
      <x:c r="H8" s="7" t="str"/>
      <x:c r="I8" s="7" t="str"/>
      <x:c r="J8" s="7" t="str"/>
      <x:c r="K8" s="7" t="str"/>
      <x:c r="L8" s="7" t="str">
        <x:v>Livrable proposé : spécification LIB/lore/ref-vol2; brancher au registre de contenu de l'œuvre seulement après production.</x:v>
      </x:c>
      <x:c r="M8" s="7" t="str">
        <x:v>Vérifier toute précision non contenue dans cette notice avant de la déclarer canon.</x:v>
      </x:c>
      <x:c r="N8" s="7" t="str">
        <x:v>Le dossier cite la source CAT2015 et distingue cette information de toute règle de gameplay.</x:v>
      </x:c>
      <x:c r="O8" s="7" t="str"/>
      <x:c r="P8" s="7" t="str">
        <x:v>Catalogue Random House printemps 2015, page PDF 103 (index 102)</x:v>
      </x:c>
      <x:c r="Q8" s="7" t="str">
        <x:v>LIB-S-CAT2015</x:v>
      </x:c>
      <x:c r="R8" s="32" t="str">
        <x:v>https://edelweiss-assets.abovethetreeline.com/RH/uploads/RHBlueClientSpring15.pdf</x:v>
      </x:c>
      <x:c r="S8" s="32" t="str">
        <x:v>Fait résumé brièvement; aucun dialogue ni découpage intégral du comic reproduit.</x:v>
      </x:c>
    </x:row>
    <x:row r="9" ht="54" customHeight="1">
      <x:c r="A9" s="16" t="str">
        <x:v>LIB-DOMAIN-LORE</x:v>
      </x:c>
      <x:c r="B9" s="9" t="str">
        <x:v>Lore : sommaire sans résumé substitutif</x:v>
      </x:c>
      <x:c r="C9" s="14" t="str">
        <x:v>Défini</x:v>
      </x:c>
      <x:c r="D9" s="15" t="str">
        <x:v>Extrapolation</x:v>
      </x:c>
      <x:c r="E9" s="15" t="str">
        <x:v>P1</x:v>
      </x:c>
      <x:c r="F9" s="9" t="str">
        <x:v>Créer un descriptif éditorial bref pour chaque œuvre, sans recopier ses scènes.</x:v>
      </x:c>
      <x:c r="G9" s="9" t="str">
        <x:v>Limiter chaque notice à son périmètre, son numéro et son catalogue propriétaire; les révélations restent dans les œuvres ou leurs ancrages sourcés.</x:v>
      </x:c>
      <x:c r="H9" s="9" t="str"/>
      <x:c r="I9" s="9" t="str"/>
      <x:c r="J9" s="9" t="str"/>
      <x:c r="K9" s="9" t="str"/>
      <x:c r="L9" s="9" t="str">
        <x:v>Contrat d’indexation LIB/lore; document de production, sans création d’asset ou de niveau.</x:v>
      </x:c>
      <x:c r="M9" s="9" t="str">
        <x:v>S’applique à la collection éditoriale et à ses éventuelles interfaces de consultation.</x:v>
      </x:c>
      <x:c r="N9" s="9" t="str">
        <x:v>Aucune fiche du recueil ne devient un résumé intégral remplaçant un comic.</x:v>
      </x:c>
      <x:c r="O9" s="9" t="str">
        <x:v>LIB-REF-COLLECTION</x:v>
      </x:c>
      <x:c r="P9" s="9" t="str">
        <x:v>Conception éditoriale originale.</x:v>
      </x:c>
      <x:c r="Q9" s="9" t="str"/>
      <x:c r="R9" s="17" t="str"/>
      <x:c r="S9" s="17" t="str"/>
    </x:row>
    <x:row r="10" ht="54" customHeight="1">
      <x:c r="A10" s="31" t="str">
        <x:v>LIB-BONUS-ANNOTATIONS</x:v>
      </x:c>
      <x:c r="B10" s="7" t="str">
        <x:v>Annotations des créateurs</x:v>
      </x:c>
      <x:c r="C10" s="14" t="str">
        <x:v>Défini</x:v>
      </x:c>
      <x:c r="D10" s="30" t="str">
        <x:v>Établi</x:v>
      </x:c>
      <x:c r="E10" s="30" t="str">
        <x:v>P1</x:v>
      </x:c>
      <x:c r="F10" s="7" t="str">
        <x:v>Le catalogue officiel de 2015 annonce des annotations de créateurs pour le volume 2.</x:v>
      </x:c>
      <x:c r="G10" s="7" t="str">
        <x:v>Relever auteur, récit concerné et édition; résumé bref, aucun transfert automatique vers le canon.</x:v>
      </x:c>
      <x:c r="H10" s="7" t="str"/>
      <x:c r="I10" s="7" t="str"/>
      <x:c r="J10" s="7" t="str"/>
      <x:c r="K10" s="7" t="str"/>
      <x:c r="L10" s="7" t="str">
        <x:v>Inventaire prévu LIB/bonus/annotations; champ édition obligatoire et page laissée vide jusqu’à consultation.</x:v>
      </x:c>
      <x:c r="M10" s="7" t="str">
        <x:v>Aucun bonus complet reproduit ou livré dans ce catalogue.</x:v>
      </x:c>
      <x:c r="N10" s="7" t="str">
        <x:v>La fiche identifie le type de bonus, sa provenance et sa portée; une interprétation n’est pas présentée comme déclaration de l’auteur.</x:v>
      </x:c>
      <x:c r="O10" s="7" t="str">
        <x:v>LIB-REF-COLLECTION</x:v>
      </x:c>
      <x:c r="P10" s="7" t="str">
        <x:v>Catalogue Random House printemps 2015, page PDF 103 (index 102)</x:v>
      </x:c>
      <x:c r="Q10" s="7" t="str">
        <x:v>LIB-S-CAT2015</x:v>
      </x:c>
      <x:c r="R10" s="32" t="str">
        <x:v>https://edelweiss-assets.abovethetreeline.com/RH/uploads/RHBlueClientSpring15.pdf</x:v>
      </x:c>
      <x:c r="S10" s="32" t="str"/>
    </x:row>
    <x:row r="11" ht="54" customHeight="1">
      <x:c r="A11" s="16" t="str">
        <x:v>LIB-BONUS-COVERS</x:v>
      </x:c>
      <x:c r="B11" s="9" t="str">
        <x:v>Galerie de couvertures</x:v>
      </x:c>
      <x:c r="C11" s="14" t="str">
        <x:v>Défini</x:v>
      </x:c>
      <x:c r="D11" s="15" t="str">
        <x:v>À vérifier</x:v>
      </x:c>
      <x:c r="E11" s="15" t="str">
        <x:v>P1</x:v>
      </x:c>
      <x:c r="F11" s="9" t="str">
        <x:v>Le catalogue libraire annonce une galerie de couvertures pour le volume 2.</x:v>
      </x:c>
      <x:c r="G11" s="9" t="str">
        <x:v>Associer chaque couverture à son numéro et à sa variante; une couverture ne constitue pas une scène supplémentaire.</x:v>
      </x:c>
      <x:c r="H11" s="9" t="str"/>
      <x:c r="I11" s="9" t="str"/>
      <x:c r="J11" s="9" t="str"/>
      <x:c r="K11" s="9" t="str"/>
      <x:c r="L11" s="9" t="str">
        <x:v>Inventaire prévu LIB/bonus/covers; champ édition obligatoire et page laissée vide jusqu’à consultation.</x:v>
      </x:c>
      <x:c r="M11" s="9" t="str">
        <x:v>Aucun bonus complet reproduit ou livré dans ce catalogue.</x:v>
      </x:c>
      <x:c r="N11" s="9" t="str">
        <x:v>La fiche identifie le type de bonus, sa provenance et sa portée; une interprétation n’est pas présentée comme déclaration de l’auteur.</x:v>
      </x:c>
      <x:c r="O11" s="9" t="str">
        <x:v>LIB-REF-COLLECTION</x:v>
      </x:c>
      <x:c r="P11" s="9" t="str">
        <x:v>Notice Library Edition volume 2 du catalogue libraire</x:v>
      </x:c>
      <x:c r="Q11" s="9" t="str">
        <x:v>LIB-S-RETAIL</x:v>
      </x:c>
      <x:c r="R11" s="17" t="str">
        <x:v>https://www.mycomicshop.com/search?TID=24125397</x:v>
      </x:c>
      <x:c r="S11" s="17" t="str"/>
    </x:row>
    <x:row r="12" ht="54" customHeight="1">
      <x:c r="A12" s="31" t="str">
        <x:v>LIB-BONUS-SKETCHES</x:v>
      </x:c>
      <x:c r="B12" s="7" t="str">
        <x:v>Croquis et dessins de processus</x:v>
      </x:c>
      <x:c r="C12" s="14" t="str">
        <x:v>Défini</x:v>
      </x:c>
      <x:c r="D12" s="30" t="str">
        <x:v>À vérifier</x:v>
      </x:c>
      <x:c r="E12" s="30" t="str">
        <x:v>P1</x:v>
      </x:c>
      <x:c r="F12" s="7" t="str">
        <x:v>Le catalogue libraire annonce croquis et dessins préparatoires pour le volume 2.</x:v>
      </x:c>
      <x:c r="G12" s="7" t="str">
        <x:v>Étiqueter étude graphique; ne pas classer en contenu coupé sans déclaration explicite d’un créateur.</x:v>
      </x:c>
      <x:c r="H12" s="7" t="str"/>
      <x:c r="I12" s="7" t="str"/>
      <x:c r="J12" s="7" t="str"/>
      <x:c r="K12" s="7" t="str"/>
      <x:c r="L12" s="7" t="str">
        <x:v>Inventaire prévu LIB/bonus/sketches; champ édition obligatoire et page laissée vide jusqu’à consultation.</x:v>
      </x:c>
      <x:c r="M12" s="7" t="str">
        <x:v>Aucun bonus complet reproduit ou livré dans ce catalogue.</x:v>
      </x:c>
      <x:c r="N12" s="7" t="str">
        <x:v>La fiche identifie le type de bonus, sa provenance et sa portée; une interprétation n’est pas présentée comme déclaration de l’auteur.</x:v>
      </x:c>
      <x:c r="O12" s="7" t="str">
        <x:v>LIB-REF-COLLECTION</x:v>
      </x:c>
      <x:c r="P12" s="7" t="str">
        <x:v>Notice Library Edition volume 2 du catalogue libraire</x:v>
      </x:c>
      <x:c r="Q12" s="7" t="str">
        <x:v>LIB-S-RETAIL</x:v>
      </x:c>
      <x:c r="R12" s="32" t="str">
        <x:v>https://www.mycomicshop.com/search?TID=24125397</x:v>
      </x:c>
      <x:c r="S12" s="32" t="str"/>
    </x:row>
    <x:row r="13" ht="54" customHeight="1">
      <x:c r="A13" s="16" t="str">
        <x:v>LIB-BONUS-VOL1BONUS</x:v>
      </x:c>
      <x:c r="B13" s="9" t="str">
        <x:v>Bonus du premier volume à inventorier</x:v>
      </x:c>
      <x:c r="C13" s="14" t="str">
        <x:v>Défini</x:v>
      </x:c>
      <x:c r="D13" s="15" t="str">
        <x:v>Extrapolation</x:v>
      </x:c>
      <x:c r="E13" s="15" t="str">
        <x:v>P1</x:v>
      </x:c>
      <x:c r="F13" s="9" t="str">
        <x:v>Le détail des bonus du volume 1 n’est pas établi par les sources primaires consultées.</x:v>
      </x:c>
      <x:c r="G13" s="9" t="str">
        <x:v>Préparer des colonnes de relevé vides plutôt que transposer les bonus du volume 2.</x:v>
      </x:c>
      <x:c r="H13" s="9" t="str"/>
      <x:c r="I13" s="9" t="str"/>
      <x:c r="J13" s="9" t="str"/>
      <x:c r="K13" s="9" t="str"/>
      <x:c r="L13" s="9" t="str">
        <x:v>Inventaire prévu LIB/bonus/vol1bonus; champ édition obligatoire et page laissée vide jusqu’à consultation.</x:v>
      </x:c>
      <x:c r="M13" s="9" t="str">
        <x:v>Aucun bonus complet reproduit ou livré dans ce catalogue.</x:v>
      </x:c>
      <x:c r="N13" s="9" t="str">
        <x:v>La fiche identifie le type de bonus, sa provenance et sa portée; une interprétation n’est pas présentée comme déclaration de l’auteur.</x:v>
      </x:c>
      <x:c r="O13" s="9" t="str">
        <x:v>LIB-REF-COLLECTION</x:v>
      </x:c>
      <x:c r="P13" s="9" t="str">
        <x:v>Relevé éditorial à réaliser</x:v>
      </x:c>
      <x:c r="Q13" s="9" t="str"/>
      <x:c r="R13" s="17" t="str"/>
      <x:c r="S13" s="17" t="str"/>
    </x:row>
    <x:row r="14" ht="54" customHeight="1">
      <x:c r="A14" s="31" t="str">
        <x:v>LIB-BONUS-CREDITS</x:v>
      </x:c>
      <x:c r="B14" s="7" t="str">
        <x:v>Crédits par récit et par édition</x:v>
      </x:c>
      <x:c r="C14" s="14" t="str">
        <x:v>Défini</x:v>
      </x:c>
      <x:c r="D14" s="30" t="str">
        <x:v>Extrapolation</x:v>
      </x:c>
      <x:c r="E14" s="30" t="str">
        <x:v>P1</x:v>
      </x:c>
      <x:c r="F14" s="7" t="str">
        <x:v>Préparer un relevé séparant créateurs du récit, contributions de couverture et fabrication du recueil.</x:v>
      </x:c>
      <x:c r="G14" s="7" t="str">
        <x:v>La reliure ne fait pas d’un seul auteur le créateur de chaque numéro; contrôler les crédits dans l’édition.</x:v>
      </x:c>
      <x:c r="H14" s="7" t="str"/>
      <x:c r="I14" s="7" t="str"/>
      <x:c r="J14" s="7" t="str"/>
      <x:c r="K14" s="7" t="str"/>
      <x:c r="L14" s="7" t="str">
        <x:v>Inventaire prévu LIB/bonus/credits; champ édition obligatoire et page laissée vide jusqu’à consultation.</x:v>
      </x:c>
      <x:c r="M14" s="7" t="str">
        <x:v>Aucun bonus complet reproduit ou livré dans ce catalogue.</x:v>
      </x:c>
      <x:c r="N14" s="7" t="str">
        <x:v>La fiche identifie le type de bonus, sa provenance et sa portée; une interprétation n’est pas présentée comme déclaration de l’auteur.</x:v>
      </x:c>
      <x:c r="O14" s="7" t="str">
        <x:v>LIB-REF-COLLECTION</x:v>
      </x:c>
      <x:c r="P14" s="7" t="str">
        <x:v>Relevé éditorial à réaliser</x:v>
      </x:c>
      <x:c r="Q14" s="7" t="str"/>
      <x:c r="R14" s="32" t="str"/>
      <x:c r="S14" s="32" t="str"/>
    </x:row>
  </x:sheetData>
  <x:conditionalFormatting sqref="D7:D14">
    <x:cfRule type="cellIs" dxfId="8" priority="1" operator="equal">
      <x:formula>"À vérifier"</x:formula>
    </x:cfRule>
    <x:cfRule type="cellIs" dxfId="9" priority="2" operator="equal">
      <x:formula>"Extrapolation"</x:formula>
    </x:cfRule>
  </x:conditionalFormatting>
  <x:conditionalFormatting sqref="C7:C14">
    <x:cfRule type="cellIs" dxfId="10" priority="3" operator="equal">
      <x:formula>"Validé"</x:formula>
    </x:cfRule>
  </x:conditionalFormatting>
  <x:conditionalFormatting sqref="E7:E14">
    <x:cfRule type="cellIs" dxfId="11"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a05894e3ed244f07"/>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Library Edition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LIB-DOMAIN-WORLDS</x:v>
      </x:c>
      <x:c r="B7" s="9" t="str">
        <x:v>Mondes : index géographique</x:v>
      </x:c>
      <x:c r="C7" s="14" t="str">
        <x:v>Défini</x:v>
      </x:c>
      <x:c r="D7" s="15" t="str">
        <x:v>Extrapolation</x:v>
      </x:c>
      <x:c r="E7" s="15" t="str">
        <x:v>P1</x:v>
      </x:c>
      <x:c r="F7" s="9" t="str">
        <x:v>Renvoyer les lieux aux catalogues qui les décrivent.</x:v>
      </x:c>
      <x:c r="G7" s="9" t="str">
        <x:v>Omega peut avoir plusieurs états narratifs; une carte du recueil ne prouve pas que les épisodes ont lieu au même moment.</x:v>
      </x:c>
      <x:c r="H7" s="9" t="str"/>
      <x:c r="I7" s="9" t="str"/>
      <x:c r="J7" s="9" t="str"/>
      <x:c r="K7" s="9" t="str"/>
      <x:c r="L7" s="9" t="str">
        <x:v>Contrat d’indexation LIB/worlds; document de production, sans création d’asset ou de niveau.</x:v>
      </x:c>
      <x:c r="M7" s="9" t="str">
        <x:v>S’applique à la collection éditoriale et à ses éventuelles interfaces de consultation.</x:v>
      </x:c>
      <x:c r="N7" s="9" t="str">
        <x:v>Le clic sur un monde liste des références datées qualitativement, sans ouvrir une aventure Library.</x:v>
      </x:c>
      <x:c r="O7" s="9" t="str">
        <x:v>LIB-REF-COLLECTION</x:v>
      </x:c>
      <x:c r="P7" s="9" t="str">
        <x:v>Conception éditoriale originale.</x:v>
      </x:c>
      <x:c r="Q7" s="9" t="str"/>
      <x:c r="R7" s="17" t="str"/>
      <x:c r="S7" s="17" t="str"/>
    </x:row>
  </x:sheetData>
  <x:conditionalFormatting sqref="D7:D7">
    <x:cfRule type="cellIs" dxfId="12" priority="1" operator="equal">
      <x:formula>"À vérifier"</x:formula>
    </x:cfRule>
    <x:cfRule type="cellIs" dxfId="13" priority="2" operator="equal">
      <x:formula>"Extrapolation"</x:formula>
    </x:cfRule>
  </x:conditionalFormatting>
  <x:conditionalFormatting sqref="C7:C7">
    <x:cfRule type="cellIs" dxfId="14" priority="3" operator="equal">
      <x:formula>"Validé"</x:formula>
    </x:cfRule>
  </x:conditionalFormatting>
  <x:conditionalFormatting sqref="E7:E7">
    <x:cfRule type="cellIs" dxfId="15"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be203a143a614e90"/>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Library Edition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44" customHeight="1">
      <x:c r="A7" s="16" t="str">
        <x:v>LIB-DOMAIN-ZONES</x:v>
      </x:c>
      <x:c r="B7" s="9" t="str">
        <x:v>Zones : aucune carte propre au recueil</x:v>
      </x:c>
      <x:c r="C7" s="14" t="str">
        <x:v>Défini</x:v>
      </x:c>
      <x:c r="D7" s="15" t="str">
        <x:v>Extrapolation</x:v>
      </x:c>
      <x:c r="E7" s="15" t="str">
        <x:v>P1</x:v>
      </x:c>
      <x:c r="F7" s="9" t="str">
        <x:v>Garder la propriété des scènes de terrain dans les œuvres sources.</x:v>
      </x:c>
      <x:c r="G7" s="9" t="str">
        <x:v>Une reliure ou un bonus ne justifie pas une nouvelle salle, planète ou zone secrète.</x:v>
      </x:c>
      <x:c r="H7" s="9" t="str"/>
      <x:c r="I7" s="9" t="str"/>
      <x:c r="J7" s="9" t="str"/>
      <x:c r="K7" s="9" t="str"/>
      <x:c r="L7" s="9" t="str">
        <x:v>Contrat d’indexation LIB/zones; document de production, sans création d’asset ou de niveau.</x:v>
      </x:c>
      <x:c r="M7" s="9" t="str">
        <x:v>S’applique à la collection éditoriale et à ses éventuelles interfaces de consultation.</x:v>
      </x:c>
      <x:c r="N7" s="9" t="str">
        <x:v>Aucun identifiant de niveau inédit n’est créé par l’import de LIB.</x:v>
      </x:c>
      <x:c r="O7" s="9" t="str">
        <x:v>LIB-REF-COLLECTION</x:v>
      </x:c>
      <x:c r="P7" s="9" t="str">
        <x:v>Conception éditoriale originale.</x:v>
      </x:c>
      <x:c r="Q7" s="9" t="str"/>
      <x:c r="R7" s="17" t="str"/>
      <x:c r="S7" s="17" t="str"/>
    </x:row>
  </x:sheetData>
  <x:conditionalFormatting sqref="D7:D7">
    <x:cfRule type="cellIs" dxfId="16" priority="1" operator="equal">
      <x:formula>"À vérifier"</x:formula>
    </x:cfRule>
    <x:cfRule type="cellIs" dxfId="17" priority="2" operator="equal">
      <x:formula>"Extrapolation"</x:formula>
    </x:cfRule>
  </x:conditionalFormatting>
  <x:conditionalFormatting sqref="C7:C7">
    <x:cfRule type="cellIs" dxfId="18" priority="3" operator="equal">
      <x:formula>"Validé"</x:formula>
    </x:cfRule>
  </x:conditionalFormatting>
  <x:conditionalFormatting sqref="E7:E7">
    <x:cfRule type="cellIs" dxfId="1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ee67ce7b8fde4418"/>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94"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Library Edition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LIB-STORY-RED</x:v>
      </x:c>
      <x:c r="B7" s="9" t="str">
        <x:v>Volume 1 — Redemption</x:v>
      </x:c>
      <x:c r="C7" s="14" t="str">
        <x:v>Défini</x:v>
      </x:c>
      <x:c r="D7" s="15" t="str">
        <x:v>À vérifier</x:v>
      </x:c>
      <x:c r="E7" s="15" t="str">
        <x:v>P1</x:v>
      </x:c>
      <x:c r="F7" s="9" t="str">
        <x:v>Correspondance à contrôler : volume 1, Redemption, #1–4.</x:v>
      </x:c>
      <x:c r="G7" s="9" t="str">
        <x:v>Renvoi documentaire vers docs/universe/catalogs/RED.json. Liara et Feron; préserver les paramètres de Shepard et le raccord ME2.</x:v>
      </x:c>
      <x:c r="H7" s="9" t="str">
        <x:v>Aucun nouveau niveau; ouvrir éventuellement le module propriétaire lorsqu’il sera réalisé.</x:v>
      </x:c>
      <x:c r="I7" s="9" t="str"/>
      <x:c r="J7" s="9" t="str"/>
      <x:c r="K7" s="9" t="str"/>
      <x:c r="L7" s="9" t="str">
        <x:v>Index éditorial proposé : œuvre RED, volume 1, unités #1–4; ne pas créer d’identifiant de mission LIB équivalent.</x:v>
      </x:c>
      <x:c r="M7" s="9" t="str">
        <x:v>Correspondance de l’édition hardcover à confirmer; ne pas substituer une pagination Omnibus.</x:v>
      </x:c>
      <x:c r="N7" s="9" t="str">
        <x:v>Le renvoi vise le catalogue RED; une inclusion supplémentaire ne crée pas une copie des fiches de ce récit.</x:v>
      </x:c>
      <x:c r="O7" s="9" t="str">
        <x:v>LIB-REF-COLLECTION</x:v>
      </x:c>
      <x:c r="P7" s="9" t="str">
        <x:v>Library Edition volume 1, sommaire à comparer</x:v>
      </x:c>
      <x:c r="Q7" s="9" t="str">
        <x:v>LIB-S-WIKI</x:v>
      </x:c>
      <x:c r="R7" s="17" t="str">
        <x:v>https://masseffect.fandom.com/wiki/Mass_Effect_Library_Edition</x:v>
      </x:c>
      <x:c r="S7" s="17" t="str">
        <x:v>Les dépendances structurées restent locales; le chemin cité est un renvoi documentaire intercatalogues.</x:v>
      </x:c>
    </x:row>
    <x:row r="8" ht="68" customHeight="1">
      <x:c r="A8" s="31" t="str">
        <x:v>LIB-STORY-EVO</x:v>
      </x:c>
      <x:c r="B8" s="7" t="str">
        <x:v>Volume 1 — Evolution</x:v>
      </x:c>
      <x:c r="C8" s="14" t="str">
        <x:v>Défini</x:v>
      </x:c>
      <x:c r="D8" s="30" t="str">
        <x:v>À vérifier</x:v>
      </x:c>
      <x:c r="E8" s="30" t="str">
        <x:v>P1</x:v>
      </x:c>
      <x:c r="F8" s="7" t="str">
        <x:v>Correspondance à contrôler : volume 1, Evolution, #1–4.</x:v>
      </x:c>
      <x:c r="G8" s="7" t="str">
        <x:v>Renvoi documentaire vers docs/universe/catalogs/EVO.json. Jack Harper; distinguer l’Eva humaine de la plateforme portant ce nom dans ME3.</x:v>
      </x:c>
      <x:c r="H8" s="7" t="str">
        <x:v>Aucun nouveau niveau; ouvrir éventuellement le module propriétaire lorsqu’il sera réalisé.</x:v>
      </x:c>
      <x:c r="I8" s="7" t="str"/>
      <x:c r="J8" s="7" t="str"/>
      <x:c r="K8" s="7" t="str"/>
      <x:c r="L8" s="7" t="str">
        <x:v>Index éditorial proposé : œuvre EVO, volume 1, unités #1–4; ne pas créer d’identifiant de mission LIB équivalent.</x:v>
      </x:c>
      <x:c r="M8" s="7" t="str">
        <x:v>Correspondance de l’édition hardcover à confirmer; ne pas substituer une pagination Omnibus.</x:v>
      </x:c>
      <x:c r="N8" s="7" t="str">
        <x:v>Le renvoi vise le catalogue EVO; une inclusion supplémentaire ne crée pas une copie des fiches de ce récit.</x:v>
      </x:c>
      <x:c r="O8" s="7" t="str">
        <x:v>LIB-REF-COLLECTION</x:v>
      </x:c>
      <x:c r="P8" s="7" t="str">
        <x:v>Library Edition volume 1, sommaire à comparer</x:v>
      </x:c>
      <x:c r="Q8" s="7" t="str">
        <x:v>LIB-S-WIKI</x:v>
      </x:c>
      <x:c r="R8" s="32" t="str">
        <x:v>https://masseffect.fandom.com/wiki/Mass_Effect_Library_Edition</x:v>
      </x:c>
      <x:c r="S8" s="32" t="str">
        <x:v>Les dépendances structurées restent locales; le chemin cité est un renvoi documentaire intercatalogues.</x:v>
      </x:c>
    </x:row>
    <x:row r="9" ht="54" customHeight="1">
      <x:c r="A9" s="16" t="str">
        <x:v>LIB-STORY-INV</x:v>
      </x:c>
      <x:c r="B9" s="9" t="str">
        <x:v>Volume 1 — Invasion</x:v>
      </x:c>
      <x:c r="C9" s="14" t="str">
        <x:v>Défini</x:v>
      </x:c>
      <x:c r="D9" s="15" t="str">
        <x:v>À vérifier</x:v>
      </x:c>
      <x:c r="E9" s="15" t="str">
        <x:v>P1</x:v>
      </x:c>
      <x:c r="F9" s="9" t="str">
        <x:v>Correspondance à contrôler : volume 1, Invasion, #1–4.</x:v>
      </x:c>
      <x:c r="G9" s="9" t="str">
        <x:v>Renvoi documentaire vers docs/universe/catalogs/INV.json. Aria et Omega; départ de la station conservé dans le catalogue propriétaire.</x:v>
      </x:c>
      <x:c r="H9" s="9" t="str">
        <x:v>Aucun nouveau niveau; ouvrir éventuellement le module propriétaire lorsqu’il sera réalisé.</x:v>
      </x:c>
      <x:c r="I9" s="9" t="str"/>
      <x:c r="J9" s="9" t="str"/>
      <x:c r="K9" s="9" t="str"/>
      <x:c r="L9" s="9" t="str">
        <x:v>Index éditorial proposé : œuvre INV, volume 1, unités #1–4; ne pas créer d’identifiant de mission LIB équivalent.</x:v>
      </x:c>
      <x:c r="M9" s="9" t="str">
        <x:v>Correspondance de l’édition hardcover à confirmer; ne pas substituer une pagination Omnibus.</x:v>
      </x:c>
      <x:c r="N9" s="9" t="str">
        <x:v>Le renvoi vise le catalogue INV; une inclusion supplémentaire ne crée pas une copie des fiches de ce récit.</x:v>
      </x:c>
      <x:c r="O9" s="9" t="str">
        <x:v>LIB-REF-COLLECTION</x:v>
      </x:c>
      <x:c r="P9" s="9" t="str">
        <x:v>Library Edition volume 1, sommaire à comparer</x:v>
      </x:c>
      <x:c r="Q9" s="9" t="str">
        <x:v>LIB-S-WIKI</x:v>
      </x:c>
      <x:c r="R9" s="17" t="str">
        <x:v>https://masseffect.fandom.com/wiki/Mass_Effect_Library_Edition</x:v>
      </x:c>
      <x:c r="S9" s="17" t="str">
        <x:v>Les dépendances structurées restent locales; le chemin cité est un renvoi documentaire intercatalogues.</x:v>
      </x:c>
    </x:row>
    <x:row r="10" ht="54" customHeight="1">
      <x:c r="A10" s="31" t="str">
        <x:v>LIB-STORY-HOM</x:v>
      </x:c>
      <x:c r="B10" s="7" t="str">
        <x:v>Volume 1 — Homeworlds</x:v>
      </x:c>
      <x:c r="C10" s="14" t="str">
        <x:v>Défini</x:v>
      </x:c>
      <x:c r="D10" s="30" t="str">
        <x:v>À vérifier</x:v>
      </x:c>
      <x:c r="E10" s="30" t="str">
        <x:v>P1</x:v>
      </x:c>
      <x:c r="F10" s="7" t="str">
        <x:v>Correspondance à contrôler : volume 1, Homeworlds, #1–4.</x:v>
      </x:c>
      <x:c r="G10" s="7" t="str">
        <x:v>Renvoi documentaire vers docs/universe/catalogs/HOM.json. Repérage #1 Vega, #2 Tali, #3 Garrus, #4 Liara à comparer au sommaire.</x:v>
      </x:c>
      <x:c r="H10" s="7" t="str">
        <x:v>Aucun nouveau niveau; ouvrir éventuellement le module propriétaire lorsqu’il sera réalisé.</x:v>
      </x:c>
      <x:c r="I10" s="7" t="str"/>
      <x:c r="J10" s="7" t="str"/>
      <x:c r="K10" s="7" t="str"/>
      <x:c r="L10" s="7" t="str">
        <x:v>Index éditorial proposé : œuvre HOM, volume 1, unités #1–4; ne pas créer d’identifiant de mission LIB équivalent.</x:v>
      </x:c>
      <x:c r="M10" s="7" t="str">
        <x:v>Correspondance de l’édition hardcover à confirmer; ne pas substituer une pagination Omnibus.</x:v>
      </x:c>
      <x:c r="N10" s="7" t="str">
        <x:v>Le renvoi vise le catalogue HOM; une inclusion supplémentaire ne crée pas une copie des fiches de ce récit.</x:v>
      </x:c>
      <x:c r="O10" s="7" t="str">
        <x:v>LIB-REF-COLLECTION</x:v>
      </x:c>
      <x:c r="P10" s="7" t="str">
        <x:v>Library Edition volume 1, sommaire à comparer</x:v>
      </x:c>
      <x:c r="Q10" s="7" t="str">
        <x:v>LIB-S-WIKI</x:v>
      </x:c>
      <x:c r="R10" s="32" t="str">
        <x:v>https://masseffect.fandom.com/wiki/Mass_Effect_Library_Edition</x:v>
      </x:c>
      <x:c r="S10" s="32" t="str">
        <x:v>Les dépendances structurées restent locales; le chemin cité est un renvoi documentaire intercatalogues.</x:v>
      </x:c>
    </x:row>
    <x:row r="11" ht="68" customHeight="1">
      <x:c r="A11" s="16" t="str">
        <x:v>LIB-STORY-INC</x:v>
      </x:c>
      <x:c r="B11" s="9" t="str">
        <x:v>Volume 1 — Incursion</x:v>
      </x:c>
      <x:c r="C11" s="14" t="str">
        <x:v>Défini</x:v>
      </x:c>
      <x:c r="D11" s="15" t="str">
        <x:v>À vérifier</x:v>
      </x:c>
      <x:c r="E11" s="15" t="str">
        <x:v>P1</x:v>
      </x:c>
      <x:c r="F11" s="9" t="str">
        <x:v>Correspondance à contrôler : volume 1, Incursion, récit court.</x:v>
      </x:c>
      <x:c r="G11" s="9" t="str">
        <x:v>Renvoi documentaire vers docs/universe/catalogs/INC.json. Aria, Collectors et document démographique; aucune visite de toutes les colonies listées.</x:v>
      </x:c>
      <x:c r="H11" s="9" t="str">
        <x:v>Aucun nouveau niveau; ouvrir éventuellement le module propriétaire lorsqu’il sera réalisé.</x:v>
      </x:c>
      <x:c r="I11" s="9" t="str"/>
      <x:c r="J11" s="9" t="str"/>
      <x:c r="K11" s="9" t="str"/>
      <x:c r="L11" s="9" t="str">
        <x:v>Index éditorial proposé : œuvre INC, volume 1, unités récit court; ne pas créer d’identifiant de mission LIB équivalent.</x:v>
      </x:c>
      <x:c r="M11" s="9" t="str">
        <x:v>Correspondance de l’édition hardcover à confirmer; ne pas substituer une pagination Omnibus.</x:v>
      </x:c>
      <x:c r="N11" s="9" t="str">
        <x:v>Le renvoi vise le catalogue INC; une inclusion supplémentaire ne crée pas une copie des fiches de ce récit.</x:v>
      </x:c>
      <x:c r="O11" s="9" t="str">
        <x:v>LIB-REF-COLLECTION</x:v>
      </x:c>
      <x:c r="P11" s="9" t="str">
        <x:v>Library Edition volume 1, sommaire à comparer</x:v>
      </x:c>
      <x:c r="Q11" s="9" t="str">
        <x:v>LIB-S-WIKI</x:v>
      </x:c>
      <x:c r="R11" s="17" t="str">
        <x:v>https://masseffect.fandom.com/wiki/Mass_Effect_Library_Edition</x:v>
      </x:c>
      <x:c r="S11" s="17" t="str">
        <x:v>Les dépendances structurées restent locales; le chemin cité est un renvoi documentaire intercatalogues.</x:v>
      </x:c>
    </x:row>
    <x:row r="12" ht="68" customHeight="1">
      <x:c r="A12" s="31" t="str">
        <x:v>LIB-STORY-INQ</x:v>
      </x:c>
      <x:c r="B12" s="7" t="str">
        <x:v>Volume 1 — Inquisition</x:v>
      </x:c>
      <x:c r="C12" s="14" t="str">
        <x:v>Défini</x:v>
      </x:c>
      <x:c r="D12" s="30" t="str">
        <x:v>À vérifier</x:v>
      </x:c>
      <x:c r="E12" s="30" t="str">
        <x:v>P1</x:v>
      </x:c>
      <x:c r="F12" s="7" t="str">
        <x:v>Correspondance à contrôler : volume 1, Inquisition, récit court.</x:v>
      </x:c>
      <x:c r="G12" s="7" t="str">
        <x:v>Renvoi documentaire vers docs/universe/catalogs/INQ.json. Bailey; conserver l’attribution des accusations et le doute, sans verdict ajouté.</x:v>
      </x:c>
      <x:c r="H12" s="7" t="str">
        <x:v>Aucun nouveau niveau; ouvrir éventuellement le module propriétaire lorsqu’il sera réalisé.</x:v>
      </x:c>
      <x:c r="I12" s="7" t="str"/>
      <x:c r="J12" s="7" t="str"/>
      <x:c r="K12" s="7" t="str"/>
      <x:c r="L12" s="7" t="str">
        <x:v>Index éditorial proposé : œuvre INQ, volume 1, unités récit court; ne pas créer d’identifiant de mission LIB équivalent.</x:v>
      </x:c>
      <x:c r="M12" s="7" t="str">
        <x:v>Correspondance de l’édition hardcover à confirmer; ne pas substituer une pagination Omnibus.</x:v>
      </x:c>
      <x:c r="N12" s="7" t="str">
        <x:v>Le renvoi vise le catalogue INQ; une inclusion supplémentaire ne crée pas une copie des fiches de ce récit.</x:v>
      </x:c>
      <x:c r="O12" s="7" t="str">
        <x:v>LIB-REF-COLLECTION</x:v>
      </x:c>
      <x:c r="P12" s="7" t="str">
        <x:v>Library Edition volume 1, sommaire à comparer</x:v>
      </x:c>
      <x:c r="Q12" s="7" t="str">
        <x:v>LIB-S-WIKI</x:v>
      </x:c>
      <x:c r="R12" s="32" t="str">
        <x:v>https://masseffect.fandom.com/wiki/Mass_Effect_Library_Edition</x:v>
      </x:c>
      <x:c r="S12" s="32" t="str">
        <x:v>Les dépendances structurées restent locales; le chemin cité est un renvoi documentaire intercatalogues.</x:v>
      </x:c>
    </x:row>
    <x:row r="13" ht="68" customHeight="1">
      <x:c r="A13" s="16" t="str">
        <x:v>LIB-STORY-CON</x:v>
      </x:c>
      <x:c r="B13" s="9" t="str">
        <x:v>Volume 1 — Conviction</x:v>
      </x:c>
      <x:c r="C13" s="14" t="str">
        <x:v>Défini</x:v>
      </x:c>
      <x:c r="D13" s="15" t="str">
        <x:v>À vérifier</x:v>
      </x:c>
      <x:c r="E13" s="15" t="str">
        <x:v>P1</x:v>
      </x:c>
      <x:c r="F13" s="9" t="str">
        <x:v>Correspondance à contrôler : volume 1, Conviction, récit court.</x:v>
      </x:c>
      <x:c r="G13" s="9" t="str">
        <x:v>Renvoi documentaire vers docs/universe/catalogs/CON.json. Vega et Anderson; le contexte Arrival/Paragon Lost n’est pas recopié en nouvelle campagne.</x:v>
      </x:c>
      <x:c r="H13" s="9" t="str">
        <x:v>Aucun nouveau niveau; ouvrir éventuellement le module propriétaire lorsqu’il sera réalisé.</x:v>
      </x:c>
      <x:c r="I13" s="9" t="str"/>
      <x:c r="J13" s="9" t="str"/>
      <x:c r="K13" s="9" t="str"/>
      <x:c r="L13" s="9" t="str">
        <x:v>Index éditorial proposé : œuvre CON, volume 1, unités récit court; ne pas créer d’identifiant de mission LIB équivalent.</x:v>
      </x:c>
      <x:c r="M13" s="9" t="str">
        <x:v>Correspondance de l’édition hardcover à confirmer; ne pas substituer une pagination Omnibus.</x:v>
      </x:c>
      <x:c r="N13" s="9" t="str">
        <x:v>Le renvoi vise le catalogue CON; une inclusion supplémentaire ne crée pas une copie des fiches de ce récit.</x:v>
      </x:c>
      <x:c r="O13" s="9" t="str">
        <x:v>LIB-REF-COLLECTION</x:v>
      </x:c>
      <x:c r="P13" s="9" t="str">
        <x:v>Library Edition volume 1, sommaire à comparer</x:v>
      </x:c>
      <x:c r="Q13" s="9" t="str">
        <x:v>LIB-S-WIKI</x:v>
      </x:c>
      <x:c r="R13" s="17" t="str">
        <x:v>https://masseffect.fandom.com/wiki/Mass_Effect_Library_Edition</x:v>
      </x:c>
      <x:c r="S13" s="17" t="str">
        <x:v>Les dépendances structurées restent locales; le chemin cité est un renvoi documentaire intercatalogues.</x:v>
      </x:c>
    </x:row>
    <x:row r="14" ht="68" customHeight="1">
      <x:c r="A14" s="31" t="str">
        <x:v>LIB-STORY-FOU</x:v>
      </x:c>
      <x:c r="B14" s="7" t="str">
        <x:v>Volume 2 — Foundation</x:v>
      </x:c>
      <x:c r="C14" s="14" t="str">
        <x:v>Défini</x:v>
      </x:c>
      <x:c r="D14" s="30" t="str">
        <x:v>À vérifier</x:v>
      </x:c>
      <x:c r="E14" s="30" t="str">
        <x:v>P1</x:v>
      </x:c>
      <x:c r="F14" s="7" t="str">
        <x:v>Correspondance à contrôler : volume 2, Foundation, #1–13.</x:v>
      </x:c>
      <x:c r="G14" s="7" t="str">
        <x:v>Renvoi documentaire vers docs/universe/catalogs/FOU.json. Rasa et dossiers; alias, périodes et distinction clone/original restent gérés dans FOU.</x:v>
      </x:c>
      <x:c r="H14" s="7" t="str">
        <x:v>Aucun nouveau niveau; ouvrir éventuellement le module propriétaire lorsqu’il sera réalisé.</x:v>
      </x:c>
      <x:c r="I14" s="7" t="str"/>
      <x:c r="J14" s="7" t="str"/>
      <x:c r="K14" s="7" t="str"/>
      <x:c r="L14" s="7" t="str">
        <x:v>Index éditorial proposé : œuvre FOU, volume 2, unités #1–13; ne pas créer d’identifiant de mission LIB équivalent.</x:v>
      </x:c>
      <x:c r="M14" s="7" t="str">
        <x:v>Correspondance de l’édition hardcover à confirmer; ne pas substituer une pagination Omnibus.</x:v>
      </x:c>
      <x:c r="N14" s="7" t="str">
        <x:v>Le renvoi vise le catalogue FOU; une inclusion supplémentaire ne crée pas une copie des fiches de ce récit.</x:v>
      </x:c>
      <x:c r="O14" s="7" t="str">
        <x:v>LIB-REF-COLLECTION</x:v>
      </x:c>
      <x:c r="P14" s="7" t="str">
        <x:v>Library Edition volume 2, sommaire à comparer</x:v>
      </x:c>
      <x:c r="Q14" s="7" t="str">
        <x:v>LIB-S-WIKI</x:v>
      </x:c>
      <x:c r="R14" s="32" t="str">
        <x:v>https://masseffect.fandom.com/wiki/Mass_Effect_Library_Edition</x:v>
      </x:c>
      <x:c r="S14" s="32" t="str">
        <x:v>Les dépendances structurées restent locales; le chemin cité est un renvoi documentaire intercatalogues.</x:v>
      </x:c>
    </x:row>
    <x:row r="15" ht="54" customHeight="1">
      <x:c r="A15" s="16" t="str">
        <x:v>LIB-STORY-HWB</x:v>
      </x:c>
      <x:c r="B15" s="9" t="str">
        <x:v>Volume 2 — He Who Laughs Best</x:v>
      </x:c>
      <x:c r="C15" s="14" t="str">
        <x:v>Défini</x:v>
      </x:c>
      <x:c r="D15" s="15" t="str">
        <x:v>À vérifier</x:v>
      </x:c>
      <x:c r="E15" s="15" t="str">
        <x:v>P1</x:v>
      </x:c>
      <x:c r="F15" s="9" t="str">
        <x:v>Correspondance à contrôler : volume 2, He Who Laughs Best, récit FCBD 2013.</x:v>
      </x:c>
      <x:c r="G15" s="9" t="str">
        <x:v>Renvoi documentaire vers docs/universe/catalogs/HWB.json. Joker et SR-1; aucune réutilisation automatique du SR-2.</x:v>
      </x:c>
      <x:c r="H15" s="9" t="str">
        <x:v>Aucun nouveau niveau; ouvrir éventuellement le module propriétaire lorsqu’il sera réalisé.</x:v>
      </x:c>
      <x:c r="I15" s="9" t="str"/>
      <x:c r="J15" s="9" t="str"/>
      <x:c r="K15" s="9" t="str"/>
      <x:c r="L15" s="9" t="str">
        <x:v>Index éditorial proposé : œuvre HWB, volume 2, unités récit FCBD 2013; ne pas créer d’identifiant de mission LIB équivalent.</x:v>
      </x:c>
      <x:c r="M15" s="9" t="str">
        <x:v>Correspondance de l’édition hardcover à confirmer; ne pas substituer une pagination Omnibus.</x:v>
      </x:c>
      <x:c r="N15" s="9" t="str">
        <x:v>Le renvoi vise le catalogue HWB; une inclusion supplémentaire ne crée pas une copie des fiches de ce récit.</x:v>
      </x:c>
      <x:c r="O15" s="9" t="str">
        <x:v>LIB-REF-COLLECTION</x:v>
      </x:c>
      <x:c r="P15" s="9" t="str">
        <x:v>Library Edition volume 2, sommaire à comparer</x:v>
      </x:c>
      <x:c r="Q15" s="9" t="str">
        <x:v>LIB-S-WIKI</x:v>
      </x:c>
      <x:c r="R15" s="17" t="str">
        <x:v>https://masseffect.fandom.com/wiki/Mass_Effect_Library_Edition</x:v>
      </x:c>
      <x:c r="S15" s="17" t="str">
        <x:v>Les dépendances structurées restent locales; le chemin cité est un renvoi documentaire intercatalogues.</x:v>
      </x:c>
    </x:row>
    <x:row r="16" ht="68" customHeight="1">
      <x:c r="A16" s="31" t="str">
        <x:v>LIB-STORY-BLA</x:v>
      </x:c>
      <x:c r="B16" s="7" t="str">
        <x:v>Volume 2 — Blasto: Eternity is Forever</x:v>
      </x:c>
      <x:c r="C16" s="14" t="str">
        <x:v>Défini</x:v>
      </x:c>
      <x:c r="D16" s="30" t="str">
        <x:v>À vérifier</x:v>
      </x:c>
      <x:c r="E16" s="30" t="str">
        <x:v>P1</x:v>
      </x:c>
      <x:c r="F16" s="7" t="str">
        <x:v>Correspondance à contrôler : volume 2, Blasto: Eternity is Forever, récit autonome.</x:v>
      </x:c>
      <x:c r="G16" s="7" t="str">
        <x:v>Renvoi documentaire vers docs/universe/catalogs/BLA.json. Préserver le badge de film et interdire l’export des effets temporels dans la campagne.</x:v>
      </x:c>
      <x:c r="H16" s="7" t="str">
        <x:v>Aucun nouveau niveau; ouvrir éventuellement le module propriétaire lorsqu’il sera réalisé.</x:v>
      </x:c>
      <x:c r="I16" s="7" t="str"/>
      <x:c r="J16" s="7" t="str"/>
      <x:c r="K16" s="7" t="str"/>
      <x:c r="L16" s="7" t="str">
        <x:v>Index éditorial proposé : œuvre BLA, volume 2, unités récit autonome; ne pas créer d’identifiant de mission LIB équivalent.</x:v>
      </x:c>
      <x:c r="M16" s="7" t="str">
        <x:v>Correspondance de l’édition hardcover à confirmer; ne pas substituer une pagination Omnibus.</x:v>
      </x:c>
      <x:c r="N16" s="7" t="str">
        <x:v>Le renvoi vise le catalogue BLA; une inclusion supplémentaire ne crée pas une copie des fiches de ce récit.</x:v>
      </x:c>
      <x:c r="O16" s="7" t="str">
        <x:v>LIB-REF-COLLECTION</x:v>
      </x:c>
      <x:c r="P16" s="7" t="str">
        <x:v>Library Edition volume 2, sommaire à comparer</x:v>
      </x:c>
      <x:c r="Q16" s="7" t="str">
        <x:v>LIB-S-WIKI</x:v>
      </x:c>
      <x:c r="R16" s="32" t="str">
        <x:v>https://masseffect.fandom.com/wiki/Mass_Effect_Library_Edition</x:v>
      </x:c>
      <x:c r="S16" s="32" t="str">
        <x:v>Les dépendances structurées restent locales; le chemin cité est un renvoi documentaire intercatalogues.</x:v>
      </x:c>
    </x:row>
    <x:row r="17" ht="68" customHeight="1">
      <x:c r="A17" s="16" t="str">
        <x:v>LIB-DOMAIN-LINKS</x:v>
      </x:c>
      <x:c r="B17" s="9" t="str">
        <x:v>Liaisons : renvois bibliographiques</x:v>
      </x:c>
      <x:c r="C17" s="14" t="str">
        <x:v>Défini</x:v>
      </x:c>
      <x:c r="D17" s="15" t="str">
        <x:v>Extrapolation</x:v>
      </x:c>
      <x:c r="E17" s="15" t="str">
        <x:v>P1</x:v>
      </x:c>
      <x:c r="F17" s="9" t="str">
        <x:v>Relier volume, œuvre, numéros et catalogue propriétaire.</x:v>
      </x:c>
      <x:c r="G17" s="9" t="str">
        <x:v>Les dix fiches de récit ci-dessous portent les correspondances; les chemins interclasseurs sont documentaires et ne sont pas des dépendances locales invalides.</x:v>
      </x:c>
      <x:c r="H17" s="9" t="str"/>
      <x:c r="I17" s="9" t="str"/>
      <x:c r="J17" s="9" t="str"/>
      <x:c r="K17" s="9" t="str"/>
      <x:c r="L17" s="9" t="str">
        <x:v>Contrat d’indexation LIB/links; document de production, sans création d’asset ou de niveau.</x:v>
      </x:c>
      <x:c r="M17" s="9" t="str">
        <x:v>S’applique à la collection éditoriale et à ses éventuelles interfaces de consultation.</x:v>
      </x:c>
      <x:c r="N17" s="9" t="str">
        <x:v>Tous les renvois nomment un catalogue existant; chaque dépendance structurée reste dans LIB.</x:v>
      </x:c>
      <x:c r="O17" s="9" t="str">
        <x:v>LIB-REF-COLLECTION</x:v>
      </x:c>
      <x:c r="P17" s="9" t="str">
        <x:v>Conception éditoriale originale.</x:v>
      </x:c>
      <x:c r="Q17" s="9" t="str"/>
      <x:c r="R17" s="17" t="str"/>
      <x:c r="S17" s="17" t="str"/>
    </x:row>
    <x:row r="18" ht="54" customHeight="1">
      <x:c r="A18" s="31" t="str">
        <x:v>LIB-LINK-DISCOVERY</x:v>
      </x:c>
      <x:c r="B18" s="7" t="str">
        <x:v>Discovery : renvoi hors périmètre Library</x:v>
      </x:c>
      <x:c r="C18" s="14" t="str">
        <x:v>Défini</x:v>
      </x:c>
      <x:c r="D18" s="30" t="str">
        <x:v>Extrapolation</x:v>
      </x:c>
      <x:c r="E18" s="30" t="str">
        <x:v>P1</x:v>
      </x:c>
      <x:c r="F18" s="7" t="str">
        <x:v>Réserver un lien documentaire vers le catalogue DIS sans l’ajouter aux sommaires Library non vérifiés.</x:v>
      </x:c>
      <x:c r="G18" s="7" t="str">
        <x:v>Le catalogue docs/universe/catalogs/DIS.json existe séparément; toute inclusion ultérieure exige une source d’édition précise.</x:v>
      </x:c>
      <x:c r="H18" s="7" t="str"/>
      <x:c r="I18" s="7" t="str"/>
      <x:c r="J18" s="7" t="str"/>
      <x:c r="K18" s="7" t="str"/>
      <x:c r="L18" s="7" t="str">
        <x:v>Livrable proposé : spécification LIB/links/link-discovery; brancher au registre de contenu de l'œuvre seulement après production.</x:v>
      </x:c>
      <x:c r="M18" s="7" t="str">
        <x:v>Renvoi de bibliothèque documentaire, pas contenu du volume 1 ou 2 annoncé.</x:v>
      </x:c>
      <x:c r="N18" s="7" t="str">
        <x:v>DIS apparaît comme œuvre séparée et n’augmente pas le nombre de récits inclus dans Library.</x:v>
      </x:c>
      <x:c r="O18" s="7" t="str">
        <x:v>LIB-EDITION-COMPLETE</x:v>
      </x:c>
      <x:c r="P18" s="7" t="str"/>
      <x:c r="Q18" s="7" t="str"/>
      <x:c r="R18" s="32" t="str"/>
      <x:c r="S18" s="32" t="str"/>
    </x:row>
  </x:sheetData>
  <x:conditionalFormatting sqref="D7:D18">
    <x:cfRule type="cellIs" dxfId="20" priority="1" operator="equal">
      <x:formula>"À vérifier"</x:formula>
    </x:cfRule>
    <x:cfRule type="cellIs" dxfId="21" priority="2" operator="equal">
      <x:formula>"Extrapolation"</x:formula>
    </x:cfRule>
  </x:conditionalFormatting>
  <x:conditionalFormatting sqref="C7:C18">
    <x:cfRule type="cellIs" dxfId="22" priority="3" operator="equal">
      <x:formula>"Validé"</x:formula>
    </x:cfRule>
  </x:conditionalFormatting>
  <x:conditionalFormatting sqref="E7:E18">
    <x:cfRule type="cellIs" dxfId="23"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01e8e2553eaf4ebe"/>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Library Edition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LIB-DOMAIN-SCENERY</x:v>
      </x:c>
      <x:c r="B7" s="9" t="str">
        <x:v>Décors : propriété et variantes</x:v>
      </x:c>
      <x:c r="C7" s="14" t="str">
        <x:v>Défini</x:v>
      </x:c>
      <x:c r="D7" s="15" t="str">
        <x:v>Extrapolation</x:v>
      </x:c>
      <x:c r="E7" s="15" t="str">
        <x:v>P1</x:v>
      </x:c>
      <x:c r="F7" s="9" t="str">
        <x:v>Référencer les décors originaux produits pour les récits sans les compter une seconde fois.</x:v>
      </x:c>
      <x:c r="G7" s="9" t="str">
        <x:v>Un décor Omega partagé possède des variantes d’état; aucune copie massive d’assets n’est requise pour le recueil.</x:v>
      </x:c>
      <x:c r="H7" s="9" t="str"/>
      <x:c r="I7" s="9" t="str"/>
      <x:c r="J7" s="9" t="str"/>
      <x:c r="K7" s="9" t="str"/>
      <x:c r="L7" s="9" t="str">
        <x:v>Contrat d’indexation LIB/scenery; document de production, sans création d’asset ou de niveau.</x:v>
      </x:c>
      <x:c r="M7" s="9" t="str">
        <x:v>S’applique à la collection éditoriale et à ses éventuelles interfaces de consultation.</x:v>
      </x:c>
      <x:c r="N7" s="9" t="str">
        <x:v>Le total de charge de production déduplique l’asset racine et compte seulement ses variantes nécessaires.</x:v>
      </x:c>
      <x:c r="O7" s="9" t="str">
        <x:v>LIB-REF-COLLECTION</x:v>
      </x:c>
      <x:c r="P7" s="9" t="str">
        <x:v>Conception éditoriale originale.</x:v>
      </x:c>
      <x:c r="Q7" s="9" t="str"/>
      <x:c r="R7" s="17" t="str"/>
      <x:c r="S7" s="17" t="str"/>
    </x:row>
  </x:sheetData>
  <x:conditionalFormatting sqref="D7:D7">
    <x:cfRule type="cellIs" dxfId="24" priority="1" operator="equal">
      <x:formula>"À vérifier"</x:formula>
    </x:cfRule>
    <x:cfRule type="cellIs" dxfId="25" priority="2" operator="equal">
      <x:formula>"Extrapolation"</x:formula>
    </x:cfRule>
  </x:conditionalFormatting>
  <x:conditionalFormatting sqref="C7:C7">
    <x:cfRule type="cellIs" dxfId="26" priority="3" operator="equal">
      <x:formula>"Validé"</x:formula>
    </x:cfRule>
  </x:conditionalFormatting>
  <x:conditionalFormatting sqref="E7:E7">
    <x:cfRule type="cellIs" dxfId="2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70f54ab7121641aa"/>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Library Edition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LIB-DOMAIN-PROPS</x:v>
      </x:c>
      <x:c r="B7" s="9" t="str">
        <x:v>Objets : repères d’édition</x:v>
      </x:c>
      <x:c r="C7" s="14" t="str">
        <x:v>Défini</x:v>
      </x:c>
      <x:c r="D7" s="15" t="str">
        <x:v>Extrapolation</x:v>
      </x:c>
      <x:c r="E7" s="15" t="str">
        <x:v>P1</x:v>
      </x:c>
      <x:c r="F7" s="9" t="str">
        <x:v>Prévoir des métadonnées de couverture, tranche et marque-page pour une interface de collection.</x:v>
      </x:c>
      <x:c r="G7" s="9" t="str">
        <x:v>Ces éléments sont des objets d’interface originaux; ils ne deviennent pas objets canoniques ramassables par Shepard.</x:v>
      </x:c>
      <x:c r="H7" s="9" t="str"/>
      <x:c r="I7" s="9" t="str"/>
      <x:c r="J7" s="9" t="str"/>
      <x:c r="K7" s="9" t="str"/>
      <x:c r="L7" s="9" t="str">
        <x:v>Contrat d’indexation LIB/props; document de production, sans création d’asset ou de niveau.</x:v>
      </x:c>
      <x:c r="M7" s="9" t="str">
        <x:v>S’applique à la collection éditoriale et à ses éventuelles interfaces de consultation.</x:v>
      </x:c>
      <x:c r="N7" s="9" t="str">
        <x:v>L’inventaire de campagne reste inchangé lorsque le lecteur choisit un volume.</x:v>
      </x:c>
      <x:c r="O7" s="9" t="str">
        <x:v>LIB-REF-COLLECTION</x:v>
      </x:c>
      <x:c r="P7" s="9" t="str">
        <x:v>Conception éditoriale originale.</x:v>
      </x:c>
      <x:c r="Q7" s="9" t="str"/>
      <x:c r="R7" s="17" t="str"/>
      <x:c r="S7" s="17" t="str"/>
    </x:row>
  </x:sheetData>
  <x:conditionalFormatting sqref="D7:D7">
    <x:cfRule type="cellIs" dxfId="28" priority="1" operator="equal">
      <x:formula>"À vérifier"</x:formula>
    </x:cfRule>
    <x:cfRule type="cellIs" dxfId="29" priority="2" operator="equal">
      <x:formula>"Extrapolation"</x:formula>
    </x:cfRule>
  </x:conditionalFormatting>
  <x:conditionalFormatting sqref="C7:C7">
    <x:cfRule type="cellIs" dxfId="30" priority="3" operator="equal">
      <x:formula>"Validé"</x:formula>
    </x:cfRule>
  </x:conditionalFormatting>
  <x:conditionalFormatting sqref="E7:E7">
    <x:cfRule type="cellIs" dxfId="31"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cc18f69536b8429a"/>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Library Edition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LIB-DOMAIN-ENEMIES</x:v>
      </x:c>
      <x:c r="B7" s="9" t="str">
        <x:v>Ennemis : index de familles</x:v>
      </x:c>
      <x:c r="C7" s="14" t="str">
        <x:v>Défini</x:v>
      </x:c>
      <x:c r="D7" s="15" t="str">
        <x:v>Extrapolation</x:v>
      </x:c>
      <x:c r="E7" s="15" t="str">
        <x:v>P1</x:v>
      </x:c>
      <x:c r="F7" s="9" t="str">
        <x:v>Référencer les profils d’ennemis des œuvres propriétaires.</x:v>
      </x:c>
      <x:c r="G7" s="9" t="str">
        <x:v>Séparer apparition source, profil de combat proposé et variante d’époque; aucun bestiaire inédit de Library Edition.</x:v>
      </x:c>
      <x:c r="H7" s="9" t="str"/>
      <x:c r="I7" s="9" t="str"/>
      <x:c r="J7" s="9" t="str"/>
      <x:c r="K7" s="9" t="str"/>
      <x:c r="L7" s="9" t="str">
        <x:v>Contrat d’indexation LIB/enemies; document de production, sans création d’asset ou de niveau.</x:v>
      </x:c>
      <x:c r="M7" s="9" t="str">
        <x:v>S’applique à la collection éditoriale et à ses éventuelles interfaces de consultation.</x:v>
      </x:c>
      <x:c r="N7" s="9" t="str">
        <x:v>Un ennemi référencé plusieurs fois n’augmente pas le nombre d’espèces canoniques.</x:v>
      </x:c>
      <x:c r="O7" s="9" t="str">
        <x:v>LIB-REF-COLLECTION</x:v>
      </x:c>
      <x:c r="P7" s="9" t="str">
        <x:v>Conception éditoriale originale.</x:v>
      </x:c>
      <x:c r="Q7" s="9" t="str"/>
      <x:c r="R7" s="17" t="str"/>
      <x:c r="S7" s="17" t="str"/>
    </x:row>
  </x:sheetData>
  <x:conditionalFormatting sqref="D7:D7">
    <x:cfRule type="cellIs" dxfId="32" priority="1" operator="equal">
      <x:formula>"À vérifier"</x:formula>
    </x:cfRule>
    <x:cfRule type="cellIs" dxfId="33" priority="2" operator="equal">
      <x:formula>"Extrapolation"</x:formula>
    </x:cfRule>
  </x:conditionalFormatting>
  <x:conditionalFormatting sqref="C7:C7">
    <x:cfRule type="cellIs" dxfId="34" priority="3" operator="equal">
      <x:formula>"Validé"</x:formula>
    </x:cfRule>
  </x:conditionalFormatting>
  <x:conditionalFormatting sqref="E7:E7">
    <x:cfRule type="cellIs" dxfId="35"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934820823fd94b28"/>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Library Edition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LIB-DOMAIN-MAIN_QUESTS</x:v>
      </x:c>
      <x:c r="B7" s="9" t="str">
        <x:v>Parcours principal : sélection de récit</x:v>
      </x:c>
      <x:c r="C7" s="14" t="str">
        <x:v>Défini</x:v>
      </x:c>
      <x:c r="D7" s="15" t="str">
        <x:v>Extrapolation</x:v>
      </x:c>
      <x:c r="E7" s="15" t="str">
        <x:v>P1</x:v>
      </x:c>
      <x:c r="F7" s="9" t="str">
        <x:v>Proposer un menu permettant d’ouvrir une adaptation existante de chaque récit.</x:v>
      </x:c>
      <x:c r="G7" s="9" t="str">
        <x:v>Le menu n’est pas une campagne canon commune; il charge le module propriétaire et affiche son statut de production.</x:v>
      </x:c>
      <x:c r="H7" s="9" t="str"/>
      <x:c r="I7" s="9" t="str"/>
      <x:c r="J7" s="9" t="str"/>
      <x:c r="K7" s="9" t="str"/>
      <x:c r="L7" s="9" t="str">
        <x:v>Contrat d’indexation LIB/main_quests; document de production, sans création d’asset ou de niveau.</x:v>
      </x:c>
      <x:c r="M7" s="9" t="str">
        <x:v>S’applique à la collection éditoriale et à ses éventuelles interfaces de consultation.</x:v>
      </x:c>
      <x:c r="N7" s="9" t="str">
        <x:v>Aucune quête LIB ne prétend relier artificiellement les fins des dix récits.</x:v>
      </x:c>
      <x:c r="O7" s="9" t="str">
        <x:v>LIB-REF-COLLECTION</x:v>
      </x:c>
      <x:c r="P7" s="9" t="str">
        <x:v>Conception éditoriale originale.</x:v>
      </x:c>
      <x:c r="Q7" s="9" t="str"/>
      <x:c r="R7" s="17" t="str"/>
      <x:c r="S7" s="17" t="str"/>
    </x:row>
  </x:sheetData>
  <x:conditionalFormatting sqref="D7:D7">
    <x:cfRule type="cellIs" dxfId="36" priority="1" operator="equal">
      <x:formula>"À vérifier"</x:formula>
    </x:cfRule>
    <x:cfRule type="cellIs" dxfId="37" priority="2" operator="equal">
      <x:formula>"Extrapolation"</x:formula>
    </x:cfRule>
  </x:conditionalFormatting>
  <x:conditionalFormatting sqref="C7:C7">
    <x:cfRule type="cellIs" dxfId="38" priority="3" operator="equal">
      <x:formula>"Validé"</x:formula>
    </x:cfRule>
  </x:conditionalFormatting>
  <x:conditionalFormatting sqref="E7:E7">
    <x:cfRule type="cellIs" dxfId="3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041c7b92708c49e8"/>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Library Edition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44" customHeight="1">
      <x:c r="A7" s="16" t="str">
        <x:v>LIB-DOMAIN-SIDE_QUESTS</x:v>
      </x:c>
      <x:c r="B7" s="9" t="str">
        <x:v>Contenu annexe : consultation des bonus</x:v>
      </x:c>
      <x:c r="C7" s="14" t="str">
        <x:v>Défini</x:v>
      </x:c>
      <x:c r="D7" s="15" t="str">
        <x:v>Extrapolation</x:v>
      </x:c>
      <x:c r="E7" s="15" t="str">
        <x:v>P1</x:v>
      </x:c>
      <x:c r="F7" s="9" t="str">
        <x:v>Traiter les galeries et annotations comme consultation éditoriale facultative.</x:v>
      </x:c>
      <x:c r="G7" s="9" t="str">
        <x:v>Aucun bonus graphique ne débloque une aventure attestée sans preuve primaire spécifique.</x:v>
      </x:c>
      <x:c r="H7" s="9" t="str"/>
      <x:c r="I7" s="9" t="str"/>
      <x:c r="J7" s="9" t="str"/>
      <x:c r="K7" s="9" t="str"/>
      <x:c r="L7" s="9" t="str">
        <x:v>Contrat d’indexation LIB/side_quests; document de production, sans création d’asset ou de niveau.</x:v>
      </x:c>
      <x:c r="M7" s="9" t="str">
        <x:v>S’applique à la collection éditoriale et à ses éventuelles interfaces de consultation.</x:v>
      </x:c>
      <x:c r="N7" s="9" t="str">
        <x:v>L’interface nomme galerie ou annotation, jamais mission coupée par défaut.</x:v>
      </x:c>
      <x:c r="O7" s="9" t="str">
        <x:v>LIB-REF-COLLECTION</x:v>
      </x:c>
      <x:c r="P7" s="9" t="str">
        <x:v>Conception éditoriale originale.</x:v>
      </x:c>
      <x:c r="Q7" s="9" t="str"/>
      <x:c r="R7" s="17" t="str"/>
      <x:c r="S7" s="17" t="str"/>
    </x:row>
  </x:sheetData>
  <x:conditionalFormatting sqref="D7:D7">
    <x:cfRule type="cellIs" dxfId="40" priority="1" operator="equal">
      <x:formula>"À vérifier"</x:formula>
    </x:cfRule>
    <x:cfRule type="cellIs" dxfId="41" priority="2" operator="equal">
      <x:formula>"Extrapolation"</x:formula>
    </x:cfRule>
  </x:conditionalFormatting>
  <x:conditionalFormatting sqref="C7:C7">
    <x:cfRule type="cellIs" dxfId="42" priority="3" operator="equal">
      <x:formula>"Validé"</x:formula>
    </x:cfRule>
  </x:conditionalFormatting>
  <x:conditionalFormatting sqref="E7:E7">
    <x:cfRule type="cellIs" dxfId="43"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49ec4faa614d4b7c"/>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Library Edition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LIB-DOMAIN-CHOICES</x:v>
      </x:c>
      <x:c r="B7" s="9" t="str">
        <x:v>Choix : ordre de lecture</x:v>
      </x:c>
      <x:c r="C7" s="14" t="str">
        <x:v>Défini</x:v>
      </x:c>
      <x:c r="D7" s="15" t="str">
        <x:v>Extrapolation</x:v>
      </x:c>
      <x:c r="E7" s="15" t="str">
        <x:v>P1</x:v>
      </x:c>
      <x:c r="F7" s="9" t="str">
        <x:v>Permettre l’ordre par volume, par publication ou par personnage.</x:v>
      </x:c>
      <x:c r="G7" s="9" t="str">
        <x:v>Un ordre chronologique proposé doit signaler les flashbacks et les dates non établies; il ne réécrit pas l’ordre des numéros dans l’édition.</x:v>
      </x:c>
      <x:c r="H7" s="9" t="str"/>
      <x:c r="I7" s="9" t="str"/>
      <x:c r="J7" s="9" t="str"/>
      <x:c r="K7" s="9" t="str"/>
      <x:c r="L7" s="9" t="str">
        <x:v>Contrat d’indexation LIB/choices; document de production, sans création d’asset ou de niveau.</x:v>
      </x:c>
      <x:c r="M7" s="9" t="str">
        <x:v>S’applique à la collection éditoriale et à ses éventuelles interfaces de consultation.</x:v>
      </x:c>
      <x:c r="N7" s="9" t="str">
        <x:v>Le lecteur peut revenir au sommaire original et voir le critère de tri actif.</x:v>
      </x:c>
      <x:c r="O7" s="9" t="str">
        <x:v>LIB-REF-COLLECTION</x:v>
      </x:c>
      <x:c r="P7" s="9" t="str">
        <x:v>Conception éditoriale originale.</x:v>
      </x:c>
      <x:c r="Q7" s="9" t="str"/>
      <x:c r="R7" s="17" t="str"/>
      <x:c r="S7" s="17" t="str"/>
    </x:row>
  </x:sheetData>
  <x:conditionalFormatting sqref="D7:D7">
    <x:cfRule type="cellIs" dxfId="44" priority="1" operator="equal">
      <x:formula>"À vérifier"</x:formula>
    </x:cfRule>
    <x:cfRule type="cellIs" dxfId="45" priority="2" operator="equal">
      <x:formula>"Extrapolation"</x:formula>
    </x:cfRule>
  </x:conditionalFormatting>
  <x:conditionalFormatting sqref="C7:C7">
    <x:cfRule type="cellIs" dxfId="46" priority="3" operator="equal">
      <x:formula>"Validé"</x:formula>
    </x:cfRule>
  </x:conditionalFormatting>
  <x:conditionalFormatting sqref="E7:E7">
    <x:cfRule type="cellIs" dxfId="4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aeacd4e81f774d9e"/>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Library Edition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LIB-DOMAIN-DIALOGUES</x:v>
      </x:c>
      <x:c r="B7" s="9" t="str">
        <x:v>Dialogues : annotations attribuées</x:v>
      </x:c>
      <x:c r="C7" s="14" t="str">
        <x:v>Défini</x:v>
      </x:c>
      <x:c r="D7" s="15" t="str">
        <x:v>Extrapolation</x:v>
      </x:c>
      <x:c r="E7" s="15" t="str">
        <x:v>P1</x:v>
      </x:c>
      <x:c r="F7" s="9" t="str">
        <x:v>Distinguer propos d’auteur, texte promotionnel et répliques de personnages.</x:v>
      </x:c>
      <x:c r="G7" s="9" t="str">
        <x:v>La voix d’un créateur dans une note ne devient pas celle d’un personnage; résumé bref avec auteur et source.</x:v>
      </x:c>
      <x:c r="H7" s="9" t="str"/>
      <x:c r="I7" s="9" t="str"/>
      <x:c r="J7" s="9" t="str"/>
      <x:c r="K7" s="9" t="str"/>
      <x:c r="L7" s="9" t="str">
        <x:v>Contrat d’indexation LIB/dialogues; document de production, sans création d’asset ou de niveau.</x:v>
      </x:c>
      <x:c r="M7" s="9" t="str">
        <x:v>S’applique à la collection éditoriale et à ses éventuelles interfaces de consultation.</x:v>
      </x:c>
      <x:c r="N7" s="9" t="str">
        <x:v>Aucune annotation n’est importée dans un arbre de dialogue du jeu comme réplique canon.</x:v>
      </x:c>
      <x:c r="O7" s="9" t="str">
        <x:v>LIB-REF-COLLECTION</x:v>
      </x:c>
      <x:c r="P7" s="9" t="str">
        <x:v>Conception éditoriale originale.</x:v>
      </x:c>
      <x:c r="Q7" s="9" t="str"/>
      <x:c r="R7" s="17" t="str"/>
      <x:c r="S7" s="17" t="str"/>
    </x:row>
  </x:sheetData>
  <x:conditionalFormatting sqref="D7:D7">
    <x:cfRule type="cellIs" dxfId="48" priority="1" operator="equal">
      <x:formula>"À vérifier"</x:formula>
    </x:cfRule>
    <x:cfRule type="cellIs" dxfId="49" priority="2" operator="equal">
      <x:formula>"Extrapolation"</x:formula>
    </x:cfRule>
  </x:conditionalFormatting>
  <x:conditionalFormatting sqref="C7:C7">
    <x:cfRule type="cellIs" dxfId="50" priority="3" operator="equal">
      <x:formula>"Validé"</x:formula>
    </x:cfRule>
  </x:conditionalFormatting>
  <x:conditionalFormatting sqref="E7:E7">
    <x:cfRule type="cellIs" dxfId="51"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06b6cbb0b00b4c41"/>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Library Edition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LIB-DOMAIN-CINEMATICS</x:v>
      </x:c>
      <x:c r="B7" s="9" t="str">
        <x:v>Cinématiques : navigation éditoriale</x:v>
      </x:c>
      <x:c r="C7" s="14" t="str">
        <x:v>Défini</x:v>
      </x:c>
      <x:c r="D7" s="15" t="str">
        <x:v>Extrapolation</x:v>
      </x:c>
      <x:c r="E7" s="15" t="str">
        <x:v>P1</x:v>
      </x:c>
      <x:c r="F7" s="9" t="str">
        <x:v>Prévoir une ouverture de volume et des transitions courtes dans l’interface.</x:v>
      </x:c>
      <x:c r="G7" s="9" t="str">
        <x:v>Animation originale de couverture ou de page; ne pas animer une planche entière protégée comme substitut au livre.</x:v>
      </x:c>
      <x:c r="H7" s="9" t="str"/>
      <x:c r="I7" s="9" t="str"/>
      <x:c r="J7" s="9" t="str"/>
      <x:c r="K7" s="9" t="str"/>
      <x:c r="L7" s="9" t="str">
        <x:v>Contrat d’indexation LIB/cinematics; document de production, sans création d’asset ou de niveau.</x:v>
      </x:c>
      <x:c r="M7" s="9" t="str">
        <x:v>S’applique à la collection éditoriale et à ses éventuelles interfaces de consultation.</x:v>
      </x:c>
      <x:c r="N7" s="9" t="str">
        <x:v>Toutes les transitions peuvent être désactivées sans perdre le sommaire ni le focus.</x:v>
      </x:c>
      <x:c r="O7" s="9" t="str">
        <x:v>LIB-REF-COLLECTION</x:v>
      </x:c>
      <x:c r="P7" s="9" t="str">
        <x:v>Conception éditoriale originale.</x:v>
      </x:c>
      <x:c r="Q7" s="9" t="str"/>
      <x:c r="R7" s="17" t="str"/>
      <x:c r="S7" s="17" t="str"/>
    </x:row>
  </x:sheetData>
  <x:conditionalFormatting sqref="D7:D7">
    <x:cfRule type="cellIs" dxfId="52" priority="1" operator="equal">
      <x:formula>"À vérifier"</x:formula>
    </x:cfRule>
    <x:cfRule type="cellIs" dxfId="53" priority="2" operator="equal">
      <x:formula>"Extrapolation"</x:formula>
    </x:cfRule>
  </x:conditionalFormatting>
  <x:conditionalFormatting sqref="C7:C7">
    <x:cfRule type="cellIs" dxfId="54" priority="3" operator="equal">
      <x:formula>"Validé"</x:formula>
    </x:cfRule>
  </x:conditionalFormatting>
  <x:conditionalFormatting sqref="E7:E7">
    <x:cfRule type="cellIs" dxfId="55"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0f9f36371bbf4596"/>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Library Edition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LIB-DOMAIN-WEAPONS</x:v>
      </x:c>
      <x:c r="B7" s="9" t="str">
        <x:v>Armes : aucune arme exclusive déduite</x:v>
      </x:c>
      <x:c r="C7" s="14" t="str">
        <x:v>Défini</x:v>
      </x:c>
      <x:c r="D7" s="15" t="str">
        <x:v>Extrapolation</x:v>
      </x:c>
      <x:c r="E7" s="15" t="str">
        <x:v>P1</x:v>
      </x:c>
      <x:c r="F7" s="9" t="str">
        <x:v>Renvoyer les modèles et profils aux catalogues des récits.</x:v>
      </x:c>
      <x:c r="G7" s="9" t="str">
        <x:v>La présence d’une arme sur une couverture ne prouve pas son emploi dans le récit; vérifier planche et période avant toute fiche canon.</x:v>
      </x:c>
      <x:c r="H7" s="9" t="str"/>
      <x:c r="I7" s="9" t="str"/>
      <x:c r="J7" s="9" t="str"/>
      <x:c r="K7" s="9" t="str"/>
      <x:c r="L7" s="9" t="str">
        <x:v>Contrat d’indexation LIB/weapons; document de production, sans création d’asset ou de niveau.</x:v>
      </x:c>
      <x:c r="M7" s="9" t="str">
        <x:v>S’applique à la collection éditoriale et à ses éventuelles interfaces de consultation.</x:v>
      </x:c>
      <x:c r="N7" s="9" t="str">
        <x:v>Le filtre armes n’ajoute aucune arme obtenue grâce à Library Edition.</x:v>
      </x:c>
      <x:c r="O7" s="9" t="str">
        <x:v>LIB-REF-COLLECTION</x:v>
      </x:c>
      <x:c r="P7" s="9" t="str">
        <x:v>Conception éditoriale originale.</x:v>
      </x:c>
      <x:c r="Q7" s="9" t="str"/>
      <x:c r="R7" s="17" t="str"/>
      <x:c r="S7" s="17" t="str"/>
    </x:row>
  </x:sheetData>
  <x:conditionalFormatting sqref="D7:D7">
    <x:cfRule type="cellIs" dxfId="56" priority="1" operator="equal">
      <x:formula>"À vérifier"</x:formula>
    </x:cfRule>
    <x:cfRule type="cellIs" dxfId="57" priority="2" operator="equal">
      <x:formula>"Extrapolation"</x:formula>
    </x:cfRule>
  </x:conditionalFormatting>
  <x:conditionalFormatting sqref="C7:C7">
    <x:cfRule type="cellIs" dxfId="58" priority="3" operator="equal">
      <x:formula>"Validé"</x:formula>
    </x:cfRule>
  </x:conditionalFormatting>
  <x:conditionalFormatting sqref="E7:E7">
    <x:cfRule type="cellIs" dxfId="5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b174da25e70e450d"/>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Library Edition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LIB-DOMAIN-EQUIPMENT</x:v>
      </x:c>
      <x:c r="B7" s="9" t="str">
        <x:v>Équipement : suivi de variantes</x:v>
      </x:c>
      <x:c r="C7" s="14" t="str">
        <x:v>Défini</x:v>
      </x:c>
      <x:c r="D7" s="15" t="str">
        <x:v>Extrapolation</x:v>
      </x:c>
      <x:c r="E7" s="15" t="str">
        <x:v>P1</x:v>
      </x:c>
      <x:c r="F7" s="9" t="str">
        <x:v>Indexer les tenues par œuvre, période et statut de référence.</x:v>
      </x:c>
      <x:c r="G7" s="9" t="str">
        <x:v>Une variante de couverture ou de croquis peut rester un concept; elle n’est pas une amélioration jouable automatiquement.</x:v>
      </x:c>
      <x:c r="H7" s="9" t="str"/>
      <x:c r="I7" s="9" t="str"/>
      <x:c r="J7" s="9" t="str"/>
      <x:c r="K7" s="9" t="str"/>
      <x:c r="L7" s="9" t="str">
        <x:v>Contrat d’indexation LIB/equipment; document de production, sans création d’asset ou de niveau.</x:v>
      </x:c>
      <x:c r="M7" s="9" t="str">
        <x:v>S’applique à la collection éditoriale et à ses éventuelles interfaces de consultation.</x:v>
      </x:c>
      <x:c r="N7" s="9" t="str">
        <x:v>Chaque tenue possède une source et une destination de production distinctes.</x:v>
      </x:c>
      <x:c r="O7" s="9" t="str">
        <x:v>LIB-REF-COLLECTION</x:v>
      </x:c>
      <x:c r="P7" s="9" t="str">
        <x:v>Conception éditoriale originale.</x:v>
      </x:c>
      <x:c r="Q7" s="9" t="str"/>
      <x:c r="R7" s="17" t="str"/>
      <x:c r="S7" s="17" t="str"/>
    </x:row>
  </x:sheetData>
  <x:conditionalFormatting sqref="D7:D7">
    <x:cfRule type="cellIs" dxfId="60" priority="1" operator="equal">
      <x:formula>"À vérifier"</x:formula>
    </x:cfRule>
    <x:cfRule type="cellIs" dxfId="61" priority="2" operator="equal">
      <x:formula>"Extrapolation"</x:formula>
    </x:cfRule>
  </x:conditionalFormatting>
  <x:conditionalFormatting sqref="C7:C7">
    <x:cfRule type="cellIs" dxfId="62" priority="3" operator="equal">
      <x:formula>"Validé"</x:formula>
    </x:cfRule>
  </x:conditionalFormatting>
  <x:conditionalFormatting sqref="E7:E7">
    <x:cfRule type="cellIs" dxfId="63"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880dc693f590499a"/>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Library Edition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LIB-DOMAIN-POWERS</x:v>
      </x:c>
      <x:c r="B7" s="9" t="str">
        <x:v>Pouvoirs : respect de la fiction interne</x:v>
      </x:c>
      <x:c r="C7" s="14" t="str">
        <x:v>Défini</x:v>
      </x:c>
      <x:c r="D7" s="15" t="str">
        <x:v>Extrapolation</x:v>
      </x:c>
      <x:c r="E7" s="15" t="str">
        <x:v>P1</x:v>
      </x:c>
      <x:c r="F7" s="9" t="str">
        <x:v>Référencer les pouvoirs sourcés et les règles proposées sans les fusionner.</x:v>
      </x:c>
      <x:c r="G7" s="9" t="str">
        <x:v>Le temps figé de Blasto reste sous la clé film; les règles d’un prototype ne constituent pas des capacités officielles.</x:v>
      </x:c>
      <x:c r="H7" s="9" t="str"/>
      <x:c r="I7" s="9" t="str"/>
      <x:c r="J7" s="9" t="str"/>
      <x:c r="K7" s="9" t="str"/>
      <x:c r="L7" s="9" t="str">
        <x:v>Contrat d’indexation LIB/powers; document de production, sans création d’asset ou de niveau.</x:v>
      </x:c>
      <x:c r="M7" s="9" t="str">
        <x:v>S’applique à la collection éditoriale et à ses éventuelles interfaces de consultation.</x:v>
      </x:c>
      <x:c r="N7" s="9" t="str">
        <x:v>Le chargement de LIB ne modifie aucune table globale de pouvoirs.</x:v>
      </x:c>
      <x:c r="O7" s="9" t="str">
        <x:v>LIB-REF-COLLECTION</x:v>
      </x:c>
      <x:c r="P7" s="9" t="str">
        <x:v>Conception éditoriale originale.</x:v>
      </x:c>
      <x:c r="Q7" s="9" t="str"/>
      <x:c r="R7" s="17" t="str"/>
      <x:c r="S7" s="17" t="str"/>
    </x:row>
  </x:sheetData>
  <x:conditionalFormatting sqref="D7:D7">
    <x:cfRule type="cellIs" dxfId="64" priority="1" operator="equal">
      <x:formula>"À vérifier"</x:formula>
    </x:cfRule>
    <x:cfRule type="cellIs" dxfId="65" priority="2" operator="equal">
      <x:formula>"Extrapolation"</x:formula>
    </x:cfRule>
  </x:conditionalFormatting>
  <x:conditionalFormatting sqref="C7:C7">
    <x:cfRule type="cellIs" dxfId="66" priority="3" operator="equal">
      <x:formula>"Validé"</x:formula>
    </x:cfRule>
  </x:conditionalFormatting>
  <x:conditionalFormatting sqref="E7:E7">
    <x:cfRule type="cellIs" dxfId="6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0c02b56e84ca40d8"/>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Library Edition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44" customHeight="1">
      <x:c r="A7" s="16" t="str">
        <x:v>LIB-DOMAIN-ALLY_MOVES</x:v>
      </x:c>
      <x:c r="B7" s="9" t="str">
        <x:v>Actions alliées : délégation au récit</x:v>
      </x:c>
      <x:c r="C7" s="14" t="str">
        <x:v>Défini</x:v>
      </x:c>
      <x:c r="D7" s="15" t="str">
        <x:v>Extrapolation</x:v>
      </x:c>
      <x:c r="E7" s="15" t="str">
        <x:v>P1</x:v>
      </x:c>
      <x:c r="F7" s="9" t="str">
        <x:v>Aucune nouvelle action de groupe n’appartient au recueil.</x:v>
      </x:c>
      <x:c r="G7" s="9" t="str">
        <x:v>Le menu affiche les rôles proposés du module choisi, tels que duo RED ou duo DIS si consulté hors Library.</x:v>
      </x:c>
      <x:c r="H7" s="9" t="str"/>
      <x:c r="I7" s="9" t="str"/>
      <x:c r="J7" s="9" t="str"/>
      <x:c r="K7" s="9" t="str"/>
      <x:c r="L7" s="9" t="str">
        <x:v>Contrat d’indexation LIB/ally_moves; document de production, sans création d’asset ou de niveau.</x:v>
      </x:c>
      <x:c r="M7" s="9" t="str">
        <x:v>S’applique à la collection éditoriale et à ses éventuelles interfaces de consultation.</x:v>
      </x:c>
      <x:c r="N7" s="9" t="str">
        <x:v>Les actions sont chargées uniquement depuis le catalogue propriétaire et sa période.</x:v>
      </x:c>
      <x:c r="O7" s="9" t="str">
        <x:v>LIB-REF-COLLECTION</x:v>
      </x:c>
      <x:c r="P7" s="9" t="str">
        <x:v>Conception éditoriale originale.</x:v>
      </x:c>
      <x:c r="Q7" s="9" t="str"/>
      <x:c r="R7" s="17" t="str"/>
      <x:c r="S7" s="17" t="str"/>
    </x:row>
  </x:sheetData>
  <x:conditionalFormatting sqref="D7:D7">
    <x:cfRule type="cellIs" dxfId="68" priority="1" operator="equal">
      <x:formula>"À vérifier"</x:formula>
    </x:cfRule>
    <x:cfRule type="cellIs" dxfId="69" priority="2" operator="equal">
      <x:formula>"Extrapolation"</x:formula>
    </x:cfRule>
  </x:conditionalFormatting>
  <x:conditionalFormatting sqref="C7:C7">
    <x:cfRule type="cellIs" dxfId="70" priority="3" operator="equal">
      <x:formula>"Validé"</x:formula>
    </x:cfRule>
  </x:conditionalFormatting>
  <x:conditionalFormatting sqref="E7:E7">
    <x:cfRule type="cellIs" dxfId="71"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5b1cccf1c2a64d42"/>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Library Edition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44" customHeight="1">
      <x:c r="A7" s="16" t="str">
        <x:v>LIB-DOMAIN-ENEMY_MOVES</x:v>
      </x:c>
      <x:c r="B7" s="9" t="str">
        <x:v>Actions ennemies : index sans duplication</x:v>
      </x:c>
      <x:c r="C7" s="14" t="str">
        <x:v>Défini</x:v>
      </x:c>
      <x:c r="D7" s="15" t="str">
        <x:v>Extrapolation</x:v>
      </x:c>
      <x:c r="E7" s="15" t="str">
        <x:v>P1</x:v>
      </x:c>
      <x:c r="F7" s="9" t="str">
        <x:v>Relier les patterns proposés à leurs rencontres d’origine.</x:v>
      </x:c>
      <x:c r="G7" s="9" t="str">
        <x:v>Ne pas fusionner deux versions d’Adjutant ou deux contextes de Cerberus sur le seul nom du groupe.</x:v>
      </x:c>
      <x:c r="H7" s="9" t="str"/>
      <x:c r="I7" s="9" t="str"/>
      <x:c r="J7" s="9" t="str"/>
      <x:c r="K7" s="9" t="str"/>
      <x:c r="L7" s="9" t="str">
        <x:v>Contrat d’indexation LIB/enemy_moves; document de production, sans création d’asset ou de niveau.</x:v>
      </x:c>
      <x:c r="M7" s="9" t="str">
        <x:v>S’applique à la collection éditoriale et à ses éventuelles interfaces de consultation.</x:v>
      </x:c>
      <x:c r="N7" s="9" t="str">
        <x:v>La recette conserve œuvre, phase, contre-mesure et niveau de preuve.</x:v>
      </x:c>
      <x:c r="O7" s="9" t="str">
        <x:v>LIB-REF-COLLECTION</x:v>
      </x:c>
      <x:c r="P7" s="9" t="str">
        <x:v>Conception éditoriale originale.</x:v>
      </x:c>
      <x:c r="Q7" s="9" t="str"/>
      <x:c r="R7" s="17" t="str"/>
      <x:c r="S7" s="17" t="str"/>
    </x:row>
  </x:sheetData>
  <x:conditionalFormatting sqref="D7:D7">
    <x:cfRule type="cellIs" dxfId="72" priority="1" operator="equal">
      <x:formula>"À vérifier"</x:formula>
    </x:cfRule>
    <x:cfRule type="cellIs" dxfId="73" priority="2" operator="equal">
      <x:formula>"Extrapolation"</x:formula>
    </x:cfRule>
  </x:conditionalFormatting>
  <x:conditionalFormatting sqref="C7:C7">
    <x:cfRule type="cellIs" dxfId="74" priority="3" operator="equal">
      <x:formula>"Validé"</x:formula>
    </x:cfRule>
  </x:conditionalFormatting>
  <x:conditionalFormatting sqref="E7:E7">
    <x:cfRule type="cellIs" dxfId="75"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5ed3a8f937004fe2"/>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Library Edition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LIB-DOMAIN-ANIMATIONS</x:v>
      </x:c>
      <x:c r="B7" s="9" t="str">
        <x:v>Animations : feuilleter et sélectionner</x:v>
      </x:c>
      <x:c r="C7" s="14" t="str">
        <x:v>Défini</x:v>
      </x:c>
      <x:c r="D7" s="15" t="str">
        <x:v>Extrapolation</x:v>
      </x:c>
      <x:c r="E7" s="15" t="str">
        <x:v>P1</x:v>
      </x:c>
      <x:c r="F7" s="9" t="str">
        <x:v>Définir une navigation originale de volume à récit.</x:v>
      </x:c>
      <x:c r="G7" s="9" t="str">
        <x:v>Focus visible, transitions courtes, respect du mode mouvement réduit; aucune animation de personnage requise pour feuilleter.</x:v>
      </x:c>
      <x:c r="H7" s="9" t="str"/>
      <x:c r="I7" s="9" t="str"/>
      <x:c r="J7" s="9" t="str"/>
      <x:c r="K7" s="9" t="str"/>
      <x:c r="L7" s="9" t="str">
        <x:v>Contrat d’indexation LIB/animations; document de production, sans création d’asset ou de niveau.</x:v>
      </x:c>
      <x:c r="M7" s="9" t="str">
        <x:v>S’applique à la collection éditoriale et à ses éventuelles interfaces de consultation.</x:v>
      </x:c>
      <x:c r="N7" s="9" t="str">
        <x:v>Au clavier et sans animation, le même élément reste sélectionné après retour.</x:v>
      </x:c>
      <x:c r="O7" s="9" t="str">
        <x:v>LIB-REF-COLLECTION</x:v>
      </x:c>
      <x:c r="P7" s="9" t="str">
        <x:v>Conception éditoriale originale.</x:v>
      </x:c>
      <x:c r="Q7" s="9" t="str"/>
      <x:c r="R7" s="17" t="str"/>
      <x:c r="S7" s="17" t="str"/>
    </x:row>
  </x:sheetData>
  <x:conditionalFormatting sqref="D7:D7">
    <x:cfRule type="cellIs" dxfId="76" priority="1" operator="equal">
      <x:formula>"À vérifier"</x:formula>
    </x:cfRule>
    <x:cfRule type="cellIs" dxfId="77" priority="2" operator="equal">
      <x:formula>"Extrapolation"</x:formula>
    </x:cfRule>
  </x:conditionalFormatting>
  <x:conditionalFormatting sqref="C7:C7">
    <x:cfRule type="cellIs" dxfId="78" priority="3" operator="equal">
      <x:formula>"Validé"</x:formula>
    </x:cfRule>
  </x:conditionalFormatting>
  <x:conditionalFormatting sqref="E7:E7">
    <x:cfRule type="cellIs" dxfId="7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220c3371fce24949"/>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Library Edition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LIB-DOMAIN-SPRITES</x:v>
      </x:c>
      <x:c r="B7" s="9" t="str">
        <x:v>Sprites : vignettes originales de collection</x:v>
      </x:c>
      <x:c r="C7" s="14" t="str">
        <x:v>Défini</x:v>
      </x:c>
      <x:c r="D7" s="15" t="str">
        <x:v>Extrapolation</x:v>
      </x:c>
      <x:c r="E7" s="15" t="str">
        <x:v>P1</x:v>
      </x:c>
      <x:c r="F7" s="9" t="str">
        <x:v>Prévoir des icônes de volume et de récit sans distribuer de reproductions de planches.</x:v>
      </x:c>
      <x:c r="G7" s="9" t="str">
        <x:v>Miniatures typographiques ou symboles originaux; une couverture officielle nécessite une provenance et un usage autorisé.</x:v>
      </x:c>
      <x:c r="H7" s="9" t="str"/>
      <x:c r="I7" s="9" t="str"/>
      <x:c r="J7" s="9" t="str"/>
      <x:c r="K7" s="9" t="str"/>
      <x:c r="L7" s="9" t="str">
        <x:v>Contrat d’indexation LIB/sprites; document de production, sans création d’asset ou de niveau.</x:v>
      </x:c>
      <x:c r="M7" s="9" t="str">
        <x:v>S’applique à la collection éditoriale et à ses éventuelles interfaces de consultation.</x:v>
      </x:c>
      <x:c r="N7" s="9" t="str">
        <x:v>Chaque vignette reste lisible à petite taille et possède un libellé texte.</x:v>
      </x:c>
      <x:c r="O7" s="9" t="str">
        <x:v>LIB-REF-COLLECTION</x:v>
      </x:c>
      <x:c r="P7" s="9" t="str">
        <x:v>Conception éditoriale originale.</x:v>
      </x:c>
      <x:c r="Q7" s="9" t="str"/>
      <x:c r="R7" s="17" t="str"/>
      <x:c r="S7" s="17" t="str"/>
    </x:row>
  </x:sheetData>
  <x:conditionalFormatting sqref="D7:D7">
    <x:cfRule type="cellIs" dxfId="80" priority="1" operator="equal">
      <x:formula>"À vérifier"</x:formula>
    </x:cfRule>
    <x:cfRule type="cellIs" dxfId="81" priority="2" operator="equal">
      <x:formula>"Extrapolation"</x:formula>
    </x:cfRule>
  </x:conditionalFormatting>
  <x:conditionalFormatting sqref="C7:C7">
    <x:cfRule type="cellIs" dxfId="82" priority="3" operator="equal">
      <x:formula>"Validé"</x:formula>
    </x:cfRule>
  </x:conditionalFormatting>
  <x:conditionalFormatting sqref="E7:E7">
    <x:cfRule type="cellIs" dxfId="83"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762037c6b19743b9"/>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Library Edition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44" customHeight="1">
      <x:c r="A7" s="16" t="str">
        <x:v>LIB-DOMAIN-VFX</x:v>
      </x:c>
      <x:c r="B7" s="9" t="str">
        <x:v>VFX : focus éditorial</x:v>
      </x:c>
      <x:c r="C7" s="14" t="str">
        <x:v>Défini</x:v>
      </x:c>
      <x:c r="D7" s="15" t="str">
        <x:v>Extrapolation</x:v>
      </x:c>
      <x:c r="E7" s="15" t="str">
        <x:v>P1</x:v>
      </x:c>
      <x:c r="F7" s="9" t="str">
        <x:v>Utiliser une bordure et un soulignement pour la sélection et le filtre.</x:v>
      </x:c>
      <x:c r="G7" s="9" t="str">
        <x:v>Aucun flash, aura de rareté ou signal de butin ne transforme la collection en équipement.</x:v>
      </x:c>
      <x:c r="H7" s="9" t="str"/>
      <x:c r="I7" s="9" t="str"/>
      <x:c r="J7" s="9" t="str"/>
      <x:c r="K7" s="9" t="str"/>
      <x:c r="L7" s="9" t="str">
        <x:v>Contrat d’indexation LIB/vfx; document de production, sans création d’asset ou de niveau.</x:v>
      </x:c>
      <x:c r="M7" s="9" t="str">
        <x:v>S’applique à la collection éditoriale et à ses éventuelles interfaces de consultation.</x:v>
      </x:c>
      <x:c r="N7" s="9" t="str">
        <x:v>La sélection reste visible sans couleur et en mouvement réduit.</x:v>
      </x:c>
      <x:c r="O7" s="9" t="str">
        <x:v>LIB-REF-COLLECTION</x:v>
      </x:c>
      <x:c r="P7" s="9" t="str">
        <x:v>Conception éditoriale originale.</x:v>
      </x:c>
      <x:c r="Q7" s="9" t="str"/>
      <x:c r="R7" s="17" t="str"/>
      <x:c r="S7" s="17" t="str"/>
    </x:row>
  </x:sheetData>
  <x:conditionalFormatting sqref="D7:D7">
    <x:cfRule type="cellIs" dxfId="84" priority="1" operator="equal">
      <x:formula>"À vérifier"</x:formula>
    </x:cfRule>
    <x:cfRule type="cellIs" dxfId="85" priority="2" operator="equal">
      <x:formula>"Extrapolation"</x:formula>
    </x:cfRule>
  </x:conditionalFormatting>
  <x:conditionalFormatting sqref="C7:C7">
    <x:cfRule type="cellIs" dxfId="86" priority="3" operator="equal">
      <x:formula>"Validé"</x:formula>
    </x:cfRule>
  </x:conditionalFormatting>
  <x:conditionalFormatting sqref="E7:E7">
    <x:cfRule type="cellIs" dxfId="8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224aff2ef4e84f5d"/>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Library Edition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44" customHeight="1">
      <x:c r="A7" s="16" t="str">
        <x:v>LIB-DOMAIN-AUDIO</x:v>
      </x:c>
      <x:c r="B7" s="9" t="str">
        <x:v>Audio : interface originale</x:v>
      </x:c>
      <x:c r="C7" s="14" t="str">
        <x:v>Défini</x:v>
      </x:c>
      <x:c r="D7" s="15" t="str">
        <x:v>Extrapolation</x:v>
      </x:c>
      <x:c r="E7" s="15" t="str">
        <x:v>P1</x:v>
      </x:c>
      <x:c r="F7" s="9" t="str">
        <x:v>Prévoir des sons optionnels de navigation, sans prétendre qu’une bande son accompagne le livre.</x:v>
      </x:c>
      <x:c r="G7" s="9" t="str">
        <x:v>Clic doux, ouverture et retour distincts; silence complet possible sans perte d’information.</x:v>
      </x:c>
      <x:c r="H7" s="9" t="str"/>
      <x:c r="I7" s="9" t="str"/>
      <x:c r="J7" s="9" t="str"/>
      <x:c r="K7" s="9" t="str"/>
      <x:c r="L7" s="9" t="str">
        <x:v>Contrat d’indexation LIB/audio; document de production, sans création d’asset ou de niveau.</x:v>
      </x:c>
      <x:c r="M7" s="9" t="str">
        <x:v>S’applique à la collection éditoriale et à ses éventuelles interfaces de consultation.</x:v>
      </x:c>
      <x:c r="N7" s="9" t="str">
        <x:v>Chaque information sonore est aussi textuelle ou visuelle; aucune musique commerciale fournie.</x:v>
      </x:c>
      <x:c r="O7" s="9" t="str">
        <x:v>LIB-REF-COLLECTION</x:v>
      </x:c>
      <x:c r="P7" s="9" t="str">
        <x:v>Conception éditoriale originale.</x:v>
      </x:c>
      <x:c r="Q7" s="9" t="str"/>
      <x:c r="R7" s="17" t="str"/>
      <x:c r="S7" s="17" t="str"/>
    </x:row>
  </x:sheetData>
  <x:conditionalFormatting sqref="D7:D7">
    <x:cfRule type="cellIs" dxfId="88" priority="1" operator="equal">
      <x:formula>"À vérifier"</x:formula>
    </x:cfRule>
    <x:cfRule type="cellIs" dxfId="89" priority="2" operator="equal">
      <x:formula>"Extrapolation"</x:formula>
    </x:cfRule>
  </x:conditionalFormatting>
  <x:conditionalFormatting sqref="C7:C7">
    <x:cfRule type="cellIs" dxfId="90" priority="3" operator="equal">
      <x:formula>"Validé"</x:formula>
    </x:cfRule>
  </x:conditionalFormatting>
  <x:conditionalFormatting sqref="E7:E7">
    <x:cfRule type="cellIs" dxfId="91"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c5a0c466eb6449a5"/>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Library Edition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LIB-DOMAIN-SYSTEMS</x:v>
      </x:c>
      <x:c r="B7" s="9" t="str">
        <x:v>Systèmes : déduplication de catalogue</x:v>
      </x:c>
      <x:c r="C7" s="14" t="str">
        <x:v>Défini</x:v>
      </x:c>
      <x:c r="D7" s="15" t="str">
        <x:v>Extrapolation</x:v>
      </x:c>
      <x:c r="E7" s="15" t="str">
        <x:v>P1</x:v>
      </x:c>
      <x:c r="F7" s="9" t="str">
        <x:v>Identifier chaque récit et chaque numéro indépendamment de ses éditions.</x:v>
      </x:c>
      <x:c r="G7" s="9" t="str">
        <x:v>Clé proposée workId/issueId; les éditions pointent vers ces clés et stockent seulement leurs particularités.</x:v>
      </x:c>
      <x:c r="H7" s="9" t="str"/>
      <x:c r="I7" s="9" t="str"/>
      <x:c r="J7" s="9" t="str"/>
      <x:c r="K7" s="9" t="str"/>
      <x:c r="L7" s="9" t="str">
        <x:v>Contrat d’indexation LIB/systems; document de production, sans création d’asset ou de niveau.</x:v>
      </x:c>
      <x:c r="M7" s="9" t="str">
        <x:v>S’applique à la collection éditoriale et à ses éventuelles interfaces de consultation.</x:v>
      </x:c>
      <x:c r="N7" s="9" t="str">
        <x:v>Ajouter un second recueil ne double ni le nombre de récits ni le travail de production déjà alloué.</x:v>
      </x:c>
      <x:c r="O7" s="9" t="str">
        <x:v>LIB-REF-COLLECTION</x:v>
      </x:c>
      <x:c r="P7" s="9" t="str">
        <x:v>Conception éditoriale originale.</x:v>
      </x:c>
      <x:c r="Q7" s="9" t="str"/>
      <x:c r="R7" s="17" t="str"/>
      <x:c r="S7" s="17" t="str"/>
    </x:row>
    <x:row r="8" ht="54" customHeight="1">
      <x:c r="A8" s="31" t="str">
        <x:v>LIB-SYS-REUSE</x:v>
      </x:c>
      <x:c r="B8" s="7" t="str">
        <x:v>Charge de production sans double comptage</x:v>
      </x:c>
      <x:c r="C8" s="14" t="str">
        <x:v>Défini</x:v>
      </x:c>
      <x:c r="D8" s="30" t="str">
        <x:v>Extrapolation</x:v>
      </x:c>
      <x:c r="E8" s="30" t="str">
        <x:v>P1</x:v>
      </x:c>
      <x:c r="F8" s="7" t="str">
        <x:v>Distinguer les coûts des récits de ceux de l’interface éditoriale de collection.</x:v>
      </x:c>
      <x:c r="G8" s="7" t="str">
        <x:v>L’index référence les fiches de récit; seuls le menu, les métadonnées et les contrôles d’édition sont propres à LIB.</x:v>
      </x:c>
      <x:c r="H8" s="7" t="str">
        <x:v>Aucun total de missions, ennemis ou sprites n’est multiplié par le nombre de reliures.</x:v>
      </x:c>
      <x:c r="I8" s="7" t="str"/>
      <x:c r="J8" s="7" t="str"/>
      <x:c r="K8" s="7" t="str"/>
      <x:c r="L8" s="7" t="str">
        <x:v>Agrégation proposée par identité de livrable; colonnes catalogue propriétaire et contexte de réutilisation.</x:v>
      </x:c>
      <x:c r="M8" s="7" t="str">
        <x:v>Correspondance éditoriale seulement; aucune progression narrative ni récompense de campagne déclenchée.</x:v>
      </x:c>
      <x:c r="N8" s="7" t="str">
        <x:v>La somme des œuvres uniques est stable quand un nouveau format du même recueil est ajouté.</x:v>
      </x:c>
      <x:c r="O8" s="7" t="str">
        <x:v>LIB-DOMAIN-SYSTEMS</x:v>
      </x:c>
      <x:c r="P8" s="7" t="str"/>
      <x:c r="Q8" s="7" t="str"/>
      <x:c r="R8" s="32" t="str"/>
      <x:c r="S8" s="32" t="str"/>
    </x:row>
    <x:row r="9" ht="68" customHeight="1">
      <x:c r="A9" s="16" t="str">
        <x:v>LIB-SYS-CANON</x:v>
      </x:c>
      <x:c r="B9" s="9" t="str">
        <x:v>Journal à deux niveaux</x:v>
      </x:c>
      <x:c r="C9" s="14" t="str">
        <x:v>Défini</x:v>
      </x:c>
      <x:c r="D9" s="15" t="str">
        <x:v>Extrapolation</x:v>
      </x:c>
      <x:c r="E9" s="15" t="str">
        <x:v>P1</x:v>
      </x:c>
      <x:c r="F9" s="9" t="str">
        <x:v>Dans Library Edition, séparer faits attestés, données à contrôler et événements issus des règles du fan game.</x:v>
      </x:c>
      <x:c r="G9" s="9" t="str">
        <x:v>Les dix récits indexés gardent leurs identités; les références d’édition ajoutent uniquement volume, format, pages et bonus vérifiés.</x:v>
      </x:c>
      <x:c r="H9" s="9" t="str">
        <x:v>Les dix récits indexés gardent leurs identités; les références d’édition ajoutent uniquement volume, format, pages et bonus vérifiés.</x:v>
      </x:c>
      <x:c r="I9" s="9" t="str"/>
      <x:c r="J9" s="9" t="str"/>
      <x:c r="K9" s="9" t="str"/>
      <x:c r="L9" s="9" t="str">
        <x:v>Contrat de production LIB/SYS-CANON; à appliquer au futur contenu de l'œuvre.</x:v>
      </x:c>
      <x:c r="M9" s="9" t="str">
        <x:v>Ne jamais transformer une compilation ou une galerie en nouvelle aventure canon. Aucun objet, pouvoir, personnage ou choix n’est débloqué dans la campagne par la seule présence d’un récit dans une édition.</x:v>
      </x:c>
      <x:c r="N9" s="9" t="str">
        <x:v>Chaque entrée de journal porte sa provenance; un résultat de combat ne change jamais le niveau de certitude du fait source.</x:v>
      </x:c>
      <x:c r="O9" s="9" t="str">
        <x:v>LIB-REF-COLLECTION</x:v>
      </x:c>
      <x:c r="P9" s="9" t="str">
        <x:v>Règle originale de production; les ancrages de continuité sont documentés dans les fiches REF.</x:v>
      </x:c>
      <x:c r="Q9" s="9" t="str"/>
      <x:c r="R9" s="17" t="str"/>
      <x:c r="S9" s="17" t="str"/>
    </x:row>
    <x:row r="10" ht="68" customHeight="1">
      <x:c r="A10" s="31" t="str">
        <x:v>LIB-SYS-GROUP</x:v>
      </x:c>
      <x:c r="B10" s="7" t="str">
        <x:v>Groupe propre au chapitre</x:v>
      </x:c>
      <x:c r="C10" s="14" t="str">
        <x:v>Défini</x:v>
      </x:c>
      <x:c r="D10" s="30" t="str">
        <x:v>Extrapolation</x:v>
      </x:c>
      <x:c r="E10" s="30" t="str">
        <x:v>P1</x:v>
      </x:c>
      <x:c r="F10" s="7" t="str">
        <x:v>Aucun groupe propre à Library Edition. Réutiliser uniquement le groupe prévu par le récit sélectionné; l’index des personnages n’est pas une liste de recrutements.</x:v>
      </x:c>
      <x:c r="G10" s="7" t="str">
        <x:v>Former le groupe à partir du chapitre actif; les rôles de soutien ne deviennent pas des recrutements permanents.</x:v>
      </x:c>
      <x:c r="H10" s="7" t="str">
        <x:v>Former le groupe à partir du chapitre actif; les rôles de soutien ne deviennent pas des recrutements permanents.</x:v>
      </x:c>
      <x:c r="I10" s="7" t="str"/>
      <x:c r="J10" s="7" t="str"/>
      <x:c r="K10" s="7" t="str"/>
      <x:c r="L10" s="7" t="str">
        <x:v>Contrat de production LIB/SYS-GROUP; à appliquer au futur contenu de l'œuvre.</x:v>
      </x:c>
      <x:c r="M10" s="7" t="str">
        <x:v>Ne jamais transformer une compilation ou une galerie en nouvelle aventure canon. Aucun objet, pouvoir, personnage ou choix n’est débloqué dans la campagne par la seule présence d’un récit dans une édition.</x:v>
      </x:c>
      <x:c r="N10" s="7" t="str">
        <x:v>Recharger un chapitre restitue uniquement son groupe autorisé, ses positions et ses commandes proposées.</x:v>
      </x:c>
      <x:c r="O10" s="7" t="str">
        <x:v>LIB-REF-COLLECTION</x:v>
      </x:c>
      <x:c r="P10" s="7" t="str">
        <x:v>Règle originale de production; les ancrages de continuité sont documentés dans les fiches REF.</x:v>
      </x:c>
      <x:c r="Q10" s="7" t="str"/>
      <x:c r="R10" s="32" t="str"/>
      <x:c r="S10" s="32" t="str"/>
    </x:row>
    <x:row r="11" ht="68" customHeight="1">
      <x:c r="A11" s="16" t="str">
        <x:v>LIB-SYS-ATB</x:v>
      </x:c>
      <x:c r="B11" s="9" t="str">
        <x:v>Rythme ATB proposé</x:v>
      </x:c>
      <x:c r="C11" s="14" t="str">
        <x:v>Défini</x:v>
      </x:c>
      <x:c r="D11" s="15" t="str">
        <x:v>Extrapolation</x:v>
      </x:c>
      <x:c r="E11" s="15" t="str">
        <x:v>P1</x:v>
      </x:c>
      <x:c r="F11" s="9" t="str">
        <x:v>Aucun système ATB propre au livre. Une éventuelle interface de collection ouvre des modules existants sans changer leurs règles.</x:v>
      </x:c>
      <x:c r="G11" s="9" t="str">
        <x:v>Pause de planification, annonce visible, résolution déterministe et commandes annulables avant confirmation.</x:v>
      </x:c>
      <x:c r="H11" s="9" t="str">
        <x:v>Pause de planification, annonce visible, résolution déterministe et commandes annulables avant confirmation.</x:v>
      </x:c>
      <x:c r="I11" s="9" t="str"/>
      <x:c r="J11" s="9" t="str"/>
      <x:c r="K11" s="9" t="str"/>
      <x:c r="L11" s="9" t="str">
        <x:v>Contrat de production LIB/SYS-ATB; à appliquer au futur contenu de l'œuvre.</x:v>
      </x:c>
      <x:c r="M11" s="9" t="str">
        <x:v>Ne jamais transformer une compilation ou une galerie en nouvelle aventure canon. Aucun objet, pouvoir, personnage ou choix n’est débloqué dans la campagne par la seule présence d’un récit dans une édition.</x:v>
      </x:c>
      <x:c r="N11" s="9" t="str">
        <x:v>Un lecteur peut suivre chaque préparation sans son; la vitesse réglable ne modifie pas les conditions du raccord narratif.</x:v>
      </x:c>
      <x:c r="O11" s="9" t="str">
        <x:v>LIB-REF-COLLECTION</x:v>
      </x:c>
      <x:c r="P11" s="9" t="str">
        <x:v>Règle originale de production; les ancrages de continuité sont documentés dans les fiches REF.</x:v>
      </x:c>
      <x:c r="Q11" s="9" t="str"/>
      <x:c r="R11" s="17" t="str"/>
      <x:c r="S11" s="17" t="str"/>
    </x:row>
    <x:row r="12" ht="68" customHeight="1">
      <x:c r="A12" s="31" t="str">
        <x:v>LIB-SYS-SAVE</x:v>
      </x:c>
      <x:c r="B12" s="7" t="str">
        <x:v>Sauvegarde des modules</x:v>
      </x:c>
      <x:c r="C12" s="14" t="str">
        <x:v>Défini</x:v>
      </x:c>
      <x:c r="D12" s="30" t="str">
        <x:v>Extrapolation</x:v>
      </x:c>
      <x:c r="E12" s="30" t="str">
        <x:v>P1</x:v>
      </x:c>
      <x:c r="F12" s="7" t="str">
        <x:v>Conserver la progression de Library Edition sans exporter une issue hypothétique vers la continuité des jeux.</x:v>
      </x:c>
      <x:c r="G12" s="7" t="str">
        <x:v>Conserver préférences de tri, marque-pages et statut de consultation; ne pas modifier la sauvegarde narrative des jeux ou des adaptations.</x:v>
      </x:c>
      <x:c r="H12" s="7" t="str">
        <x:v>Conserver préférences de tri, marque-pages et statut de consultation; ne pas modifier la sauvegarde narrative des jeux ou des adaptations.</x:v>
      </x:c>
      <x:c r="I12" s="7" t="str"/>
      <x:c r="J12" s="7" t="str"/>
      <x:c r="K12" s="7" t="str"/>
      <x:c r="L12" s="7" t="str">
        <x:v>Contrat de production LIB/SYS-SAVE; à appliquer au futur contenu de l'œuvre.</x:v>
      </x:c>
      <x:c r="M12" s="7" t="str">
        <x:v>Ne jamais transformer une compilation ou une galerie en nouvelle aventure canon. Aucun objet, pouvoir, personnage ou choix n’est débloqué dans la campagne par la seule présence d’un récit dans une édition.</x:v>
      </x:c>
      <x:c r="N12" s="7" t="str">
        <x:v>Sauvegarder, quitter et reprendre avant/après un raccord ne double aucun objet, objectif ou récompense.</x:v>
      </x:c>
      <x:c r="O12" s="7" t="str">
        <x:v>LIB-REF-COLLECTION</x:v>
      </x:c>
      <x:c r="P12" s="7" t="str">
        <x:v>Règle originale de production; les ancrages de continuité sont documentés dans les fiches REF.</x:v>
      </x:c>
      <x:c r="Q12" s="7" t="str"/>
      <x:c r="R12" s="32" t="str"/>
      <x:c r="S12" s="32" t="str"/>
    </x:row>
  </x:sheetData>
  <x:conditionalFormatting sqref="D7:D12">
    <x:cfRule type="cellIs" dxfId="92" priority="1" operator="equal">
      <x:formula>"À vérifier"</x:formula>
    </x:cfRule>
    <x:cfRule type="cellIs" dxfId="93" priority="2" operator="equal">
      <x:formula>"Extrapolation"</x:formula>
    </x:cfRule>
  </x:conditionalFormatting>
  <x:conditionalFormatting sqref="C7:C12">
    <x:cfRule type="cellIs" dxfId="94" priority="3" operator="equal">
      <x:formula>"Validé"</x:formula>
    </x:cfRule>
  </x:conditionalFormatting>
  <x:conditionalFormatting sqref="E7:E12">
    <x:cfRule type="cellIs" dxfId="95"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915987f546d54f8f"/>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Library Edition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68" customHeight="1">
      <x:c r="A7" s="16" t="str">
        <x:v>LIB-QA-RED</x:v>
      </x:c>
      <x:c r="B7" s="9" t="str">
        <x:v>Redemption — contrôle de sommaire</x:v>
      </x:c>
      <x:c r="C7" s="14" t="str">
        <x:v>Défini</x:v>
      </x:c>
      <x:c r="D7" s="15" t="str">
        <x:v>Extrapolation</x:v>
      </x:c>
      <x:c r="E7" s="15" t="str">
        <x:v>P0</x:v>
      </x:c>
      <x:c r="F7" s="9" t="str">
        <x:v>Comparer l’intitulé Redemption et la portée #1–4 dans le volume 1 avec le catalogue propriétaire.</x:v>
      </x:c>
      <x:c r="G7" s="9" t="str">
        <x:v>Les quatre numéros restent quatre unités; le récit court Incursion est une œuvre distincte.</x:v>
      </x:c>
      <x:c r="H7" s="9" t="str"/>
      <x:c r="I7" s="9" t="str"/>
      <x:c r="J7" s="9" t="str"/>
      <x:c r="K7" s="9" t="str"/>
      <x:c r="L7" s="9" t="str">
        <x:v>Recette bibliographique prévue pour RED: titre, numéros, ordre, pages de début/fin et présence des bonus; laisser les pages vides tant que l’exemplaire n’a pas été consulté.</x:v>
      </x:c>
      <x:c r="M7" s="9" t="str">
        <x:v>Contrôle défini, non exécuté sur un exemplaire intégral.</x:v>
      </x:c>
      <x:c r="N7" s="9" t="str">
        <x:v>Une seule ligne par unité narrative dans le relevé; les pages renseignées portent l’édition exacte et une preuve de consultation.</x:v>
      </x:c>
      <x:c r="O7" s="9" t="str">
        <x:v>LIB-STORY-RED, LIB-DEDUP-RED</x:v>
      </x:c>
      <x:c r="P7" s="9" t="str">
        <x:v>Library Edition volume 1; aucune pagination de récit inventée.</x:v>
      </x:c>
      <x:c r="Q7" s="9" t="str"/>
      <x:c r="R7" s="17" t="str"/>
      <x:c r="S7" s="17" t="str"/>
    </x:row>
    <x:row r="8" ht="68" customHeight="1">
      <x:c r="A8" s="31" t="str">
        <x:v>LIB-QA-EVO</x:v>
      </x:c>
      <x:c r="B8" s="7" t="str">
        <x:v>Evolution — contrôle de sommaire</x:v>
      </x:c>
      <x:c r="C8" s="14" t="str">
        <x:v>Défini</x:v>
      </x:c>
      <x:c r="D8" s="30" t="str">
        <x:v>Extrapolation</x:v>
      </x:c>
      <x:c r="E8" s="30" t="str">
        <x:v>P0</x:v>
      </x:c>
      <x:c r="F8" s="7" t="str">
        <x:v>Comparer l’intitulé Evolution et la portée #1–4 dans le volume 1 avec le catalogue propriétaire.</x:v>
      </x:c>
      <x:c r="G8" s="7" t="str">
        <x:v>Ne pas recompter Incursion/Inquisition quand ils sont également inclus dans un recueil Evolution.</x:v>
      </x:c>
      <x:c r="H8" s="7" t="str"/>
      <x:c r="I8" s="7" t="str"/>
      <x:c r="J8" s="7" t="str"/>
      <x:c r="K8" s="7" t="str"/>
      <x:c r="L8" s="7" t="str">
        <x:v>Recette bibliographique prévue pour EVO: titre, numéros, ordre, pages de début/fin et présence des bonus; laisser les pages vides tant que l’exemplaire n’a pas été consulté.</x:v>
      </x:c>
      <x:c r="M8" s="7" t="str">
        <x:v>Contrôle défini, non exécuté sur un exemplaire intégral.</x:v>
      </x:c>
      <x:c r="N8" s="7" t="str">
        <x:v>Une seule ligne par unité narrative dans le relevé; les pages renseignées portent l’édition exacte et une preuve de consultation.</x:v>
      </x:c>
      <x:c r="O8" s="7" t="str">
        <x:v>LIB-STORY-EVO, LIB-DEDUP-EVO</x:v>
      </x:c>
      <x:c r="P8" s="7" t="str">
        <x:v>Library Edition volume 1; aucune pagination de récit inventée.</x:v>
      </x:c>
      <x:c r="Q8" s="7" t="str"/>
      <x:c r="R8" s="32" t="str"/>
      <x:c r="S8" s="32" t="str"/>
    </x:row>
    <x:row r="9" ht="68" customHeight="1">
      <x:c r="A9" s="16" t="str">
        <x:v>LIB-QA-INV</x:v>
      </x:c>
      <x:c r="B9" s="9" t="str">
        <x:v>Invasion — contrôle de sommaire</x:v>
      </x:c>
      <x:c r="C9" s="14" t="str">
        <x:v>Défini</x:v>
      </x:c>
      <x:c r="D9" s="15" t="str">
        <x:v>Extrapolation</x:v>
      </x:c>
      <x:c r="E9" s="15" t="str">
        <x:v>P0</x:v>
      </x:c>
      <x:c r="F9" s="9" t="str">
        <x:v>Comparer l’intitulé Invasion et la portée #1–4 dans le volume 1 avec le catalogue propriétaire.</x:v>
      </x:c>
      <x:c r="G9" s="9" t="str">
        <x:v>Le DLC Omega est une suite dans un autre média, pas un numéro supplémentaire de cette collection.</x:v>
      </x:c>
      <x:c r="H9" s="9" t="str"/>
      <x:c r="I9" s="9" t="str"/>
      <x:c r="J9" s="9" t="str"/>
      <x:c r="K9" s="9" t="str"/>
      <x:c r="L9" s="9" t="str">
        <x:v>Recette bibliographique prévue pour INV: titre, numéros, ordre, pages de début/fin et présence des bonus; laisser les pages vides tant que l’exemplaire n’a pas été consulté.</x:v>
      </x:c>
      <x:c r="M9" s="9" t="str">
        <x:v>Contrôle défini, non exécuté sur un exemplaire intégral.</x:v>
      </x:c>
      <x:c r="N9" s="9" t="str">
        <x:v>Une seule ligne par unité narrative dans le relevé; les pages renseignées portent l’édition exacte et une preuve de consultation.</x:v>
      </x:c>
      <x:c r="O9" s="9" t="str">
        <x:v>LIB-STORY-INV, LIB-DEDUP-INV</x:v>
      </x:c>
      <x:c r="P9" s="9" t="str">
        <x:v>Library Edition volume 1; aucune pagination de récit inventée.</x:v>
      </x:c>
      <x:c r="Q9" s="9" t="str"/>
      <x:c r="R9" s="17" t="str"/>
      <x:c r="S9" s="17" t="str"/>
    </x:row>
    <x:row r="10" ht="68" customHeight="1">
      <x:c r="A10" s="31" t="str">
        <x:v>LIB-QA-HOM</x:v>
      </x:c>
      <x:c r="B10" s="7" t="str">
        <x:v>Homeworlds — contrôle de sommaire</x:v>
      </x:c>
      <x:c r="C10" s="14" t="str">
        <x:v>Défini</x:v>
      </x:c>
      <x:c r="D10" s="30" t="str">
        <x:v>Extrapolation</x:v>
      </x:c>
      <x:c r="E10" s="30" t="str">
        <x:v>P0</x:v>
      </x:c>
      <x:c r="F10" s="7" t="str">
        <x:v>Comparer l’intitulé Homeworlds et la portée #1–4 dans le volume 1 avec le catalogue propriétaire.</x:v>
      </x:c>
      <x:c r="G10" s="7" t="str">
        <x:v>Les quatre numéros ont quatre protagonistes et plusieurs périodes; aucune campagne simultanée créée par la reliure.</x:v>
      </x:c>
      <x:c r="H10" s="7" t="str"/>
      <x:c r="I10" s="7" t="str"/>
      <x:c r="J10" s="7" t="str"/>
      <x:c r="K10" s="7" t="str"/>
      <x:c r="L10" s="7" t="str">
        <x:v>Recette bibliographique prévue pour HOM: titre, numéros, ordre, pages de début/fin et présence des bonus; laisser les pages vides tant que l’exemplaire n’a pas été consulté.</x:v>
      </x:c>
      <x:c r="M10" s="7" t="str">
        <x:v>Contrôle défini, non exécuté sur un exemplaire intégral.</x:v>
      </x:c>
      <x:c r="N10" s="7" t="str">
        <x:v>Une seule ligne par unité narrative dans le relevé; les pages renseignées portent l’édition exacte et une preuve de consultation.</x:v>
      </x:c>
      <x:c r="O10" s="7" t="str">
        <x:v>LIB-STORY-HOM, LIB-DEDUP-HOM</x:v>
      </x:c>
      <x:c r="P10" s="7" t="str">
        <x:v>Library Edition volume 1; aucune pagination de récit inventée.</x:v>
      </x:c>
      <x:c r="Q10" s="7" t="str"/>
      <x:c r="R10" s="32" t="str"/>
      <x:c r="S10" s="32" t="str"/>
    </x:row>
    <x:row r="11" ht="68" customHeight="1">
      <x:c r="A11" s="16" t="str">
        <x:v>LIB-QA-INC</x:v>
      </x:c>
      <x:c r="B11" s="9" t="str">
        <x:v>Incursion — contrôle de sommaire</x:v>
      </x:c>
      <x:c r="C11" s="14" t="str">
        <x:v>Défini</x:v>
      </x:c>
      <x:c r="D11" s="15" t="str">
        <x:v>Extrapolation</x:v>
      </x:c>
      <x:c r="E11" s="15" t="str">
        <x:v>P0</x:v>
      </x:c>
      <x:c r="F11" s="9" t="str">
        <x:v>Comparer l’intitulé Incursion et la portée récit court dans le volume 1 avec le catalogue propriétaire.</x:v>
      </x:c>
      <x:c r="G11" s="9" t="str">
        <x:v>Une présence en duo numérique avec Inquisition ne crée ni une nouvelle version narrative ni deux copies de la même mission.</x:v>
      </x:c>
      <x:c r="H11" s="9" t="str"/>
      <x:c r="I11" s="9" t="str"/>
      <x:c r="J11" s="9" t="str"/>
      <x:c r="K11" s="9" t="str"/>
      <x:c r="L11" s="9" t="str">
        <x:v>Recette bibliographique prévue pour INC: titre, numéros, ordre, pages de début/fin et présence des bonus; laisser les pages vides tant que l’exemplaire n’a pas été consulté.</x:v>
      </x:c>
      <x:c r="M11" s="9" t="str">
        <x:v>Contrôle défini, non exécuté sur un exemplaire intégral.</x:v>
      </x:c>
      <x:c r="N11" s="9" t="str">
        <x:v>Une seule ligne par unité narrative dans le relevé; les pages renseignées portent l’édition exacte et une preuve de consultation.</x:v>
      </x:c>
      <x:c r="O11" s="9" t="str">
        <x:v>LIB-STORY-INC, LIB-DEDUP-INC</x:v>
      </x:c>
      <x:c r="P11" s="9" t="str">
        <x:v>Library Edition volume 1; aucune pagination de récit inventée.</x:v>
      </x:c>
      <x:c r="Q11" s="9" t="str"/>
      <x:c r="R11" s="17" t="str"/>
      <x:c r="S11" s="17" t="str"/>
    </x:row>
    <x:row r="12" ht="68" customHeight="1">
      <x:c r="A12" s="31" t="str">
        <x:v>LIB-QA-INQ</x:v>
      </x:c>
      <x:c r="B12" s="7" t="str">
        <x:v>Inquisition — contrôle de sommaire</x:v>
      </x:c>
      <x:c r="C12" s="14" t="str">
        <x:v>Défini</x:v>
      </x:c>
      <x:c r="D12" s="30" t="str">
        <x:v>Extrapolation</x:v>
      </x:c>
      <x:c r="E12" s="30" t="str">
        <x:v>P0</x:v>
      </x:c>
      <x:c r="F12" s="7" t="str">
        <x:v>Comparer l’intitulé Inquisition et la portée récit court dans le volume 1 avec le catalogue propriétaire.</x:v>
      </x:c>
      <x:c r="G12" s="7" t="str">
        <x:v>Le récit possède une identité indépendante du duo numérique et du recueil Evolution.</x:v>
      </x:c>
      <x:c r="H12" s="7" t="str"/>
      <x:c r="I12" s="7" t="str"/>
      <x:c r="J12" s="7" t="str"/>
      <x:c r="K12" s="7" t="str"/>
      <x:c r="L12" s="7" t="str">
        <x:v>Recette bibliographique prévue pour INQ: titre, numéros, ordre, pages de début/fin et présence des bonus; laisser les pages vides tant que l’exemplaire n’a pas été consulté.</x:v>
      </x:c>
      <x:c r="M12" s="7" t="str">
        <x:v>Contrôle défini, non exécuté sur un exemplaire intégral.</x:v>
      </x:c>
      <x:c r="N12" s="7" t="str">
        <x:v>Une seule ligne par unité narrative dans le relevé; les pages renseignées portent l’édition exacte et une preuve de consultation.</x:v>
      </x:c>
      <x:c r="O12" s="7" t="str">
        <x:v>LIB-STORY-INQ, LIB-DEDUP-INQ</x:v>
      </x:c>
      <x:c r="P12" s="7" t="str">
        <x:v>Library Edition volume 1; aucune pagination de récit inventée.</x:v>
      </x:c>
      <x:c r="Q12" s="7" t="str"/>
      <x:c r="R12" s="32" t="str"/>
      <x:c r="S12" s="32" t="str"/>
    </x:row>
    <x:row r="13" ht="68" customHeight="1">
      <x:c r="A13" s="16" t="str">
        <x:v>LIB-QA-CON</x:v>
      </x:c>
      <x:c r="B13" s="9" t="str">
        <x:v>Conviction — contrôle de sommaire</x:v>
      </x:c>
      <x:c r="C13" s="14" t="str">
        <x:v>Défini</x:v>
      </x:c>
      <x:c r="D13" s="15" t="str">
        <x:v>Extrapolation</x:v>
      </x:c>
      <x:c r="E13" s="15" t="str">
        <x:v>P0</x:v>
      </x:c>
      <x:c r="F13" s="9" t="str">
        <x:v>Comparer l’intitulé Conviction et la portée récit court dans le volume 1 avec le catalogue propriétaire.</x:v>
      </x:c>
      <x:c r="G13" s="9" t="str">
        <x:v>L’inclusion éventuelle dans Invasion et dans Library Edition référence la même histoire.</x:v>
      </x:c>
      <x:c r="H13" s="9" t="str"/>
      <x:c r="I13" s="9" t="str"/>
      <x:c r="J13" s="9" t="str"/>
      <x:c r="K13" s="9" t="str"/>
      <x:c r="L13" s="9" t="str">
        <x:v>Recette bibliographique prévue pour CON: titre, numéros, ordre, pages de début/fin et présence des bonus; laisser les pages vides tant que l’exemplaire n’a pas été consulté.</x:v>
      </x:c>
      <x:c r="M13" s="9" t="str">
        <x:v>Contrôle défini, non exécuté sur un exemplaire intégral.</x:v>
      </x:c>
      <x:c r="N13" s="9" t="str">
        <x:v>Une seule ligne par unité narrative dans le relevé; les pages renseignées portent l’édition exacte et une preuve de consultation.</x:v>
      </x:c>
      <x:c r="O13" s="9" t="str">
        <x:v>LIB-STORY-CON, LIB-DEDUP-CON</x:v>
      </x:c>
      <x:c r="P13" s="9" t="str">
        <x:v>Library Edition volume 1; aucune pagination de récit inventée.</x:v>
      </x:c>
      <x:c r="Q13" s="9" t="str"/>
      <x:c r="R13" s="17" t="str"/>
      <x:c r="S13" s="17" t="str"/>
    </x:row>
    <x:row r="14" ht="68" customHeight="1">
      <x:c r="A14" s="31" t="str">
        <x:v>LIB-QA-FOU</x:v>
      </x:c>
      <x:c r="B14" s="7" t="str">
        <x:v>Foundation — contrôle de sommaire</x:v>
      </x:c>
      <x:c r="C14" s="14" t="str">
        <x:v>Défini</x:v>
      </x:c>
      <x:c r="D14" s="30" t="str">
        <x:v>Extrapolation</x:v>
      </x:c>
      <x:c r="E14" s="30" t="str">
        <x:v>P0</x:v>
      </x:c>
      <x:c r="F14" s="7" t="str">
        <x:v>Comparer l’intitulé Foundation et la portée #1–13 dans le volume 2 avec le catalogue propriétaire.</x:v>
      </x:c>
      <x:c r="G14" s="7" t="str">
        <x:v>Les trois recueils #1–4, #5–8, #9–13 et l’intégrale réutilisent les mêmes treize numéros.</x:v>
      </x:c>
      <x:c r="H14" s="7" t="str"/>
      <x:c r="I14" s="7" t="str"/>
      <x:c r="J14" s="7" t="str"/>
      <x:c r="K14" s="7" t="str"/>
      <x:c r="L14" s="7" t="str">
        <x:v>Recette bibliographique prévue pour FOU: titre, numéros, ordre, pages de début/fin et présence des bonus; laisser les pages vides tant que l’exemplaire n’a pas été consulté.</x:v>
      </x:c>
      <x:c r="M14" s="7" t="str">
        <x:v>Contrôle défini, non exécuté sur un exemplaire intégral.</x:v>
      </x:c>
      <x:c r="N14" s="7" t="str">
        <x:v>Une seule ligne par unité narrative dans le relevé; les pages renseignées portent l’édition exacte et une preuve de consultation.</x:v>
      </x:c>
      <x:c r="O14" s="7" t="str">
        <x:v>LIB-STORY-FOU, LIB-DEDUP-FOU</x:v>
      </x:c>
      <x:c r="P14" s="7" t="str">
        <x:v>Library Edition volume 2; aucune pagination de récit inventée.</x:v>
      </x:c>
      <x:c r="Q14" s="7" t="str"/>
      <x:c r="R14" s="32" t="str"/>
      <x:c r="S14" s="32" t="str"/>
    </x:row>
    <x:row r="15" ht="68" customHeight="1">
      <x:c r="A15" s="16" t="str">
        <x:v>LIB-QA-HWB</x:v>
      </x:c>
      <x:c r="B15" s="9" t="str">
        <x:v>He Who Laughs Best — contrôle de sommaire</x:v>
      </x:c>
      <x:c r="C15" s="14" t="str">
        <x:v>Défini</x:v>
      </x:c>
      <x:c r="D15" s="15" t="str">
        <x:v>Extrapolation</x:v>
      </x:c>
      <x:c r="E15" s="15" t="str">
        <x:v>P0</x:v>
      </x:c>
      <x:c r="F15" s="9" t="str">
        <x:v>Comparer l’intitulé He Who Laughs Best et la portée récit FCBD 2013 dans le volume 2 avec le catalogue propriétaire.</x:v>
      </x:c>
      <x:c r="G15" s="9" t="str">
        <x:v>Ne pas importer les autres franchises du fascicule Free Comic Book Day comme contenu Mass Effect.</x:v>
      </x:c>
      <x:c r="H15" s="9" t="str"/>
      <x:c r="I15" s="9" t="str"/>
      <x:c r="J15" s="9" t="str"/>
      <x:c r="K15" s="9" t="str"/>
      <x:c r="L15" s="9" t="str">
        <x:v>Recette bibliographique prévue pour HWB: titre, numéros, ordre, pages de début/fin et présence des bonus; laisser les pages vides tant que l’exemplaire n’a pas été consulté.</x:v>
      </x:c>
      <x:c r="M15" s="9" t="str">
        <x:v>Contrôle défini, non exécuté sur un exemplaire intégral.</x:v>
      </x:c>
      <x:c r="N15" s="9" t="str">
        <x:v>Une seule ligne par unité narrative dans le relevé; les pages renseignées portent l’édition exacte et une preuve de consultation.</x:v>
      </x:c>
      <x:c r="O15" s="9" t="str">
        <x:v>LIB-STORY-HWB, LIB-DEDUP-HWB</x:v>
      </x:c>
      <x:c r="P15" s="9" t="str">
        <x:v>Library Edition volume 2; aucune pagination de récit inventée.</x:v>
      </x:c>
      <x:c r="Q15" s="9" t="str"/>
      <x:c r="R15" s="17" t="str"/>
      <x:c r="S15" s="17" t="str"/>
    </x:row>
    <x:row r="16" ht="68" customHeight="1">
      <x:c r="A16" s="31" t="str">
        <x:v>LIB-QA-BLA</x:v>
      </x:c>
      <x:c r="B16" s="7" t="str">
        <x:v>Blasto: Eternity is Forever — contrôle de sommaire</x:v>
      </x:c>
      <x:c r="C16" s="14" t="str">
        <x:v>Défini</x:v>
      </x:c>
      <x:c r="D16" s="30" t="str">
        <x:v>Extrapolation</x:v>
      </x:c>
      <x:c r="E16" s="30" t="str">
        <x:v>P0</x:v>
      </x:c>
      <x:c r="F16" s="7" t="str">
        <x:v>Comparer l’intitulé Blasto: Eternity is Forever et la portée récit autonome dans le volume 2 avec le catalogue propriétaire.</x:v>
      </x:c>
      <x:c r="G16" s="7" t="str">
        <x:v>Une œuvre publiée peut raconter une fiction interne; son inclusion ne convertit pas le film en événement historique.</x:v>
      </x:c>
      <x:c r="H16" s="7" t="str"/>
      <x:c r="I16" s="7" t="str"/>
      <x:c r="J16" s="7" t="str"/>
      <x:c r="K16" s="7" t="str"/>
      <x:c r="L16" s="7" t="str">
        <x:v>Recette bibliographique prévue pour BLA: titre, numéros, ordre, pages de début/fin et présence des bonus; laisser les pages vides tant que l’exemplaire n’a pas été consulté.</x:v>
      </x:c>
      <x:c r="M16" s="7" t="str">
        <x:v>Contrôle défini, non exécuté sur un exemplaire intégral.</x:v>
      </x:c>
      <x:c r="N16" s="7" t="str">
        <x:v>Une seule ligne par unité narrative dans le relevé; les pages renseignées portent l’édition exacte et une preuve de consultation.</x:v>
      </x:c>
      <x:c r="O16" s="7" t="str">
        <x:v>LIB-STORY-BLA, LIB-DEDUP-BLA</x:v>
      </x:c>
      <x:c r="P16" s="7" t="str">
        <x:v>Library Edition volume 2; aucune pagination de récit inventée.</x:v>
      </x:c>
      <x:c r="Q16" s="7" t="str"/>
      <x:c r="R16" s="32" t="str"/>
      <x:c r="S16" s="32" t="str"/>
    </x:row>
    <x:row r="17" ht="54" customHeight="1">
      <x:c r="A17" s="16" t="str">
        <x:v>LIB-DOMAIN-QA</x:v>
      </x:c>
      <x:c r="B17" s="9" t="str">
        <x:v>QA : comparaison des exemplaires</x:v>
      </x:c>
      <x:c r="C17" s="14" t="str">
        <x:v>Défini</x:v>
      </x:c>
      <x:c r="D17" s="15" t="str">
        <x:v>Extrapolation</x:v>
      </x:c>
      <x:c r="E17" s="15" t="str">
        <x:v>P1</x:v>
      </x:c>
      <x:c r="F17" s="9" t="str">
        <x:v>Contrôler couverture, sommaire, ISBN, pagination et bonus sur les éditions autorisées retenues.</x:v>
      </x:c>
      <x:c r="G17" s="9" t="str">
        <x:v>Les notices consultées peuvent annoncer des dates distinctes selon format ou marché; ne pas fabriquer une date unique.</x:v>
      </x:c>
      <x:c r="H17" s="9" t="str"/>
      <x:c r="I17" s="9" t="str"/>
      <x:c r="J17" s="9" t="str"/>
      <x:c r="K17" s="9" t="str"/>
      <x:c r="L17" s="9" t="str">
        <x:v>Contrat d’indexation LIB/qa; document de production, sans création d’asset ou de niveau.</x:v>
      </x:c>
      <x:c r="M17" s="9" t="str">
        <x:v>S’applique à la collection éditoriale et à ses éventuelles interfaces de consultation.</x:v>
      </x:c>
      <x:c r="N17" s="9" t="str">
        <x:v>Une fiche d’édition ne devient Validé qu’avec une preuve de l’exemplaire et de ses pages examinées.</x:v>
      </x:c>
      <x:c r="O17" s="9" t="str">
        <x:v>LIB-REF-COLLECTION</x:v>
      </x:c>
      <x:c r="P17" s="9" t="str">
        <x:v>Conception éditoriale originale.</x:v>
      </x:c>
      <x:c r="Q17" s="9" t="str"/>
      <x:c r="R17" s="17" t="str"/>
      <x:c r="S17" s="17" t="str"/>
    </x:row>
    <x:row r="18" ht="54" customHeight="1">
      <x:c r="A18" s="31" t="str">
        <x:v>LIB-QA-DATES</x:v>
      </x:c>
      <x:c r="B18" s="7" t="str">
        <x:v>Dates selon format et marché</x:v>
      </x:c>
      <x:c r="C18" s="14" t="str">
        <x:v>Défini</x:v>
      </x:c>
      <x:c r="D18" s="30" t="str">
        <x:v>Extrapolation</x:v>
      </x:c>
      <x:c r="E18" s="30" t="str">
        <x:v>P1</x:v>
      </x:c>
      <x:c r="F18" s="7" t="str">
        <x:v>Comparer la date annoncée du catalogue, la date de distribution et la date de l’exemplaire retenu.</x:v>
      </x:c>
      <x:c r="G18" s="7" t="str">
        <x:v>Ne pas résoudre artificiellement les dates divergentes des catalogues; stocker type de date, territoire et source.</x:v>
      </x:c>
      <x:c r="H18" s="7" t="str"/>
      <x:c r="I18" s="7" t="str"/>
      <x:c r="J18" s="7" t="str"/>
      <x:c r="K18" s="7" t="str"/>
      <x:c r="L18" s="7" t="str">
        <x:v>Champs proposés publicationDate, onSaleDate, editionFormat, market et evidence; aucune date unifiée inventée.</x:v>
      </x:c>
      <x:c r="M18" s="7" t="str">
        <x:v>Les sources consultées n’exposent pas toutes les mêmes éditions.</x:v>
      </x:c>
      <x:c r="N18" s="7" t="str">
        <x:v>Chaque date possède un format et une source; les valeurs inconnues restent vides.</x:v>
      </x:c>
      <x:c r="O18" s="7" t="str">
        <x:v>LIB-REF-VOL2</x:v>
      </x:c>
      <x:c r="P18" s="7" t="str"/>
      <x:c r="Q18" s="7" t="str"/>
      <x:c r="R18" s="32" t="str"/>
      <x:c r="S18" s="32" t="str"/>
    </x:row>
    <x:row r="19" ht="54" customHeight="1">
      <x:c r="A19" s="16" t="str">
        <x:v>LIB-QA-PAGES</x:v>
      </x:c>
      <x:c r="B19" s="9" t="str">
        <x:v>Pagination propre à chaque édition</x:v>
      </x:c>
      <x:c r="C19" s="14" t="str">
        <x:v>Défini</x:v>
      </x:c>
      <x:c r="D19" s="15" t="str">
        <x:v>Extrapolation</x:v>
      </x:c>
      <x:c r="E19" s="15" t="str">
        <x:v>P1</x:v>
      </x:c>
      <x:c r="F19" s="9" t="str">
        <x:v>Préparer un relevé de pages par récit et bonus sans renseigner des pages non consultées.</x:v>
      </x:c>
      <x:c r="G19" s="9" t="str">
        <x:v>Un nombre de pages annoncé pour le livre n’est pas une preuve de la page de début d’un récit.</x:v>
      </x:c>
      <x:c r="H19" s="9" t="str"/>
      <x:c r="I19" s="9" t="str"/>
      <x:c r="J19" s="9" t="str"/>
      <x:c r="K19" s="9" t="str"/>
      <x:c r="L19" s="9" t="str">
        <x:v>Table de correspondance editionId/workId/issueId/startPage/endPage; colonnes vides tant que non vérifiées.</x:v>
      </x:c>
      <x:c r="M19" s="9" t="str">
        <x:v>Pas de transfert automatique depuis une table Reddit ou une autre compilation.</x:v>
      </x:c>
      <x:c r="N19" s="9" t="str">
        <x:v>Les numéros de page affichés correspondent à l’exemplaire exact et à une consultation attestée.</x:v>
      </x:c>
      <x:c r="O19" s="9" t="str">
        <x:v>LIB-REF-COLLECTION</x:v>
      </x:c>
      <x:c r="P19" s="9" t="str"/>
      <x:c r="Q19" s="9" t="str"/>
      <x:c r="R19" s="17" t="str"/>
      <x:c r="S19" s="17" t="str"/>
    </x:row>
    <x:row r="20" ht="54" customHeight="1">
      <x:c r="A20" s="31" t="str">
        <x:v>LIB-QA-BONUS-CLAIM</x:v>
      </x:c>
      <x:c r="B20" s="7" t="str">
        <x:v>Croquis ≠ contenu coupé attesté</x:v>
      </x:c>
      <x:c r="C20" s="14" t="str">
        <x:v>Défini</x:v>
      </x:c>
      <x:c r="D20" s="30" t="str">
        <x:v>Extrapolation</x:v>
      </x:c>
      <x:c r="E20" s="30" t="str">
        <x:v>P1</x:v>
      </x:c>
      <x:c r="F20" s="7" t="str">
        <x:v>Contrôler le vocabulaire employé pour chaque image préparatoire et annotation.</x:v>
      </x:c>
      <x:c r="G20" s="7" t="str">
        <x:v>Un croquis peut être exploratoire, retenu ou abandonné; seul un énoncé primaire précis peut déterminer la catégorie.</x:v>
      </x:c>
      <x:c r="H20" s="7" t="str"/>
      <x:c r="I20" s="7" t="str"/>
      <x:c r="J20" s="7" t="str"/>
      <x:c r="K20" s="7" t="str"/>
      <x:c r="L20" s="7" t="str">
        <x:v>Revue éditoriale prévue avant création d’une fiche Coupé attesté ou Concept abandonné.</x:v>
      </x:c>
      <x:c r="M20" s="7" t="str">
        <x:v>Contrôle éditorial défini; aucune validation d’exemplaire ou de bonus effectuée ici.</x:v>
      </x:c>
      <x:c r="N20" s="7" t="str">
        <x:v>Aucune image de galerie n’est étiquetée scène coupée sur simple ressemblance ou absence dans le comic.</x:v>
      </x:c>
      <x:c r="O20" s="7" t="str">
        <x:v>LIB-BONUS-SKETCHES</x:v>
      </x:c>
      <x:c r="P20" s="7" t="str"/>
      <x:c r="Q20" s="7" t="str"/>
      <x:c r="R20" s="32" t="str"/>
      <x:c r="S20" s="32" t="str"/>
    </x:row>
    <x:row r="21" ht="54" customHeight="1">
      <x:c r="A21" s="16" t="str">
        <x:v>LIB-QA-SOURCE</x:v>
      </x:c>
      <x:c r="B21" s="9" t="str">
        <x:v>Vérification des références</x:v>
      </x:c>
      <x:c r="C21" s="14" t="str">
        <x:v>Défini</x:v>
      </x:c>
      <x:c r="D21" s="15" t="str">
        <x:v>Extrapolation</x:v>
      </x:c>
      <x:c r="E21" s="15" t="str">
        <x:v>P0</x:v>
      </x:c>
      <x:c r="F21" s="9" t="str">
        <x:v>Contrôler Library Edition dans une édition autorisée avant de transformer les éléments À vérifier en faits établis.</x:v>
      </x:c>
      <x:c r="G21" s="9" t="str">
        <x:v>Comparer les sommaires et bonus des deux volumes autorisés; garder les pages inconnues vides et distinguer Omnibus/The Complete Comics.</x:v>
      </x:c>
      <x:c r="H21" s="9" t="str"/>
      <x:c r="I21" s="9" t="str"/>
      <x:c r="J21" s="9" t="str"/>
      <x:c r="K21" s="9" t="str"/>
      <x:c r="L21" s="9" t="str">
        <x:v>Contrat de production LIB/QA-SOURCE; à appliquer au futur contenu de l'œuvre.</x:v>
      </x:c>
      <x:c r="M21" s="9" t="str">
        <x:v>Recette planifiée; aucune réalisation testée ici.</x:v>
      </x:c>
      <x:c r="N21" s="9" t="str">
        <x:v>Chaque ajout de nom, page, costume ou date est lié à la bonne édition; les descriptions restent brèves et paraphrasées.</x:v>
      </x:c>
      <x:c r="O21" s="9" t="str">
        <x:v>LIB-REF-COLLECTION</x:v>
      </x:c>
      <x:c r="P21" s="9" t="str">
        <x:v>Règle originale de production; les ancrages de continuité sont documentés dans les fiches REF.</x:v>
      </x:c>
      <x:c r="Q21" s="9" t="str"/>
      <x:c r="R21" s="17" t="str"/>
      <x:c r="S21" s="17" t="str"/>
    </x:row>
    <x:row r="22" ht="54" customHeight="1">
      <x:c r="A22" s="31" t="str">
        <x:v>LIB-QA-VISIBILITY</x:v>
      </x:c>
      <x:c r="B22" s="7" t="str">
        <x:v>Lecture des sprites et du terrain</x:v>
      </x:c>
      <x:c r="C22" s="14" t="str">
        <x:v>Défini</x:v>
      </x:c>
      <x:c r="D22" s="30" t="str">
        <x:v>Extrapolation</x:v>
      </x:c>
      <x:c r="E22" s="30" t="str">
        <x:v>P0</x:v>
      </x:c>
      <x:c r="F22" s="7" t="str">
        <x:v>Vérifier la lisibilité des titres, volumes, numéros et badges de provenance dans le sommaire, sans dépendre de miniatures de couverture.</x:v>
      </x:c>
      <x:c r="G22" s="7" t="str">
        <x:v>Faire parcourir les zones avec premier plan actif, sous-titres larges et mode de contraste renforcé.</x:v>
      </x:c>
      <x:c r="H22" s="7" t="str"/>
      <x:c r="I22" s="7" t="str"/>
      <x:c r="J22" s="7" t="str"/>
      <x:c r="K22" s="7" t="str"/>
      <x:c r="L22" s="7" t="str">
        <x:v>Contrat de production LIB/QA-VISIBILITY; à appliquer au futur contenu de l'œuvre.</x:v>
      </x:c>
      <x:c r="M22" s="7" t="str">
        <x:v>Recette planifiée; aucune réalisation testée ici.</x:v>
      </x:c>
      <x:c r="N22" s="7" t="str">
        <x:v>Le personnage contrôlé, les sorties et le signal de danger restent localisables sans désactiver le décor.</x:v>
      </x:c>
      <x:c r="O22" s="7" t="str">
        <x:v>LIB-REF-COLLECTION</x:v>
      </x:c>
      <x:c r="P22" s="7" t="str">
        <x:v>Règle originale de production; les ancrages de continuité sont documentés dans les fiches REF.</x:v>
      </x:c>
      <x:c r="Q22" s="7" t="str"/>
      <x:c r="R22" s="32" t="str"/>
      <x:c r="S22" s="32" t="str"/>
    </x:row>
    <x:row r="23" ht="82" customHeight="1">
      <x:c r="A23" s="16" t="str">
        <x:v>LIB-QA-NARRATIVE</x:v>
      </x:c>
      <x:c r="B23" s="9" t="str">
        <x:v>Convergence narrative</x:v>
      </x:c>
      <x:c r="C23" s="14" t="str">
        <x:v>Défini</x:v>
      </x:c>
      <x:c r="D23" s="15" t="str">
        <x:v>Extrapolation</x:v>
      </x:c>
      <x:c r="E23" s="15" t="str">
        <x:v>P0</x:v>
      </x:c>
      <x:c r="F23" s="9" t="str">
        <x:v>Ne jamais transformer une compilation ou une galerie en nouvelle aventure canon. Aucun objet, pouvoir, personnage ou choix n’est débloqué dans la campagne par la seule présence d’un récit dans une édition.</x:v>
      </x:c>
      <x:c r="G23" s="9" t="str">
        <x:v>Les dix récits indexés gardent leurs identités; les références d’édition ajoutent uniquement volume, format, pages et bonus vérifiés.</x:v>
      </x:c>
      <x:c r="H23" s="9" t="str"/>
      <x:c r="I23" s="9" t="str"/>
      <x:c r="J23" s="9" t="str"/>
      <x:c r="K23" s="9" t="str"/>
      <x:c r="L23" s="9" t="str">
        <x:v>Contrat de production LIB/QA-NARRATIVE; à appliquer au futur contenu de l'œuvre.</x:v>
      </x:c>
      <x:c r="M23" s="9" t="str">
        <x:v>Recette planifiée; aucune réalisation testée ici.</x:v>
      </x:c>
      <x:c r="N23" s="9" t="str">
        <x:v>Jouer chaque choix local et passer chaque cinématique produit les mêmes ancrages de conclusion; les divergences restent marquées adaptation.</x:v>
      </x:c>
      <x:c r="O23" s="9" t="str">
        <x:v>LIB-REF-COLLECTION</x:v>
      </x:c>
      <x:c r="P23" s="9" t="str">
        <x:v>Règle originale de production; les ancrages de continuité sont documentés dans les fiches REF.</x:v>
      </x:c>
      <x:c r="Q23" s="9" t="str"/>
      <x:c r="R23" s="17" t="str"/>
      <x:c r="S23" s="17" t="str"/>
    </x:row>
  </x:sheetData>
  <x:conditionalFormatting sqref="D7:D23">
    <x:cfRule type="cellIs" dxfId="96" priority="1" operator="equal">
      <x:formula>"À vérifier"</x:formula>
    </x:cfRule>
    <x:cfRule type="cellIs" dxfId="97" priority="2" operator="equal">
      <x:formula>"Extrapolation"</x:formula>
    </x:cfRule>
  </x:conditionalFormatting>
  <x:conditionalFormatting sqref="C7:C23">
    <x:cfRule type="cellIs" dxfId="98" priority="3" operator="equal">
      <x:formula>"Validé"</x:formula>
    </x:cfRule>
  </x:conditionalFormatting>
  <x:conditionalFormatting sqref="E7:E23">
    <x:cfRule type="cellIs" dxfId="99" priority="4" operator="equal">
      <x:formula>"P0"</x:formula>
    </x:cfRule>
  </x:conditionalFormatting>
  <x:dataValidations count="3">
    <x:dataValidation type="list" sqref="C7:C23">
      <x:formula1>"Défini,Prototype,Intégré,Validé"</x:formula1>
    </x:dataValidation>
    <x:dataValidation type="list" sqref="D7:D23">
      <x:formula1>"Établi,À vérifier,Extrapolation,Coupé attesté,Concept abandonné,Allégation écartée"</x:formula1>
    </x:dataValidation>
    <x:dataValidation type="list" sqref="E7:E23">
      <x:formula1>"P0,P1,P2"</x:formula1>
    </x:dataValidation>
  </x:dataValidations>
  <x:pageMargins left="0.7" right="0.7" top="0.75" bottom="0.75" header="0.3" footer="0.3"/>
  <x:tableParts count="1">
    <x:tablePart xmlns:r="http://schemas.openxmlformats.org/officeDocument/2006/relationships" r:id="Rf6f044ac899c4081"/>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91"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Library Edition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LIB-DEDUP-RED</x:v>
      </x:c>
      <x:c r="B7" s="9" t="str">
        <x:v>Redemption — règle de déduplication</x:v>
      </x:c>
      <x:c r="C7" s="14" t="str">
        <x:v>Défini</x:v>
      </x:c>
      <x:c r="D7" s="15" t="str">
        <x:v>Extrapolation</x:v>
      </x:c>
      <x:c r="E7" s="15" t="str">
        <x:v>P1</x:v>
      </x:c>
      <x:c r="F7" s="9" t="str">
        <x:v>Les quatre numéros restent quatre unités; le récit court Incursion est une œuvre distincte.</x:v>
      </x:c>
      <x:c r="G7" s="9" t="str">
        <x:v>Liara et Feron; préserver les paramètres de Shepard et le raccord ME2.</x:v>
      </x:c>
      <x:c r="H7" s="9" t="str"/>
      <x:c r="I7" s="9" t="str"/>
      <x:c r="J7" s="9" t="str"/>
      <x:c r="K7" s="9" t="str"/>
      <x:c r="L7" s="9" t="str">
        <x:v>Clé proposée story:RED; les éditions ajoutent des références de pages distinctes, jamais une deuxième identité narrative.</x:v>
      </x:c>
      <x:c r="M7" s="9" t="str">
        <x:v>S’applique à toute entrée d’édition revendiquant Redemption.</x:v>
      </x:c>
      <x:c r="N7" s="9" t="str">
        <x:v>Le rapport compte RED une seule fois comme œuvre et conserve séparément ses apparitions éditoriales.</x:v>
      </x:c>
      <x:c r="O7" s="9" t="str">
        <x:v>LIB-STORY-RED</x:v>
      </x:c>
      <x:c r="P7" s="9" t="str">
        <x:v>Règle de production éditoriale originale.</x:v>
      </x:c>
      <x:c r="Q7" s="9" t="str"/>
      <x:c r="R7" s="17" t="str"/>
      <x:c r="S7" s="17" t="str"/>
    </x:row>
    <x:row r="8" ht="54" customHeight="1">
      <x:c r="A8" s="31" t="str">
        <x:v>LIB-DEDUP-EVO</x:v>
      </x:c>
      <x:c r="B8" s="7" t="str">
        <x:v>Evolution — règle de déduplication</x:v>
      </x:c>
      <x:c r="C8" s="14" t="str">
        <x:v>Défini</x:v>
      </x:c>
      <x:c r="D8" s="30" t="str">
        <x:v>Extrapolation</x:v>
      </x:c>
      <x:c r="E8" s="30" t="str">
        <x:v>P1</x:v>
      </x:c>
      <x:c r="F8" s="7" t="str">
        <x:v>Ne pas recompter Incursion/Inquisition quand ils sont également inclus dans un recueil Evolution.</x:v>
      </x:c>
      <x:c r="G8" s="7" t="str">
        <x:v>Jack Harper; distinguer l’Eva humaine de la plateforme portant ce nom dans ME3.</x:v>
      </x:c>
      <x:c r="H8" s="7" t="str"/>
      <x:c r="I8" s="7" t="str"/>
      <x:c r="J8" s="7" t="str"/>
      <x:c r="K8" s="7" t="str"/>
      <x:c r="L8" s="7" t="str">
        <x:v>Clé proposée story:EVO; les éditions ajoutent des références de pages distinctes, jamais une deuxième identité narrative.</x:v>
      </x:c>
      <x:c r="M8" s="7" t="str">
        <x:v>S’applique à toute entrée d’édition revendiquant Evolution.</x:v>
      </x:c>
      <x:c r="N8" s="7" t="str">
        <x:v>Le rapport compte EVO une seule fois comme œuvre et conserve séparément ses apparitions éditoriales.</x:v>
      </x:c>
      <x:c r="O8" s="7" t="str">
        <x:v>LIB-STORY-EVO</x:v>
      </x:c>
      <x:c r="P8" s="7" t="str">
        <x:v>Règle de production éditoriale originale.</x:v>
      </x:c>
      <x:c r="Q8" s="7" t="str"/>
      <x:c r="R8" s="32" t="str"/>
      <x:c r="S8" s="32" t="str"/>
    </x:row>
    <x:row r="9" ht="54" customHeight="1">
      <x:c r="A9" s="16" t="str">
        <x:v>LIB-DEDUP-INV</x:v>
      </x:c>
      <x:c r="B9" s="9" t="str">
        <x:v>Invasion — règle de déduplication</x:v>
      </x:c>
      <x:c r="C9" s="14" t="str">
        <x:v>Défini</x:v>
      </x:c>
      <x:c r="D9" s="15" t="str">
        <x:v>Extrapolation</x:v>
      </x:c>
      <x:c r="E9" s="15" t="str">
        <x:v>P1</x:v>
      </x:c>
      <x:c r="F9" s="9" t="str">
        <x:v>Le DLC Omega est une suite dans un autre média, pas un numéro supplémentaire de cette collection.</x:v>
      </x:c>
      <x:c r="G9" s="9" t="str">
        <x:v>Aria et Omega; départ de la station conservé dans le catalogue propriétaire.</x:v>
      </x:c>
      <x:c r="H9" s="9" t="str"/>
      <x:c r="I9" s="9" t="str"/>
      <x:c r="J9" s="9" t="str"/>
      <x:c r="K9" s="9" t="str"/>
      <x:c r="L9" s="9" t="str">
        <x:v>Clé proposée story:INV; les éditions ajoutent des références de pages distinctes, jamais une deuxième identité narrative.</x:v>
      </x:c>
      <x:c r="M9" s="9" t="str">
        <x:v>S’applique à toute entrée d’édition revendiquant Invasion.</x:v>
      </x:c>
      <x:c r="N9" s="9" t="str">
        <x:v>Le rapport compte INV une seule fois comme œuvre et conserve séparément ses apparitions éditoriales.</x:v>
      </x:c>
      <x:c r="O9" s="9" t="str">
        <x:v>LIB-STORY-INV</x:v>
      </x:c>
      <x:c r="P9" s="9" t="str">
        <x:v>Règle de production éditoriale originale.</x:v>
      </x:c>
      <x:c r="Q9" s="9" t="str"/>
      <x:c r="R9" s="17" t="str"/>
      <x:c r="S9" s="17" t="str"/>
    </x:row>
    <x:row r="10" ht="54" customHeight="1">
      <x:c r="A10" s="31" t="str">
        <x:v>LIB-DEDUP-HOM</x:v>
      </x:c>
      <x:c r="B10" s="7" t="str">
        <x:v>Homeworlds — règle de déduplication</x:v>
      </x:c>
      <x:c r="C10" s="14" t="str">
        <x:v>Défini</x:v>
      </x:c>
      <x:c r="D10" s="30" t="str">
        <x:v>Extrapolation</x:v>
      </x:c>
      <x:c r="E10" s="30" t="str">
        <x:v>P1</x:v>
      </x:c>
      <x:c r="F10" s="7" t="str">
        <x:v>Les quatre numéros ont quatre protagonistes et plusieurs périodes; aucune campagne simultanée créée par la reliure.</x:v>
      </x:c>
      <x:c r="G10" s="7" t="str">
        <x:v>Repérage #1 Vega, #2 Tali, #3 Garrus, #4 Liara à comparer au sommaire.</x:v>
      </x:c>
      <x:c r="H10" s="7" t="str"/>
      <x:c r="I10" s="7" t="str"/>
      <x:c r="J10" s="7" t="str"/>
      <x:c r="K10" s="7" t="str"/>
      <x:c r="L10" s="7" t="str">
        <x:v>Clé proposée story:HOM; les éditions ajoutent des références de pages distinctes, jamais une deuxième identité narrative.</x:v>
      </x:c>
      <x:c r="M10" s="7" t="str">
        <x:v>S’applique à toute entrée d’édition revendiquant Homeworlds.</x:v>
      </x:c>
      <x:c r="N10" s="7" t="str">
        <x:v>Le rapport compte HOM une seule fois comme œuvre et conserve séparément ses apparitions éditoriales.</x:v>
      </x:c>
      <x:c r="O10" s="7" t="str">
        <x:v>LIB-STORY-HOM</x:v>
      </x:c>
      <x:c r="P10" s="7" t="str">
        <x:v>Règle de production éditoriale originale.</x:v>
      </x:c>
      <x:c r="Q10" s="7" t="str"/>
      <x:c r="R10" s="32" t="str"/>
      <x:c r="S10" s="32" t="str"/>
    </x:row>
    <x:row r="11" ht="54" customHeight="1">
      <x:c r="A11" s="16" t="str">
        <x:v>LIB-DEDUP-INC</x:v>
      </x:c>
      <x:c r="B11" s="9" t="str">
        <x:v>Incursion — règle de déduplication</x:v>
      </x:c>
      <x:c r="C11" s="14" t="str">
        <x:v>Défini</x:v>
      </x:c>
      <x:c r="D11" s="15" t="str">
        <x:v>Extrapolation</x:v>
      </x:c>
      <x:c r="E11" s="15" t="str">
        <x:v>P1</x:v>
      </x:c>
      <x:c r="F11" s="9" t="str">
        <x:v>Une présence en duo numérique avec Inquisition ne crée ni une nouvelle version narrative ni deux copies de la même mission.</x:v>
      </x:c>
      <x:c r="G11" s="9" t="str">
        <x:v>Aria, Collectors et document démographique; aucune visite de toutes les colonies listées.</x:v>
      </x:c>
      <x:c r="H11" s="9" t="str"/>
      <x:c r="I11" s="9" t="str"/>
      <x:c r="J11" s="9" t="str"/>
      <x:c r="K11" s="9" t="str"/>
      <x:c r="L11" s="9" t="str">
        <x:v>Clé proposée story:INC; les éditions ajoutent des références de pages distinctes, jamais une deuxième identité narrative.</x:v>
      </x:c>
      <x:c r="M11" s="9" t="str">
        <x:v>S’applique à toute entrée d’édition revendiquant Incursion.</x:v>
      </x:c>
      <x:c r="N11" s="9" t="str">
        <x:v>Le rapport compte INC une seule fois comme œuvre et conserve séparément ses apparitions éditoriales.</x:v>
      </x:c>
      <x:c r="O11" s="9" t="str">
        <x:v>LIB-STORY-INC</x:v>
      </x:c>
      <x:c r="P11" s="9" t="str">
        <x:v>Règle de production éditoriale originale.</x:v>
      </x:c>
      <x:c r="Q11" s="9" t="str"/>
      <x:c r="R11" s="17" t="str"/>
      <x:c r="S11" s="17" t="str"/>
    </x:row>
    <x:row r="12" ht="54" customHeight="1">
      <x:c r="A12" s="31" t="str">
        <x:v>LIB-DEDUP-INQ</x:v>
      </x:c>
      <x:c r="B12" s="7" t="str">
        <x:v>Inquisition — règle de déduplication</x:v>
      </x:c>
      <x:c r="C12" s="14" t="str">
        <x:v>Défini</x:v>
      </x:c>
      <x:c r="D12" s="30" t="str">
        <x:v>Extrapolation</x:v>
      </x:c>
      <x:c r="E12" s="30" t="str">
        <x:v>P1</x:v>
      </x:c>
      <x:c r="F12" s="7" t="str">
        <x:v>Le récit possède une identité indépendante du duo numérique et du recueil Evolution.</x:v>
      </x:c>
      <x:c r="G12" s="7" t="str">
        <x:v>Bailey; conserver l’attribution des accusations et le doute, sans verdict ajouté.</x:v>
      </x:c>
      <x:c r="H12" s="7" t="str"/>
      <x:c r="I12" s="7" t="str"/>
      <x:c r="J12" s="7" t="str"/>
      <x:c r="K12" s="7" t="str"/>
      <x:c r="L12" s="7" t="str">
        <x:v>Clé proposée story:INQ; les éditions ajoutent des références de pages distinctes, jamais une deuxième identité narrative.</x:v>
      </x:c>
      <x:c r="M12" s="7" t="str">
        <x:v>S’applique à toute entrée d’édition revendiquant Inquisition.</x:v>
      </x:c>
      <x:c r="N12" s="7" t="str">
        <x:v>Le rapport compte INQ une seule fois comme œuvre et conserve séparément ses apparitions éditoriales.</x:v>
      </x:c>
      <x:c r="O12" s="7" t="str">
        <x:v>LIB-STORY-INQ</x:v>
      </x:c>
      <x:c r="P12" s="7" t="str">
        <x:v>Règle de production éditoriale originale.</x:v>
      </x:c>
      <x:c r="Q12" s="7" t="str"/>
      <x:c r="R12" s="32" t="str"/>
      <x:c r="S12" s="32" t="str"/>
    </x:row>
    <x:row r="13" ht="54" customHeight="1">
      <x:c r="A13" s="16" t="str">
        <x:v>LIB-DEDUP-CON</x:v>
      </x:c>
      <x:c r="B13" s="9" t="str">
        <x:v>Conviction — règle de déduplication</x:v>
      </x:c>
      <x:c r="C13" s="14" t="str">
        <x:v>Défini</x:v>
      </x:c>
      <x:c r="D13" s="15" t="str">
        <x:v>Extrapolation</x:v>
      </x:c>
      <x:c r="E13" s="15" t="str">
        <x:v>P1</x:v>
      </x:c>
      <x:c r="F13" s="9" t="str">
        <x:v>L’inclusion éventuelle dans Invasion et dans Library Edition référence la même histoire.</x:v>
      </x:c>
      <x:c r="G13" s="9" t="str">
        <x:v>Vega et Anderson; le contexte Arrival/Paragon Lost n’est pas recopié en nouvelle campagne.</x:v>
      </x:c>
      <x:c r="H13" s="9" t="str"/>
      <x:c r="I13" s="9" t="str"/>
      <x:c r="J13" s="9" t="str"/>
      <x:c r="K13" s="9" t="str"/>
      <x:c r="L13" s="9" t="str">
        <x:v>Clé proposée story:CON; les éditions ajoutent des références de pages distinctes, jamais une deuxième identité narrative.</x:v>
      </x:c>
      <x:c r="M13" s="9" t="str">
        <x:v>S’applique à toute entrée d’édition revendiquant Conviction.</x:v>
      </x:c>
      <x:c r="N13" s="9" t="str">
        <x:v>Le rapport compte CON une seule fois comme œuvre et conserve séparément ses apparitions éditoriales.</x:v>
      </x:c>
      <x:c r="O13" s="9" t="str">
        <x:v>LIB-STORY-CON</x:v>
      </x:c>
      <x:c r="P13" s="9" t="str">
        <x:v>Règle de production éditoriale originale.</x:v>
      </x:c>
      <x:c r="Q13" s="9" t="str"/>
      <x:c r="R13" s="17" t="str"/>
      <x:c r="S13" s="17" t="str"/>
    </x:row>
    <x:row r="14" ht="54" customHeight="1">
      <x:c r="A14" s="31" t="str">
        <x:v>LIB-DEDUP-FOU</x:v>
      </x:c>
      <x:c r="B14" s="7" t="str">
        <x:v>Foundation — règle de déduplication</x:v>
      </x:c>
      <x:c r="C14" s="14" t="str">
        <x:v>Défini</x:v>
      </x:c>
      <x:c r="D14" s="30" t="str">
        <x:v>Extrapolation</x:v>
      </x:c>
      <x:c r="E14" s="30" t="str">
        <x:v>P1</x:v>
      </x:c>
      <x:c r="F14" s="7" t="str">
        <x:v>Les trois recueils #1–4, #5–8, #9–13 et l’intégrale réutilisent les mêmes treize numéros.</x:v>
      </x:c>
      <x:c r="G14" s="7" t="str">
        <x:v>Rasa et dossiers; alias, périodes et distinction clone/original restent gérés dans FOU.</x:v>
      </x:c>
      <x:c r="H14" s="7" t="str"/>
      <x:c r="I14" s="7" t="str"/>
      <x:c r="J14" s="7" t="str"/>
      <x:c r="K14" s="7" t="str"/>
      <x:c r="L14" s="7" t="str">
        <x:v>Clé proposée story:FOU; les éditions ajoutent des références de pages distinctes, jamais une deuxième identité narrative.</x:v>
      </x:c>
      <x:c r="M14" s="7" t="str">
        <x:v>S’applique à toute entrée d’édition revendiquant Foundation.</x:v>
      </x:c>
      <x:c r="N14" s="7" t="str">
        <x:v>Le rapport compte FOU une seule fois comme œuvre et conserve séparément ses apparitions éditoriales.</x:v>
      </x:c>
      <x:c r="O14" s="7" t="str">
        <x:v>LIB-STORY-FOU</x:v>
      </x:c>
      <x:c r="P14" s="7" t="str">
        <x:v>Règle de production éditoriale originale.</x:v>
      </x:c>
      <x:c r="Q14" s="7" t="str"/>
      <x:c r="R14" s="32" t="str"/>
      <x:c r="S14" s="32" t="str"/>
    </x:row>
    <x:row r="15" ht="54" customHeight="1">
      <x:c r="A15" s="16" t="str">
        <x:v>LIB-DEDUP-HWB</x:v>
      </x:c>
      <x:c r="B15" s="9" t="str">
        <x:v>He Who Laughs Best — règle de déduplication</x:v>
      </x:c>
      <x:c r="C15" s="14" t="str">
        <x:v>Défini</x:v>
      </x:c>
      <x:c r="D15" s="15" t="str">
        <x:v>Extrapolation</x:v>
      </x:c>
      <x:c r="E15" s="15" t="str">
        <x:v>P1</x:v>
      </x:c>
      <x:c r="F15" s="9" t="str">
        <x:v>Ne pas importer les autres franchises du fascicule Free Comic Book Day comme contenu Mass Effect.</x:v>
      </x:c>
      <x:c r="G15" s="9" t="str">
        <x:v>Joker et SR-1; aucune réutilisation automatique du SR-2.</x:v>
      </x:c>
      <x:c r="H15" s="9" t="str"/>
      <x:c r="I15" s="9" t="str"/>
      <x:c r="J15" s="9" t="str"/>
      <x:c r="K15" s="9" t="str"/>
      <x:c r="L15" s="9" t="str">
        <x:v>Clé proposée story:HWB; les éditions ajoutent des références de pages distinctes, jamais une deuxième identité narrative.</x:v>
      </x:c>
      <x:c r="M15" s="9" t="str">
        <x:v>S’applique à toute entrée d’édition revendiquant He Who Laughs Best.</x:v>
      </x:c>
      <x:c r="N15" s="9" t="str">
        <x:v>Le rapport compte HWB une seule fois comme œuvre et conserve séparément ses apparitions éditoriales.</x:v>
      </x:c>
      <x:c r="O15" s="9" t="str">
        <x:v>LIB-STORY-HWB</x:v>
      </x:c>
      <x:c r="P15" s="9" t="str">
        <x:v>Règle de production éditoriale originale.</x:v>
      </x:c>
      <x:c r="Q15" s="9" t="str"/>
      <x:c r="R15" s="17" t="str"/>
      <x:c r="S15" s="17" t="str"/>
    </x:row>
    <x:row r="16" ht="54" customHeight="1">
      <x:c r="A16" s="31" t="str">
        <x:v>LIB-DEDUP-BLA</x:v>
      </x:c>
      <x:c r="B16" s="7" t="str">
        <x:v>Blasto: Eternity is Forever — règle de déduplication</x:v>
      </x:c>
      <x:c r="C16" s="14" t="str">
        <x:v>Défini</x:v>
      </x:c>
      <x:c r="D16" s="30" t="str">
        <x:v>Extrapolation</x:v>
      </x:c>
      <x:c r="E16" s="30" t="str">
        <x:v>P1</x:v>
      </x:c>
      <x:c r="F16" s="7" t="str">
        <x:v>Une œuvre publiée peut raconter une fiction interne; son inclusion ne convertit pas le film en événement historique.</x:v>
      </x:c>
      <x:c r="G16" s="7" t="str">
        <x:v>Préserver le badge de film et interdire l’export des effets temporels dans la campagne.</x:v>
      </x:c>
      <x:c r="H16" s="7" t="str"/>
      <x:c r="I16" s="7" t="str"/>
      <x:c r="J16" s="7" t="str"/>
      <x:c r="K16" s="7" t="str"/>
      <x:c r="L16" s="7" t="str">
        <x:v>Clé proposée story:BLA; les éditions ajoutent des références de pages distinctes, jamais une deuxième identité narrative.</x:v>
      </x:c>
      <x:c r="M16" s="7" t="str">
        <x:v>S’applique à toute entrée d’édition revendiquant Blasto: Eternity is Forever.</x:v>
      </x:c>
      <x:c r="N16" s="7" t="str">
        <x:v>Le rapport compte BLA une seule fois comme œuvre et conserve séparément ses apparitions éditoriales.</x:v>
      </x:c>
      <x:c r="O16" s="7" t="str">
        <x:v>LIB-STORY-BLA</x:v>
      </x:c>
      <x:c r="P16" s="7" t="str">
        <x:v>Règle de production éditoriale originale.</x:v>
      </x:c>
      <x:c r="Q16" s="7" t="str"/>
      <x:c r="R16" s="32" t="str"/>
      <x:c r="S16" s="32" t="str"/>
    </x:row>
    <x:row r="17" ht="54" customHeight="1">
      <x:c r="A17" s="16" t="str">
        <x:v>LIB-DOMAIN-CONTINUITY</x:v>
      </x:c>
      <x:c r="B17" s="9" t="str">
        <x:v>Continuité : aucune aventure additionnelle</x:v>
      </x:c>
      <x:c r="C17" s="14" t="str">
        <x:v>Défini</x:v>
      </x:c>
      <x:c r="D17" s="15" t="str">
        <x:v>Extrapolation</x:v>
      </x:c>
      <x:c r="E17" s="15" t="str">
        <x:v>P1</x:v>
      </x:c>
      <x:c r="F17" s="9" t="str">
        <x:v>Library Edition est une compilation éditoriale.</x:v>
      </x:c>
      <x:c r="G17" s="9" t="str">
        <x:v>Le canon appartient aux récits inclus; la présence dans un volume ne résout pas les contradictions ou les degrés de fiction.</x:v>
      </x:c>
      <x:c r="H17" s="9" t="str"/>
      <x:c r="I17" s="9" t="str"/>
      <x:c r="J17" s="9" t="str"/>
      <x:c r="K17" s="9" t="str"/>
      <x:c r="L17" s="9" t="str">
        <x:v>Contrat d’indexation LIB/continuity; document de production, sans création d’asset ou de niveau.</x:v>
      </x:c>
      <x:c r="M17" s="9" t="str">
        <x:v>S’applique à la collection éditoriale et à ses éventuelles interfaces de consultation.</x:v>
      </x:c>
      <x:c r="N17" s="9" t="str">
        <x:v>La frise ne contient aucun événement intitulé aventure Library Edition.</x:v>
      </x:c>
      <x:c r="O17" s="9" t="str">
        <x:v>LIB-REF-COLLECTION</x:v>
      </x:c>
      <x:c r="P17" s="9" t="str">
        <x:v>Conception éditoriale originale.</x:v>
      </x:c>
      <x:c r="Q17" s="9" t="str"/>
      <x:c r="R17" s="17" t="str"/>
      <x:c r="S17" s="17" t="str"/>
    </x:row>
    <x:row r="18" ht="54" customHeight="1">
      <x:c r="A18" s="31" t="str">
        <x:v>LIB-EDITION-OMNI1</x:v>
      </x:c>
      <x:c r="B18" s="7" t="str">
        <x:v>Omnibus 1 : édition distincte</x:v>
      </x:c>
      <x:c r="C18" s="14" t="str">
        <x:v>Défini</x:v>
      </x:c>
      <x:c r="D18" s="30" t="str">
        <x:v>Établi</x:v>
      </x:c>
      <x:c r="E18" s="30" t="str">
        <x:v>P1</x:v>
      </x:c>
      <x:c r="F18" s="7" t="str">
        <x:v>La notice officielle Omnibus 1 rassemble les quatre premiers arcs.</x:v>
      </x:c>
      <x:c r="G18" s="7" t="str">
        <x:v>Utiliser pour corroborer les titres, sans copier sa pagination ni son format dans Library Edition.</x:v>
      </x:c>
      <x:c r="H18" s="7" t="str"/>
      <x:c r="I18" s="7" t="str"/>
      <x:c r="J18" s="7" t="str"/>
      <x:c r="K18" s="7" t="str"/>
      <x:c r="L18" s="7" t="str">
        <x:v>Livrable proposé : spécification LIB/continuity/edition-omni1; brancher au registre de contenu de l'œuvre seulement après production.</x:v>
      </x:c>
      <x:c r="M18" s="7" t="str">
        <x:v>Correspondance éditoriale seulement; aucune progression narrative ni récompense de campagne déclenchée.</x:v>
      </x:c>
      <x:c r="N18" s="7" t="str">
        <x:v>Le registre distingue hardcover Library et Omnibus; les pages ne se substituent pas silencieusement.</x:v>
      </x:c>
      <x:c r="O18" s="7" t="str">
        <x:v>LIB-REF-COLLECTION</x:v>
      </x:c>
      <x:c r="P18" s="7" t="str">
        <x:v>Notice Dark Horse / Penguin Random House Omnibus 1</x:v>
      </x:c>
      <x:c r="Q18" s="7" t="str">
        <x:v>LIB-S-OMNI1</x:v>
      </x:c>
      <x:c r="R18" s="32" t="str">
        <x:v>https://www.penguinrandomhouse.com/books/552808/mass-effect-omnibus-volume-1-by-various/</x:v>
      </x:c>
      <x:c r="S18" s="32" t="str"/>
    </x:row>
    <x:row r="19" ht="54" customHeight="1">
      <x:c r="A19" s="16" t="str">
        <x:v>LIB-EDITION-OMNI2</x:v>
      </x:c>
      <x:c r="B19" s="9" t="str">
        <x:v>Omnibus 2 : récits annoncés</x:v>
      </x:c>
      <x:c r="C19" s="14" t="str">
        <x:v>Défini</x:v>
      </x:c>
      <x:c r="D19" s="15" t="str">
        <x:v>Établi</x:v>
      </x:c>
      <x:c r="E19" s="15" t="str">
        <x:v>P1</x:v>
      </x:c>
      <x:c r="F19" s="9" t="str">
        <x:v>La notice officielle Omnibus 2 réunit Foundation #1–13, Blasto et le récit FCBD.</x:v>
      </x:c>
      <x:c r="G19" s="9" t="str">
        <x:v>Corroboration des œuvres; vérifier séparément les bonus et la mise en page de chaque édition.</x:v>
      </x:c>
      <x:c r="H19" s="9" t="str"/>
      <x:c r="I19" s="9" t="str"/>
      <x:c r="J19" s="9" t="str"/>
      <x:c r="K19" s="9" t="str"/>
      <x:c r="L19" s="9" t="str">
        <x:v>Livrable proposé : spécification LIB/continuity/edition-omni2; brancher au registre de contenu de l'œuvre seulement après production.</x:v>
      </x:c>
      <x:c r="M19" s="9" t="str">
        <x:v>Correspondance éditoriale seulement; aucune progression narrative ni récompense de campagne déclenchée.</x:v>
      </x:c>
      <x:c r="N19" s="9" t="str">
        <x:v>Les trois œuvres sont reconnues sans prétendre que tous les bonus sont identiques entre éditions.</x:v>
      </x:c>
      <x:c r="O19" s="9" t="str">
        <x:v>LIB-REF-COLLECTION</x:v>
      </x:c>
      <x:c r="P19" s="9" t="str">
        <x:v>Notice Dark Horse / Penguin Random House Omnibus 2</x:v>
      </x:c>
      <x:c r="Q19" s="9" t="str">
        <x:v>LIB-S-OMNI2</x:v>
      </x:c>
      <x:c r="R19" s="17" t="str">
        <x:v>https://www.penguinrandomhouse.com/books/556082/mass-effect-omnibus-volume-2-by-jeremy-barlow/</x:v>
      </x:c>
      <x:c r="S19" s="17" t="str"/>
    </x:row>
    <x:row r="20" ht="54" customHeight="1">
      <x:c r="A20" s="31" t="str">
        <x:v>LIB-EDITION-COMPLETE</x:v>
      </x:c>
      <x:c r="B20" s="7" t="str">
        <x:v>The Complete Comics : collection séparée</x:v>
      </x:c>
      <x:c r="C20" s="14" t="str">
        <x:v>Défini</x:v>
      </x:c>
      <x:c r="D20" s="30" t="str">
        <x:v>Établi</x:v>
      </x:c>
      <x:c r="E20" s="30" t="str">
        <x:v>P1</x:v>
      </x:c>
      <x:c r="F20" s="7" t="str">
        <x:v>Dark Horse Digital présente The Complete Comics comme une autre compilation incluant Discovery.</x:v>
      </x:c>
      <x:c r="G20" s="7" t="str">
        <x:v>Ne pas confondre ce volume ultérieur avec Library Edition 1 ou 2.</x:v>
      </x:c>
      <x:c r="H20" s="7" t="str"/>
      <x:c r="I20" s="7" t="str"/>
      <x:c r="J20" s="7" t="str"/>
      <x:c r="K20" s="7" t="str"/>
      <x:c r="L20" s="7" t="str">
        <x:v>Livrable proposé : spécification LIB/continuity/edition-complete; brancher au registre de contenu de l'œuvre seulement après production.</x:v>
      </x:c>
      <x:c r="M20" s="7" t="str">
        <x:v>Correspondance éditoriale seulement; aucune progression narrative ni récompense de campagne déclenchée.</x:v>
      </x:c>
      <x:c r="N20" s="7" t="str">
        <x:v>Le filtre Library n’importe pas automatiquement Discovery parce qu’il apparaît dans The Complete Comics.</x:v>
      </x:c>
      <x:c r="O20" s="7" t="str">
        <x:v>LIB-REF-COLLECTION</x:v>
      </x:c>
      <x:c r="P20" s="7" t="str">
        <x:v>Notice officielle The Complete Comics</x:v>
      </x:c>
      <x:c r="Q20" s="7" t="str">
        <x:v>LIB-S-COMPLETE</x:v>
      </x:c>
      <x:c r="R20" s="32" t="str">
        <x:v>https://digital.darkhorse.com/books/7bcdbde713b746338287bb0d74350bac/mass-effect-the-complete-comics</x:v>
      </x:c>
      <x:c r="S20" s="32" t="str"/>
    </x:row>
    <x:row r="21" ht="68" customHeight="1">
      <x:c r="A21" s="16" t="str">
        <x:v>LIB-CNT-PLACE</x:v>
      </x:c>
      <x:c r="B21" s="9" t="str">
        <x:v>Position dans l’univers</x:v>
      </x:c>
      <x:c r="C21" s="14" t="str">
        <x:v>Défini</x:v>
      </x:c>
      <x:c r="D21" s="15" t="str">
        <x:v>Extrapolation</x:v>
      </x:c>
      <x:c r="E21" s="15" t="str">
        <x:v>P1</x:v>
      </x:c>
      <x:c r="F21" s="9" t="str">
        <x:v>La collection ne crée aucun événement chronologique supplémentaire. Les contradictions, périodes et niveaux de fiction restent ceux des récits propriétaires.</x:v>
      </x:c>
      <x:c r="G21" s="9" t="str">
        <x:v>Les dix récits indexés gardent leurs identités; les références d’édition ajoutent uniquement volume, format, pages et bonus vérifiés.</x:v>
      </x:c>
      <x:c r="H21" s="9" t="str"/>
      <x:c r="I21" s="9" t="str"/>
      <x:c r="J21" s="9" t="str"/>
      <x:c r="K21" s="9" t="str"/>
      <x:c r="L21" s="9" t="str">
        <x:v>Contrat de production LIB/CNT-PLACE; à appliquer au futur contenu de l'œuvre.</x:v>
      </x:c>
      <x:c r="M21" s="9" t="str">
        <x:v>Ne jamais transformer une compilation ou une galerie en nouvelle aventure canon. Aucun objet, pouvoir, personnage ou choix n’est débloqué dans la campagne par la seule présence d’un récit dans une édition.</x:v>
      </x:c>
      <x:c r="N21" s="9" t="str">
        <x:v>La frise indique les incertitudes et les liens avec les autres œuvres sans attribuer une date non sourcée.</x:v>
      </x:c>
      <x:c r="O21" s="9" t="str">
        <x:v>LIB-REF-COLLECTION</x:v>
      </x:c>
      <x:c r="P21" s="9" t="str">
        <x:v>Règle originale de production; les ancrages de continuité sont documentés dans les fiches REF.</x:v>
      </x:c>
      <x:c r="Q21" s="9" t="str"/>
      <x:c r="R21" s="17" t="str"/>
      <x:c r="S21" s="17" t="str"/>
    </x:row>
    <x:row r="22" ht="68" customHeight="1">
      <x:c r="A22" s="31" t="str">
        <x:v>LIB-CNT-NO-CUT</x:v>
      </x:c>
      <x:c r="B22" s="7" t="str">
        <x:v>Contenus non attestés</x:v>
      </x:c>
      <x:c r="C22" s="14" t="str">
        <x:v>Défini</x:v>
      </x:c>
      <x:c r="D22" s="30" t="str">
        <x:v>Extrapolation</x:v>
      </x:c>
      <x:c r="E22" s="30" t="str">
        <x:v>P1</x:v>
      </x:c>
      <x:c r="F22" s="7" t="str">
        <x:v>Aucune rumeur de scène coupée n’est intégrée à Library Edition.</x:v>
      </x:c>
      <x:c r="G22" s="7" t="str">
        <x:v>Un contenu absent des notices consultées reste non documenté; une illustration préparatoire ne prouve pas une scène canon.</x:v>
      </x:c>
      <x:c r="H22" s="7" t="str"/>
      <x:c r="I22" s="7" t="str"/>
      <x:c r="J22" s="7" t="str"/>
      <x:c r="K22" s="7" t="str"/>
      <x:c r="L22" s="7" t="str">
        <x:v>Contrat de production LIB/CNT-NO-CUT; à appliquer au futur contenu de l'œuvre.</x:v>
      </x:c>
      <x:c r="M22" s="7" t="str">
        <x:v>Ne jamais transformer une compilation ou une galerie en nouvelle aventure canon. Aucun objet, pouvoir, personnage ou choix n’est débloqué dans la campagne par la seule présence d’un récit dans une édition.</x:v>
      </x:c>
      <x:c r="N22" s="7" t="str">
        <x:v>Une future fiche Coupé attesté ou Concept abandonné devra citer une preuve primaire spécifique.</x:v>
      </x:c>
      <x:c r="O22" s="7" t="str">
        <x:v>LIB-REF-COLLECTION</x:v>
      </x:c>
      <x:c r="P22" s="7" t="str">
        <x:v>Règle originale de production; les ancrages de continuité sont documentés dans les fiches REF.</x:v>
      </x:c>
      <x:c r="Q22" s="7" t="str"/>
      <x:c r="R22" s="32" t="str"/>
      <x:c r="S22" s="32" t="str"/>
    </x:row>
  </x:sheetData>
  <x:conditionalFormatting sqref="D7:D22">
    <x:cfRule type="cellIs" dxfId="100" priority="1" operator="equal">
      <x:formula>"À vérifier"</x:formula>
    </x:cfRule>
    <x:cfRule type="cellIs" dxfId="101" priority="2" operator="equal">
      <x:formula>"Extrapolation"</x:formula>
    </x:cfRule>
  </x:conditionalFormatting>
  <x:conditionalFormatting sqref="C7:C22">
    <x:cfRule type="cellIs" dxfId="102" priority="3" operator="equal">
      <x:formula>"Validé"</x:formula>
    </x:cfRule>
  </x:conditionalFormatting>
  <x:conditionalFormatting sqref="E7:E22">
    <x:cfRule type="cellIs" dxfId="103" priority="4" operator="equal">
      <x:formula>"P0"</x:formula>
    </x:cfRule>
  </x:conditionalFormatting>
  <x:dataValidations count="3">
    <x:dataValidation type="list" sqref="C7:C22">
      <x:formula1>"Défini,Prototype,Intégré,Validé"</x:formula1>
    </x:dataValidation>
    <x:dataValidation type="list" sqref="D7:D22">
      <x:formula1>"Établi,À vérifier,Extrapolation,Coupé attesté,Concept abandonné,Allégation écartée"</x:formula1>
    </x:dataValidation>
    <x:dataValidation type="list" sqref="E7:E22">
      <x:formula1>"P0,P1,P2"</x:formula1>
    </x:dataValidation>
  </x:dataValidations>
  <x:pageMargins left="0.7" right="0.7" top="0.75" bottom="0.75" header="0.3" footer="0.3"/>
  <x:tableParts count="1">
    <x:tablePart xmlns:r="http://schemas.openxmlformats.org/officeDocument/2006/relationships" r:id="R27ddeaa1b11b4756"/>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Library Edition</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26" t="str">
        <x:v>Champ</x:v>
      </x:c>
      <x:c r="B6" s="28" t="str">
        <x:v>Définition</x:v>
      </x:c>
      <x:c r="C6" s="2"/>
      <x:c r="D6" s="2"/>
      <x:c r="E6" s="2"/>
      <x:c r="F6" s="2"/>
    </x:row>
    <x:row r="7" ht="30" customHeight="1">
      <x:c r="A7" s="7" t="str">
        <x:v>Œuvre</x:v>
      </x:c>
      <x:c r="B7" s="7" t="str">
        <x:v>Mass Effect Library Edition</x:v>
      </x:c>
      <x:c r="C7" s="2"/>
      <x:c r="D7" s="2"/>
      <x:c r="E7" s="2"/>
      <x:c r="F7" s="2"/>
    </x:row>
    <x:row r="8" ht="30" customHeight="1">
      <x:c r="A8" s="7" t="str">
        <x:v>Support</x:v>
      </x:c>
      <x:c r="B8" s="7" t="str">
        <x:v>Collection éditoriale / anthologie</x:v>
      </x:c>
      <x:c r="C8" s="2"/>
      <x:c r="D8" s="2"/>
      <x:c r="E8" s="2"/>
      <x:c r="F8" s="2"/>
    </x:row>
    <x:row r="9" ht="68" customHeight="1">
      <x:c r="A9" s="7" t="str">
        <x:v>Périmètre</x:v>
      </x:c>
      <x:c r="B9" s="7" t="str">
        <x:v>Volumes Library Edition 1 et 2 : index des récits, numéros, bonus annoncés, éditions apparentées et règles de déduplication. Aucune aventure, campagne ou statistique nouvelle propre au recueil.</x:v>
      </x:c>
      <x:c r="C9" s="2"/>
      <x:c r="D9" s="2"/>
      <x:c r="E9" s="2"/>
      <x:c r="F9" s="2"/>
    </x:row>
    <x:row r="10" ht="68" customHeight="1">
      <x:c r="A10" s="7" t="str">
        <x:v>Projet</x:v>
      </x:c>
      <x:c r="B10" s="7" t="str">
        <x:v>Catalogue éditorial et de production de l’interface de consultation, avec un renvoi par œuvre vers son catalogue propriétaire. Les volumes, les rééditions et les bonus sont distingués de la continuité narrative.</x:v>
      </x:c>
      <x:c r="C10" s="2"/>
      <x:c r="D10" s="2"/>
      <x:c r="E10" s="2"/>
      <x:c r="F10" s="2"/>
    </x:row>
    <x:row r="11" ht="194" customHeight="1">
      <x:c r="A11" s="7" t="str">
        <x:v>Références et limites</x:v>
      </x:c>
      <x:c r="B11" s="7" t="str">
        <x:v>Compilation de récits déjà publiés. Les sommaires détaillés du wiki restent À vérifier sur les exemplaires; la notice officielle 2015 confirme notamment Foundation et les annotations du volume 2. Les bonus sont documentés sans reproduction intégrale. Les missions, options, ATB, coûts, compositions 2D/3D, effets et fichiers proposés sont des extrapolations; aucun chiffre de réglage n’est présenté comme canon. « Établi » qualifie uniquement le fait bref de description, pas sa proposition d’adaptation. Les sources wiki consultées via l’index restent À vérifier. Les 12 pages Fandom fournies ont été tentées en accès direct et ont échoué; les notices officielles et notes d’auteur servent de remplacement lorsque disponibles.</x:v>
      </x:c>
      <x:c r="C11" s="2"/>
      <x:c r="D11" s="2"/>
      <x:c r="E11" s="2"/>
      <x:c r="F11" s="2"/>
    </x:row>
    <x:row r="12" ht="40" customHeight="1">
      <x:c r="A12" s="7" t="str">
        <x:v>Date de référence</x:v>
      </x:c>
      <x:c r="B12" s="44"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26" t="str">
        <x:v>Source</x:v>
      </x:c>
      <x:c r="B26" s="27" t="str">
        <x:v>Titre</x:v>
      </x:c>
      <x:c r="C26" s="27" t="str">
        <x:v>Type</x:v>
      </x:c>
      <x:c r="D26" s="27" t="str">
        <x:v>URL</x:v>
      </x:c>
      <x:c r="E26" s="27" t="str">
        <x:v>Périmètre</x:v>
      </x:c>
      <x:c r="F26" s="28" t="str">
        <x:v>Accès et limites</x:v>
      </x:c>
    </x:row>
    <x:row r="27" ht="54" customHeight="1">
      <x:c r="A27" s="6" t="str">
        <x:v>LIB-S-WIKI</x:v>
      </x:c>
      <x:c r="B27" s="6" t="str">
        <x:v>Mass Effect Library Edition</x:v>
      </x:c>
      <x:c r="C27" s="6" t="str">
        <x:v>wiki — extrait indexé, à contrôler</x:v>
      </x:c>
      <x:c r="D27" s="6" t="str">
        <x:v>https://masseffect.fandom.com/wiki/Mass_Effect_Library_Edition</x:v>
      </x:c>
      <x:c r="E27" s="6" t="str">
        <x:v>Composition des deux volumes; sommaires à contrôler.</x:v>
      </x:c>
      <x:c r="F27" s="6" t="str">
        <x:v>Contenu lu dans le résultat de recherche indexé; ouverture directe Fandom restreinte ou en erreur. Comparaison avec le comic autorisé requise.</x:v>
      </x:c>
    </x:row>
    <x:row r="28" ht="42" customHeight="1">
      <x:c r="A28" s="6" t="str">
        <x:v>LIB-S-OMNI1</x:v>
      </x:c>
      <x:c r="B28" s="6" t="str">
        <x:v>Dark Horse — Omnibus Volume 1</x:v>
      </x:c>
      <x:c r="C28" s="6" t="str">
        <x:v>source officielle — notice Dark Horse via Penguin Random House</x:v>
      </x:c>
      <x:c r="D28" s="6" t="str">
        <x:v>https://www.penguinrandomhouse.com/books/552808/mass-effect-omnibus-volume-1-by-various/</x:v>
      </x:c>
      <x:c r="E28" s="6" t="str">
        <x:v>Quatre premiers arcs; édition distincte du hardcover.</x:v>
      </x:c>
      <x:c r="F28" s="6" t="str">
        <x:v>Consulté le 22 octobre 2026; les faits sont paraphrasés brièvement.</x:v>
      </x:c>
    </x:row>
    <x:row r="29" ht="42" customHeight="1">
      <x:c r="A29" s="6" t="str">
        <x:v>LIB-S-OMNI2</x:v>
      </x:c>
      <x:c r="B29" s="6" t="str">
        <x:v>Dark Horse — Mass Effect Omnibus Volume 2</x:v>
      </x:c>
      <x:c r="C29" s="6" t="str">
        <x:v>source officielle — notice Dark Horse via Penguin Random House</x:v>
      </x:c>
      <x:c r="D29" s="6" t="str">
        <x:v>https://www.penguinrandomhouse.com/books/556082/mass-effect-omnibus-volume-2-by-jeremy-barlow/</x:v>
      </x:c>
      <x:c r="E29" s="6" t="str">
        <x:v>Foundation #1–13, Blasto et He Who Laughs Best rassemblés.</x:v>
      </x:c>
      <x:c r="F29" s="6" t="str">
        <x:v>Consulté le 22 octobre 2026; les faits sont paraphrasés brièvement.</x:v>
      </x:c>
    </x:row>
    <x:row r="30" ht="54" customHeight="1">
      <x:c r="A30" s="6" t="str">
        <x:v>LIB-S-CAT2015</x:v>
      </x:c>
      <x:c r="B30" s="6" t="str">
        <x:v>Random House — catalogue Dark Horse, printemps 2015</x:v>
      </x:c>
      <x:c r="C30" s="6" t="str">
        <x:v>source officielle — catalogue distributeur</x:v>
      </x:c>
      <x:c r="D30" s="6" t="str">
        <x:v>https://edelweiss-assets.abovethetreeline.com/RH/uploads/RHBlueClientSpring15.pdf</x:v>
      </x:c>
      <x:c r="E30" s="6" t="str">
        <x:v>Page PDF 103 (index 102) : Library Edition Volume 2, ISBN 9781616556365, annotations et Foundation.</x:v>
      </x:c>
      <x:c r="F30" s="6" t="str">
        <x:v>Consulté le 22 octobre 2026; les faits sont paraphrasés brièvement.</x:v>
      </x:c>
    </x:row>
    <x:row r="31" ht="42" customHeight="1">
      <x:c r="A31" s="6" t="str">
        <x:v>LIB-S-RETAIL</x:v>
      </x:c>
      <x:c r="B31" s="6" t="str">
        <x:v>Library Edition — catalogue libraire</x:v>
      </x:c>
      <x:c r="C31" s="6" t="str">
        <x:v>presse — catalogue bibliographique secondaire</x:v>
      </x:c>
      <x:c r="D31" s="6" t="str">
        <x:v>https://www.mycomicshop.com/search?TID=24125397</x:v>
      </x:c>
      <x:c r="E31" s="6" t="str">
        <x:v>Composition, galerie, croquis et formats annoncés; à comparer aux exemplaires.</x:v>
      </x:c>
      <x:c r="F31" s="6" t="str">
        <x:v>Consulté le 22 octobre 2026; les faits sont paraphrasés brièvement.</x:v>
      </x:c>
    </x:row>
    <x:row r="32" ht="54" customHeight="1">
      <x:c r="A32" s="6" t="str">
        <x:v>LIB-S-COMPLETE</x:v>
      </x:c>
      <x:c r="B32" s="6" t="str">
        <x:v>Dark Horse Digital — The Complete Comics</x:v>
      </x:c>
      <x:c r="C32" s="6" t="str">
        <x:v>source officielle — éditeur</x:v>
      </x:c>
      <x:c r="D32" s="6" t="str">
        <x:v>https://digital.darkhorse.com/books/7bcdbde713b746338287bb0d74350bac/mass-effect-the-complete-comics</x:v>
      </x:c>
      <x:c r="E32" s="6" t="str">
        <x:v>Prémisses, personnages centraux et compilation; ne remplace pas les numéros individuels.</x:v>
      </x:c>
      <x:c r="F32" s="6" t="str">
        <x:v>Consulté le 22 octobre 2026; les faits sont paraphrasés brièvement.</x:v>
      </x:c>
    </x:row>
    <x:row r="33" ht="22" customHeight="1">
      <x:c r="A33" s="2"/>
      <x:c r="B33" s="2"/>
      <x:c r="C33" s="2"/>
      <x:c r="D33" s="2"/>
      <x:c r="E33" s="2"/>
      <x:c r="F33" s="2"/>
    </x:row>
    <x:row r="34" ht="22" customHeight="1">
      <x:c r="A34" s="2"/>
      <x:c r="B34" s="2"/>
      <x:c r="C34" s="2"/>
      <x:c r="D34" s="2"/>
      <x:c r="E34" s="2"/>
      <x:c r="F34" s="2"/>
    </x:row>
    <x:row r="35" ht="22" customHeight="1">
      <x:c r="A35" s="2"/>
      <x:c r="B35" s="2"/>
      <x:c r="C35" s="2"/>
      <x:c r="D35" s="2"/>
      <x:c r="E35" s="2"/>
      <x:c r="F35" s="2"/>
    </x:row>
    <x:row r="36" ht="34" customHeight="1">
      <x:c r="A36" s="26" t="str">
        <x:v>Domaine</x:v>
      </x:c>
      <x:c r="B36" s="27" t="str">
        <x:v>Couverture actuelle</x:v>
      </x:c>
      <x:c r="C36" s="28" t="str">
        <x:v>Travail restant</x:v>
      </x:c>
      <x:c r="D36" s="2"/>
      <x:c r="E36" s="2"/>
      <x:c r="F36" s="2"/>
    </x:row>
    <x:row r="37" ht="68" customHeight="1">
      <x:c r="A37" s="6" t="str">
        <x:v>characters</x:v>
      </x:c>
      <x:c r="B37" s="6" t="str">
        <x:v>1 fiche(s) : Personnages : index des identités</x:v>
      </x:c>
      <x:c r="C37" s="6" t="str">
        <x:v>Contrôler les éditions et les renvois; aucune production de récit supplémentaire n’est attribuée à la collection. Les interfaces proposées restent à réaliser.</x:v>
      </x:c>
      <x:c r="D37" s="2"/>
      <x:c r="E37" s="2"/>
      <x:c r="F37" s="2"/>
    </x:row>
    <x:row r="38" ht="68" customHeight="1">
      <x:c r="A38" s="6" t="str">
        <x:v>npcs</x:v>
      </x:c>
      <x:c r="B38" s="6" t="str">
        <x:v>1 fiche(s) : PNJ : rôle selon l’œuvre</x:v>
      </x:c>
      <x:c r="C38" s="6" t="str">
        <x:v>Contrôler les éditions et les renvois; aucune production de récit supplémentaire n’est attribuée à la collection. Les interfaces proposées restent à réaliser.</x:v>
      </x:c>
      <x:c r="D38" s="2"/>
      <x:c r="E38" s="2"/>
      <x:c r="F38" s="2"/>
    </x:row>
    <x:row r="39" ht="68" customHeight="1">
      <x:c r="A39" s="6" t="str">
        <x:v>lore</x:v>
      </x:c>
      <x:c r="B39" s="6" t="str">
        <x:v>8 fiche(s) : Deux volumes de compilation; Volume 2 dans le catalogue officiel; Lore : sommaire sans résumé substitutif; Annotations des créateurs</x:v>
      </x:c>
      <x:c r="C39" s="6" t="str">
        <x:v>Contrôler les éditions et les renvois; aucune production de récit supplémentaire n’est attribuée à la collection. Les interfaces proposées restent à réaliser.</x:v>
      </x:c>
      <x:c r="D39" s="2"/>
      <x:c r="E39" s="2"/>
      <x:c r="F39" s="2"/>
    </x:row>
    <x:row r="40" ht="68" customHeight="1">
      <x:c r="A40" s="6" t="str">
        <x:v>worlds</x:v>
      </x:c>
      <x:c r="B40" s="6" t="str">
        <x:v>1 fiche(s) : Mondes : index géographique</x:v>
      </x:c>
      <x:c r="C40" s="6" t="str">
        <x:v>Contrôler les éditions et les renvois; aucune production de récit supplémentaire n’est attribuée à la collection. Les interfaces proposées restent à réaliser.</x:v>
      </x:c>
      <x:c r="D40" s="2"/>
      <x:c r="E40" s="2"/>
      <x:c r="F40" s="2"/>
    </x:row>
    <x:row r="41" ht="68" customHeight="1">
      <x:c r="A41" s="6" t="str">
        <x:v>zones</x:v>
      </x:c>
      <x:c r="B41" s="6" t="str">
        <x:v>1 fiche(s) : Zones : aucune carte propre au recueil</x:v>
      </x:c>
      <x:c r="C41" s="6" t="str">
        <x:v>Contrôler les éditions et les renvois; aucune production de récit supplémentaire n’est attribuée à la collection. Les interfaces proposées restent à réaliser.</x:v>
      </x:c>
      <x:c r="D41" s="2"/>
      <x:c r="E41" s="2"/>
      <x:c r="F41" s="2"/>
    </x:row>
    <x:row r="42" ht="68" customHeight="1">
      <x:c r="A42" s="6" t="str">
        <x:v>links</x:v>
      </x:c>
      <x:c r="B42" s="6" t="str">
        <x:v>12 fiche(s) : Volume 1 — Redemption; Volume 1 — Evolution; Volume 1 — Invasion; Volume 1 — Homeworlds</x:v>
      </x:c>
      <x:c r="C42" s="6" t="str">
        <x:v>Contrôler les éditions et les renvois; aucune production de récit supplémentaire n’est attribuée à la collection. Les interfaces proposées restent à réaliser.</x:v>
      </x:c>
      <x:c r="D42" s="2"/>
      <x:c r="E42" s="2"/>
      <x:c r="F42" s="2"/>
    </x:row>
    <x:row r="43" ht="68" customHeight="1">
      <x:c r="A43" s="6" t="str">
        <x:v>scenery</x:v>
      </x:c>
      <x:c r="B43" s="6" t="str">
        <x:v>1 fiche(s) : Décors : propriété et variantes</x:v>
      </x:c>
      <x:c r="C43" s="6" t="str">
        <x:v>Contrôler les éditions et les renvois; aucune production de récit supplémentaire n’est attribuée à la collection. Les interfaces proposées restent à réaliser.</x:v>
      </x:c>
      <x:c r="D43" s="2"/>
      <x:c r="E43" s="2"/>
      <x:c r="F43" s="2"/>
    </x:row>
    <x:row r="44" ht="68" customHeight="1">
      <x:c r="A44" s="6" t="str">
        <x:v>props</x:v>
      </x:c>
      <x:c r="B44" s="6" t="str">
        <x:v>1 fiche(s) : Objets : repères d’édition</x:v>
      </x:c>
      <x:c r="C44" s="6" t="str">
        <x:v>Contrôler les éditions et les renvois; aucune production de récit supplémentaire n’est attribuée à la collection. Les interfaces proposées restent à réaliser.</x:v>
      </x:c>
      <x:c r="D44" s="2"/>
      <x:c r="E44" s="2"/>
      <x:c r="F44" s="2"/>
    </x:row>
    <x:row r="45" ht="68" customHeight="1">
      <x:c r="A45" s="6" t="str">
        <x:v>enemies</x:v>
      </x:c>
      <x:c r="B45" s="6" t="str">
        <x:v>1 fiche(s) : Ennemis : index de familles</x:v>
      </x:c>
      <x:c r="C45" s="6" t="str">
        <x:v>Contrôler les éditions et les renvois; aucune production de récit supplémentaire n’est attribuée à la collection. Les interfaces proposées restent à réaliser.</x:v>
      </x:c>
      <x:c r="D45" s="2"/>
      <x:c r="E45" s="2"/>
      <x:c r="F45" s="2"/>
    </x:row>
    <x:row r="46" ht="68" customHeight="1">
      <x:c r="A46" s="6" t="str">
        <x:v>main_quests</x:v>
      </x:c>
      <x:c r="B46" s="6" t="str">
        <x:v>1 fiche(s) : Parcours principal : sélection de récit</x:v>
      </x:c>
      <x:c r="C46" s="6" t="str">
        <x:v>Contrôler les éditions et les renvois; aucune production de récit supplémentaire n’est attribuée à la collection. Les interfaces proposées restent à réaliser.</x:v>
      </x:c>
      <x:c r="D46" s="2"/>
      <x:c r="E46" s="2"/>
      <x:c r="F46" s="2"/>
    </x:row>
    <x:row r="47" ht="68" customHeight="1">
      <x:c r="A47" s="6" t="str">
        <x:v>side_quests</x:v>
      </x:c>
      <x:c r="B47" s="6" t="str">
        <x:v>1 fiche(s) : Contenu annexe : consultation des bonus</x:v>
      </x:c>
      <x:c r="C47" s="6" t="str">
        <x:v>Contrôler les éditions et les renvois; aucune production de récit supplémentaire n’est attribuée à la collection. Les interfaces proposées restent à réaliser.</x:v>
      </x:c>
      <x:c r="D47" s="2"/>
      <x:c r="E47" s="2"/>
      <x:c r="F47" s="2"/>
    </x:row>
    <x:row r="48" ht="68" customHeight="1">
      <x:c r="A48" s="6" t="str">
        <x:v>choices</x:v>
      </x:c>
      <x:c r="B48" s="6" t="str">
        <x:v>1 fiche(s) : Choix : ordre de lecture</x:v>
      </x:c>
      <x:c r="C48" s="6" t="str">
        <x:v>Contrôler les éditions et les renvois; aucune production de récit supplémentaire n’est attribuée à la collection. Les interfaces proposées restent à réaliser.</x:v>
      </x:c>
      <x:c r="D48" s="2"/>
      <x:c r="E48" s="2"/>
      <x:c r="F48" s="2"/>
    </x:row>
    <x:row r="49" ht="68" customHeight="1">
      <x:c r="A49" s="6" t="str">
        <x:v>dialogues</x:v>
      </x:c>
      <x:c r="B49" s="6" t="str">
        <x:v>1 fiche(s) : Dialogues : annotations attribuées</x:v>
      </x:c>
      <x:c r="C49" s="6" t="str">
        <x:v>Contrôler les éditions et les renvois; aucune production de récit supplémentaire n’est attribuée à la collection. Les interfaces proposées restent à réaliser.</x:v>
      </x:c>
      <x:c r="D49" s="2"/>
      <x:c r="E49" s="2"/>
      <x:c r="F49" s="2"/>
    </x:row>
    <x:row r="50" ht="68" customHeight="1">
      <x:c r="A50" s="6" t="str">
        <x:v>cinematics</x:v>
      </x:c>
      <x:c r="B50" s="6" t="str">
        <x:v>1 fiche(s) : Cinématiques : navigation éditoriale</x:v>
      </x:c>
      <x:c r="C50" s="6" t="str">
        <x:v>Contrôler les éditions et les renvois; aucune production de récit supplémentaire n’est attribuée à la collection. Les interfaces proposées restent à réaliser.</x:v>
      </x:c>
      <x:c r="D50" s="2"/>
      <x:c r="E50" s="2"/>
      <x:c r="F50" s="2"/>
    </x:row>
    <x:row r="51" ht="68" customHeight="1">
      <x:c r="A51" s="6" t="str">
        <x:v>weapons</x:v>
      </x:c>
      <x:c r="B51" s="6" t="str">
        <x:v>1 fiche(s) : Armes : aucune arme exclusive déduite</x:v>
      </x:c>
      <x:c r="C51" s="6" t="str">
        <x:v>Contrôler les éditions et les renvois; aucune production de récit supplémentaire n’est attribuée à la collection. Les interfaces proposées restent à réaliser.</x:v>
      </x:c>
      <x:c r="D51" s="2"/>
      <x:c r="E51" s="2"/>
      <x:c r="F51" s="2"/>
    </x:row>
    <x:row r="52" ht="68" customHeight="1">
      <x:c r="A52" s="6" t="str">
        <x:v>equipment</x:v>
      </x:c>
      <x:c r="B52" s="6" t="str">
        <x:v>1 fiche(s) : Équipement : suivi de variantes</x:v>
      </x:c>
      <x:c r="C52" s="6" t="str">
        <x:v>Contrôler les éditions et les renvois; aucune production de récit supplémentaire n’est attribuée à la collection. Les interfaces proposées restent à réaliser.</x:v>
      </x:c>
      <x:c r="D52" s="2"/>
      <x:c r="E52" s="2"/>
      <x:c r="F52" s="2"/>
    </x:row>
    <x:row r="53" ht="68" customHeight="1">
      <x:c r="A53" s="6" t="str">
        <x:v>powers</x:v>
      </x:c>
      <x:c r="B53" s="6" t="str">
        <x:v>1 fiche(s) : Pouvoirs : respect de la fiction interne</x:v>
      </x:c>
      <x:c r="C53" s="6" t="str">
        <x:v>Contrôler les éditions et les renvois; aucune production de récit supplémentaire n’est attribuée à la collection. Les interfaces proposées restent à réaliser.</x:v>
      </x:c>
      <x:c r="D53" s="2"/>
      <x:c r="E53" s="2"/>
      <x:c r="F53" s="2"/>
    </x:row>
    <x:row r="54" ht="68" customHeight="1">
      <x:c r="A54" s="6" t="str">
        <x:v>ally_moves</x:v>
      </x:c>
      <x:c r="B54" s="6" t="str">
        <x:v>1 fiche(s) : Actions alliées : délégation au récit</x:v>
      </x:c>
      <x:c r="C54" s="6" t="str">
        <x:v>Contrôler les éditions et les renvois; aucune production de récit supplémentaire n’est attribuée à la collection. Les interfaces proposées restent à réaliser.</x:v>
      </x:c>
      <x:c r="D54" s="2"/>
      <x:c r="E54" s="2"/>
      <x:c r="F54" s="2"/>
    </x:row>
    <x:row r="55" ht="68" customHeight="1">
      <x:c r="A55" s="6" t="str">
        <x:v>enemy_moves</x:v>
      </x:c>
      <x:c r="B55" s="6" t="str">
        <x:v>1 fiche(s) : Actions ennemies : index sans duplication</x:v>
      </x:c>
      <x:c r="C55" s="6" t="str">
        <x:v>Contrôler les éditions et les renvois; aucune production de récit supplémentaire n’est attribuée à la collection. Les interfaces proposées restent à réaliser.</x:v>
      </x:c>
      <x:c r="D55" s="2"/>
      <x:c r="E55" s="2"/>
      <x:c r="F55" s="2"/>
    </x:row>
    <x:row r="56" ht="68" customHeight="1">
      <x:c r="A56" s="6" t="str">
        <x:v>animations</x:v>
      </x:c>
      <x:c r="B56" s="6" t="str">
        <x:v>1 fiche(s) : Animations : feuilleter et sélectionner</x:v>
      </x:c>
      <x:c r="C56" s="6" t="str">
        <x:v>Contrôler les éditions et les renvois; aucune production de récit supplémentaire n’est attribuée à la collection. Les interfaces proposées restent à réaliser.</x:v>
      </x:c>
      <x:c r="D56" s="2"/>
      <x:c r="E56" s="2"/>
      <x:c r="F56" s="2"/>
    </x:row>
    <x:row r="57" ht="68" customHeight="1">
      <x:c r="A57" s="6" t="str">
        <x:v>sprites</x:v>
      </x:c>
      <x:c r="B57" s="6" t="str">
        <x:v>1 fiche(s) : Sprites : vignettes originales de collection</x:v>
      </x:c>
      <x:c r="C57" s="6" t="str">
        <x:v>Contrôler les éditions et les renvois; aucune production de récit supplémentaire n’est attribuée à la collection. Les interfaces proposées restent à réaliser.</x:v>
      </x:c>
      <x:c r="D57" s="2"/>
      <x:c r="E57" s="2"/>
      <x:c r="F57" s="2"/>
    </x:row>
    <x:row r="58" ht="68" customHeight="1">
      <x:c r="A58" s="6" t="str">
        <x:v>vfx</x:v>
      </x:c>
      <x:c r="B58" s="6" t="str">
        <x:v>1 fiche(s) : VFX : focus éditorial</x:v>
      </x:c>
      <x:c r="C58" s="6" t="str">
        <x:v>Contrôler les éditions et les renvois; aucune production de récit supplémentaire n’est attribuée à la collection. Les interfaces proposées restent à réaliser.</x:v>
      </x:c>
      <x:c r="D58" s="2"/>
      <x:c r="E58" s="2"/>
      <x:c r="F58" s="2"/>
    </x:row>
    <x:row r="59" ht="68" customHeight="1">
      <x:c r="A59" s="6" t="str">
        <x:v>audio</x:v>
      </x:c>
      <x:c r="B59" s="6" t="str">
        <x:v>1 fiche(s) : Audio : interface originale</x:v>
      </x:c>
      <x:c r="C59" s="6" t="str">
        <x:v>Contrôler les éditions et les renvois; aucune production de récit supplémentaire n’est attribuée à la collection. Les interfaces proposées restent à réaliser.</x:v>
      </x:c>
      <x:c r="D59" s="2"/>
      <x:c r="E59" s="2"/>
      <x:c r="F59" s="2"/>
    </x:row>
    <x:row r="60" ht="68" customHeight="1">
      <x:c r="A60" s="6" t="str">
        <x:v>systems</x:v>
      </x:c>
      <x:c r="B60" s="6" t="str">
        <x:v>6 fiche(s) : Systèmes : déduplication de catalogue; Charge de production sans double comptage; Journal à deux niveaux; Groupe propre au chapitre</x:v>
      </x:c>
      <x:c r="C60" s="6" t="str">
        <x:v>Contrôler les éditions et les renvois; aucune production de récit supplémentaire n’est attribuée à la collection. Les interfaces proposées restent à réaliser.</x:v>
      </x:c>
      <x:c r="D60" s="2"/>
      <x:c r="E60" s="2"/>
      <x:c r="F60" s="2"/>
    </x:row>
    <x:row r="61" ht="68" customHeight="1">
      <x:c r="A61" s="6" t="str">
        <x:v>qa</x:v>
      </x:c>
      <x:c r="B61" s="6" t="str">
        <x:v>17 fiche(s) : Redemption — contrôle de sommaire; Evolution — contrôle de sommaire; Invasion — contrôle de sommaire; Homeworlds — contrôle de sommaire</x:v>
      </x:c>
      <x:c r="C61" s="6" t="str">
        <x:v>Contrôler les éditions et les renvois; aucune production de récit supplémentaire n’est attribuée à la collection. Les interfaces proposées restent à réaliser.</x:v>
      </x:c>
      <x:c r="D61" s="2"/>
      <x:c r="E61" s="2"/>
      <x:c r="F61" s="2"/>
    </x:row>
    <x:row r="62" ht="68" customHeight="1">
      <x:c r="A62" s="6" t="str">
        <x:v>continuity</x:v>
      </x:c>
      <x:c r="B62" s="6" t="str">
        <x:v>16 fiche(s) : Redemption — règle de déduplication; Evolution — règle de déduplication; Invasion — règle de déduplication; Homeworlds — règle de déduplication</x:v>
      </x:c>
      <x:c r="C62" s="6" t="str">
        <x:v>Contrôler les éditions et les renvois; aucune production de récit supplémentaire n’est attribuée à la collection. Les interfaces proposées restent à réaliser.</x:v>
      </x:c>
      <x:c r="D62" s="2"/>
      <x:c r="E62" s="2"/>
      <x:c r="F62" s="2"/>
    </x:row>
    <x:row r="63" ht="22" customHeight="1">
      <x:c r="A63" s="2"/>
      <x:c r="B63" s="2"/>
      <x:c r="C63" s="2"/>
      <x:c r="D63" s="2"/>
      <x:c r="E63" s="2"/>
      <x:c r="F63" s="2"/>
    </x:row>
    <x:row r="64" ht="22" customHeight="1">
      <x:c r="A64" s="2"/>
      <x:c r="B64" s="2"/>
      <x:c r="C64" s="2"/>
      <x:c r="D64" s="2"/>
      <x:c r="E64" s="2"/>
      <x:c r="F64" s="2"/>
    </x:row>
    <x:row r="65" ht="22" customHeight="1">
      <x:c r="A65" s="2"/>
      <x:c r="B65" s="2"/>
      <x:c r="C65" s="2"/>
      <x:c r="D65" s="2"/>
      <x:c r="E65" s="2"/>
      <x:c r="F65" s="2"/>
    </x:row>
    <x:row r="66" ht="22" customHeight="1">
      <x:c r="A66" s="2"/>
      <x:c r="B66" s="2"/>
      <x:c r="C66" s="2"/>
      <x:c r="D66" s="2"/>
      <x:c r="E66" s="2"/>
      <x:c r="F66" s="2"/>
    </x:row>
    <x:row r="67" ht="22" customHeight="1">
      <x:c r="A67" s="2"/>
      <x:c r="B67" s="2"/>
      <x:c r="C67" s="2"/>
      <x:c r="D67" s="2"/>
      <x:c r="E67" s="2"/>
      <x:c r="F67" s="2"/>
    </x:row>
    <x:row r="68" ht="22" customHeight="1">
      <x:c r="A68" s="2"/>
      <x:c r="B68" s="2"/>
      <x:c r="C68" s="2"/>
      <x:c r="D68" s="2"/>
      <x:c r="E68" s="2"/>
      <x:c r="F68" s="2"/>
    </x:row>
    <x:row r="69" ht="22" customHeight="1">
      <x:c r="A69" s="2"/>
      <x:c r="B69" s="2"/>
      <x:c r="C69" s="2"/>
      <x:c r="D69" s="2"/>
      <x:c r="E69" s="2"/>
      <x:c r="F69" s="2"/>
    </x:row>
    <x:row r="70" ht="22" customHeight="1">
      <x:c r="A70" s="2"/>
      <x:c r="B70" s="2"/>
      <x:c r="C70" s="2"/>
      <x:c r="D70" s="2"/>
      <x:c r="E70" s="2"/>
      <x:c r="F70" s="2"/>
    </x:row>
    <x:row r="71" ht="22" customHeight="1">
      <x:c r="A71" s="2"/>
      <x:c r="B71" s="2"/>
      <x:c r="C71" s="2"/>
      <x:c r="D71" s="2"/>
      <x:c r="E71" s="2"/>
      <x:c r="F71" s="2"/>
    </x:row>
    <x:row r="72" ht="22" customHeight="1">
      <x:c r="A72" s="2"/>
      <x:c r="B72" s="2"/>
      <x:c r="C72" s="2"/>
      <x:c r="D72" s="2"/>
      <x:c r="E72" s="2"/>
      <x:c r="F72" s="2"/>
    </x:row>
    <x:row r="73" ht="22" customHeight="1">
      <x:c r="A73" s="2"/>
      <x:c r="B73" s="2"/>
      <x:c r="C73" s="2"/>
      <x:c r="D73" s="2"/>
      <x:c r="E73" s="2"/>
      <x:c r="F73" s="2"/>
    </x:row>
    <x:row r="74" ht="22" customHeight="1">
      <x:c r="A74" s="2"/>
      <x:c r="B74" s="2"/>
      <x:c r="C74" s="2"/>
      <x:c r="D74" s="2"/>
      <x:c r="E74" s="2"/>
      <x:c r="F74" s="2"/>
    </x:row>
    <x:row r="75" ht="22" customHeight="1">
      <x:c r="A75" s="2"/>
      <x:c r="B75" s="2"/>
      <x:c r="C75" s="2"/>
      <x:c r="D75" s="2"/>
      <x:c r="E75" s="2"/>
      <x:c r="F75" s="2"/>
    </x:row>
    <x:row r="76" ht="22" customHeight="1">
      <x:c r="A76" s="2"/>
      <x:c r="B76" s="2"/>
      <x:c r="C76" s="2"/>
      <x:c r="D76" s="2"/>
      <x:c r="E76" s="2"/>
      <x:c r="F76" s="2"/>
    </x:row>
    <x:row r="77" ht="22" customHeight="1">
      <x:c r="A77" s="2"/>
      <x:c r="B77" s="2"/>
      <x:c r="C77" s="2"/>
      <x:c r="D77" s="2"/>
      <x:c r="E77" s="2"/>
      <x:c r="F77" s="2"/>
    </x:row>
    <x:row r="78" ht="22" customHeight="1">
      <x:c r="A78" s="2"/>
      <x:c r="B78" s="2"/>
      <x:c r="C78" s="2"/>
      <x:c r="D78" s="2"/>
      <x:c r="E78" s="2"/>
      <x:c r="F78" s="2"/>
    </x:row>
    <x:row r="79" ht="22" customHeight="1">
      <x:c r="A79" s="2"/>
      <x:c r="B79" s="2"/>
      <x:c r="C79" s="2"/>
      <x:c r="D79" s="2"/>
      <x:c r="E79" s="2"/>
      <x:c r="F79" s="2"/>
    </x:row>
    <x:row r="80" ht="22" customHeight="1">
      <x:c r="A80" s="2"/>
      <x:c r="B80" s="2"/>
      <x:c r="C80" s="2"/>
      <x:c r="D80" s="2"/>
      <x:c r="E80" s="2"/>
      <x:c r="F80" s="2"/>
    </x:row>
    <x:row r="81" ht="22" customHeight="1">
      <x:c r="A81" s="2"/>
      <x:c r="B81" s="2"/>
      <x:c r="C81" s="2"/>
      <x:c r="D81" s="2"/>
      <x:c r="E81" s="2"/>
      <x:c r="F81" s="2"/>
    </x:row>
    <x:row r="82" ht="22" customHeight="1">
      <x:c r="A82" s="2"/>
      <x:c r="B82" s="2"/>
      <x:c r="C82" s="2"/>
      <x:c r="D82" s="2"/>
      <x:c r="E82" s="2"/>
      <x:c r="F82" s="2"/>
    </x:row>
    <x:row r="83" ht="22" customHeight="1">
      <x:c r="A83" s="2"/>
      <x:c r="B83" s="2"/>
      <x:c r="C83" s="2"/>
      <x:c r="D83" s="2"/>
      <x:c r="E83" s="2"/>
      <x:c r="F83" s="2"/>
    </x:row>
    <x:row r="84" ht="22" customHeight="1">
      <x:c r="A84" s="2"/>
      <x:c r="B84" s="2"/>
      <x:c r="C84" s="2"/>
      <x:c r="D84" s="2"/>
      <x:c r="E84" s="2"/>
      <x:c r="F84" s="2"/>
    </x:row>
    <x:row r="85" ht="22" customHeight="1">
      <x:c r="A85" s="2"/>
      <x:c r="B85" s="2"/>
      <x:c r="C85" s="2"/>
      <x:c r="D85" s="2"/>
      <x:c r="E85" s="2"/>
      <x:c r="F85" s="2"/>
    </x:row>
    <x:row r="86" ht="22" customHeight="1">
      <x:c r="A86" s="2"/>
      <x:c r="B86" s="2"/>
      <x:c r="C86" s="2"/>
      <x:c r="D86" s="2"/>
      <x:c r="E86" s="2"/>
      <x:c r="F86" s="2"/>
    </x:row>
    <x:row r="87" ht="22" customHeight="1">
      <x:c r="A87" s="2"/>
      <x:c r="B87" s="2"/>
      <x:c r="C87" s="2"/>
      <x:c r="D87" s="2"/>
      <x:c r="E87" s="2"/>
      <x:c r="F87" s="2"/>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22" customHeight="1">
      <x:c r="A94" s="2"/>
      <x:c r="B94" s="2"/>
      <x:c r="C94" s="2"/>
      <x:c r="D94" s="2"/>
      <x:c r="E94" s="2"/>
      <x:c r="F94" s="2"/>
    </x:row>
    <x:row r="95" ht="22" customHeight="1">
      <x:c r="A95" s="2"/>
      <x:c r="B95" s="2"/>
      <x:c r="C95" s="2"/>
      <x:c r="D95" s="2"/>
      <x:c r="E95" s="2"/>
      <x:c r="F95" s="2"/>
    </x:row>
    <x:row r="96" ht="22" customHeight="1">
      <x:c r="A96" s="2"/>
      <x:c r="B96" s="2"/>
      <x:c r="C96" s="2"/>
      <x:c r="D96" s="2"/>
      <x:c r="E96" s="2"/>
      <x:c r="F96" s="2"/>
    </x:row>
    <x:row r="97" ht="22" customHeight="1">
      <x:c r="A97" s="2"/>
      <x:c r="B97" s="2"/>
      <x:c r="C97" s="2"/>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row r="116" ht="22" customHeight="1">
      <x:c r="A116" s="2"/>
      <x:c r="B116" s="2"/>
      <x:c r="C116" s="2"/>
      <x:c r="D116" s="2"/>
      <x:c r="E116" s="2"/>
      <x:c r="F116" s="2"/>
    </x:row>
    <x:row r="117" ht="22" customHeight="1">
      <x:c r="A117" s="2"/>
      <x:c r="B117" s="2"/>
      <x:c r="C117" s="2"/>
      <x:c r="D117" s="2"/>
      <x:c r="E117" s="2"/>
      <x:c r="F117" s="2"/>
    </x:row>
    <x:row r="118" ht="22" customHeight="1">
      <x:c r="A118" s="2"/>
      <x:c r="B118" s="2"/>
      <x:c r="C118" s="2"/>
      <x:c r="D118" s="2"/>
      <x:c r="E118" s="2"/>
      <x:c r="F118" s="2"/>
    </x:row>
    <x:row r="119" ht="22" customHeight="1">
      <x:c r="A119" s="2"/>
      <x:c r="B119" s="2"/>
      <x:c r="C119" s="2"/>
      <x:c r="D119" s="2"/>
      <x:c r="E119" s="2"/>
      <x:c r="F119" s="2"/>
    </x:row>
    <x:row r="120" ht="22" customHeight="1">
      <x:c r="A120" s="2"/>
      <x:c r="B120" s="2"/>
      <x:c r="C120" s="2"/>
      <x:c r="D120" s="2"/>
      <x:c r="E120" s="2"/>
      <x:c r="F120" s="2"/>
    </x:row>
    <x:row r="121" ht="22" customHeight="1">
      <x:c r="A121" s="2"/>
      <x:c r="B121" s="2"/>
      <x:c r="C121" s="2"/>
      <x:c r="D121" s="2"/>
      <x:c r="E121" s="2"/>
      <x:c r="F121" s="2"/>
    </x:row>
    <x:row r="122" ht="22" customHeight="1">
      <x:c r="A122" s="2"/>
      <x:c r="B122" s="2"/>
      <x:c r="C122" s="2"/>
      <x:c r="D122" s="2"/>
      <x:c r="E122" s="2"/>
      <x:c r="F122" s="2"/>
    </x:row>
    <x:row r="123" ht="22" customHeight="1">
      <x:c r="A123" s="2"/>
      <x:c r="B123" s="2"/>
      <x:c r="C123" s="2"/>
      <x:c r="D123" s="2"/>
      <x:c r="E123" s="2"/>
      <x:c r="F123" s="2"/>
    </x:row>
    <x:row r="124" ht="22" customHeight="1">
      <x:c r="A124" s="2"/>
      <x:c r="B124" s="2"/>
      <x:c r="C124" s="2"/>
      <x:c r="D124" s="2"/>
      <x:c r="E124" s="2"/>
      <x:c r="F124" s="2"/>
    </x:row>
    <x:row r="125" ht="22" customHeight="1">
      <x:c r="A125" s="2"/>
      <x:c r="B125" s="2"/>
      <x:c r="C125" s="2"/>
      <x:c r="D125" s="2"/>
      <x:c r="E125" s="2"/>
      <x:c r="F125" s="2"/>
    </x:row>
    <x:row r="126" ht="22" customHeight="1">
      <x:c r="A126" s="2"/>
      <x:c r="B126" s="2"/>
      <x:c r="C126" s="2"/>
      <x:c r="D126" s="2"/>
      <x:c r="E126" s="2"/>
      <x:c r="F126" s="2"/>
    </x:row>
    <x:row r="127" ht="22" customHeight="1">
      <x:c r="A127" s="2"/>
      <x:c r="B127" s="2"/>
      <x:c r="C127" s="2"/>
      <x:c r="D127" s="2"/>
      <x:c r="E127" s="2"/>
      <x:c r="F127" s="2"/>
    </x:row>
    <x:row r="128" ht="22" customHeight="1">
      <x:c r="A128" s="2"/>
      <x:c r="B128" s="2"/>
      <x:c r="C128" s="2"/>
      <x:c r="D128" s="2"/>
      <x:c r="E128" s="2"/>
      <x:c r="F128" s="2"/>
    </x:row>
    <x:row r="129" ht="22" customHeight="1">
      <x:c r="A129" s="2"/>
      <x:c r="B129" s="2"/>
      <x:c r="C129" s="2"/>
      <x:c r="D129" s="2"/>
      <x:c r="E129" s="2"/>
      <x:c r="F129" s="2"/>
    </x:row>
    <x:row r="130" ht="22" customHeight="1">
      <x:c r="A130" s="2"/>
      <x:c r="B130" s="2"/>
      <x:c r="C130" s="2"/>
      <x:c r="D130" s="2"/>
      <x:c r="E130" s="2"/>
      <x:c r="F130" s="2"/>
    </x:row>
    <x:row r="131" ht="22" customHeight="1">
      <x:c r="A131" s="2"/>
      <x:c r="B131" s="2"/>
      <x:c r="C131" s="2"/>
      <x:c r="D131" s="2"/>
      <x:c r="E131" s="2"/>
      <x:c r="F131" s="2"/>
    </x:row>
    <x:row r="132" ht="22" customHeight="1">
      <x:c r="A132" s="2"/>
      <x:c r="B132" s="2"/>
      <x:c r="C132" s="2"/>
      <x:c r="D132" s="2"/>
      <x:c r="E132" s="2"/>
      <x:c r="F132" s="2"/>
    </x:row>
  </x:sheetData>
  <x:pageMargins left="0.7" right="0.7" top="0.75" bottom="0.75" header="0.3" footer="0.3"/>
</x:worksheet>
</file>