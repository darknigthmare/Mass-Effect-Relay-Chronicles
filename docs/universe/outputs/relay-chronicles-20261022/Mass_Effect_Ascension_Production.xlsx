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2ea94dc29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9224dfd54b449c"/>
    <x:sheet xmlns:r="http://schemas.openxmlformats.org/officeDocument/2006/relationships" name="Personnages" sheetId="2" r:id="R8d178b4739a648d4"/>
    <x:sheet xmlns:r="http://schemas.openxmlformats.org/officeDocument/2006/relationships" name="PNJ" sheetId="3" r:id="R23bf7050dcab4bc9"/>
    <x:sheet xmlns:r="http://schemas.openxmlformats.org/officeDocument/2006/relationships" name="Especes_factions" sheetId="4" r:id="R892414026212457e"/>
    <x:sheet xmlns:r="http://schemas.openxmlformats.org/officeDocument/2006/relationships" name="Mondes" sheetId="5" r:id="R672222205a60419c"/>
    <x:sheet xmlns:r="http://schemas.openxmlformats.org/officeDocument/2006/relationships" name="Zones" sheetId="6" r:id="R7847de510ae14f8b"/>
    <x:sheet xmlns:r="http://schemas.openxmlformats.org/officeDocument/2006/relationships" name="Liaisons" sheetId="7" r:id="R3671dc483f964e2d"/>
    <x:sheet xmlns:r="http://schemas.openxmlformats.org/officeDocument/2006/relationships" name="Decors" sheetId="8" r:id="Rab90b7272b1c4de3"/>
    <x:sheet xmlns:r="http://schemas.openxmlformats.org/officeDocument/2006/relationships" name="Props" sheetId="9" r:id="R9c8b9aa01e0b4acc"/>
    <x:sheet xmlns:r="http://schemas.openxmlformats.org/officeDocument/2006/relationships" name="Ennemis_boss" sheetId="10" r:id="Rf0015377e6e3454b"/>
    <x:sheet xmlns:r="http://schemas.openxmlformats.org/officeDocument/2006/relationships" name="Missions" sheetId="11" r:id="Rfb56fe9869e94693"/>
    <x:sheet xmlns:r="http://schemas.openxmlformats.org/officeDocument/2006/relationships" name="Secondaires_DLC" sheetId="12" r:id="R1fe181a7afec4c71"/>
    <x:sheet xmlns:r="http://schemas.openxmlformats.org/officeDocument/2006/relationships" name="Choix_relations" sheetId="13" r:id="R5ffe54f98b404ff6"/>
    <x:sheet xmlns:r="http://schemas.openxmlformats.org/officeDocument/2006/relationships" name="Dialogues" sheetId="14" r:id="R0d8d8490d8b2432e"/>
    <x:sheet xmlns:r="http://schemas.openxmlformats.org/officeDocument/2006/relationships" name="Cinematiques" sheetId="15" r:id="R64ff6caea5554430"/>
    <x:sheet xmlns:r="http://schemas.openxmlformats.org/officeDocument/2006/relationships" name="Armes" sheetId="16" r:id="R6bd0e8ac2a0a48a1"/>
    <x:sheet xmlns:r="http://schemas.openxmlformats.org/officeDocument/2006/relationships" name="Armures_equipement" sheetId="17" r:id="Rd3856b94ef86474a"/>
    <x:sheet xmlns:r="http://schemas.openxmlformats.org/officeDocument/2006/relationships" name="Pouvoirs" sheetId="18" r:id="R2221a7f776eb4595"/>
    <x:sheet xmlns:r="http://schemas.openxmlformats.org/officeDocument/2006/relationships" name="Movesets_allies" sheetId="19" r:id="R848da0d2ab7a4c55"/>
    <x:sheet xmlns:r="http://schemas.openxmlformats.org/officeDocument/2006/relationships" name="Movesets_ennemis" sheetId="20" r:id="Rc7c2e2f9f3a643e3"/>
    <x:sheet xmlns:r="http://schemas.openxmlformats.org/officeDocument/2006/relationships" name="Animations" sheetId="21" r:id="R454eb6a8102449bf"/>
    <x:sheet xmlns:r="http://schemas.openxmlformats.org/officeDocument/2006/relationships" name="Sprites" sheetId="22" r:id="Ra609b4e9b31f49d0"/>
    <x:sheet xmlns:r="http://schemas.openxmlformats.org/officeDocument/2006/relationships" name="VFX" sheetId="23" r:id="R0560a8d589724a3d"/>
    <x:sheet xmlns:r="http://schemas.openxmlformats.org/officeDocument/2006/relationships" name="Audio" sheetId="24" r:id="R8348605e1ef0487e"/>
    <x:sheet xmlns:r="http://schemas.openxmlformats.org/officeDocument/2006/relationships" name="UI_systemes" sheetId="25" r:id="Reded0d6c834d4f26"/>
    <x:sheet xmlns:r="http://schemas.openxmlformats.org/officeDocument/2006/relationships" name="QA" sheetId="26" r:id="Reb54ec9de5e045d6"/>
    <x:sheet xmlns:r="http://schemas.openxmlformats.org/officeDocument/2006/relationships" name="Continuite" sheetId="27" r:id="R30cf1999e3c64ca1"/>
    <x:sheet xmlns:r="http://schemas.openxmlformats.org/officeDocument/2006/relationships" name="Guide" sheetId="28" r:id="Rca9970c2d632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ad0733f924044" /><Relationship Type="http://schemas.openxmlformats.org/officeDocument/2006/relationships/theme" Target="/xl/theme/theme1.xml" Id="Re4282ab3e0a74000" /><Relationship Type="http://schemas.openxmlformats.org/officeDocument/2006/relationships/sharedStrings" Target="/xl/sharedStrings.xml" Id="R5cf4f6f468e24668" /><Relationship Type="http://schemas.openxmlformats.org/officeDocument/2006/relationships/worksheet" Target="/xl/worksheets/sheet1.xml" Id="Red9224dfd54b449c" /><Relationship Type="http://schemas.openxmlformats.org/officeDocument/2006/relationships/worksheet" Target="/xl/worksheets/sheet2.xml" Id="R8d178b4739a648d4" /><Relationship Type="http://schemas.openxmlformats.org/officeDocument/2006/relationships/worksheet" Target="/xl/worksheets/sheet3.xml" Id="R23bf7050dcab4bc9" /><Relationship Type="http://schemas.openxmlformats.org/officeDocument/2006/relationships/worksheet" Target="/xl/worksheets/sheet4.xml" Id="R892414026212457e" /><Relationship Type="http://schemas.openxmlformats.org/officeDocument/2006/relationships/worksheet" Target="/xl/worksheets/sheet5.xml" Id="R672222205a60419c" /><Relationship Type="http://schemas.openxmlformats.org/officeDocument/2006/relationships/worksheet" Target="/xl/worksheets/sheet6.xml" Id="R7847de510ae14f8b" /><Relationship Type="http://schemas.openxmlformats.org/officeDocument/2006/relationships/worksheet" Target="/xl/worksheets/sheet7.xml" Id="R3671dc483f964e2d" /><Relationship Type="http://schemas.openxmlformats.org/officeDocument/2006/relationships/worksheet" Target="/xl/worksheets/sheet8.xml" Id="Rab90b7272b1c4de3" /><Relationship Type="http://schemas.openxmlformats.org/officeDocument/2006/relationships/worksheet" Target="/xl/worksheets/sheet9.xml" Id="R9c8b9aa01e0b4acc" /><Relationship Type="http://schemas.openxmlformats.org/officeDocument/2006/relationships/worksheet" Target="/xl/worksheets/sheet10.xml" Id="Rf0015377e6e3454b" /><Relationship Type="http://schemas.openxmlformats.org/officeDocument/2006/relationships/worksheet" Target="/xl/worksheets/sheet11.xml" Id="Rfb56fe9869e94693" /><Relationship Type="http://schemas.openxmlformats.org/officeDocument/2006/relationships/worksheet" Target="/xl/worksheets/sheet12.xml" Id="R1fe181a7afec4c71" /><Relationship Type="http://schemas.openxmlformats.org/officeDocument/2006/relationships/worksheet" Target="/xl/worksheets/sheet13.xml" Id="R5ffe54f98b404ff6" /><Relationship Type="http://schemas.openxmlformats.org/officeDocument/2006/relationships/worksheet" Target="/xl/worksheets/sheet14.xml" Id="R0d8d8490d8b2432e" /><Relationship Type="http://schemas.openxmlformats.org/officeDocument/2006/relationships/worksheet" Target="/xl/worksheets/sheet15.xml" Id="R64ff6caea5554430" /><Relationship Type="http://schemas.openxmlformats.org/officeDocument/2006/relationships/worksheet" Target="/xl/worksheets/sheet16.xml" Id="R6bd0e8ac2a0a48a1" /><Relationship Type="http://schemas.openxmlformats.org/officeDocument/2006/relationships/worksheet" Target="/xl/worksheets/sheet17.xml" Id="Rd3856b94ef86474a" /><Relationship Type="http://schemas.openxmlformats.org/officeDocument/2006/relationships/worksheet" Target="/xl/worksheets/sheet18.xml" Id="R2221a7f776eb4595" /><Relationship Type="http://schemas.openxmlformats.org/officeDocument/2006/relationships/worksheet" Target="/xl/worksheets/sheet19.xml" Id="R848da0d2ab7a4c55" /><Relationship Type="http://schemas.openxmlformats.org/officeDocument/2006/relationships/worksheet" Target="/xl/worksheets/sheet20.xml" Id="Rc7c2e2f9f3a643e3" /><Relationship Type="http://schemas.openxmlformats.org/officeDocument/2006/relationships/worksheet" Target="/xl/worksheets/sheet21.xml" Id="R454eb6a8102449bf" /><Relationship Type="http://schemas.openxmlformats.org/officeDocument/2006/relationships/worksheet" Target="/xl/worksheets/sheet22.xml" Id="Ra609b4e9b31f49d0" /><Relationship Type="http://schemas.openxmlformats.org/officeDocument/2006/relationships/worksheet" Target="/xl/worksheets/sheet23.xml" Id="R0560a8d589724a3d" /><Relationship Type="http://schemas.openxmlformats.org/officeDocument/2006/relationships/worksheet" Target="/xl/worksheets/sheet24.xml" Id="R8348605e1ef0487e" /><Relationship Type="http://schemas.openxmlformats.org/officeDocument/2006/relationships/worksheet" Target="/xl/worksheets/sheet25.xml" Id="Reded0d6c834d4f26" /><Relationship Type="http://schemas.openxmlformats.org/officeDocument/2006/relationships/worksheet" Target="/xl/worksheets/sheet26.xml" Id="Reb54ec9de5e045d6" /><Relationship Type="http://schemas.openxmlformats.org/officeDocument/2006/relationships/worksheet" Target="/xl/worksheets/sheet27.xml" Id="R30cf1999e3c64ca1" /><Relationship Type="http://schemas.openxmlformats.org/officeDocument/2006/relationships/worksheet" Target="/xl/worksheets/sheet28.xml" Id="Rca9970c2d63248b6" /></Relationships>
</file>

<file path=xl/tables/table1.xml><?xml version="1.0" encoding="utf-8"?>
<x:table xmlns:x="http://schemas.openxmlformats.org/spreadsheetml/2006/main" id="1" name="ASC_characters" displayName="ASC_character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C_npcs" displayName="ASC_npc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C_lore" displayName="ASC_lore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C_worlds" displayName="ASC_world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C_zones" displayName="ASC_zon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C_links" displayName="ASC_link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SC_scenery" displayName="ASC_scenery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SC_props" displayName="ASC_prop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SC_enemies" displayName="ASC_enemi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C_main_quests" displayName="ASC_main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SC_side_quests" displayName="ASC_side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SC_choices" displayName="ASC_choic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SC_dialogues" displayName="ASC_dialogu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SC_cinematics" displayName="ASC_cinematic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SC_weapons" displayName="ASC_weapon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SC_equipment" displayName="ASC_equipment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SC_powers" displayName="ASC_pow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SC_ally_moves" displayName="ASC_ally_mov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SC_enemy_moves" displayName="ASC_enem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SC_animations" displayName="ASC_animation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SC_sprites" displayName="ASC_sprit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SC_vfx" displayName="ASC_vfx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SC_audio" displayName="ASC_audio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SC_systems" displayName="ASC_system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SC_qa" displayName="ASC_qa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ASC_continuity" displayName="ASC_continuity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1c0d81ded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98ea48d94d43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54cb0d757d47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e770bbe3e346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2c50b23e1148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f65e6b27b045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aa715c5dfb4a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6f8b1ae5f848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e341eee85948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d8c29c13214c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0718b1a17f442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7f3382ad58a43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b576da94c2948d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ad17dfcbc394a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56858104f134a9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16788443e664a8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9988e34951a480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b83d117b00fe4b0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7be8b6769fc4ec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b95756369a9454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79ca26449886414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a739a573c7e46b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fda0d4283b854d5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19dfa6c9b4e4c3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5c3397a750d34ea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1b7301dce26b4a78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Ascension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1" t="n">
        <x:f>SUM(B10:B35)</x:f>
        <x:v>158</x:v>
      </x:c>
      <x:c r="C5" s="2"/>
      <x:c r="D5" s="2" t="str">
        <x:v>Intégrés</x:v>
      </x:c>
      <x:c r="E5" s="31" t="n">
        <x:f>SUM(E10:F35)</x:f>
        <x:v>0</x:v>
      </x:c>
      <x:c r="F5" s="2"/>
      <x:c r="G5" s="2" t="str">
        <x:v>À vérifier</x:v>
      </x:c>
      <x:c r="H5" s="31" t="n">
        <x:f>SUM(H10:H35)</x:f>
        <x:v>1</x:v>
      </x:c>
      <x:c r="I5" s="2"/>
      <x:c r="J5" s="2" t="str">
        <x:v>Extrapolations</x:v>
      </x:c>
      <x:c r="K5" s="31" t="n">
        <x:f>SUM(I10:I35)</x:f>
        <x:v>130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2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8" t="str">
        <x:v>Domaine</x:v>
      </x:c>
      <x:c r="B9" s="29" t="str">
        <x:v>Total</x:v>
      </x:c>
      <x:c r="C9" s="29" t="str">
        <x:v>Défini</x:v>
      </x:c>
      <x:c r="D9" s="29" t="str">
        <x:v>Prototype</x:v>
      </x:c>
      <x:c r="E9" s="29" t="str">
        <x:v>Intégré</x:v>
      </x:c>
      <x:c r="F9" s="29" t="str">
        <x:v>Validé</x:v>
      </x:c>
      <x:c r="G9" s="29" t="str">
        <x:v>Établi</x:v>
      </x:c>
      <x:c r="H9" s="29" t="str">
        <x:v>À vérifier</x:v>
      </x:c>
      <x:c r="I9" s="29" t="str">
        <x:v>Extrapolation</x:v>
      </x:c>
      <x:c r="J9" s="29" t="str">
        <x:v>Coupé attesté</x:v>
      </x:c>
      <x:c r="K9" s="29" t="str">
        <x:v>Concept abandonné</x:v>
      </x:c>
      <x:c r="L9" s="29" t="str">
        <x:v>Allégation écartée</x:v>
      </x:c>
      <x:c r="M9" s="30" t="str">
        <x:v>Priorité P0</x:v>
      </x:c>
    </x:row>
    <x:row r="10" ht="22" customHeight="1">
      <x:c r="A10" s="33" t="str">
        <x:v>Personnages</x:v>
      </x:c>
      <x:c r="B10" s="37" t="n">
        <x:f>COUNTA('Personnages'!$A$7:$A$10)</x:f>
        <x:v>4</x:v>
      </x:c>
      <x:c r="C10" s="37" t="n">
        <x:f>COUNTIFS('Personnages'!$C$7:$C$10,"Défini")</x:f>
        <x:v>4</x:v>
      </x:c>
      <x:c r="D10" s="37" t="n">
        <x:f>COUNTIFS('Personnages'!$C$7:$C$10,"Prototype")</x:f>
        <x:v>0</x:v>
      </x:c>
      <x:c r="E10" s="37" t="n">
        <x:f>COUNTIFS('Personnages'!$C$7:$C$10,"Intégré")</x:f>
        <x:v>0</x:v>
      </x:c>
      <x:c r="F10" s="37" t="n">
        <x:f>COUNTIFS('Personnages'!$C$7:$C$10,"Validé")</x:f>
        <x:v>0</x:v>
      </x:c>
      <x:c r="G10" s="37" t="n">
        <x:f>COUNTIFS('Personnages'!$D$7:$D$10,"Établi")</x:f>
        <x:v>4</x:v>
      </x:c>
      <x:c r="H10" s="37" t="n">
        <x:f>COUNTIFS('Personnages'!$D$7:$D$10,"À vérifier")</x:f>
        <x:v>0</x:v>
      </x:c>
      <x:c r="I10" s="37" t="n">
        <x:f>COUNTIFS('Personnages'!$D$7:$D$10,"Extrapolation")</x:f>
        <x:v>0</x:v>
      </x:c>
      <x:c r="J10" s="37" t="n">
        <x:f>COUNTIFS('Personnages'!$D$7:$D$10,"Coupé attesté")</x:f>
        <x:v>0</x:v>
      </x:c>
      <x:c r="K10" s="37" t="n">
        <x:f>COUNTIFS('Personnages'!$D$7:$D$10,"Concept abandonné")</x:f>
        <x:v>0</x:v>
      </x:c>
      <x:c r="L10" s="37" t="n">
        <x:f>COUNTIFS('Personnages'!$D$7:$D$10,"Allégation écartée")</x:f>
        <x:v>0</x:v>
      </x:c>
      <x:c r="M10" s="37" t="n">
        <x:f>COUNTIFS('Personnages'!$E$7:$E$10,"P0")</x:f>
        <x:v>0</x:v>
      </x:c>
    </x:row>
    <x:row r="11" ht="22" customHeight="1">
      <x:c r="A11" s="2" t="str">
        <x:v>PNJ</x:v>
      </x:c>
      <x:c r="B11" s="38" t="n">
        <x:f>COUNTA('PNJ'!$A$7:$A$12)</x:f>
        <x:v>6</x:v>
      </x:c>
      <x:c r="C11" s="38" t="n">
        <x:f>COUNTIFS('PNJ'!$C$7:$C$12,"Défini")</x:f>
        <x:v>6</x:v>
      </x:c>
      <x:c r="D11" s="38" t="n">
        <x:f>COUNTIFS('PNJ'!$C$7:$C$12,"Prototype")</x:f>
        <x:v>0</x:v>
      </x:c>
      <x:c r="E11" s="38" t="n">
        <x:f>COUNTIFS('PNJ'!$C$7:$C$12,"Intégré")</x:f>
        <x:v>0</x:v>
      </x:c>
      <x:c r="F11" s="38" t="n">
        <x:f>COUNTIFS('PNJ'!$C$7:$C$12,"Validé")</x:f>
        <x:v>0</x:v>
      </x:c>
      <x:c r="G11" s="38" t="n">
        <x:f>COUNTIFS('PNJ'!$D$7:$D$12,"Établi")</x:f>
        <x:v>6</x:v>
      </x:c>
      <x:c r="H11" s="38" t="n">
        <x:f>COUNTIFS('PNJ'!$D$7:$D$12,"À vérifier")</x:f>
        <x:v>0</x:v>
      </x:c>
      <x:c r="I11" s="38" t="n">
        <x:f>COUNTIFS('PNJ'!$D$7:$D$12,"Extrapolation")</x:f>
        <x:v>0</x:v>
      </x:c>
      <x:c r="J11" s="38" t="n">
        <x:f>COUNTIFS('PNJ'!$D$7:$D$12,"Coupé attesté")</x:f>
        <x:v>0</x:v>
      </x:c>
      <x:c r="K11" s="38" t="n">
        <x:f>COUNTIFS('PNJ'!$D$7:$D$12,"Concept abandonné")</x:f>
        <x:v>0</x:v>
      </x:c>
      <x:c r="L11" s="38" t="n">
        <x:f>COUNTIFS('PNJ'!$D$7:$D$12,"Allégation écartée")</x:f>
        <x:v>0</x:v>
      </x:c>
      <x:c r="M11" s="38" t="n">
        <x:f>COUNTIFS('PNJ'!$E$7:$E$12,"P0")</x:f>
        <x:v>0</x:v>
      </x:c>
    </x:row>
    <x:row r="12" ht="22" customHeight="1">
      <x:c r="A12" s="33" t="str">
        <x:v>Espèces et factions</x:v>
      </x:c>
      <x:c r="B12" s="37" t="n">
        <x:f>COUNTA('Especes_factions'!$A$7:$A$8)</x:f>
        <x:v>2</x:v>
      </x:c>
      <x:c r="C12" s="37" t="n">
        <x:f>COUNTIFS('Especes_factions'!$C$7:$C$8,"Défini")</x:f>
        <x:v>0</x:v>
      </x:c>
      <x:c r="D12" s="37" t="n">
        <x:f>COUNTIFS('Especes_factions'!$C$7:$C$8,"Prototype")</x:f>
        <x:v>2</x:v>
      </x:c>
      <x:c r="E12" s="37" t="n">
        <x:f>COUNTIFS('Especes_factions'!$C$7:$C$8,"Intégré")</x:f>
        <x:v>0</x:v>
      </x:c>
      <x:c r="F12" s="37" t="n">
        <x:f>COUNTIFS('Especes_factions'!$C$7:$C$8,"Validé")</x:f>
        <x:v>0</x:v>
      </x:c>
      <x:c r="G12" s="37" t="n">
        <x:f>COUNTIFS('Especes_factions'!$D$7:$D$8,"Établi")</x:f>
        <x:v>2</x:v>
      </x:c>
      <x:c r="H12" s="37" t="n">
        <x:f>COUNTIFS('Especes_factions'!$D$7:$D$8,"À vérifier")</x:f>
        <x:v>0</x:v>
      </x:c>
      <x:c r="I12" s="37" t="n">
        <x:f>COUNTIFS('Especes_factions'!$D$7:$D$8,"Extrapolation")</x:f>
        <x:v>0</x:v>
      </x:c>
      <x:c r="J12" s="37" t="n">
        <x:f>COUNTIFS('Especes_factions'!$D$7:$D$8,"Coupé attesté")</x:f>
        <x:v>0</x:v>
      </x:c>
      <x:c r="K12" s="37" t="n">
        <x:f>COUNTIFS('Especes_factions'!$D$7:$D$8,"Concept abandonné")</x:f>
        <x:v>0</x:v>
      </x:c>
      <x:c r="L12" s="37" t="n">
        <x:f>COUNTIFS('Especes_factions'!$D$7:$D$8,"Allégation écartée")</x:f>
        <x:v>0</x:v>
      </x:c>
      <x:c r="M12" s="37" t="n">
        <x:f>COUNTIFS('Especes_factions'!$E$7:$E$8,"P0")</x:f>
        <x:v>0</x:v>
      </x:c>
    </x:row>
    <x:row r="13" ht="22" customHeight="1">
      <x:c r="A13" s="2" t="str">
        <x:v>Mondes</x:v>
      </x:c>
      <x:c r="B13" s="38" t="n">
        <x:f>COUNTA('Mondes'!$A$7:$A$9)</x:f>
        <x:v>3</x:v>
      </x:c>
      <x:c r="C13" s="38" t="n">
        <x:f>COUNTIFS('Mondes'!$C$7:$C$9,"Défini")</x:f>
        <x:v>2</x:v>
      </x:c>
      <x:c r="D13" s="38" t="n">
        <x:f>COUNTIFS('Mondes'!$C$7:$C$9,"Prototype")</x:f>
        <x:v>1</x:v>
      </x:c>
      <x:c r="E13" s="38" t="n">
        <x:f>COUNTIFS('Mondes'!$C$7:$C$9,"Intégré")</x:f>
        <x:v>0</x:v>
      </x:c>
      <x:c r="F13" s="38" t="n">
        <x:f>COUNTIFS('Mondes'!$C$7:$C$9,"Validé")</x:f>
        <x:v>0</x:v>
      </x:c>
      <x:c r="G13" s="38" t="n">
        <x:f>COUNTIFS('Mondes'!$D$7:$D$9,"Établi")</x:f>
        <x:v>3</x:v>
      </x:c>
      <x:c r="H13" s="38" t="n">
        <x:f>COUNTIFS('Mondes'!$D$7:$D$9,"À vérifier")</x:f>
        <x:v>0</x:v>
      </x:c>
      <x:c r="I13" s="38" t="n">
        <x:f>COUNTIFS('Mondes'!$D$7:$D$9,"Extrapolation")</x:f>
        <x:v>0</x:v>
      </x:c>
      <x:c r="J13" s="38" t="n">
        <x:f>COUNTIFS('Mondes'!$D$7:$D$9,"Coupé attesté")</x:f>
        <x:v>0</x:v>
      </x:c>
      <x:c r="K13" s="38" t="n">
        <x:f>COUNTIFS('Mondes'!$D$7:$D$9,"Concept abandonné")</x:f>
        <x:v>0</x:v>
      </x:c>
      <x:c r="L13" s="38" t="n">
        <x:f>COUNTIFS('Mondes'!$D$7:$D$9,"Allégation écartée")</x:f>
        <x:v>0</x:v>
      </x:c>
      <x:c r="M13" s="38" t="n">
        <x:f>COUNTIFS('Mondes'!$E$7:$E$9,"P0")</x:f>
        <x:v>0</x:v>
      </x:c>
    </x:row>
    <x:row r="14" ht="22" customHeight="1">
      <x:c r="A14" s="33" t="str">
        <x:v>Zones</x:v>
      </x:c>
      <x:c r="B14" s="37" t="n">
        <x:f>COUNTA('Zones'!$A$7:$A$14)</x:f>
        <x:v>8</x:v>
      </x:c>
      <x:c r="C14" s="37" t="n">
        <x:f>COUNTIFS('Zones'!$C$7:$C$14,"Défini")</x:f>
        <x:v>8</x:v>
      </x:c>
      <x:c r="D14" s="37" t="n">
        <x:f>COUNTIFS('Zones'!$C$7:$C$14,"Prototype")</x:f>
        <x:v>0</x:v>
      </x:c>
      <x:c r="E14" s="37" t="n">
        <x:f>COUNTIFS('Zones'!$C$7:$C$14,"Intégré")</x:f>
        <x:v>0</x:v>
      </x:c>
      <x:c r="F14" s="37" t="n">
        <x:f>COUNTIFS('Zones'!$C$7:$C$14,"Validé")</x:f>
        <x:v>0</x:v>
      </x:c>
      <x:c r="G14" s="37" t="n">
        <x:f>COUNTIFS('Zones'!$D$7:$D$14,"Établi")</x:f>
        <x:v>0</x:v>
      </x:c>
      <x:c r="H14" s="37" t="n">
        <x:f>COUNTIFS('Zones'!$D$7:$D$14,"À vérifier")</x:f>
        <x:v>0</x:v>
      </x:c>
      <x:c r="I14" s="37" t="n">
        <x:f>COUNTIFS('Zones'!$D$7:$D$14,"Extrapolation")</x:f>
        <x:v>8</x:v>
      </x:c>
      <x:c r="J14" s="37" t="n">
        <x:f>COUNTIFS('Zones'!$D$7:$D$14,"Coupé attesté")</x:f>
        <x:v>0</x:v>
      </x:c>
      <x:c r="K14" s="37" t="n">
        <x:f>COUNTIFS('Zones'!$D$7:$D$14,"Concept abandonné")</x:f>
        <x:v>0</x:v>
      </x:c>
      <x:c r="L14" s="37" t="n">
        <x:f>COUNTIFS('Zones'!$D$7:$D$14,"Allégation écartée")</x:f>
        <x:v>0</x:v>
      </x:c>
      <x:c r="M14" s="37" t="n">
        <x:f>COUNTIFS('Zones'!$E$7:$E$14,"P0")</x:f>
        <x:v>0</x:v>
      </x:c>
    </x:row>
    <x:row r="15" ht="22" customHeight="1">
      <x:c r="A15" s="2" t="str">
        <x:v>Liaisons</x:v>
      </x:c>
      <x:c r="B15" s="38" t="n">
        <x:f>COUNTA('Liaisons'!$A$7:$A$14)</x:f>
        <x:v>8</x:v>
      </x:c>
      <x:c r="C15" s="38" t="n">
        <x:f>COUNTIFS('Liaisons'!$C$7:$C$14,"Défini")</x:f>
        <x:v>8</x:v>
      </x:c>
      <x:c r="D15" s="38" t="n">
        <x:f>COUNTIFS('Liaisons'!$C$7:$C$14,"Prototype")</x:f>
        <x:v>0</x:v>
      </x:c>
      <x:c r="E15" s="38" t="n">
        <x:f>COUNTIFS('Liaisons'!$C$7:$C$14,"Intégré")</x:f>
        <x:v>0</x:v>
      </x:c>
      <x:c r="F15" s="38" t="n">
        <x:f>COUNTIFS('Liaisons'!$C$7:$C$14,"Validé")</x:f>
        <x:v>0</x:v>
      </x:c>
      <x:c r="G15" s="38" t="n">
        <x:f>COUNTIFS('Liaisons'!$D$7:$D$14,"Établi")</x:f>
        <x:v>0</x:v>
      </x:c>
      <x:c r="H15" s="38" t="n">
        <x:f>COUNTIFS('Liaisons'!$D$7:$D$14,"À vérifier")</x:f>
        <x:v>0</x:v>
      </x:c>
      <x:c r="I15" s="38" t="n">
        <x:f>COUNTIFS('Liaisons'!$D$7:$D$14,"Extrapolation")</x:f>
        <x:v>8</x:v>
      </x:c>
      <x:c r="J15" s="38" t="n">
        <x:f>COUNTIFS('Liaisons'!$D$7:$D$14,"Coupé attesté")</x:f>
        <x:v>0</x:v>
      </x:c>
      <x:c r="K15" s="38" t="n">
        <x:f>COUNTIFS('Liaisons'!$D$7:$D$14,"Concept abandonné")</x:f>
        <x:v>0</x:v>
      </x:c>
      <x:c r="L15" s="38" t="n">
        <x:f>COUNTIFS('Liaisons'!$D$7:$D$14,"Allégation écartée")</x:f>
        <x:v>0</x:v>
      </x:c>
      <x:c r="M15" s="38" t="n">
        <x:f>COUNTIFS('Liaisons'!$E$7:$E$14,"P0")</x:f>
        <x:v>0</x:v>
      </x:c>
    </x:row>
    <x:row r="16" ht="22" customHeight="1">
      <x:c r="A16" s="33" t="str">
        <x:v>Décors</x:v>
      </x:c>
      <x:c r="B16" s="37" t="n">
        <x:f>COUNTA('Decors'!$A$7:$A$14)</x:f>
        <x:v>8</x:v>
      </x:c>
      <x:c r="C16" s="37" t="n">
        <x:f>COUNTIFS('Decors'!$C$7:$C$14,"Défini")</x:f>
        <x:v>8</x:v>
      </x:c>
      <x:c r="D16" s="37" t="n">
        <x:f>COUNTIFS('Decors'!$C$7:$C$14,"Prototype")</x:f>
        <x:v>0</x:v>
      </x:c>
      <x:c r="E16" s="37" t="n">
        <x:f>COUNTIFS('Decors'!$C$7:$C$14,"Intégré")</x:f>
        <x:v>0</x:v>
      </x:c>
      <x:c r="F16" s="37" t="n">
        <x:f>COUNTIFS('Decors'!$C$7:$C$14,"Validé")</x:f>
        <x:v>0</x:v>
      </x:c>
      <x:c r="G16" s="37" t="n">
        <x:f>COUNTIFS('Decors'!$D$7:$D$14,"Établi")</x:f>
        <x:v>0</x:v>
      </x:c>
      <x:c r="H16" s="37" t="n">
        <x:f>COUNTIFS('Decors'!$D$7:$D$14,"À vérifier")</x:f>
        <x:v>0</x:v>
      </x:c>
      <x:c r="I16" s="37" t="n">
        <x:f>COUNTIFS('Decors'!$D$7:$D$14,"Extrapolation")</x:f>
        <x:v>8</x:v>
      </x:c>
      <x:c r="J16" s="37" t="n">
        <x:f>COUNTIFS('Decors'!$D$7:$D$14,"Coupé attesté")</x:f>
        <x:v>0</x:v>
      </x:c>
      <x:c r="K16" s="37" t="n">
        <x:f>COUNTIFS('Decors'!$D$7:$D$14,"Concept abandonné")</x:f>
        <x:v>0</x:v>
      </x:c>
      <x:c r="L16" s="37" t="n">
        <x:f>COUNTIFS('Decors'!$D$7:$D$14,"Allégation écartée")</x:f>
        <x:v>0</x:v>
      </x:c>
      <x:c r="M16" s="37" t="n">
        <x:f>COUNTIFS('Decors'!$E$7:$E$14,"P0")</x:f>
        <x:v>0</x:v>
      </x:c>
    </x:row>
    <x:row r="17" ht="22" customHeight="1">
      <x:c r="A17" s="2" t="str">
        <x:v>Props</x:v>
      </x:c>
      <x:c r="B17" s="38" t="n">
        <x:f>COUNTA('Props'!$A$7:$A$7)</x:f>
        <x:v>1</x:v>
      </x:c>
      <x:c r="C17" s="38" t="n">
        <x:f>COUNTIFS('Props'!$C$7:$C$7,"Défini")</x:f>
        <x:v>1</x:v>
      </x:c>
      <x:c r="D17" s="38" t="n">
        <x:f>COUNTIFS('Props'!$C$7:$C$7,"Prototype")</x:f>
        <x:v>0</x:v>
      </x:c>
      <x:c r="E17" s="38" t="n">
        <x:f>COUNTIFS('Props'!$C$7:$C$7,"Intégré")</x:f>
        <x:v>0</x:v>
      </x:c>
      <x:c r="F17" s="38" t="n">
        <x:f>COUNTIFS('Props'!$C$7:$C$7,"Validé")</x:f>
        <x:v>0</x:v>
      </x:c>
      <x:c r="G17" s="38" t="n">
        <x:f>COUNTIFS('Props'!$D$7:$D$7,"Établi")</x:f>
        <x:v>1</x:v>
      </x:c>
      <x:c r="H17" s="38" t="n">
        <x:f>COUNTIFS('Props'!$D$7:$D$7,"À vérifier")</x:f>
        <x:v>0</x:v>
      </x:c>
      <x:c r="I17" s="38" t="n">
        <x:f>COUNTIFS('Props'!$D$7:$D$7,"Extrapolation")</x:f>
        <x:v>0</x:v>
      </x:c>
      <x:c r="J17" s="38" t="n">
        <x:f>COUNTIFS('Props'!$D$7:$D$7,"Coupé attesté")</x:f>
        <x:v>0</x:v>
      </x:c>
      <x:c r="K17" s="38" t="n">
        <x:f>COUNTIFS('Props'!$D$7:$D$7,"Concept abandonné")</x:f>
        <x:v>0</x:v>
      </x:c>
      <x:c r="L17" s="38" t="n">
        <x:f>COUNTIFS('Props'!$D$7:$D$7,"Allégation écartée")</x:f>
        <x:v>0</x:v>
      </x:c>
      <x:c r="M17" s="38" t="n">
        <x:f>COUNTIFS('Props'!$E$7:$E$7,"P0")</x:f>
        <x:v>0</x:v>
      </x:c>
    </x:row>
    <x:row r="18" ht="22" customHeight="1">
      <x:c r="A18" s="33" t="str">
        <x:v>Ennemis et boss</x:v>
      </x:c>
      <x:c r="B18" s="37" t="n">
        <x:f>COUNTA('Ennemis_boss'!$A$7:$A$10)</x:f>
        <x:v>4</x:v>
      </x:c>
      <x:c r="C18" s="37" t="n">
        <x:f>COUNTIFS('Ennemis_boss'!$C$7:$C$10,"Défini")</x:f>
        <x:v>4</x:v>
      </x:c>
      <x:c r="D18" s="37" t="n">
        <x:f>COUNTIFS('Ennemis_boss'!$C$7:$C$10,"Prototype")</x:f>
        <x:v>0</x:v>
      </x:c>
      <x:c r="E18" s="37" t="n">
        <x:f>COUNTIFS('Ennemis_boss'!$C$7:$C$10,"Intégré")</x:f>
        <x:v>0</x:v>
      </x:c>
      <x:c r="F18" s="37" t="n">
        <x:f>COUNTIFS('Ennemis_boss'!$C$7:$C$10,"Validé")</x:f>
        <x:v>0</x:v>
      </x:c>
      <x:c r="G18" s="37" t="n">
        <x:f>COUNTIFS('Ennemis_boss'!$D$7:$D$10,"Établi")</x:f>
        <x:v>0</x:v>
      </x:c>
      <x:c r="H18" s="37" t="n">
        <x:f>COUNTIFS('Ennemis_boss'!$D$7:$D$10,"À vérifier")</x:f>
        <x:v>0</x:v>
      </x:c>
      <x:c r="I18" s="37" t="n">
        <x:f>COUNTIFS('Ennemis_boss'!$D$7:$D$10,"Extrapolation")</x:f>
        <x:v>4</x:v>
      </x:c>
      <x:c r="J18" s="37" t="n">
        <x:f>COUNTIFS('Ennemis_boss'!$D$7:$D$10,"Coupé attesté")</x:f>
        <x:v>0</x:v>
      </x:c>
      <x:c r="K18" s="37" t="n">
        <x:f>COUNTIFS('Ennemis_boss'!$D$7:$D$10,"Concept abandonné")</x:f>
        <x:v>0</x:v>
      </x:c>
      <x:c r="L18" s="37" t="n">
        <x:f>COUNTIFS('Ennemis_boss'!$D$7:$D$10,"Allégation écartée")</x:f>
        <x:v>0</x:v>
      </x:c>
      <x:c r="M18" s="37" t="n">
        <x:f>COUNTIFS('Ennemis_boss'!$E$7:$E$10,"P0")</x:f>
        <x:v>0</x:v>
      </x:c>
    </x:row>
    <x:row r="19" ht="22" customHeight="1">
      <x:c r="A19" s="2" t="str">
        <x:v>Missions</x:v>
      </x:c>
      <x:c r="B19" s="38" t="n">
        <x:f>COUNTA('Missions'!$A$7:$A$14)</x:f>
        <x:v>8</x:v>
      </x:c>
      <x:c r="C19" s="38" t="n">
        <x:f>COUNTIFS('Missions'!$C$7:$C$14,"Défini")</x:f>
        <x:v>8</x:v>
      </x:c>
      <x:c r="D19" s="38" t="n">
        <x:f>COUNTIFS('Missions'!$C$7:$C$14,"Prototype")</x:f>
        <x:v>0</x:v>
      </x:c>
      <x:c r="E19" s="38" t="n">
        <x:f>COUNTIFS('Missions'!$C$7:$C$14,"Intégré")</x:f>
        <x:v>0</x:v>
      </x:c>
      <x:c r="F19" s="38" t="n">
        <x:f>COUNTIFS('Missions'!$C$7:$C$14,"Validé")</x:f>
        <x:v>0</x:v>
      </x:c>
      <x:c r="G19" s="38" t="n">
        <x:f>COUNTIFS('Missions'!$D$7:$D$14,"Établi")</x:f>
        <x:v>0</x:v>
      </x:c>
      <x:c r="H19" s="38" t="n">
        <x:f>COUNTIFS('Missions'!$D$7:$D$14,"À vérifier")</x:f>
        <x:v>0</x:v>
      </x:c>
      <x:c r="I19" s="38" t="n">
        <x:f>COUNTIFS('Missions'!$D$7:$D$14,"Extrapolation")</x:f>
        <x:v>8</x:v>
      </x:c>
      <x:c r="J19" s="38" t="n">
        <x:f>COUNTIFS('Missions'!$D$7:$D$14,"Coupé attesté")</x:f>
        <x:v>0</x:v>
      </x:c>
      <x:c r="K19" s="38" t="n">
        <x:f>COUNTIFS('Missions'!$D$7:$D$14,"Concept abandonné")</x:f>
        <x:v>0</x:v>
      </x:c>
      <x:c r="L19" s="38" t="n">
        <x:f>COUNTIFS('Missions'!$D$7:$D$14,"Allégation écartée")</x:f>
        <x:v>0</x:v>
      </x:c>
      <x:c r="M19" s="38" t="n">
        <x:f>COUNTIFS('Missions'!$E$7:$E$14,"P0")</x:f>
        <x:v>8</x:v>
      </x:c>
    </x:row>
    <x:row r="20" ht="22" customHeight="1">
      <x:c r="A20" s="33" t="str">
        <x:v>Secondaires et DLC</x:v>
      </x:c>
      <x:c r="B20" s="37" t="n">
        <x:f>COUNTA('Secondaires_DLC'!$A$7:$A$14)</x:f>
        <x:v>8</x:v>
      </x:c>
      <x:c r="C20" s="37" t="n">
        <x:f>COUNTIFS('Secondaires_DLC'!$C$7:$C$14,"Défini")</x:f>
        <x:v>8</x:v>
      </x:c>
      <x:c r="D20" s="37" t="n">
        <x:f>COUNTIFS('Secondaires_DLC'!$C$7:$C$14,"Prototype")</x:f>
        <x:v>0</x:v>
      </x:c>
      <x:c r="E20" s="37" t="n">
        <x:f>COUNTIFS('Secondaires_DLC'!$C$7:$C$14,"Intégré")</x:f>
        <x:v>0</x:v>
      </x:c>
      <x:c r="F20" s="37" t="n">
        <x:f>COUNTIFS('Secondaires_DLC'!$C$7:$C$14,"Validé")</x:f>
        <x:v>0</x:v>
      </x:c>
      <x:c r="G20" s="37" t="n">
        <x:f>COUNTIFS('Secondaires_DLC'!$D$7:$D$14,"Établi")</x:f>
        <x:v>0</x:v>
      </x:c>
      <x:c r="H20" s="37" t="n">
        <x:f>COUNTIFS('Secondaires_DLC'!$D$7:$D$14,"À vérifier")</x:f>
        <x:v>0</x:v>
      </x:c>
      <x:c r="I20" s="37" t="n">
        <x:f>COUNTIFS('Secondaires_DLC'!$D$7:$D$14,"Extrapolation")</x:f>
        <x:v>8</x:v>
      </x:c>
      <x:c r="J20" s="37" t="n">
        <x:f>COUNTIFS('Secondaires_DLC'!$D$7:$D$14,"Coupé attesté")</x:f>
        <x:v>0</x:v>
      </x:c>
      <x:c r="K20" s="37" t="n">
        <x:f>COUNTIFS('Secondaires_DLC'!$D$7:$D$14,"Concept abandonné")</x:f>
        <x:v>0</x:v>
      </x:c>
      <x:c r="L20" s="37" t="n">
        <x:f>COUNTIFS('Secondaires_DLC'!$D$7:$D$14,"Allégation écartée")</x:f>
        <x:v>0</x:v>
      </x:c>
      <x:c r="M20" s="37" t="n">
        <x:f>COUNTIFS('Secondaires_DLC'!$E$7:$E$14,"P0")</x:f>
        <x:v>0</x:v>
      </x:c>
    </x:row>
    <x:row r="21" ht="22" customHeight="1">
      <x:c r="A21" s="2" t="str">
        <x:v>Choix et relations</x:v>
      </x:c>
      <x:c r="B21" s="38" t="n">
        <x:f>COUNTA('Choix_relations'!$A$7:$A$14)</x:f>
        <x:v>8</x:v>
      </x:c>
      <x:c r="C21" s="38" t="n">
        <x:f>COUNTIFS('Choix_relations'!$C$7:$C$14,"Défini")</x:f>
        <x:v>8</x:v>
      </x:c>
      <x:c r="D21" s="38" t="n">
        <x:f>COUNTIFS('Choix_relations'!$C$7:$C$14,"Prototype")</x:f>
        <x:v>0</x:v>
      </x:c>
      <x:c r="E21" s="38" t="n">
        <x:f>COUNTIFS('Choix_relations'!$C$7:$C$14,"Intégré")</x:f>
        <x:v>0</x:v>
      </x:c>
      <x:c r="F21" s="38" t="n">
        <x:f>COUNTIFS('Choix_relations'!$C$7:$C$14,"Validé")</x:f>
        <x:v>0</x:v>
      </x:c>
      <x:c r="G21" s="38" t="n">
        <x:f>COUNTIFS('Choix_relations'!$D$7:$D$14,"Établi")</x:f>
        <x:v>0</x:v>
      </x:c>
      <x:c r="H21" s="38" t="n">
        <x:f>COUNTIFS('Choix_relations'!$D$7:$D$14,"À vérifier")</x:f>
        <x:v>0</x:v>
      </x:c>
      <x:c r="I21" s="38" t="n">
        <x:f>COUNTIFS('Choix_relations'!$D$7:$D$14,"Extrapolation")</x:f>
        <x:v>8</x:v>
      </x:c>
      <x:c r="J21" s="38" t="n">
        <x:f>COUNTIFS('Choix_relations'!$D$7:$D$14,"Coupé attesté")</x:f>
        <x:v>0</x:v>
      </x:c>
      <x:c r="K21" s="38" t="n">
        <x:f>COUNTIFS('Choix_relations'!$D$7:$D$14,"Concept abandonné")</x:f>
        <x:v>0</x:v>
      </x:c>
      <x:c r="L21" s="38" t="n">
        <x:f>COUNTIFS('Choix_relations'!$D$7:$D$14,"Allégation écartée")</x:f>
        <x:v>0</x:v>
      </x:c>
      <x:c r="M21" s="38" t="n">
        <x:f>COUNTIFS('Choix_relations'!$E$7:$E$14,"P0")</x:f>
        <x:v>0</x:v>
      </x:c>
    </x:row>
    <x:row r="22" ht="22" customHeight="1">
      <x:c r="A22" s="33" t="str">
        <x:v>Dialogues</x:v>
      </x:c>
      <x:c r="B22" s="37" t="n">
        <x:f>COUNTA('Dialogues'!$A$7:$A$16)</x:f>
        <x:v>10</x:v>
      </x:c>
      <x:c r="C22" s="37" t="n">
        <x:f>COUNTIFS('Dialogues'!$C$7:$C$16,"Défini")</x:f>
        <x:v>10</x:v>
      </x:c>
      <x:c r="D22" s="37" t="n">
        <x:f>COUNTIFS('Dialogues'!$C$7:$C$16,"Prototype")</x:f>
        <x:v>0</x:v>
      </x:c>
      <x:c r="E22" s="37" t="n">
        <x:f>COUNTIFS('Dialogues'!$C$7:$C$16,"Intégré")</x:f>
        <x:v>0</x:v>
      </x:c>
      <x:c r="F22" s="37" t="n">
        <x:f>COUNTIFS('Dialogues'!$C$7:$C$16,"Validé")</x:f>
        <x:v>0</x:v>
      </x:c>
      <x:c r="G22" s="37" t="n">
        <x:f>COUNTIFS('Dialogues'!$D$7:$D$16,"Établi")</x:f>
        <x:v>0</x:v>
      </x:c>
      <x:c r="H22" s="37" t="n">
        <x:f>COUNTIFS('Dialogues'!$D$7:$D$16,"À vérifier")</x:f>
        <x:v>0</x:v>
      </x:c>
      <x:c r="I22" s="37" t="n">
        <x:f>COUNTIFS('Dialogues'!$D$7:$D$16,"Extrapolation")</x:f>
        <x:v>10</x:v>
      </x:c>
      <x:c r="J22" s="37" t="n">
        <x:f>COUNTIFS('Dialogues'!$D$7:$D$16,"Coupé attesté")</x:f>
        <x:v>0</x:v>
      </x:c>
      <x:c r="K22" s="37" t="n">
        <x:f>COUNTIFS('Dialogues'!$D$7:$D$16,"Concept abandonné")</x:f>
        <x:v>0</x:v>
      </x:c>
      <x:c r="L22" s="37" t="n">
        <x:f>COUNTIFS('Dialogues'!$D$7:$D$16,"Allégation écartée")</x:f>
        <x:v>0</x:v>
      </x:c>
      <x:c r="M22" s="37" t="n">
        <x:f>COUNTIFS('Dialogues'!$E$7:$E$16,"P0")</x:f>
        <x:v>0</x:v>
      </x:c>
    </x:row>
    <x:row r="23" ht="22" customHeight="1">
      <x:c r="A23" s="2" t="str">
        <x:v>Cinématiques</x:v>
      </x:c>
      <x:c r="B23" s="38" t="n">
        <x:f>COUNTA('Cinematiques'!$A$7:$A$14)</x:f>
        <x:v>8</x:v>
      </x:c>
      <x:c r="C23" s="38" t="n">
        <x:f>COUNTIFS('Cinematiques'!$C$7:$C$14,"Défini")</x:f>
        <x:v>8</x:v>
      </x:c>
      <x:c r="D23" s="38" t="n">
        <x:f>COUNTIFS('Cinematiques'!$C$7:$C$14,"Prototype")</x:f>
        <x:v>0</x:v>
      </x:c>
      <x:c r="E23" s="38" t="n">
        <x:f>COUNTIFS('Cinematiques'!$C$7:$C$14,"Intégré")</x:f>
        <x:v>0</x:v>
      </x:c>
      <x:c r="F23" s="38" t="n">
        <x:f>COUNTIFS('Cinematiques'!$C$7:$C$14,"Validé")</x:f>
        <x:v>0</x:v>
      </x:c>
      <x:c r="G23" s="38" t="n">
        <x:f>COUNTIFS('Cinematiques'!$D$7:$D$14,"Établi")</x:f>
        <x:v>0</x:v>
      </x:c>
      <x:c r="H23" s="38" t="n">
        <x:f>COUNTIFS('Cinematiques'!$D$7:$D$14,"À vérifier")</x:f>
        <x:v>0</x:v>
      </x:c>
      <x:c r="I23" s="38" t="n">
        <x:f>COUNTIFS('Cinematiques'!$D$7:$D$14,"Extrapolation")</x:f>
        <x:v>8</x:v>
      </x:c>
      <x:c r="J23" s="38" t="n">
        <x:f>COUNTIFS('Cinematiques'!$D$7:$D$14,"Coupé attesté")</x:f>
        <x:v>0</x:v>
      </x:c>
      <x:c r="K23" s="38" t="n">
        <x:f>COUNTIFS('Cinematiques'!$D$7:$D$14,"Concept abandonné")</x:f>
        <x:v>0</x:v>
      </x:c>
      <x:c r="L23" s="38" t="n">
        <x:f>COUNTIFS('Cinematiques'!$D$7:$D$14,"Allégation écartée")</x:f>
        <x:v>0</x:v>
      </x:c>
      <x:c r="M23" s="38" t="n">
        <x:f>COUNTIFS('Cinematiques'!$E$7:$E$14,"P0")</x:f>
        <x:v>0</x:v>
      </x:c>
    </x:row>
    <x:row r="24" ht="22" customHeight="1">
      <x:c r="A24" s="33" t="str">
        <x:v>Armes</x:v>
      </x:c>
      <x:c r="B24" s="37" t="n">
        <x:f>COUNTA('Armes'!$A$7:$A$7)</x:f>
        <x:v>1</x:v>
      </x:c>
      <x:c r="C24" s="37" t="n">
        <x:f>COUNTIFS('Armes'!$C$7:$C$7,"Défini")</x:f>
        <x:v>1</x:v>
      </x:c>
      <x:c r="D24" s="37" t="n">
        <x:f>COUNTIFS('Armes'!$C$7:$C$7,"Prototype")</x:f>
        <x:v>0</x:v>
      </x:c>
      <x:c r="E24" s="37" t="n">
        <x:f>COUNTIFS('Armes'!$C$7:$C$7,"Intégré")</x:f>
        <x:v>0</x:v>
      </x:c>
      <x:c r="F24" s="37" t="n">
        <x:f>COUNTIFS('Armes'!$C$7:$C$7,"Validé")</x:f>
        <x:v>0</x:v>
      </x:c>
      <x:c r="G24" s="37" t="n">
        <x:f>COUNTIFS('Armes'!$D$7:$D$7,"Établi")</x:f>
        <x:v>1</x:v>
      </x:c>
      <x:c r="H24" s="37" t="n">
        <x:f>COUNTIFS('Armes'!$D$7:$D$7,"À vérifier")</x:f>
        <x:v>0</x:v>
      </x:c>
      <x:c r="I24" s="37" t="n">
        <x:f>COUNTIFS('Armes'!$D$7:$D$7,"Extrapolation")</x:f>
        <x:v>0</x:v>
      </x:c>
      <x:c r="J24" s="37" t="n">
        <x:f>COUNTIFS('Armes'!$D$7:$D$7,"Coupé attesté")</x:f>
        <x:v>0</x:v>
      </x:c>
      <x:c r="K24" s="37" t="n">
        <x:f>COUNTIFS('Armes'!$D$7:$D$7,"Concept abandonné")</x:f>
        <x:v>0</x:v>
      </x:c>
      <x:c r="L24" s="37" t="n">
        <x:f>COUNTIFS('Armes'!$D$7:$D$7,"Allégation écartée")</x:f>
        <x:v>0</x:v>
      </x:c>
      <x:c r="M24" s="37" t="n">
        <x:f>COUNTIFS('Armes'!$E$7:$E$7,"P0")</x:f>
        <x:v>0</x:v>
      </x:c>
    </x:row>
    <x:row r="25" ht="22" customHeight="1">
      <x:c r="A25" s="2" t="str">
        <x:v>Armures et équipement</x:v>
      </x:c>
      <x:c r="B25" s="38" t="n">
        <x:f>COUNTA('Armures_equipement'!$A$7:$A$9)</x:f>
        <x:v>3</x:v>
      </x:c>
      <x:c r="C25" s="38" t="n">
        <x:f>COUNTIFS('Armures_equipement'!$C$7:$C$9,"Défini")</x:f>
        <x:v>3</x:v>
      </x:c>
      <x:c r="D25" s="38" t="n">
        <x:f>COUNTIFS('Armures_equipement'!$C$7:$C$9,"Prototype")</x:f>
        <x:v>0</x:v>
      </x:c>
      <x:c r="E25" s="38" t="n">
        <x:f>COUNTIFS('Armures_equipement'!$C$7:$C$9,"Intégré")</x:f>
        <x:v>0</x:v>
      </x:c>
      <x:c r="F25" s="38" t="n">
        <x:f>COUNTIFS('Armures_equipement'!$C$7:$C$9,"Validé")</x:f>
        <x:v>0</x:v>
      </x:c>
      <x:c r="G25" s="38" t="n">
        <x:f>COUNTIFS('Armures_equipement'!$D$7:$D$9,"Établi")</x:f>
        <x:v>3</x:v>
      </x:c>
      <x:c r="H25" s="38" t="n">
        <x:f>COUNTIFS('Armures_equipement'!$D$7:$D$9,"À vérifier")</x:f>
        <x:v>0</x:v>
      </x:c>
      <x:c r="I25" s="38" t="n">
        <x:f>COUNTIFS('Armures_equipement'!$D$7:$D$9,"Extrapolation")</x:f>
        <x:v>0</x:v>
      </x:c>
      <x:c r="J25" s="38" t="n">
        <x:f>COUNTIFS('Armures_equipement'!$D$7:$D$9,"Coupé attesté")</x:f>
        <x:v>0</x:v>
      </x:c>
      <x:c r="K25" s="38" t="n">
        <x:f>COUNTIFS('Armures_equipement'!$D$7:$D$9,"Concept abandonné")</x:f>
        <x:v>0</x:v>
      </x:c>
      <x:c r="L25" s="38" t="n">
        <x:f>COUNTIFS('Armures_equipement'!$D$7:$D$9,"Allégation écartée")</x:f>
        <x:v>0</x:v>
      </x:c>
      <x:c r="M25" s="38" t="n">
        <x:f>COUNTIFS('Armures_equipement'!$E$7:$E$9,"P0")</x:f>
        <x:v>0</x:v>
      </x:c>
    </x:row>
    <x:row r="26" ht="22" customHeight="1">
      <x:c r="A26" s="33" t="str">
        <x:v>Pouvoirs</x:v>
      </x:c>
      <x:c r="B26" s="37" t="n">
        <x:f>COUNTA('Pouvoirs'!$A$7:$A$8)</x:f>
        <x:v>2</x:v>
      </x:c>
      <x:c r="C26" s="37" t="n">
        <x:f>COUNTIFS('Pouvoirs'!$C$7:$C$8,"Défini")</x:f>
        <x:v>2</x:v>
      </x:c>
      <x:c r="D26" s="37" t="n">
        <x:f>COUNTIFS('Pouvoirs'!$C$7:$C$8,"Prototype")</x:f>
        <x:v>0</x:v>
      </x:c>
      <x:c r="E26" s="37" t="n">
        <x:f>COUNTIFS('Pouvoirs'!$C$7:$C$8,"Intégré")</x:f>
        <x:v>0</x:v>
      </x:c>
      <x:c r="F26" s="37" t="n">
        <x:f>COUNTIFS('Pouvoirs'!$C$7:$C$8,"Validé")</x:f>
        <x:v>0</x:v>
      </x:c>
      <x:c r="G26" s="37" t="n">
        <x:f>COUNTIFS('Pouvoirs'!$D$7:$D$8,"Établi")</x:f>
        <x:v>2</x:v>
      </x:c>
      <x:c r="H26" s="37" t="n">
        <x:f>COUNTIFS('Pouvoirs'!$D$7:$D$8,"À vérifier")</x:f>
        <x:v>0</x:v>
      </x:c>
      <x:c r="I26" s="37" t="n">
        <x:f>COUNTIFS('Pouvoirs'!$D$7:$D$8,"Extrapolation")</x:f>
        <x:v>0</x:v>
      </x:c>
      <x:c r="J26" s="37" t="n">
        <x:f>COUNTIFS('Pouvoirs'!$D$7:$D$8,"Coupé attesté")</x:f>
        <x:v>0</x:v>
      </x:c>
      <x:c r="K26" s="37" t="n">
        <x:f>COUNTIFS('Pouvoirs'!$D$7:$D$8,"Concept abandonné")</x:f>
        <x:v>0</x:v>
      </x:c>
      <x:c r="L26" s="37" t="n">
        <x:f>COUNTIFS('Pouvoirs'!$D$7:$D$8,"Allégation écartée")</x:f>
        <x:v>0</x:v>
      </x:c>
      <x:c r="M26" s="37" t="n">
        <x:f>COUNTIFS('Pouvoirs'!$E$7:$E$8,"P0")</x:f>
        <x:v>0</x:v>
      </x:c>
    </x:row>
    <x:row r="27" ht="22" customHeight="1">
      <x:c r="A27" s="2" t="str">
        <x:v>Movesets alliés</x:v>
      </x:c>
      <x:c r="B27" s="38" t="n">
        <x:f>COUNTA('Movesets_allies'!$A$7:$A$12)</x:f>
        <x:v>6</x:v>
      </x:c>
      <x:c r="C27" s="38" t="n">
        <x:f>COUNTIFS('Movesets_allies'!$C$7:$C$12,"Défini")</x:f>
        <x:v>6</x:v>
      </x:c>
      <x:c r="D27" s="38" t="n">
        <x:f>COUNTIFS('Movesets_allies'!$C$7:$C$12,"Prototype")</x:f>
        <x:v>0</x:v>
      </x:c>
      <x:c r="E27" s="38" t="n">
        <x:f>COUNTIFS('Movesets_allies'!$C$7:$C$12,"Intégré")</x:f>
        <x:v>0</x:v>
      </x:c>
      <x:c r="F27" s="38" t="n">
        <x:f>COUNTIFS('Movesets_allies'!$C$7:$C$12,"Validé")</x:f>
        <x:v>0</x:v>
      </x:c>
      <x:c r="G27" s="38" t="n">
        <x:f>COUNTIFS('Movesets_allies'!$D$7:$D$12,"Établi")</x:f>
        <x:v>0</x:v>
      </x:c>
      <x:c r="H27" s="38" t="n">
        <x:f>COUNTIFS('Movesets_allies'!$D$7:$D$12,"À vérifier")</x:f>
        <x:v>0</x:v>
      </x:c>
      <x:c r="I27" s="38" t="n">
        <x:f>COUNTIFS('Movesets_allies'!$D$7:$D$12,"Extrapolation")</x:f>
        <x:v>6</x:v>
      </x:c>
      <x:c r="J27" s="38" t="n">
        <x:f>COUNTIFS('Movesets_allies'!$D$7:$D$12,"Coupé attesté")</x:f>
        <x:v>0</x:v>
      </x:c>
      <x:c r="K27" s="38" t="n">
        <x:f>COUNTIFS('Movesets_allies'!$D$7:$D$12,"Concept abandonné")</x:f>
        <x:v>0</x:v>
      </x:c>
      <x:c r="L27" s="38" t="n">
        <x:f>COUNTIFS('Movesets_allies'!$D$7:$D$12,"Allégation écartée")</x:f>
        <x:v>0</x:v>
      </x:c>
      <x:c r="M27" s="38" t="n">
        <x:f>COUNTIFS('Movesets_allies'!$E$7:$E$12,"P0")</x:f>
        <x:v>0</x:v>
      </x:c>
    </x:row>
    <x:row r="28" ht="22" customHeight="1">
      <x:c r="A28" s="33" t="str">
        <x:v>Movesets ennemis</x:v>
      </x:c>
      <x:c r="B28" s="37" t="n">
        <x:f>COUNTA('Movesets_ennemis'!$A$7:$A$10)</x:f>
        <x:v>4</x:v>
      </x:c>
      <x:c r="C28" s="37" t="n">
        <x:f>COUNTIFS('Movesets_ennemis'!$C$7:$C$10,"Défini")</x:f>
        <x:v>4</x:v>
      </x:c>
      <x:c r="D28" s="37" t="n">
        <x:f>COUNTIFS('Movesets_ennemis'!$C$7:$C$10,"Prototype")</x:f>
        <x:v>0</x:v>
      </x:c>
      <x:c r="E28" s="37" t="n">
        <x:f>COUNTIFS('Movesets_ennemis'!$C$7:$C$10,"Intégré")</x:f>
        <x:v>0</x:v>
      </x:c>
      <x:c r="F28" s="37" t="n">
        <x:f>COUNTIFS('Movesets_ennemis'!$C$7:$C$10,"Validé")</x:f>
        <x:v>0</x:v>
      </x:c>
      <x:c r="G28" s="37" t="n">
        <x:f>COUNTIFS('Movesets_ennemis'!$D$7:$D$10,"Établi")</x:f>
        <x:v>0</x:v>
      </x:c>
      <x:c r="H28" s="37" t="n">
        <x:f>COUNTIFS('Movesets_ennemis'!$D$7:$D$10,"À vérifier")</x:f>
        <x:v>0</x:v>
      </x:c>
      <x:c r="I28" s="37" t="n">
        <x:f>COUNTIFS('Movesets_ennemis'!$D$7:$D$10,"Extrapolation")</x:f>
        <x:v>4</x:v>
      </x:c>
      <x:c r="J28" s="37" t="n">
        <x:f>COUNTIFS('Movesets_ennemis'!$D$7:$D$10,"Coupé attesté")</x:f>
        <x:v>0</x:v>
      </x:c>
      <x:c r="K28" s="37" t="n">
        <x:f>COUNTIFS('Movesets_ennemis'!$D$7:$D$10,"Concept abandonné")</x:f>
        <x:v>0</x:v>
      </x:c>
      <x:c r="L28" s="37" t="n">
        <x:f>COUNTIFS('Movesets_ennemis'!$D$7:$D$10,"Allégation écartée")</x:f>
        <x:v>0</x:v>
      </x:c>
      <x:c r="M28" s="37" t="n">
        <x:f>COUNTIFS('Movesets_ennemis'!$E$7:$E$10,"P0")</x:f>
        <x:v>0</x:v>
      </x:c>
    </x:row>
    <x:row r="29" ht="22" customHeight="1">
      <x:c r="A29" s="2" t="str">
        <x:v>Animations</x:v>
      </x:c>
      <x:c r="B29" s="38" t="n">
        <x:f>COUNTA('Animations'!$A$7:$A$16)</x:f>
        <x:v>10</x:v>
      </x:c>
      <x:c r="C29" s="38" t="n">
        <x:f>COUNTIFS('Animations'!$C$7:$C$16,"Défini")</x:f>
        <x:v>10</x:v>
      </x:c>
      <x:c r="D29" s="38" t="n">
        <x:f>COUNTIFS('Animations'!$C$7:$C$16,"Prototype")</x:f>
        <x:v>0</x:v>
      </x:c>
      <x:c r="E29" s="38" t="n">
        <x:f>COUNTIFS('Animations'!$C$7:$C$16,"Intégré")</x:f>
        <x:v>0</x:v>
      </x:c>
      <x:c r="F29" s="38" t="n">
        <x:f>COUNTIFS('Animations'!$C$7:$C$16,"Validé")</x:f>
        <x:v>0</x:v>
      </x:c>
      <x:c r="G29" s="38" t="n">
        <x:f>COUNTIFS('Animations'!$D$7:$D$16,"Établi")</x:f>
        <x:v>0</x:v>
      </x:c>
      <x:c r="H29" s="38" t="n">
        <x:f>COUNTIFS('Animations'!$D$7:$D$16,"À vérifier")</x:f>
        <x:v>0</x:v>
      </x:c>
      <x:c r="I29" s="38" t="n">
        <x:f>COUNTIFS('Animations'!$D$7:$D$16,"Extrapolation")</x:f>
        <x:v>10</x:v>
      </x:c>
      <x:c r="J29" s="38" t="n">
        <x:f>COUNTIFS('Animations'!$D$7:$D$16,"Coupé attesté")</x:f>
        <x:v>0</x:v>
      </x:c>
      <x:c r="K29" s="38" t="n">
        <x:f>COUNTIFS('Animations'!$D$7:$D$16,"Concept abandonné")</x:f>
        <x:v>0</x:v>
      </x:c>
      <x:c r="L29" s="38" t="n">
        <x:f>COUNTIFS('Animations'!$D$7:$D$16,"Allégation écartée")</x:f>
        <x:v>0</x:v>
      </x:c>
      <x:c r="M29" s="38" t="n">
        <x:f>COUNTIFS('Animations'!$E$7:$E$16,"P0")</x:f>
        <x:v>0</x:v>
      </x:c>
    </x:row>
    <x:row r="30" ht="22" customHeight="1">
      <x:c r="A30" s="33" t="str">
        <x:v>Sprites</x:v>
      </x:c>
      <x:c r="B30" s="37" t="n">
        <x:f>COUNTA('Sprites'!$A$7:$A$16)</x:f>
        <x:v>10</x:v>
      </x:c>
      <x:c r="C30" s="37" t="n">
        <x:f>COUNTIFS('Sprites'!$C$7:$C$16,"Défini")</x:f>
        <x:v>10</x:v>
      </x:c>
      <x:c r="D30" s="37" t="n">
        <x:f>COUNTIFS('Sprites'!$C$7:$C$16,"Prototype")</x:f>
        <x:v>0</x:v>
      </x:c>
      <x:c r="E30" s="37" t="n">
        <x:f>COUNTIFS('Sprites'!$C$7:$C$16,"Intégré")</x:f>
        <x:v>0</x:v>
      </x:c>
      <x:c r="F30" s="37" t="n">
        <x:f>COUNTIFS('Sprites'!$C$7:$C$16,"Validé")</x:f>
        <x:v>0</x:v>
      </x:c>
      <x:c r="G30" s="37" t="n">
        <x:f>COUNTIFS('Sprites'!$D$7:$D$16,"Établi")</x:f>
        <x:v>0</x:v>
      </x:c>
      <x:c r="H30" s="37" t="n">
        <x:f>COUNTIFS('Sprites'!$D$7:$D$16,"À vérifier")</x:f>
        <x:v>0</x:v>
      </x:c>
      <x:c r="I30" s="37" t="n">
        <x:f>COUNTIFS('Sprites'!$D$7:$D$16,"Extrapolation")</x:f>
        <x:v>10</x:v>
      </x:c>
      <x:c r="J30" s="37" t="n">
        <x:f>COUNTIFS('Sprites'!$D$7:$D$16,"Coupé attesté")</x:f>
        <x:v>0</x:v>
      </x:c>
      <x:c r="K30" s="37" t="n">
        <x:f>COUNTIFS('Sprites'!$D$7:$D$16,"Concept abandonné")</x:f>
        <x:v>0</x:v>
      </x:c>
      <x:c r="L30" s="37" t="n">
        <x:f>COUNTIFS('Sprites'!$D$7:$D$16,"Allégation écartée")</x:f>
        <x:v>0</x:v>
      </x:c>
      <x:c r="M30" s="37" t="n">
        <x:f>COUNTIFS('Sprites'!$E$7:$E$16,"P0")</x:f>
        <x:v>0</x:v>
      </x:c>
    </x:row>
    <x:row r="31" ht="22" customHeight="1">
      <x:c r="A31" s="2" t="str">
        <x:v>VFX</x:v>
      </x:c>
      <x:c r="B31" s="38" t="n">
        <x:f>COUNTA('VFX'!$A$7:$A$10)</x:f>
        <x:v>4</x:v>
      </x:c>
      <x:c r="C31" s="38" t="n">
        <x:f>COUNTIFS('VFX'!$C$7:$C$10,"Défini")</x:f>
        <x:v>4</x:v>
      </x:c>
      <x:c r="D31" s="38" t="n">
        <x:f>COUNTIFS('VFX'!$C$7:$C$10,"Prototype")</x:f>
        <x:v>0</x:v>
      </x:c>
      <x:c r="E31" s="38" t="n">
        <x:f>COUNTIFS('VFX'!$C$7:$C$10,"Intégré")</x:f>
        <x:v>0</x:v>
      </x:c>
      <x:c r="F31" s="38" t="n">
        <x:f>COUNTIFS('VFX'!$C$7:$C$10,"Validé")</x:f>
        <x:v>0</x:v>
      </x:c>
      <x:c r="G31" s="38" t="n">
        <x:f>COUNTIFS('VFX'!$D$7:$D$10,"Établi")</x:f>
        <x:v>0</x:v>
      </x:c>
      <x:c r="H31" s="38" t="n">
        <x:f>COUNTIFS('VFX'!$D$7:$D$10,"À vérifier")</x:f>
        <x:v>0</x:v>
      </x:c>
      <x:c r="I31" s="38" t="n">
        <x:f>COUNTIFS('VFX'!$D$7:$D$10,"Extrapolation")</x:f>
        <x:v>4</x:v>
      </x:c>
      <x:c r="J31" s="38" t="n">
        <x:f>COUNTIFS('VFX'!$D$7:$D$10,"Coupé attesté")</x:f>
        <x:v>0</x:v>
      </x:c>
      <x:c r="K31" s="38" t="n">
        <x:f>COUNTIFS('VFX'!$D$7:$D$10,"Concept abandonné")</x:f>
        <x:v>0</x:v>
      </x:c>
      <x:c r="L31" s="38" t="n">
        <x:f>COUNTIFS('VFX'!$D$7:$D$10,"Allégation écartée")</x:f>
        <x:v>0</x:v>
      </x:c>
      <x:c r="M31" s="38" t="n">
        <x:f>COUNTIFS('VFX'!$E$7:$E$10,"P0")</x:f>
        <x:v>0</x:v>
      </x:c>
    </x:row>
    <x:row r="32" ht="22" customHeight="1">
      <x:c r="A32" s="33" t="str">
        <x:v>Audio</x:v>
      </x:c>
      <x:c r="B32" s="37" t="n">
        <x:f>COUNTA('Audio'!$A$7:$A$11)</x:f>
        <x:v>5</x:v>
      </x:c>
      <x:c r="C32" s="37" t="n">
        <x:f>COUNTIFS('Audio'!$C$7:$C$11,"Défini")</x:f>
        <x:v>5</x:v>
      </x:c>
      <x:c r="D32" s="37" t="n">
        <x:f>COUNTIFS('Audio'!$C$7:$C$11,"Prototype")</x:f>
        <x:v>0</x:v>
      </x:c>
      <x:c r="E32" s="37" t="n">
        <x:f>COUNTIFS('Audio'!$C$7:$C$11,"Intégré")</x:f>
        <x:v>0</x:v>
      </x:c>
      <x:c r="F32" s="37" t="n">
        <x:f>COUNTIFS('Audio'!$C$7:$C$11,"Validé")</x:f>
        <x:v>0</x:v>
      </x:c>
      <x:c r="G32" s="37" t="n">
        <x:f>COUNTIFS('Audio'!$D$7:$D$11,"Établi")</x:f>
        <x:v>0</x:v>
      </x:c>
      <x:c r="H32" s="37" t="n">
        <x:f>COUNTIFS('Audio'!$D$7:$D$11,"À vérifier")</x:f>
        <x:v>0</x:v>
      </x:c>
      <x:c r="I32" s="37" t="n">
        <x:f>COUNTIFS('Audio'!$D$7:$D$11,"Extrapolation")</x:f>
        <x:v>5</x:v>
      </x:c>
      <x:c r="J32" s="37" t="n">
        <x:f>COUNTIFS('Audio'!$D$7:$D$11,"Coupé attesté")</x:f>
        <x:v>0</x:v>
      </x:c>
      <x:c r="K32" s="37" t="n">
        <x:f>COUNTIFS('Audio'!$D$7:$D$11,"Concept abandonné")</x:f>
        <x:v>0</x:v>
      </x:c>
      <x:c r="L32" s="37" t="n">
        <x:f>COUNTIFS('Audio'!$D$7:$D$11,"Allégation écartée")</x:f>
        <x:v>0</x:v>
      </x:c>
      <x:c r="M32" s="37" t="n">
        <x:f>COUNTIFS('Audio'!$E$7:$E$11,"P0")</x:f>
        <x:v>0</x:v>
      </x:c>
    </x:row>
    <x:row r="33" ht="22" customHeight="1">
      <x:c r="A33" s="2" t="str">
        <x:v>Systèmes et UI</x:v>
      </x:c>
      <x:c r="B33" s="38" t="n">
        <x:f>COUNTA('UI_systemes'!$A$7:$A$14)</x:f>
        <x:v>8</x:v>
      </x:c>
      <x:c r="C33" s="38" t="n">
        <x:f>COUNTIFS('UI_systemes'!$C$7:$C$14,"Défini")</x:f>
        <x:v>8</x:v>
      </x:c>
      <x:c r="D33" s="38" t="n">
        <x:f>COUNTIFS('UI_systemes'!$C$7:$C$14,"Prototype")</x:f>
        <x:v>0</x:v>
      </x:c>
      <x:c r="E33" s="38" t="n">
        <x:f>COUNTIFS('UI_systemes'!$C$7:$C$14,"Intégré")</x:f>
        <x:v>0</x:v>
      </x:c>
      <x:c r="F33" s="38" t="n">
        <x:f>COUNTIFS('UI_systemes'!$C$7:$C$14,"Validé")</x:f>
        <x:v>0</x:v>
      </x:c>
      <x:c r="G33" s="38" t="n">
        <x:f>COUNTIFS('UI_systemes'!$D$7:$D$14,"Établi")</x:f>
        <x:v>0</x:v>
      </x:c>
      <x:c r="H33" s="38" t="n">
        <x:f>COUNTIFS('UI_systemes'!$D$7:$D$14,"À vérifier")</x:f>
        <x:v>0</x:v>
      </x:c>
      <x:c r="I33" s="38" t="n">
        <x:f>COUNTIFS('UI_systemes'!$D$7:$D$14,"Extrapolation")</x:f>
        <x:v>8</x:v>
      </x:c>
      <x:c r="J33" s="38" t="n">
        <x:f>COUNTIFS('UI_systemes'!$D$7:$D$14,"Coupé attesté")</x:f>
        <x:v>0</x:v>
      </x:c>
      <x:c r="K33" s="38" t="n">
        <x:f>COUNTIFS('UI_systemes'!$D$7:$D$14,"Concept abandonné")</x:f>
        <x:v>0</x:v>
      </x:c>
      <x:c r="L33" s="38" t="n">
        <x:f>COUNTIFS('UI_systemes'!$D$7:$D$14,"Allégation écartée")</x:f>
        <x:v>0</x:v>
      </x:c>
      <x:c r="M33" s="38" t="n">
        <x:f>COUNTIFS('UI_systemes'!$E$7:$E$14,"P0")</x:f>
        <x:v>2</x:v>
      </x:c>
    </x:row>
    <x:row r="34" ht="22" customHeight="1">
      <x:c r="A34" s="33" t="str">
        <x:v>QA</x:v>
      </x:c>
      <x:c r="B34" s="37" t="n">
        <x:f>COUNTA('QA'!$A$7:$A$18)</x:f>
        <x:v>12</x:v>
      </x:c>
      <x:c r="C34" s="37" t="n">
        <x:f>COUNTIFS('QA'!$C$7:$C$18,"Défini")</x:f>
        <x:v>12</x:v>
      </x:c>
      <x:c r="D34" s="37" t="n">
        <x:f>COUNTIFS('QA'!$C$7:$C$18,"Prototype")</x:f>
        <x:v>0</x:v>
      </x:c>
      <x:c r="E34" s="37" t="n">
        <x:f>COUNTIFS('QA'!$C$7:$C$18,"Intégré")</x:f>
        <x:v>0</x:v>
      </x:c>
      <x:c r="F34" s="37" t="n">
        <x:f>COUNTIFS('QA'!$C$7:$C$18,"Validé")</x:f>
        <x:v>0</x:v>
      </x:c>
      <x:c r="G34" s="37" t="n">
        <x:f>COUNTIFS('QA'!$D$7:$D$18,"Établi")</x:f>
        <x:v>0</x:v>
      </x:c>
      <x:c r="H34" s="37" t="n">
        <x:f>COUNTIFS('QA'!$D$7:$D$18,"À vérifier")</x:f>
        <x:v>0</x:v>
      </x:c>
      <x:c r="I34" s="37" t="n">
        <x:f>COUNTIFS('QA'!$D$7:$D$18,"Extrapolation")</x:f>
        <x:v>12</x:v>
      </x:c>
      <x:c r="J34" s="37" t="n">
        <x:f>COUNTIFS('QA'!$D$7:$D$18,"Coupé attesté")</x:f>
        <x:v>0</x:v>
      </x:c>
      <x:c r="K34" s="37" t="n">
        <x:f>COUNTIFS('QA'!$D$7:$D$18,"Concept abandonné")</x:f>
        <x:v>0</x:v>
      </x:c>
      <x:c r="L34" s="37" t="n">
        <x:f>COUNTIFS('QA'!$D$7:$D$18,"Allégation écartée")</x:f>
        <x:v>0</x:v>
      </x:c>
      <x:c r="M34" s="37" t="n">
        <x:f>COUNTIFS('QA'!$E$7:$E$18,"P0")</x:f>
        <x:v>3</x:v>
      </x:c>
    </x:row>
    <x:row r="35" ht="22" customHeight="1">
      <x:c r="A35" s="2" t="str">
        <x:v>Continuité</x:v>
      </x:c>
      <x:c r="B35" s="38" t="n">
        <x:f>COUNTA('Continuite'!$A$7:$A$13)</x:f>
        <x:v>7</x:v>
      </x:c>
      <x:c r="C35" s="38" t="n">
        <x:f>COUNTIFS('Continuite'!$C$7:$C$13,"Défini")</x:f>
        <x:v>6</x:v>
      </x:c>
      <x:c r="D35" s="38" t="n">
        <x:f>COUNTIFS('Continuite'!$C$7:$C$13,"Prototype")</x:f>
        <x:v>1</x:v>
      </x:c>
      <x:c r="E35" s="38" t="n">
        <x:f>COUNTIFS('Continuite'!$C$7:$C$13,"Intégré")</x:f>
        <x:v>0</x:v>
      </x:c>
      <x:c r="F35" s="38" t="n">
        <x:f>COUNTIFS('Continuite'!$C$7:$C$13,"Validé")</x:f>
        <x:v>0</x:v>
      </x:c>
      <x:c r="G35" s="38" t="n">
        <x:f>COUNTIFS('Continuite'!$D$7:$D$13,"Établi")</x:f>
        <x:v>5</x:v>
      </x:c>
      <x:c r="H35" s="38" t="n">
        <x:f>COUNTIFS('Continuite'!$D$7:$D$13,"À vérifier")</x:f>
        <x:v>1</x:v>
      </x:c>
      <x:c r="I35" s="38" t="n">
        <x:f>COUNTIFS('Continuite'!$D$7:$D$13,"Extrapolation")</x:f>
        <x:v>1</x:v>
      </x:c>
      <x:c r="J35" s="38" t="n">
        <x:f>COUNTIFS('Continuite'!$D$7:$D$13,"Coupé attesté")</x:f>
        <x:v>0</x:v>
      </x:c>
      <x:c r="K35" s="38" t="n">
        <x:f>COUNTIFS('Continuite'!$D$7:$D$13,"Concept abandonné")</x:f>
        <x:v>0</x:v>
      </x:c>
      <x:c r="L35" s="38" t="n">
        <x:f>COUNTIFS('Continuite'!$D$7:$D$13,"Allégation écartée")</x:f>
        <x:v>0</x:v>
      </x:c>
      <x:c r="M35" s="38" t="n">
        <x:f>COUNTIFS('Continuite'!$E$7:$E$13,"P0")</x:f>
        <x:v>7</x:v>
      </x:c>
    </x:row>
    <x:row r="36" ht="22" customHeight="1">
      <x:c r="A36" s="2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</x:row>
    <x:row r="37" ht="28" customHeight="1">
      <x:c r="A37" s="21" t="str">
        <x:v>TOTAL</x:v>
      </x:c>
      <x:c r="B37" s="39" t="n">
        <x:f>SUM(B10:B35)</x:f>
        <x:v>158</x:v>
      </x:c>
      <x:c r="C37" s="39" t="n">
        <x:f>SUM(C10:C35)</x:f>
        <x:v>154</x:v>
      </x:c>
      <x:c r="D37" s="39" t="n">
        <x:f>SUM(D10:D35)</x:f>
        <x:v>4</x:v>
      </x:c>
      <x:c r="E37" s="39" t="n">
        <x:f>SUM(E10:E35)</x:f>
        <x:v>0</x:v>
      </x:c>
      <x:c r="F37" s="39" t="n">
        <x:f>SUM(F10:F35)</x:f>
        <x:v>0</x:v>
      </x:c>
      <x:c r="G37" s="39" t="n">
        <x:f>SUM(G10:G35)</x:f>
        <x:v>27</x:v>
      </x:c>
      <x:c r="H37" s="39" t="n">
        <x:f>SUM(H10:H35)</x:f>
        <x:v>1</x:v>
      </x:c>
      <x:c r="I37" s="39" t="n">
        <x:f>SUM(I10:I35)</x:f>
        <x:v>130</x:v>
      </x:c>
      <x:c r="J37" s="39" t="n">
        <x:f>SUM(J10:J35)</x:f>
        <x:v>0</x:v>
      </x:c>
      <x:c r="K37" s="39" t="n">
        <x:f>SUM(K10:K35)</x:f>
        <x:v>0</x:v>
      </x:c>
      <x:c r="L37" s="39" t="n">
        <x:f>SUM(L10:L35)</x:f>
        <x:v>0</x:v>
      </x:c>
      <x:c r="M37" s="39" t="n">
        <x:f>SUM(M10:M35)</x:f>
        <x:v>20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ASC-CHR-KAHLEE</x:v>
      </x:c>
      <x:c r="B7" s="9" t="str">
        <x:v>Kahlee Sanders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Scientifique du projet Ascension, elle cherche à protéger Gillian.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actor.asc.kahlee ; rôle de référence : équipier.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ASC-SRC-PUB</x:v>
      </x:c>
      <x:c r="R7" s="9" t="str">
        <x:v>https://www.penguinrandomhouse.com/books/89888/mass-effect-ascension-by-drew-karpyshyn/paperback/</x:v>
      </x:c>
      <x:c r="S7" s="9" t="str">
        <x:v>Le costume proposé dans les fiches de production n’est pas un modèle officiel.</x:v>
      </x:c>
    </x:row>
    <x:row r="8" ht="68" customHeight="1">
      <x:c r="A8" s="19" t="str">
        <x:v>ASC-CHR-GILLIAN</x:v>
      </x:c>
      <x:c r="B8" s="7" t="str">
        <x:v>Gillian Grayson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Enfant biotique de douze ans dans Ascension.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actor.asc.gillian ; rôle de référence : équipier.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ASC-SRC-PUB</x:v>
      </x:c>
      <x:c r="R8" s="7" t="str">
        <x:v>https://www.penguinrandomhouse.com/books/89888/mass-effect-ascension-by-drew-karpyshyn/paperback/</x:v>
      </x:c>
      <x:c r="S8" s="7" t="str">
        <x:v>Le costume proposé dans les fiches de production n’est pas un modèle officiel.</x:v>
      </x:c>
    </x:row>
    <x:row r="9" ht="68" customHeight="1">
      <x:c r="A9" s="18" t="str">
        <x:v>ASC-CHR-HENDEL</x:v>
      </x:c>
      <x:c r="B9" s="9" t="str">
        <x:v>Hendel Mitra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Ancien soldat et chef de la sécurité du projet, doté de biotique.</x:v>
      </x:c>
      <x:c r="G9" s="9" t="str">
        <x:v>Référence narrative ; proposition visuelle et interaction dans les fiches liées.</x:v>
      </x:c>
      <x:c r="H9" s="9" t="str"/>
      <x:c r="I9" s="9" t="str"/>
      <x:c r="J9" s="9" t="str"/>
      <x:c r="K9" s="9" t="str"/>
      <x:c r="L9" s="9" t="str">
        <x:v>Réserver actor.asc.hendel ; rôle de référence : équipier.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Nom, rôle et présence confirmés dans la source indiquée ; aucune compétence chiffrée déduite du roman.</x:v>
      </x:c>
      <x:c r="O9" s="9" t="str"/>
      <x:c r="P9" s="9" t="str">
        <x:v>Notice de personnage ou présentation de l’œuvre ; pas de chapitre attribué.</x:v>
      </x:c>
      <x:c r="Q9" s="9" t="str">
        <x:v>ASC-SRC-HEN</x:v>
      </x:c>
      <x:c r="R9" s="9" t="str">
        <x:v>https://masseffect.fandom.com/wiki/Hendel_Mitra</x:v>
      </x:c>
      <x:c r="S9" s="9" t="str">
        <x:v>Le costume proposé dans les fiches de production n’est pas un modèle officiel.</x:v>
      </x:c>
    </x:row>
    <x:row r="10" ht="68" customHeight="1">
      <x:c r="A10" s="19" t="str">
        <x:v>ASC-CHR-LEMM</x:v>
      </x:c>
      <x:c r="B10" s="7" t="str">
        <x:v>Lemm’Shal nar Tesleya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Jeune Quarien qui aide Kahlee, Gillian et Hendel à fuir.</x:v>
      </x:c>
      <x:c r="G10" s="7" t="str">
        <x:v>Référence narrative ; proposition visuelle et interaction dans les fiches liées.</x:v>
      </x:c>
      <x:c r="H10" s="7" t="str"/>
      <x:c r="I10" s="7" t="str"/>
      <x:c r="J10" s="7" t="str"/>
      <x:c r="K10" s="7" t="str"/>
      <x:c r="L10" s="7" t="str">
        <x:v>Réserver actor.asc.lemm ; rôle de référence : équipier.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Nom, rôle et présence confirmés dans la source indiquée ; aucune compétence chiffrée déduite du roman.</x:v>
      </x:c>
      <x:c r="O10" s="7" t="str"/>
      <x:c r="P10" s="7" t="str">
        <x:v>Notice de personnage ou présentation de l’œuvre ; pas de chapitre attribué.</x:v>
      </x:c>
      <x:c r="Q10" s="7" t="str">
        <x:v>ASC-SRC-LEMM</x:v>
      </x:c>
      <x:c r="R10" s="7" t="str">
        <x:v>https://masseffect.fandom.com/wiki/Lemm%27Shal_nar_Tesleya</x:v>
      </x:c>
      <x:c r="S10" s="7" t="str">
        <x:v>Le costume proposé dans les fiches de production n’est pas un modèle officiel.</x:v>
      </x:c>
    </x:row>
  </x:sheetData>
  <x:conditionalFormatting sqref="D7:D10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10">
    <x:cfRule type="cellIs" dxfId="2" priority="3" operator="equal">
      <x:formula>"Validé"</x:formula>
    </x:cfRule>
  </x:conditionalFormatting>
  <x:conditionalFormatting sqref="E7:E10">
    <x:cfRule type="cellIs" dxfId="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21c0d81ded45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ASC-CHR-PAUL</x:v>
      </x:c>
      <x:c r="B7" s="9" t="str">
        <x:v>Paul Grayson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Père adoptif de Gillian et agent de Cerberus.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actor.asc.paul ; rôle de référence : interlocuteur.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ASC-SRC-GIL</x:v>
      </x:c>
      <x:c r="R7" s="9" t="str">
        <x:v>https://masseffect.fandom.com/wiki/Gillian_Grayson</x:v>
      </x:c>
      <x:c r="S7" s="9" t="str">
        <x:v>Le costume proposé dans les fiches de production n’est pas un modèle officiel.</x:v>
      </x:c>
    </x:row>
    <x:row r="8" ht="68" customHeight="1">
      <x:c r="A8" s="19" t="str">
        <x:v>ASC-CHR-GOLO</x:v>
      </x:c>
      <x:c r="B8" s="7" t="str">
        <x:v>Golo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Quarien exilé installé sur Omega et contact de Cerberus.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actor.asc.golo ; rôle de référence : adversaire.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ASC-SRC-GOLO</x:v>
      </x:c>
      <x:c r="R8" s="7" t="str">
        <x:v>https://masseffect.fandom.com/wiki/Golo</x:v>
      </x:c>
      <x:c r="S8" s="7" t="str">
        <x:v>Le costume proposé dans les fiches de production n’est pas un modèle officiel.</x:v>
      </x:c>
    </x:row>
    <x:row r="9" ht="68" customHeight="1">
      <x:c r="A9" s="18" t="str">
        <x:v>ASC-CHR-PEL</x:v>
      </x:c>
      <x:c r="B9" s="9" t="str">
        <x:v>Pel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Agent de Cerberus lié à la capture du groupe sur Omega.</x:v>
      </x:c>
      <x:c r="G9" s="9" t="str">
        <x:v>Référence narrative ; proposition visuelle et interaction dans les fiches liées.</x:v>
      </x:c>
      <x:c r="H9" s="9" t="str"/>
      <x:c r="I9" s="9" t="str"/>
      <x:c r="J9" s="9" t="str"/>
      <x:c r="K9" s="9" t="str"/>
      <x:c r="L9" s="9" t="str">
        <x:v>Réserver actor.asc.pel ; rôle de référence : adversaire.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Nom, rôle et présence confirmés dans la source indiquée ; aucune compétence chiffrée déduite du roman.</x:v>
      </x:c>
      <x:c r="O9" s="9" t="str"/>
      <x:c r="P9" s="9" t="str">
        <x:v>Notice de personnage ou présentation de l’œuvre ; pas de chapitre attribué.</x:v>
      </x:c>
      <x:c r="Q9" s="9" t="str">
        <x:v>ASC-SRC-HEN</x:v>
      </x:c>
      <x:c r="R9" s="9" t="str">
        <x:v>https://masseffect.fandom.com/wiki/Hendel_Mitra</x:v>
      </x:c>
      <x:c r="S9" s="9" t="str">
        <x:v>Le costume proposé dans les fiches de production n’est pas un modèle officiel.</x:v>
      </x:c>
    </x:row>
    <x:row r="10" ht="68" customHeight="1">
      <x:c r="A10" s="19" t="str">
        <x:v>ASC-CHR-JIRO</x:v>
      </x:c>
      <x:c r="B10" s="7" t="str">
        <x:v>Jiro Toshiwa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Médecin infiltré de Cerberus au projet Ascension.</x:v>
      </x:c>
      <x:c r="G10" s="7" t="str">
        <x:v>Référence narrative ; proposition visuelle et interaction dans les fiches liées.</x:v>
      </x:c>
      <x:c r="H10" s="7" t="str"/>
      <x:c r="I10" s="7" t="str"/>
      <x:c r="J10" s="7" t="str"/>
      <x:c r="K10" s="7" t="str"/>
      <x:c r="L10" s="7" t="str">
        <x:v>Réserver actor.asc.jiro ; rôle de référence : interlocuteur.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Nom, rôle et présence confirmés dans la source indiquée ; aucune compétence chiffrée déduite du roman.</x:v>
      </x:c>
      <x:c r="O10" s="7" t="str"/>
      <x:c r="P10" s="7" t="str">
        <x:v>Notice de personnage ou présentation de l’œuvre ; pas de chapitre attribué.</x:v>
      </x:c>
      <x:c r="Q10" s="7" t="str">
        <x:v>ASC-SRC-HEN</x:v>
      </x:c>
      <x:c r="R10" s="7" t="str">
        <x:v>https://masseffect.fandom.com/wiki/Hendel_Mitra</x:v>
      </x:c>
      <x:c r="S10" s="7" t="str">
        <x:v>Le costume proposé dans les fiches de production n’est pas un modèle officiel.</x:v>
      </x:c>
    </x:row>
    <x:row r="11" ht="68" customHeight="1">
      <x:c r="A11" s="18" t="str">
        <x:v>ASC-CHR-NICK</x:v>
      </x:c>
      <x:c r="B11" s="9" t="str">
        <x:v>Nick Donahue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Élève biotique du projet Ascension.</x:v>
      </x:c>
      <x:c r="G11" s="9" t="str">
        <x:v>Référence narrative ; proposition visuelle et interaction dans les fiches liées.</x:v>
      </x:c>
      <x:c r="H11" s="9" t="str"/>
      <x:c r="I11" s="9" t="str"/>
      <x:c r="J11" s="9" t="str"/>
      <x:c r="K11" s="9" t="str"/>
      <x:c r="L11" s="9" t="str">
        <x:v>Réserver actor.asc.nick ; rôle de référence : interlocuteur.</x:v>
      </x:c>
      <x:c r="M11" s="9" t="str">
        <x:v>Préserver Gillian comme personne et enfant dans le contexte d’Ascension ; les options de gameplay ne changent ni son identité ni les événements qui conduisent à son séjour sur l’Idenna.</x:v>
      </x:c>
      <x:c r="N11" s="9" t="str">
        <x:v>Nom, rôle et présence confirmés dans la source indiquée ; aucune compétence chiffrée déduite du roman.</x:v>
      </x:c>
      <x:c r="O11" s="9" t="str"/>
      <x:c r="P11" s="9" t="str">
        <x:v>Notice de personnage ou présentation de l’œuvre ; pas de chapitre attribué.</x:v>
      </x:c>
      <x:c r="Q11" s="9" t="str">
        <x:v>ASC-SRC-NICK</x:v>
      </x:c>
      <x:c r="R11" s="9" t="str">
        <x:v>https://masseffect.fandom.com/wiki/Nick_Donahue</x:v>
      </x:c>
      <x:c r="S11" s="9" t="str">
        <x:v>Le costume proposé dans les fiches de production n’est pas un modèle officiel.</x:v>
      </x:c>
    </x:row>
    <x:row r="12" ht="68" customHeight="1">
      <x:c r="A12" s="19" t="str">
        <x:v>ASC-CHR-MAL</x:v>
      </x:c>
      <x:c r="B12" s="7" t="str">
        <x:v>Ysin’Mal vas Idenna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Capitaine de l’Idenna, il prépare une mission d’exploration.</x:v>
      </x:c>
      <x:c r="G12" s="7" t="str">
        <x:v>Référence narrative ; proposition visuelle et interaction dans les fiches liées.</x:v>
      </x:c>
      <x:c r="H12" s="7" t="str"/>
      <x:c r="I12" s="7" t="str"/>
      <x:c r="J12" s="7" t="str"/>
      <x:c r="K12" s="7" t="str"/>
      <x:c r="L12" s="7" t="str">
        <x:v>Réserver actor.asc.mal ; rôle de référence : interlocuteur.</x:v>
      </x:c>
      <x:c r="M12" s="7" t="str">
        <x:v>Préserver Gillian comme personne et enfant dans le contexte d’Ascension ; les options de gameplay ne changent ni son identité ni les événements qui conduisent à son séjour sur l’Idenna.</x:v>
      </x:c>
      <x:c r="N12" s="7" t="str">
        <x:v>Nom, rôle et présence confirmés dans la source indiquée ; aucune compétence chiffrée déduite du roman.</x:v>
      </x:c>
      <x:c r="O12" s="7" t="str"/>
      <x:c r="P12" s="7" t="str">
        <x:v>Notice de personnage ou présentation de l’œuvre ; pas de chapitre attribué.</x:v>
      </x:c>
      <x:c r="Q12" s="7" t="str">
        <x:v>ASC-SRC-MAL</x:v>
      </x:c>
      <x:c r="R12" s="7" t="str">
        <x:v>https://masseffect.fandom.com/wiki/Ysin%27Mal_vas_Idenna</x:v>
      </x:c>
      <x:c r="S12" s="7" t="str">
        <x:v>Le costume proposé dans les fiches de production n’est pas un modèle officiel.</x:v>
      </x:c>
    </x:row>
  </x:sheetData>
  <x:conditionalFormatting sqref="D7:D12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2">
    <x:cfRule type="cellIs" dxfId="6" priority="3" operator="equal">
      <x:formula>"Validé"</x:formula>
    </x:cfRule>
  </x:conditionalFormatting>
  <x:conditionalFormatting sqref="E7:E12">
    <x:cfRule type="cellIs" dxfId="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8ea48d94d43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9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ASC-REF-FLEET</x:v>
      </x:c>
      <x:c r="B7" s="9" t="str">
        <x:v>Flotte nomade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Elle accueille Kahlee, Gillian et Hendel.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Référence documentaire ASC-REF-FLEET consultable dans les lectures de src/chronicle-story.js, avec sources et progression séparée. Aucune scène, carte, animation ou incarnation de personnage n’est produite par cette fiche.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ASC-SRC-HEN</x:v>
      </x:c>
      <x:c r="R7" s="9" t="str">
        <x:v>https://masseffect.fandom.com/wiki/Hendel_Mitra</x:v>
      </x:c>
      <x:c r="S7" s="9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  <x:row r="8" ht="82" customHeight="1">
      <x:c r="A8" s="19" t="str">
        <x:v>ASC-REF-CERBERUS</x:v>
      </x:c>
      <x:c r="B8" s="7" t="str">
        <x:v>Cerberus</x:v>
      </x:c>
      <x:c r="C8" s="15" t="str">
        <x:v>Prototype</x:v>
      </x:c>
      <x:c r="D8" s="17" t="str">
        <x:v>Établi</x:v>
      </x:c>
      <x:c r="E8" s="17" t="str">
        <x:v>P1</x:v>
      </x:c>
      <x:c r="F8" s="7" t="str">
        <x:v>L’organisation détourne le projet à travers des expériences clandestines.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Référence documentaire ASC-REF-CERBERUS consultable dans les lectures de src/chronicle-story.js, avec sources et progression séparée. Aucune scène, carte, animation ou incarnation de personnage n’est produite par cette fiche.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ASC-SRC-PUB</x:v>
      </x:c>
      <x:c r="R8" s="7" t="str">
        <x:v>https://www.penguinrandomhouse.com/books/89888/mass-effect-ascension-by-drew-karpyshyn/paperback/</x:v>
      </x:c>
      <x:c r="S8" s="7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</x:sheetData>
  <x:conditionalFormatting sqref="D7:D8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8">
    <x:cfRule type="cellIs" dxfId="10" priority="3" operator="equal">
      <x:formula>"Validé"</x:formula>
    </x:cfRule>
  </x:conditionalFormatting>
  <x:conditionalFormatting sqref="E7:E8">
    <x:cfRule type="cellIs" dxfId="1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4cb0d757d47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ASC-REF-ACADEMY</x:v>
      </x:c>
      <x:c r="B7" s="9" t="str">
        <x:v>Académie Grissom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L’académie héberge le projet Ascension.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Référence documentaire ASC-REF-ACADEMY consultable dans les lectures de src/chronicle-story.js, avec sources et progression séparée. Aucune scène, carte, animation ou incarnation de personnage n’est produite par cette fiche.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ASC-SRC-GIL</x:v>
      </x:c>
      <x:c r="R7" s="9" t="str">
        <x:v>https://masseffect.fandom.com/wiki/Gillian_Grayson</x:v>
      </x:c>
      <x:c r="S7" s="9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  <x:row r="8" ht="68" customHeight="1">
      <x:c r="A8" s="19" t="str">
        <x:v>ASC-REF-OMEGA</x:v>
      </x:c>
      <x:c r="B8" s="7" t="str">
        <x:v>Omega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Le groupe y est retenu par Pel avant sa fuite.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ref.asc.omega ; affichage bref avec source.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ASC-SRC-HEN</x:v>
      </x:c>
      <x:c r="R8" s="7" t="str">
        <x:v>https://masseffect.fandom.com/wiki/Hendel_Mitra</x:v>
      </x:c>
      <x:c r="S8" s="7" t="str">
        <x:v>Ce relevé n’est ni un inventaire exhaustif ni un résumé scène par scène.</x:v>
      </x:c>
    </x:row>
    <x:row r="9" ht="68" customHeight="1">
      <x:c r="A9" s="18" t="str">
        <x:v>ASC-REF-SHELBA</x:v>
      </x:c>
      <x:c r="B9" s="9" t="str">
        <x:v>Shelba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Le Cyniad y est attiré dans une embuscade.</x:v>
      </x:c>
      <x:c r="G9" s="9" t="str">
        <x:v>Ancrage documentaire du module ; aucune statistique officielle inférée.</x:v>
      </x:c>
      <x:c r="H9" s="9" t="str"/>
      <x:c r="I9" s="9" t="str"/>
      <x:c r="J9" s="9" t="str"/>
      <x:c r="K9" s="9" t="str"/>
      <x:c r="L9" s="9" t="str">
        <x:v>Codex ref.asc.shelba ; affichage bref avec source.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La source citée atteste précisément cet élément ; modèle, plan détaillé et valeur de combat restent séparés.</x:v>
      </x:c>
      <x:c r="O9" s="9" t="str"/>
      <x:c r="P9" s="9" t="str">
        <x:v>Rubrique consultée ou synopsis éditorial ; localisation précise dans l’œuvre à relever.</x:v>
      </x:c>
      <x:c r="Q9" s="9" t="str">
        <x:v>ASC-SRC-HILO</x:v>
      </x:c>
      <x:c r="R9" s="9" t="str">
        <x:v>https://masseffect.fandom.com/wiki/Hilo%27Jaa_vas_Idenna</x:v>
      </x:c>
      <x:c r="S9" s="9" t="str">
        <x:v>Ce relevé n’est ni un inventaire exhaustif ni un résumé scène par scène.</x:v>
      </x:c>
    </x:row>
  </x:sheetData>
  <x:conditionalFormatting sqref="D7:D9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9">
    <x:cfRule type="cellIs" dxfId="14" priority="3" operator="equal">
      <x:formula>"Validé"</x:formula>
    </x:cfRule>
  </x:conditionalFormatting>
  <x:conditionalFormatting sqref="E7:E9">
    <x:cfRule type="cellIs" dxfId="1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e770bbe3e3463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ASC-MAP-ACADEMY</x:v>
      </x:c>
      <x:c r="B7" s="9" t="str">
        <x:v>Aile pédagogique proposée — carte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Bloc de niveau original autour de Aile pédagogique proposée. Le plan n’est pas fourni par la source.</x:v>
      </x:c>
      <x:c r="G7" s="9" t="str">
        <x:v>Décor 3D à caméra fixe et personnages sprites. Salle calme, atelier supervisé et couloir de liaison.</x:v>
      </x:c>
      <x:c r="H7" s="9" t="str">
        <x:v>Un exercice demande coordination et consentement avant activation. Les passages importants restent accessibles en mode pause tactique.</x:v>
      </x:c>
      <x:c r="I7" s="9" t="str">
        <x:v>Mobilier éducatif, repères de sécurité doux, tablettes individuelles. Séparer sol praticable, couvert et fond par valeur lumineuse.</x:v>
      </x:c>
      <x:c r="J7" s="9" t="str">
        <x:v>Occlusion douce des parois devant le groupe ; portes synchronisées avec les collisions.</x:v>
      </x:c>
      <x:c r="K7" s="9" t="str">
        <x:v>Sons de vie quotidienne, ventilation et interfaces discrètes. Un signal directionnel accompagne le danger local, doublé par une icône.</x:v>
      </x:c>
      <x:c r="L7" s="9" t="str">
        <x:v>maps/asc/academy.scene ; navmesh, colliders, ancrages d’entrée et sorties nommés.</x:v>
      </x:c>
      <x:c r="M7" s="9" t="str">
        <x:v>Pas d’arène où les enfants gagnent des points par violence.</x:v>
      </x:c>
      <x:c r="N7" s="9" t="str">
        <x:v>Entrée, objectif et sortie sont reliés sans traverser une collision ; lisibilité des sprites aux carrefours.</x:v>
      </x:c>
      <x:c r="O7" s="9" t="str"/>
      <x:c r="P7" s="9" t="str"/>
      <x:c r="Q7" s="9" t="str"/>
      <x:c r="R7" s="9" t="str"/>
      <x:c r="S7" s="9" t="str">
        <x:v>Dimensions, connexions et accessoires de cette carte sont des propositions originales.</x:v>
      </x:c>
    </x:row>
    <x:row r="8" ht="68" customHeight="1">
      <x:c r="A8" s="19" t="str">
        <x:v>ASC-MAP-MED</x:v>
      </x:c>
      <x:c r="B8" s="7" t="str">
        <x:v>Poste de suivi médical proposé — carte proposée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Bloc de niveau original autour de Poste de suivi médical proposé. Le plan n’est pas fourni par la source.</x:v>
      </x:c>
      <x:c r="G8" s="7" t="str">
        <x:v>Décor 3D à caméra fixe et personnages sprites. Accueil, local de dossiers et porte vers l’atrium.</x:v>
      </x:c>
      <x:c r="H8" s="7" t="str">
        <x:v>Comparer des autorisations et non des dosages réels. Les passages importants restent accessibles en mode pause tactique.</x:v>
      </x:c>
      <x:c r="I8" s="7" t="str">
        <x:v>Écrans de monitoring abstraits, rangements fermés, blanc chaud. Séparer sol praticable, couvert et fond par valeur lumineuse.</x:v>
      </x:c>
      <x:c r="J8" s="7" t="str">
        <x:v>Occlusion douce des parois devant le groupe ; portes synchronisées avec les collisions.</x:v>
      </x:c>
      <x:c r="K8" s="7" t="str">
        <x:v>Sons de vie quotidienne, ventilation et interfaces discrètes. Un signal directionnel accompagne le danger local, doublé par une icône.</x:v>
      </x:c>
      <x:c r="L8" s="7" t="str">
        <x:v>maps/asc/med.scene ; navmesh, colliders, ancrages d’entrée et sorties nommés.</x:v>
      </x:c>
      <x:c r="M8" s="7" t="str">
        <x:v>Enquête abstraite sans instructions médicales.</x:v>
      </x:c>
      <x:c r="N8" s="7" t="str">
        <x:v>Entrée, objectif et sortie sont reliés sans traverser une collision ; lisibilité des sprites aux carrefours.</x:v>
      </x:c>
      <x:c r="O8" s="7" t="str"/>
      <x:c r="P8" s="7" t="str"/>
      <x:c r="Q8" s="7" t="str"/>
      <x:c r="R8" s="7" t="str"/>
      <x:c r="S8" s="7" t="str">
        <x:v>Dimensions, connexions et accessoires de cette carte sont des propositions originales.</x:v>
      </x:c>
    </x:row>
    <x:row r="9" ht="68" customHeight="1">
      <x:c r="A9" s="18" t="str">
        <x:v>ASC-MAP-OMEGA</x:v>
      </x:c>
      <x:c r="B9" s="9" t="str">
        <x:v>Coursives de marché sur Omega — carte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Bloc de niveau original autour de Coursives de marché sur Omega. Le plan n’est pas fourni par la source.</x:v>
      </x:c>
      <x:c r="G9" s="9" t="str">
        <x:v>Décor 3D à caméra fixe et personnages sprites. Étal central, ruelle de service et accès vers un entrepôt.</x:v>
      </x:c>
      <x:c r="H9" s="9" t="str">
        <x:v>Surveillance et foule limitent les trajets de l’escorte. Les passages importants restent accessibles en mode pause tactique.</x:v>
      </x:c>
      <x:c r="I9" s="9" t="str">
        <x:v>Enseignes originales, saturation modérée, réseaux de tuyaux. Séparer sol praticable, couvert et fond par valeur lumineuse.</x:v>
      </x:c>
      <x:c r="J9" s="9" t="str">
        <x:v>Occlusion douce des parois devant le groupe ; portes synchronisées avec les collisions.</x:v>
      </x:c>
      <x:c r="K9" s="9" t="str">
        <x:v>Sons de vie quotidienne, ventilation et interfaces discrètes. Un signal directionnel accompagne le danger local, doublé par une icône.</x:v>
      </x:c>
      <x:c r="L9" s="9" t="str">
        <x:v>maps/asc/omega.scene ; navmesh, colliders, ancrages d’entrée et sorties nommés.</x:v>
      </x:c>
      <x:c r="M9" s="9" t="str">
        <x:v>Aucune visite touristique exhaustive d’Omega prétendue.</x:v>
      </x:c>
      <x:c r="N9" s="9" t="str">
        <x:v>Entrée, objectif et sortie sont reliés sans traverser une collision ; lisibilité des sprites aux carrefours.</x:v>
      </x:c>
      <x:c r="O9" s="9" t="str"/>
      <x:c r="P9" s="9" t="str"/>
      <x:c r="Q9" s="9" t="str"/>
      <x:c r="R9" s="9" t="str"/>
      <x:c r="S9" s="9" t="str">
        <x:v>Dimensions, connexions et accessoires de cette carte sont des propositions originales.</x:v>
      </x:c>
    </x:row>
    <x:row r="10" ht="68" customHeight="1">
      <x:c r="A10" s="19" t="str">
        <x:v>ASC-MAP-WAREHOUSE</x:v>
      </x:c>
      <x:c r="B10" s="7" t="str">
        <x:v>Dépendance d’entrepôt proposée — carte proposée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Bloc de niveau original autour de Dépendance d’entrepôt proposée. Le plan n’est pas fourni par la source.</x:v>
      </x:c>
      <x:c r="G10" s="7" t="str">
        <x:v>Décor 3D à caméra fixe et personnages sprites. Cellule, passerelle et issue de maintenance.</x:v>
      </x:c>
      <x:c r="H10" s="7" t="str">
        <x:v>Le groupe doit synchroniser ouverture et détour de surveillance. Les passages importants restent accessibles en mode pause tactique.</x:v>
      </x:c>
      <x:c r="I10" s="7" t="str">
        <x:v>Conteneurs, éclairage asymétrique et portes à verrou distinct. Séparer sol praticable, couvert et fond par valeur lumineuse.</x:v>
      </x:c>
      <x:c r="J10" s="7" t="str">
        <x:v>Occlusion douce des parois devant le groupe ; portes synchronisées avec les collisions.</x:v>
      </x:c>
      <x:c r="K10" s="7" t="str">
        <x:v>Sons de vie quotidienne, ventilation et interfaces discrètes. Un signal directionnel accompagne le danger local, doublé par une icône.</x:v>
      </x:c>
      <x:c r="L10" s="7" t="str">
        <x:v>maps/asc/warehouse.scene ; navmesh, colliders, ancrages d’entrée et sorties nommés.</x:v>
      </x:c>
      <x:c r="M10" s="7" t="str">
        <x:v>Les positions de cellule sont inventées pour le niveau.</x:v>
      </x:c>
      <x:c r="N10" s="7" t="str">
        <x:v>Entrée, objectif et sortie sont reliés sans traverser une collision ; lisibilité des sprites aux carrefours.</x:v>
      </x:c>
      <x:c r="O10" s="7" t="str"/>
      <x:c r="P10" s="7" t="str"/>
      <x:c r="Q10" s="7" t="str"/>
      <x:c r="R10" s="7" t="str"/>
      <x:c r="S10" s="7" t="str">
        <x:v>Dimensions, connexions et accessoires de cette carte sont des propositions originales.</x:v>
      </x:c>
    </x:row>
    <x:row r="11" ht="68" customHeight="1">
      <x:c r="A11" s="18" t="str">
        <x:v>ASC-MAP-SHUTTLE</x:v>
      </x:c>
      <x:c r="B11" s="9" t="str">
        <x:v>Cabine de transit proposée — carte proposée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Bloc de niveau original autour de Cabine de transit proposée. Le plan n’est pas fourni par la source.</x:v>
      </x:c>
      <x:c r="G11" s="9" t="str">
        <x:v>Décor 3D à caméra fixe et personnages sprites. Couloir unique avec console, réserve et couchette.</x:v>
      </x:c>
      <x:c r="H11" s="9" t="str">
        <x:v>Une avarie locale limite les actions simultanées. Les passages importants restent accessibles en mode pause tactique.</x:v>
      </x:c>
      <x:c r="I11" s="9" t="str">
        <x:v>Petits volumes, éclairage calme, hublot de transit sans carte astronomique exacte. Séparer sol praticable, couvert et fond par valeur lumineuse.</x:v>
      </x:c>
      <x:c r="J11" s="9" t="str">
        <x:v>Occlusion douce des parois devant le groupe ; portes synchronisées avec les collisions.</x:v>
      </x:c>
      <x:c r="K11" s="9" t="str">
        <x:v>Sons de vie quotidienne, ventilation et interfaces discrètes. Un signal directionnel accompagne le danger local, doublé par une icône.</x:v>
      </x:c>
      <x:c r="L11" s="9" t="str">
        <x:v>maps/asc/shuttle.scene ; navmesh, colliders, ancrages d’entrée et sorties nommés.</x:v>
      </x:c>
      <x:c r="M11" s="9" t="str">
        <x:v>Ne pas assimiler un transit spatial à une porte entre quartiers.</x:v>
      </x:c>
      <x:c r="N11" s="9" t="str">
        <x:v>Entrée, objectif et sortie sont reliés sans traverser une collision ; lisibilité des sprites aux carrefours.</x:v>
      </x:c>
      <x:c r="O11" s="9" t="str"/>
      <x:c r="P11" s="9" t="str"/>
      <x:c r="Q11" s="9" t="str"/>
      <x:c r="R11" s="9" t="str"/>
      <x:c r="S11" s="9" t="str">
        <x:v>Dimensions, connexions et accessoires de cette carte sont des propositions originales.</x:v>
      </x:c>
    </x:row>
    <x:row r="12" ht="68" customHeight="1">
      <x:c r="A12" s="19" t="str">
        <x:v>ASC-MAP-QUARANTINE</x:v>
      </x:c>
      <x:c r="B12" s="7" t="str">
        <x:v>Sas d’accueil quarien proposé — carte proposée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Bloc de niveau original autour de Sas d’accueil quarien proposé. Le plan n’est pas fourni par la source.</x:v>
      </x:c>
      <x:c r="G12" s="7" t="str">
        <x:v>Décor 3D à caméra fixe et personnages sprites. Deux chambres tampons et poste de contrôle externe.</x:v>
      </x:c>
      <x:c r="H12" s="7" t="str">
        <x:v>Respecter les états d’isolation avant passage. Les passages importants restent accessibles en mode pause tactique.</x:v>
      </x:c>
      <x:c r="I12" s="7" t="str">
        <x:v>Cloisons transparentes, filtration, signalétique par pictogrammes. Séparer sol praticable, couvert et fond par valeur lumineuse.</x:v>
      </x:c>
      <x:c r="J12" s="7" t="str">
        <x:v>Occlusion douce des parois devant le groupe ; portes synchronisées avec les collisions.</x:v>
      </x:c>
      <x:c r="K12" s="7" t="str">
        <x:v>Sons de vie quotidienne, ventilation et interfaces discrètes. Un signal directionnel accompagne le danger local, doublé par une icône.</x:v>
      </x:c>
      <x:c r="L12" s="7" t="str">
        <x:v>maps/asc/quarantine.scene ; navmesh, colliders, ancrages d’entrée et sorties nommés.</x:v>
      </x:c>
      <x:c r="M12" s="7" t="str">
        <x:v>L’accueil n’efface pas les différences physiologiques.</x:v>
      </x:c>
      <x:c r="N12" s="7" t="str">
        <x:v>Entrée, objectif et sortie sont reliés sans traverser une collision ; lisibilité des sprites aux carrefours.</x:v>
      </x:c>
      <x:c r="O12" s="7" t="str"/>
      <x:c r="P12" s="7" t="str"/>
      <x:c r="Q12" s="7" t="str"/>
      <x:c r="R12" s="7" t="str"/>
      <x:c r="S12" s="7" t="str">
        <x:v>Dimensions, connexions et accessoires de cette carte sont des propositions originales.</x:v>
      </x:c>
    </x:row>
    <x:row r="13" ht="68" customHeight="1">
      <x:c r="A13" s="18" t="str">
        <x:v>ASC-MAP-TRADE</x:v>
      </x:c>
      <x:c r="B13" s="9" t="str">
        <x:v>Pont d’échange de l’Idenna proposé — carte proposée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Bloc de niveau original autour de Pont d’échange de l’Idenna proposé. Le plan n’est pas fourni par la source.</x:v>
      </x:c>
      <x:c r="G13" s="9" t="str">
        <x:v>Décor 3D à caméra fixe et personnages sprites. Axe central partagé et alcôves de matériel.</x:v>
      </x:c>
      <x:c r="H13" s="9" t="str">
        <x:v>Échanger une ressource locale selon les besoins de l’équipage. Les passages importants restent accessibles en mode pause tactique.</x:v>
      </x:c>
      <x:c r="I13" s="9" t="str">
        <x:v>Objets réparés, réemploi, cheminements compacts. Séparer sol praticable, couvert et fond par valeur lumineuse.</x:v>
      </x:c>
      <x:c r="J13" s="9" t="str">
        <x:v>Occlusion douce des parois devant le groupe ; portes synchronisées avec les collisions.</x:v>
      </x:c>
      <x:c r="K13" s="9" t="str">
        <x:v>Sons de vie quotidienne, ventilation et interfaces discrètes. Un signal directionnel accompagne le danger local, doublé par une icône.</x:v>
      </x:c>
      <x:c r="L13" s="9" t="str">
        <x:v>maps/asc/trade.scene ; navmesh, colliders, ancrages d’entrée et sorties nommés.</x:v>
      </x:c>
      <x:c r="M13" s="9" t="str">
        <x:v>Ne pas réduire toute l’économie quarienne à un magasin à crédits.</x:v>
      </x:c>
      <x:c r="N13" s="9" t="str">
        <x:v>Entrée, objectif et sortie sont reliés sans traverser une collision ; lisibilité des sprites aux carrefours.</x:v>
      </x:c>
      <x:c r="O13" s="9" t="str"/>
      <x:c r="P13" s="9" t="str"/>
      <x:c r="Q13" s="9" t="str"/>
      <x:c r="R13" s="9" t="str"/>
      <x:c r="S13" s="9" t="str">
        <x:v>Dimensions, connexions et accessoires de cette carte sont des propositions originales.</x:v>
      </x:c>
    </x:row>
    <x:row r="14" ht="68" customHeight="1">
      <x:c r="A14" s="19" t="str">
        <x:v>ASC-MAP-IDENNA</x:v>
      </x:c>
      <x:c r="B14" s="7" t="str">
        <x:v>Aire technique de l’Idenna proposée — carte proposée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Bloc de niveau original autour de Aire technique de l’Idenna proposée. Le plan n’est pas fourni par la source.</x:v>
      </x:c>
      <x:c r="G14" s="7" t="str">
        <x:v>Décor 3D à caméra fixe et personnages sprites. Salle de distribution, accès au quai et atelier de secours.</x:v>
      </x:c>
      <x:c r="H14" s="7" t="str">
        <x:v>Protéger les systèmes sans exposer les résidents. Les passages importants restent accessibles en mode pause tactique.</x:v>
      </x:c>
      <x:c r="I14" s="7" t="str">
        <x:v>Câbles accessibles, plaques réparées, signalétique de bord. Séparer sol praticable, couvert et fond par valeur lumineuse.</x:v>
      </x:c>
      <x:c r="J14" s="7" t="str">
        <x:v>Occlusion douce des parois devant le groupe ; portes synchronisées avec les collisions.</x:v>
      </x:c>
      <x:c r="K14" s="7" t="str">
        <x:v>Sons de vie quotidienne, ventilation et interfaces discrètes. Un signal directionnel accompagne le danger local, doublé par une icône.</x:v>
      </x:c>
      <x:c r="L14" s="7" t="str">
        <x:v>maps/asc/idenna.scene ; navmesh, colliders, ancrages d’entrée et sorties nommés.</x:v>
      </x:c>
      <x:c r="M14" s="7" t="str">
        <x:v>La sortie rejoint le séjour de Gillian et Hendel sur l’Idenna.</x:v>
      </x:c>
      <x:c r="N14" s="7" t="str">
        <x:v>Entrée, objectif et sortie sont reliés sans traverser une collision ; lisibilité des sprites aux carrefours.</x:v>
      </x:c>
      <x:c r="O14" s="7" t="str"/>
      <x:c r="P14" s="7" t="str"/>
      <x:c r="Q14" s="7" t="str"/>
      <x:c r="R14" s="7" t="str"/>
      <x:c r="S14" s="7" t="str">
        <x:v>Dimensions, connexions et accessoires de cette carte sont des propositions originales.</x:v>
      </x:c>
    </x:row>
  </x:sheetData>
  <x:conditionalFormatting sqref="D7:D14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4">
    <x:cfRule type="cellIs" dxfId="18" priority="3" operator="equal">
      <x:formula>"Validé"</x:formula>
    </x:cfRule>
  </x:conditionalFormatting>
  <x:conditionalFormatting sqref="E7:E14">
    <x:cfRule type="cellIs" dxfId="1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2c50b23e1148d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0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ASC-LNK-ACADEMY</x:v>
      </x:c>
      <x:c r="B7" s="9" t="str">
        <x:v>Aile pédagogique proposée — transition de module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Liaison de niveau proposée, sans prétendre établir une géographie officielle.</x:v>
      </x:c>
      <x:c r="G7" s="9" t="str">
        <x:v>Associer un point de départ dans Aile pédagogique proposée au bloc Poste de suivi médical proposé; transit masqué lorsque les lieux sont éloignés.</x:v>
      </x:c>
      <x:c r="H7" s="9" t="str">
        <x:v>Sortie inactive pendant une interaction critique ; confirmation uniquement si le retour est temporairement fermé.</x:v>
      </x:c>
      <x:c r="I7" s="9" t="str">
        <x:v>Flèche de sortie et nom du lieu cible ; distinguer voyage spatial et porte adjacente.</x:v>
      </x:c>
      <x:c r="J7" s="9" t="str">
        <x:v>Regroupement des sprites avant fondu ; aucun personnage laissé derrière hors cadre.</x:v>
      </x:c>
      <x:c r="K7" s="9" t="str">
        <x:v>Transition d’ambiance progressive ; sous-titre de lieu affiché après chargement.</x:v>
      </x:c>
      <x:c r="L7" s="9" t="str">
        <x:v>links/asc.json : academy -&gt; med; sauvegarde avant transit, restauration à un ancrage sûr.</x:v>
      </x:c>
      <x:c r="M7" s="9" t="str">
        <x:v>Pas d’arène où les enfants gagnent des points par violence.</x:v>
      </x:c>
      <x:c r="N7" s="9" t="str">
        <x:v>Le groupe arrive au bon ancrage après chargement ; aller-retour ne duplique ni objet ni dialogue.</x:v>
      </x:c>
      <x:c r="O7" s="9" t="str">
        <x:v>ASC-MAP-ACADEMY, ASC-MAP-MED</x:v>
      </x:c>
      <x:c r="P7" s="9" t="str"/>
      <x:c r="Q7" s="9" t="str"/>
      <x:c r="R7" s="9" t="str"/>
      <x:c r="S7" s="9" t="str">
        <x:v>Boucle de parcours de production ; la dernière liaison sert à la consultation post-module, pas à remonter le temps.</x:v>
      </x:c>
    </x:row>
    <x:row r="8" ht="54" customHeight="1">
      <x:c r="A8" s="19" t="str">
        <x:v>ASC-LNK-MED</x:v>
      </x:c>
      <x:c r="B8" s="7" t="str">
        <x:v>Poste de suivi médical proposé — transition de module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Liaison de niveau proposée, sans prétendre établir une géographie officielle.</x:v>
      </x:c>
      <x:c r="G8" s="7" t="str">
        <x:v>Associer un point de départ dans Poste de suivi médical proposé au bloc Coursives de marché sur Omega; transit masqué lorsque les lieux sont éloignés.</x:v>
      </x:c>
      <x:c r="H8" s="7" t="str">
        <x:v>Sortie inactive pendant une interaction critique ; confirmation uniquement si le retour est temporairement fermé.</x:v>
      </x:c>
      <x:c r="I8" s="7" t="str">
        <x:v>Flèche de sortie et nom du lieu cible ; distinguer voyage spatial et porte adjacente.</x:v>
      </x:c>
      <x:c r="J8" s="7" t="str">
        <x:v>Regroupement des sprites avant fondu ; aucun personnage laissé derrière hors cadre.</x:v>
      </x:c>
      <x:c r="K8" s="7" t="str">
        <x:v>Transition d’ambiance progressive ; sous-titre de lieu affiché après chargement.</x:v>
      </x:c>
      <x:c r="L8" s="7" t="str">
        <x:v>links/asc.json : med -&gt; omega; sauvegarde avant transit, restauration à un ancrage sûr.</x:v>
      </x:c>
      <x:c r="M8" s="7" t="str">
        <x:v>Enquête abstraite sans instructions médicales.</x:v>
      </x:c>
      <x:c r="N8" s="7" t="str">
        <x:v>Le groupe arrive au bon ancrage après chargement ; aller-retour ne duplique ni objet ni dialogue.</x:v>
      </x:c>
      <x:c r="O8" s="7" t="str">
        <x:v>ASC-MAP-MED, ASC-MAP-OMEGA</x:v>
      </x:c>
      <x:c r="P8" s="7" t="str"/>
      <x:c r="Q8" s="7" t="str"/>
      <x:c r="R8" s="7" t="str"/>
      <x:c r="S8" s="7" t="str">
        <x:v>Boucle de parcours de production ; la dernière liaison sert à la consultation post-module, pas à remonter le temps.</x:v>
      </x:c>
    </x:row>
    <x:row r="9" ht="54" customHeight="1">
      <x:c r="A9" s="18" t="str">
        <x:v>ASC-LNK-OMEGA</x:v>
      </x:c>
      <x:c r="B9" s="9" t="str">
        <x:v>Coursives de marché sur Omega — transition de module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Liaison de niveau proposée, sans prétendre établir une géographie officielle.</x:v>
      </x:c>
      <x:c r="G9" s="9" t="str">
        <x:v>Associer un point de départ dans Coursives de marché sur Omega au bloc Dépendance d’entrepôt proposée; transit masqué lorsque les lieux sont éloignés.</x:v>
      </x:c>
      <x:c r="H9" s="9" t="str">
        <x:v>Sortie inactive pendant une interaction critique ; confirmation uniquement si le retour est temporairement fermé.</x:v>
      </x:c>
      <x:c r="I9" s="9" t="str">
        <x:v>Flèche de sortie et nom du lieu cible ; distinguer voyage spatial et porte adjacente.</x:v>
      </x:c>
      <x:c r="J9" s="9" t="str">
        <x:v>Regroupement des sprites avant fondu ; aucun personnage laissé derrière hors cadre.</x:v>
      </x:c>
      <x:c r="K9" s="9" t="str">
        <x:v>Transition d’ambiance progressive ; sous-titre de lieu affiché après chargement.</x:v>
      </x:c>
      <x:c r="L9" s="9" t="str">
        <x:v>links/asc.json : omega -&gt; warehouse; sauvegarde avant transit, restauration à un ancrage sûr.</x:v>
      </x:c>
      <x:c r="M9" s="9" t="str">
        <x:v>Aucune visite touristique exhaustive d’Omega prétendue.</x:v>
      </x:c>
      <x:c r="N9" s="9" t="str">
        <x:v>Le groupe arrive au bon ancrage après chargement ; aller-retour ne duplique ni objet ni dialogue.</x:v>
      </x:c>
      <x:c r="O9" s="9" t="str">
        <x:v>ASC-MAP-OMEGA, ASC-MAP-WAREHOUSE</x:v>
      </x:c>
      <x:c r="P9" s="9" t="str"/>
      <x:c r="Q9" s="9" t="str"/>
      <x:c r="R9" s="9" t="str"/>
      <x:c r="S9" s="9" t="str">
        <x:v>Boucle de parcours de production ; la dernière liaison sert à la consultation post-module, pas à remonter le temps.</x:v>
      </x:c>
    </x:row>
    <x:row r="10" ht="54" customHeight="1">
      <x:c r="A10" s="19" t="str">
        <x:v>ASC-LNK-WAREHOUSE</x:v>
      </x:c>
      <x:c r="B10" s="7" t="str">
        <x:v>Dépendance d’entrepôt proposée — transition de module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Liaison de niveau proposée, sans prétendre établir une géographie officielle.</x:v>
      </x:c>
      <x:c r="G10" s="7" t="str">
        <x:v>Associer un point de départ dans Dépendance d’entrepôt proposée au bloc Cabine de transit proposée; transit masqué lorsque les lieux sont éloignés.</x:v>
      </x:c>
      <x:c r="H10" s="7" t="str">
        <x:v>Sortie inactive pendant une interaction critique ; confirmation uniquement si le retour est temporairement fermé.</x:v>
      </x:c>
      <x:c r="I10" s="7" t="str">
        <x:v>Flèche de sortie et nom du lieu cible ; distinguer voyage spatial et porte adjacente.</x:v>
      </x:c>
      <x:c r="J10" s="7" t="str">
        <x:v>Regroupement des sprites avant fondu ; aucun personnage laissé derrière hors cadre.</x:v>
      </x:c>
      <x:c r="K10" s="7" t="str">
        <x:v>Transition d’ambiance progressive ; sous-titre de lieu affiché après chargement.</x:v>
      </x:c>
      <x:c r="L10" s="7" t="str">
        <x:v>links/asc.json : warehouse -&gt; shuttle; sauvegarde avant transit, restauration à un ancrage sûr.</x:v>
      </x:c>
      <x:c r="M10" s="7" t="str">
        <x:v>Les positions de cellule sont inventées pour le niveau.</x:v>
      </x:c>
      <x:c r="N10" s="7" t="str">
        <x:v>Le groupe arrive au bon ancrage après chargement ; aller-retour ne duplique ni objet ni dialogue.</x:v>
      </x:c>
      <x:c r="O10" s="7" t="str">
        <x:v>ASC-MAP-WAREHOUSE, ASC-MAP-SHUTTLE</x:v>
      </x:c>
      <x:c r="P10" s="7" t="str"/>
      <x:c r="Q10" s="7" t="str"/>
      <x:c r="R10" s="7" t="str"/>
      <x:c r="S10" s="7" t="str">
        <x:v>Boucle de parcours de production ; la dernière liaison sert à la consultation post-module, pas à remonter le temps.</x:v>
      </x:c>
    </x:row>
    <x:row r="11" ht="54" customHeight="1">
      <x:c r="A11" s="18" t="str">
        <x:v>ASC-LNK-SHUTTLE</x:v>
      </x:c>
      <x:c r="B11" s="9" t="str">
        <x:v>Cabine de transit proposée — transition de module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Liaison de niveau proposée, sans prétendre établir une géographie officielle.</x:v>
      </x:c>
      <x:c r="G11" s="9" t="str">
        <x:v>Associer un point de départ dans Cabine de transit proposée au bloc Sas d’accueil quarien proposé; transit masqué lorsque les lieux sont éloignés.</x:v>
      </x:c>
      <x:c r="H11" s="9" t="str">
        <x:v>Sortie inactive pendant une interaction critique ; confirmation uniquement si le retour est temporairement fermé.</x:v>
      </x:c>
      <x:c r="I11" s="9" t="str">
        <x:v>Flèche de sortie et nom du lieu cible ; distinguer voyage spatial et porte adjacente.</x:v>
      </x:c>
      <x:c r="J11" s="9" t="str">
        <x:v>Regroupement des sprites avant fondu ; aucun personnage laissé derrière hors cadre.</x:v>
      </x:c>
      <x:c r="K11" s="9" t="str">
        <x:v>Transition d’ambiance progressive ; sous-titre de lieu affiché après chargement.</x:v>
      </x:c>
      <x:c r="L11" s="9" t="str">
        <x:v>links/asc.json : shuttle -&gt; quarantine; sauvegarde avant transit, restauration à un ancrage sûr.</x:v>
      </x:c>
      <x:c r="M11" s="9" t="str">
        <x:v>Ne pas assimiler un transit spatial à une porte entre quartiers.</x:v>
      </x:c>
      <x:c r="N11" s="9" t="str">
        <x:v>Le groupe arrive au bon ancrage après chargement ; aller-retour ne duplique ni objet ni dialogue.</x:v>
      </x:c>
      <x:c r="O11" s="9" t="str">
        <x:v>ASC-MAP-SHUTTLE, ASC-MAP-QUARANTINE</x:v>
      </x:c>
      <x:c r="P11" s="9" t="str"/>
      <x:c r="Q11" s="9" t="str"/>
      <x:c r="R11" s="9" t="str"/>
      <x:c r="S11" s="9" t="str">
        <x:v>Boucle de parcours de production ; la dernière liaison sert à la consultation post-module, pas à remonter le temps.</x:v>
      </x:c>
    </x:row>
    <x:row r="12" ht="54" customHeight="1">
      <x:c r="A12" s="19" t="str">
        <x:v>ASC-LNK-QUARANTINE</x:v>
      </x:c>
      <x:c r="B12" s="7" t="str">
        <x:v>Sas d’accueil quarien proposé — transition de module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Liaison de niveau proposée, sans prétendre établir une géographie officielle.</x:v>
      </x:c>
      <x:c r="G12" s="7" t="str">
        <x:v>Associer un point de départ dans Sas d’accueil quarien proposé au bloc Pont d’échange de l’Idenna proposé; transit masqué lorsque les lieux sont éloignés.</x:v>
      </x:c>
      <x:c r="H12" s="7" t="str">
        <x:v>Sortie inactive pendant une interaction critique ; confirmation uniquement si le retour est temporairement fermé.</x:v>
      </x:c>
      <x:c r="I12" s="7" t="str">
        <x:v>Flèche de sortie et nom du lieu cible ; distinguer voyage spatial et porte adjacente.</x:v>
      </x:c>
      <x:c r="J12" s="7" t="str">
        <x:v>Regroupement des sprites avant fondu ; aucun personnage laissé derrière hors cadre.</x:v>
      </x:c>
      <x:c r="K12" s="7" t="str">
        <x:v>Transition d’ambiance progressive ; sous-titre de lieu affiché après chargement.</x:v>
      </x:c>
      <x:c r="L12" s="7" t="str">
        <x:v>links/asc.json : quarantine -&gt; trade; sauvegarde avant transit, restauration à un ancrage sûr.</x:v>
      </x:c>
      <x:c r="M12" s="7" t="str">
        <x:v>L’accueil n’efface pas les différences physiologiques.</x:v>
      </x:c>
      <x:c r="N12" s="7" t="str">
        <x:v>Le groupe arrive au bon ancrage après chargement ; aller-retour ne duplique ni objet ni dialogue.</x:v>
      </x:c>
      <x:c r="O12" s="7" t="str">
        <x:v>ASC-MAP-QUARANTINE, ASC-MAP-TRADE</x:v>
      </x:c>
      <x:c r="P12" s="7" t="str"/>
      <x:c r="Q12" s="7" t="str"/>
      <x:c r="R12" s="7" t="str"/>
      <x:c r="S12" s="7" t="str">
        <x:v>Boucle de parcours de production ; la dernière liaison sert à la consultation post-module, pas à remonter le temps.</x:v>
      </x:c>
    </x:row>
    <x:row r="13" ht="68" customHeight="1">
      <x:c r="A13" s="18" t="str">
        <x:v>ASC-LNK-TRADE</x:v>
      </x:c>
      <x:c r="B13" s="9" t="str">
        <x:v>Pont d’échange de l’Idenna proposé — transition de module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Liaison de niveau proposée, sans prétendre établir une géographie officielle.</x:v>
      </x:c>
      <x:c r="G13" s="9" t="str">
        <x:v>Associer un point de départ dans Pont d’échange de l’Idenna proposé au bloc Aire technique de l’Idenna proposée; transit masqué lorsque les lieux sont éloignés.</x:v>
      </x:c>
      <x:c r="H13" s="9" t="str">
        <x:v>Sortie inactive pendant une interaction critique ; confirmation uniquement si le retour est temporairement fermé.</x:v>
      </x:c>
      <x:c r="I13" s="9" t="str">
        <x:v>Flèche de sortie et nom du lieu cible ; distinguer voyage spatial et porte adjacente.</x:v>
      </x:c>
      <x:c r="J13" s="9" t="str">
        <x:v>Regroupement des sprites avant fondu ; aucun personnage laissé derrière hors cadre.</x:v>
      </x:c>
      <x:c r="K13" s="9" t="str">
        <x:v>Transition d’ambiance progressive ; sous-titre de lieu affiché après chargement.</x:v>
      </x:c>
      <x:c r="L13" s="9" t="str">
        <x:v>links/asc.json : trade -&gt; idenna; sauvegarde avant transit, restauration à un ancrage sûr.</x:v>
      </x:c>
      <x:c r="M13" s="9" t="str">
        <x:v>Ne pas réduire toute l’économie quarienne à un magasin à crédits.</x:v>
      </x:c>
      <x:c r="N13" s="9" t="str">
        <x:v>Le groupe arrive au bon ancrage après chargement ; aller-retour ne duplique ni objet ni dialogue.</x:v>
      </x:c>
      <x:c r="O13" s="9" t="str">
        <x:v>ASC-MAP-TRADE, ASC-MAP-IDENNA</x:v>
      </x:c>
      <x:c r="P13" s="9" t="str"/>
      <x:c r="Q13" s="9" t="str"/>
      <x:c r="R13" s="9" t="str"/>
      <x:c r="S13" s="9" t="str">
        <x:v>Boucle de parcours de production ; la dernière liaison sert à la consultation post-module, pas à remonter le temps.</x:v>
      </x:c>
    </x:row>
    <x:row r="14" ht="54" customHeight="1">
      <x:c r="A14" s="19" t="str">
        <x:v>ASC-LNK-IDENNA</x:v>
      </x:c>
      <x:c r="B14" s="7" t="str">
        <x:v>Aire technique de l’Idenna proposée — transition de module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Liaison de niveau proposée, sans prétendre établir une géographie officielle.</x:v>
      </x:c>
      <x:c r="G14" s="7" t="str">
        <x:v>Associer un point de départ dans Aire technique de l’Idenna proposée au bloc Aile pédagogique proposée; transit masqué lorsque les lieux sont éloignés.</x:v>
      </x:c>
      <x:c r="H14" s="7" t="str">
        <x:v>Sortie inactive pendant une interaction critique ; confirmation uniquement si le retour est temporairement fermé.</x:v>
      </x:c>
      <x:c r="I14" s="7" t="str">
        <x:v>Flèche de sortie et nom du lieu cible ; distinguer voyage spatial et porte adjacente.</x:v>
      </x:c>
      <x:c r="J14" s="7" t="str">
        <x:v>Regroupement des sprites avant fondu ; aucun personnage laissé derrière hors cadre.</x:v>
      </x:c>
      <x:c r="K14" s="7" t="str">
        <x:v>Transition d’ambiance progressive ; sous-titre de lieu affiché après chargement.</x:v>
      </x:c>
      <x:c r="L14" s="7" t="str">
        <x:v>links/asc.json : idenna -&gt; academy; sauvegarde avant transit, restauration à un ancrage sûr.</x:v>
      </x:c>
      <x:c r="M14" s="7" t="str">
        <x:v>La sortie rejoint le séjour de Gillian et Hendel sur l’Idenna.</x:v>
      </x:c>
      <x:c r="N14" s="7" t="str">
        <x:v>Le groupe arrive au bon ancrage après chargement ; aller-retour ne duplique ni objet ni dialogue.</x:v>
      </x:c>
      <x:c r="O14" s="7" t="str">
        <x:v>ASC-MAP-IDENNA, ASC-MAP-ACADEMY</x:v>
      </x:c>
      <x:c r="P14" s="7" t="str"/>
      <x:c r="Q14" s="7" t="str"/>
      <x:c r="R14" s="7" t="str"/>
      <x:c r="S14" s="7" t="str">
        <x:v>Boucle de parcours de production ; la dernière liaison sert à la consultation post-module, pas à remonter le temps.</x:v>
      </x:c>
    </x:row>
  </x:sheetData>
  <x:conditionalFormatting sqref="D7:D14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14">
    <x:cfRule type="cellIs" dxfId="22" priority="3" operator="equal">
      <x:formula>"Validé"</x:formula>
    </x:cfRule>
  </x:conditionalFormatting>
  <x:conditionalFormatting sqref="E7:E14">
    <x:cfRule type="cellIs" dxfId="2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65e6b27b0458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ASC-SET-ACADEMY</x:v>
      </x:c>
      <x:c r="B7" s="9" t="str">
        <x:v>Aile pédagogique proposée — kit de décor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Production originale des éléments fixes de la carte liée.</x:v>
      </x:c>
      <x:c r="G7" s="9" t="str">
        <x:v>Mobilier éducatif, repères de sécurité doux, tablettes individuelles. Construire trois profondeurs de décor avec variantes intacte et perturbée si utiles.</x:v>
      </x:c>
      <x:c r="H7" s="9" t="str">
        <x:v>Le décor signale la règle : Un exercice demande coordination et consentement avant activation.</x:v>
      </x:c>
      <x:c r="I7" s="9" t="str">
        <x:v>Volumes sans microdétails illisibles ; surfaces dangereuses reconnues également en niveaux de gris.</x:v>
      </x:c>
      <x:c r="J7" s="9" t="str">
        <x:v>Animer seulement les repères actifs ; ne pas déplacer un obstacle statique après le calcul du chemin.</x:v>
      </x:c>
      <x:c r="K7" s="9" t="str">
        <x:v>Boucles très courtes évitées ; matériaux sonores propres aux interactions de cette zone.</x:v>
      </x:c>
      <x:c r="L7" s="9" t="str">
        <x:v>assets/asc/sets/academy/ ; collider séparé du mesh et des ornements.</x:v>
      </x:c>
      <x:c r="M7" s="9" t="str">
        <x:v>Pas d’arène où les enfants gagnent des points par violence.</x:v>
      </x:c>
      <x:c r="N7" s="9" t="str">
        <x:v>Aucun détail décoratif ne ressemble à tort à une porte ; vue complète vérifiée en petite résolution.</x:v>
      </x:c>
      <x:c r="O7" s="9" t="str">
        <x:v>ASC-MAP-ACADEMY</x:v>
      </x:c>
      <x:c r="P7" s="9" t="str"/>
      <x:c r="Q7" s="9" t="str"/>
      <x:c r="R7" s="9" t="str"/>
      <x:c r="S7" s="9" t="str"/>
    </x:row>
    <x:row r="8" ht="54" customHeight="1">
      <x:c r="A8" s="19" t="str">
        <x:v>ASC-SET-MED</x:v>
      </x:c>
      <x:c r="B8" s="7" t="str">
        <x:v>Poste de suivi médical proposé — kit de décor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Production originale des éléments fixes de la carte liée.</x:v>
      </x:c>
      <x:c r="G8" s="7" t="str">
        <x:v>Écrans de monitoring abstraits, rangements fermés, blanc chaud. Construire trois profondeurs de décor avec variantes intacte et perturbée si utiles.</x:v>
      </x:c>
      <x:c r="H8" s="7" t="str">
        <x:v>Le décor signale la règle : Comparer des autorisations et non des dosages réels.</x:v>
      </x:c>
      <x:c r="I8" s="7" t="str">
        <x:v>Volumes sans microdétails illisibles ; surfaces dangereuses reconnues également en niveaux de gris.</x:v>
      </x:c>
      <x:c r="J8" s="7" t="str">
        <x:v>Animer seulement les repères actifs ; ne pas déplacer un obstacle statique après le calcul du chemin.</x:v>
      </x:c>
      <x:c r="K8" s="7" t="str">
        <x:v>Boucles très courtes évitées ; matériaux sonores propres aux interactions de cette zone.</x:v>
      </x:c>
      <x:c r="L8" s="7" t="str">
        <x:v>assets/asc/sets/med/ ; collider séparé du mesh et des ornements.</x:v>
      </x:c>
      <x:c r="M8" s="7" t="str">
        <x:v>Enquête abstraite sans instructions médicales.</x:v>
      </x:c>
      <x:c r="N8" s="7" t="str">
        <x:v>Aucun détail décoratif ne ressemble à tort à une porte ; vue complète vérifiée en petite résolution.</x:v>
      </x:c>
      <x:c r="O8" s="7" t="str">
        <x:v>ASC-MAP-MED</x:v>
      </x:c>
      <x:c r="P8" s="7" t="str"/>
      <x:c r="Q8" s="7" t="str"/>
      <x:c r="R8" s="7" t="str"/>
      <x:c r="S8" s="7" t="str"/>
    </x:row>
    <x:row r="9" ht="54" customHeight="1">
      <x:c r="A9" s="18" t="str">
        <x:v>ASC-SET-OMEGA</x:v>
      </x:c>
      <x:c r="B9" s="9" t="str">
        <x:v>Coursives de marché sur Omega — kit de décor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Production originale des éléments fixes de la carte liée.</x:v>
      </x:c>
      <x:c r="G9" s="9" t="str">
        <x:v>Enseignes originales, saturation modérée, réseaux de tuyaux. Construire trois profondeurs de décor avec variantes intacte et perturbée si utiles.</x:v>
      </x:c>
      <x:c r="H9" s="9" t="str">
        <x:v>Le décor signale la règle : Surveillance et foule limitent les trajets de l’escorte.</x:v>
      </x:c>
      <x:c r="I9" s="9" t="str">
        <x:v>Volumes sans microdétails illisibles ; surfaces dangereuses reconnues également en niveaux de gris.</x:v>
      </x:c>
      <x:c r="J9" s="9" t="str">
        <x:v>Animer seulement les repères actifs ; ne pas déplacer un obstacle statique après le calcul du chemin.</x:v>
      </x:c>
      <x:c r="K9" s="9" t="str">
        <x:v>Boucles très courtes évitées ; matériaux sonores propres aux interactions de cette zone.</x:v>
      </x:c>
      <x:c r="L9" s="9" t="str">
        <x:v>assets/asc/sets/omega/ ; collider séparé du mesh et des ornements.</x:v>
      </x:c>
      <x:c r="M9" s="9" t="str">
        <x:v>Aucune visite touristique exhaustive d’Omega prétendue.</x:v>
      </x:c>
      <x:c r="N9" s="9" t="str">
        <x:v>Aucun détail décoratif ne ressemble à tort à une porte ; vue complète vérifiée en petite résolution.</x:v>
      </x:c>
      <x:c r="O9" s="9" t="str">
        <x:v>ASC-MAP-OMEGA</x:v>
      </x:c>
      <x:c r="P9" s="9" t="str"/>
      <x:c r="Q9" s="9" t="str"/>
      <x:c r="R9" s="9" t="str"/>
      <x:c r="S9" s="9" t="str"/>
    </x:row>
    <x:row r="10" ht="54" customHeight="1">
      <x:c r="A10" s="19" t="str">
        <x:v>ASC-SET-WAREHOUSE</x:v>
      </x:c>
      <x:c r="B10" s="7" t="str">
        <x:v>Dépendance d’entrepôt proposée — kit de décor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Production originale des éléments fixes de la carte liée.</x:v>
      </x:c>
      <x:c r="G10" s="7" t="str">
        <x:v>Conteneurs, éclairage asymétrique et portes à verrou distinct. Construire trois profondeurs de décor avec variantes intacte et perturbée si utiles.</x:v>
      </x:c>
      <x:c r="H10" s="7" t="str">
        <x:v>Le décor signale la règle : Le groupe doit synchroniser ouverture et détour de surveillance.</x:v>
      </x:c>
      <x:c r="I10" s="7" t="str">
        <x:v>Volumes sans microdétails illisibles ; surfaces dangereuses reconnues également en niveaux de gris.</x:v>
      </x:c>
      <x:c r="J10" s="7" t="str">
        <x:v>Animer seulement les repères actifs ; ne pas déplacer un obstacle statique après le calcul du chemin.</x:v>
      </x:c>
      <x:c r="K10" s="7" t="str">
        <x:v>Boucles très courtes évitées ; matériaux sonores propres aux interactions de cette zone.</x:v>
      </x:c>
      <x:c r="L10" s="7" t="str">
        <x:v>assets/asc/sets/warehouse/ ; collider séparé du mesh et des ornements.</x:v>
      </x:c>
      <x:c r="M10" s="7" t="str">
        <x:v>Les positions de cellule sont inventées pour le niveau.</x:v>
      </x:c>
      <x:c r="N10" s="7" t="str">
        <x:v>Aucun détail décoratif ne ressemble à tort à une porte ; vue complète vérifiée en petite résolution.</x:v>
      </x:c>
      <x:c r="O10" s="7" t="str">
        <x:v>ASC-MAP-WAREHOUSE</x:v>
      </x:c>
      <x:c r="P10" s="7" t="str"/>
      <x:c r="Q10" s="7" t="str"/>
      <x:c r="R10" s="7" t="str"/>
      <x:c r="S10" s="7" t="str"/>
    </x:row>
    <x:row r="11" ht="68" customHeight="1">
      <x:c r="A11" s="18" t="str">
        <x:v>ASC-SET-SHUTTLE</x:v>
      </x:c>
      <x:c r="B11" s="9" t="str">
        <x:v>Cabine de transit proposée — kit de décor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Production originale des éléments fixes de la carte liée.</x:v>
      </x:c>
      <x:c r="G11" s="9" t="str">
        <x:v>Petits volumes, éclairage calme, hublot de transit sans carte astronomique exacte. Construire trois profondeurs de décor avec variantes intacte et perturbée si utiles.</x:v>
      </x:c>
      <x:c r="H11" s="9" t="str">
        <x:v>Le décor signale la règle : Une avarie locale limite les actions simultanées.</x:v>
      </x:c>
      <x:c r="I11" s="9" t="str">
        <x:v>Volumes sans microdétails illisibles ; surfaces dangereuses reconnues également en niveaux de gris.</x:v>
      </x:c>
      <x:c r="J11" s="9" t="str">
        <x:v>Animer seulement les repères actifs ; ne pas déplacer un obstacle statique après le calcul du chemin.</x:v>
      </x:c>
      <x:c r="K11" s="9" t="str">
        <x:v>Boucles très courtes évitées ; matériaux sonores propres aux interactions de cette zone.</x:v>
      </x:c>
      <x:c r="L11" s="9" t="str">
        <x:v>assets/asc/sets/shuttle/ ; collider séparé du mesh et des ornements.</x:v>
      </x:c>
      <x:c r="M11" s="9" t="str">
        <x:v>Ne pas assimiler un transit spatial à une porte entre quartiers.</x:v>
      </x:c>
      <x:c r="N11" s="9" t="str">
        <x:v>Aucun détail décoratif ne ressemble à tort à une porte ; vue complète vérifiée en petite résolution.</x:v>
      </x:c>
      <x:c r="O11" s="9" t="str">
        <x:v>ASC-MAP-SHUTTLE</x:v>
      </x:c>
      <x:c r="P11" s="9" t="str"/>
      <x:c r="Q11" s="9" t="str"/>
      <x:c r="R11" s="9" t="str"/>
      <x:c r="S11" s="9" t="str"/>
    </x:row>
    <x:row r="12" ht="54" customHeight="1">
      <x:c r="A12" s="19" t="str">
        <x:v>ASC-SET-QUARANTINE</x:v>
      </x:c>
      <x:c r="B12" s="7" t="str">
        <x:v>Sas d’accueil quarien proposé — kit de décor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Production originale des éléments fixes de la carte liée.</x:v>
      </x:c>
      <x:c r="G12" s="7" t="str">
        <x:v>Cloisons transparentes, filtration, signalétique par pictogrammes. Construire trois profondeurs de décor avec variantes intacte et perturbée si utiles.</x:v>
      </x:c>
      <x:c r="H12" s="7" t="str">
        <x:v>Le décor signale la règle : Respecter les états d’isolation avant passage.</x:v>
      </x:c>
      <x:c r="I12" s="7" t="str">
        <x:v>Volumes sans microdétails illisibles ; surfaces dangereuses reconnues également en niveaux de gris.</x:v>
      </x:c>
      <x:c r="J12" s="7" t="str">
        <x:v>Animer seulement les repères actifs ; ne pas déplacer un obstacle statique après le calcul du chemin.</x:v>
      </x:c>
      <x:c r="K12" s="7" t="str">
        <x:v>Boucles très courtes évitées ; matériaux sonores propres aux interactions de cette zone.</x:v>
      </x:c>
      <x:c r="L12" s="7" t="str">
        <x:v>assets/asc/sets/quarantine/ ; collider séparé du mesh et des ornements.</x:v>
      </x:c>
      <x:c r="M12" s="7" t="str">
        <x:v>L’accueil n’efface pas les différences physiologiques.</x:v>
      </x:c>
      <x:c r="N12" s="7" t="str">
        <x:v>Aucun détail décoratif ne ressemble à tort à une porte ; vue complète vérifiée en petite résolution.</x:v>
      </x:c>
      <x:c r="O12" s="7" t="str">
        <x:v>ASC-MAP-QUARANTINE</x:v>
      </x:c>
      <x:c r="P12" s="7" t="str"/>
      <x:c r="Q12" s="7" t="str"/>
      <x:c r="R12" s="7" t="str"/>
      <x:c r="S12" s="7" t="str"/>
    </x:row>
    <x:row r="13" ht="54" customHeight="1">
      <x:c r="A13" s="18" t="str">
        <x:v>ASC-SET-TRADE</x:v>
      </x:c>
      <x:c r="B13" s="9" t="str">
        <x:v>Pont d’échange de l’Idenna proposé — kit de décor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Production originale des éléments fixes de la carte liée.</x:v>
      </x:c>
      <x:c r="G13" s="9" t="str">
        <x:v>Objets réparés, réemploi, cheminements compacts. Construire trois profondeurs de décor avec variantes intacte et perturbée si utiles.</x:v>
      </x:c>
      <x:c r="H13" s="9" t="str">
        <x:v>Le décor signale la règle : Échanger une ressource locale selon les besoins de l’équipage.</x:v>
      </x:c>
      <x:c r="I13" s="9" t="str">
        <x:v>Volumes sans microdétails illisibles ; surfaces dangereuses reconnues également en niveaux de gris.</x:v>
      </x:c>
      <x:c r="J13" s="9" t="str">
        <x:v>Animer seulement les repères actifs ; ne pas déplacer un obstacle statique après le calcul du chemin.</x:v>
      </x:c>
      <x:c r="K13" s="9" t="str">
        <x:v>Boucles très courtes évitées ; matériaux sonores propres aux interactions de cette zone.</x:v>
      </x:c>
      <x:c r="L13" s="9" t="str">
        <x:v>assets/asc/sets/trade/ ; collider séparé du mesh et des ornements.</x:v>
      </x:c>
      <x:c r="M13" s="9" t="str">
        <x:v>Ne pas réduire toute l’économie quarienne à un magasin à crédits.</x:v>
      </x:c>
      <x:c r="N13" s="9" t="str">
        <x:v>Aucun détail décoratif ne ressemble à tort à une porte ; vue complète vérifiée en petite résolution.</x:v>
      </x:c>
      <x:c r="O13" s="9" t="str">
        <x:v>ASC-MAP-TRADE</x:v>
      </x:c>
      <x:c r="P13" s="9" t="str"/>
      <x:c r="Q13" s="9" t="str"/>
      <x:c r="R13" s="9" t="str"/>
      <x:c r="S13" s="9" t="str"/>
    </x:row>
    <x:row r="14" ht="54" customHeight="1">
      <x:c r="A14" s="19" t="str">
        <x:v>ASC-SET-IDENNA</x:v>
      </x:c>
      <x:c r="B14" s="7" t="str">
        <x:v>Aire technique de l’Idenna proposée — kit de décor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Production originale des éléments fixes de la carte liée.</x:v>
      </x:c>
      <x:c r="G14" s="7" t="str">
        <x:v>Câbles accessibles, plaques réparées, signalétique de bord. Construire trois profondeurs de décor avec variantes intacte et perturbée si utiles.</x:v>
      </x:c>
      <x:c r="H14" s="7" t="str">
        <x:v>Le décor signale la règle : Protéger les systèmes sans exposer les résidents.</x:v>
      </x:c>
      <x:c r="I14" s="7" t="str">
        <x:v>Volumes sans microdétails illisibles ; surfaces dangereuses reconnues également en niveaux de gris.</x:v>
      </x:c>
      <x:c r="J14" s="7" t="str">
        <x:v>Animer seulement les repères actifs ; ne pas déplacer un obstacle statique après le calcul du chemin.</x:v>
      </x:c>
      <x:c r="K14" s="7" t="str">
        <x:v>Boucles très courtes évitées ; matériaux sonores propres aux interactions de cette zone.</x:v>
      </x:c>
      <x:c r="L14" s="7" t="str">
        <x:v>assets/asc/sets/idenna/ ; collider séparé du mesh et des ornements.</x:v>
      </x:c>
      <x:c r="M14" s="7" t="str">
        <x:v>La sortie rejoint le séjour de Gillian et Hendel sur l’Idenna.</x:v>
      </x:c>
      <x:c r="N14" s="7" t="str">
        <x:v>Aucun détail décoratif ne ressemble à tort à une porte ; vue complète vérifiée en petite résolution.</x:v>
      </x:c>
      <x:c r="O14" s="7" t="str">
        <x:v>ASC-MAP-IDENNA</x:v>
      </x:c>
      <x:c r="P14" s="7" t="str"/>
      <x:c r="Q14" s="7" t="str"/>
      <x:c r="R14" s="7" t="str"/>
      <x:c r="S14" s="7" t="str"/>
    </x:row>
  </x:sheetData>
  <x:conditionalFormatting sqref="D7:D14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4">
    <x:cfRule type="cellIs" dxfId="26" priority="3" operator="equal">
      <x:formula>"Validé"</x:formula>
    </x:cfRule>
  </x:conditionalFormatting>
  <x:conditionalFormatting sqref="E7:E14">
    <x:cfRule type="cellIs" dxfId="2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a715c5dfb4a2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ASC-REF-CODES</x:v>
      </x:c>
      <x:c r="B7" s="9" t="str">
        <x:v>Codes de la Flotte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Cerberus cherche à obtenir les codes de transmission de la Flotte.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ref.asc.codes ; affichage bref avec source.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ASC-SRC-GOLO</x:v>
      </x:c>
      <x:c r="R7" s="9" t="str">
        <x:v>https://masseffect.fandom.com/wiki/Golo</x:v>
      </x:c>
      <x:c r="S7" s="9" t="str">
        <x:v>Ce relevé n’est ni un inventaire exhaustif ni un résumé scène par scène.</x:v>
      </x:c>
    </x:row>
  </x:sheetData>
  <x:conditionalFormatting sqref="D7:D7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7">
    <x:cfRule type="cellIs" dxfId="30" priority="3" operator="equal">
      <x:formula>"Validé"</x:formula>
    </x:cfRule>
  </x:conditionalFormatting>
  <x:conditionalFormatting sqref="E7:E7">
    <x:cfRule type="cellIs" dxfId="3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f8b1ae5f848d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ASC-ENC-CAPTOR</x:v>
      </x:c>
      <x:c r="B7" s="9" t="str">
        <x:v>Surveillant de dépôt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Rencontre originale proposée : Adversaire Cerberus créé pour une annexe de niveau.</x:v>
      </x:c>
      <x:c r="G7" s="9" t="str">
        <x:v>Opposition ou crise scénarisée pour le groupe ; ne pas attribuer au roman une barre de vie ou un rang de boss.</x:v>
      </x:c>
      <x:c r="H7" s="9" t="str">
        <x:v>Déplace sa surveillance entre accès et terminal. Réponse du joueur : Couper sa ligne de vue ou attendre l’ouverture d’un second accès.</x:v>
      </x:c>
      <x:c r="I7" s="9" t="str">
        <x:v>Lampe frontale et arc de contrôle au sol.</x:v>
      </x:c>
      <x:c r="J7" s="9" t="str">
        <x:v>Anticipation identifiable, action, récupération exploitable ; variante de sortie non létale lorsque pertinente.</x:v>
      </x:c>
      <x:c r="K7" s="9" t="str">
        <x:v>Motif de danger spécifique, sous-titre bref et avertissement visuel.</x:v>
      </x:c>
      <x:c r="L7" s="9" t="str">
        <x:v>encounters/asc/captor.json ; activer seulement dans les zones prévues.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Un joueur découvre la contre-mesure par le télégraphe ; la résolution ne modifie aucun destin établi.</x:v>
      </x:c>
      <x:c r="O7" s="9" t="str"/>
      <x:c r="P7" s="9" t="str"/>
      <x:c r="Q7" s="9" t="str"/>
      <x:c r="R7" s="9" t="str"/>
      <x:c r="S7" s="9" t="str">
        <x:v>Tous comportements et réglages de combat sont du design original.</x:v>
      </x:c>
    </x:row>
    <x:row r="8" ht="68" customHeight="1">
      <x:c r="A8" s="19" t="str">
        <x:v>ASC-ENC-BARGAIN</x:v>
      </x:c>
      <x:c r="B8" s="7" t="str">
        <x:v>Intermédiaire hostile proposé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Rencontre originale proposée : Obstacle social original autour d’un accès de transit.</x:v>
      </x:c>
      <x:c r="G8" s="7" t="str">
        <x:v>Opposition ou crise scénarisée pour le groupe ; ne pas attribuer au roman une barre de vie ou un rang de boss.</x:v>
      </x:c>
      <x:c r="H8" s="7" t="str">
        <x:v>Multiplie les exigences si le groupe présente un document incomplet. Réponse du joueur : Compléter le dossier ou trouver le contact de service.</x:v>
      </x:c>
      <x:c r="I8" s="7" t="str">
        <x:v>Liste de conditions visible avant confirmation.</x:v>
      </x:c>
      <x:c r="J8" s="7" t="str">
        <x:v>Anticipation identifiable, action, récupération exploitable ; variante de sortie non létale lorsque pertinente.</x:v>
      </x:c>
      <x:c r="K8" s="7" t="str">
        <x:v>Motif de danger spécifique, sous-titre bref et avertissement visuel.</x:v>
      </x:c>
      <x:c r="L8" s="7" t="str">
        <x:v>encounters/asc/bargain.json ; activer seulement dans les zones prévues.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Un joueur découvre la contre-mesure par le télégraphe ; la résolution ne modifie aucun destin établi.</x:v>
      </x:c>
      <x:c r="O8" s="7" t="str"/>
      <x:c r="P8" s="7" t="str"/>
      <x:c r="Q8" s="7" t="str"/>
      <x:c r="R8" s="7" t="str"/>
      <x:c r="S8" s="7" t="str">
        <x:v>Tous comportements et réglages de combat sont du design original.</x:v>
      </x:c>
    </x:row>
    <x:row r="9" ht="68" customHeight="1">
      <x:c r="A9" s="18" t="str">
        <x:v>ASC-ENC-GOLO</x:v>
      </x:c>
      <x:c r="B9" s="9" t="str">
        <x:v>Intrusion de Golo — confrontation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Rencontre originale proposée : Segment de pression narrative, sans nouvelle issue canonique.</x:v>
      </x:c>
      <x:c r="G9" s="9" t="str">
        <x:v>Opposition ou crise scénarisée pour le groupe ; ne pas attribuer au roman une barre de vie ou un rang de boss.</x:v>
      </x:c>
      <x:c r="H9" s="9" t="str">
        <x:v>Essaie de verrouiller un accès pendant que le groupe protège des résidents. Réponse du joueur : Maintenir le poste secondaire et déplacer les civils.</x:v>
      </x:c>
      <x:c r="I9" s="9" t="str">
        <x:v>Deux voyants passent successivement à l’alerte.</x:v>
      </x:c>
      <x:c r="J9" s="9" t="str">
        <x:v>Anticipation identifiable, action, récupération exploitable ; variante de sortie non létale lorsque pertinente.</x:v>
      </x:c>
      <x:c r="K9" s="9" t="str">
        <x:v>Motif de danger spécifique, sous-titre bref et avertissement visuel.</x:v>
      </x:c>
      <x:c r="L9" s="9" t="str">
        <x:v>encounters/asc/golo.json ; activer seulement dans les zones prévues.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Un joueur découvre la contre-mesure par le télégraphe ; la résolution ne modifie aucun destin établi.</x:v>
      </x:c>
      <x:c r="O9" s="9" t="str"/>
      <x:c r="P9" s="9" t="str"/>
      <x:c r="Q9" s="9" t="str"/>
      <x:c r="R9" s="9" t="str"/>
      <x:c r="S9" s="9" t="str">
        <x:v>Tous comportements et réglages de combat sont du design original.</x:v>
      </x:c>
    </x:row>
    <x:row r="10" ht="68" customHeight="1">
      <x:c r="A10" s="19" t="str">
        <x:v>ASC-ENC-FILTER</x:v>
      </x:c>
      <x:c r="B10" s="7" t="str">
        <x:v>Surcharge de filtration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Rencontre originale proposée : Crise environnementale originale de l’accueil quarien.</x:v>
      </x:c>
      <x:c r="G10" s="7" t="str">
        <x:v>Opposition ou crise scénarisée pour le groupe ; ne pas attribuer au roman une barre de vie ou un rang de boss.</x:v>
      </x:c>
      <x:c r="H10" s="7" t="str">
        <x:v>Force l’arrêt temporaire d’une chambre du sas. Réponse du joueur : Basculer vers la chambre de réserve sans ouvrir les deux portes.</x:v>
      </x:c>
      <x:c r="I10" s="7" t="str">
        <x:v>Variation de souffle et jauge de pression symbolique.</x:v>
      </x:c>
      <x:c r="J10" s="7" t="str">
        <x:v>Anticipation identifiable, action, récupération exploitable ; variante de sortie non létale lorsque pertinente.</x:v>
      </x:c>
      <x:c r="K10" s="7" t="str">
        <x:v>Motif de danger spécifique, sous-titre bref et avertissement visuel.</x:v>
      </x:c>
      <x:c r="L10" s="7" t="str">
        <x:v>encounters/asc/filter.json ; activer seulement dans les zones prévues.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Un joueur découvre la contre-mesure par le télégraphe ; la résolution ne modifie aucun destin établi.</x:v>
      </x:c>
      <x:c r="O10" s="7" t="str"/>
      <x:c r="P10" s="7" t="str"/>
      <x:c r="Q10" s="7" t="str"/>
      <x:c r="R10" s="7" t="str"/>
      <x:c r="S10" s="7" t="str">
        <x:v>Tous comportements et réglages de combat sont du design original.</x:v>
      </x:c>
    </x:row>
  </x:sheetData>
  <x:conditionalFormatting sqref="D7:D10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0">
    <x:cfRule type="cellIs" dxfId="34" priority="3" operator="equal">
      <x:formula>"Validé"</x:formula>
    </x:cfRule>
  </x:conditionalFormatting>
  <x:conditionalFormatting sqref="E7:E10">
    <x:cfRule type="cellIs" dxfId="3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e341eee859489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ASC-MIS-CALM</x:v>
      </x:c>
      <x:c r="B7" s="9" t="str">
        <x:v>Trouver un rythme de coopération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Mission originale d’adaptation, inspirée d’un enjeu général de l’œuvre.</x:v>
      </x:c>
      <x:c r="G7" s="9" t="str">
        <x:v>Construire avec Gillian une routine d’exercice choisie.</x:v>
      </x:c>
      <x:c r="H7" s="9" t="str">
        <x:v>Le joueur sélectionne rythme, espace et partenaire ; la réussite dépend de la bonne lecture des consignes, pas d’une jauge d’autisme.</x:v>
      </x:c>
      <x:c r="I7" s="9" t="str">
        <x:v>Objectif spatial associé à Aile pédagogique proposée ; états non commencé/en cours/résolu distingués.</x:v>
      </x:c>
      <x:c r="J7" s="9" t="str">
        <x:v>Entrée contrôlée, actions de groupe et fin interruptible avant sauvegarde ; aucune animation ne décide seule du résultat.</x:v>
      </x:c>
      <x:c r="K7" s="9" t="str">
        <x:v>Briefing original concis ; changement de musique à la résolution d’objectif, pas après un délai arbitraire.</x:v>
      </x:c>
      <x:c r="L7" s="9" t="str">
        <x:v>quests/asc/calm.json ; états offered/active/resolved ; clés de progression propres au module.</x:v>
      </x:c>
      <x:c r="M7" s="9" t="str">
        <x:v>Ne pas définir le personnage seulement par son diagnostic.</x:v>
      </x:c>
      <x:c r="N7" s="9" t="str">
        <x:v>Le joueur peut accomplir « Construire avec Gillian une routine d’exercice choisie. » et la sortie confirme le résultat ; Ne pas définir le personnage seulement par son diagnostic.</x:v>
      </x:c>
      <x:c r="O7" s="9" t="str">
        <x:v>ASC-MAP-ACADEMY</x:v>
      </x:c>
      <x:c r="P7" s="9" t="str"/>
      <x:c r="Q7" s="9" t="str"/>
      <x:c r="R7" s="9" t="str"/>
      <x:c r="S7" s="9" t="str"/>
    </x:row>
    <x:row r="8" ht="68" customHeight="1">
      <x:c r="A8" s="19" t="str">
        <x:v>ASC-MIS-RECORD</x:v>
      </x:c>
      <x:c r="B8" s="7" t="str">
        <x:v>Contrôler un dossier de suivi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Mission originale d’adaptation, inspirée d’un enjeu général de l’œuvre.</x:v>
      </x:c>
      <x:c r="G8" s="7" t="str">
        <x:v>Repérer une incohérence administrative dans une procédure fictive.</x:v>
      </x:c>
      <x:c r="H8" s="7" t="str">
        <x:v>Comparer signature, autorisation et heure d’accès ; transmettre l’alerte à un adulte responsable.</x:v>
      </x:c>
      <x:c r="I8" s="7" t="str">
        <x:v>Objectif spatial associé à Poste de suivi médical proposé ; états non commencé/en cours/résolu distingués.</x:v>
      </x:c>
      <x:c r="J8" s="7" t="str">
        <x:v>Entrée contrôlée, actions de groupe et fin interruptible avant sauvegarde ; aucune animation ne décide seule du résultat.</x:v>
      </x:c>
      <x:c r="K8" s="7" t="str">
        <x:v>Briefing original concis ; changement de musique à la résolution d’objectif, pas après un délai arbitraire.</x:v>
      </x:c>
      <x:c r="L8" s="7" t="str">
        <x:v>quests/asc/record.json ; états offered/active/resolved ; clés de progression propres au module.</x:v>
      </x:c>
      <x:c r="M8" s="7" t="str">
        <x:v>Aucune technique de traitement ou injection détaillée.</x:v>
      </x:c>
      <x:c r="N8" s="7" t="str">
        <x:v>Le joueur peut accomplir « Repérer une incohérence administrative dans une procédure fictive. » et la sortie confirme le résultat ; Aucune technique de traitement ou injection détaillée.</x:v>
      </x:c>
      <x:c r="O8" s="7" t="str">
        <x:v>ASC-MAP-MED</x:v>
      </x:c>
      <x:c r="P8" s="7" t="str"/>
      <x:c r="Q8" s="7" t="str"/>
      <x:c r="R8" s="7" t="str"/>
      <x:c r="S8" s="7" t="str"/>
    </x:row>
    <x:row r="9" ht="68" customHeight="1">
      <x:c r="A9" s="18" t="str">
        <x:v>ASC-MIS-CONTACT</x:v>
      </x:c>
      <x:c r="B9" s="9" t="str">
        <x:v>Chercher un passage discret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Mission originale d’adaptation, inspirée d’un enjeu général de l’œuvre.</x:v>
      </x:c>
      <x:c r="G9" s="9" t="str">
        <x:v>Repérer sur Omega un trajet supportable pour tout le groupe.</x:v>
      </x:c>
      <x:c r="H9" s="9" t="str">
        <x:v>Éviter contrôle hostile et encombrement ; conserver une halte sûre accessible.</x:v>
      </x:c>
      <x:c r="I9" s="9" t="str">
        <x:v>Objectif spatial associé à Coursives de marché sur Omega ; états non commencé/en cours/résolu distingués.</x:v>
      </x:c>
      <x:c r="J9" s="9" t="str">
        <x:v>Entrée contrôlée, actions de groupe et fin interruptible avant sauvegarde ; aucune animation ne décide seule du résultat.</x:v>
      </x:c>
      <x:c r="K9" s="9" t="str">
        <x:v>Briefing original concis ; changement de musique à la résolution d’objectif, pas après un délai arbitraire.</x:v>
      </x:c>
      <x:c r="L9" s="9" t="str">
        <x:v>quests/asc/contact.json ; états offered/active/resolved ; clés de progression propres au module.</x:v>
      </x:c>
      <x:c r="M9" s="9" t="str">
        <x:v>Les PNJ ajoutés portent la mention création originale.</x:v>
      </x:c>
      <x:c r="N9" s="9" t="str">
        <x:v>Le joueur peut accomplir « Repérer sur Omega un trajet supportable pour tout le groupe. » et la sortie confirme le résultat ; Les PNJ ajoutés portent la mention création originale.</x:v>
      </x:c>
      <x:c r="O9" s="9" t="str">
        <x:v>ASC-MAP-OMEGA</x:v>
      </x:c>
      <x:c r="P9" s="9" t="str"/>
      <x:c r="Q9" s="9" t="str"/>
      <x:c r="R9" s="9" t="str"/>
      <x:c r="S9" s="9" t="str"/>
    </x:row>
    <x:row r="10" ht="68" customHeight="1">
      <x:c r="A10" s="19" t="str">
        <x:v>ASC-MIS-RELEASE</x:v>
      </x:c>
      <x:c r="B10" s="7" t="str">
        <x:v>Dégager un sas de détention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Mission originale d’adaptation, inspirée d’un enjeu général de l’œuvre.</x:v>
      </x:c>
      <x:c r="G10" s="7" t="str">
        <x:v>Coordonner une sortie locale avec un allié technique.</x:v>
      </x:c>
      <x:c r="H10" s="7" t="str">
        <x:v>Deux postes doivent rester actifs ; un personnage protège pendant qu’un autre ouvre.</x:v>
      </x:c>
      <x:c r="I10" s="7" t="str">
        <x:v>Objectif spatial associé à Dépendance d’entrepôt proposée ; états non commencé/en cours/résolu distingués.</x:v>
      </x:c>
      <x:c r="J10" s="7" t="str">
        <x:v>Entrée contrôlée, actions de groupe et fin interruptible avant sauvegarde ; aucune animation ne décide seule du résultat.</x:v>
      </x:c>
      <x:c r="K10" s="7" t="str">
        <x:v>Briefing original concis ; changement de musique à la résolution d’objectif, pas après un délai arbitraire.</x:v>
      </x:c>
      <x:c r="L10" s="7" t="str">
        <x:v>quests/asc/release.json ; états offered/active/resolved ; clés de progression propres au module.</x:v>
      </x:c>
      <x:c r="M10" s="7" t="str">
        <x:v>Ne pas transformer Gillian en combattante obligatoire.</x:v>
      </x:c>
      <x:c r="N10" s="7" t="str">
        <x:v>Le joueur peut accomplir « Coordonner une sortie locale avec un allié technique. » et la sortie confirme le résultat ; Ne pas transformer Gillian en combattante obligatoire.</x:v>
      </x:c>
      <x:c r="O10" s="7" t="str">
        <x:v>ASC-MAP-WAREHOUSE</x:v>
      </x:c>
      <x:c r="P10" s="7" t="str"/>
      <x:c r="Q10" s="7" t="str"/>
      <x:c r="R10" s="7" t="str"/>
      <x:c r="S10" s="7" t="str"/>
    </x:row>
    <x:row r="11" ht="68" customHeight="1">
      <x:c r="A11" s="18" t="str">
        <x:v>ASC-MIS-TRAVEL</x:v>
      </x:c>
      <x:c r="B11" s="9" t="str">
        <x:v>Préserver les ressources de transit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Mission originale d’adaptation, inspirée d’un enjeu général de l’œuvre.</x:v>
      </x:c>
      <x:c r="G11" s="9" t="str">
        <x:v>Rétablir confort et communication dans une cabine sous contrainte.</x:v>
      </x:c>
      <x:c r="H11" s="9" t="str">
        <x:v>Répartir énergie entre liaison, diagnostic et environnement ; aucune mortalité aléatoire.</x:v>
      </x:c>
      <x:c r="I11" s="9" t="str">
        <x:v>Objectif spatial associé à Cabine de transit proposée ; états non commencé/en cours/résolu distingués.</x:v>
      </x:c>
      <x:c r="J11" s="9" t="str">
        <x:v>Entrée contrôlée, actions de groupe et fin interruptible avant sauvegarde ; aucune animation ne décide seule du résultat.</x:v>
      </x:c>
      <x:c r="K11" s="9" t="str">
        <x:v>Briefing original concis ; changement de musique à la résolution d’objectif, pas après un délai arbitraire.</x:v>
      </x:c>
      <x:c r="L11" s="9" t="str">
        <x:v>quests/asc/travel.json ; états offered/active/resolved ; clés de progression propres au module.</x:v>
      </x:c>
      <x:c r="M11" s="9" t="str">
        <x:v>Les temps de voyage sont abstraits et ne fixent pas un nouveau canon.</x:v>
      </x:c>
      <x:c r="N11" s="9" t="str">
        <x:v>Le joueur peut accomplir « Rétablir confort et communication dans une cabine sous contrainte. » et la sortie confirme le résultat ; Les temps de voyage sont abstraits et ne fixent pas un nouveau canon.</x:v>
      </x:c>
      <x:c r="O11" s="9" t="str">
        <x:v>ASC-MAP-SHUTTLE</x:v>
      </x:c>
      <x:c r="P11" s="9" t="str"/>
      <x:c r="Q11" s="9" t="str"/>
      <x:c r="R11" s="9" t="str"/>
      <x:c r="S11" s="9" t="str"/>
    </x:row>
    <x:row r="12" ht="68" customHeight="1">
      <x:c r="A12" s="19" t="str">
        <x:v>ASC-MIS-WELCOME</x:v>
      </x:c>
      <x:c r="B12" s="7" t="str">
        <x:v>Franchir le protocole d’accueil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Mission originale d’adaptation, inspirée d’un enjeu général de l’œuvre.</x:v>
      </x:c>
      <x:c r="G12" s="7" t="str">
        <x:v>Obtenir une admission sans compromettre la sécurité de l’équipage.</x:v>
      </x:c>
      <x:c r="H12" s="7" t="str">
        <x:v>Déclarer matériel, vérifier sas puis attendre l’autorisation ; énigme de procédure lisible.</x:v>
      </x:c>
      <x:c r="I12" s="7" t="str">
        <x:v>Objectif spatial associé à Sas d’accueil quarien proposé ; états non commencé/en cours/résolu distingués.</x:v>
      </x:c>
      <x:c r="J12" s="7" t="str">
        <x:v>Entrée contrôlée, actions de groupe et fin interruptible avant sauvegarde ; aucune animation ne décide seule du résultat.</x:v>
      </x:c>
      <x:c r="K12" s="7" t="str">
        <x:v>Briefing original concis ; changement de musique à la résolution d’objectif, pas après un délai arbitraire.</x:v>
      </x:c>
      <x:c r="L12" s="7" t="str">
        <x:v>quests/asc/welcome.json ; états offered/active/resolved ; clés de progression propres au module.</x:v>
      </x:c>
      <x:c r="M12" s="7" t="str">
        <x:v>Pas de guérison magique des vulnérabilités quarianes.</x:v>
      </x:c>
      <x:c r="N12" s="7" t="str">
        <x:v>Le joueur peut accomplir « Obtenir une admission sans compromettre la sécurité de l’équipage. » et la sortie confirme le résultat ; Pas de guérison magique des vulnérabilités quarianes.</x:v>
      </x:c>
      <x:c r="O12" s="7" t="str">
        <x:v>ASC-MAP-QUARANTINE</x:v>
      </x:c>
      <x:c r="P12" s="7" t="str"/>
      <x:c r="Q12" s="7" t="str"/>
      <x:c r="R12" s="7" t="str"/>
      <x:c r="S12" s="7" t="str"/>
    </x:row>
    <x:row r="13" ht="68" customHeight="1">
      <x:c r="A13" s="18" t="str">
        <x:v>ASC-MIS-SHARE</x:v>
      </x:c>
      <x:c r="B13" s="9" t="str">
        <x:v>Contribuer au pont d’échange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Mission originale d’adaptation, inspirée d’un enjeu général de l’œuvre.</x:v>
      </x:c>
      <x:c r="G13" s="9" t="str">
        <x:v>Aider l’équipage à répartir un matériel rare dans une situation originale.</x:v>
      </x:c>
      <x:c r="H13" s="9" t="str">
        <x:v>Trois demandes visibles, deux ressources puis une réparation permettant de satisfaire la dernière.</x:v>
      </x:c>
      <x:c r="I13" s="9" t="str">
        <x:v>Objectif spatial associé à Pont d’échange de l’Idenna proposé ; états non commencé/en cours/résolu distingués.</x:v>
      </x:c>
      <x:c r="J13" s="9" t="str">
        <x:v>Entrée contrôlée, actions de groupe et fin interruptible avant sauvegarde ; aucune animation ne décide seule du résultat.</x:v>
      </x:c>
      <x:c r="K13" s="9" t="str">
        <x:v>Briefing original concis ; changement de musique à la résolution d’objectif, pas après un délai arbitraire.</x:v>
      </x:c>
      <x:c r="L13" s="9" t="str">
        <x:v>quests/asc/share.json ; états offered/active/resolved ; clés de progression propres au module.</x:v>
      </x:c>
      <x:c r="M13" s="9" t="str">
        <x:v>Les échanges ne changent pas la mission de l’Idenna.</x:v>
      </x:c>
      <x:c r="N13" s="9" t="str">
        <x:v>Le joueur peut accomplir « Aider l’équipage à répartir un matériel rare dans une situation originale. » et la sortie confirme le résultat ; Les échanges ne changent pas la mission de l’Idenna.</x:v>
      </x:c>
      <x:c r="O13" s="9" t="str">
        <x:v>ASC-MAP-TRADE</x:v>
      </x:c>
      <x:c r="P13" s="9" t="str"/>
      <x:c r="Q13" s="9" t="str"/>
      <x:c r="R13" s="9" t="str"/>
      <x:c r="S13" s="9" t="str"/>
    </x:row>
    <x:row r="14" ht="68" customHeight="1">
      <x:c r="A14" s="19" t="str">
        <x:v>ASC-MIS-SECURE</x:v>
      </x:c>
      <x:c r="B14" s="7" t="str">
        <x:v>Sécuriser l’aire d’accueil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Mission originale d’adaptation, inspirée d’un enjeu général de l’œuvre.</x:v>
      </x:c>
      <x:c r="G14" s="7" t="str">
        <x:v>Protéger un réseau de bord pendant une intrusion proposée.</x:v>
      </x:c>
      <x:c r="H14" s="7" t="str">
        <x:v>Gérer accès, information et couverture ; l’objectif est la stabilité du vaisseau.</x:v>
      </x:c>
      <x:c r="I14" s="7" t="str">
        <x:v>Objectif spatial associé à Aire technique de l’Idenna proposée ; états non commencé/en cours/résolu distingués.</x:v>
      </x:c>
      <x:c r="J14" s="7" t="str">
        <x:v>Entrée contrôlée, actions de groupe et fin interruptible avant sauvegarde ; aucune animation ne décide seule du résultat.</x:v>
      </x:c>
      <x:c r="K14" s="7" t="str">
        <x:v>Briefing original concis ; changement de musique à la résolution d’objectif, pas après un délai arbitraire.</x:v>
      </x:c>
      <x:c r="L14" s="7" t="str">
        <x:v>quests/asc/secure.json ; états offered/active/resolved ; clés de progression propres au module.</x:v>
      </x:c>
      <x:c r="M14" s="7" t="str">
        <x:v>Gillian et Hendel restent liés à l’Idenna selon la continuité.</x:v>
      </x:c>
      <x:c r="N14" s="7" t="str">
        <x:v>Le joueur peut accomplir « Protéger un réseau de bord pendant une intrusion proposée. » et la sortie confirme le résultat ; Gillian et Hendel restent liés à l’Idenna selon la continuité.</x:v>
      </x:c>
      <x:c r="O14" s="7" t="str">
        <x:v>ASC-MAP-IDENNA</x:v>
      </x:c>
      <x:c r="P14" s="7" t="str"/>
      <x:c r="Q14" s="7" t="str"/>
      <x:c r="R14" s="7" t="str"/>
      <x:c r="S14" s="7" t="str"/>
    </x:row>
  </x:sheetData>
  <x:conditionalFormatting sqref="D7:D14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4">
    <x:cfRule type="cellIs" dxfId="38" priority="3" operator="equal">
      <x:formula>"Validé"</x:formula>
    </x:cfRule>
  </x:conditionalFormatting>
  <x:conditionalFormatting sqref="E7:E14">
    <x:cfRule type="cellIs" dxfId="3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8c29c13214cb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ASC-OPT-CALM</x:v>
      </x:c>
      <x:c r="B7" s="9" t="str">
        <x:v>Trouver un rythme de coopération — tâche annexe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Objectif annexe créé pour l’adaptation.</x:v>
      </x:c>
      <x:c r="G7" s="9" t="str">
        <x:v>Retrouver un objet personnel égaré sans l’utiliser comme récompense de docilité.</x:v>
      </x:c>
      <x:c r="H7" s="9" t="str">
        <x:v>Récompense proposée : renseignement de terrain, raccourci ou consommable local. Ne débloque aucun savoir anticipé sur la saga.</x:v>
      </x:c>
      <x:c r="I7" s="9" t="str">
        <x:v>Marqueur secondaire distinct du chemin critique et objet d’intérêt cadré lisiblement.</x:v>
      </x:c>
      <x:c r="J7" s="9" t="str">
        <x:v>Interaction brève réutilisant les poses du métier concerné, avec interruption possible.</x:v>
      </x:c>
      <x:c r="K7" s="9" t="str">
        <x:v>Petit signal de découverte ; résultat textuel consultable sans audio.</x:v>
      </x:c>
      <x:c r="L7" s="9" t="str">
        <x:v>optional.asc.calm ; persister done/skipped, récompenser une seule fois.</x:v>
      </x:c>
      <x:c r="M7" s="9" t="str">
        <x:v>Facultatif ; peut être ignoré sans bloquer la mission. Ne pas définir le personnage seulement par son diagnostic.</x:v>
      </x:c>
      <x:c r="N7" s="9" t="str">
        <x:v>Ignorer puis terminer la mission fonctionne ; compléter ne verse la récompense qu’une fois.</x:v>
      </x:c>
      <x:c r="O7" s="9" t="str">
        <x:v>ASC-MIS-CALM</x:v>
      </x:c>
      <x:c r="P7" s="9" t="str"/>
      <x:c r="Q7" s="9" t="str"/>
      <x:c r="R7" s="9" t="str"/>
      <x:c r="S7" s="9" t="str"/>
    </x:row>
    <x:row r="8" ht="54" customHeight="1">
      <x:c r="A8" s="19" t="str">
        <x:v>ASC-OPT-RECORD</x:v>
      </x:c>
      <x:c r="B8" s="7" t="str">
        <x:v>Contrôler un dossier de suivi — tâche annexe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Objectif annexe créé pour l’adaptation.</x:v>
      </x:c>
      <x:c r="G8" s="7" t="str">
        <x:v>Réorganiser la réserve de matériel pour rendre l’issue médicale accessible.</x:v>
      </x:c>
      <x:c r="H8" s="7" t="str">
        <x:v>Récompense proposée : renseignement de terrain, raccourci ou consommable local. Ne débloque aucun savoir anticipé sur la saga.</x:v>
      </x:c>
      <x:c r="I8" s="7" t="str">
        <x:v>Marqueur secondaire distinct du chemin critique et objet d’intérêt cadré lisiblement.</x:v>
      </x:c>
      <x:c r="J8" s="7" t="str">
        <x:v>Interaction brève réutilisant les poses du métier concerné, avec interruption possible.</x:v>
      </x:c>
      <x:c r="K8" s="7" t="str">
        <x:v>Petit signal de découverte ; résultat textuel consultable sans audio.</x:v>
      </x:c>
      <x:c r="L8" s="7" t="str">
        <x:v>optional.asc.record ; persister done/skipped, récompenser une seule fois.</x:v>
      </x:c>
      <x:c r="M8" s="7" t="str">
        <x:v>Facultatif ; peut être ignoré sans bloquer la mission. Aucune technique de traitement ou injection détaillée.</x:v>
      </x:c>
      <x:c r="N8" s="7" t="str">
        <x:v>Ignorer puis terminer la mission fonctionne ; compléter ne verse la récompense qu’une fois.</x:v>
      </x:c>
      <x:c r="O8" s="7" t="str">
        <x:v>ASC-MIS-RECORD</x:v>
      </x:c>
      <x:c r="P8" s="7" t="str"/>
      <x:c r="Q8" s="7" t="str"/>
      <x:c r="R8" s="7" t="str"/>
      <x:c r="S8" s="7" t="str"/>
    </x:row>
    <x:row r="9" ht="54" customHeight="1">
      <x:c r="A9" s="18" t="str">
        <x:v>ASC-OPT-CONTACT</x:v>
      </x:c>
      <x:c r="B9" s="9" t="str">
        <x:v>Chercher un passage discret — tâche annexe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Objectif annexe créé pour l’adaptation.</x:v>
      </x:c>
      <x:c r="G9" s="9" t="str">
        <x:v>Rendre un outil emprunté à un marchand original pour obtenir une indication.</x:v>
      </x:c>
      <x:c r="H9" s="9" t="str">
        <x:v>Récompense proposée : renseignement de terrain, raccourci ou consommable local. Ne débloque aucun savoir anticipé sur la saga.</x:v>
      </x:c>
      <x:c r="I9" s="9" t="str">
        <x:v>Marqueur secondaire distinct du chemin critique et objet d’intérêt cadré lisiblement.</x:v>
      </x:c>
      <x:c r="J9" s="9" t="str">
        <x:v>Interaction brève réutilisant les poses du métier concerné, avec interruption possible.</x:v>
      </x:c>
      <x:c r="K9" s="9" t="str">
        <x:v>Petit signal de découverte ; résultat textuel consultable sans audio.</x:v>
      </x:c>
      <x:c r="L9" s="9" t="str">
        <x:v>optional.asc.contact ; persister done/skipped, récompenser une seule fois.</x:v>
      </x:c>
      <x:c r="M9" s="9" t="str">
        <x:v>Facultatif ; peut être ignoré sans bloquer la mission. Les PNJ ajoutés portent la mention création originale.</x:v>
      </x:c>
      <x:c r="N9" s="9" t="str">
        <x:v>Ignorer puis terminer la mission fonctionne ; compléter ne verse la récompense qu’une fois.</x:v>
      </x:c>
      <x:c r="O9" s="9" t="str">
        <x:v>ASC-MIS-CONTACT</x:v>
      </x:c>
      <x:c r="P9" s="9" t="str"/>
      <x:c r="Q9" s="9" t="str"/>
      <x:c r="R9" s="9" t="str"/>
      <x:c r="S9" s="9" t="str"/>
    </x:row>
    <x:row r="10" ht="54" customHeight="1">
      <x:c r="A10" s="19" t="str">
        <x:v>ASC-OPT-RELEASE</x:v>
      </x:c>
      <x:c r="B10" s="7" t="str">
        <x:v>Dégager un sas de détention — tâche annexe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Objectif annexe créé pour l’adaptation.</x:v>
      </x:c>
      <x:c r="G10" s="7" t="str">
        <x:v>Ouvrir une réserve pour récupérer le sac du groupe.</x:v>
      </x:c>
      <x:c r="H10" s="7" t="str">
        <x:v>Récompense proposée : renseignement de terrain, raccourci ou consommable local. Ne débloque aucun savoir anticipé sur la saga.</x:v>
      </x:c>
      <x:c r="I10" s="7" t="str">
        <x:v>Marqueur secondaire distinct du chemin critique et objet d’intérêt cadré lisiblement.</x:v>
      </x:c>
      <x:c r="J10" s="7" t="str">
        <x:v>Interaction brève réutilisant les poses du métier concerné, avec interruption possible.</x:v>
      </x:c>
      <x:c r="K10" s="7" t="str">
        <x:v>Petit signal de découverte ; résultat textuel consultable sans audio.</x:v>
      </x:c>
      <x:c r="L10" s="7" t="str">
        <x:v>optional.asc.release ; persister done/skipped, récompenser une seule fois.</x:v>
      </x:c>
      <x:c r="M10" s="7" t="str">
        <x:v>Facultatif ; peut être ignoré sans bloquer la mission. Ne pas transformer Gillian en combattante obligatoire.</x:v>
      </x:c>
      <x:c r="N10" s="7" t="str">
        <x:v>Ignorer puis terminer la mission fonctionne ; compléter ne verse la récompense qu’une fois.</x:v>
      </x:c>
      <x:c r="O10" s="7" t="str">
        <x:v>ASC-MIS-RELEASE</x:v>
      </x:c>
      <x:c r="P10" s="7" t="str"/>
      <x:c r="Q10" s="7" t="str"/>
      <x:c r="R10" s="7" t="str"/>
      <x:c r="S10" s="7" t="str"/>
    </x:row>
    <x:row r="11" ht="54" customHeight="1">
      <x:c r="A11" s="18" t="str">
        <x:v>ASC-OPT-TRAVEL</x:v>
      </x:c>
      <x:c r="B11" s="9" t="str">
        <x:v>Préserver les ressources de transit — tâche annexe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Objectif annexe créé pour l’adaptation.</x:v>
      </x:c>
      <x:c r="G11" s="9" t="str">
        <x:v>Créer un espace de repos à l’écart des alarmes.</x:v>
      </x:c>
      <x:c r="H11" s="9" t="str">
        <x:v>Récompense proposée : renseignement de terrain, raccourci ou consommable local. Ne débloque aucun savoir anticipé sur la saga.</x:v>
      </x:c>
      <x:c r="I11" s="9" t="str">
        <x:v>Marqueur secondaire distinct du chemin critique et objet d’intérêt cadré lisiblement.</x:v>
      </x:c>
      <x:c r="J11" s="9" t="str">
        <x:v>Interaction brève réutilisant les poses du métier concerné, avec interruption possible.</x:v>
      </x:c>
      <x:c r="K11" s="9" t="str">
        <x:v>Petit signal de découverte ; résultat textuel consultable sans audio.</x:v>
      </x:c>
      <x:c r="L11" s="9" t="str">
        <x:v>optional.asc.travel ; persister done/skipped, récompenser une seule fois.</x:v>
      </x:c>
      <x:c r="M11" s="9" t="str">
        <x:v>Facultatif ; peut être ignoré sans bloquer la mission. Les temps de voyage sont abstraits et ne fixent pas un nouveau canon.</x:v>
      </x:c>
      <x:c r="N11" s="9" t="str">
        <x:v>Ignorer puis terminer la mission fonctionne ; compléter ne verse la récompense qu’une fois.</x:v>
      </x:c>
      <x:c r="O11" s="9" t="str">
        <x:v>ASC-MIS-TRAVEL</x:v>
      </x:c>
      <x:c r="P11" s="9" t="str"/>
      <x:c r="Q11" s="9" t="str"/>
      <x:c r="R11" s="9" t="str"/>
      <x:c r="S11" s="9" t="str"/>
    </x:row>
    <x:row r="12" ht="54" customHeight="1">
      <x:c r="A12" s="19" t="str">
        <x:v>ASC-OPT-WELCOME</x:v>
      </x:c>
      <x:c r="B12" s="7" t="str">
        <x:v>Franchir le protocole d’accueil — tâche annexe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Objectif annexe créé pour l’adaptation.</x:v>
      </x:c>
      <x:c r="G12" s="7" t="str">
        <x:v>Identifier une fuite de filtre et la signaler à l’équipe de bord.</x:v>
      </x:c>
      <x:c r="H12" s="7" t="str">
        <x:v>Récompense proposée : renseignement de terrain, raccourci ou consommable local. Ne débloque aucun savoir anticipé sur la saga.</x:v>
      </x:c>
      <x:c r="I12" s="7" t="str">
        <x:v>Marqueur secondaire distinct du chemin critique et objet d’intérêt cadré lisiblement.</x:v>
      </x:c>
      <x:c r="J12" s="7" t="str">
        <x:v>Interaction brève réutilisant les poses du métier concerné, avec interruption possible.</x:v>
      </x:c>
      <x:c r="K12" s="7" t="str">
        <x:v>Petit signal de découverte ; résultat textuel consultable sans audio.</x:v>
      </x:c>
      <x:c r="L12" s="7" t="str">
        <x:v>optional.asc.welcome ; persister done/skipped, récompenser une seule fois.</x:v>
      </x:c>
      <x:c r="M12" s="7" t="str">
        <x:v>Facultatif ; peut être ignoré sans bloquer la mission. Pas de guérison magique des vulnérabilités quarianes.</x:v>
      </x:c>
      <x:c r="N12" s="7" t="str">
        <x:v>Ignorer puis terminer la mission fonctionne ; compléter ne verse la récompense qu’une fois.</x:v>
      </x:c>
      <x:c r="O12" s="7" t="str">
        <x:v>ASC-MIS-WELCOME</x:v>
      </x:c>
      <x:c r="P12" s="7" t="str"/>
      <x:c r="Q12" s="7" t="str"/>
      <x:c r="R12" s="7" t="str"/>
      <x:c r="S12" s="7" t="str"/>
    </x:row>
    <x:row r="13" ht="54" customHeight="1">
      <x:c r="A13" s="18" t="str">
        <x:v>ASC-OPT-SHARE</x:v>
      </x:c>
      <x:c r="B13" s="9" t="str">
        <x:v>Contribuer au pont d’échange — tâche annexe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Objectif annexe créé pour l’adaptation.</x:v>
      </x:c>
      <x:c r="G13" s="9" t="str">
        <x:v>Récupérer une pièce dans une alcôve non dangereuse pour un technicien.</x:v>
      </x:c>
      <x:c r="H13" s="9" t="str">
        <x:v>Récompense proposée : renseignement de terrain, raccourci ou consommable local. Ne débloque aucun savoir anticipé sur la saga.</x:v>
      </x:c>
      <x:c r="I13" s="9" t="str">
        <x:v>Marqueur secondaire distinct du chemin critique et objet d’intérêt cadré lisiblement.</x:v>
      </x:c>
      <x:c r="J13" s="9" t="str">
        <x:v>Interaction brève réutilisant les poses du métier concerné, avec interruption possible.</x:v>
      </x:c>
      <x:c r="K13" s="9" t="str">
        <x:v>Petit signal de découverte ; résultat textuel consultable sans audio.</x:v>
      </x:c>
      <x:c r="L13" s="9" t="str">
        <x:v>optional.asc.share ; persister done/skipped, récompenser une seule fois.</x:v>
      </x:c>
      <x:c r="M13" s="9" t="str">
        <x:v>Facultatif ; peut être ignoré sans bloquer la mission. Les échanges ne changent pas la mission de l’Idenna.</x:v>
      </x:c>
      <x:c r="N13" s="9" t="str">
        <x:v>Ignorer puis terminer la mission fonctionne ; compléter ne verse la récompense qu’une fois.</x:v>
      </x:c>
      <x:c r="O13" s="9" t="str">
        <x:v>ASC-MIS-SHARE</x:v>
      </x:c>
      <x:c r="P13" s="9" t="str"/>
      <x:c r="Q13" s="9" t="str"/>
      <x:c r="R13" s="9" t="str"/>
      <x:c r="S13" s="9" t="str"/>
    </x:row>
    <x:row r="14" ht="54" customHeight="1">
      <x:c r="A14" s="19" t="str">
        <x:v>ASC-OPT-SECURE</x:v>
      </x:c>
      <x:c r="B14" s="7" t="str">
        <x:v>Sécuriser l’aire d’accueil — tâche annexe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Objectif annexe créé pour l’adaptation.</x:v>
      </x:c>
      <x:c r="G14" s="7" t="str">
        <x:v>Mettre à l’abri des journaux civils originaux.</x:v>
      </x:c>
      <x:c r="H14" s="7" t="str">
        <x:v>Récompense proposée : renseignement de terrain, raccourci ou consommable local. Ne débloque aucun savoir anticipé sur la saga.</x:v>
      </x:c>
      <x:c r="I14" s="7" t="str">
        <x:v>Marqueur secondaire distinct du chemin critique et objet d’intérêt cadré lisiblement.</x:v>
      </x:c>
      <x:c r="J14" s="7" t="str">
        <x:v>Interaction brève réutilisant les poses du métier concerné, avec interruption possible.</x:v>
      </x:c>
      <x:c r="K14" s="7" t="str">
        <x:v>Petit signal de découverte ; résultat textuel consultable sans audio.</x:v>
      </x:c>
      <x:c r="L14" s="7" t="str">
        <x:v>optional.asc.secure ; persister done/skipped, récompenser une seule fois.</x:v>
      </x:c>
      <x:c r="M14" s="7" t="str">
        <x:v>Facultatif ; peut être ignoré sans bloquer la mission. Gillian et Hendel restent liés à l’Idenna selon la continuité.</x:v>
      </x:c>
      <x:c r="N14" s="7" t="str">
        <x:v>Ignorer puis terminer la mission fonctionne ; compléter ne verse la récompense qu’une fois.</x:v>
      </x:c>
      <x:c r="O14" s="7" t="str">
        <x:v>ASC-MIS-SECURE</x:v>
      </x:c>
      <x:c r="P14" s="7" t="str"/>
      <x:c r="Q14" s="7" t="str"/>
      <x:c r="R14" s="7" t="str"/>
      <x:c r="S14" s="7" t="str"/>
    </x:row>
  </x:sheetData>
  <x:conditionalFormatting sqref="D7:D14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4">
    <x:cfRule type="cellIs" dxfId="42" priority="3" operator="equal">
      <x:formula>"Validé"</x:formula>
    </x:cfRule>
  </x:conditionalFormatting>
  <x:conditionalFormatting sqref="E7:E14">
    <x:cfRule type="cellIs" dxfId="4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18b1a17f4425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ASC-CHO-CALM</x:v>
      </x:c>
      <x:c r="B7" s="9" t="str">
        <x:v>Trouver un rythme de coopération — méthode optionnelle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Bifurcation locale originale ; elle ne crée pas une autre fin officielle.</x:v>
      </x:c>
      <x:c r="G7" s="9" t="str">
        <x:v>Exercice de précision ou exercice de coordination ; même validation pédagogique.</x:v>
      </x:c>
      <x:c r="H7" s="9" t="str">
        <x:v>Afficher coût, bénéfice local et condition de retour avant validation ; deux méthodes rejoignent le même verrou de continuité.</x:v>
      </x:c>
      <x:c r="I7" s="9" t="str">
        <x:v>Libellés d’action concrets ; symbole d’effet local ; aucune option désactivée sans motif.</x:v>
      </x:c>
      <x:c r="J7" s="9" t="str">
        <x:v>Réaction courte du groupe ; reprise immédiate des contrôles après résultat.</x:v>
      </x:c>
      <x:c r="K7" s="9" t="str">
        <x:v>Confirmation discrète ; lecture du résultat disponible dans le journal.</x:v>
      </x:c>
      <x:c r="L7" s="9" t="str">
        <x:v>choice.asc.calm ; stocker la méthode et le coût, jamais une réécriture d’événement source.</x:v>
      </x:c>
      <x:c r="M7" s="9" t="str">
        <x:v>Ne pas définir le personnage seulement par son diagnostic.</x:v>
      </x:c>
      <x:c r="N7" s="9" t="str">
        <x:v>Les deux branches sont atteignables ; l’état canonique final du module est identique.</x:v>
      </x:c>
      <x:c r="O7" s="9" t="str">
        <x:v>ASC-MIS-CALM</x:v>
      </x:c>
      <x:c r="P7" s="9" t="str"/>
      <x:c r="Q7" s="9" t="str"/>
      <x:c r="R7" s="9" t="str"/>
      <x:c r="S7" s="9" t="str"/>
    </x:row>
    <x:row r="8" ht="54" customHeight="1">
      <x:c r="A8" s="19" t="str">
        <x:v>ASC-CHO-RECORD</x:v>
      </x:c>
      <x:c r="B8" s="7" t="str">
        <x:v>Contrôler un dossier de suivi — méthode optionnelle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Bifurcation locale originale ; elle ne crée pas une autre fin officielle.</x:v>
      </x:c>
      <x:c r="G8" s="7" t="str">
        <x:v>Demander une seconde lecture ou consulter un registre ; coût de temps seulement.</x:v>
      </x:c>
      <x:c r="H8" s="7" t="str">
        <x:v>Afficher coût, bénéfice local et condition de retour avant validation ; deux méthodes rejoignent le même verrou de continuité.</x:v>
      </x:c>
      <x:c r="I8" s="7" t="str">
        <x:v>Libellés d’action concrets ; symbole d’effet local ; aucune option désactivée sans motif.</x:v>
      </x:c>
      <x:c r="J8" s="7" t="str">
        <x:v>Réaction courte du groupe ; reprise immédiate des contrôles après résultat.</x:v>
      </x:c>
      <x:c r="K8" s="7" t="str">
        <x:v>Confirmation discrète ; lecture du résultat disponible dans le journal.</x:v>
      </x:c>
      <x:c r="L8" s="7" t="str">
        <x:v>choice.asc.record ; stocker la méthode et le coût, jamais une réécriture d’événement source.</x:v>
      </x:c>
      <x:c r="M8" s="7" t="str">
        <x:v>Aucune technique de traitement ou injection détaillée.</x:v>
      </x:c>
      <x:c r="N8" s="7" t="str">
        <x:v>Les deux branches sont atteignables ; l’état canonique final du module est identique.</x:v>
      </x:c>
      <x:c r="O8" s="7" t="str">
        <x:v>ASC-MIS-RECORD</x:v>
      </x:c>
      <x:c r="P8" s="7" t="str"/>
      <x:c r="Q8" s="7" t="str"/>
      <x:c r="R8" s="7" t="str"/>
      <x:c r="S8" s="7" t="str"/>
    </x:row>
    <x:row r="9" ht="54" customHeight="1">
      <x:c r="A9" s="18" t="str">
        <x:v>ASC-CHO-CONTACT</x:v>
      </x:c>
      <x:c r="B9" s="9" t="str">
        <x:v>Chercher un passage discret — méthode optionnelle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Bifurcation locale originale ; elle ne crée pas une autre fin officielle.</x:v>
      </x:c>
      <x:c r="G9" s="9" t="str">
        <x:v>Parcourir les étals ou utiliser la coursive haute ; même point d’arrivée.</x:v>
      </x:c>
      <x:c r="H9" s="9" t="str">
        <x:v>Afficher coût, bénéfice local et condition de retour avant validation ; deux méthodes rejoignent le même verrou de continuité.</x:v>
      </x:c>
      <x:c r="I9" s="9" t="str">
        <x:v>Libellés d’action concrets ; symbole d’effet local ; aucune option désactivée sans motif.</x:v>
      </x:c>
      <x:c r="J9" s="9" t="str">
        <x:v>Réaction courte du groupe ; reprise immédiate des contrôles après résultat.</x:v>
      </x:c>
      <x:c r="K9" s="9" t="str">
        <x:v>Confirmation discrète ; lecture du résultat disponible dans le journal.</x:v>
      </x:c>
      <x:c r="L9" s="9" t="str">
        <x:v>choice.asc.contact ; stocker la méthode et le coût, jamais une réécriture d’événement source.</x:v>
      </x:c>
      <x:c r="M9" s="9" t="str">
        <x:v>Les PNJ ajoutés portent la mention création originale.</x:v>
      </x:c>
      <x:c r="N9" s="9" t="str">
        <x:v>Les deux branches sont atteignables ; l’état canonique final du module est identique.</x:v>
      </x:c>
      <x:c r="O9" s="9" t="str">
        <x:v>ASC-MIS-CONTACT</x:v>
      </x:c>
      <x:c r="P9" s="9" t="str"/>
      <x:c r="Q9" s="9" t="str"/>
      <x:c r="R9" s="9" t="str"/>
      <x:c r="S9" s="9" t="str"/>
    </x:row>
    <x:row r="10" ht="54" customHeight="1">
      <x:c r="A10" s="19" t="str">
        <x:v>ASC-CHO-RELEASE</x:v>
      </x:c>
      <x:c r="B10" s="7" t="str">
        <x:v>Dégager un sas de détention — méthode optionnelle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Bifurcation locale originale ; elle ne crée pas une autre fin officielle.</x:v>
      </x:c>
      <x:c r="G10" s="7" t="str">
        <x:v>Neutralisation non létale d’un garde ajouté ou coupure d’éclairage locale.</x:v>
      </x:c>
      <x:c r="H10" s="7" t="str">
        <x:v>Afficher coût, bénéfice local et condition de retour avant validation ; deux méthodes rejoignent le même verrou de continuité.</x:v>
      </x:c>
      <x:c r="I10" s="7" t="str">
        <x:v>Libellés d’action concrets ; symbole d’effet local ; aucune option désactivée sans motif.</x:v>
      </x:c>
      <x:c r="J10" s="7" t="str">
        <x:v>Réaction courte du groupe ; reprise immédiate des contrôles après résultat.</x:v>
      </x:c>
      <x:c r="K10" s="7" t="str">
        <x:v>Confirmation discrète ; lecture du résultat disponible dans le journal.</x:v>
      </x:c>
      <x:c r="L10" s="7" t="str">
        <x:v>choice.asc.release ; stocker la méthode et le coût, jamais une réécriture d’événement source.</x:v>
      </x:c>
      <x:c r="M10" s="7" t="str">
        <x:v>Ne pas transformer Gillian en combattante obligatoire.</x:v>
      </x:c>
      <x:c r="N10" s="7" t="str">
        <x:v>Les deux branches sont atteignables ; l’état canonique final du module est identique.</x:v>
      </x:c>
      <x:c r="O10" s="7" t="str">
        <x:v>ASC-MIS-RELEASE</x:v>
      </x:c>
      <x:c r="P10" s="7" t="str"/>
      <x:c r="Q10" s="7" t="str"/>
      <x:c r="R10" s="7" t="str"/>
      <x:c r="S10" s="7" t="str"/>
    </x:row>
    <x:row r="11" ht="54" customHeight="1">
      <x:c r="A11" s="18" t="str">
        <x:v>ASC-CHO-TRAVEL</x:v>
      </x:c>
      <x:c r="B11" s="9" t="str">
        <x:v>Préserver les ressources de transit — méthode optionnelle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Bifurcation locale originale ; elle ne crée pas une autre fin officielle.</x:v>
      </x:c>
      <x:c r="G11" s="9" t="str">
        <x:v>Réparation lente discrète ou redirection énergivore ; deux solutions sûres.</x:v>
      </x:c>
      <x:c r="H11" s="9" t="str">
        <x:v>Afficher coût, bénéfice local et condition de retour avant validation ; deux méthodes rejoignent le même verrou de continuité.</x:v>
      </x:c>
      <x:c r="I11" s="9" t="str">
        <x:v>Libellés d’action concrets ; symbole d’effet local ; aucune option désactivée sans motif.</x:v>
      </x:c>
      <x:c r="J11" s="9" t="str">
        <x:v>Réaction courte du groupe ; reprise immédiate des contrôles après résultat.</x:v>
      </x:c>
      <x:c r="K11" s="9" t="str">
        <x:v>Confirmation discrète ; lecture du résultat disponible dans le journal.</x:v>
      </x:c>
      <x:c r="L11" s="9" t="str">
        <x:v>choice.asc.travel ; stocker la méthode et le coût, jamais une réécriture d’événement source.</x:v>
      </x:c>
      <x:c r="M11" s="9" t="str">
        <x:v>Les temps de voyage sont abstraits et ne fixent pas un nouveau canon.</x:v>
      </x:c>
      <x:c r="N11" s="9" t="str">
        <x:v>Les deux branches sont atteignables ; l’état canonique final du module est identique.</x:v>
      </x:c>
      <x:c r="O11" s="9" t="str">
        <x:v>ASC-MIS-TRAVEL</x:v>
      </x:c>
      <x:c r="P11" s="9" t="str"/>
      <x:c r="Q11" s="9" t="str"/>
      <x:c r="R11" s="9" t="str"/>
      <x:c r="S11" s="9" t="str"/>
    </x:row>
    <x:row r="12" ht="54" customHeight="1">
      <x:c r="A12" s="19" t="str">
        <x:v>ASC-CHO-WELCOME</x:v>
      </x:c>
      <x:c r="B12" s="7" t="str">
        <x:v>Franchir le protocole d’accueil — méthode optionnelle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Bifurcation locale originale ; elle ne crée pas une autre fin officielle.</x:v>
      </x:c>
      <x:c r="G12" s="7" t="str">
        <x:v>Présenter le registre de bord ou solliciter un contrôle supplémentaire.</x:v>
      </x:c>
      <x:c r="H12" s="7" t="str">
        <x:v>Afficher coût, bénéfice local et condition de retour avant validation ; deux méthodes rejoignent le même verrou de continuité.</x:v>
      </x:c>
      <x:c r="I12" s="7" t="str">
        <x:v>Libellés d’action concrets ; symbole d’effet local ; aucune option désactivée sans motif.</x:v>
      </x:c>
      <x:c r="J12" s="7" t="str">
        <x:v>Réaction courte du groupe ; reprise immédiate des contrôles après résultat.</x:v>
      </x:c>
      <x:c r="K12" s="7" t="str">
        <x:v>Confirmation discrète ; lecture du résultat disponible dans le journal.</x:v>
      </x:c>
      <x:c r="L12" s="7" t="str">
        <x:v>choice.asc.welcome ; stocker la méthode et le coût, jamais une réécriture d’événement source.</x:v>
      </x:c>
      <x:c r="M12" s="7" t="str">
        <x:v>Pas de guérison magique des vulnérabilités quarianes.</x:v>
      </x:c>
      <x:c r="N12" s="7" t="str">
        <x:v>Les deux branches sont atteignables ; l’état canonique final du module est identique.</x:v>
      </x:c>
      <x:c r="O12" s="7" t="str">
        <x:v>ASC-MIS-WELCOME</x:v>
      </x:c>
      <x:c r="P12" s="7" t="str"/>
      <x:c r="Q12" s="7" t="str"/>
      <x:c r="R12" s="7" t="str"/>
      <x:c r="S12" s="7" t="str"/>
    </x:row>
    <x:row r="13" ht="54" customHeight="1">
      <x:c r="A13" s="18" t="str">
        <x:v>ASC-CHO-SHARE</x:v>
      </x:c>
      <x:c r="B13" s="9" t="str">
        <x:v>Contribuer au pont d’échange — méthode optionnelle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Bifurcation locale originale ; elle ne crée pas une autre fin officielle.</x:v>
      </x:c>
      <x:c r="G13" s="9" t="str">
        <x:v>Prêter un outil ou fabriquer un adaptateur abstrait.</x:v>
      </x:c>
      <x:c r="H13" s="9" t="str">
        <x:v>Afficher coût, bénéfice local et condition de retour avant validation ; deux méthodes rejoignent le même verrou de continuité.</x:v>
      </x:c>
      <x:c r="I13" s="9" t="str">
        <x:v>Libellés d’action concrets ; symbole d’effet local ; aucune option désactivée sans motif.</x:v>
      </x:c>
      <x:c r="J13" s="9" t="str">
        <x:v>Réaction courte du groupe ; reprise immédiate des contrôles après résultat.</x:v>
      </x:c>
      <x:c r="K13" s="9" t="str">
        <x:v>Confirmation discrète ; lecture du résultat disponible dans le journal.</x:v>
      </x:c>
      <x:c r="L13" s="9" t="str">
        <x:v>choice.asc.share ; stocker la méthode et le coût, jamais une réécriture d’événement source.</x:v>
      </x:c>
      <x:c r="M13" s="9" t="str">
        <x:v>Les échanges ne changent pas la mission de l’Idenna.</x:v>
      </x:c>
      <x:c r="N13" s="9" t="str">
        <x:v>Les deux branches sont atteignables ; l’état canonique final du module est identique.</x:v>
      </x:c>
      <x:c r="O13" s="9" t="str">
        <x:v>ASC-MIS-SHARE</x:v>
      </x:c>
      <x:c r="P13" s="9" t="str"/>
      <x:c r="Q13" s="9" t="str"/>
      <x:c r="R13" s="9" t="str"/>
      <x:c r="S13" s="9" t="str"/>
    </x:row>
    <x:row r="14" ht="54" customHeight="1">
      <x:c r="A14" s="19" t="str">
        <x:v>ASC-CHO-SECURE</x:v>
      </x:c>
      <x:c r="B14" s="7" t="str">
        <x:v>Sécuriser l’aire d’accueil — méthode optionnelle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Bifurcation locale originale ; elle ne crée pas une autre fin officielle.</x:v>
      </x:c>
      <x:c r="G14" s="7" t="str">
        <x:v>Fermer des voies ou déployer une diversion ; préserver un accès de secours.</x:v>
      </x:c>
      <x:c r="H14" s="7" t="str">
        <x:v>Afficher coût, bénéfice local et condition de retour avant validation ; deux méthodes rejoignent le même verrou de continuité.</x:v>
      </x:c>
      <x:c r="I14" s="7" t="str">
        <x:v>Libellés d’action concrets ; symbole d’effet local ; aucune option désactivée sans motif.</x:v>
      </x:c>
      <x:c r="J14" s="7" t="str">
        <x:v>Réaction courte du groupe ; reprise immédiate des contrôles après résultat.</x:v>
      </x:c>
      <x:c r="K14" s="7" t="str">
        <x:v>Confirmation discrète ; lecture du résultat disponible dans le journal.</x:v>
      </x:c>
      <x:c r="L14" s="7" t="str">
        <x:v>choice.asc.secure ; stocker la méthode et le coût, jamais une réécriture d’événement source.</x:v>
      </x:c>
      <x:c r="M14" s="7" t="str">
        <x:v>Gillian et Hendel restent liés à l’Idenna selon la continuité.</x:v>
      </x:c>
      <x:c r="N14" s="7" t="str">
        <x:v>Les deux branches sont atteignables ; l’état canonique final du module est identique.</x:v>
      </x:c>
      <x:c r="O14" s="7" t="str">
        <x:v>ASC-MIS-SECURE</x:v>
      </x:c>
      <x:c r="P14" s="7" t="str"/>
      <x:c r="Q14" s="7" t="str"/>
      <x:c r="R14" s="7" t="str"/>
      <x:c r="S14" s="7" t="str"/>
    </x:row>
  </x:sheetData>
  <x:conditionalFormatting sqref="D7:D14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4">
    <x:cfRule type="cellIs" dxfId="46" priority="3" operator="equal">
      <x:formula>"Validé"</x:formula>
    </x:cfRule>
  </x:conditionalFormatting>
  <x:conditionalFormatting sqref="E7:E14">
    <x:cfRule type="cellIs" dxfId="4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f3382ad58a438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ASC-DIA-KAHLEE</x:v>
      </x:c>
      <x:c r="B7" s="9" t="str">
        <x:v>Kahlee Sanders — échange : consentement et sécurité de l’élève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Dialogue original à écrire, sans reproduire les répliques de la publication.</x:v>
      </x:c>
      <x:c r="G7" s="9" t="str">
        <x:v>Intentions : aborder consentement et sécurité de l’élève, poser une question de clarification, puis revenir à l’objectif local.</x:v>
      </x:c>
      <x:c r="H7" s="9" t="str">
        <x:v>Trois intentions proposées : demander un fait, exprimer une réserve, clore. Débloquer un indice local sans imposer une opinion au joueur.</x:v>
      </x:c>
      <x:c r="I7" s="9" t="str">
        <x:v>Portrait Kahlee Sanders, interlocuteur actif et indication de la personne qui connaît le fait.</x:v>
      </x:c>
      <x:c r="J7" s="9" t="str">
        <x:v>Pose d’écoute puis réaction sobre ; ne pas boucler une émotion pendant une pause de lecture.</x:v>
      </x:c>
      <x:c r="K7" s="9" t="str">
        <x:v>Texte intégral affiché ; éventuelle voix originale avec débit réglable, sans imitation du casting.</x:v>
      </x:c>
      <x:c r="L7" s="9" t="str">
        <x:v>Dialogue graph asc.kahlee.consentement-et-securite-de-leleve ; drapeaux de connaissance locaux.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Aucune option ne révèle un savoir futur ; quitter puis reprendre conserve les sujets déjà abordés.</x:v>
      </x:c>
      <x:c r="O7" s="9" t="str">
        <x:v>ASC-CHR-KAHLEE</x:v>
      </x:c>
      <x:c r="P7" s="9" t="str"/>
      <x:c r="Q7" s="9" t="str"/>
      <x:c r="R7" s="9" t="str"/>
      <x:c r="S7" s="9" t="str">
        <x:v>Sujet et intentions sont du design original, pas une transcription.</x:v>
      </x:c>
    </x:row>
    <x:row r="8" ht="68" customHeight="1">
      <x:c r="A8" s="19" t="str">
        <x:v>ASC-DIA-GILLIAN</x:v>
      </x:c>
      <x:c r="B8" s="7" t="str">
        <x:v>Gillian Grayson — échange : préférences personnelles et confiance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Dialogue original à écrire, sans reproduire les répliques de la publication.</x:v>
      </x:c>
      <x:c r="G8" s="7" t="str">
        <x:v>Intentions : aborder préférences personnelles et confiance, poser une question de clarification, puis revenir à l’objectif local.</x:v>
      </x:c>
      <x:c r="H8" s="7" t="str">
        <x:v>Trois intentions proposées : demander un fait, exprimer une réserve, clore. Débloquer un indice local sans imposer une opinion au joueur.</x:v>
      </x:c>
      <x:c r="I8" s="7" t="str">
        <x:v>Portrait Gillian Grayson, interlocuteur actif et indication de la personne qui connaît le fait.</x:v>
      </x:c>
      <x:c r="J8" s="7" t="str">
        <x:v>Pose d’écoute puis réaction sobre ; ne pas boucler une émotion pendant une pause de lecture.</x:v>
      </x:c>
      <x:c r="K8" s="7" t="str">
        <x:v>Texte intégral affiché ; éventuelle voix originale avec débit réglable, sans imitation du casting.</x:v>
      </x:c>
      <x:c r="L8" s="7" t="str">
        <x:v>Dialogue graph asc.gillian.preferences-personnelles-et-confiance ; drapeaux de connaissance locaux.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Aucune option ne révèle un savoir futur ; quitter puis reprendre conserve les sujets déjà abordés.</x:v>
      </x:c>
      <x:c r="O8" s="7" t="str">
        <x:v>ASC-CHR-GILLIAN</x:v>
      </x:c>
      <x:c r="P8" s="7" t="str"/>
      <x:c r="Q8" s="7" t="str"/>
      <x:c r="R8" s="7" t="str"/>
      <x:c r="S8" s="7" t="str">
        <x:v>Sujet et intentions sont du design original, pas une transcription.</x:v>
      </x:c>
    </x:row>
    <x:row r="9" ht="68" customHeight="1">
      <x:c r="A9" s="18" t="str">
        <x:v>ASC-DIA-PAUL</x:v>
      </x:c>
      <x:c r="B9" s="9" t="str">
        <x:v>Paul Grayson — échange : protection de Gillian et loyautés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Dialogue original à écrire, sans reproduire les répliques de la publication.</x:v>
      </x:c>
      <x:c r="G9" s="9" t="str">
        <x:v>Intentions : aborder protection de Gillian et loyautés, poser une question de clarification, puis revenir à l’objectif local.</x:v>
      </x:c>
      <x:c r="H9" s="9" t="str">
        <x:v>Trois intentions proposées : demander un fait, exprimer une réserve, clore. Débloquer un indice local sans imposer une opinion au joueur.</x:v>
      </x:c>
      <x:c r="I9" s="9" t="str">
        <x:v>Portrait Paul Grayson, interlocuteur actif et indication de la personne qui connaît le fait.</x:v>
      </x:c>
      <x:c r="J9" s="9" t="str">
        <x:v>Pose d’écoute puis réaction sobre ; ne pas boucler une émotion pendant une pause de lecture.</x:v>
      </x:c>
      <x:c r="K9" s="9" t="str">
        <x:v>Texte intégral affiché ; éventuelle voix originale avec débit réglable, sans imitation du casting.</x:v>
      </x:c>
      <x:c r="L9" s="9" t="str">
        <x:v>Dialogue graph asc.paul.protection-de-gillian-et-loyautes ; drapeaux de connaissance locaux.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Aucune option ne révèle un savoir futur ; quitter puis reprendre conserve les sujets déjà abordés.</x:v>
      </x:c>
      <x:c r="O9" s="9" t="str">
        <x:v>ASC-CHR-PAUL</x:v>
      </x:c>
      <x:c r="P9" s="9" t="str"/>
      <x:c r="Q9" s="9" t="str"/>
      <x:c r="R9" s="9" t="str"/>
      <x:c r="S9" s="9" t="str">
        <x:v>Sujet et intentions sont du design original, pas une transcription.</x:v>
      </x:c>
    </x:row>
    <x:row r="10" ht="68" customHeight="1">
      <x:c r="A10" s="19" t="str">
        <x:v>ASC-DIA-HENDEL</x:v>
      </x:c>
      <x:c r="B10" s="7" t="str">
        <x:v>Hendel Mitra — échange : responsabilité d’un mentor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Dialogue original à écrire, sans reproduire les répliques de la publication.</x:v>
      </x:c>
      <x:c r="G10" s="7" t="str">
        <x:v>Intentions : aborder responsabilité d’un mentor, poser une question de clarification, puis revenir à l’objectif local.</x:v>
      </x:c>
      <x:c r="H10" s="7" t="str">
        <x:v>Trois intentions proposées : demander un fait, exprimer une réserve, clore. Débloquer un indice local sans imposer une opinion au joueur.</x:v>
      </x:c>
      <x:c r="I10" s="7" t="str">
        <x:v>Portrait Hendel Mitra, interlocuteur actif et indication de la personne qui connaît le fait.</x:v>
      </x:c>
      <x:c r="J10" s="7" t="str">
        <x:v>Pose d’écoute puis réaction sobre ; ne pas boucler une émotion pendant une pause de lecture.</x:v>
      </x:c>
      <x:c r="K10" s="7" t="str">
        <x:v>Texte intégral affiché ; éventuelle voix originale avec débit réglable, sans imitation du casting.</x:v>
      </x:c>
      <x:c r="L10" s="7" t="str">
        <x:v>Dialogue graph asc.hendel.responsabilite-dun-mentor ; drapeaux de connaissance locaux.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Aucune option ne révèle un savoir futur ; quitter puis reprendre conserve les sujets déjà abordés.</x:v>
      </x:c>
      <x:c r="O10" s="7" t="str">
        <x:v>ASC-CHR-HENDEL</x:v>
      </x:c>
      <x:c r="P10" s="7" t="str"/>
      <x:c r="Q10" s="7" t="str"/>
      <x:c r="R10" s="7" t="str"/>
      <x:c r="S10" s="7" t="str">
        <x:v>Sujet et intentions sont du design original, pas une transcription.</x:v>
      </x:c>
    </x:row>
    <x:row r="11" ht="68" customHeight="1">
      <x:c r="A11" s="18" t="str">
        <x:v>ASC-DIA-LEMM</x:v>
      </x:c>
      <x:c r="B11" s="9" t="str">
        <x:v>Lemm’Shal nar Tesleya — échange : entraide entre étrangers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Dialogue original à écrire, sans reproduire les répliques de la publication.</x:v>
      </x:c>
      <x:c r="G11" s="9" t="str">
        <x:v>Intentions : aborder entraide entre étrangers, poser une question de clarification, puis revenir à l’objectif local.</x:v>
      </x:c>
      <x:c r="H11" s="9" t="str">
        <x:v>Trois intentions proposées : demander un fait, exprimer une réserve, clore. Débloquer un indice local sans imposer une opinion au joueur.</x:v>
      </x:c>
      <x:c r="I11" s="9" t="str">
        <x:v>Portrait Lemm’Shal nar Tesleya, interlocuteur actif et indication de la personne qui connaît le fait.</x:v>
      </x:c>
      <x:c r="J11" s="9" t="str">
        <x:v>Pose d’écoute puis réaction sobre ; ne pas boucler une émotion pendant une pause de lecture.</x:v>
      </x:c>
      <x:c r="K11" s="9" t="str">
        <x:v>Texte intégral affiché ; éventuelle voix originale avec débit réglable, sans imitation du casting.</x:v>
      </x:c>
      <x:c r="L11" s="9" t="str">
        <x:v>Dialogue graph asc.lemm.entraide-entre-etrangers ; drapeaux de connaissance locaux.</x:v>
      </x:c>
      <x:c r="M11" s="9" t="str">
        <x:v>Préserver Gillian comme personne et enfant dans le contexte d’Ascension ; les options de gameplay ne changent ni son identité ni les événements qui conduisent à son séjour sur l’Idenna.</x:v>
      </x:c>
      <x:c r="N11" s="9" t="str">
        <x:v>Aucune option ne révèle un savoir futur ; quitter puis reprendre conserve les sujets déjà abordés.</x:v>
      </x:c>
      <x:c r="O11" s="9" t="str">
        <x:v>ASC-CHR-LEMM</x:v>
      </x:c>
      <x:c r="P11" s="9" t="str"/>
      <x:c r="Q11" s="9" t="str"/>
      <x:c r="R11" s="9" t="str"/>
      <x:c r="S11" s="9" t="str">
        <x:v>Sujet et intentions sont du design original, pas une transcription.</x:v>
      </x:c>
    </x:row>
    <x:row r="12" ht="68" customHeight="1">
      <x:c r="A12" s="19" t="str">
        <x:v>ASC-DIA-GOLO</x:v>
      </x:c>
      <x:c r="B12" s="7" t="str">
        <x:v>Golo — échange : exil et intérêt personnel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Dialogue original à écrire, sans reproduire les répliques de la publication.</x:v>
      </x:c>
      <x:c r="G12" s="7" t="str">
        <x:v>Intentions : aborder exil et intérêt personnel, poser une question de clarification, puis revenir à l’objectif local.</x:v>
      </x:c>
      <x:c r="H12" s="7" t="str">
        <x:v>Trois intentions proposées : demander un fait, exprimer une réserve, clore. Débloquer un indice local sans imposer une opinion au joueur.</x:v>
      </x:c>
      <x:c r="I12" s="7" t="str">
        <x:v>Portrait Golo, interlocuteur actif et indication de la personne qui connaît le fait.</x:v>
      </x:c>
      <x:c r="J12" s="7" t="str">
        <x:v>Pose d’écoute puis réaction sobre ; ne pas boucler une émotion pendant une pause de lecture.</x:v>
      </x:c>
      <x:c r="K12" s="7" t="str">
        <x:v>Texte intégral affiché ; éventuelle voix originale avec débit réglable, sans imitation du casting.</x:v>
      </x:c>
      <x:c r="L12" s="7" t="str">
        <x:v>Dialogue graph asc.golo.exil-et-interet-personnel ; drapeaux de connaissance locaux.</x:v>
      </x:c>
      <x:c r="M12" s="7" t="str">
        <x:v>Préserver Gillian comme personne et enfant dans le contexte d’Ascension ; les options de gameplay ne changent ni son identité ni les événements qui conduisent à son séjour sur l’Idenna.</x:v>
      </x:c>
      <x:c r="N12" s="7" t="str">
        <x:v>Aucune option ne révèle un savoir futur ; quitter puis reprendre conserve les sujets déjà abordés.</x:v>
      </x:c>
      <x:c r="O12" s="7" t="str">
        <x:v>ASC-CHR-GOLO</x:v>
      </x:c>
      <x:c r="P12" s="7" t="str"/>
      <x:c r="Q12" s="7" t="str"/>
      <x:c r="R12" s="7" t="str"/>
      <x:c r="S12" s="7" t="str">
        <x:v>Sujet et intentions sont du design original, pas une transcription.</x:v>
      </x:c>
    </x:row>
    <x:row r="13" ht="68" customHeight="1">
      <x:c r="A13" s="18" t="str">
        <x:v>ASC-DIA-PEL</x:v>
      </x:c>
      <x:c r="B13" s="9" t="str">
        <x:v>Pel — échange : exploitation des personnes biotiques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Dialogue original à écrire, sans reproduire les répliques de la publication.</x:v>
      </x:c>
      <x:c r="G13" s="9" t="str">
        <x:v>Intentions : aborder exploitation des personnes biotiques, poser une question de clarification, puis revenir à l’objectif local.</x:v>
      </x:c>
      <x:c r="H13" s="9" t="str">
        <x:v>Trois intentions proposées : demander un fait, exprimer une réserve, clore. Débloquer un indice local sans imposer une opinion au joueur.</x:v>
      </x:c>
      <x:c r="I13" s="9" t="str">
        <x:v>Portrait Pel, interlocuteur actif et indication de la personne qui connaît le fait.</x:v>
      </x:c>
      <x:c r="J13" s="9" t="str">
        <x:v>Pose d’écoute puis réaction sobre ; ne pas boucler une émotion pendant une pause de lecture.</x:v>
      </x:c>
      <x:c r="K13" s="9" t="str">
        <x:v>Texte intégral affiché ; éventuelle voix originale avec débit réglable, sans imitation du casting.</x:v>
      </x:c>
      <x:c r="L13" s="9" t="str">
        <x:v>Dialogue graph asc.pel.exploitation-des-personnes-biotiques ; drapeaux de connaissance locaux.</x:v>
      </x:c>
      <x:c r="M13" s="9" t="str">
        <x:v>Préserver Gillian comme personne et enfant dans le contexte d’Ascension ; les options de gameplay ne changent ni son identité ni les événements qui conduisent à son séjour sur l’Idenna.</x:v>
      </x:c>
      <x:c r="N13" s="9" t="str">
        <x:v>Aucune option ne révèle un savoir futur ; quitter puis reprendre conserve les sujets déjà abordés.</x:v>
      </x:c>
      <x:c r="O13" s="9" t="str">
        <x:v>ASC-CHR-PEL</x:v>
      </x:c>
      <x:c r="P13" s="9" t="str"/>
      <x:c r="Q13" s="9" t="str"/>
      <x:c r="R13" s="9" t="str"/>
      <x:c r="S13" s="9" t="str">
        <x:v>Sujet et intentions sont du design original, pas une transcription.</x:v>
      </x:c>
    </x:row>
    <x:row r="14" ht="68" customHeight="1">
      <x:c r="A14" s="19" t="str">
        <x:v>ASC-DIA-JIRO</x:v>
      </x:c>
      <x:c r="B14" s="7" t="str">
        <x:v>Jiro Toshiwa — échange : confiance envers une autorité médicale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Dialogue original à écrire, sans reproduire les répliques de la publication.</x:v>
      </x:c>
      <x:c r="G14" s="7" t="str">
        <x:v>Intentions : aborder confiance envers une autorité médicale, poser une question de clarification, puis revenir à l’objectif local.</x:v>
      </x:c>
      <x:c r="H14" s="7" t="str">
        <x:v>Trois intentions proposées : demander un fait, exprimer une réserve, clore. Débloquer un indice local sans imposer une opinion au joueur.</x:v>
      </x:c>
      <x:c r="I14" s="7" t="str">
        <x:v>Portrait Jiro Toshiwa, interlocuteur actif et indication de la personne qui connaît le fait.</x:v>
      </x:c>
      <x:c r="J14" s="7" t="str">
        <x:v>Pose d’écoute puis réaction sobre ; ne pas boucler une émotion pendant une pause de lecture.</x:v>
      </x:c>
      <x:c r="K14" s="7" t="str">
        <x:v>Texte intégral affiché ; éventuelle voix originale avec débit réglable, sans imitation du casting.</x:v>
      </x:c>
      <x:c r="L14" s="7" t="str">
        <x:v>Dialogue graph asc.jiro.confiance-envers-une-autorite-medicale ; drapeaux de connaissance locaux.</x:v>
      </x:c>
      <x:c r="M14" s="7" t="str">
        <x:v>Préserver Gillian comme personne et enfant dans le contexte d’Ascension ; les options de gameplay ne changent ni son identité ni les événements qui conduisent à son séjour sur l’Idenna.</x:v>
      </x:c>
      <x:c r="N14" s="7" t="str">
        <x:v>Aucune option ne révèle un savoir futur ; quitter puis reprendre conserve les sujets déjà abordés.</x:v>
      </x:c>
      <x:c r="O14" s="7" t="str">
        <x:v>ASC-CHR-JIRO</x:v>
      </x:c>
      <x:c r="P14" s="7" t="str"/>
      <x:c r="Q14" s="7" t="str"/>
      <x:c r="R14" s="7" t="str"/>
      <x:c r="S14" s="7" t="str">
        <x:v>Sujet et intentions sont du design original, pas une transcription.</x:v>
      </x:c>
    </x:row>
    <x:row r="15" ht="68" customHeight="1">
      <x:c r="A15" s="18" t="str">
        <x:v>ASC-DIA-NICK</x:v>
      </x:c>
      <x:c r="B15" s="9" t="str">
        <x:v>Nick Donahue — échange : coexistence et respect des limites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Dialogue original à écrire, sans reproduire les répliques de la publication.</x:v>
      </x:c>
      <x:c r="G15" s="9" t="str">
        <x:v>Intentions : aborder coexistence et respect des limites, poser une question de clarification, puis revenir à l’objectif local.</x:v>
      </x:c>
      <x:c r="H15" s="9" t="str">
        <x:v>Trois intentions proposées : demander un fait, exprimer une réserve, clore. Débloquer un indice local sans imposer une opinion au joueur.</x:v>
      </x:c>
      <x:c r="I15" s="9" t="str">
        <x:v>Portrait Nick Donahue, interlocuteur actif et indication de la personne qui connaît le fait.</x:v>
      </x:c>
      <x:c r="J15" s="9" t="str">
        <x:v>Pose d’écoute puis réaction sobre ; ne pas boucler une émotion pendant une pause de lecture.</x:v>
      </x:c>
      <x:c r="K15" s="9" t="str">
        <x:v>Texte intégral affiché ; éventuelle voix originale avec débit réglable, sans imitation du casting.</x:v>
      </x:c>
      <x:c r="L15" s="9" t="str">
        <x:v>Dialogue graph asc.nick.coexistence-et-respect-des-limites ; drapeaux de connaissance locaux.</x:v>
      </x:c>
      <x:c r="M15" s="9" t="str">
        <x:v>Préserver Gillian comme personne et enfant dans le contexte d’Ascension ; les options de gameplay ne changent ni son identité ni les événements qui conduisent à son séjour sur l’Idenna.</x:v>
      </x:c>
      <x:c r="N15" s="9" t="str">
        <x:v>Aucune option ne révèle un savoir futur ; quitter puis reprendre conserve les sujets déjà abordés.</x:v>
      </x:c>
      <x:c r="O15" s="9" t="str">
        <x:v>ASC-CHR-NICK</x:v>
      </x:c>
      <x:c r="P15" s="9" t="str"/>
      <x:c r="Q15" s="9" t="str"/>
      <x:c r="R15" s="9" t="str"/>
      <x:c r="S15" s="9" t="str">
        <x:v>Sujet et intentions sont du design original, pas une transcription.</x:v>
      </x:c>
    </x:row>
    <x:row r="16" ht="68" customHeight="1">
      <x:c r="A16" s="19" t="str">
        <x:v>ASC-DIA-MAL</x:v>
      </x:c>
      <x:c r="B16" s="7" t="str">
        <x:v>Ysin’Mal vas Idenna — échange : hospitalité et responsabilité envers l’équipage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Dialogue original à écrire, sans reproduire les répliques de la publication.</x:v>
      </x:c>
      <x:c r="G16" s="7" t="str">
        <x:v>Intentions : aborder hospitalité et responsabilité envers l’équipage, poser une question de clarification, puis revenir à l’objectif local.</x:v>
      </x:c>
      <x:c r="H16" s="7" t="str">
        <x:v>Trois intentions proposées : demander un fait, exprimer une réserve, clore. Débloquer un indice local sans imposer une opinion au joueur.</x:v>
      </x:c>
      <x:c r="I16" s="7" t="str">
        <x:v>Portrait Ysin’Mal vas Idenna, interlocuteur actif et indication de la personne qui connaît le fait.</x:v>
      </x:c>
      <x:c r="J16" s="7" t="str">
        <x:v>Pose d’écoute puis réaction sobre ; ne pas boucler une émotion pendant une pause de lecture.</x:v>
      </x:c>
      <x:c r="K16" s="7" t="str">
        <x:v>Texte intégral affiché ; éventuelle voix originale avec débit réglable, sans imitation du casting.</x:v>
      </x:c>
      <x:c r="L16" s="7" t="str">
        <x:v>Dialogue graph asc.mal.hospitalite-et-responsabilite-envers-lequipage ; drapeaux de connaissance locaux.</x:v>
      </x:c>
      <x:c r="M16" s="7" t="str">
        <x:v>Préserver Gillian comme personne et enfant dans le contexte d’Ascension ; les options de gameplay ne changent ni son identité ni les événements qui conduisent à son séjour sur l’Idenna.</x:v>
      </x:c>
      <x:c r="N16" s="7" t="str">
        <x:v>Aucune option ne révèle un savoir futur ; quitter puis reprendre conserve les sujets déjà abordés.</x:v>
      </x:c>
      <x:c r="O16" s="7" t="str">
        <x:v>ASC-CHR-MAL</x:v>
      </x:c>
      <x:c r="P16" s="7" t="str"/>
      <x:c r="Q16" s="7" t="str"/>
      <x:c r="R16" s="7" t="str"/>
      <x:c r="S16" s="7" t="str">
        <x:v>Sujet et intentions sont du design original, pas une transcription.</x:v>
      </x:c>
    </x:row>
  </x:sheetData>
  <x:conditionalFormatting sqref="D7:D16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16">
    <x:cfRule type="cellIs" dxfId="50" priority="3" operator="equal">
      <x:formula>"Validé"</x:formula>
    </x:cfRule>
  </x:conditionalFormatting>
  <x:conditionalFormatting sqref="E7:E16">
    <x:cfRule type="cellIs" dxfId="51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76da94c2948d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ASC-CIN-CALM</x:v>
      </x:c>
      <x:c r="B7" s="9" t="str">
        <x:v>Trouver un rythme de coopération — transition narrative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Mise en scène originale compacte, sans reconstituer les dialogues de l’œuvre.</x:v>
      </x:c>
      <x:c r="G7" s="9" t="str">
        <x:v>Échange original où Gillian exprime sa préférence.</x:v>
      </x:c>
      <x:c r="H7" s="9" t="str">
        <x:v>Caméra et texte uniquement ; aucune commande de combat pendant la transition ; reprise au même état en cas de saut.</x:v>
      </x:c>
      <x:c r="I7" s="9" t="str">
        <x:v>Composition 3D sobre, silhouettes 2D au premier plan ; contrôler l’échelle des personnages.</x:v>
      </x:c>
      <x:c r="J7" s="9" t="str">
        <x:v>Deux ou trois plans courts proposés ; sortie anticipée applique les mêmes drapeaux que lecture complète.</x:v>
      </x:c>
      <x:c r="K7" s="9" t="str">
        <x:v>Musique originale sous les sous-titres ; aucun extrait de bande sonore officielle.</x:v>
      </x:c>
      <x:c r="L7" s="9" t="str">
        <x:v>cinematics/asc/calm.timeline ; événements idempotents.</x:v>
      </x:c>
      <x:c r="M7" s="9" t="str">
        <x:v>Ne pas définir le personnage seulement par son diagnostic.</x:v>
      </x:c>
      <x:c r="N7" s="9" t="str">
        <x:v>Version regardée et version sautée donnent les mêmes inventaire, équipe, carte et objectifs.</x:v>
      </x:c>
      <x:c r="O7" s="9" t="str">
        <x:v>ASC-MIS-CALM</x:v>
      </x:c>
      <x:c r="P7" s="9" t="str"/>
      <x:c r="Q7" s="9" t="str"/>
      <x:c r="R7" s="9" t="str"/>
      <x:c r="S7" s="9" t="str"/>
    </x:row>
    <x:row r="8" ht="54" customHeight="1">
      <x:c r="A8" s="19" t="str">
        <x:v>ASC-CIN-RECORD</x:v>
      </x:c>
      <x:c r="B8" s="7" t="str">
        <x:v>Contrôler un dossier de suivi — transition narrative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Mise en scène originale compacte, sans reconstituer les dialogues de l’œuvre.</x:v>
      </x:c>
      <x:c r="G8" s="7" t="str">
        <x:v>Un dossier s’affiche comme incomplet, puis l’écran revient au groupe.</x:v>
      </x:c>
      <x:c r="H8" s="7" t="str">
        <x:v>Caméra et texte uniquement ; aucune commande de combat pendant la transition ; reprise au même état en cas de saut.</x:v>
      </x:c>
      <x:c r="I8" s="7" t="str">
        <x:v>Composition 3D sobre, silhouettes 2D au premier plan ; contrôler l’échelle des personnages.</x:v>
      </x:c>
      <x:c r="J8" s="7" t="str">
        <x:v>Deux ou trois plans courts proposés ; sortie anticipée applique les mêmes drapeaux que lecture complète.</x:v>
      </x:c>
      <x:c r="K8" s="7" t="str">
        <x:v>Musique originale sous les sous-titres ; aucun extrait de bande sonore officielle.</x:v>
      </x:c>
      <x:c r="L8" s="7" t="str">
        <x:v>cinematics/asc/record.timeline ; événements idempotents.</x:v>
      </x:c>
      <x:c r="M8" s="7" t="str">
        <x:v>Aucune technique de traitement ou injection détaillée.</x:v>
      </x:c>
      <x:c r="N8" s="7" t="str">
        <x:v>Version regardée et version sautée donnent les mêmes inventaire, équipe, carte et objectifs.</x:v>
      </x:c>
      <x:c r="O8" s="7" t="str">
        <x:v>ASC-MIS-RECORD</x:v>
      </x:c>
      <x:c r="P8" s="7" t="str"/>
      <x:c r="Q8" s="7" t="str"/>
      <x:c r="R8" s="7" t="str"/>
      <x:c r="S8" s="7" t="str"/>
    </x:row>
    <x:row r="9" ht="54" customHeight="1">
      <x:c r="A9" s="18" t="str">
        <x:v>ASC-CIN-CONTACT</x:v>
      </x:c>
      <x:c r="B9" s="9" t="str">
        <x:v>Chercher un passage discret — transition narrative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Mise en scène originale compacte, sans reconstituer les dialogues de l’œuvre.</x:v>
      </x:c>
      <x:c r="G9" s="9" t="str">
        <x:v>Panorama court qui situe le groupe dans la station.</x:v>
      </x:c>
      <x:c r="H9" s="9" t="str">
        <x:v>Caméra et texte uniquement ; aucune commande de combat pendant la transition ; reprise au même état en cas de saut.</x:v>
      </x:c>
      <x:c r="I9" s="9" t="str">
        <x:v>Composition 3D sobre, silhouettes 2D au premier plan ; contrôler l’échelle des personnages.</x:v>
      </x:c>
      <x:c r="J9" s="9" t="str">
        <x:v>Deux ou trois plans courts proposés ; sortie anticipée applique les mêmes drapeaux que lecture complète.</x:v>
      </x:c>
      <x:c r="K9" s="9" t="str">
        <x:v>Musique originale sous les sous-titres ; aucun extrait de bande sonore officielle.</x:v>
      </x:c>
      <x:c r="L9" s="9" t="str">
        <x:v>cinematics/asc/contact.timeline ; événements idempotents.</x:v>
      </x:c>
      <x:c r="M9" s="9" t="str">
        <x:v>Les PNJ ajoutés portent la mention création originale.</x:v>
      </x:c>
      <x:c r="N9" s="9" t="str">
        <x:v>Version regardée et version sautée donnent les mêmes inventaire, équipe, carte et objectifs.</x:v>
      </x:c>
      <x:c r="O9" s="9" t="str">
        <x:v>ASC-MIS-CONTACT</x:v>
      </x:c>
      <x:c r="P9" s="9" t="str"/>
      <x:c r="Q9" s="9" t="str"/>
      <x:c r="R9" s="9" t="str"/>
      <x:c r="S9" s="9" t="str"/>
    </x:row>
    <x:row r="10" ht="54" customHeight="1">
      <x:c r="A10" s="19" t="str">
        <x:v>ASC-CIN-RELEASE</x:v>
      </x:c>
      <x:c r="B10" s="7" t="str">
        <x:v>Dégager un sas de détention — transition narrative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Mise en scène originale compacte, sans reconstituer les dialogues de l’œuvre.</x:v>
      </x:c>
      <x:c r="G10" s="7" t="str">
        <x:v>La porte se ferme derrière les fuyards sans dialogue du roman.</x:v>
      </x:c>
      <x:c r="H10" s="7" t="str">
        <x:v>Caméra et texte uniquement ; aucune commande de combat pendant la transition ; reprise au même état en cas de saut.</x:v>
      </x:c>
      <x:c r="I10" s="7" t="str">
        <x:v>Composition 3D sobre, silhouettes 2D au premier plan ; contrôler l’échelle des personnages.</x:v>
      </x:c>
      <x:c r="J10" s="7" t="str">
        <x:v>Deux ou trois plans courts proposés ; sortie anticipée applique les mêmes drapeaux que lecture complète.</x:v>
      </x:c>
      <x:c r="K10" s="7" t="str">
        <x:v>Musique originale sous les sous-titres ; aucun extrait de bande sonore officielle.</x:v>
      </x:c>
      <x:c r="L10" s="7" t="str">
        <x:v>cinematics/asc/release.timeline ; événements idempotents.</x:v>
      </x:c>
      <x:c r="M10" s="7" t="str">
        <x:v>Ne pas transformer Gillian en combattante obligatoire.</x:v>
      </x:c>
      <x:c r="N10" s="7" t="str">
        <x:v>Version regardée et version sautée donnent les mêmes inventaire, équipe, carte et objectifs.</x:v>
      </x:c>
      <x:c r="O10" s="7" t="str">
        <x:v>ASC-MIS-RELEASE</x:v>
      </x:c>
      <x:c r="P10" s="7" t="str"/>
      <x:c r="Q10" s="7" t="str"/>
      <x:c r="R10" s="7" t="str"/>
      <x:c r="S10" s="7" t="str"/>
    </x:row>
    <x:row r="11" ht="54" customHeight="1">
      <x:c r="A11" s="18" t="str">
        <x:v>ASC-CIN-TRAVEL</x:v>
      </x:c>
      <x:c r="B11" s="9" t="str">
        <x:v>Préserver les ressources de transit — transition narrative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Mise en scène originale compacte, sans reconstituer les dialogues de l’œuvre.</x:v>
      </x:c>
      <x:c r="G11" s="9" t="str">
        <x:v>Plan sur le groupe au repos après stabilisation.</x:v>
      </x:c>
      <x:c r="H11" s="9" t="str">
        <x:v>Caméra et texte uniquement ; aucune commande de combat pendant la transition ; reprise au même état en cas de saut.</x:v>
      </x:c>
      <x:c r="I11" s="9" t="str">
        <x:v>Composition 3D sobre, silhouettes 2D au premier plan ; contrôler l’échelle des personnages.</x:v>
      </x:c>
      <x:c r="J11" s="9" t="str">
        <x:v>Deux ou trois plans courts proposés ; sortie anticipée applique les mêmes drapeaux que lecture complète.</x:v>
      </x:c>
      <x:c r="K11" s="9" t="str">
        <x:v>Musique originale sous les sous-titres ; aucun extrait de bande sonore officielle.</x:v>
      </x:c>
      <x:c r="L11" s="9" t="str">
        <x:v>cinematics/asc/travel.timeline ; événements idempotents.</x:v>
      </x:c>
      <x:c r="M11" s="9" t="str">
        <x:v>Les temps de voyage sont abstraits et ne fixent pas un nouveau canon.</x:v>
      </x:c>
      <x:c r="N11" s="9" t="str">
        <x:v>Version regardée et version sautée donnent les mêmes inventaire, équipe, carte et objectifs.</x:v>
      </x:c>
      <x:c r="O11" s="9" t="str">
        <x:v>ASC-MIS-TRAVEL</x:v>
      </x:c>
      <x:c r="P11" s="9" t="str"/>
      <x:c r="Q11" s="9" t="str"/>
      <x:c r="R11" s="9" t="str"/>
      <x:c r="S11" s="9" t="str"/>
    </x:row>
    <x:row r="12" ht="54" customHeight="1">
      <x:c r="A12" s="19" t="str">
        <x:v>ASC-CIN-WELCOME</x:v>
      </x:c>
      <x:c r="B12" s="7" t="str">
        <x:v>Franchir le protocole d’accueil — transition narrative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Mise en scène originale compacte, sans reconstituer les dialogues de l’œuvre.</x:v>
      </x:c>
      <x:c r="G12" s="7" t="str">
        <x:v>Les portes successives marquent l’entrée dans un nouvel espace social.</x:v>
      </x:c>
      <x:c r="H12" s="7" t="str">
        <x:v>Caméra et texte uniquement ; aucune commande de combat pendant la transition ; reprise au même état en cas de saut.</x:v>
      </x:c>
      <x:c r="I12" s="7" t="str">
        <x:v>Composition 3D sobre, silhouettes 2D au premier plan ; contrôler l’échelle des personnages.</x:v>
      </x:c>
      <x:c r="J12" s="7" t="str">
        <x:v>Deux ou trois plans courts proposés ; sortie anticipée applique les mêmes drapeaux que lecture complète.</x:v>
      </x:c>
      <x:c r="K12" s="7" t="str">
        <x:v>Musique originale sous les sous-titres ; aucun extrait de bande sonore officielle.</x:v>
      </x:c>
      <x:c r="L12" s="7" t="str">
        <x:v>cinematics/asc/welcome.timeline ; événements idempotents.</x:v>
      </x:c>
      <x:c r="M12" s="7" t="str">
        <x:v>Pas de guérison magique des vulnérabilités quarianes.</x:v>
      </x:c>
      <x:c r="N12" s="7" t="str">
        <x:v>Version regardée et version sautée donnent les mêmes inventaire, équipe, carte et objectifs.</x:v>
      </x:c>
      <x:c r="O12" s="7" t="str">
        <x:v>ASC-MIS-WELCOME</x:v>
      </x:c>
      <x:c r="P12" s="7" t="str"/>
      <x:c r="Q12" s="7" t="str"/>
      <x:c r="R12" s="7" t="str"/>
      <x:c r="S12" s="7" t="str"/>
    </x:row>
    <x:row r="13" ht="54" customHeight="1">
      <x:c r="A13" s="18" t="str">
        <x:v>ASC-CIN-SHARE</x:v>
      </x:c>
      <x:c r="B13" s="9" t="str">
        <x:v>Contribuer au pont d’échange — transition narrative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Mise en scène originale compacte, sans reconstituer les dialogues de l’œuvre.</x:v>
      </x:c>
      <x:c r="G13" s="9" t="str">
        <x:v>Une poignée de main ou un signe de reconnaissance choisi sans contact forcé.</x:v>
      </x:c>
      <x:c r="H13" s="9" t="str">
        <x:v>Caméra et texte uniquement ; aucune commande de combat pendant la transition ; reprise au même état en cas de saut.</x:v>
      </x:c>
      <x:c r="I13" s="9" t="str">
        <x:v>Composition 3D sobre, silhouettes 2D au premier plan ; contrôler l’échelle des personnages.</x:v>
      </x:c>
      <x:c r="J13" s="9" t="str">
        <x:v>Deux ou trois plans courts proposés ; sortie anticipée applique les mêmes drapeaux que lecture complète.</x:v>
      </x:c>
      <x:c r="K13" s="9" t="str">
        <x:v>Musique originale sous les sous-titres ; aucun extrait de bande sonore officielle.</x:v>
      </x:c>
      <x:c r="L13" s="9" t="str">
        <x:v>cinematics/asc/share.timeline ; événements idempotents.</x:v>
      </x:c>
      <x:c r="M13" s="9" t="str">
        <x:v>Les échanges ne changent pas la mission de l’Idenna.</x:v>
      </x:c>
      <x:c r="N13" s="9" t="str">
        <x:v>Version regardée et version sautée donnent les mêmes inventaire, équipe, carte et objectifs.</x:v>
      </x:c>
      <x:c r="O13" s="9" t="str">
        <x:v>ASC-MIS-SHARE</x:v>
      </x:c>
      <x:c r="P13" s="9" t="str"/>
      <x:c r="Q13" s="9" t="str"/>
      <x:c r="R13" s="9" t="str"/>
      <x:c r="S13" s="9" t="str"/>
    </x:row>
    <x:row r="14" ht="54" customHeight="1">
      <x:c r="A14" s="19" t="str">
        <x:v>ASC-CIN-SECURE</x:v>
      </x:c>
      <x:c r="B14" s="7" t="str">
        <x:v>Sécuriser l’aire d’accueil — transition narrative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Mise en scène originale compacte, sans reconstituer les dialogues de l’œuvre.</x:v>
      </x:c>
      <x:c r="G14" s="7" t="str">
        <x:v>Le groupe observe un itinéraire d’exploration sur un écran abstrait.</x:v>
      </x:c>
      <x:c r="H14" s="7" t="str">
        <x:v>Caméra et texte uniquement ; aucune commande de combat pendant la transition ; reprise au même état en cas de saut.</x:v>
      </x:c>
      <x:c r="I14" s="7" t="str">
        <x:v>Composition 3D sobre, silhouettes 2D au premier plan ; contrôler l’échelle des personnages.</x:v>
      </x:c>
      <x:c r="J14" s="7" t="str">
        <x:v>Deux ou trois plans courts proposés ; sortie anticipée applique les mêmes drapeaux que lecture complète.</x:v>
      </x:c>
      <x:c r="K14" s="7" t="str">
        <x:v>Musique originale sous les sous-titres ; aucun extrait de bande sonore officielle.</x:v>
      </x:c>
      <x:c r="L14" s="7" t="str">
        <x:v>cinematics/asc/secure.timeline ; événements idempotents.</x:v>
      </x:c>
      <x:c r="M14" s="7" t="str">
        <x:v>Gillian et Hendel restent liés à l’Idenna selon la continuité.</x:v>
      </x:c>
      <x:c r="N14" s="7" t="str">
        <x:v>Version regardée et version sautée donnent les mêmes inventaire, équipe, carte et objectifs.</x:v>
      </x:c>
      <x:c r="O14" s="7" t="str">
        <x:v>ASC-MIS-SECURE</x:v>
      </x:c>
      <x:c r="P14" s="7" t="str"/>
      <x:c r="Q14" s="7" t="str"/>
      <x:c r="R14" s="7" t="str"/>
      <x:c r="S14" s="7" t="str"/>
    </x:row>
  </x:sheetData>
  <x:conditionalFormatting sqref="D7:D14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14">
    <x:cfRule type="cellIs" dxfId="54" priority="3" operator="equal">
      <x:formula>"Validé"</x:formula>
    </x:cfRule>
  </x:conditionalFormatting>
  <x:conditionalFormatting sqref="E7:E14">
    <x:cfRule type="cellIs" dxfId="5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d17dfcbc394a2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ASC-REF-STUN</x:v>
      </x:c>
      <x:c r="B7" s="9" t="str">
        <x:v>Arme étourdissante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Jiro tente d’arrêter Hendel à l’aide d’un étourdisseur.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ref.asc.stun ; affichage bref avec source.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ASC-SRC-HEN</x:v>
      </x:c>
      <x:c r="R7" s="9" t="str">
        <x:v>https://masseffect.fandom.com/wiki/Hendel_Mitra</x:v>
      </x:c>
      <x:c r="S7" s="9" t="str">
        <x:v>Ce relevé n’est ni un inventaire exhaustif ni un résumé scène par scène.</x:v>
      </x:c>
    </x:row>
  </x:sheetData>
  <x:conditionalFormatting sqref="D7:D7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7">
    <x:cfRule type="cellIs" dxfId="58" priority="3" operator="equal">
      <x:formula>"Validé"</x:formula>
    </x:cfRule>
  </x:conditionalFormatting>
  <x:conditionalFormatting sqref="E7:E7">
    <x:cfRule type="cellIs" dxfId="59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6858104f134a9d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ASC-REF-IDENNA</x:v>
      </x:c>
      <x:c r="B7" s="9" t="str">
        <x:v>Idenna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Vaisseau quarien servant de refuge au groupe.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ref.asc.idenna ; affichage bref avec source.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ASC-SRC-IDENNA</x:v>
      </x:c>
      <x:c r="R7" s="9" t="str">
        <x:v>https://masseffect.fandom.com/wiki/Idenna</x:v>
      </x:c>
      <x:c r="S7" s="9" t="str">
        <x:v>Ce relevé n’est ni un inventaire exhaustif ni un résumé scène par scène.</x:v>
      </x:c>
    </x:row>
    <x:row r="8" ht="68" customHeight="1">
      <x:c r="A8" s="19" t="str">
        <x:v>ASC-REF-CYNIAD</x:v>
      </x:c>
      <x:c r="B8" s="7" t="str">
        <x:v>Cyniad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Vaisseau éclaireur de l’Idenna piloté par Hilo.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ref.asc.cyniad ; affichage bref avec source.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ASC-SRC-HILO</x:v>
      </x:c>
      <x:c r="R8" s="7" t="str">
        <x:v>https://masseffect.fandom.com/wiki/Hilo%27Jaa_vas_Idenna</x:v>
      </x:c>
      <x:c r="S8" s="7" t="str">
        <x:v>Ce relevé n’est ni un inventaire exhaustif ni un résumé scène par scène.</x:v>
      </x:c>
    </x:row>
    <x:row r="9" ht="68" customHeight="1">
      <x:c r="A9" s="18" t="str">
        <x:v>ASC-REF-SUIT</x:v>
      </x:c>
      <x:c r="B9" s="9" t="str">
        <x:v>Combinaison environnementale quarienne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L’intégrité du masque de Hilo est compromise dans l’embuscade.</x:v>
      </x:c>
      <x:c r="G9" s="9" t="str">
        <x:v>Ancrage documentaire du module ; aucune statistique officielle inférée.</x:v>
      </x:c>
      <x:c r="H9" s="9" t="str"/>
      <x:c r="I9" s="9" t="str"/>
      <x:c r="J9" s="9" t="str"/>
      <x:c r="K9" s="9" t="str"/>
      <x:c r="L9" s="9" t="str">
        <x:v>Codex ref.asc.suit ; affichage bref avec source.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La source citée atteste précisément cet élément ; modèle, plan détaillé et valeur de combat restent séparés.</x:v>
      </x:c>
      <x:c r="O9" s="9" t="str"/>
      <x:c r="P9" s="9" t="str">
        <x:v>Rubrique consultée ou synopsis éditorial ; localisation précise dans l’œuvre à relever.</x:v>
      </x:c>
      <x:c r="Q9" s="9" t="str">
        <x:v>ASC-SRC-GOLO</x:v>
      </x:c>
      <x:c r="R9" s="9" t="str">
        <x:v>https://masseffect.fandom.com/wiki/Golo</x:v>
      </x:c>
      <x:c r="S9" s="9" t="str">
        <x:v>Ce relevé n’est ni un inventaire exhaustif ni un résumé scène par scène.</x:v>
      </x:c>
    </x:row>
  </x:sheetData>
  <x:conditionalFormatting sqref="D7:D9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9">
    <x:cfRule type="cellIs" dxfId="62" priority="3" operator="equal">
      <x:formula>"Validé"</x:formula>
    </x:cfRule>
  </x:conditionalFormatting>
  <x:conditionalFormatting sqref="E7:E9">
    <x:cfRule type="cellIs" dxfId="6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6788443e664a8c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ASC-REF-BIOTICS</x:v>
      </x:c>
      <x:c r="B7" s="9" t="str">
        <x:v>Biotique encadrée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Le programme vise l’apprentissage des aptitudes biotiques des enfants.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ref.asc.biotics ; affichage bref avec source.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ASC-SRC-PUB</x:v>
      </x:c>
      <x:c r="R7" s="9" t="str">
        <x:v>https://www.penguinrandomhouse.com/books/89888/mass-effect-ascension-by-drew-karpyshyn/paperback/</x:v>
      </x:c>
      <x:c r="S7" s="9" t="str">
        <x:v>Ce relevé n’est ni un inventaire exhaustif ni un résumé scène par scène.</x:v>
      </x:c>
    </x:row>
    <x:row r="8" ht="68" customHeight="1">
      <x:c r="A8" s="19" t="str">
        <x:v>ASC-REF-HENPOWER</x:v>
      </x:c>
      <x:c r="B8" s="7" t="str">
        <x:v>Protection biotique de Hendel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Hendel emploie sa biotique dans les crises du projet et de l’Idenna.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ref.asc.henpower ; affichage bref avec source.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ASC-SRC-HEN</x:v>
      </x:c>
      <x:c r="R8" s="7" t="str">
        <x:v>https://masseffect.fandom.com/wiki/Hendel_Mitra</x:v>
      </x:c>
      <x:c r="S8" s="7" t="str">
        <x:v>Ce relevé n’est ni un inventaire exhaustif ni un résumé scène par scène.</x:v>
      </x:c>
    </x:row>
  </x:sheetData>
  <x:conditionalFormatting sqref="D7:D8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8">
    <x:cfRule type="cellIs" dxfId="66" priority="3" operator="equal">
      <x:formula>"Validé"</x:formula>
    </x:cfRule>
  </x:conditionalFormatting>
  <x:conditionalFormatting sqref="E7:E8">
    <x:cfRule type="cellIs" dxfId="6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88e34951a4808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ASC-MOV-FOCUS</x:v>
      </x:c>
      <x:c r="B7" s="9" t="str">
        <x:v>Accord de concentration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de groupe originale ; elle n’est pas une compétence officielle de cette œuvre.</x:v>
      </x:c>
      <x:c r="G7" s="9" t="str">
        <x:v>Gillian et son accompagnant : Proposer un exercice que Gillian peut accepter ou interrompre ; bonus de précision local seulement.</x:v>
      </x:c>
      <x:c r="H7" s="9" t="str">
        <x:v>Proposer un exercice que Gillian peut accepter ou interrompre ; bonus de précision local seulement. Coût initial proposé : une action ATB ; coût et délai restent des paramètres de prototype.</x:v>
      </x:c>
      <x:c r="I7" s="9" t="str">
        <x:v>Halo discret et icône de consentement explicite.</x:v>
      </x:c>
      <x:c r="J7" s="9" t="str">
        <x:v>Préparation, validation de cible, engagement et récupération ; prévoir animation de refus avec motif.</x:v>
      </x:c>
      <x:c r="K7" s="9" t="str">
        <x:v>Confirmation et refus distingués ; texte d’état accessible au clavier.</x:v>
      </x:c>
      <x:c r="L7" s="9" t="str">
        <x:v>actions/asc/focus.json ; commande, cibles autorisées, coût, effets, nettoyage.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Une cible incompatible ne consomme rien ; l’effet est réversible au rechargement du point de contrôle.</x:v>
      </x:c>
      <x:c r="O7" s="9" t="str"/>
      <x:c r="P7" s="9" t="str"/>
      <x:c r="Q7" s="9" t="str"/>
      <x:c r="R7" s="9" t="str"/>
      <x:c r="S7" s="9" t="str"/>
    </x:row>
    <x:row r="8" ht="68" customHeight="1">
      <x:c r="A8" s="19" t="str">
        <x:v>ASC-MOV-WARD</x:v>
      </x:c>
      <x:c r="B8" s="7" t="str">
        <x:v>Protection encadrée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de groupe originale ; elle n’est pas une compétence officielle de cette œuvre.</x:v>
      </x:c>
      <x:c r="G8" s="7" t="str">
        <x:v>Hendel : Maintenir un couvert temporaire le temps qu’un allié termine une interaction.</x:v>
      </x:c>
      <x:c r="H8" s="7" t="str">
        <x:v>Maintenir un couvert temporaire le temps qu’un allié termine une interaction. Coût initial proposé : une action ATB ; coût et délai restent des paramètres de prototype.</x:v>
      </x:c>
      <x:c r="I8" s="7" t="str">
        <x:v>Arc biotique avec limites visibles.</x:v>
      </x:c>
      <x:c r="J8" s="7" t="str">
        <x:v>Préparation, validation de cible, engagement et récupération ; prévoir animation de refus avec motif.</x:v>
      </x:c>
      <x:c r="K8" s="7" t="str">
        <x:v>Confirmation et refus distingués ; texte d’état accessible au clavier.</x:v>
      </x:c>
      <x:c r="L8" s="7" t="str">
        <x:v>actions/asc/ward.json ; commande, cibles autorisées, coût, effets, nettoyage.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Une cible incompatible ne consomme rien ; l’effet est réversible au rechargement du point de contrôle.</x:v>
      </x:c>
      <x:c r="O8" s="7" t="str"/>
      <x:c r="P8" s="7" t="str"/>
      <x:c r="Q8" s="7" t="str"/>
      <x:c r="R8" s="7" t="str"/>
      <x:c r="S8" s="7" t="str"/>
    </x:row>
    <x:row r="9" ht="68" customHeight="1">
      <x:c r="A9" s="18" t="str">
        <x:v>ASC-MOV-VERIFY</x:v>
      </x:c>
      <x:c r="B9" s="9" t="str">
        <x:v>Double lecture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de groupe originale ; elle n’est pas une compétence officielle de cette œuvre.</x:v>
      </x:c>
      <x:c r="G9" s="9" t="str">
        <x:v>Kahlee : Revoir une trace administrative pour retirer une fausse piste locale.</x:v>
      </x:c>
      <x:c r="H9" s="9" t="str">
        <x:v>Revoir une trace administrative pour retirer une fausse piste locale. Coût initial proposé : une action ATB ; coût et délai restent des paramètres de prototype.</x:v>
      </x:c>
      <x:c r="I9" s="9" t="str">
        <x:v>Surlignage de deux champs contradictoires.</x:v>
      </x:c>
      <x:c r="J9" s="9" t="str">
        <x:v>Préparation, validation de cible, engagement et récupération ; prévoir animation de refus avec motif.</x:v>
      </x:c>
      <x:c r="K9" s="9" t="str">
        <x:v>Confirmation et refus distingués ; texte d’état accessible au clavier.</x:v>
      </x:c>
      <x:c r="L9" s="9" t="str">
        <x:v>actions/asc/verify.json ; commande, cibles autorisées, coût, effets, nettoyage.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Une cible incompatible ne consomme rien ; l’effet est réversible au rechargement du point de contrôle.</x:v>
      </x:c>
      <x:c r="O9" s="9" t="str"/>
      <x:c r="P9" s="9" t="str"/>
      <x:c r="Q9" s="9" t="str"/>
      <x:c r="R9" s="9" t="str"/>
      <x:c r="S9" s="9" t="str"/>
    </x:row>
    <x:row r="10" ht="68" customHeight="1">
      <x:c r="A10" s="19" t="str">
        <x:v>ASC-MOV-BYPASS</x:v>
      </x:c>
      <x:c r="B10" s="7" t="str">
        <x:v>Pont technique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de groupe originale ; elle n’est pas une compétence officielle de cette œuvre.</x:v>
      </x:c>
      <x:c r="G10" s="7" t="str">
        <x:v>Lemm : Alimenter une porte depuis un poste voisin pendant qu’un second acteur passe.</x:v>
      </x:c>
      <x:c r="H10" s="7" t="str">
        <x:v>Alimenter une porte depuis un poste voisin pendant qu’un second acteur passe. Coût initial proposé : une action ATB ; coût et délai restent des paramètres de prototype.</x:v>
      </x:c>
      <x:c r="I10" s="7" t="str">
        <x:v>Câble virtuel et panneau orange.</x:v>
      </x:c>
      <x:c r="J10" s="7" t="str">
        <x:v>Préparation, validation de cible, engagement et récupération ; prévoir animation de refus avec motif.</x:v>
      </x:c>
      <x:c r="K10" s="7" t="str">
        <x:v>Confirmation et refus distingués ; texte d’état accessible au clavier.</x:v>
      </x:c>
      <x:c r="L10" s="7" t="str">
        <x:v>actions/asc/bypass.json ; commande, cibles autorisées, coût, effets, nettoyage.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Une cible incompatible ne consomme rien ; l’effet est réversible au rechargement du point de contrôle.</x:v>
      </x:c>
      <x:c r="O10" s="7" t="str"/>
      <x:c r="P10" s="7" t="str"/>
      <x:c r="Q10" s="7" t="str"/>
      <x:c r="R10" s="7" t="str"/>
      <x:c r="S10" s="7" t="str"/>
    </x:row>
    <x:row r="11" ht="68" customHeight="1">
      <x:c r="A11" s="18" t="str">
        <x:v>ASC-MOV-ASSIST</x:v>
      </x:c>
      <x:c r="B11" s="9" t="str">
        <x:v>Aide au déplacement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Action de groupe originale ; elle n’est pas une compétence officielle de cette œuvre.</x:v>
      </x:c>
      <x:c r="G11" s="9" t="str">
        <x:v>Groupe : Accompagner un personnage sans contact imposé ; adapter le rythme au plus lent.</x:v>
      </x:c>
      <x:c r="H11" s="9" t="str">
        <x:v>Accompagner un personnage sans contact imposé ; adapter le rythme au plus lent. Coût initial proposé : une action ATB ; coût et délai restent des paramètres de prototype.</x:v>
      </x:c>
      <x:c r="I11" s="9" t="str">
        <x:v>Positions d’escorte espacées.</x:v>
      </x:c>
      <x:c r="J11" s="9" t="str">
        <x:v>Préparation, validation de cible, engagement et récupération ; prévoir animation de refus avec motif.</x:v>
      </x:c>
      <x:c r="K11" s="9" t="str">
        <x:v>Confirmation et refus distingués ; texte d’état accessible au clavier.</x:v>
      </x:c>
      <x:c r="L11" s="9" t="str">
        <x:v>actions/asc/assist.json ; commande, cibles autorisées, coût, effets, nettoyage.</x:v>
      </x:c>
      <x:c r="M11" s="9" t="str">
        <x:v>Préserver Gillian comme personne et enfant dans le contexte d’Ascension ; les options de gameplay ne changent ni son identité ni les événements qui conduisent à son séjour sur l’Idenna.</x:v>
      </x:c>
      <x:c r="N11" s="9" t="str">
        <x:v>Une cible incompatible ne consomme rien ; l’effet est réversible au rechargement du point de contrôle.</x:v>
      </x:c>
      <x:c r="O11" s="9" t="str"/>
      <x:c r="P11" s="9" t="str"/>
      <x:c r="Q11" s="9" t="str"/>
      <x:c r="R11" s="9" t="str"/>
      <x:c r="S11" s="9" t="str"/>
    </x:row>
    <x:row r="12" ht="68" customHeight="1">
      <x:c r="A12" s="19" t="str">
        <x:v>ASC-MOV-ISOLATE</x:v>
      </x:c>
      <x:c r="B12" s="7" t="str">
        <x:v>Isolation de sas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Action de groupe originale ; elle n’est pas une compétence officielle de cette œuvre.</x:v>
      </x:c>
      <x:c r="G12" s="7" t="str">
        <x:v>Équipage proposé : Fermer un circuit défaillant sans couper le trajet de retour.</x:v>
      </x:c>
      <x:c r="H12" s="7" t="str">
        <x:v>Fermer un circuit défaillant sans couper le trajet de retour. Coût initial proposé : une action ATB ; coût et délai restent des paramètres de prototype.</x:v>
      </x:c>
      <x:c r="I12" s="7" t="str">
        <x:v>Symboles de porte séparés et état de pression abstrait.</x:v>
      </x:c>
      <x:c r="J12" s="7" t="str">
        <x:v>Préparation, validation de cible, engagement et récupération ; prévoir animation de refus avec motif.</x:v>
      </x:c>
      <x:c r="K12" s="7" t="str">
        <x:v>Confirmation et refus distingués ; texte d’état accessible au clavier.</x:v>
      </x:c>
      <x:c r="L12" s="7" t="str">
        <x:v>actions/asc/isolate.json ; commande, cibles autorisées, coût, effets, nettoyage.</x:v>
      </x:c>
      <x:c r="M12" s="7" t="str">
        <x:v>Préserver Gillian comme personne et enfant dans le contexte d’Ascension ; les options de gameplay ne changent ni son identité ni les événements qui conduisent à son séjour sur l’Idenna.</x:v>
      </x:c>
      <x:c r="N12" s="7" t="str">
        <x:v>Une cible incompatible ne consomme rien ; l’effet est réversible au rechargement du point de contrôle.</x:v>
      </x:c>
      <x:c r="O12" s="7" t="str"/>
      <x:c r="P12" s="7" t="str"/>
      <x:c r="Q12" s="7" t="str"/>
      <x:c r="R12" s="7" t="str"/>
      <x:c r="S12" s="7" t="str"/>
    </x:row>
  </x:sheetData>
  <x:conditionalFormatting sqref="D7:D12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2">
    <x:cfRule type="cellIs" dxfId="70" priority="3" operator="equal">
      <x:formula>"Validé"</x:formula>
    </x:cfRule>
  </x:conditionalFormatting>
  <x:conditionalFormatting sqref="E7:E12">
    <x:cfRule type="cellIs" dxfId="7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3d117b00fe4b0b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ASC-EMV-CAPTOR</x:v>
      </x:c>
      <x:c r="B7" s="9" t="str">
        <x:v>Surveillant de dépôt proposé — comportement principal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Comportement proposé pour la rencontre liée.</x:v>
      </x:c>
      <x:c r="G7" s="9" t="str">
        <x:v>Déplace sa surveillance entre accès et terminal.</x:v>
      </x:c>
      <x:c r="H7" s="9" t="str">
        <x:v>Télégraphe : Lampe frontale et arc de contrôle au sol. Contre-mesure : Couper sa ligne de vue ou attendre l’ouverture d’un second accès. Consommer une action ATB à l’engagement ; équilibrage à mesurer au prototype.</x:v>
      </x:c>
      <x:c r="I7" s="9" t="str">
        <x:v>Rendre l’aire touchée lisible au sol et sur le HUD ; ne jamais dépendre seulement de la couleur.</x:v>
      </x:c>
      <x:c r="J7" s="9" t="str">
        <x:v>Bloquer la cible au début de l’engagement ; annuler proprement si les préconditions disparaissent.</x:v>
      </x:c>
      <x:c r="K7" s="9" t="str">
        <x:v>Signal préalable distinct du son d’impact ; option pour réduire les sons agressifs.</x:v>
      </x:c>
      <x:c r="L7" s="9" t="str">
        <x:v>behaviors/asc/captor : prepare/commit/recover ; paramètres séparés du code.</x:v>
      </x:c>
      <x:c r="M7" s="9" t="str">
        <x:v>Uniquement quand la rencontre correspondante est active.</x:v>
      </x:c>
      <x:c r="N7" s="9" t="str">
        <x:v>L’indicateur apparaît avant la conséquence ; la contre-mesure fonctionne en pause et à vitesse normale.</x:v>
      </x:c>
      <x:c r="O7" s="9" t="str">
        <x:v>ASC-ENC-CAPTOR</x:v>
      </x:c>
      <x:c r="P7" s="9" t="str"/>
      <x:c r="Q7" s="9" t="str"/>
      <x:c r="R7" s="9" t="str"/>
      <x:c r="S7" s="9" t="str"/>
    </x:row>
    <x:row r="8" ht="68" customHeight="1">
      <x:c r="A8" s="19" t="str">
        <x:v>ASC-EMV-BARGAIN</x:v>
      </x:c>
      <x:c r="B8" s="7" t="str">
        <x:v>Intermédiaire hostile proposé — comportement principal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Comportement proposé pour la rencontre liée.</x:v>
      </x:c>
      <x:c r="G8" s="7" t="str">
        <x:v>Multiplie les exigences si le groupe présente un document incomplet.</x:v>
      </x:c>
      <x:c r="H8" s="7" t="str">
        <x:v>Télégraphe : Liste de conditions visible avant confirmation. Contre-mesure : Compléter le dossier ou trouver le contact de service. Consommer une action ATB à l’engagement ; équilibrage à mesurer au prototype.</x:v>
      </x:c>
      <x:c r="I8" s="7" t="str">
        <x:v>Rendre l’aire touchée lisible au sol et sur le HUD ; ne jamais dépendre seulement de la couleur.</x:v>
      </x:c>
      <x:c r="J8" s="7" t="str">
        <x:v>Bloquer la cible au début de l’engagement ; annuler proprement si les préconditions disparaissent.</x:v>
      </x:c>
      <x:c r="K8" s="7" t="str">
        <x:v>Signal préalable distinct du son d’impact ; option pour réduire les sons agressifs.</x:v>
      </x:c>
      <x:c r="L8" s="7" t="str">
        <x:v>behaviors/asc/bargain : prepare/commit/recover ; paramètres séparés du code.</x:v>
      </x:c>
      <x:c r="M8" s="7" t="str">
        <x:v>Uniquement quand la rencontre correspondante est active.</x:v>
      </x:c>
      <x:c r="N8" s="7" t="str">
        <x:v>L’indicateur apparaît avant la conséquence ; la contre-mesure fonctionne en pause et à vitesse normale.</x:v>
      </x:c>
      <x:c r="O8" s="7" t="str">
        <x:v>ASC-ENC-BARGAIN</x:v>
      </x:c>
      <x:c r="P8" s="7" t="str"/>
      <x:c r="Q8" s="7" t="str"/>
      <x:c r="R8" s="7" t="str"/>
      <x:c r="S8" s="7" t="str"/>
    </x:row>
    <x:row r="9" ht="68" customHeight="1">
      <x:c r="A9" s="18" t="str">
        <x:v>ASC-EMV-GOLO</x:v>
      </x:c>
      <x:c r="B9" s="9" t="str">
        <x:v>Intrusion de Golo — confrontation proposée — comportement principal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Comportement proposé pour la rencontre liée.</x:v>
      </x:c>
      <x:c r="G9" s="9" t="str">
        <x:v>Essaie de verrouiller un accès pendant que le groupe protège des résidents.</x:v>
      </x:c>
      <x:c r="H9" s="9" t="str">
        <x:v>Télégraphe : Deux voyants passent successivement à l’alerte. Contre-mesure : Maintenir le poste secondaire et déplacer les civils. Consommer une action ATB à l’engagement ; équilibrage à mesurer au prototype.</x:v>
      </x:c>
      <x:c r="I9" s="9" t="str">
        <x:v>Rendre l’aire touchée lisible au sol et sur le HUD ; ne jamais dépendre seulement de la couleur.</x:v>
      </x:c>
      <x:c r="J9" s="9" t="str">
        <x:v>Bloquer la cible au début de l’engagement ; annuler proprement si les préconditions disparaissent.</x:v>
      </x:c>
      <x:c r="K9" s="9" t="str">
        <x:v>Signal préalable distinct du son d’impact ; option pour réduire les sons agressifs.</x:v>
      </x:c>
      <x:c r="L9" s="9" t="str">
        <x:v>behaviors/asc/golo : prepare/commit/recover ; paramètres séparés du code.</x:v>
      </x:c>
      <x:c r="M9" s="9" t="str">
        <x:v>Uniquement quand la rencontre correspondante est active.</x:v>
      </x:c>
      <x:c r="N9" s="9" t="str">
        <x:v>L’indicateur apparaît avant la conséquence ; la contre-mesure fonctionne en pause et à vitesse normale.</x:v>
      </x:c>
      <x:c r="O9" s="9" t="str">
        <x:v>ASC-ENC-GOLO</x:v>
      </x:c>
      <x:c r="P9" s="9" t="str"/>
      <x:c r="Q9" s="9" t="str"/>
      <x:c r="R9" s="9" t="str"/>
      <x:c r="S9" s="9" t="str"/>
    </x:row>
    <x:row r="10" ht="68" customHeight="1">
      <x:c r="A10" s="19" t="str">
        <x:v>ASC-EMV-FILTER</x:v>
      </x:c>
      <x:c r="B10" s="7" t="str">
        <x:v>Surcharge de filtration — comportement principal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Comportement proposé pour la rencontre liée.</x:v>
      </x:c>
      <x:c r="G10" s="7" t="str">
        <x:v>Force l’arrêt temporaire d’une chambre du sas.</x:v>
      </x:c>
      <x:c r="H10" s="7" t="str">
        <x:v>Télégraphe : Variation de souffle et jauge de pression symbolique. Contre-mesure : Basculer vers la chambre de réserve sans ouvrir les deux portes. Consommer une action ATB à l’engagement ; équilibrage à mesurer au prototype.</x:v>
      </x:c>
      <x:c r="I10" s="7" t="str">
        <x:v>Rendre l’aire touchée lisible au sol et sur le HUD ; ne jamais dépendre seulement de la couleur.</x:v>
      </x:c>
      <x:c r="J10" s="7" t="str">
        <x:v>Bloquer la cible au début de l’engagement ; annuler proprement si les préconditions disparaissent.</x:v>
      </x:c>
      <x:c r="K10" s="7" t="str">
        <x:v>Signal préalable distinct du son d’impact ; option pour réduire les sons agressifs.</x:v>
      </x:c>
      <x:c r="L10" s="7" t="str">
        <x:v>behaviors/asc/filter : prepare/commit/recover ; paramètres séparés du code.</x:v>
      </x:c>
      <x:c r="M10" s="7" t="str">
        <x:v>Uniquement quand la rencontre correspondante est active.</x:v>
      </x:c>
      <x:c r="N10" s="7" t="str">
        <x:v>L’indicateur apparaît avant la conséquence ; la contre-mesure fonctionne en pause et à vitesse normale.</x:v>
      </x:c>
      <x:c r="O10" s="7" t="str">
        <x:v>ASC-ENC-FILTER</x:v>
      </x:c>
      <x:c r="P10" s="7" t="str"/>
      <x:c r="Q10" s="7" t="str"/>
      <x:c r="R10" s="7" t="str"/>
      <x:c r="S10" s="7" t="str"/>
    </x:row>
  </x:sheetData>
  <x:conditionalFormatting sqref="D7:D10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0">
    <x:cfRule type="cellIs" dxfId="74" priority="3" operator="equal">
      <x:formula>"Validé"</x:formula>
    </x:cfRule>
  </x:conditionalFormatting>
  <x:conditionalFormatting sqref="E7:E10">
    <x:cfRule type="cellIs" dxfId="7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e8b6769fc4ec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ASC-ANI-KAHLEE</x:v>
      </x:c>
      <x:c r="B7" s="9" t="str">
        <x:v>Kahlee Sanders — jeu de poses contextuelles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poses nécessaires à l’interaction « Vérifier une procédure de soin et communiquer une consigne accessible. ».</x:v>
      </x:c>
      <x:c r="G7" s="9" t="str">
        <x:v>Blocage animé de Kahlee Sanders : anticipation, action, récupération, retour au repos ; prévoir une interruption propre.</x:v>
      </x:c>
      <x:c r="H7" s="9" t="str">
        <x:v>Vérifier une procédure de soin et communiquer une consigne accessible. L’effet logique ne dépend jamais de la cadence du rendu.</x:v>
      </x:c>
      <x:c r="I7" s="9" t="str">
        <x:v>Conserver les repères de silhouette : Tenue de travail pédagogique, tablette, visage rassurant sans infantilisation.</x:v>
      </x:c>
      <x:c r="J7" s="9" t="str">
        <x:v>Repos, déplacement, interaction et réaction ; nombre d’images ajusté après essai sur écran ; ne pas ajouter une attaque aux personnages civils.</x:v>
      </x:c>
      <x:c r="K7" s="9" t="str">
        <x:v>Marqueurs animation distincts du fichier audio ; sous-titre court si l’action porte une information.</x:v>
      </x:c>
      <x:c r="L7" s="9" t="str">
        <x:v>Animator actor.asc.kahlee ; événements start/commit/recover ; annulation avant commit sans effet.</x:v>
      </x:c>
      <x:c r="M7" s="9" t="str">
        <x:v>Animation de blessure ou de décès uniquement si le contexte la justifie ; pas de mort libre d’un personnage établi.</x:v>
      </x:c>
      <x:c r="N7" s="9" t="str">
        <x:v>Une interruption avant commit ne dépense pas la ressource ; aucune pose résiduelle après changement de carte.</x:v>
      </x:c>
      <x:c r="O7" s="9" t="str">
        <x:v>ASC-SPR-KAHLEE</x:v>
      </x:c>
      <x:c r="P7" s="9" t="str"/>
      <x:c r="Q7" s="9" t="str"/>
      <x:c r="R7" s="9" t="str"/>
      <x:c r="S7" s="9" t="str"/>
    </x:row>
    <x:row r="8" ht="54" customHeight="1">
      <x:c r="A8" s="19" t="str">
        <x:v>ASC-ANI-GILLIAN</x:v>
      </x:c>
      <x:c r="B8" s="7" t="str">
        <x:v>Gillian Grayson — jeu de poses contextuelles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poses nécessaires à l’interaction « Choisir un point de concentration avant une action encadrée. ».</x:v>
      </x:c>
      <x:c r="G8" s="7" t="str">
        <x:v>Blocage animé de Gillian Grayson : anticipation, action, récupération, retour au repos ; prévoir une interruption propre.</x:v>
      </x:c>
      <x:c r="H8" s="7" t="str">
        <x:v>Choisir un point de concentration avant une action encadrée. L’effet logique ne dépend jamais de la cadence du rendu.</x:v>
      </x:c>
      <x:c r="I8" s="7" t="str">
        <x:v>Conserver les repères de silhouette : Silhouette d’enfant, cheveux sombres ; garder un langage corporel individualisé.</x:v>
      </x:c>
      <x:c r="J8" s="7" t="str">
        <x:v>Repos, déplacement, interaction et réaction ; nombre d’images ajusté après essai sur écran ; ne pas ajouter une attaque aux personnages civils.</x:v>
      </x:c>
      <x:c r="K8" s="7" t="str">
        <x:v>Marqueurs animation distincts du fichier audio ; sous-titre court si l’action porte une information.</x:v>
      </x:c>
      <x:c r="L8" s="7" t="str">
        <x:v>Animator actor.asc.gillian ; événements start/commit/recover ; annulation avant commit sans effet.</x:v>
      </x:c>
      <x:c r="M8" s="7" t="str">
        <x:v>Animation de blessure ou de décès uniquement si le contexte la justifie ; pas de mort libre d’un personnage établi.</x:v>
      </x:c>
      <x:c r="N8" s="7" t="str">
        <x:v>Une interruption avant commit ne dépense pas la ressource ; aucune pose résiduelle après changement de carte.</x:v>
      </x:c>
      <x:c r="O8" s="7" t="str">
        <x:v>ASC-SPR-GILLIAN</x:v>
      </x:c>
      <x:c r="P8" s="7" t="str"/>
      <x:c r="Q8" s="7" t="str"/>
      <x:c r="R8" s="7" t="str"/>
      <x:c r="S8" s="7" t="str"/>
    </x:row>
    <x:row r="9" ht="54" customHeight="1">
      <x:c r="A9" s="18" t="str">
        <x:v>ASC-ANI-PAUL</x:v>
      </x:c>
      <x:c r="B9" s="9" t="str">
        <x:v>Paul Grayson — jeu de poses contextuelles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poses nécessaires à l’interaction « Participer à une conversation où sa fiabilité demeure un enjeu. ».</x:v>
      </x:c>
      <x:c r="G9" s="9" t="str">
        <x:v>Blocage animé de Paul Grayson : anticipation, action, récupération, retour au repos ; prévoir une interruption propre.</x:v>
      </x:c>
      <x:c r="H9" s="9" t="str">
        <x:v>Participer à une conversation où sa fiabilité demeure un enjeu. L’effet logique ne dépend jamais de la cadence du rendu.</x:v>
      </x:c>
      <x:c r="I9" s="9" t="str">
        <x:v>Conserver les repères de silhouette : Civil mobile, équipement discret, fatigue rendue sans caricature.</x:v>
      </x:c>
      <x:c r="J9" s="9" t="str">
        <x:v>Repos, déplacement, interaction et réaction ; nombre d’images ajusté après essai sur écran ; ne pas ajouter une attaque aux personnages civils.</x:v>
      </x:c>
      <x:c r="K9" s="9" t="str">
        <x:v>Marqueurs animation distincts du fichier audio ; sous-titre court si l’action porte une information.</x:v>
      </x:c>
      <x:c r="L9" s="9" t="str">
        <x:v>Animator actor.asc.paul ; événements start/commit/recover ; annulation avant commit sans effet.</x:v>
      </x:c>
      <x:c r="M9" s="9" t="str">
        <x:v>Animation de blessure ou de décès uniquement si le contexte la justifie ; pas de mort libre d’un personnage établi.</x:v>
      </x:c>
      <x:c r="N9" s="9" t="str">
        <x:v>Une interruption avant commit ne dépense pas la ressource ; aucune pose résiduelle après changement de carte.</x:v>
      </x:c>
      <x:c r="O9" s="9" t="str">
        <x:v>ASC-SPR-PAUL</x:v>
      </x:c>
      <x:c r="P9" s="9" t="str"/>
      <x:c r="Q9" s="9" t="str"/>
      <x:c r="R9" s="9" t="str"/>
      <x:c r="S9" s="9" t="str"/>
    </x:row>
    <x:row r="10" ht="54" customHeight="1">
      <x:c r="A10" s="19" t="str">
        <x:v>ASC-ANI-HENDEL</x:v>
      </x:c>
      <x:c r="B10" s="7" t="str">
        <x:v>Hendel Mitra — jeu de poses contextuelles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poses nécessaires à l’interaction « Former un espace de protection temporaire autour d’une évacuation. ».</x:v>
      </x:c>
      <x:c r="G10" s="7" t="str">
        <x:v>Blocage animé de Hendel Mitra : anticipation, action, récupération, retour au repos ; prévoir une interruption propre.</x:v>
      </x:c>
      <x:c r="H10" s="7" t="str">
        <x:v>Former un espace de protection temporaire autour d’une évacuation. L’effet logique ne dépend jamais de la cadence du rendu.</x:v>
      </x:c>
      <x:c r="I10" s="7" t="str">
        <x:v>Conserver les repères de silhouette : Grande stature, peau brune, cheveux brun roux, tenue de sécurité proposée.</x:v>
      </x:c>
      <x:c r="J10" s="7" t="str">
        <x:v>Repos, déplacement, interaction et réaction ; nombre d’images ajusté après essai sur écran ; ne pas ajouter une attaque aux personnages civils.</x:v>
      </x:c>
      <x:c r="K10" s="7" t="str">
        <x:v>Marqueurs animation distincts du fichier audio ; sous-titre court si l’action porte une information.</x:v>
      </x:c>
      <x:c r="L10" s="7" t="str">
        <x:v>Animator actor.asc.hendel ; événements start/commit/recover ; annulation avant commit sans effet.</x:v>
      </x:c>
      <x:c r="M10" s="7" t="str">
        <x:v>Animation de blessure ou de décès uniquement si le contexte la justifie ; pas de mort libre d’un personnage établi.</x:v>
      </x:c>
      <x:c r="N10" s="7" t="str">
        <x:v>Une interruption avant commit ne dépense pas la ressource ; aucune pose résiduelle après changement de carte.</x:v>
      </x:c>
      <x:c r="O10" s="7" t="str">
        <x:v>ASC-SPR-HENDEL</x:v>
      </x:c>
      <x:c r="P10" s="7" t="str"/>
      <x:c r="Q10" s="7" t="str"/>
      <x:c r="R10" s="7" t="str"/>
      <x:c r="S10" s="7" t="str"/>
    </x:row>
    <x:row r="11" ht="54" customHeight="1">
      <x:c r="A11" s="18" t="str">
        <x:v>ASC-ANI-LEMM</x:v>
      </x:c>
      <x:c r="B11" s="9" t="str">
        <x:v>Lemm’Shal nar Tesleya — jeu de poses contextuelles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poses nécessaires à l’interaction « Ouvrir un chemin technique dans un environnement marchand. ».</x:v>
      </x:c>
      <x:c r="G11" s="9" t="str">
        <x:v>Blocage animé de Lemm’Shal nar Tesleya : anticipation, action, récupération, retour au repos ; prévoir une interruption propre.</x:v>
      </x:c>
      <x:c r="H11" s="9" t="str">
        <x:v>Ouvrir un chemin technique dans un environnement marchand. L’effet logique ne dépend jamais de la cadence du rendu.</x:v>
      </x:c>
      <x:c r="I11" s="9" t="str">
        <x:v>Conserver les repères de silhouette : Combinaison close, silhouette légère ; couleurs à fixer après validation.</x:v>
      </x:c>
      <x:c r="J11" s="9" t="str">
        <x:v>Repos, déplacement, interaction et réaction ; nombre d’images ajusté après essai sur écran ; ne pas ajouter une attaque aux personnages civils.</x:v>
      </x:c>
      <x:c r="K11" s="9" t="str">
        <x:v>Marqueurs animation distincts du fichier audio ; sous-titre court si l’action porte une information.</x:v>
      </x:c>
      <x:c r="L11" s="9" t="str">
        <x:v>Animator actor.asc.lemm ; événements start/commit/recover ; annulation avant commit sans effet.</x:v>
      </x:c>
      <x:c r="M11" s="9" t="str">
        <x:v>Animation de blessure ou de décès uniquement si le contexte la justifie ; pas de mort libre d’un personnage établi.</x:v>
      </x:c>
      <x:c r="N11" s="9" t="str">
        <x:v>Une interruption avant commit ne dépense pas la ressource ; aucune pose résiduelle après changement de carte.</x:v>
      </x:c>
      <x:c r="O11" s="9" t="str">
        <x:v>ASC-SPR-LEMM</x:v>
      </x:c>
      <x:c r="P11" s="9" t="str"/>
      <x:c r="Q11" s="9" t="str"/>
      <x:c r="R11" s="9" t="str"/>
      <x:c r="S11" s="9" t="str"/>
    </x:row>
    <x:row r="12" ht="54" customHeight="1">
      <x:c r="A12" s="19" t="str">
        <x:v>ASC-ANI-GOLO</x:v>
      </x:c>
      <x:c r="B12" s="7" t="str">
        <x:v>Golo — jeu de poses contextuelles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poses nécessaires à l’interaction « Tenter de détourner les accès d’une opération locale. ».</x:v>
      </x:c>
      <x:c r="G12" s="7" t="str">
        <x:v>Blocage animé de Golo : anticipation, action, récupération, retour au repos ; prévoir une interruption propre.</x:v>
      </x:c>
      <x:c r="H12" s="7" t="str">
        <x:v>Tenter de détourner les accès d’une opération locale. L’effet logique ne dépend jamais de la cadence du rendu.</x:v>
      </x:c>
      <x:c r="I12" s="7" t="str">
        <x:v>Conserver les repères de silhouette : Combinaison close usée ; ne pas transformer ses actes en trait de toute son espèce.</x:v>
      </x:c>
      <x:c r="J12" s="7" t="str">
        <x:v>Repos, déplacement, interaction et réaction ; nombre d’images ajusté après essai sur écran ; ne pas ajouter une attaque aux personnages civils.</x:v>
      </x:c>
      <x:c r="K12" s="7" t="str">
        <x:v>Marqueurs animation distincts du fichier audio ; sous-titre court si l’action porte une information.</x:v>
      </x:c>
      <x:c r="L12" s="7" t="str">
        <x:v>Animator actor.asc.golo ; événements start/commit/recover ; annulation avant commit sans effet.</x:v>
      </x:c>
      <x:c r="M12" s="7" t="str">
        <x:v>Animation de blessure ou de décès uniquement si le contexte la justifie ; pas de mort libre d’un personnage établi.</x:v>
      </x:c>
      <x:c r="N12" s="7" t="str">
        <x:v>Une interruption avant commit ne dépense pas la ressource ; aucune pose résiduelle après changement de carte.</x:v>
      </x:c>
      <x:c r="O12" s="7" t="str">
        <x:v>ASC-SPR-GOLO</x:v>
      </x:c>
      <x:c r="P12" s="7" t="str"/>
      <x:c r="Q12" s="7" t="str"/>
      <x:c r="R12" s="7" t="str"/>
      <x:c r="S12" s="7" t="str"/>
    </x:row>
    <x:row r="13" ht="54" customHeight="1">
      <x:c r="A13" s="18" t="str">
        <x:v>ASC-ANI-PEL</x:v>
      </x:c>
      <x:c r="B13" s="9" t="str">
        <x:v>Pel — jeu de poses contextuelles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poses nécessaires à l’interaction « Surveiller un espace de détention ajouté pour le module. ».</x:v>
      </x:c>
      <x:c r="G13" s="9" t="str">
        <x:v>Blocage animé de Pel : anticipation, action, récupération, retour au repos ; prévoir une interruption propre.</x:v>
      </x:c>
      <x:c r="H13" s="9" t="str">
        <x:v>Surveiller un espace de détention ajouté pour le module. L’effet logique ne dépend jamais de la cadence du rendu.</x:v>
      </x:c>
      <x:c r="I13" s="9" t="str">
        <x:v>Conserver les repères de silhouette : Silhouette humaine de mercenaire, accessoires à confirmer.</x:v>
      </x:c>
      <x:c r="J13" s="9" t="str">
        <x:v>Repos, déplacement, interaction et réaction ; nombre d’images ajusté après essai sur écran ; ne pas ajouter une attaque aux personnages civils.</x:v>
      </x:c>
      <x:c r="K13" s="9" t="str">
        <x:v>Marqueurs animation distincts du fichier audio ; sous-titre court si l’action porte une information.</x:v>
      </x:c>
      <x:c r="L13" s="9" t="str">
        <x:v>Animator actor.asc.pel ; événements start/commit/recover ; annulation avant commit sans effet.</x:v>
      </x:c>
      <x:c r="M13" s="9" t="str">
        <x:v>Animation de blessure ou de décès uniquement si le contexte la justifie ; pas de mort libre d’un personnage établi.</x:v>
      </x:c>
      <x:c r="N13" s="9" t="str">
        <x:v>Une interruption avant commit ne dépense pas la ressource ; aucune pose résiduelle après changement de carte.</x:v>
      </x:c>
      <x:c r="O13" s="9" t="str">
        <x:v>ASC-SPR-PEL</x:v>
      </x:c>
      <x:c r="P13" s="9" t="str"/>
      <x:c r="Q13" s="9" t="str"/>
      <x:c r="R13" s="9" t="str"/>
      <x:c r="S13" s="9" t="str"/>
    </x:row>
    <x:row r="14" ht="54" customHeight="1">
      <x:c r="A14" s="19" t="str">
        <x:v>ASC-ANI-JIRO</x:v>
      </x:c>
      <x:c r="B14" s="7" t="str">
        <x:v>Jiro Toshiwa — jeu de poses contextuelles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poses nécessaires à l’interaction « Être associé à un dossier de traitement suspect à vérifier. ».</x:v>
      </x:c>
      <x:c r="G14" s="7" t="str">
        <x:v>Blocage animé de Jiro Toshiwa : anticipation, action, récupération, retour au repos ; prévoir une interruption propre.</x:v>
      </x:c>
      <x:c r="H14" s="7" t="str">
        <x:v>Être associé à un dossier de traitement suspect à vérifier. L’effet logique ne dépend jamais de la cadence du rendu.</x:v>
      </x:c>
      <x:c r="I14" s="7" t="str">
        <x:v>Conserver les repères de silhouette : Tenue médicale, outils de soin traités sans procédure réelle détaillée.</x:v>
      </x:c>
      <x:c r="J14" s="7" t="str">
        <x:v>Repos, déplacement, interaction et réaction ; nombre d’images ajusté après essai sur écran ; ne pas ajouter une attaque aux personnages civils.</x:v>
      </x:c>
      <x:c r="K14" s="7" t="str">
        <x:v>Marqueurs animation distincts du fichier audio ; sous-titre court si l’action porte une information.</x:v>
      </x:c>
      <x:c r="L14" s="7" t="str">
        <x:v>Animator actor.asc.jiro ; événements start/commit/recover ; annulation avant commit sans effet.</x:v>
      </x:c>
      <x:c r="M14" s="7" t="str">
        <x:v>Animation de blessure ou de décès uniquement si le contexte la justifie ; pas de mort libre d’un personnage établi.</x:v>
      </x:c>
      <x:c r="N14" s="7" t="str">
        <x:v>Une interruption avant commit ne dépense pas la ressource ; aucune pose résiduelle après changement de carte.</x:v>
      </x:c>
      <x:c r="O14" s="7" t="str">
        <x:v>ASC-SPR-JIRO</x:v>
      </x:c>
      <x:c r="P14" s="7" t="str"/>
      <x:c r="Q14" s="7" t="str"/>
      <x:c r="R14" s="7" t="str"/>
      <x:c r="S14" s="7" t="str"/>
    </x:row>
    <x:row r="15" ht="54" customHeight="1">
      <x:c r="A15" s="18" t="str">
        <x:v>ASC-ANI-NICK</x:v>
      </x:c>
      <x:c r="B15" s="9" t="str">
        <x:v>Nick Donahue — jeu de poses contextuelles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poses nécessaires à l’interaction « Exprimer une rivalité dans une scène de dialogue originale. ».</x:v>
      </x:c>
      <x:c r="G15" s="9" t="str">
        <x:v>Blocage animé de Nick Donahue : anticipation, action, récupération, retour au repos ; prévoir une interruption propre.</x:v>
      </x:c>
      <x:c r="H15" s="9" t="str">
        <x:v>Exprimer une rivalité dans une scène de dialogue originale. L’effet logique ne dépend jamais de la cadence du rendu.</x:v>
      </x:c>
      <x:c r="I15" s="9" t="str">
        <x:v>Conserver les repères de silhouette : Adolescent de l’académie, uniforme proposé sans apparence d’adulte.</x:v>
      </x:c>
      <x:c r="J15" s="9" t="str">
        <x:v>Repos, déplacement, interaction et réaction ; nombre d’images ajusté après essai sur écran ; ne pas ajouter une attaque aux personnages civils.</x:v>
      </x:c>
      <x:c r="K15" s="9" t="str">
        <x:v>Marqueurs animation distincts du fichier audio ; sous-titre court si l’action porte une information.</x:v>
      </x:c>
      <x:c r="L15" s="9" t="str">
        <x:v>Animator actor.asc.nick ; événements start/commit/recover ; annulation avant commit sans effet.</x:v>
      </x:c>
      <x:c r="M15" s="9" t="str">
        <x:v>Animation de blessure ou de décès uniquement si le contexte la justifie ; pas de mort libre d’un personnage établi.</x:v>
      </x:c>
      <x:c r="N15" s="9" t="str">
        <x:v>Une interruption avant commit ne dépense pas la ressource ; aucune pose résiduelle après changement de carte.</x:v>
      </x:c>
      <x:c r="O15" s="9" t="str">
        <x:v>ASC-SPR-NICK</x:v>
      </x:c>
      <x:c r="P15" s="9" t="str"/>
      <x:c r="Q15" s="9" t="str"/>
      <x:c r="R15" s="9" t="str"/>
      <x:c r="S15" s="9" t="str"/>
    </x:row>
    <x:row r="16" ht="54" customHeight="1">
      <x:c r="A16" s="19" t="str">
        <x:v>ASC-ANI-MAL</x:v>
      </x:c>
      <x:c r="B16" s="7" t="str">
        <x:v>Ysin’Mal vas Idenna — jeu de poses contextuelles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poses nécessaires à l’interaction « Énoncer les conditions d’accueil et de départ. ».</x:v>
      </x:c>
      <x:c r="G16" s="7" t="str">
        <x:v>Blocage animé de Ysin’Mal vas Idenna : anticipation, action, récupération, retour au repos ; prévoir une interruption propre.</x:v>
      </x:c>
      <x:c r="H16" s="7" t="str">
        <x:v>Énoncer les conditions d’accueil et de départ. L’effet logique ne dépend jamais de la cadence du rendu.</x:v>
      </x:c>
      <x:c r="I16" s="7" t="str">
        <x:v>Conserver les repères de silhouette : Combinaison de commandement sobre, distinction par liseré proposé.</x:v>
      </x:c>
      <x:c r="J16" s="7" t="str">
        <x:v>Repos, déplacement, interaction et réaction ; nombre d’images ajusté après essai sur écran ; ne pas ajouter une attaque aux personnages civils.</x:v>
      </x:c>
      <x:c r="K16" s="7" t="str">
        <x:v>Marqueurs animation distincts du fichier audio ; sous-titre court si l’action porte une information.</x:v>
      </x:c>
      <x:c r="L16" s="7" t="str">
        <x:v>Animator actor.asc.mal ; événements start/commit/recover ; annulation avant commit sans effet.</x:v>
      </x:c>
      <x:c r="M16" s="7" t="str">
        <x:v>Animation de blessure ou de décès uniquement si le contexte la justifie ; pas de mort libre d’un personnage établi.</x:v>
      </x:c>
      <x:c r="N16" s="7" t="str">
        <x:v>Une interruption avant commit ne dépense pas la ressource ; aucune pose résiduelle après changement de carte.</x:v>
      </x:c>
      <x:c r="O16" s="7" t="str">
        <x:v>ASC-SPR-MAL</x:v>
      </x:c>
      <x:c r="P16" s="7" t="str"/>
      <x:c r="Q16" s="7" t="str"/>
      <x:c r="R16" s="7" t="str"/>
      <x:c r="S16" s="7" t="str"/>
    </x:row>
  </x:sheetData>
  <x:conditionalFormatting sqref="D7:D16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6">
    <x:cfRule type="cellIs" dxfId="78" priority="3" operator="equal">
      <x:formula>"Validé"</x:formula>
    </x:cfRule>
  </x:conditionalFormatting>
  <x:conditionalFormatting sqref="E7:E16">
    <x:cfRule type="cellIs" dxfId="79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95756369a9454e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ASC-SPR-KAHLEE</x:v>
      </x:c>
      <x:c r="B7" s="9" t="str">
        <x:v>Kahlee Sanders — planche sprite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représentation 2D de Kahlee Sanders pour ce module.</x:v>
      </x:c>
      <x:c r="G7" s="9" t="str">
        <x:v>Tenue de travail pédagogique, tablette, visage rassurant sans infantilisation. Préparer silhouette entière, portrait de dialogue et masque de sélection.</x:v>
      </x:c>
      <x:c r="H7" s="9" t="str">
        <x:v>La zone interactive reste stable entre les poses ; la tenue ne confère aucun bonus implicite.</x:v>
      </x:c>
      <x:c r="I7" s="9" t="str">
        <x:v>Tenue de travail pédagogique, tablette, visage rassurant sans infantilisation. Palette proposée à valider ; comparaison en miniature et sur le décor le plus sombre.</x:v>
      </x:c>
      <x:c r="J7" s="9" t="str">
        <x:v>Vue de trois quarts ; pivots dans huit directions proposées ; symétrie interdite si elle inverse un accessoire identifiable.</x:v>
      </x:c>
      <x:c r="K7" s="9" t="str">
        <x:v>Aucun échantillon du jeu ou du film ; le changement de sélection utilise le son UI du module.</x:v>
      </x:c>
      <x:c r="L7" s="9" t="str">
        <x:v>Prévoir assets/asc/actors/kahlee/atlas.png + atlas.json, pivot aux pieds.</x:v>
      </x:c>
      <x:c r="M7" s="9" t="str">
        <x:v>Visible uniquement quand Kahlee Sanders est autorisé par l’état narratif.</x:v>
      </x:c>
      <x:c r="N7" s="9" t="str">
        <x:v>Silhouette reconnue sans nom ; pieds sans glissement ; portrait et sprite cohérents à échelle réelle.</x:v>
      </x:c>
      <x:c r="O7" s="9" t="str">
        <x:v>ASC-CHR-KAHLEE</x:v>
      </x:c>
      <x:c r="P7" s="9" t="str"/>
      <x:c r="Q7" s="9" t="str"/>
      <x:c r="R7" s="9" t="str"/>
      <x:c r="S7" s="9" t="str"/>
    </x:row>
    <x:row r="8" ht="68" customHeight="1">
      <x:c r="A8" s="19" t="str">
        <x:v>ASC-SPR-GILLIAN</x:v>
      </x:c>
      <x:c r="B8" s="7" t="str">
        <x:v>Gillian Grayson — planche sprite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représentation 2D de Gillian Grayson pour ce module.</x:v>
      </x:c>
      <x:c r="G8" s="7" t="str">
        <x:v>Silhouette d’enfant, cheveux sombres ; garder un langage corporel individualisé. Préparer silhouette entière, portrait de dialogue et masque de sélection.</x:v>
      </x:c>
      <x:c r="H8" s="7" t="str">
        <x:v>La zone interactive reste stable entre les poses ; la tenue ne confère aucun bonus implicite.</x:v>
      </x:c>
      <x:c r="I8" s="7" t="str">
        <x:v>Silhouette d’enfant, cheveux sombres ; garder un langage corporel individualisé. Palette proposée à valider ; comparaison en miniature et sur le décor le plus sombre.</x:v>
      </x:c>
      <x:c r="J8" s="7" t="str">
        <x:v>Vue de trois quarts ; pivots dans huit directions proposées ; symétrie interdite si elle inverse un accessoire identifiable.</x:v>
      </x:c>
      <x:c r="K8" s="7" t="str">
        <x:v>Aucun échantillon du jeu ou du film ; le changement de sélection utilise le son UI du module.</x:v>
      </x:c>
      <x:c r="L8" s="7" t="str">
        <x:v>Prévoir assets/asc/actors/gillian/atlas.png + atlas.json, pivot aux pieds.</x:v>
      </x:c>
      <x:c r="M8" s="7" t="str">
        <x:v>Visible uniquement quand Gillian Grayson est autorisé par l’état narratif.</x:v>
      </x:c>
      <x:c r="N8" s="7" t="str">
        <x:v>Silhouette reconnue sans nom ; pieds sans glissement ; portrait et sprite cohérents à échelle réelle.</x:v>
      </x:c>
      <x:c r="O8" s="7" t="str">
        <x:v>ASC-CHR-GILLIAN</x:v>
      </x:c>
      <x:c r="P8" s="7" t="str"/>
      <x:c r="Q8" s="7" t="str"/>
      <x:c r="R8" s="7" t="str"/>
      <x:c r="S8" s="7" t="str"/>
    </x:row>
    <x:row r="9" ht="54" customHeight="1">
      <x:c r="A9" s="18" t="str">
        <x:v>ASC-SPR-PAUL</x:v>
      </x:c>
      <x:c r="B9" s="9" t="str">
        <x:v>Paul Grayson — planche sprite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représentation 2D de Paul Grayson pour ce module.</x:v>
      </x:c>
      <x:c r="G9" s="9" t="str">
        <x:v>Civil mobile, équipement discret, fatigue rendue sans caricature. Préparer silhouette entière, portrait de dialogue et masque de sélection.</x:v>
      </x:c>
      <x:c r="H9" s="9" t="str">
        <x:v>La zone interactive reste stable entre les poses ; la tenue ne confère aucun bonus implicite.</x:v>
      </x:c>
      <x:c r="I9" s="9" t="str">
        <x:v>Civil mobile, équipement discret, fatigue rendue sans caricature. Palette proposée à valider ; comparaison en miniature et sur le décor le plus sombre.</x:v>
      </x:c>
      <x:c r="J9" s="9" t="str">
        <x:v>Vue de trois quarts ; pivots dans huit directions proposées ; symétrie interdite si elle inverse un accessoire identifiable.</x:v>
      </x:c>
      <x:c r="K9" s="9" t="str">
        <x:v>Aucun échantillon du jeu ou du film ; le changement de sélection utilise le son UI du module.</x:v>
      </x:c>
      <x:c r="L9" s="9" t="str">
        <x:v>Prévoir assets/asc/actors/paul/atlas.png + atlas.json, pivot aux pieds.</x:v>
      </x:c>
      <x:c r="M9" s="9" t="str">
        <x:v>Visible uniquement quand Paul Grayson est autorisé par l’état narratif.</x:v>
      </x:c>
      <x:c r="N9" s="9" t="str">
        <x:v>Silhouette reconnue sans nom ; pieds sans glissement ; portrait et sprite cohérents à échelle réelle.</x:v>
      </x:c>
      <x:c r="O9" s="9" t="str">
        <x:v>ASC-CHR-PAUL</x:v>
      </x:c>
      <x:c r="P9" s="9" t="str"/>
      <x:c r="Q9" s="9" t="str"/>
      <x:c r="R9" s="9" t="str"/>
      <x:c r="S9" s="9" t="str"/>
    </x:row>
    <x:row r="10" ht="68" customHeight="1">
      <x:c r="A10" s="19" t="str">
        <x:v>ASC-SPR-HENDEL</x:v>
      </x:c>
      <x:c r="B10" s="7" t="str">
        <x:v>Hendel Mitra — planche sprite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représentation 2D de Hendel Mitra pour ce module.</x:v>
      </x:c>
      <x:c r="G10" s="7" t="str">
        <x:v>Grande stature, peau brune, cheveux brun roux, tenue de sécurité proposée. Préparer silhouette entière, portrait de dialogue et masque de sélection.</x:v>
      </x:c>
      <x:c r="H10" s="7" t="str">
        <x:v>La zone interactive reste stable entre les poses ; la tenue ne confère aucun bonus implicite.</x:v>
      </x:c>
      <x:c r="I10" s="7" t="str">
        <x:v>Grande stature, peau brune, cheveux brun roux, tenue de sécurité proposée. Palette proposée à valider ; comparaison en miniature et sur le décor le plus sombre.</x:v>
      </x:c>
      <x:c r="J10" s="7" t="str">
        <x:v>Vue de trois quarts ; pivots dans huit directions proposées ; symétrie interdite si elle inverse un accessoire identifiable.</x:v>
      </x:c>
      <x:c r="K10" s="7" t="str">
        <x:v>Aucun échantillon du jeu ou du film ; le changement de sélection utilise le son UI du module.</x:v>
      </x:c>
      <x:c r="L10" s="7" t="str">
        <x:v>Prévoir assets/asc/actors/hendel/atlas.png + atlas.json, pivot aux pieds.</x:v>
      </x:c>
      <x:c r="M10" s="7" t="str">
        <x:v>Visible uniquement quand Hendel Mitra est autorisé par l’état narratif.</x:v>
      </x:c>
      <x:c r="N10" s="7" t="str">
        <x:v>Silhouette reconnue sans nom ; pieds sans glissement ; portrait et sprite cohérents à échelle réelle.</x:v>
      </x:c>
      <x:c r="O10" s="7" t="str">
        <x:v>ASC-CHR-HENDEL</x:v>
      </x:c>
      <x:c r="P10" s="7" t="str"/>
      <x:c r="Q10" s="7" t="str"/>
      <x:c r="R10" s="7" t="str"/>
      <x:c r="S10" s="7" t="str"/>
    </x:row>
    <x:row r="11" ht="68" customHeight="1">
      <x:c r="A11" s="18" t="str">
        <x:v>ASC-SPR-LEMM</x:v>
      </x:c>
      <x:c r="B11" s="9" t="str">
        <x:v>Lemm’Shal nar Tesleya — planche sprite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représentation 2D de Lemm’Shal nar Tesleya pour ce module.</x:v>
      </x:c>
      <x:c r="G11" s="9" t="str">
        <x:v>Combinaison close, silhouette légère ; couleurs à fixer après validation. Préparer silhouette entière, portrait de dialogue et masque de sélection.</x:v>
      </x:c>
      <x:c r="H11" s="9" t="str">
        <x:v>La zone interactive reste stable entre les poses ; la tenue ne confère aucun bonus implicite.</x:v>
      </x:c>
      <x:c r="I11" s="9" t="str">
        <x:v>Combinaison close, silhouette légère ; couleurs à fixer après validation. Palette proposée à valider ; comparaison en miniature et sur le décor le plus sombre.</x:v>
      </x:c>
      <x:c r="J11" s="9" t="str">
        <x:v>Vue de trois quarts ; pivots dans huit directions proposées ; symétrie interdite si elle inverse un accessoire identifiable.</x:v>
      </x:c>
      <x:c r="K11" s="9" t="str">
        <x:v>Aucun échantillon du jeu ou du film ; le changement de sélection utilise le son UI du module.</x:v>
      </x:c>
      <x:c r="L11" s="9" t="str">
        <x:v>Prévoir assets/asc/actors/lemm/atlas.png + atlas.json, pivot aux pieds.</x:v>
      </x:c>
      <x:c r="M11" s="9" t="str">
        <x:v>Visible uniquement quand Lemm’Shal nar Tesleya est autorisé par l’état narratif.</x:v>
      </x:c>
      <x:c r="N11" s="9" t="str">
        <x:v>Silhouette reconnue sans nom ; pieds sans glissement ; portrait et sprite cohérents à échelle réelle.</x:v>
      </x:c>
      <x:c r="O11" s="9" t="str">
        <x:v>ASC-CHR-LEMM</x:v>
      </x:c>
      <x:c r="P11" s="9" t="str"/>
      <x:c r="Q11" s="9" t="str"/>
      <x:c r="R11" s="9" t="str"/>
      <x:c r="S11" s="9" t="str"/>
    </x:row>
    <x:row r="12" ht="68" customHeight="1">
      <x:c r="A12" s="19" t="str">
        <x:v>ASC-SPR-GOLO</x:v>
      </x:c>
      <x:c r="B12" s="7" t="str">
        <x:v>Golo — planche sprite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représentation 2D de Golo pour ce module.</x:v>
      </x:c>
      <x:c r="G12" s="7" t="str">
        <x:v>Combinaison close usée ; ne pas transformer ses actes en trait de toute son espèce. Préparer silhouette entière, portrait de dialogue et masque de sélection.</x:v>
      </x:c>
      <x:c r="H12" s="7" t="str">
        <x:v>La zone interactive reste stable entre les poses ; la tenue ne confère aucun bonus implicite.</x:v>
      </x:c>
      <x:c r="I12" s="7" t="str">
        <x:v>Combinaison close usée ; ne pas transformer ses actes en trait de toute son espèce. Palette proposée à valider ; comparaison en miniature et sur le décor le plus sombre.</x:v>
      </x:c>
      <x:c r="J12" s="7" t="str">
        <x:v>Vue de trois quarts ; pivots dans huit directions proposées ; symétrie interdite si elle inverse un accessoire identifiable.</x:v>
      </x:c>
      <x:c r="K12" s="7" t="str">
        <x:v>Aucun échantillon du jeu ou du film ; le changement de sélection utilise le son UI du module.</x:v>
      </x:c>
      <x:c r="L12" s="7" t="str">
        <x:v>Prévoir assets/asc/actors/golo/atlas.png + atlas.json, pivot aux pieds.</x:v>
      </x:c>
      <x:c r="M12" s="7" t="str">
        <x:v>Visible uniquement quand Golo est autorisé par l’état narratif.</x:v>
      </x:c>
      <x:c r="N12" s="7" t="str">
        <x:v>Silhouette reconnue sans nom ; pieds sans glissement ; portrait et sprite cohérents à échelle réelle.</x:v>
      </x:c>
      <x:c r="O12" s="7" t="str">
        <x:v>ASC-CHR-GOLO</x:v>
      </x:c>
      <x:c r="P12" s="7" t="str"/>
      <x:c r="Q12" s="7" t="str"/>
      <x:c r="R12" s="7" t="str"/>
      <x:c r="S12" s="7" t="str"/>
    </x:row>
    <x:row r="13" ht="54" customHeight="1">
      <x:c r="A13" s="18" t="str">
        <x:v>ASC-SPR-PEL</x:v>
      </x:c>
      <x:c r="B13" s="9" t="str">
        <x:v>Pel — planche sprite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représentation 2D de Pel pour ce module.</x:v>
      </x:c>
      <x:c r="G13" s="9" t="str">
        <x:v>Silhouette humaine de mercenaire, accessoires à confirmer. Préparer silhouette entière, portrait de dialogue et masque de sélection.</x:v>
      </x:c>
      <x:c r="H13" s="9" t="str">
        <x:v>La zone interactive reste stable entre les poses ; la tenue ne confère aucun bonus implicite.</x:v>
      </x:c>
      <x:c r="I13" s="9" t="str">
        <x:v>Silhouette humaine de mercenaire, accessoires à confirmer. Palette proposée à valider ; comparaison en miniature et sur le décor le plus sombre.</x:v>
      </x:c>
      <x:c r="J13" s="9" t="str">
        <x:v>Vue de trois quarts ; pivots dans huit directions proposées ; symétrie interdite si elle inverse un accessoire identifiable.</x:v>
      </x:c>
      <x:c r="K13" s="9" t="str">
        <x:v>Aucun échantillon du jeu ou du film ; le changement de sélection utilise le son UI du module.</x:v>
      </x:c>
      <x:c r="L13" s="9" t="str">
        <x:v>Prévoir assets/asc/actors/pel/atlas.png + atlas.json, pivot aux pieds.</x:v>
      </x:c>
      <x:c r="M13" s="9" t="str">
        <x:v>Visible uniquement quand Pel est autorisé par l’état narratif.</x:v>
      </x:c>
      <x:c r="N13" s="9" t="str">
        <x:v>Silhouette reconnue sans nom ; pieds sans glissement ; portrait et sprite cohérents à échelle réelle.</x:v>
      </x:c>
      <x:c r="O13" s="9" t="str">
        <x:v>ASC-CHR-PEL</x:v>
      </x:c>
      <x:c r="P13" s="9" t="str"/>
      <x:c r="Q13" s="9" t="str"/>
      <x:c r="R13" s="9" t="str"/>
      <x:c r="S13" s="9" t="str"/>
    </x:row>
    <x:row r="14" ht="68" customHeight="1">
      <x:c r="A14" s="19" t="str">
        <x:v>ASC-SPR-JIRO</x:v>
      </x:c>
      <x:c r="B14" s="7" t="str">
        <x:v>Jiro Toshiwa — planche sprite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représentation 2D de Jiro Toshiwa pour ce module.</x:v>
      </x:c>
      <x:c r="G14" s="7" t="str">
        <x:v>Tenue médicale, outils de soin traités sans procédure réelle détaillée. Préparer silhouette entière, portrait de dialogue et masque de sélection.</x:v>
      </x:c>
      <x:c r="H14" s="7" t="str">
        <x:v>La zone interactive reste stable entre les poses ; la tenue ne confère aucun bonus implicite.</x:v>
      </x:c>
      <x:c r="I14" s="7" t="str">
        <x:v>Tenue médicale, outils de soin traités sans procédure réelle détaillée. Palette proposée à valider ; comparaison en miniature et sur le décor le plus sombre.</x:v>
      </x:c>
      <x:c r="J14" s="7" t="str">
        <x:v>Vue de trois quarts ; pivots dans huit directions proposées ; symétrie interdite si elle inverse un accessoire identifiable.</x:v>
      </x:c>
      <x:c r="K14" s="7" t="str">
        <x:v>Aucun échantillon du jeu ou du film ; le changement de sélection utilise le son UI du module.</x:v>
      </x:c>
      <x:c r="L14" s="7" t="str">
        <x:v>Prévoir assets/asc/actors/jiro/atlas.png + atlas.json, pivot aux pieds.</x:v>
      </x:c>
      <x:c r="M14" s="7" t="str">
        <x:v>Visible uniquement quand Jiro Toshiwa est autorisé par l’état narratif.</x:v>
      </x:c>
      <x:c r="N14" s="7" t="str">
        <x:v>Silhouette reconnue sans nom ; pieds sans glissement ; portrait et sprite cohérents à échelle réelle.</x:v>
      </x:c>
      <x:c r="O14" s="7" t="str">
        <x:v>ASC-CHR-JIRO</x:v>
      </x:c>
      <x:c r="P14" s="7" t="str"/>
      <x:c r="Q14" s="7" t="str"/>
      <x:c r="R14" s="7" t="str"/>
      <x:c r="S14" s="7" t="str"/>
    </x:row>
    <x:row r="15" ht="68" customHeight="1">
      <x:c r="A15" s="18" t="str">
        <x:v>ASC-SPR-NICK</x:v>
      </x:c>
      <x:c r="B15" s="9" t="str">
        <x:v>Nick Donahue — planche sprite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représentation 2D de Nick Donahue pour ce module.</x:v>
      </x:c>
      <x:c r="G15" s="9" t="str">
        <x:v>Adolescent de l’académie, uniforme proposé sans apparence d’adulte. Préparer silhouette entière, portrait de dialogue et masque de sélection.</x:v>
      </x:c>
      <x:c r="H15" s="9" t="str">
        <x:v>La zone interactive reste stable entre les poses ; la tenue ne confère aucun bonus implicite.</x:v>
      </x:c>
      <x:c r="I15" s="9" t="str">
        <x:v>Adolescent de l’académie, uniforme proposé sans apparence d’adulte. Palette proposée à valider ; comparaison en miniature et sur le décor le plus sombre.</x:v>
      </x:c>
      <x:c r="J15" s="9" t="str">
        <x:v>Vue de trois quarts ; pivots dans huit directions proposées ; symétrie interdite si elle inverse un accessoire identifiable.</x:v>
      </x:c>
      <x:c r="K15" s="9" t="str">
        <x:v>Aucun échantillon du jeu ou du film ; le changement de sélection utilise le son UI du module.</x:v>
      </x:c>
      <x:c r="L15" s="9" t="str">
        <x:v>Prévoir assets/asc/actors/nick/atlas.png + atlas.json, pivot aux pieds.</x:v>
      </x:c>
      <x:c r="M15" s="9" t="str">
        <x:v>Visible uniquement quand Nick Donahue est autorisé par l’état narratif.</x:v>
      </x:c>
      <x:c r="N15" s="9" t="str">
        <x:v>Silhouette reconnue sans nom ; pieds sans glissement ; portrait et sprite cohérents à échelle réelle.</x:v>
      </x:c>
      <x:c r="O15" s="9" t="str">
        <x:v>ASC-CHR-NICK</x:v>
      </x:c>
      <x:c r="P15" s="9" t="str"/>
      <x:c r="Q15" s="9" t="str"/>
      <x:c r="R15" s="9" t="str"/>
      <x:c r="S15" s="9" t="str"/>
    </x:row>
    <x:row r="16" ht="68" customHeight="1">
      <x:c r="A16" s="19" t="str">
        <x:v>ASC-SPR-MAL</x:v>
      </x:c>
      <x:c r="B16" s="7" t="str">
        <x:v>Ysin’Mal vas Idenna — planche sprite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représentation 2D de Ysin’Mal vas Idenna pour ce module.</x:v>
      </x:c>
      <x:c r="G16" s="7" t="str">
        <x:v>Combinaison de commandement sobre, distinction par liseré proposé. Préparer silhouette entière, portrait de dialogue et masque de sélection.</x:v>
      </x:c>
      <x:c r="H16" s="7" t="str">
        <x:v>La zone interactive reste stable entre les poses ; la tenue ne confère aucun bonus implicite.</x:v>
      </x:c>
      <x:c r="I16" s="7" t="str">
        <x:v>Combinaison de commandement sobre, distinction par liseré proposé. Palette proposée à valider ; comparaison en miniature et sur le décor le plus sombre.</x:v>
      </x:c>
      <x:c r="J16" s="7" t="str">
        <x:v>Vue de trois quarts ; pivots dans huit directions proposées ; symétrie interdite si elle inverse un accessoire identifiable.</x:v>
      </x:c>
      <x:c r="K16" s="7" t="str">
        <x:v>Aucun échantillon du jeu ou du film ; le changement de sélection utilise le son UI du module.</x:v>
      </x:c>
      <x:c r="L16" s="7" t="str">
        <x:v>Prévoir assets/asc/actors/mal/atlas.png + atlas.json, pivot aux pieds.</x:v>
      </x:c>
      <x:c r="M16" s="7" t="str">
        <x:v>Visible uniquement quand Ysin’Mal vas Idenna est autorisé par l’état narratif.</x:v>
      </x:c>
      <x:c r="N16" s="7" t="str">
        <x:v>Silhouette reconnue sans nom ; pieds sans glissement ; portrait et sprite cohérents à échelle réelle.</x:v>
      </x:c>
      <x:c r="O16" s="7" t="str">
        <x:v>ASC-CHR-MAL</x:v>
      </x:c>
      <x:c r="P16" s="7" t="str"/>
      <x:c r="Q16" s="7" t="str"/>
      <x:c r="R16" s="7" t="str"/>
      <x:c r="S16" s="7" t="str"/>
    </x:row>
  </x:sheetData>
  <x:conditionalFormatting sqref="D7:D16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6">
    <x:cfRule type="cellIs" dxfId="82" priority="3" operator="equal">
      <x:formula>"Validé"</x:formula>
    </x:cfRule>
  </x:conditionalFormatting>
  <x:conditionalFormatting sqref="E7:E16">
    <x:cfRule type="cellIs" dxfId="83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a26449886414a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ASC-VFX-CAPTOR</x:v>
      </x:c>
      <x:c r="B7" s="9" t="str">
        <x:v>Surveillant de dépôt proposé — effet lisible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 de prévision et de résultat pour la rencontre.</x:v>
      </x:c>
      <x:c r="G7" s="9" t="str">
        <x:v>Lampe frontale et arc de contrôle au sol.</x:v>
      </x:c>
      <x:c r="H7" s="9" t="str">
        <x:v>Aire de prévision égale à l’aire logique ; masque de cible conservé en daltonisme.</x:v>
      </x:c>
      <x:c r="I7" s="9" t="str">
        <x:v>Lampe frontale et arc de contrôle au sol. Limiter les flashes ; option intensité réduite conservant contours et pictogrammes.</x:v>
      </x:c>
      <x:c r="J7" s="9" t="str">
        <x:v>Apparition, maintien, résolution et extinction distinctes ; pas de particule persistante après sortie de carte.</x:v>
      </x:c>
      <x:c r="K7" s="9" t="str">
        <x:v>Un son par engagement ; pas d’empilement de boucles sur recharge de sauvegarde.</x:v>
      </x:c>
      <x:c r="L7" s="9" t="str">
        <x:v>fx/asc/captor ; pool local nettoyé au changement de scène.</x:v>
      </x:c>
      <x:c r="M7" s="9" t="str">
        <x:v>Effet lié au comportement, jamais déclenché par une animation décorative.</x:v>
      </x:c>
      <x:c r="N7" s="9" t="str">
        <x:v>Aucune cible hors aire n’est affectée ; mode réduit conserve la compréhension.</x:v>
      </x:c>
      <x:c r="O7" s="9" t="str">
        <x:v>ASC-EMV-CAPTOR</x:v>
      </x:c>
      <x:c r="P7" s="9" t="str"/>
      <x:c r="Q7" s="9" t="str"/>
      <x:c r="R7" s="9" t="str"/>
      <x:c r="S7" s="9" t="str"/>
    </x:row>
    <x:row r="8" ht="54" customHeight="1">
      <x:c r="A8" s="19" t="str">
        <x:v>ASC-VFX-BARGAIN</x:v>
      </x:c>
      <x:c r="B8" s="7" t="str">
        <x:v>Intermédiaire hostile proposé — effet lisible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original de prévision et de résultat pour la rencontre.</x:v>
      </x:c>
      <x:c r="G8" s="7" t="str">
        <x:v>Liste de conditions visible avant confirmation.</x:v>
      </x:c>
      <x:c r="H8" s="7" t="str">
        <x:v>Aire de prévision égale à l’aire logique ; masque de cible conservé en daltonisme.</x:v>
      </x:c>
      <x:c r="I8" s="7" t="str">
        <x:v>Liste de conditions visible avant confirmation. Limiter les flashes ; option intensité réduite conservant contours et pictogrammes.</x:v>
      </x:c>
      <x:c r="J8" s="7" t="str">
        <x:v>Apparition, maintien, résolution et extinction distinctes ; pas de particule persistante après sortie de carte.</x:v>
      </x:c>
      <x:c r="K8" s="7" t="str">
        <x:v>Un son par engagement ; pas d’empilement de boucles sur recharge de sauvegarde.</x:v>
      </x:c>
      <x:c r="L8" s="7" t="str">
        <x:v>fx/asc/bargain ; pool local nettoyé au changement de scène.</x:v>
      </x:c>
      <x:c r="M8" s="7" t="str">
        <x:v>Effet lié au comportement, jamais déclenché par une animation décorative.</x:v>
      </x:c>
      <x:c r="N8" s="7" t="str">
        <x:v>Aucune cible hors aire n’est affectée ; mode réduit conserve la compréhension.</x:v>
      </x:c>
      <x:c r="O8" s="7" t="str">
        <x:v>ASC-EMV-BARGAIN</x:v>
      </x:c>
      <x:c r="P8" s="7" t="str"/>
      <x:c r="Q8" s="7" t="str"/>
      <x:c r="R8" s="7" t="str"/>
      <x:c r="S8" s="7" t="str"/>
    </x:row>
    <x:row r="9" ht="54" customHeight="1">
      <x:c r="A9" s="18" t="str">
        <x:v>ASC-VFX-GOLO</x:v>
      </x:c>
      <x:c r="B9" s="9" t="str">
        <x:v>Intrusion de Golo — confrontation proposée — effet lisible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Effet original de prévision et de résultat pour la rencontre.</x:v>
      </x:c>
      <x:c r="G9" s="9" t="str">
        <x:v>Deux voyants passent successivement à l’alerte.</x:v>
      </x:c>
      <x:c r="H9" s="9" t="str">
        <x:v>Aire de prévision égale à l’aire logique ; masque de cible conservé en daltonisme.</x:v>
      </x:c>
      <x:c r="I9" s="9" t="str">
        <x:v>Deux voyants passent successivement à l’alerte. Limiter les flashes ; option intensité réduite conservant contours et pictogrammes.</x:v>
      </x:c>
      <x:c r="J9" s="9" t="str">
        <x:v>Apparition, maintien, résolution et extinction distinctes ; pas de particule persistante après sortie de carte.</x:v>
      </x:c>
      <x:c r="K9" s="9" t="str">
        <x:v>Un son par engagement ; pas d’empilement de boucles sur recharge de sauvegarde.</x:v>
      </x:c>
      <x:c r="L9" s="9" t="str">
        <x:v>fx/asc/golo ; pool local nettoyé au changement de scène.</x:v>
      </x:c>
      <x:c r="M9" s="9" t="str">
        <x:v>Effet lié au comportement, jamais déclenché par une animation décorative.</x:v>
      </x:c>
      <x:c r="N9" s="9" t="str">
        <x:v>Aucune cible hors aire n’est affectée ; mode réduit conserve la compréhension.</x:v>
      </x:c>
      <x:c r="O9" s="9" t="str">
        <x:v>ASC-EMV-GOLO</x:v>
      </x:c>
      <x:c r="P9" s="9" t="str"/>
      <x:c r="Q9" s="9" t="str"/>
      <x:c r="R9" s="9" t="str"/>
      <x:c r="S9" s="9" t="str"/>
    </x:row>
    <x:row r="10" ht="54" customHeight="1">
      <x:c r="A10" s="19" t="str">
        <x:v>ASC-VFX-FILTER</x:v>
      </x:c>
      <x:c r="B10" s="7" t="str">
        <x:v>Surcharge de filtration — effet lisible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Effet original de prévision et de résultat pour la rencontre.</x:v>
      </x:c>
      <x:c r="G10" s="7" t="str">
        <x:v>Variation de souffle et jauge de pression symbolique.</x:v>
      </x:c>
      <x:c r="H10" s="7" t="str">
        <x:v>Aire de prévision égale à l’aire logique ; masque de cible conservé en daltonisme.</x:v>
      </x:c>
      <x:c r="I10" s="7" t="str">
        <x:v>Variation de souffle et jauge de pression symbolique. Limiter les flashes ; option intensité réduite conservant contours et pictogrammes.</x:v>
      </x:c>
      <x:c r="J10" s="7" t="str">
        <x:v>Apparition, maintien, résolution et extinction distinctes ; pas de particule persistante après sortie de carte.</x:v>
      </x:c>
      <x:c r="K10" s="7" t="str">
        <x:v>Un son par engagement ; pas d’empilement de boucles sur recharge de sauvegarde.</x:v>
      </x:c>
      <x:c r="L10" s="7" t="str">
        <x:v>fx/asc/filter ; pool local nettoyé au changement de scène.</x:v>
      </x:c>
      <x:c r="M10" s="7" t="str">
        <x:v>Effet lié au comportement, jamais déclenché par une animation décorative.</x:v>
      </x:c>
      <x:c r="N10" s="7" t="str">
        <x:v>Aucune cible hors aire n’est affectée ; mode réduit conserve la compréhension.</x:v>
      </x:c>
      <x:c r="O10" s="7" t="str">
        <x:v>ASC-EMV-FILTER</x:v>
      </x:c>
      <x:c r="P10" s="7" t="str"/>
      <x:c r="Q10" s="7" t="str"/>
      <x:c r="R10" s="7" t="str"/>
      <x:c r="S10" s="7" t="str"/>
    </x:row>
  </x:sheetData>
  <x:conditionalFormatting sqref="D7:D10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10">
    <x:cfRule type="cellIs" dxfId="86" priority="3" operator="equal">
      <x:formula>"Validé"</x:formula>
    </x:cfRule>
  </x:conditionalFormatting>
  <x:conditionalFormatting sqref="E7:E10">
    <x:cfRule type="cellIs" dxfId="8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739a573c7e46b9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ASC-AUD-01</x:v>
      </x:c>
      <x:c r="B7" s="9" t="str">
        <x:v>Académie active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sonore originale pour le fan game.</x:v>
      </x:c>
      <x:c r="G7" s="9" t="str">
        <x:v>Bruits d’atelier et conversations indistinctes originales avec niveau ajustable.</x:v>
      </x:c>
      <x:c r="H7" s="9" t="str">
        <x:v>Déclenchement à l’événement logique ; priorité à la compréhension des commandes du groupe.</x:v>
      </x:c>
      <x:c r="I7" s="9" t="str">
        <x:v>Sous-titre d’ambiance facultatif ; pictogramme si le son fournit une alerte.</x:v>
      </x:c>
      <x:c r="J7" s="9" t="str">
        <x:v>Points de synchro notés dans la fiche animation concernée ; aucune dépendance à la vitesse de lecture.</x:v>
      </x:c>
      <x:c r="K7" s="9" t="str">
        <x:v>Bruits d’atelier et conversations indistinctes originales avec niveau ajustable. Musique, bruitages et éventuelles voix à produire sans extraire les enregistrements officiels.</x:v>
      </x:c>
      <x:c r="L7" s="9" t="str">
        <x:v>audio/asc/academie-active.ogg ; bus ambiance/musique/interface séparés.</x:v>
      </x:c>
      <x:c r="M7" s="9" t="str">
        <x:v>La source narrative inspire l’intention, pas une mélodie ou un enregistrement à copier.</x:v>
      </x:c>
      <x:c r="N7" s="9" t="str">
        <x:v>Boucle sans clic ; transitions propres ; information compréhensible volume coupé.</x:v>
      </x:c>
      <x:c r="O7" s="9" t="str"/>
      <x:c r="P7" s="9" t="str"/>
      <x:c r="Q7" s="9" t="str"/>
      <x:c r="R7" s="9" t="str"/>
      <x:c r="S7" s="9" t="str"/>
    </x:row>
    <x:row r="8" ht="82" customHeight="1">
      <x:c r="A8" s="19" t="str">
        <x:v>ASC-AUD-02</x:v>
      </x:c>
      <x:c r="B8" s="7" t="str">
        <x:v>Espace calme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sonore originale pour le fan game.</x:v>
      </x:c>
      <x:c r="G8" s="7" t="str">
        <x:v>Ambiance minimale, sons UI adoucis et absence de boucle stressante pendant les exercices.</x:v>
      </x:c>
      <x:c r="H8" s="7" t="str">
        <x:v>Déclenchement à l’événement logique ; priorité à la compréhension des commandes du groupe.</x:v>
      </x:c>
      <x:c r="I8" s="7" t="str">
        <x:v>Sous-titre d’ambiance facultatif ; pictogramme si le son fournit une alerte.</x:v>
      </x:c>
      <x:c r="J8" s="7" t="str">
        <x:v>Points de synchro notés dans la fiche animation concernée ; aucune dépendance à la vitesse de lecture.</x:v>
      </x:c>
      <x:c r="K8" s="7" t="str">
        <x:v>Ambiance minimale, sons UI adoucis et absence de boucle stressante pendant les exercices. Musique, bruitages et éventuelles voix à produire sans extraire les enregistrements officiels.</x:v>
      </x:c>
      <x:c r="L8" s="7" t="str">
        <x:v>audio/asc/espace-calme.ogg ; bus ambiance/musique/interface séparés.</x:v>
      </x:c>
      <x:c r="M8" s="7" t="str">
        <x:v>La source narrative inspire l’intention, pas une mélodie ou un enregistrement à copier.</x:v>
      </x:c>
      <x:c r="N8" s="7" t="str">
        <x:v>Boucle sans clic ; transitions propres ; information compréhensible volume coupé.</x:v>
      </x:c>
      <x:c r="O8" s="7" t="str"/>
      <x:c r="P8" s="7" t="str"/>
      <x:c r="Q8" s="7" t="str"/>
      <x:c r="R8" s="7" t="str"/>
      <x:c r="S8" s="7" t="str"/>
    </x:row>
    <x:row r="9" ht="68" customHeight="1">
      <x:c r="A9" s="18" t="str">
        <x:v>ASC-AUD-03</x:v>
      </x:c>
      <x:c r="B9" s="9" t="str">
        <x:v>Omega sous contrôle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sonore originale pour le fan game.</x:v>
      </x:c>
      <x:c r="G9" s="9" t="str">
        <x:v>Strates de machines et pas qui donnent le sens des itinéraires sans saturer le mix.</x:v>
      </x:c>
      <x:c r="H9" s="9" t="str">
        <x:v>Déclenchement à l’événement logique ; priorité à la compréhension des commandes du groupe.</x:v>
      </x:c>
      <x:c r="I9" s="9" t="str">
        <x:v>Sous-titre d’ambiance facultatif ; pictogramme si le son fournit une alerte.</x:v>
      </x:c>
      <x:c r="J9" s="9" t="str">
        <x:v>Points de synchro notés dans la fiche animation concernée ; aucune dépendance à la vitesse de lecture.</x:v>
      </x:c>
      <x:c r="K9" s="9" t="str">
        <x:v>Strates de machines et pas qui donnent le sens des itinéraires sans saturer le mix. Musique, bruitages et éventuelles voix à produire sans extraire les enregistrements officiels.</x:v>
      </x:c>
      <x:c r="L9" s="9" t="str">
        <x:v>audio/asc/omega-sous-controle.ogg ; bus ambiance/musique/interface séparés.</x:v>
      </x:c>
      <x:c r="M9" s="9" t="str">
        <x:v>La source narrative inspire l’intention, pas une mélodie ou un enregistrement à copier.</x:v>
      </x:c>
      <x:c r="N9" s="9" t="str">
        <x:v>Boucle sans clic ; transitions propres ; information compréhensible volume coupé.</x:v>
      </x:c>
      <x:c r="O9" s="9" t="str"/>
      <x:c r="P9" s="9" t="str"/>
      <x:c r="Q9" s="9" t="str"/>
      <x:c r="R9" s="9" t="str"/>
      <x:c r="S9" s="9" t="str"/>
    </x:row>
    <x:row r="10" ht="68" customHeight="1">
      <x:c r="A10" s="19" t="str">
        <x:v>ASC-AUD-04</x:v>
      </x:c>
      <x:c r="B10" s="7" t="str">
        <x:v>Sas de la Flotte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sonore originale pour le fan game.</x:v>
      </x:c>
      <x:c r="G10" s="7" t="str">
        <x:v>Souffles réguliers et fermeture des cloisons signalés aussi visuellement.</x:v>
      </x:c>
      <x:c r="H10" s="7" t="str">
        <x:v>Déclenchement à l’événement logique ; priorité à la compréhension des commandes du groupe.</x:v>
      </x:c>
      <x:c r="I10" s="7" t="str">
        <x:v>Sous-titre d’ambiance facultatif ; pictogramme si le son fournit une alerte.</x:v>
      </x:c>
      <x:c r="J10" s="7" t="str">
        <x:v>Points de synchro notés dans la fiche animation concernée ; aucune dépendance à la vitesse de lecture.</x:v>
      </x:c>
      <x:c r="K10" s="7" t="str">
        <x:v>Souffles réguliers et fermeture des cloisons signalés aussi visuellement. Musique, bruitages et éventuelles voix à produire sans extraire les enregistrements officiels.</x:v>
      </x:c>
      <x:c r="L10" s="7" t="str">
        <x:v>audio/asc/sas-de-la-flotte.ogg ; bus ambiance/musique/interface séparés.</x:v>
      </x:c>
      <x:c r="M10" s="7" t="str">
        <x:v>La source narrative inspire l’intention, pas une mélodie ou un enregistrement à copier.</x:v>
      </x:c>
      <x:c r="N10" s="7" t="str">
        <x:v>Boucle sans clic ; transitions propres ; information compréhensible volume coupé.</x:v>
      </x:c>
      <x:c r="O10" s="7" t="str"/>
      <x:c r="P10" s="7" t="str"/>
      <x:c r="Q10" s="7" t="str"/>
      <x:c r="R10" s="7" t="str"/>
      <x:c r="S10" s="7" t="str"/>
    </x:row>
    <x:row r="11" ht="68" customHeight="1">
      <x:c r="A11" s="18" t="str">
        <x:v>ASC-AUD-05</x:v>
      </x:c>
      <x:c r="B11" s="9" t="str">
        <x:v>Appartenance à bord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sonore originale pour le fan game.</x:v>
      </x:c>
      <x:c r="G11" s="9" t="str">
        <x:v>Motif musical original sobre, évoluant avec l’installation du groupe.</x:v>
      </x:c>
      <x:c r="H11" s="9" t="str">
        <x:v>Déclenchement à l’événement logique ; priorité à la compréhension des commandes du groupe.</x:v>
      </x:c>
      <x:c r="I11" s="9" t="str">
        <x:v>Sous-titre d’ambiance facultatif ; pictogramme si le son fournit une alerte.</x:v>
      </x:c>
      <x:c r="J11" s="9" t="str">
        <x:v>Points de synchro notés dans la fiche animation concernée ; aucune dépendance à la vitesse de lecture.</x:v>
      </x:c>
      <x:c r="K11" s="9" t="str">
        <x:v>Motif musical original sobre, évoluant avec l’installation du groupe. Musique, bruitages et éventuelles voix à produire sans extraire les enregistrements officiels.</x:v>
      </x:c>
      <x:c r="L11" s="9" t="str">
        <x:v>audio/asc/appartenance-a-bord.ogg ; bus ambiance/musique/interface séparés.</x:v>
      </x:c>
      <x:c r="M11" s="9" t="str">
        <x:v>La source narrative inspire l’intention, pas une mélodie ou un enregistrement à copier.</x:v>
      </x:c>
      <x:c r="N11" s="9" t="str">
        <x:v>Boucle sans clic ; transitions propres ; information compréhensible volume coupé.</x:v>
      </x:c>
      <x:c r="O11" s="9" t="str"/>
      <x:c r="P11" s="9" t="str"/>
      <x:c r="Q11" s="9" t="str"/>
      <x:c r="R11" s="9" t="str"/>
      <x:c r="S11" s="9" t="str"/>
    </x:row>
  </x:sheetData>
  <x:conditionalFormatting sqref="D7:D11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11">
    <x:cfRule type="cellIs" dxfId="90" priority="3" operator="equal">
      <x:formula>"Validé"</x:formula>
    </x:cfRule>
  </x:conditionalFormatting>
  <x:conditionalFormatting sqref="E7:E11">
    <x:cfRule type="cellIs" dxfId="91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0d4283b854d53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ASC-SYS-01</x:v>
      </x:c>
      <x:c r="B7" s="9" t="str">
        <x:v>Préférences de Gillian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Système original de production propre au module.</x:v>
      </x:c>
      <x:c r="G7" s="9" t="str">
        <x:v>Mémoriser les choix de rythme et d’interaction exprimés dans les scènes originales ; ne pas les convertir en diagnostic ou score moral.</x:v>
      </x:c>
      <x:c r="H7" s="9" t="str">
        <x:v>Mémoriser les choix de rythme et d’interaction exprimés dans les scènes originales ; ne pas les convertir en diagnostic ou score moral.</x:v>
      </x:c>
      <x:c r="I7" s="9" t="str">
        <x:v>État visible dans le HUD et le journal ; libellés complets, icônes non exclusives.</x:v>
      </x:c>
      <x:c r="J7" s="9" t="str">
        <x:v>Transitions rapides et possibilité de réduire les mouvements UI.</x:v>
      </x:c>
      <x:c r="K7" s="9" t="str">
        <x:v>Chaque changement critique possède un équivalent textuel ; pas de message sonore seul.</x:v>
      </x:c>
      <x:c r="L7" s="9" t="str">
        <x:v>systems/asc/preferences-de-gillian.ts prévu ; sauvegarde versionnée avec valeurs par défaut.</x:v>
      </x:c>
      <x:c r="M7" s="9" t="str">
        <x:v>Activé seulement dans ce module ; ne modifie pas les sauvegardes des jeux officiels.</x:v>
      </x:c>
      <x:c r="N7" s="9" t="str">
        <x:v>Chargement et reprise conservent l’état ; clavier et pointeur donnent le même résultat.</x:v>
      </x:c>
      <x:c r="O7" s="9" t="str"/>
      <x:c r="P7" s="9" t="str"/>
      <x:c r="Q7" s="9" t="str"/>
      <x:c r="R7" s="9" t="str"/>
      <x:c r="S7" s="9" t="str"/>
    </x:row>
    <x:row r="8" ht="54" customHeight="1">
      <x:c r="A8" s="19" t="str">
        <x:v>ASC-SYS-02</x:v>
      </x:c>
      <x:c r="B8" s="7" t="str">
        <x:v>Groupe protecteur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Système original de production propre au module.</x:v>
      </x:c>
      <x:c r="G8" s="7" t="str">
        <x:v>Au moins un adulte disponible pour les interactions à risque ; les commandes n’imposent pas de combat à Gillian.</x:v>
      </x:c>
      <x:c r="H8" s="7" t="str">
        <x:v>Au moins un adulte disponible pour les interactions à risque ; les commandes n’imposent pas de combat à Gillian.</x:v>
      </x:c>
      <x:c r="I8" s="7" t="str">
        <x:v>État visible dans le HUD et le journal ; libellés complets, icônes non exclusives.</x:v>
      </x:c>
      <x:c r="J8" s="7" t="str">
        <x:v>Transitions rapides et possibilité de réduire les mouvements UI.</x:v>
      </x:c>
      <x:c r="K8" s="7" t="str">
        <x:v>Chaque changement critique possède un équivalent textuel ; pas de message sonore seul.</x:v>
      </x:c>
      <x:c r="L8" s="7" t="str">
        <x:v>systems/asc/groupe-protecteur.ts prévu ; sauvegarde versionnée avec valeurs par défaut.</x:v>
      </x:c>
      <x:c r="M8" s="7" t="str">
        <x:v>Activé seulement dans ce module ; ne modifie pas les sauvegardes des jeux officiels.</x:v>
      </x:c>
      <x:c r="N8" s="7" t="str">
        <x:v>Chargement et reprise conservent l’état ; clavier et pointeur donnent le même résultat.</x:v>
      </x:c>
      <x:c r="O8" s="7" t="str"/>
      <x:c r="P8" s="7" t="str"/>
      <x:c r="Q8" s="7" t="str"/>
      <x:c r="R8" s="7" t="str"/>
      <x:c r="S8" s="7" t="str"/>
    </x:row>
    <x:row r="9" ht="44" customHeight="1">
      <x:c r="A9" s="18" t="str">
        <x:v>ASC-SYS-03</x:v>
      </x:c>
      <x:c r="B9" s="9" t="str">
        <x:v>Protocole de sas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Système original de production propre au module.</x:v>
      </x:c>
      <x:c r="G9" s="9" t="str">
        <x:v>Représenter uniquement des états abstraits : fermé, contrôlé, autorisé ; aucun protocole médical réel.</x:v>
      </x:c>
      <x:c r="H9" s="9" t="str">
        <x:v>Représenter uniquement des états abstraits : fermé, contrôlé, autorisé ; aucun protocole médical réel.</x:v>
      </x:c>
      <x:c r="I9" s="9" t="str">
        <x:v>État visible dans le HUD et le journal ; libellés complets, icônes non exclusives.</x:v>
      </x:c>
      <x:c r="J9" s="9" t="str">
        <x:v>Transitions rapides et possibilité de réduire les mouvements UI.</x:v>
      </x:c>
      <x:c r="K9" s="9" t="str">
        <x:v>Chaque changement critique possède un équivalent textuel ; pas de message sonore seul.</x:v>
      </x:c>
      <x:c r="L9" s="9" t="str">
        <x:v>systems/asc/protocole-de-sas.ts prévu ; sauvegarde versionnée avec valeurs par défaut.</x:v>
      </x:c>
      <x:c r="M9" s="9" t="str">
        <x:v>Activé seulement dans ce module ; ne modifie pas les sauvegardes des jeux officiels.</x:v>
      </x:c>
      <x:c r="N9" s="9" t="str">
        <x:v>Chargement et reprise conservent l’état ; clavier et pointeur donnent le même résultat.</x:v>
      </x:c>
      <x:c r="O9" s="9" t="str"/>
      <x:c r="P9" s="9" t="str"/>
      <x:c r="Q9" s="9" t="str"/>
      <x:c r="R9" s="9" t="str"/>
      <x:c r="S9" s="9" t="str"/>
    </x:row>
    <x:row r="10" ht="44" customHeight="1">
      <x:c r="A10" s="19" t="str">
        <x:v>ASC-SYS-04</x:v>
      </x:c>
      <x:c r="B10" s="7" t="str">
        <x:v>Échange à bord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Système original de production propre au module.</x:v>
      </x:c>
      <x:c r="G10" s="7" t="str">
        <x:v>Matériel, savoir-faire et service sont des monnaies de quête distinctes dans l’annexe originale.</x:v>
      </x:c>
      <x:c r="H10" s="7" t="str">
        <x:v>Matériel, savoir-faire et service sont des monnaies de quête distinctes dans l’annexe originale.</x:v>
      </x:c>
      <x:c r="I10" s="7" t="str">
        <x:v>État visible dans le HUD et le journal ; libellés complets, icônes non exclusives.</x:v>
      </x:c>
      <x:c r="J10" s="7" t="str">
        <x:v>Transitions rapides et possibilité de réduire les mouvements UI.</x:v>
      </x:c>
      <x:c r="K10" s="7" t="str">
        <x:v>Chaque changement critique possède un équivalent textuel ; pas de message sonore seul.</x:v>
      </x:c>
      <x:c r="L10" s="7" t="str">
        <x:v>systems/asc/echange-a-bord.ts prévu ; sauvegarde versionnée avec valeurs par défaut.</x:v>
      </x:c>
      <x:c r="M10" s="7" t="str">
        <x:v>Activé seulement dans ce module ; ne modifie pas les sauvegardes des jeux officiels.</x:v>
      </x:c>
      <x:c r="N10" s="7" t="str">
        <x:v>Chargement et reprise conservent l’état ; clavier et pointeur donnent le même résultat.</x:v>
      </x:c>
      <x:c r="O10" s="7" t="str"/>
      <x:c r="P10" s="7" t="str"/>
      <x:c r="Q10" s="7" t="str"/>
      <x:c r="R10" s="7" t="str"/>
      <x:c r="S10" s="7" t="str"/>
    </x:row>
    <x:row r="11" ht="44" customHeight="1">
      <x:c r="A11" s="18" t="str">
        <x:v>ASC-SYS-05</x:v>
      </x:c>
      <x:c r="B11" s="9" t="str">
        <x:v>Confiance et faits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Système original de production propre au module.</x:v>
      </x:c>
      <x:c r="G11" s="9" t="str">
        <x:v>Une relation positive ne valide pas automatiquement une affirmation de Grayson ou de Golo.</x:v>
      </x:c>
      <x:c r="H11" s="9" t="str">
        <x:v>Une relation positive ne valide pas automatiquement une affirmation de Grayson ou de Golo.</x:v>
      </x:c>
      <x:c r="I11" s="9" t="str">
        <x:v>État visible dans le HUD et le journal ; libellés complets, icônes non exclusives.</x:v>
      </x:c>
      <x:c r="J11" s="9" t="str">
        <x:v>Transitions rapides et possibilité de réduire les mouvements UI.</x:v>
      </x:c>
      <x:c r="K11" s="9" t="str">
        <x:v>Chaque changement critique possède un équivalent textuel ; pas de message sonore seul.</x:v>
      </x:c>
      <x:c r="L11" s="9" t="str">
        <x:v>systems/asc/confiance-et-faits.ts prévu ; sauvegarde versionnée avec valeurs par défaut.</x:v>
      </x:c>
      <x:c r="M11" s="9" t="str">
        <x:v>Activé seulement dans ce module ; ne modifie pas les sauvegardes des jeux officiels.</x:v>
      </x:c>
      <x:c r="N11" s="9" t="str">
        <x:v>Chargement et reprise conservent l’état ; clavier et pointeur donnent le même résultat.</x:v>
      </x:c>
      <x:c r="O11" s="9" t="str"/>
      <x:c r="P11" s="9" t="str"/>
      <x:c r="Q11" s="9" t="str"/>
      <x:c r="R11" s="9" t="str"/>
      <x:c r="S11" s="9" t="str"/>
    </x:row>
    <x:row r="12" ht="44" customHeight="1">
      <x:c r="A12" s="19" t="str">
        <x:v>ASC-SYS-06</x:v>
      </x:c>
      <x:c r="B12" s="7" t="str">
        <x:v>Route de repli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Système original de production propre au module.</x:v>
      </x:c>
      <x:c r="G12" s="7" t="str">
        <x:v>Chaque espace d’escorte garde une halte sûre ; la pause ATB protège les phases de lecture.</x:v>
      </x:c>
      <x:c r="H12" s="7" t="str">
        <x:v>Chaque espace d’escorte garde une halte sûre ; la pause ATB protège les phases de lecture.</x:v>
      </x:c>
      <x:c r="I12" s="7" t="str">
        <x:v>État visible dans le HUD et le journal ; libellés complets, icônes non exclusives.</x:v>
      </x:c>
      <x:c r="J12" s="7" t="str">
        <x:v>Transitions rapides et possibilité de réduire les mouvements UI.</x:v>
      </x:c>
      <x:c r="K12" s="7" t="str">
        <x:v>Chaque changement critique possède un équivalent textuel ; pas de message sonore seul.</x:v>
      </x:c>
      <x:c r="L12" s="7" t="str">
        <x:v>systems/asc/route-de-repli.ts prévu ; sauvegarde versionnée avec valeurs par défaut.</x:v>
      </x:c>
      <x:c r="M12" s="7" t="str">
        <x:v>Activé seulement dans ce module ; ne modifie pas les sauvegardes des jeux officiels.</x:v>
      </x:c>
      <x:c r="N12" s="7" t="str">
        <x:v>Chargement et reprise conservent l’état ; clavier et pointeur donnent le même résultat.</x:v>
      </x:c>
      <x:c r="O12" s="7" t="str"/>
      <x:c r="P12" s="7" t="str"/>
      <x:c r="Q12" s="7" t="str"/>
      <x:c r="R12" s="7" t="str"/>
      <x:c r="S12" s="7" t="str"/>
    </x:row>
    <x:row r="13" ht="44" customHeight="1">
      <x:c r="A13" s="18" t="str">
        <x:v>ASC-SYS-07</x:v>
      </x:c>
      <x:c r="B13" s="9" t="str">
        <x:v>Inventaire personnel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Système original de production propre au module.</x:v>
      </x:c>
      <x:c r="G13" s="9" t="str">
        <x:v>Objets personnels hors économie de butin ; retour au propriétaire enregistré.</x:v>
      </x:c>
      <x:c r="H13" s="9" t="str">
        <x:v>Objets personnels hors économie de butin ; retour au propriétaire enregistré.</x:v>
      </x:c>
      <x:c r="I13" s="9" t="str">
        <x:v>État visible dans le HUD et le journal ; libellés complets, icônes non exclusives.</x:v>
      </x:c>
      <x:c r="J13" s="9" t="str">
        <x:v>Transitions rapides et possibilité de réduire les mouvements UI.</x:v>
      </x:c>
      <x:c r="K13" s="9" t="str">
        <x:v>Chaque changement critique possède un équivalent textuel ; pas de message sonore seul.</x:v>
      </x:c>
      <x:c r="L13" s="9" t="str">
        <x:v>systems/asc/inventaire-personnel.ts prévu ; sauvegarde versionnée avec valeurs par défaut.</x:v>
      </x:c>
      <x:c r="M13" s="9" t="str">
        <x:v>Activé seulement dans ce module ; ne modifie pas les sauvegardes des jeux officiels.</x:v>
      </x:c>
      <x:c r="N13" s="9" t="str">
        <x:v>Chargement et reprise conservent l’état ; clavier et pointeur donnent le même résultat.</x:v>
      </x:c>
      <x:c r="O13" s="9" t="str"/>
      <x:c r="P13" s="9" t="str"/>
      <x:c r="Q13" s="9" t="str"/>
      <x:c r="R13" s="9" t="str"/>
      <x:c r="S13" s="9" t="str"/>
    </x:row>
    <x:row r="14" ht="44" customHeight="1">
      <x:c r="A14" s="19" t="str">
        <x:v>ASC-SYS-08</x:v>
      </x:c>
      <x:c r="B14" s="7" t="str">
        <x:v>Journal pédagogique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Système original de production propre au module.</x:v>
      </x:c>
      <x:c r="G14" s="7" t="str">
        <x:v>Décrire ce qui a été essayé et choisi, sans vocabulaire stigmatisant ou récompense de conformité.</x:v>
      </x:c>
      <x:c r="H14" s="7" t="str">
        <x:v>Décrire ce qui a été essayé et choisi, sans vocabulaire stigmatisant ou récompense de conformité.</x:v>
      </x:c>
      <x:c r="I14" s="7" t="str">
        <x:v>État visible dans le HUD et le journal ; libellés complets, icônes non exclusives.</x:v>
      </x:c>
      <x:c r="J14" s="7" t="str">
        <x:v>Transitions rapides et possibilité de réduire les mouvements UI.</x:v>
      </x:c>
      <x:c r="K14" s="7" t="str">
        <x:v>Chaque changement critique possède un équivalent textuel ; pas de message sonore seul.</x:v>
      </x:c>
      <x:c r="L14" s="7" t="str">
        <x:v>systems/asc/journal-pedagogique.ts prévu ; sauvegarde versionnée avec valeurs par défaut.</x:v>
      </x:c>
      <x:c r="M14" s="7" t="str">
        <x:v>Activé seulement dans ce module ; ne modifie pas les sauvegardes des jeux officiels.</x:v>
      </x:c>
      <x:c r="N14" s="7" t="str">
        <x:v>Chargement et reprise conservent l’état ; clavier et pointeur donnent le même résultat.</x:v>
      </x:c>
      <x:c r="O14" s="7" t="str"/>
      <x:c r="P14" s="7" t="str"/>
      <x:c r="Q14" s="7" t="str"/>
      <x:c r="R14" s="7" t="str"/>
      <x:c r="S14" s="7" t="str"/>
    </x:row>
  </x:sheetData>
  <x:conditionalFormatting sqref="D7:D14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4">
    <x:cfRule type="cellIs" dxfId="94" priority="3" operator="equal">
      <x:formula>"Validé"</x:formula>
    </x:cfRule>
  </x:conditionalFormatting>
  <x:conditionalFormatting sqref="E7:E14">
    <x:cfRule type="cellIs" dxfId="9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9dfa6c9b4e4c36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ASC-TST-CALM</x:v>
      </x:c>
      <x:c r="B7" s="9" t="str">
        <x:v>Trouver un rythme de coopération — scénario d’acceptation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Test de comportement spécifique à la mission proposée.</x:v>
      </x:c>
      <x:c r="G7" s="9" t="str">
        <x:v>Exécuter Trouver un rythme de coopération avec la méthode la plus lente puis avec la méthode alternative.</x:v>
      </x:c>
      <x:c r="H7" s="9" t="str">
        <x:v>Contrôler les transitions de la règle suivante : Le joueur sélectionne rythme, espace et partenaire ; la réussite dépend de la bonne lecture des consignes, pas d’une jauge d’autisme.</x:v>
      </x:c>
      <x:c r="I7" s="9" t="str">
        <x:v>Capturer le moment où la sortie devient valide et celui où le choix devient indisponible.</x:v>
      </x:c>
      <x:c r="J7" s="9" t="str">
        <x:v>Interrompre une action à son anticipation et une autre après son engagement.</x:v>
      </x:c>
      <x:c r="K7" s="9" t="str">
        <x:v>Rejouer sans son pour vérifier les informations essentielles.</x:v>
      </x:c>
      <x:c r="L7" s="9" t="str">
        <x:v>qa/asc/calm.md : état initial, actions, attendu, résultat, capture.</x:v>
      </x:c>
      <x:c r="M7" s="9" t="str">
        <x:v>Ne pas définir le personnage seulement par son diagnostic.</x:v>
      </x:c>
      <x:c r="N7" s="9" t="str">
        <x:v>Aucun blocage, récompense multiple, information future ou divergence entre pause ATB et temps normal.</x:v>
      </x:c>
      <x:c r="O7" s="9" t="str">
        <x:v>ASC-MIS-CALM, ASC-CHO-CALM, ASC-OPT-CALM</x:v>
      </x:c>
      <x:c r="P7" s="9" t="str"/>
      <x:c r="Q7" s="9" t="str"/>
      <x:c r="R7" s="9" t="str"/>
      <x:c r="S7" s="9" t="str"/>
    </x:row>
    <x:row r="8" ht="54" customHeight="1">
      <x:c r="A8" s="19" t="str">
        <x:v>ASC-TST-RECORD</x:v>
      </x:c>
      <x:c r="B8" s="7" t="str">
        <x:v>Contrôler un dossier de suivi — scénario d’acceptation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Test de comportement spécifique à la mission proposée.</x:v>
      </x:c>
      <x:c r="G8" s="7" t="str">
        <x:v>Exécuter Contrôler un dossier de suivi avec la méthode la plus lente puis avec la méthode alternative.</x:v>
      </x:c>
      <x:c r="H8" s="7" t="str">
        <x:v>Contrôler les transitions de la règle suivante : Comparer signature, autorisation et heure d’accès ; transmettre l’alerte à un adulte responsable.</x:v>
      </x:c>
      <x:c r="I8" s="7" t="str">
        <x:v>Capturer le moment où la sortie devient valide et celui où le choix devient indisponible.</x:v>
      </x:c>
      <x:c r="J8" s="7" t="str">
        <x:v>Interrompre une action à son anticipation et une autre après son engagement.</x:v>
      </x:c>
      <x:c r="K8" s="7" t="str">
        <x:v>Rejouer sans son pour vérifier les informations essentielles.</x:v>
      </x:c>
      <x:c r="L8" s="7" t="str">
        <x:v>qa/asc/record.md : état initial, actions, attendu, résultat, capture.</x:v>
      </x:c>
      <x:c r="M8" s="7" t="str">
        <x:v>Aucune technique de traitement ou injection détaillée.</x:v>
      </x:c>
      <x:c r="N8" s="7" t="str">
        <x:v>Aucun blocage, récompense multiple, information future ou divergence entre pause ATB et temps normal.</x:v>
      </x:c>
      <x:c r="O8" s="7" t="str">
        <x:v>ASC-MIS-RECORD, ASC-CHO-RECORD, ASC-OPT-RECORD</x:v>
      </x:c>
      <x:c r="P8" s="7" t="str"/>
      <x:c r="Q8" s="7" t="str"/>
      <x:c r="R8" s="7" t="str"/>
      <x:c r="S8" s="7" t="str"/>
    </x:row>
    <x:row r="9" ht="54" customHeight="1">
      <x:c r="A9" s="18" t="str">
        <x:v>ASC-TST-CONTACT</x:v>
      </x:c>
      <x:c r="B9" s="9" t="str">
        <x:v>Chercher un passage discret — scénario d’acceptation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Test de comportement spécifique à la mission proposée.</x:v>
      </x:c>
      <x:c r="G9" s="9" t="str">
        <x:v>Exécuter Chercher un passage discret avec la méthode la plus lente puis avec la méthode alternative.</x:v>
      </x:c>
      <x:c r="H9" s="9" t="str">
        <x:v>Contrôler les transitions de la règle suivante : Éviter contrôle hostile et encombrement ; conserver une halte sûre accessible.</x:v>
      </x:c>
      <x:c r="I9" s="9" t="str">
        <x:v>Capturer le moment où la sortie devient valide et celui où le choix devient indisponible.</x:v>
      </x:c>
      <x:c r="J9" s="9" t="str">
        <x:v>Interrompre une action à son anticipation et une autre après son engagement.</x:v>
      </x:c>
      <x:c r="K9" s="9" t="str">
        <x:v>Rejouer sans son pour vérifier les informations essentielles.</x:v>
      </x:c>
      <x:c r="L9" s="9" t="str">
        <x:v>qa/asc/contact.md : état initial, actions, attendu, résultat, capture.</x:v>
      </x:c>
      <x:c r="M9" s="9" t="str">
        <x:v>Les PNJ ajoutés portent la mention création originale.</x:v>
      </x:c>
      <x:c r="N9" s="9" t="str">
        <x:v>Aucun blocage, récompense multiple, information future ou divergence entre pause ATB et temps normal.</x:v>
      </x:c>
      <x:c r="O9" s="9" t="str">
        <x:v>ASC-MIS-CONTACT, ASC-CHO-CONTACT, ASC-OPT-CONTACT</x:v>
      </x:c>
      <x:c r="P9" s="9" t="str"/>
      <x:c r="Q9" s="9" t="str"/>
      <x:c r="R9" s="9" t="str"/>
      <x:c r="S9" s="9" t="str"/>
    </x:row>
    <x:row r="10" ht="54" customHeight="1">
      <x:c r="A10" s="19" t="str">
        <x:v>ASC-TST-RELEASE</x:v>
      </x:c>
      <x:c r="B10" s="7" t="str">
        <x:v>Dégager un sas de détention — scénario d’acceptation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Test de comportement spécifique à la mission proposée.</x:v>
      </x:c>
      <x:c r="G10" s="7" t="str">
        <x:v>Exécuter Dégager un sas de détention avec la méthode la plus lente puis avec la méthode alternative.</x:v>
      </x:c>
      <x:c r="H10" s="7" t="str">
        <x:v>Contrôler les transitions de la règle suivante : Deux postes doivent rester actifs ; un personnage protège pendant qu’un autre ouvre.</x:v>
      </x:c>
      <x:c r="I10" s="7" t="str">
        <x:v>Capturer le moment où la sortie devient valide et celui où le choix devient indisponible.</x:v>
      </x:c>
      <x:c r="J10" s="7" t="str">
        <x:v>Interrompre une action à son anticipation et une autre après son engagement.</x:v>
      </x:c>
      <x:c r="K10" s="7" t="str">
        <x:v>Rejouer sans son pour vérifier les informations essentielles.</x:v>
      </x:c>
      <x:c r="L10" s="7" t="str">
        <x:v>qa/asc/release.md : état initial, actions, attendu, résultat, capture.</x:v>
      </x:c>
      <x:c r="M10" s="7" t="str">
        <x:v>Ne pas transformer Gillian en combattante obligatoire.</x:v>
      </x:c>
      <x:c r="N10" s="7" t="str">
        <x:v>Aucun blocage, récompense multiple, information future ou divergence entre pause ATB et temps normal.</x:v>
      </x:c>
      <x:c r="O10" s="7" t="str">
        <x:v>ASC-MIS-RELEASE, ASC-CHO-RELEASE, ASC-OPT-RELEASE</x:v>
      </x:c>
      <x:c r="P10" s="7" t="str"/>
      <x:c r="Q10" s="7" t="str"/>
      <x:c r="R10" s="7" t="str"/>
      <x:c r="S10" s="7" t="str"/>
    </x:row>
    <x:row r="11" ht="54" customHeight="1">
      <x:c r="A11" s="18" t="str">
        <x:v>ASC-TST-TRAVEL</x:v>
      </x:c>
      <x:c r="B11" s="9" t="str">
        <x:v>Préserver les ressources de transit — scénario d’acceptation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Test de comportement spécifique à la mission proposée.</x:v>
      </x:c>
      <x:c r="G11" s="9" t="str">
        <x:v>Exécuter Préserver les ressources de transit avec la méthode la plus lente puis avec la méthode alternative.</x:v>
      </x:c>
      <x:c r="H11" s="9" t="str">
        <x:v>Contrôler les transitions de la règle suivante : Répartir énergie entre liaison, diagnostic et environnement ; aucune mortalité aléatoire.</x:v>
      </x:c>
      <x:c r="I11" s="9" t="str">
        <x:v>Capturer le moment où la sortie devient valide et celui où le choix devient indisponible.</x:v>
      </x:c>
      <x:c r="J11" s="9" t="str">
        <x:v>Interrompre une action à son anticipation et une autre après son engagement.</x:v>
      </x:c>
      <x:c r="K11" s="9" t="str">
        <x:v>Rejouer sans son pour vérifier les informations essentielles.</x:v>
      </x:c>
      <x:c r="L11" s="9" t="str">
        <x:v>qa/asc/travel.md : état initial, actions, attendu, résultat, capture.</x:v>
      </x:c>
      <x:c r="M11" s="9" t="str">
        <x:v>Les temps de voyage sont abstraits et ne fixent pas un nouveau canon.</x:v>
      </x:c>
      <x:c r="N11" s="9" t="str">
        <x:v>Aucun blocage, récompense multiple, information future ou divergence entre pause ATB et temps normal.</x:v>
      </x:c>
      <x:c r="O11" s="9" t="str">
        <x:v>ASC-MIS-TRAVEL, ASC-CHO-TRAVEL, ASC-OPT-TRAVEL</x:v>
      </x:c>
      <x:c r="P11" s="9" t="str"/>
      <x:c r="Q11" s="9" t="str"/>
      <x:c r="R11" s="9" t="str"/>
      <x:c r="S11" s="9" t="str"/>
    </x:row>
    <x:row r="12" ht="54" customHeight="1">
      <x:c r="A12" s="19" t="str">
        <x:v>ASC-TST-WELCOME</x:v>
      </x:c>
      <x:c r="B12" s="7" t="str">
        <x:v>Franchir le protocole d’accueil — scénario d’acceptation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Test de comportement spécifique à la mission proposée.</x:v>
      </x:c>
      <x:c r="G12" s="7" t="str">
        <x:v>Exécuter Franchir le protocole d’accueil avec la méthode la plus lente puis avec la méthode alternative.</x:v>
      </x:c>
      <x:c r="H12" s="7" t="str">
        <x:v>Contrôler les transitions de la règle suivante : Déclarer matériel, vérifier sas puis attendre l’autorisation ; énigme de procédure lisible.</x:v>
      </x:c>
      <x:c r="I12" s="7" t="str">
        <x:v>Capturer le moment où la sortie devient valide et celui où le choix devient indisponible.</x:v>
      </x:c>
      <x:c r="J12" s="7" t="str">
        <x:v>Interrompre une action à son anticipation et une autre après son engagement.</x:v>
      </x:c>
      <x:c r="K12" s="7" t="str">
        <x:v>Rejouer sans son pour vérifier les informations essentielles.</x:v>
      </x:c>
      <x:c r="L12" s="7" t="str">
        <x:v>qa/asc/welcome.md : état initial, actions, attendu, résultat, capture.</x:v>
      </x:c>
      <x:c r="M12" s="7" t="str">
        <x:v>Pas de guérison magique des vulnérabilités quarianes.</x:v>
      </x:c>
      <x:c r="N12" s="7" t="str">
        <x:v>Aucun blocage, récompense multiple, information future ou divergence entre pause ATB et temps normal.</x:v>
      </x:c>
      <x:c r="O12" s="7" t="str">
        <x:v>ASC-MIS-WELCOME, ASC-CHO-WELCOME, ASC-OPT-WELCOME</x:v>
      </x:c>
      <x:c r="P12" s="7" t="str"/>
      <x:c r="Q12" s="7" t="str"/>
      <x:c r="R12" s="7" t="str"/>
      <x:c r="S12" s="7" t="str"/>
    </x:row>
    <x:row r="13" ht="54" customHeight="1">
      <x:c r="A13" s="18" t="str">
        <x:v>ASC-TST-SHARE</x:v>
      </x:c>
      <x:c r="B13" s="9" t="str">
        <x:v>Contribuer au pont d’échange — scénario d’acceptation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Test de comportement spécifique à la mission proposée.</x:v>
      </x:c>
      <x:c r="G13" s="9" t="str">
        <x:v>Exécuter Contribuer au pont d’échange avec la méthode la plus lente puis avec la méthode alternative.</x:v>
      </x:c>
      <x:c r="H13" s="9" t="str">
        <x:v>Contrôler les transitions de la règle suivante : Trois demandes visibles, deux ressources puis une réparation permettant de satisfaire la dernière.</x:v>
      </x:c>
      <x:c r="I13" s="9" t="str">
        <x:v>Capturer le moment où la sortie devient valide et celui où le choix devient indisponible.</x:v>
      </x:c>
      <x:c r="J13" s="9" t="str">
        <x:v>Interrompre une action à son anticipation et une autre après son engagement.</x:v>
      </x:c>
      <x:c r="K13" s="9" t="str">
        <x:v>Rejouer sans son pour vérifier les informations essentielles.</x:v>
      </x:c>
      <x:c r="L13" s="9" t="str">
        <x:v>qa/asc/share.md : état initial, actions, attendu, résultat, capture.</x:v>
      </x:c>
      <x:c r="M13" s="9" t="str">
        <x:v>Les échanges ne changent pas la mission de l’Idenna.</x:v>
      </x:c>
      <x:c r="N13" s="9" t="str">
        <x:v>Aucun blocage, récompense multiple, information future ou divergence entre pause ATB et temps normal.</x:v>
      </x:c>
      <x:c r="O13" s="9" t="str">
        <x:v>ASC-MIS-SHARE, ASC-CHO-SHARE, ASC-OPT-SHARE</x:v>
      </x:c>
      <x:c r="P13" s="9" t="str"/>
      <x:c r="Q13" s="9" t="str"/>
      <x:c r="R13" s="9" t="str"/>
      <x:c r="S13" s="9" t="str"/>
    </x:row>
    <x:row r="14" ht="54" customHeight="1">
      <x:c r="A14" s="19" t="str">
        <x:v>ASC-TST-SECURE</x:v>
      </x:c>
      <x:c r="B14" s="7" t="str">
        <x:v>Sécuriser l’aire d’accueil — scénario d’acceptation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Test de comportement spécifique à la mission proposée.</x:v>
      </x:c>
      <x:c r="G14" s="7" t="str">
        <x:v>Exécuter Sécuriser l’aire d’accueil avec la méthode la plus lente puis avec la méthode alternative.</x:v>
      </x:c>
      <x:c r="H14" s="7" t="str">
        <x:v>Contrôler les transitions de la règle suivante : Gérer accès, information et couverture ; l’objectif est la stabilité du vaisseau.</x:v>
      </x:c>
      <x:c r="I14" s="7" t="str">
        <x:v>Capturer le moment où la sortie devient valide et celui où le choix devient indisponible.</x:v>
      </x:c>
      <x:c r="J14" s="7" t="str">
        <x:v>Interrompre une action à son anticipation et une autre après son engagement.</x:v>
      </x:c>
      <x:c r="K14" s="7" t="str">
        <x:v>Rejouer sans son pour vérifier les informations essentielles.</x:v>
      </x:c>
      <x:c r="L14" s="7" t="str">
        <x:v>qa/asc/secure.md : état initial, actions, attendu, résultat, capture.</x:v>
      </x:c>
      <x:c r="M14" s="7" t="str">
        <x:v>Gillian et Hendel restent liés à l’Idenna selon la continuité.</x:v>
      </x:c>
      <x:c r="N14" s="7" t="str">
        <x:v>Aucun blocage, récompense multiple, information future ou divergence entre pause ATB et temps normal.</x:v>
      </x:c>
      <x:c r="O14" s="7" t="str">
        <x:v>ASC-MIS-SECURE, ASC-CHO-SECURE, ASC-OPT-SECURE</x:v>
      </x:c>
      <x:c r="P14" s="7" t="str"/>
      <x:c r="Q14" s="7" t="str"/>
      <x:c r="R14" s="7" t="str"/>
      <x:c r="S14" s="7" t="str"/>
    </x:row>
    <x:row r="15" ht="68" customHeight="1">
      <x:c r="A15" s="18" t="str">
        <x:v>ASC-QA-SOURCES</x:v>
      </x:c>
      <x:c r="B15" s="9" t="str">
        <x:v>Provenance et non-substitution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Contrôle éditorial du catalogue de production.</x:v>
      </x:c>
      <x:c r="G15" s="9" t="str">
        <x:v>Comparer les seuls faits de référence avec les pages citées ; conserver toutes les mécaniques ajoutées comme Extrapolation.</x:v>
      </x:c>
      <x:c r="H15" s="9" t="str">
        <x:v>Vérifier qu’aucune fiche ne présente une statistique ATB comme une valeur du roman ou du film.</x:v>
      </x:c>
      <x:c r="I15" s="9" t="str"/>
      <x:c r="J15" s="9" t="str"/>
      <x:c r="K15" s="9" t="str"/>
      <x:c r="L15" s="9" t="str">
        <x:v>Filtrer ASC par nature puis sourceIds ; revue ciblée des éléments sans source.</x:v>
      </x:c>
      <x:c r="M15" s="9" t="str">
        <x:v>Préserver Gillian comme personne et enfant dans le contexte d’Ascension ; les options de gameplay ne changent ni son identité ni les événements qui conduisent à son séjour sur l’Idenna.</x:v>
      </x:c>
      <x:c r="N15" s="9" t="str">
        <x:v>Sources accessibles ou limites tracées ; aucun long extrait, dialogue reproduit ou résumé continu substitutif.</x:v>
      </x:c>
      <x:c r="O15" s="9" t="str"/>
      <x:c r="P15" s="9" t="str"/>
      <x:c r="Q15" s="9" t="str"/>
      <x:c r="R15" s="9" t="str"/>
      <x:c r="S15" s="9" t="str"/>
    </x:row>
    <x:row r="16" ht="68" customHeight="1">
      <x:c r="A16" s="19" t="str">
        <x:v>ASC-QA-SAVE</x:v>
      </x:c>
      <x:c r="B16" s="7" t="str">
        <x:v>Reprise des états et du groupe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Contrôle de sauvegarde du module proposé.</x:v>
      </x:c>
      <x:c r="G16" s="7" t="str">
        <x:v>Sauver avant une transition, une option et une crise ; charger puis comparer les états de progression et de présence.</x:v>
      </x:c>
      <x:c r="H16" s="7" t="str">
        <x:v>Le coût d’action est appliqué exactement une fois ; les acteurs absents ne réapparaissent pas au chargement.</x:v>
      </x:c>
      <x:c r="I16" s="7" t="str"/>
      <x:c r="J16" s="7" t="str"/>
      <x:c r="K16" s="7" t="str"/>
      <x:c r="L16" s="7" t="str">
        <x:v>qa/asc/save-reload.md avec capture avant/après.</x:v>
      </x:c>
      <x:c r="M16" s="7" t="str">
        <x:v>Préserver Gillian comme personne et enfant dans le contexte d’Ascension ; les options de gameplay ne changent ni son identité ni les événements qui conduisent à son séjour sur l’Idenna.</x:v>
      </x:c>
      <x:c r="N16" s="7" t="str">
        <x:v>Inventaire, acteurs disponibles, indices et limites de continuité restent identiques.</x:v>
      </x:c>
      <x:c r="O16" s="7" t="str"/>
      <x:c r="P16" s="7" t="str"/>
      <x:c r="Q16" s="7" t="str"/>
      <x:c r="R16" s="7" t="str"/>
      <x:c r="S16" s="7" t="str"/>
    </x:row>
    <x:row r="17" ht="54" customHeight="1">
      <x:c r="A17" s="18" t="str">
        <x:v>ASC-QA-VISUAL</x:v>
      </x:c>
      <x:c r="B17" s="9" t="str">
        <x:v>Lisibilité sprites 2D sur volumes 3D</x:v>
      </x:c>
      <x:c r="C17" s="15" t="str">
        <x:v>Défini</x:v>
      </x:c>
      <x:c r="D17" s="16" t="str">
        <x:v>Extrapolation</x:v>
      </x:c>
      <x:c r="E17" s="16" t="str">
        <x:v>P0</x:v>
      </x:c>
      <x:c r="F17" s="9" t="str">
        <x:v>Contrôle visuel de production du module.</x:v>
      </x:c>
      <x:c r="G17" s="9" t="str">
        <x:v>Photographier chaque carrefour et engagement avec effets actifs, puis répéter à petite résolution et sans couleur.</x:v>
      </x:c>
      <x:c r="H17" s="9" t="str">
        <x:v>La zone cliquable correspond aux pieds des sprites, jamais au sommet d’un décor.</x:v>
      </x:c>
      <x:c r="I17" s="9" t="str"/>
      <x:c r="J17" s="9" t="str"/>
      <x:c r="K17" s="9" t="str"/>
      <x:c r="L17" s="9" t="str">
        <x:v>qa/asc/readability/ : captures scènes et grille de comparaison.</x:v>
      </x:c>
      <x:c r="M17" s="9" t="str">
        <x:v>Validation sur les cartes de ce catalogue uniquement.</x:v>
      </x:c>
      <x:c r="N17" s="9" t="str">
        <x:v>Aucune occlusion totale du personnage actif ; les sorties et télégraphes restent compréhensibles.</x:v>
      </x:c>
      <x:c r="O17" s="9" t="str"/>
      <x:c r="P17" s="9" t="str"/>
      <x:c r="Q17" s="9" t="str"/>
      <x:c r="R17" s="9" t="str"/>
      <x:c r="S17" s="9" t="str"/>
    </x:row>
    <x:row r="18" ht="54" customHeight="1">
      <x:c r="A18" s="19" t="str">
        <x:v>ASC-QA-ACCESS</x:v>
      </x:c>
      <x:c r="B18" s="7" t="str">
        <x:v>Commandes, texte et effets accessibles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Contrôle fonctionnel des options proposées.</x:v>
      </x:c>
      <x:c r="G18" s="7" t="str">
        <x:v>Parcourir le module au clavier, avec sous-titres et effets réduits ; désactiver l’audio et tester les avertissements.</x:v>
      </x:c>
      <x:c r="H18" s="7" t="str">
        <x:v>La pause ATB permet de lire un choix ou un indice sans pénalité de temps.</x:v>
      </x:c>
      <x:c r="I18" s="7" t="str"/>
      <x:c r="J18" s="7" t="str"/>
      <x:c r="K18" s="7" t="str"/>
      <x:c r="L18" s="7" t="str">
        <x:v>qa/asc/accessibility.md ; cas de navigation, focus, contraste et interruption.</x:v>
      </x:c>
      <x:c r="M18" s="7" t="str">
        <x:v>Conserver les règles de présence narrative pendant tous les essais.</x:v>
      </x:c>
      <x:c r="N18" s="7" t="str">
        <x:v>Toute action essentielle est réalisable ; aucune information indispensable ne dépend du son ou de la seule couleur.</x:v>
      </x:c>
      <x:c r="O18" s="7" t="str"/>
      <x:c r="P18" s="7" t="str"/>
      <x:c r="Q18" s="7" t="str"/>
      <x:c r="R18" s="7" t="str"/>
      <x:c r="S18" s="7" t="str"/>
    </x:row>
  </x:sheetData>
  <x:conditionalFormatting sqref="D7:D18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8">
    <x:cfRule type="cellIs" dxfId="98" priority="3" operator="equal">
      <x:formula>"Validé"</x:formula>
    </x:cfRule>
  </x:conditionalFormatting>
  <x:conditionalFormatting sqref="E7:E18">
    <x:cfRule type="cellIs" dxfId="99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397a750d34ead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9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Ascension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ASC-CON-01</x:v>
      </x:c>
      <x:c r="B7" s="9" t="str">
        <x:v>Douze ans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La notice officielle décrit Gillian âgée de douze ans dans Ascension.</x:v>
      </x:c>
      <x:c r="G7" s="9" t="str">
        <x:v>Contrainte éditoriale : verrouiller les dépendances avant intégration du module.</x:v>
      </x:c>
      <x:c r="H7" s="9" t="str"/>
      <x:c r="I7" s="9" t="str"/>
      <x:c r="J7" s="9" t="str"/>
      <x:c r="K7" s="9" t="str"/>
      <x:c r="L7" s="9" t="str">
        <x:v>continuity/asc.json ; règle documentée et décision de validation datée.</x:v>
      </x:c>
      <x:c r="M7" s="9" t="str">
        <x:v>Préserver Gillian comme personne et enfant dans le contexte d’Ascension ; les options de gameplay ne changent ni son identité ni les événements qui conduisent à son séjour sur l’Idenna.</x:v>
      </x:c>
      <x:c r="N7" s="9" t="str">
        <x:v>La règle est contrôlée dans les textes, cartes, choix et sauvegardes ; incertitude résolue ou affichée.</x:v>
      </x:c>
      <x:c r="O7" s="9" t="str"/>
      <x:c r="P7" s="9" t="str">
        <x:v>Limite de continuité / contrôle transversal</x:v>
      </x:c>
      <x:c r="Q7" s="9" t="str">
        <x:v>ASC-SRC-PUB</x:v>
      </x:c>
      <x:c r="R7" s="9" t="str">
        <x:v>https://www.penguinrandomhouse.com/books/89888/mass-effect-ascension-by-drew-karpyshyn/paperback/</x:v>
      </x:c>
      <x:c r="S7" s="9" t="str">
        <x:v>Aucun numéro de chapitre ou de page n’est attribué sans exemplaire vérifié.</x:v>
      </x:c>
    </x:row>
    <x:row r="8" ht="68" customHeight="1">
      <x:c r="A8" s="19" t="str">
        <x:v>ASC-CON-02</x:v>
      </x:c>
      <x:c r="B8" s="7" t="str">
        <x:v>Hendel protège Gillian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Son rôle de sécurité et de mentor n’autorise pas à inventer un recrutement guerrier de l’enfant.</x:v>
      </x:c>
      <x:c r="G8" s="7" t="str">
        <x:v>Contrainte éditoriale : verrouiller les dépendances avant intégration du module.</x:v>
      </x:c>
      <x:c r="H8" s="7" t="str"/>
      <x:c r="I8" s="7" t="str"/>
      <x:c r="J8" s="7" t="str"/>
      <x:c r="K8" s="7" t="str"/>
      <x:c r="L8" s="7" t="str">
        <x:v>continuity/asc.json ; règle documentée et décision de validation datée.</x:v>
      </x:c>
      <x:c r="M8" s="7" t="str">
        <x:v>Préserver Gillian comme personne et enfant dans le contexte d’Ascension ; les options de gameplay ne changent ni son identité ni les événements qui conduisent à son séjour sur l’Idenna.</x:v>
      </x:c>
      <x:c r="N8" s="7" t="str">
        <x:v>La règle est contrôlée dans les textes, cartes, choix et sauvegardes ; incertitude résolue ou affichée.</x:v>
      </x:c>
      <x:c r="O8" s="7" t="str"/>
      <x:c r="P8" s="7" t="str">
        <x:v>Limite de continuité / contrôle transversal</x:v>
      </x:c>
      <x:c r="Q8" s="7" t="str">
        <x:v>ASC-SRC-HEN</x:v>
      </x:c>
      <x:c r="R8" s="7" t="str">
        <x:v>https://masseffect.fandom.com/wiki/Hendel_Mitra</x:v>
      </x:c>
      <x:c r="S8" s="7" t="str">
        <x:v>Aucun numéro de chapitre ou de page n’est attribué sans exemplaire vérifié.</x:v>
      </x:c>
    </x:row>
    <x:row r="9" ht="68" customHeight="1">
      <x:c r="A9" s="18" t="str">
        <x:v>ASC-CON-03</x:v>
      </x:c>
      <x:c r="B9" s="9" t="str">
        <x:v>Adoption</x:v>
      </x:c>
      <x:c r="C9" s="15" t="str">
        <x:v>Défini</x:v>
      </x:c>
      <x:c r="D9" s="16" t="str">
        <x:v>Établi</x:v>
      </x:c>
      <x:c r="E9" s="16" t="str">
        <x:v>P0</x:v>
      </x:c>
      <x:c r="F9" s="9" t="str">
        <x:v>Paul Grayson est le père adoptif de Gillian.</x:v>
      </x:c>
      <x:c r="G9" s="9" t="str">
        <x:v>Contrainte éditoriale : verrouiller les dépendances avant intégration du module.</x:v>
      </x:c>
      <x:c r="H9" s="9" t="str"/>
      <x:c r="I9" s="9" t="str"/>
      <x:c r="J9" s="9" t="str"/>
      <x:c r="K9" s="9" t="str"/>
      <x:c r="L9" s="9" t="str">
        <x:v>continuity/asc.json ; règle documentée et décision de validation datée.</x:v>
      </x:c>
      <x:c r="M9" s="9" t="str">
        <x:v>Préserver Gillian comme personne et enfant dans le contexte d’Ascension ; les options de gameplay ne changent ni son identité ni les événements qui conduisent à son séjour sur l’Idenna.</x:v>
      </x:c>
      <x:c r="N9" s="9" t="str">
        <x:v>La règle est contrôlée dans les textes, cartes, choix et sauvegardes ; incertitude résolue ou affichée.</x:v>
      </x:c>
      <x:c r="O9" s="9" t="str"/>
      <x:c r="P9" s="9" t="str">
        <x:v>Limite de continuité / contrôle transversal</x:v>
      </x:c>
      <x:c r="Q9" s="9" t="str">
        <x:v>ASC-SRC-GIL</x:v>
      </x:c>
      <x:c r="R9" s="9" t="str">
        <x:v>https://masseffect.fandom.com/wiki/Gillian_Grayson</x:v>
      </x:c>
      <x:c r="S9" s="9" t="str">
        <x:v>Aucun numéro de chapitre ou de page n’est attribué sans exemplaire vérifié.</x:v>
      </x:c>
    </x:row>
    <x:row r="10" ht="68" customHeight="1">
      <x:c r="A10" s="19" t="str">
        <x:v>ASC-CON-04</x:v>
      </x:c>
      <x:c r="B10" s="7" t="str">
        <x:v>Différence avec Deception</x:v>
      </x:c>
      <x:c r="C10" s="15" t="str">
        <x:v>Défini</x:v>
      </x:c>
      <x:c r="D10" s="17" t="str">
        <x:v>Établi</x:v>
      </x:c>
      <x:c r="E10" s="17" t="str">
        <x:v>P0</x:v>
      </x:c>
      <x:c r="F10" s="7" t="str">
        <x:v>Ne pas importer l’âge attribué à Gillian dans Deception sans consigner l’incohérence.</x:v>
      </x:c>
      <x:c r="G10" s="7" t="str">
        <x:v>Contrainte éditoriale : verrouiller les dépendances avant intégration du module.</x:v>
      </x:c>
      <x:c r="H10" s="7" t="str"/>
      <x:c r="I10" s="7" t="str"/>
      <x:c r="J10" s="7" t="str"/>
      <x:c r="K10" s="7" t="str"/>
      <x:c r="L10" s="7" t="str">
        <x:v>continuity/asc.json ; règle documentée et décision de validation datée.</x:v>
      </x:c>
      <x:c r="M10" s="7" t="str">
        <x:v>Préserver Gillian comme personne et enfant dans le contexte d’Ascension ; les options de gameplay ne changent ni son identité ni les événements qui conduisent à son séjour sur l’Idenna.</x:v>
      </x:c>
      <x:c r="N10" s="7" t="str">
        <x:v>La règle est contrôlée dans les textes, cartes, choix et sauvegardes ; incertitude résolue ou affichée.</x:v>
      </x:c>
      <x:c r="O10" s="7" t="str"/>
      <x:c r="P10" s="7" t="str">
        <x:v>Limite de continuité / contrôle transversal</x:v>
      </x:c>
      <x:c r="Q10" s="7" t="str">
        <x:v>ASC-SRC-GIL</x:v>
      </x:c>
      <x:c r="R10" s="7" t="str">
        <x:v>https://masseffect.fandom.com/wiki/Gillian_Grayson</x:v>
      </x:c>
      <x:c r="S10" s="7" t="str">
        <x:v>Aucun numéro de chapitre ou de page n’est attribué sans exemplaire vérifié.</x:v>
      </x:c>
    </x:row>
    <x:row r="11" ht="68" customHeight="1">
      <x:c r="A11" s="18" t="str">
        <x:v>ASC-CON-05</x:v>
      </x:c>
      <x:c r="B11" s="9" t="str">
        <x:v>Autisme et gameplay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Aucune règle ne présente l’autisme comme un mal à éliminer ou une compétence à gagner.</x:v>
      </x:c>
      <x:c r="G11" s="9" t="str">
        <x:v>Contrainte éditoriale : verrouiller les dépendances avant intégration du module.</x:v>
      </x:c>
      <x:c r="H11" s="9" t="str"/>
      <x:c r="I11" s="9" t="str"/>
      <x:c r="J11" s="9" t="str"/>
      <x:c r="K11" s="9" t="str"/>
      <x:c r="L11" s="9" t="str">
        <x:v>continuity/asc.json ; règle documentée et décision de validation datée.</x:v>
      </x:c>
      <x:c r="M11" s="9" t="str">
        <x:v>Préserver Gillian comme personne et enfant dans le contexte d’Ascension ; les options de gameplay ne changent ni son identité ni les événements qui conduisent à son séjour sur l’Idenna.</x:v>
      </x:c>
      <x:c r="N11" s="9" t="str">
        <x:v>La règle est contrôlée dans les textes, cartes, choix et sauvegardes ; incertitude résolue ou affichée.</x:v>
      </x:c>
      <x:c r="O11" s="9" t="str"/>
      <x:c r="P11" s="9" t="str">
        <x:v>Limite de continuité / contrôle transversal</x:v>
      </x:c>
      <x:c r="Q11" s="9" t="str"/>
      <x:c r="R11" s="9" t="str"/>
      <x:c r="S11" s="9" t="str">
        <x:v>Aucun numéro de chapitre ou de page n’est attribué sans exemplaire vérifié.</x:v>
      </x:c>
    </x:row>
    <x:row r="12" ht="68" customHeight="1">
      <x:c r="A12" s="19" t="str">
        <x:v>ASC-CON-06</x:v>
      </x:c>
      <x:c r="B12" s="7" t="str">
        <x:v>Technologie de la Flotte</x:v>
      </x:c>
      <x:c r="C12" s="15" t="str">
        <x:v>Défini</x:v>
      </x:c>
      <x:c r="D12" s="17" t="str">
        <x:v>À vérifier</x:v>
      </x:c>
      <x:c r="E12" s="17" t="str">
        <x:v>P0</x:v>
      </x:c>
      <x:c r="F12" s="7" t="str">
        <x:v>Combinaisons, sas et immunité exigent validation d’édition ; pas de visage découvert gratuit pour tous.</x:v>
      </x:c>
      <x:c r="G12" s="7" t="str">
        <x:v>Contrainte éditoriale : verrouiller les dépendances avant intégration du module.</x:v>
      </x:c>
      <x:c r="H12" s="7" t="str"/>
      <x:c r="I12" s="7" t="str"/>
      <x:c r="J12" s="7" t="str"/>
      <x:c r="K12" s="7" t="str"/>
      <x:c r="L12" s="7" t="str">
        <x:v>continuity/asc.json ; règle documentée et décision de validation datée.</x:v>
      </x:c>
      <x:c r="M12" s="7" t="str">
        <x:v>Préserver Gillian comme personne et enfant dans le contexte d’Ascension ; les options de gameplay ne changent ni son identité ni les événements qui conduisent à son séjour sur l’Idenna.</x:v>
      </x:c>
      <x:c r="N12" s="7" t="str">
        <x:v>La règle est contrôlée dans les textes, cartes, choix et sauvegardes ; incertitude résolue ou affichée.</x:v>
      </x:c>
      <x:c r="O12" s="7" t="str"/>
      <x:c r="P12" s="7" t="str">
        <x:v>Limite de continuité / contrôle transversal</x:v>
      </x:c>
      <x:c r="Q12" s="7" t="str"/>
      <x:c r="R12" s="7" t="str"/>
      <x:c r="S12" s="7" t="str">
        <x:v>Aucun numéro de chapitre ou de page n’est attribué sans exemplaire vérifié.</x:v>
      </x:c>
    </x:row>
    <x:row r="13" ht="82" customHeight="1">
      <x:c r="A13" s="18" t="str">
        <x:v>ASC-CON-07</x:v>
      </x:c>
      <x:c r="B13" s="9" t="str">
        <x:v>Retour et exploration</x:v>
      </x:c>
      <x:c r="C13" s="15" t="str">
        <x:v>Prototype</x:v>
      </x:c>
      <x:c r="D13" s="16" t="str">
        <x:v>Établi</x:v>
      </x:c>
      <x:c r="E13" s="16" t="str">
        <x:v>P0</x:v>
      </x:c>
      <x:c r="F13" s="9" t="str">
        <x:v>La fin d’Ascension associe Gillian, Hendel et Lemm au voyage de l’Idenna ; Kahlee revient au projet.</x:v>
      </x:c>
      <x:c r="G13" s="9" t="str">
        <x:v>Contrainte éditoriale : verrouiller les dépendances avant intégration du module.</x:v>
      </x:c>
      <x:c r="H13" s="9" t="str"/>
      <x:c r="I13" s="9" t="str"/>
      <x:c r="J13" s="9" t="str"/>
      <x:c r="K13" s="9" t="str"/>
      <x:c r="L13" s="9" t="str">
        <x:v>Référence documentaire ASC-CON-07 consultable dans les lectures de src/chronicle-story.js, avec sources et progression séparée. Aucune scène, carte, animation ou incarnation de personnage n’est produite par cette fiche.</x:v>
      </x:c>
      <x:c r="M13" s="9" t="str">
        <x:v>Préserver Gillian comme personne et enfant dans le contexte d’Ascension ; les options de gameplay ne changent ni son identité ni les événements qui conduisent à son séjour sur l’Idenna.</x:v>
      </x:c>
      <x:c r="N13" s="9" t="str">
        <x:v>La règle est contrôlée dans les textes, cartes, choix et sauvegardes ; incertitude résolue ou affichée.</x:v>
      </x:c>
      <x:c r="O13" s="9" t="str"/>
      <x:c r="P13" s="9" t="str">
        <x:v>Limite de continuité / contrôle transversal</x:v>
      </x:c>
      <x:c r="Q13" s="9" t="str">
        <x:v>ASC-SRC-LEMM</x:v>
      </x:c>
      <x:c r="R13" s="9" t="str">
        <x:v>https://masseffect.fandom.com/wiki/Lemm%27Shal_nar_Tesleya</x:v>
      </x:c>
      <x:c r="S13" s="9" t="str">
        <x:v>Aucun numéro de chapitre ou de page n’est attribué sans exemplaire vérifié.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</x:sheetData>
  <x:conditionalFormatting sqref="D7:D13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13">
    <x:cfRule type="cellIs" dxfId="102" priority="3" operator="equal">
      <x:formula>"Validé"</x:formula>
    </x:cfRule>
  </x:conditionalFormatting>
  <x:conditionalFormatting sqref="E7:E13">
    <x:cfRule type="cellIs" dxfId="103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7301dce26b4a78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Ascension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8" t="str">
        <x:v>Champ</x:v>
      </x:c>
      <x:c r="B6" s="30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Ascension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Roman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Roman de Drew Karpyshyn ; protection d’enfants biotiques et coopération avec la Flotte nomade.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158 fiches de production ; 4 fiches au stade Prototype de portée partielle. Les autres livrables restent des spécifications ; aucun achèvement intégral 1:1 revendiqué.</x:v>
      </x:c>
      <x:c r="C10" s="2"/>
      <x:c r="D10" s="2"/>
      <x:c r="E10" s="2"/>
      <x:c r="F10" s="2"/>
    </x:row>
    <x:row r="11" ht="110" customHeight="1">
      <x:c r="A11" s="7" t="str">
        <x:v>Références et limites</x:v>
      </x:c>
      <x:c r="B11" s="7" t="str">
        <x:v>Préserver Gillian comme personne et enfant dans le contexte d’Ascension ; les options de gameplay ne changent ni son identité ni les événements qui conduisent à son séjour sur l’Idenna. Les données de gameplay, plans, choix, statistiques, sprites et sons sont des créations d’adaptation ; tous les ajouts jouables sont marqués Extrapolation. Sources consultées le 22 octobre 2026.</x:v>
      </x:c>
      <x:c r="C11" s="2"/>
      <x:c r="D11" s="2"/>
      <x:c r="E11" s="2"/>
      <x:c r="F11" s="2"/>
    </x:row>
    <x:row r="12" ht="30" customHeight="1">
      <x:c r="A12" s="7" t="str">
        <x:v>Date de référence</x:v>
      </x:c>
      <x:c r="B12" s="42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8" t="str">
        <x:v>Source</x:v>
      </x:c>
      <x:c r="B26" s="29" t="str">
        <x:v>Titre</x:v>
      </x:c>
      <x:c r="C26" s="29" t="str">
        <x:v>Type</x:v>
      </x:c>
      <x:c r="D26" s="29" t="str">
        <x:v>URL</x:v>
      </x:c>
      <x:c r="E26" s="29" t="str">
        <x:v>Périmètre</x:v>
      </x:c>
      <x:c r="F26" s="30" t="str">
        <x:v>Accès et limites</x:v>
      </x:c>
    </x:row>
    <x:row r="27" ht="54" customHeight="1">
      <x:c r="A27" s="6" t="str">
        <x:v>ASC-SRC-PUB</x:v>
      </x:c>
      <x:c r="B27" s="6" t="str">
        <x:v>Penguin Random House — Ascension</x:v>
      </x:c>
      <x:c r="C27" s="6" t="str">
        <x:v>source officielle</x:v>
      </x:c>
      <x:c r="D27" s="6" t="str">
        <x:v>https://www.penguinrandomhouse.com/books/89888/mass-effect-ascension-by-drew-karpyshyn/paperback/</x:v>
      </x:c>
      <x:c r="E27" s="6" t="str">
        <x:v>Prémisse, projet et protagonistes</x:v>
      </x:c>
      <x:c r="F27" s="6" t="str">
        <x:v>Consulté le 22 octobre 2026. Faits courts uniquement ; la publication originale reste nécessaire pour contrôler les détails.</x:v>
      </x:c>
    </x:row>
    <x:row r="28" ht="42" customHeight="1">
      <x:c r="A28" s="6" t="str">
        <x:v>ASC-SRC-WIKI</x:v>
      </x:c>
      <x:c r="B28" s="6" t="str">
        <x:v>Mass Effect Wiki — Ascension</x:v>
      </x:c>
      <x:c r="C28" s="6" t="str">
        <x:v>wiki</x:v>
      </x:c>
      <x:c r="D28" s="6" t="str">
        <x:v>https://masseffect.fandom.com/wiki/Mass_Effect:_Ascension</x:v>
      </x:c>
      <x:c r="E28" s="6" t="str">
        <x:v>Notice bibliographique visible dans le résultat indexé</x:v>
      </x:c>
      <x:c r="F28" s="6" t="str">
        <x:v>Ouverture directe refusée ; seule la notice du résultat de recherche est retenue.</x:v>
      </x:c>
    </x:row>
    <x:row r="29" ht="54" customHeight="1">
      <x:c r="A29" s="6" t="str">
        <x:v>ASC-SRC-HEN</x:v>
      </x:c>
      <x:c r="B29" s="6" t="str">
        <x:v>Mass Effect Wiki — Hendel Mitra</x:v>
      </x:c>
      <x:c r="C29" s="6" t="str">
        <x:v>wiki</x:v>
      </x:c>
      <x:c r="D29" s="6" t="str">
        <x:v>https://masseffect.fandom.com/wiki/Hendel_Mitra</x:v>
      </x:c>
      <x:c r="E29" s="6" t="str">
        <x:v>Rôle, pouvoirs et accompagnement de Gillian</x:v>
      </x:c>
      <x:c r="F29" s="6" t="str">
        <x:v>Consulté le 22 octobre 2026. Faits courts uniquement ; la publication originale reste nécessaire pour contrôler les détails.</x:v>
      </x:c>
    </x:row>
    <x:row r="30" ht="54" customHeight="1">
      <x:c r="A30" s="6" t="str">
        <x:v>ASC-SRC-GOLO</x:v>
      </x:c>
      <x:c r="B30" s="6" t="str">
        <x:v>Mass Effect Wiki — Golo</x:v>
      </x:c>
      <x:c r="C30" s="6" t="str">
        <x:v>wiki</x:v>
      </x:c>
      <x:c r="D30" s="6" t="str">
        <x:v>https://masseffect.fandom.com/wiki/Golo</x:v>
      </x:c>
      <x:c r="E30" s="6" t="str">
        <x:v>Exil, Omega, Cerberus, Cyniad et Idenna</x:v>
      </x:c>
      <x:c r="F30" s="6" t="str">
        <x:v>Consulté le 22 octobre 2026. Faits courts uniquement ; la publication originale reste nécessaire pour contrôler les détails.</x:v>
      </x:c>
    </x:row>
    <x:row r="31" ht="54" customHeight="1">
      <x:c r="A31" s="6" t="str">
        <x:v>ASC-SRC-LEMM</x:v>
      </x:c>
      <x:c r="B31" s="6" t="str">
        <x:v>Mass Effect Wiki — Lemm’Shal nar Tesleya</x:v>
      </x:c>
      <x:c r="C31" s="6" t="str">
        <x:v>wiki</x:v>
      </x:c>
      <x:c r="D31" s="6" t="str">
        <x:v>https://masseffect.fandom.com/wiki/Lemm%27Shal_nar_Tesleya</x:v>
      </x:c>
      <x:c r="E31" s="6" t="str">
        <x:v>Sauvetage, Flotte et retour de Kahlee</x:v>
      </x:c>
      <x:c r="F31" s="6" t="str">
        <x:v>Consulté le 22 octobre 2026. Faits courts uniquement ; la publication originale reste nécessaire pour contrôler les détails.</x:v>
      </x:c>
    </x:row>
    <x:row r="32" ht="54" customHeight="1">
      <x:c r="A32" s="6" t="str">
        <x:v>ASC-SRC-GIL</x:v>
      </x:c>
      <x:c r="B32" s="6" t="str">
        <x:v>Mass Effect Wiki — Gillian Grayson</x:v>
      </x:c>
      <x:c r="C32" s="6" t="str">
        <x:v>wiki</x:v>
      </x:c>
      <x:c r="D32" s="6" t="str">
        <x:v>https://masseffect.fandom.com/wiki/Gillian_Grayson</x:v>
      </x:c>
      <x:c r="E32" s="6" t="str">
        <x:v>Biotique, âge et adoption ; distinction avec Deception</x:v>
      </x:c>
      <x:c r="F32" s="6" t="str">
        <x:v>Consulté le 22 octobre 2026. Faits courts uniquement ; la publication originale reste nécessaire pour contrôler les détails.</x:v>
      </x:c>
    </x:row>
    <x:row r="33" ht="54" customHeight="1">
      <x:c r="A33" s="6" t="str">
        <x:v>ASC-SRC-HILO</x:v>
      </x:c>
      <x:c r="B33" s="6" t="str">
        <x:v>Mass Effect Wiki — Hilo’Jaa vas Idenna</x:v>
      </x:c>
      <x:c r="C33" s="6" t="str">
        <x:v>wiki</x:v>
      </x:c>
      <x:c r="D33" s="6" t="str">
        <x:v>https://masseffect.fandom.com/wiki/Hilo%27Jaa_vas_Idenna</x:v>
      </x:c>
      <x:c r="E33" s="6" t="str">
        <x:v>Pilote du Cyniad et embuscade</x:v>
      </x:c>
      <x:c r="F33" s="6" t="str">
        <x:v>Consulté le 22 octobre 2026. Faits courts uniquement ; la publication originale reste nécessaire pour contrôler les détails.</x:v>
      </x:c>
    </x:row>
    <x:row r="34" ht="54" customHeight="1">
      <x:c r="A34" s="6" t="str">
        <x:v>ASC-SRC-NICK</x:v>
      </x:c>
      <x:c r="B34" s="6" t="str">
        <x:v>Mass Effect Wiki — Nick Donahue</x:v>
      </x:c>
      <x:c r="C34" s="6" t="str">
        <x:v>wiki</x:v>
      </x:c>
      <x:c r="D34" s="6" t="str">
        <x:v>https://masseffect.fandom.com/wiki/Nick_Donahue</x:v>
      </x:c>
      <x:c r="E34" s="6" t="str">
        <x:v>Élève du projet et limites chronologiques</x:v>
      </x:c>
      <x:c r="F34" s="6" t="str">
        <x:v>Consulté le 22 octobre 2026. Faits courts uniquement ; la publication originale reste nécessaire pour contrôler les détails.</x:v>
      </x:c>
    </x:row>
    <x:row r="35" ht="54" customHeight="1">
      <x:c r="A35" s="6" t="str">
        <x:v>ASC-SRC-IDENNA</x:v>
      </x:c>
      <x:c r="B35" s="6" t="str">
        <x:v>Mass Effect Wiki — Idenna</x:v>
      </x:c>
      <x:c r="C35" s="6" t="str">
        <x:v>wiki</x:v>
      </x:c>
      <x:c r="D35" s="6" t="str">
        <x:v>https://masseffect.fandom.com/wiki/Idenna</x:v>
      </x:c>
      <x:c r="E35" s="6" t="str">
        <x:v>Refuge sur la Flotte nomade</x:v>
      </x:c>
      <x:c r="F35" s="6" t="str">
        <x:v>Consulté le 22 octobre 2026. Faits courts uniquement ; la publication originale reste nécessaire pour contrôler les détails.</x:v>
      </x:c>
    </x:row>
    <x:row r="36" ht="54" customHeight="1">
      <x:c r="A36" s="6" t="str">
        <x:v>ASC-SRC-MAL</x:v>
      </x:c>
      <x:c r="B36" s="6" t="str">
        <x:v>Mass Effect Wiki — Ysin’Mal vas Idenna</x:v>
      </x:c>
      <x:c r="C36" s="6" t="str">
        <x:v>wiki</x:v>
      </x:c>
      <x:c r="D36" s="6" t="str">
        <x:v>https://masseffect.fandom.com/wiki/Ysin%27Mal_vas_Idenna</x:v>
      </x:c>
      <x:c r="E36" s="6" t="str">
        <x:v>Capitaine et équipage explorateur</x:v>
      </x:c>
      <x:c r="F36" s="6" t="str">
        <x:v>Consulté le 22 octobre 2026. Faits courts uniquement ; la publication originale reste nécessaire pour contrôler les détails.</x:v>
      </x:c>
    </x:row>
    <x:row r="37" ht="54" customHeight="1">
      <x:c r="A37" s="6" t="str">
        <x:v>ASC-SRC-EXCERPT</x:v>
      </x:c>
      <x:c r="B37" s="6" t="str">
        <x:v>PRH Retail — extrait autorisé d’Ascension</x:v>
      </x:c>
      <x:c r="C37" s="6" t="str">
        <x:v>publication originale</x:v>
      </x:c>
      <x:c r="D37" s="6" t="str">
        <x:v>https://www.penguinrandomhouseretail.com/book/?isbn=9780345498526</x:v>
      </x:c>
      <x:c r="E37" s="6" t="str">
        <x:v>Contexte de Grayson et Pel ; aucun extrait reproduit</x:v>
      </x:c>
      <x:c r="F37" s="6" t="str">
        <x:v>Consulté le 22 octobre 2026. Faits courts uniquement ; la publication originale reste nécessaire pour contrôler les détails.</x:v>
      </x:c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  <x:row r="41" ht="34" customHeight="1">
      <x:c r="A41" s="28" t="str">
        <x:v>Domaine</x:v>
      </x:c>
      <x:c r="B41" s="29" t="str">
        <x:v>Couverture actuelle</x:v>
      </x:c>
      <x:c r="C41" s="30" t="str">
        <x:v>Travail restant</x:v>
      </x:c>
      <x:c r="D41" s="2"/>
      <x:c r="E41" s="2"/>
      <x:c r="F41" s="2"/>
    </x:row>
    <x:row r="42" ht="82" customHeight="1">
      <x:c r="A42" s="6" t="str">
        <x:v>Références canoniques</x:v>
      </x:c>
      <x:c r="B42" s="6" t="str">
        <x:v>Projet Ascension, Gillian, Kahlee, Grayson, Cerberus et refuge quarien ; huit espaces proposés privilégiant enquête, confiance et protection.</x:v>
      </x:c>
      <x:c r="C42" s="6" t="str">
        <x:v>Pas de lecture intégrale. Les tenues, l’armement exact et les procédures de la Flotte exigent validation. L’autisme ne reçoit ni jauge punitive ni traitement de pouvoir fantastique.</x:v>
      </x:c>
      <x:c r="D42" s="2"/>
      <x:c r="E42" s="2"/>
      <x:c r="F42" s="2"/>
    </x:row>
    <x:row r="43" ht="68" customHeight="1">
      <x:c r="A43" s="6" t="str">
        <x:v>Personnages et direction artistique</x:v>
      </x:c>
      <x:c r="B43" s="6" t="str">
        <x:v>10 personnages/PNJ documentés, avec planches, poses et intentions de dialogues originales distinctes.</x:v>
      </x:c>
      <x:c r="C43" s="6" t="str">
        <x:v>Valider les costumes, accessoires et nuances de caractérisation avec un exemplaire légal de l’œuvre ; pour le film, établir une bible visuelle par visionnage.</x:v>
      </x:c>
      <x:c r="D43" s="2"/>
      <x:c r="E43" s="2"/>
      <x:c r="F43" s="2"/>
    </x:row>
    <x:row r="44" ht="54" customHeight="1">
      <x:c r="A44" s="6" t="str">
        <x:v>Cartes et progression</x:v>
      </x:c>
      <x:c r="B44" s="6" t="str">
        <x:v>8 cartes proposées, leurs kits et transitions ; 8 missions originales avec options, annexes, cinématiques et critères de test.</x:v>
      </x:c>
      <x:c r="C44" s="6" t="str">
        <x:v>Blockouts, distances, budgets mémoire et temps de parcours à mesurer ; aucune carte officielle n’est revendiquée.</x:v>
      </x:c>
      <x:c r="D44" s="2"/>
      <x:c r="E44" s="2"/>
      <x:c r="F44" s="2"/>
    </x:row>
    <x:row r="45" ht="68" customHeight="1">
      <x:c r="A45" s="6" t="str">
        <x:v>Combat, systèmes et médias</x:v>
      </x:c>
      <x:c r="B45" s="6" t="str">
        <x:v>4 rencontres proposées, movesets, VFX, actions alliées, interface, audio et sauvegarde.</x:v>
      </x:c>
      <x:c r="C45" s="6" t="str">
        <x:v>Prototype, équilibrage, réalisation des assets, doublage éventuel et tests encore à faire. Aucune ligne ne signifie que le fan game contient déjà cet élément.</x:v>
      </x:c>
      <x:c r="D45" s="2"/>
      <x:c r="E45" s="2"/>
      <x:c r="F45" s="2"/>
    </x:row>
    <x:row r="46" ht="68" customHeight="1">
      <x:c r="A46" s="6" t="str">
        <x:v>Accès aux pages demandées</x:v>
      </x:c>
      <x:c r="B46" s="6" t="str">
        <x:v>Ouverture de https://masseffect.fandom.com/wiki/Mass_Effect:_Ascension refusée deux fois ; extrait indexé et notice PRH consultés ; personnages et vaisseaux complétés par résultats indexés.</x:v>
      </x:c>
      <x:c r="C46" s="6" t="str">
        <x:v>Les extraits indexés ne remplacent pas une vérification de l’œuvre intégrale. Les traductions françaises des noms et titres restent à contrôler selon l’édition retenue.</x:v>
      </x:c>
      <x:c r="D46" s="2"/>
      <x:c r="E46" s="2"/>
      <x:c r="F46" s="2"/>
    </x:row>
    <x:row r="47" ht="96" customHeight="1">
      <x:c r="A47" s="6" t="str">
        <x:v>Complément pouvoirs, modules et lectures</x:v>
      </x:c>
      <x:c r="B47" s="6" t="str">
        <x:v>0 fiches de pouvoirs utilisées, 0 familles de modules préparables et 4 références consultables dans une lecture documentaire. Les chemins et preuves sont inscrits sur les seules lignes Prototype.</x:v>
      </x:c>
      <x:c r="C47" s="6" t="str">
        <x:v>Arbres et progression complets, modèles et rangs exacts, campagnes et dialogues intégraux, niveaux et ressources visuelles propres à l’œuvre restent à réaliser ou vérifier. Les références lues ne rendent pas leurs personnages jouables.</x:v>
      </x:c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</x:sheetData>
  <x:pageMargins left="0.7" right="0.7" top="0.75" bottom="0.75" header="0.3" footer="0.3"/>
</x:worksheet>
</file>