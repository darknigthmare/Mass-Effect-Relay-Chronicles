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aa2bd14ed47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1c2584f6e464ff7"/>
    <x:sheet xmlns:r="http://schemas.openxmlformats.org/officeDocument/2006/relationships" name="Personnages" sheetId="2" r:id="Re7bb9523d8794a6e"/>
    <x:sheet xmlns:r="http://schemas.openxmlformats.org/officeDocument/2006/relationships" name="PNJ" sheetId="3" r:id="Ra6360c37a76b42fe"/>
    <x:sheet xmlns:r="http://schemas.openxmlformats.org/officeDocument/2006/relationships" name="Especes_factions" sheetId="4" r:id="R33491428169344a8"/>
    <x:sheet xmlns:r="http://schemas.openxmlformats.org/officeDocument/2006/relationships" name="Mondes" sheetId="5" r:id="Rccbda0c77c26487e"/>
    <x:sheet xmlns:r="http://schemas.openxmlformats.org/officeDocument/2006/relationships" name="Zones" sheetId="6" r:id="R1288aa0ed9b04430"/>
    <x:sheet xmlns:r="http://schemas.openxmlformats.org/officeDocument/2006/relationships" name="Liaisons" sheetId="7" r:id="R7b9593120aba4e8a"/>
    <x:sheet xmlns:r="http://schemas.openxmlformats.org/officeDocument/2006/relationships" name="Decors" sheetId="8" r:id="Rbfeb8f6bafa34d03"/>
    <x:sheet xmlns:r="http://schemas.openxmlformats.org/officeDocument/2006/relationships" name="Props" sheetId="9" r:id="Rcb4e44de97b34bd0"/>
    <x:sheet xmlns:r="http://schemas.openxmlformats.org/officeDocument/2006/relationships" name="Ennemis_boss" sheetId="10" r:id="Re876d81bf433472c"/>
    <x:sheet xmlns:r="http://schemas.openxmlformats.org/officeDocument/2006/relationships" name="Missions" sheetId="11" r:id="Rbe9a3840d89946e1"/>
    <x:sheet xmlns:r="http://schemas.openxmlformats.org/officeDocument/2006/relationships" name="Secondaires_DLC" sheetId="12" r:id="Red270c8e9fc74523"/>
    <x:sheet xmlns:r="http://schemas.openxmlformats.org/officeDocument/2006/relationships" name="Choix_relations" sheetId="13" r:id="R91b5d5abd4984b3e"/>
    <x:sheet xmlns:r="http://schemas.openxmlformats.org/officeDocument/2006/relationships" name="Dialogues" sheetId="14" r:id="Rf30b18ef590a41a7"/>
    <x:sheet xmlns:r="http://schemas.openxmlformats.org/officeDocument/2006/relationships" name="Cinematiques" sheetId="15" r:id="R97cfbd8797a14db8"/>
    <x:sheet xmlns:r="http://schemas.openxmlformats.org/officeDocument/2006/relationships" name="Armes" sheetId="16" r:id="Ra6b1cfd686c64c25"/>
    <x:sheet xmlns:r="http://schemas.openxmlformats.org/officeDocument/2006/relationships" name="Armures_equipement" sheetId="17" r:id="R7e701664cf4547d2"/>
    <x:sheet xmlns:r="http://schemas.openxmlformats.org/officeDocument/2006/relationships" name="Pouvoirs" sheetId="18" r:id="R9ee8fd6aad1c4f9a"/>
    <x:sheet xmlns:r="http://schemas.openxmlformats.org/officeDocument/2006/relationships" name="Movesets_allies" sheetId="19" r:id="Re58a10b977b840e5"/>
    <x:sheet xmlns:r="http://schemas.openxmlformats.org/officeDocument/2006/relationships" name="Movesets_ennemis" sheetId="20" r:id="R7f79f703150e4e2e"/>
    <x:sheet xmlns:r="http://schemas.openxmlformats.org/officeDocument/2006/relationships" name="Animations" sheetId="21" r:id="R92de3e8caaeb4c78"/>
    <x:sheet xmlns:r="http://schemas.openxmlformats.org/officeDocument/2006/relationships" name="Sprites" sheetId="22" r:id="R0a833588add74914"/>
    <x:sheet xmlns:r="http://schemas.openxmlformats.org/officeDocument/2006/relationships" name="VFX" sheetId="23" r:id="R555ff3855dd3432b"/>
    <x:sheet xmlns:r="http://schemas.openxmlformats.org/officeDocument/2006/relationships" name="Audio" sheetId="24" r:id="Rc35c96a834524ab2"/>
    <x:sheet xmlns:r="http://schemas.openxmlformats.org/officeDocument/2006/relationships" name="UI_systemes" sheetId="25" r:id="Rb217f83d5cc14226"/>
    <x:sheet xmlns:r="http://schemas.openxmlformats.org/officeDocument/2006/relationships" name="QA" sheetId="26" r:id="R1154e5ec685d4a72"/>
    <x:sheet xmlns:r="http://schemas.openxmlformats.org/officeDocument/2006/relationships" name="Continuite" sheetId="27" r:id="R9acaf519eb1942e6"/>
    <x:sheet xmlns:r="http://schemas.openxmlformats.org/officeDocument/2006/relationships" name="Guide" sheetId="28" r:id="R42ffbb6459f54e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3809726af545fa" /><Relationship Type="http://schemas.openxmlformats.org/officeDocument/2006/relationships/theme" Target="/xl/theme/theme1.xml" Id="Rb0ef79e9cc5d475d" /><Relationship Type="http://schemas.openxmlformats.org/officeDocument/2006/relationships/sharedStrings" Target="/xl/sharedStrings.xml" Id="R7d1f14616f434197" /><Relationship Type="http://schemas.openxmlformats.org/officeDocument/2006/relationships/worksheet" Target="/xl/worksheets/sheet1.xml" Id="R81c2584f6e464ff7" /><Relationship Type="http://schemas.openxmlformats.org/officeDocument/2006/relationships/worksheet" Target="/xl/worksheets/sheet2.xml" Id="Re7bb9523d8794a6e" /><Relationship Type="http://schemas.openxmlformats.org/officeDocument/2006/relationships/worksheet" Target="/xl/worksheets/sheet3.xml" Id="Ra6360c37a76b42fe" /><Relationship Type="http://schemas.openxmlformats.org/officeDocument/2006/relationships/worksheet" Target="/xl/worksheets/sheet4.xml" Id="R33491428169344a8" /><Relationship Type="http://schemas.openxmlformats.org/officeDocument/2006/relationships/worksheet" Target="/xl/worksheets/sheet5.xml" Id="Rccbda0c77c26487e" /><Relationship Type="http://schemas.openxmlformats.org/officeDocument/2006/relationships/worksheet" Target="/xl/worksheets/sheet6.xml" Id="R1288aa0ed9b04430" /><Relationship Type="http://schemas.openxmlformats.org/officeDocument/2006/relationships/worksheet" Target="/xl/worksheets/sheet7.xml" Id="R7b9593120aba4e8a" /><Relationship Type="http://schemas.openxmlformats.org/officeDocument/2006/relationships/worksheet" Target="/xl/worksheets/sheet8.xml" Id="Rbfeb8f6bafa34d03" /><Relationship Type="http://schemas.openxmlformats.org/officeDocument/2006/relationships/worksheet" Target="/xl/worksheets/sheet9.xml" Id="Rcb4e44de97b34bd0" /><Relationship Type="http://schemas.openxmlformats.org/officeDocument/2006/relationships/worksheet" Target="/xl/worksheets/sheet10.xml" Id="Re876d81bf433472c" /><Relationship Type="http://schemas.openxmlformats.org/officeDocument/2006/relationships/worksheet" Target="/xl/worksheets/sheet11.xml" Id="Rbe9a3840d89946e1" /><Relationship Type="http://schemas.openxmlformats.org/officeDocument/2006/relationships/worksheet" Target="/xl/worksheets/sheet12.xml" Id="Red270c8e9fc74523" /><Relationship Type="http://schemas.openxmlformats.org/officeDocument/2006/relationships/worksheet" Target="/xl/worksheets/sheet13.xml" Id="R91b5d5abd4984b3e" /><Relationship Type="http://schemas.openxmlformats.org/officeDocument/2006/relationships/worksheet" Target="/xl/worksheets/sheet14.xml" Id="Rf30b18ef590a41a7" /><Relationship Type="http://schemas.openxmlformats.org/officeDocument/2006/relationships/worksheet" Target="/xl/worksheets/sheet15.xml" Id="R97cfbd8797a14db8" /><Relationship Type="http://schemas.openxmlformats.org/officeDocument/2006/relationships/worksheet" Target="/xl/worksheets/sheet16.xml" Id="Ra6b1cfd686c64c25" /><Relationship Type="http://schemas.openxmlformats.org/officeDocument/2006/relationships/worksheet" Target="/xl/worksheets/sheet17.xml" Id="R7e701664cf4547d2" /><Relationship Type="http://schemas.openxmlformats.org/officeDocument/2006/relationships/worksheet" Target="/xl/worksheets/sheet18.xml" Id="R9ee8fd6aad1c4f9a" /><Relationship Type="http://schemas.openxmlformats.org/officeDocument/2006/relationships/worksheet" Target="/xl/worksheets/sheet19.xml" Id="Re58a10b977b840e5" /><Relationship Type="http://schemas.openxmlformats.org/officeDocument/2006/relationships/worksheet" Target="/xl/worksheets/sheet20.xml" Id="R7f79f703150e4e2e" /><Relationship Type="http://schemas.openxmlformats.org/officeDocument/2006/relationships/worksheet" Target="/xl/worksheets/sheet21.xml" Id="R92de3e8caaeb4c78" /><Relationship Type="http://schemas.openxmlformats.org/officeDocument/2006/relationships/worksheet" Target="/xl/worksheets/sheet22.xml" Id="R0a833588add74914" /><Relationship Type="http://schemas.openxmlformats.org/officeDocument/2006/relationships/worksheet" Target="/xl/worksheets/sheet23.xml" Id="R555ff3855dd3432b" /><Relationship Type="http://schemas.openxmlformats.org/officeDocument/2006/relationships/worksheet" Target="/xl/worksheets/sheet24.xml" Id="Rc35c96a834524ab2" /><Relationship Type="http://schemas.openxmlformats.org/officeDocument/2006/relationships/worksheet" Target="/xl/worksheets/sheet25.xml" Id="Rb217f83d5cc14226" /><Relationship Type="http://schemas.openxmlformats.org/officeDocument/2006/relationships/worksheet" Target="/xl/worksheets/sheet26.xml" Id="R1154e5ec685d4a72" /><Relationship Type="http://schemas.openxmlformats.org/officeDocument/2006/relationships/worksheet" Target="/xl/worksheets/sheet27.xml" Id="R9acaf519eb1942e6" /><Relationship Type="http://schemas.openxmlformats.org/officeDocument/2006/relationships/worksheet" Target="/xl/worksheets/sheet28.xml" Id="R42ffbb6459f54e71" /></Relationships>
</file>

<file path=xl/tables/table1.xml><?xml version="1.0" encoding="utf-8"?>
<x:table xmlns:x="http://schemas.openxmlformats.org/spreadsheetml/2006/main" id="1" name="ASC_characters" displayName="AS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C_npcs" displayName="AS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C_lore" displayName="AS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SC_worlds" displayName="ASC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C_zones" displayName="AS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SC_links" displayName="AS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C_scenery" displayName="AS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SC_props" displayName="AS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SC_enemies" displayName="AS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C_main_quests" displayName="AS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SC_side_quests" displayName="AS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ASC_choices" displayName="AS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SC_dialogues" displayName="AS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ASC_cinematics" displayName="AS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ASC_weapons" displayName="ASC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ASC_equipment" displayName="AS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ASC_powers" displayName="AS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ASC_ally_moves" displayName="AS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SC_enemy_moves" displayName="AS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ASC_animations" displayName="AS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ASC_sprites" displayName="AS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ASC_vfx" displayName="AS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ASC_audio" displayName="AS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SC_systems" displayName="AS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SC_qa" displayName="AS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ASC_continuity" displayName="ASC_continuity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3b31accc9a46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ddfb61981243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f468dadd5a4f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700c215ee94459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9884d4d0fb4a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8e157ac16947d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05b8365cc9942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401de6965b400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b72911dd8694da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a0245856ba047e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9dfa6644756468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6d35b2a6894441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52a9dcda6e24fc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0937baa0a5c447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6054af1407864f9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0c7ef989793475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e69bdabe18d46d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f1ebb328f37347b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9e50c2b58e12497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0a0143eee0c461a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f877146665c14fe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ff2554b6175b49b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7b02cc71482401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fe7111cfae9447e2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273b24ad50f94200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93d84ac236aa449c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Ascension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158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1</x:v>
      </x:c>
      <x:c r="I5" s="2"/>
      <x:c r="J5" s="2" t="str">
        <x:v>Extrapolations</x:v>
      </x:c>
      <x:c r="K5" s="33" t="n">
        <x:f>SUM(I10:I35)</x:f>
        <x:v>130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COUNTA('Personnages'!$A$7:$A$10)</x:f>
        <x:v>4</x:v>
      </x:c>
      <x:c r="C10" s="39" t="n">
        <x:f>COUNTIFS('Personnages'!$C$7:$C$10,"Défini")</x:f>
        <x:v>4</x:v>
      </x:c>
      <x:c r="D10" s="39" t="n">
        <x:f>COUNTIFS('Personnages'!$C$7:$C$10,"Prototype")</x:f>
        <x:v>0</x:v>
      </x:c>
      <x:c r="E10" s="39" t="n">
        <x:f>COUNTIFS('Personnages'!$C$7:$C$10,"Intégré")</x:f>
        <x:v>0</x:v>
      </x:c>
      <x:c r="F10" s="39" t="n">
        <x:f>COUNTIFS('Personnages'!$C$7:$C$10,"Validé")</x:f>
        <x:v>0</x:v>
      </x:c>
      <x:c r="G10" s="39" t="n">
        <x:f>COUNTIFS('Personnages'!$D$7:$D$10,"Établi")</x:f>
        <x:v>4</x:v>
      </x:c>
      <x:c r="H10" s="39" t="n">
        <x:f>COUNTIFS('Personnages'!$D$7:$D$10,"À vérifier")</x:f>
        <x:v>0</x:v>
      </x:c>
      <x:c r="I10" s="39" t="n">
        <x:f>COUNTIFS('Personnages'!$D$7:$D$10,"Extrapolation")</x:f>
        <x:v>0</x:v>
      </x:c>
      <x:c r="J10" s="39" t="n">
        <x:f>COUNTIFS('Personnages'!$D$7:$D$10,"Coupé attesté")</x:f>
        <x:v>0</x:v>
      </x:c>
      <x:c r="K10" s="39" t="n">
        <x:f>COUNTIFS('Personnages'!$D$7:$D$10,"Concept abandonné")</x:f>
        <x:v>0</x:v>
      </x:c>
      <x:c r="L10" s="39" t="n">
        <x:f>COUNTIFS('Personnages'!$D$7:$D$10,"Allégation écartée")</x:f>
        <x:v>0</x:v>
      </x:c>
      <x:c r="M10" s="39" t="n">
        <x:f>COUNTIFS('Personnages'!$E$7:$E$10,"P0")</x:f>
        <x:v>0</x:v>
      </x:c>
    </x:row>
    <x:row r="11" ht="22" customHeight="1">
      <x:c r="A11" s="2" t="str">
        <x:v>PNJ</x:v>
      </x:c>
      <x:c r="B11" s="40" t="n">
        <x:f>COUNTA('PNJ'!$A$7:$A$12)</x:f>
        <x:v>6</x:v>
      </x:c>
      <x:c r="C11" s="40" t="n">
        <x:f>COUNTIFS('PNJ'!$C$7:$C$12,"Défini")</x:f>
        <x:v>6</x:v>
      </x:c>
      <x:c r="D11" s="40" t="n">
        <x:f>COUNTIFS('PNJ'!$C$7:$C$12,"Prototype")</x:f>
        <x:v>0</x:v>
      </x:c>
      <x:c r="E11" s="40" t="n">
        <x:f>COUNTIFS('PNJ'!$C$7:$C$12,"Intégré")</x:f>
        <x:v>0</x:v>
      </x:c>
      <x:c r="F11" s="40" t="n">
        <x:f>COUNTIFS('PNJ'!$C$7:$C$12,"Validé")</x:f>
        <x:v>0</x:v>
      </x:c>
      <x:c r="G11" s="40" t="n">
        <x:f>COUNTIFS('PNJ'!$D$7:$D$12,"Établi")</x:f>
        <x:v>6</x:v>
      </x:c>
      <x:c r="H11" s="40" t="n">
        <x:f>COUNTIFS('PNJ'!$D$7:$D$12,"À vérifier")</x:f>
        <x:v>0</x:v>
      </x:c>
      <x:c r="I11" s="40" t="n">
        <x:f>COUNTIFS('PNJ'!$D$7:$D$12,"Extrapolation")</x:f>
        <x:v>0</x:v>
      </x:c>
      <x:c r="J11" s="40" t="n">
        <x:f>COUNTIFS('PNJ'!$D$7:$D$12,"Coupé attesté")</x:f>
        <x:v>0</x:v>
      </x:c>
      <x:c r="K11" s="40" t="n">
        <x:f>COUNTIFS('PNJ'!$D$7:$D$12,"Concept abandonné")</x:f>
        <x:v>0</x:v>
      </x:c>
      <x:c r="L11" s="40" t="n">
        <x:f>COUNTIFS('PNJ'!$D$7:$D$12,"Allégation écartée")</x:f>
        <x:v>0</x:v>
      </x:c>
      <x:c r="M11" s="40" t="n">
        <x:f>COUNTIFS('PNJ'!$E$7:$E$12,"P0")</x:f>
        <x:v>0</x:v>
      </x:c>
    </x:row>
    <x:row r="12" ht="22" customHeight="1">
      <x:c r="A12" s="35" t="str">
        <x:v>Espèces et factions</x:v>
      </x:c>
      <x:c r="B12" s="39" t="n">
        <x:f>COUNTA('Especes_factions'!$A$7:$A$8)</x:f>
        <x:v>2</x:v>
      </x:c>
      <x:c r="C12" s="39" t="n">
        <x:f>COUNTIFS('Especes_factions'!$C$7:$C$8,"Défini")</x:f>
        <x:v>2</x:v>
      </x:c>
      <x:c r="D12" s="39" t="n">
        <x:f>COUNTIFS('Especes_factions'!$C$7:$C$8,"Prototype")</x:f>
        <x:v>0</x:v>
      </x:c>
      <x:c r="E12" s="39" t="n">
        <x:f>COUNTIFS('Especes_factions'!$C$7:$C$8,"Intégré")</x:f>
        <x:v>0</x:v>
      </x:c>
      <x:c r="F12" s="39" t="n">
        <x:f>COUNTIFS('Especes_factions'!$C$7:$C$8,"Validé")</x:f>
        <x:v>0</x:v>
      </x:c>
      <x:c r="G12" s="39" t="n">
        <x:f>COUNTIFS('Especes_factions'!$D$7:$D$8,"Établi")</x:f>
        <x:v>2</x:v>
      </x:c>
      <x:c r="H12" s="39" t="n">
        <x:f>COUNTIFS('Especes_factions'!$D$7:$D$8,"À vérifier")</x:f>
        <x:v>0</x:v>
      </x:c>
      <x:c r="I12" s="39" t="n">
        <x:f>COUNTIFS('Especes_factions'!$D$7:$D$8,"Extrapolation")</x:f>
        <x:v>0</x:v>
      </x:c>
      <x:c r="J12" s="39" t="n">
        <x:f>COUNTIFS('Especes_factions'!$D$7:$D$8,"Coupé attesté")</x:f>
        <x:v>0</x:v>
      </x:c>
      <x:c r="K12" s="39" t="n">
        <x:f>COUNTIFS('Especes_factions'!$D$7:$D$8,"Concept abandonné")</x:f>
        <x:v>0</x:v>
      </x:c>
      <x:c r="L12" s="39" t="n">
        <x:f>COUNTIFS('Especes_factions'!$D$7:$D$8,"Allégation écartée")</x:f>
        <x:v>0</x:v>
      </x:c>
      <x:c r="M12" s="39" t="n">
        <x:f>COUNTIFS('Especes_factions'!$E$7:$E$8,"P0")</x:f>
        <x:v>0</x:v>
      </x:c>
    </x:row>
    <x:row r="13" ht="22" customHeight="1">
      <x:c r="A13" s="2" t="str">
        <x:v>Mondes</x:v>
      </x:c>
      <x:c r="B13" s="40" t="n">
        <x:f>COUNTA('Mondes'!$A$7:$A$9)</x:f>
        <x:v>3</x:v>
      </x:c>
      <x:c r="C13" s="40" t="n">
        <x:f>COUNTIFS('Mondes'!$C$7:$C$9,"Défini")</x:f>
        <x:v>3</x:v>
      </x:c>
      <x:c r="D13" s="40" t="n">
        <x:f>COUNTIFS('Mondes'!$C$7:$C$9,"Prototype")</x:f>
        <x:v>0</x:v>
      </x:c>
      <x:c r="E13" s="40" t="n">
        <x:f>COUNTIFS('Mondes'!$C$7:$C$9,"Intégré")</x:f>
        <x:v>0</x:v>
      </x:c>
      <x:c r="F13" s="40" t="n">
        <x:f>COUNTIFS('Mondes'!$C$7:$C$9,"Validé")</x:f>
        <x:v>0</x:v>
      </x:c>
      <x:c r="G13" s="40" t="n">
        <x:f>COUNTIFS('Mondes'!$D$7:$D$9,"Établi")</x:f>
        <x:v>3</x:v>
      </x:c>
      <x:c r="H13" s="40" t="n">
        <x:f>COUNTIFS('Mondes'!$D$7:$D$9,"À vérifier")</x:f>
        <x:v>0</x:v>
      </x:c>
      <x:c r="I13" s="40" t="n">
        <x:f>COUNTIFS('Mondes'!$D$7:$D$9,"Extrapolation")</x:f>
        <x:v>0</x:v>
      </x:c>
      <x:c r="J13" s="40" t="n">
        <x:f>COUNTIFS('Mondes'!$D$7:$D$9,"Coupé attesté")</x:f>
        <x:v>0</x:v>
      </x:c>
      <x:c r="K13" s="40" t="n">
        <x:f>COUNTIFS('Mondes'!$D$7:$D$9,"Concept abandonné")</x:f>
        <x:v>0</x:v>
      </x:c>
      <x:c r="L13" s="40" t="n">
        <x:f>COUNTIFS('Mondes'!$D$7:$D$9,"Allégation écartée")</x:f>
        <x:v>0</x:v>
      </x:c>
      <x:c r="M13" s="40" t="n">
        <x:f>COUNTIFS('Mondes'!$E$7:$E$9,"P0")</x:f>
        <x:v>0</x:v>
      </x:c>
    </x:row>
    <x:row r="14" ht="22" customHeight="1">
      <x:c r="A14" s="35" t="str">
        <x:v>Zones</x:v>
      </x:c>
      <x:c r="B14" s="39" t="n">
        <x:f>COUNTA('Zones'!$A$7:$A$14)</x:f>
        <x:v>8</x:v>
      </x:c>
      <x:c r="C14" s="39" t="n">
        <x:f>COUNTIFS('Zones'!$C$7:$C$14,"Défini")</x:f>
        <x:v>8</x:v>
      </x:c>
      <x:c r="D14" s="39" t="n">
        <x:f>COUNTIFS('Zones'!$C$7:$C$14,"Prototype")</x:f>
        <x:v>0</x:v>
      </x:c>
      <x:c r="E14" s="39" t="n">
        <x:f>COUNTIFS('Zones'!$C$7:$C$14,"Intégré")</x:f>
        <x:v>0</x:v>
      </x:c>
      <x:c r="F14" s="39" t="n">
        <x:f>COUNTIFS('Zones'!$C$7:$C$14,"Validé")</x:f>
        <x:v>0</x:v>
      </x:c>
      <x:c r="G14" s="39" t="n">
        <x:f>COUNTIFS('Zones'!$D$7:$D$14,"Établi")</x:f>
        <x:v>0</x:v>
      </x:c>
      <x:c r="H14" s="39" t="n">
        <x:f>COUNTIFS('Zones'!$D$7:$D$14,"À vérifier")</x:f>
        <x:v>0</x:v>
      </x:c>
      <x:c r="I14" s="39" t="n">
        <x:f>COUNTIFS('Zones'!$D$7:$D$14,"Extrapolation")</x:f>
        <x:v>8</x:v>
      </x:c>
      <x:c r="J14" s="39" t="n">
        <x:f>COUNTIFS('Zones'!$D$7:$D$14,"Coupé attesté")</x:f>
        <x:v>0</x:v>
      </x:c>
      <x:c r="K14" s="39" t="n">
        <x:f>COUNTIFS('Zones'!$D$7:$D$14,"Concept abandonné")</x:f>
        <x:v>0</x:v>
      </x:c>
      <x:c r="L14" s="39" t="n">
        <x:f>COUNTIFS('Zones'!$D$7:$D$14,"Allégation écartée")</x:f>
        <x:v>0</x:v>
      </x:c>
      <x:c r="M14" s="39" t="n">
        <x:f>COUNTIFS('Zones'!$E$7:$E$14,"P0")</x:f>
        <x:v>0</x:v>
      </x:c>
    </x:row>
    <x:row r="15" ht="22" customHeight="1">
      <x:c r="A15" s="2" t="str">
        <x:v>Liaisons</x:v>
      </x:c>
      <x:c r="B15" s="40" t="n">
        <x:f>COUNTA('Liaisons'!$A$7:$A$14)</x:f>
        <x:v>8</x:v>
      </x:c>
      <x:c r="C15" s="40" t="n">
        <x:f>COUNTIFS('Liaisons'!$C$7:$C$14,"Défini")</x:f>
        <x:v>8</x:v>
      </x:c>
      <x:c r="D15" s="40" t="n">
        <x:f>COUNTIFS('Liaisons'!$C$7:$C$14,"Prototype")</x:f>
        <x:v>0</x:v>
      </x:c>
      <x:c r="E15" s="40" t="n">
        <x:f>COUNTIFS('Liaisons'!$C$7:$C$14,"Intégré")</x:f>
        <x:v>0</x:v>
      </x:c>
      <x:c r="F15" s="40" t="n">
        <x:f>COUNTIFS('Liaisons'!$C$7:$C$14,"Validé")</x:f>
        <x:v>0</x:v>
      </x:c>
      <x:c r="G15" s="40" t="n">
        <x:f>COUNTIFS('Liaisons'!$D$7:$D$14,"Établi")</x:f>
        <x:v>0</x:v>
      </x:c>
      <x:c r="H15" s="40" t="n">
        <x:f>COUNTIFS('Liaisons'!$D$7:$D$14,"À vérifier")</x:f>
        <x:v>0</x:v>
      </x:c>
      <x:c r="I15" s="40" t="n">
        <x:f>COUNTIFS('Liaisons'!$D$7:$D$14,"Extrapolation")</x:f>
        <x:v>8</x:v>
      </x:c>
      <x:c r="J15" s="40" t="n">
        <x:f>COUNTIFS('Liaisons'!$D$7:$D$14,"Coupé attesté")</x:f>
        <x:v>0</x:v>
      </x:c>
      <x:c r="K15" s="40" t="n">
        <x:f>COUNTIFS('Liaisons'!$D$7:$D$14,"Concept abandonné")</x:f>
        <x:v>0</x:v>
      </x:c>
      <x:c r="L15" s="40" t="n">
        <x:f>COUNTIFS('Liaisons'!$D$7:$D$14,"Allégation écartée")</x:f>
        <x:v>0</x:v>
      </x:c>
      <x:c r="M15" s="40" t="n">
        <x:f>COUNTIFS('Liaisons'!$E$7:$E$14,"P0")</x:f>
        <x:v>0</x:v>
      </x:c>
    </x:row>
    <x:row r="16" ht="22" customHeight="1">
      <x:c r="A16" s="35" t="str">
        <x:v>Décors</x:v>
      </x:c>
      <x:c r="B16" s="39" t="n">
        <x:f>COUNTA('Decors'!$A$7:$A$14)</x:f>
        <x:v>8</x:v>
      </x:c>
      <x:c r="C16" s="39" t="n">
        <x:f>COUNTIFS('Decors'!$C$7:$C$14,"Défini")</x:f>
        <x:v>8</x:v>
      </x:c>
      <x:c r="D16" s="39" t="n">
        <x:f>COUNTIFS('Decors'!$C$7:$C$14,"Prototype")</x:f>
        <x:v>0</x:v>
      </x:c>
      <x:c r="E16" s="39" t="n">
        <x:f>COUNTIFS('Decors'!$C$7:$C$14,"Intégré")</x:f>
        <x:v>0</x:v>
      </x:c>
      <x:c r="F16" s="39" t="n">
        <x:f>COUNTIFS('Decors'!$C$7:$C$14,"Validé")</x:f>
        <x:v>0</x:v>
      </x:c>
      <x:c r="G16" s="39" t="n">
        <x:f>COUNTIFS('Decors'!$D$7:$D$14,"Établi")</x:f>
        <x:v>0</x:v>
      </x:c>
      <x:c r="H16" s="39" t="n">
        <x:f>COUNTIFS('Decors'!$D$7:$D$14,"À vérifier")</x:f>
        <x:v>0</x:v>
      </x:c>
      <x:c r="I16" s="39" t="n">
        <x:f>COUNTIFS('Decors'!$D$7:$D$14,"Extrapolation")</x:f>
        <x:v>8</x:v>
      </x:c>
      <x:c r="J16" s="39" t="n">
        <x:f>COUNTIFS('Decors'!$D$7:$D$14,"Coupé attesté")</x:f>
        <x:v>0</x:v>
      </x:c>
      <x:c r="K16" s="39" t="n">
        <x:f>COUNTIFS('Decors'!$D$7:$D$14,"Concept abandonné")</x:f>
        <x:v>0</x:v>
      </x:c>
      <x:c r="L16" s="39" t="n">
        <x:f>COUNTIFS('Decors'!$D$7:$D$14,"Allégation écartée")</x:f>
        <x:v>0</x:v>
      </x:c>
      <x:c r="M16" s="39" t="n">
        <x:f>COUNTIFS('Decors'!$E$7:$E$14,"P0")</x:f>
        <x:v>0</x:v>
      </x:c>
    </x:row>
    <x:row r="17" ht="22" customHeight="1">
      <x:c r="A17" s="2" t="str">
        <x:v>Props</x:v>
      </x:c>
      <x:c r="B17" s="40" t="n">
        <x:f>COUNTA('Props'!$A$7:$A$7)</x:f>
        <x:v>1</x:v>
      </x:c>
      <x:c r="C17" s="40" t="n">
        <x:f>COUNTIFS('Props'!$C$7:$C$7,"Défini")</x:f>
        <x:v>1</x:v>
      </x:c>
      <x:c r="D17" s="40" t="n">
        <x:f>COUNTIFS('Props'!$C$7:$C$7,"Prototype")</x:f>
        <x:v>0</x:v>
      </x:c>
      <x:c r="E17" s="40" t="n">
        <x:f>COUNTIFS('Props'!$C$7:$C$7,"Intégré")</x:f>
        <x:v>0</x:v>
      </x:c>
      <x:c r="F17" s="40" t="n">
        <x:f>COUNTIFS('Props'!$C$7:$C$7,"Validé")</x:f>
        <x:v>0</x:v>
      </x:c>
      <x:c r="G17" s="40" t="n">
        <x:f>COUNTIFS('Props'!$D$7:$D$7,"Établi")</x:f>
        <x:v>1</x:v>
      </x:c>
      <x:c r="H17" s="40" t="n">
        <x:f>COUNTIFS('Props'!$D$7:$D$7,"À vérifier")</x:f>
        <x:v>0</x:v>
      </x:c>
      <x:c r="I17" s="40" t="n">
        <x:f>COUNTIFS('Props'!$D$7:$D$7,"Extrapolation")</x:f>
        <x:v>0</x:v>
      </x:c>
      <x:c r="J17" s="40" t="n">
        <x:f>COUNTIFS('Props'!$D$7:$D$7,"Coupé attesté")</x:f>
        <x:v>0</x:v>
      </x:c>
      <x:c r="K17" s="40" t="n">
        <x:f>COUNTIFS('Props'!$D$7:$D$7,"Concept abandonné")</x:f>
        <x:v>0</x:v>
      </x:c>
      <x:c r="L17" s="40" t="n">
        <x:f>COUNTIFS('Props'!$D$7:$D$7,"Allégation écartée")</x:f>
        <x:v>0</x:v>
      </x:c>
      <x:c r="M17" s="40" t="n">
        <x:f>COUNTIFS('Props'!$E$7:$E$7,"P0")</x:f>
        <x:v>0</x:v>
      </x:c>
    </x:row>
    <x:row r="18" ht="22" customHeight="1">
      <x:c r="A18" s="35" t="str">
        <x:v>Ennemis et boss</x:v>
      </x:c>
      <x:c r="B18" s="39" t="n">
        <x:f>COUNTA('Ennemis_boss'!$A$7:$A$10)</x:f>
        <x:v>4</x:v>
      </x:c>
      <x:c r="C18" s="39" t="n">
        <x:f>COUNTIFS('Ennemis_boss'!$C$7:$C$10,"Défini")</x:f>
        <x:v>4</x:v>
      </x:c>
      <x:c r="D18" s="39" t="n">
        <x:f>COUNTIFS('Ennemis_boss'!$C$7:$C$10,"Prototype")</x:f>
        <x:v>0</x:v>
      </x:c>
      <x:c r="E18" s="39" t="n">
        <x:f>COUNTIFS('Ennemis_boss'!$C$7:$C$10,"Intégré")</x:f>
        <x:v>0</x:v>
      </x:c>
      <x:c r="F18" s="39" t="n">
        <x:f>COUNTIFS('Ennemis_boss'!$C$7:$C$10,"Validé")</x:f>
        <x:v>0</x:v>
      </x:c>
      <x:c r="G18" s="39" t="n">
        <x:f>COUNTIFS('Ennemis_boss'!$D$7:$D$10,"Établi")</x:f>
        <x:v>0</x:v>
      </x:c>
      <x:c r="H18" s="39" t="n">
        <x:f>COUNTIFS('Ennemis_boss'!$D$7:$D$10,"À vérifier")</x:f>
        <x:v>0</x:v>
      </x:c>
      <x:c r="I18" s="39" t="n">
        <x:f>COUNTIFS('Ennemis_boss'!$D$7:$D$10,"Extrapolation")</x:f>
        <x:v>4</x:v>
      </x:c>
      <x:c r="J18" s="39" t="n">
        <x:f>COUNTIFS('Ennemis_boss'!$D$7:$D$10,"Coupé attesté")</x:f>
        <x:v>0</x:v>
      </x:c>
      <x:c r="K18" s="39" t="n">
        <x:f>COUNTIFS('Ennemis_boss'!$D$7:$D$10,"Concept abandonné")</x:f>
        <x:v>0</x:v>
      </x:c>
      <x:c r="L18" s="39" t="n">
        <x:f>COUNTIFS('Ennemis_boss'!$D$7:$D$10,"Allégation écartée")</x:f>
        <x:v>0</x:v>
      </x:c>
      <x:c r="M18" s="39" t="n">
        <x:f>COUNTIFS('Ennemis_boss'!$E$7:$E$10,"P0")</x:f>
        <x:v>0</x:v>
      </x:c>
    </x:row>
    <x:row r="19" ht="22" customHeight="1">
      <x:c r="A19" s="2" t="str">
        <x:v>Missions</x:v>
      </x:c>
      <x:c r="B19" s="40" t="n">
        <x:f>COUNTA('Missions'!$A$7:$A$14)</x:f>
        <x:v>8</x:v>
      </x:c>
      <x:c r="C19" s="40" t="n">
        <x:f>COUNTIFS('Missions'!$C$7:$C$14,"Défini")</x:f>
        <x:v>8</x:v>
      </x:c>
      <x:c r="D19" s="40" t="n">
        <x:f>COUNTIFS('Missions'!$C$7:$C$14,"Prototype")</x:f>
        <x:v>0</x:v>
      </x:c>
      <x:c r="E19" s="40" t="n">
        <x:f>COUNTIFS('Missions'!$C$7:$C$14,"Intégré")</x:f>
        <x:v>0</x:v>
      </x:c>
      <x:c r="F19" s="40" t="n">
        <x:f>COUNTIFS('Missions'!$C$7:$C$14,"Validé")</x:f>
        <x:v>0</x:v>
      </x:c>
      <x:c r="G19" s="40" t="n">
        <x:f>COUNTIFS('Missions'!$D$7:$D$14,"Établi")</x:f>
        <x:v>0</x:v>
      </x:c>
      <x:c r="H19" s="40" t="n">
        <x:f>COUNTIFS('Missions'!$D$7:$D$14,"À vérifier")</x:f>
        <x:v>0</x:v>
      </x:c>
      <x:c r="I19" s="40" t="n">
        <x:f>COUNTIFS('Missions'!$D$7:$D$14,"Extrapolation")</x:f>
        <x:v>8</x:v>
      </x:c>
      <x:c r="J19" s="40" t="n">
        <x:f>COUNTIFS('Missions'!$D$7:$D$14,"Coupé attesté")</x:f>
        <x:v>0</x:v>
      </x:c>
      <x:c r="K19" s="40" t="n">
        <x:f>COUNTIFS('Missions'!$D$7:$D$14,"Concept abandonné")</x:f>
        <x:v>0</x:v>
      </x:c>
      <x:c r="L19" s="40" t="n">
        <x:f>COUNTIFS('Missions'!$D$7:$D$14,"Allégation écartée")</x:f>
        <x:v>0</x:v>
      </x:c>
      <x:c r="M19" s="40" t="n">
        <x:f>COUNTIFS('Missions'!$E$7:$E$14,"P0")</x:f>
        <x:v>8</x:v>
      </x:c>
    </x:row>
    <x:row r="20" ht="22" customHeight="1">
      <x:c r="A20" s="35" t="str">
        <x:v>Secondaires et DLC</x:v>
      </x:c>
      <x:c r="B20" s="39" t="n">
        <x:f>COUNTA('Secondaires_DLC'!$A$7:$A$14)</x:f>
        <x:v>8</x:v>
      </x:c>
      <x:c r="C20" s="39" t="n">
        <x:f>COUNTIFS('Secondaires_DLC'!$C$7:$C$14,"Défini")</x:f>
        <x:v>8</x:v>
      </x:c>
      <x:c r="D20" s="39" t="n">
        <x:f>COUNTIFS('Secondaires_DLC'!$C$7:$C$14,"Prototype")</x:f>
        <x:v>0</x:v>
      </x:c>
      <x:c r="E20" s="39" t="n">
        <x:f>COUNTIFS('Secondaires_DLC'!$C$7:$C$14,"Intégré")</x:f>
        <x:v>0</x:v>
      </x:c>
      <x:c r="F20" s="39" t="n">
        <x:f>COUNTIFS('Secondaires_DLC'!$C$7:$C$14,"Validé")</x:f>
        <x:v>0</x:v>
      </x:c>
      <x:c r="G20" s="39" t="n">
        <x:f>COUNTIFS('Secondaires_DLC'!$D$7:$D$14,"Établi")</x:f>
        <x:v>0</x:v>
      </x:c>
      <x:c r="H20" s="39" t="n">
        <x:f>COUNTIFS('Secondaires_DLC'!$D$7:$D$14,"À vérifier")</x:f>
        <x:v>0</x:v>
      </x:c>
      <x:c r="I20" s="39" t="n">
        <x:f>COUNTIFS('Secondaires_DLC'!$D$7:$D$14,"Extrapolation")</x:f>
        <x:v>8</x:v>
      </x:c>
      <x:c r="J20" s="39" t="n">
        <x:f>COUNTIFS('Secondaires_DLC'!$D$7:$D$14,"Coupé attesté")</x:f>
        <x:v>0</x:v>
      </x:c>
      <x:c r="K20" s="39" t="n">
        <x:f>COUNTIFS('Secondaires_DLC'!$D$7:$D$14,"Concept abandonné")</x:f>
        <x:v>0</x:v>
      </x:c>
      <x:c r="L20" s="39" t="n">
        <x:f>COUNTIFS('Secondaires_DLC'!$D$7:$D$14,"Allégation écartée")</x:f>
        <x:v>0</x:v>
      </x:c>
      <x:c r="M20" s="39" t="n">
        <x:f>COUNTIFS('Secondaires_DLC'!$E$7:$E$14,"P0")</x:f>
        <x:v>0</x:v>
      </x:c>
    </x:row>
    <x:row r="21" ht="22" customHeight="1">
      <x:c r="A21" s="2" t="str">
        <x:v>Choix et relations</x:v>
      </x:c>
      <x:c r="B21" s="40" t="n">
        <x:f>COUNTA('Choix_relations'!$A$7:$A$14)</x:f>
        <x:v>8</x:v>
      </x:c>
      <x:c r="C21" s="40" t="n">
        <x:f>COUNTIFS('Choix_relations'!$C$7:$C$14,"Défini")</x:f>
        <x:v>8</x:v>
      </x:c>
      <x:c r="D21" s="40" t="n">
        <x:f>COUNTIFS('Choix_relations'!$C$7:$C$14,"Prototype")</x:f>
        <x:v>0</x:v>
      </x:c>
      <x:c r="E21" s="40" t="n">
        <x:f>COUNTIFS('Choix_relations'!$C$7:$C$14,"Intégré")</x:f>
        <x:v>0</x:v>
      </x:c>
      <x:c r="F21" s="40" t="n">
        <x:f>COUNTIFS('Choix_relations'!$C$7:$C$14,"Validé")</x:f>
        <x:v>0</x:v>
      </x:c>
      <x:c r="G21" s="40" t="n">
        <x:f>COUNTIFS('Choix_relations'!$D$7:$D$14,"Établi")</x:f>
        <x:v>0</x:v>
      </x:c>
      <x:c r="H21" s="40" t="n">
        <x:f>COUNTIFS('Choix_relations'!$D$7:$D$14,"À vérifier")</x:f>
        <x:v>0</x:v>
      </x:c>
      <x:c r="I21" s="40" t="n">
        <x:f>COUNTIFS('Choix_relations'!$D$7:$D$14,"Extrapolation")</x:f>
        <x:v>8</x:v>
      </x:c>
      <x:c r="J21" s="40" t="n">
        <x:f>COUNTIFS('Choix_relations'!$D$7:$D$14,"Coupé attesté")</x:f>
        <x:v>0</x:v>
      </x:c>
      <x:c r="K21" s="40" t="n">
        <x:f>COUNTIFS('Choix_relations'!$D$7:$D$14,"Concept abandonné")</x:f>
        <x:v>0</x:v>
      </x:c>
      <x:c r="L21" s="40" t="n">
        <x:f>COUNTIFS('Choix_relations'!$D$7:$D$14,"Allégation écartée")</x:f>
        <x:v>0</x:v>
      </x:c>
      <x:c r="M21" s="40" t="n">
        <x:f>COUNTIFS('Choix_relations'!$E$7:$E$14,"P0")</x:f>
        <x:v>0</x:v>
      </x:c>
    </x:row>
    <x:row r="22" ht="22" customHeight="1">
      <x:c r="A22" s="35" t="str">
        <x:v>Dialogues</x:v>
      </x:c>
      <x:c r="B22" s="39" t="n">
        <x:f>COUNTA('Dialogues'!$A$7:$A$16)</x:f>
        <x:v>10</x:v>
      </x:c>
      <x:c r="C22" s="39" t="n">
        <x:f>COUNTIFS('Dialogues'!$C$7:$C$16,"Défini")</x:f>
        <x:v>10</x:v>
      </x:c>
      <x:c r="D22" s="39" t="n">
        <x:f>COUNTIFS('Dialogues'!$C$7:$C$16,"Prototype")</x:f>
        <x:v>0</x:v>
      </x:c>
      <x:c r="E22" s="39" t="n">
        <x:f>COUNTIFS('Dialogues'!$C$7:$C$16,"Intégré")</x:f>
        <x:v>0</x:v>
      </x:c>
      <x:c r="F22" s="39" t="n">
        <x:f>COUNTIFS('Dialogues'!$C$7:$C$16,"Validé")</x:f>
        <x:v>0</x:v>
      </x:c>
      <x:c r="G22" s="39" t="n">
        <x:f>COUNTIFS('Dialogues'!$D$7:$D$16,"Établi")</x:f>
        <x:v>0</x:v>
      </x:c>
      <x:c r="H22" s="39" t="n">
        <x:f>COUNTIFS('Dialogues'!$D$7:$D$16,"À vérifier")</x:f>
        <x:v>0</x:v>
      </x:c>
      <x:c r="I22" s="39" t="n">
        <x:f>COUNTIFS('Dialogues'!$D$7:$D$16,"Extrapolation")</x:f>
        <x:v>10</x:v>
      </x:c>
      <x:c r="J22" s="39" t="n">
        <x:f>COUNTIFS('Dialogues'!$D$7:$D$16,"Coupé attesté")</x:f>
        <x:v>0</x:v>
      </x:c>
      <x:c r="K22" s="39" t="n">
        <x:f>COUNTIFS('Dialogues'!$D$7:$D$16,"Concept abandonné")</x:f>
        <x:v>0</x:v>
      </x:c>
      <x:c r="L22" s="39" t="n">
        <x:f>COUNTIFS('Dialogues'!$D$7:$D$16,"Allégation écartée")</x:f>
        <x:v>0</x:v>
      </x:c>
      <x:c r="M22" s="39" t="n">
        <x:f>COUNTIFS('Dialogues'!$E$7:$E$16,"P0")</x:f>
        <x:v>0</x:v>
      </x:c>
    </x:row>
    <x:row r="23" ht="22" customHeight="1">
      <x:c r="A23" s="2" t="str">
        <x:v>Cinématiques</x:v>
      </x:c>
      <x:c r="B23" s="40" t="n">
        <x:f>COUNTA('Cinematiques'!$A$7:$A$14)</x:f>
        <x:v>8</x:v>
      </x:c>
      <x:c r="C23" s="40" t="n">
        <x:f>COUNTIFS('Cinematiques'!$C$7:$C$14,"Défini")</x:f>
        <x:v>8</x:v>
      </x:c>
      <x:c r="D23" s="40" t="n">
        <x:f>COUNTIFS('Cinematiques'!$C$7:$C$14,"Prototype")</x:f>
        <x:v>0</x:v>
      </x:c>
      <x:c r="E23" s="40" t="n">
        <x:f>COUNTIFS('Cinematiques'!$C$7:$C$14,"Intégré")</x:f>
        <x:v>0</x:v>
      </x:c>
      <x:c r="F23" s="40" t="n">
        <x:f>COUNTIFS('Cinematiques'!$C$7:$C$14,"Validé")</x:f>
        <x:v>0</x:v>
      </x:c>
      <x:c r="G23" s="40" t="n">
        <x:f>COUNTIFS('Cinematiques'!$D$7:$D$14,"Établi")</x:f>
        <x:v>0</x:v>
      </x:c>
      <x:c r="H23" s="40" t="n">
        <x:f>COUNTIFS('Cinematiques'!$D$7:$D$14,"À vérifier")</x:f>
        <x:v>0</x:v>
      </x:c>
      <x:c r="I23" s="40" t="n">
        <x:f>COUNTIFS('Cinematiques'!$D$7:$D$14,"Extrapolation")</x:f>
        <x:v>8</x:v>
      </x:c>
      <x:c r="J23" s="40" t="n">
        <x:f>COUNTIFS('Cinematiques'!$D$7:$D$14,"Coupé attesté")</x:f>
        <x:v>0</x:v>
      </x:c>
      <x:c r="K23" s="40" t="n">
        <x:f>COUNTIFS('Cinematiques'!$D$7:$D$14,"Concept abandonné")</x:f>
        <x:v>0</x:v>
      </x:c>
      <x:c r="L23" s="40" t="n">
        <x:f>COUNTIFS('Cinematiques'!$D$7:$D$14,"Allégation écartée")</x:f>
        <x:v>0</x:v>
      </x:c>
      <x:c r="M23" s="40" t="n">
        <x:f>COUNTIFS('Cinematiques'!$E$7:$E$14,"P0")</x:f>
        <x:v>0</x:v>
      </x:c>
    </x:row>
    <x:row r="24" ht="22" customHeight="1">
      <x:c r="A24" s="35" t="str">
        <x:v>Armes</x:v>
      </x:c>
      <x:c r="B24" s="39" t="n">
        <x:f>COUNTA('Armes'!$A$7:$A$7)</x:f>
        <x:v>1</x:v>
      </x:c>
      <x:c r="C24" s="39" t="n">
        <x:f>COUNTIFS('Armes'!$C$7:$C$7,"Défini")</x:f>
        <x:v>1</x:v>
      </x:c>
      <x:c r="D24" s="39" t="n">
        <x:f>COUNTIFS('Armes'!$C$7:$C$7,"Prototype")</x:f>
        <x:v>0</x:v>
      </x:c>
      <x:c r="E24" s="39" t="n">
        <x:f>COUNTIFS('Armes'!$C$7:$C$7,"Intégré")</x:f>
        <x:v>0</x:v>
      </x:c>
      <x:c r="F24" s="39" t="n">
        <x:f>COUNTIFS('Armes'!$C$7:$C$7,"Validé")</x:f>
        <x:v>0</x:v>
      </x:c>
      <x:c r="G24" s="39" t="n">
        <x:f>COUNTIFS('Armes'!$D$7:$D$7,"Établi")</x:f>
        <x:v>1</x:v>
      </x:c>
      <x:c r="H24" s="39" t="n">
        <x:f>COUNTIFS('Armes'!$D$7:$D$7,"À vérifier")</x:f>
        <x:v>0</x:v>
      </x:c>
      <x:c r="I24" s="39" t="n">
        <x:f>COUNTIFS('Armes'!$D$7:$D$7,"Extrapolation")</x:f>
        <x:v>0</x:v>
      </x:c>
      <x:c r="J24" s="39" t="n">
        <x:f>COUNTIFS('Armes'!$D$7:$D$7,"Coupé attesté")</x:f>
        <x:v>0</x:v>
      </x:c>
      <x:c r="K24" s="39" t="n">
        <x:f>COUNTIFS('Armes'!$D$7:$D$7,"Concept abandonné")</x:f>
        <x:v>0</x:v>
      </x:c>
      <x:c r="L24" s="39" t="n">
        <x:f>COUNTIFS('Armes'!$D$7:$D$7,"Allégation écartée")</x:f>
        <x:v>0</x:v>
      </x:c>
      <x:c r="M24" s="39" t="n">
        <x:f>COUNTIFS('Armes'!$E$7:$E$7,"P0")</x:f>
        <x:v>0</x:v>
      </x:c>
    </x:row>
    <x:row r="25" ht="22" customHeight="1">
      <x:c r="A25" s="2" t="str">
        <x:v>Armures et équipement</x:v>
      </x:c>
      <x:c r="B25" s="40" t="n">
        <x:f>COUNTA('Armures_equipement'!$A$7:$A$9)</x:f>
        <x:v>3</x:v>
      </x:c>
      <x:c r="C25" s="40" t="n">
        <x:f>COUNTIFS('Armures_equipement'!$C$7:$C$9,"Défini")</x:f>
        <x:v>3</x:v>
      </x:c>
      <x:c r="D25" s="40" t="n">
        <x:f>COUNTIFS('Armures_equipement'!$C$7:$C$9,"Prototype")</x:f>
        <x:v>0</x:v>
      </x:c>
      <x:c r="E25" s="40" t="n">
        <x:f>COUNTIFS('Armures_equipement'!$C$7:$C$9,"Intégré")</x:f>
        <x:v>0</x:v>
      </x:c>
      <x:c r="F25" s="40" t="n">
        <x:f>COUNTIFS('Armures_equipement'!$C$7:$C$9,"Validé")</x:f>
        <x:v>0</x:v>
      </x:c>
      <x:c r="G25" s="40" t="n">
        <x:f>COUNTIFS('Armures_equipement'!$D$7:$D$9,"Établi")</x:f>
        <x:v>3</x:v>
      </x:c>
      <x:c r="H25" s="40" t="n">
        <x:f>COUNTIFS('Armures_equipement'!$D$7:$D$9,"À vérifier")</x:f>
        <x:v>0</x:v>
      </x:c>
      <x:c r="I25" s="40" t="n">
        <x:f>COUNTIFS('Armures_equipement'!$D$7:$D$9,"Extrapolation")</x:f>
        <x:v>0</x:v>
      </x:c>
      <x:c r="J25" s="40" t="n">
        <x:f>COUNTIFS('Armures_equipement'!$D$7:$D$9,"Coupé attesté")</x:f>
        <x:v>0</x:v>
      </x:c>
      <x:c r="K25" s="40" t="n">
        <x:f>COUNTIFS('Armures_equipement'!$D$7:$D$9,"Concept abandonné")</x:f>
        <x:v>0</x:v>
      </x:c>
      <x:c r="L25" s="40" t="n">
        <x:f>COUNTIFS('Armures_equipement'!$D$7:$D$9,"Allégation écartée")</x:f>
        <x:v>0</x:v>
      </x:c>
      <x:c r="M25" s="40" t="n">
        <x:f>COUNTIFS('Armures_equipement'!$E$7:$E$9,"P0")</x:f>
        <x:v>0</x:v>
      </x:c>
    </x:row>
    <x:row r="26" ht="22" customHeight="1">
      <x:c r="A26" s="35" t="str">
        <x:v>Pouvoirs</x:v>
      </x:c>
      <x:c r="B26" s="39" t="n">
        <x:f>COUNTA('Pouvoirs'!$A$7:$A$8)</x:f>
        <x:v>2</x:v>
      </x:c>
      <x:c r="C26" s="39" t="n">
        <x:f>COUNTIFS('Pouvoirs'!$C$7:$C$8,"Défini")</x:f>
        <x:v>2</x:v>
      </x:c>
      <x:c r="D26" s="39" t="n">
        <x:f>COUNTIFS('Pouvoirs'!$C$7:$C$8,"Prototype")</x:f>
        <x:v>0</x:v>
      </x:c>
      <x:c r="E26" s="39" t="n">
        <x:f>COUNTIFS('Pouvoirs'!$C$7:$C$8,"Intégré")</x:f>
        <x:v>0</x:v>
      </x:c>
      <x:c r="F26" s="39" t="n">
        <x:f>COUNTIFS('Pouvoirs'!$C$7:$C$8,"Validé")</x:f>
        <x:v>0</x:v>
      </x:c>
      <x:c r="G26" s="39" t="n">
        <x:f>COUNTIFS('Pouvoirs'!$D$7:$D$8,"Établi")</x:f>
        <x:v>2</x:v>
      </x:c>
      <x:c r="H26" s="39" t="n">
        <x:f>COUNTIFS('Pouvoirs'!$D$7:$D$8,"À vérifier")</x:f>
        <x:v>0</x:v>
      </x:c>
      <x:c r="I26" s="39" t="n">
        <x:f>COUNTIFS('Pouvoirs'!$D$7:$D$8,"Extrapolation")</x:f>
        <x:v>0</x:v>
      </x:c>
      <x:c r="J26" s="39" t="n">
        <x:f>COUNTIFS('Pouvoirs'!$D$7:$D$8,"Coupé attesté")</x:f>
        <x:v>0</x:v>
      </x:c>
      <x:c r="K26" s="39" t="n">
        <x:f>COUNTIFS('Pouvoirs'!$D$7:$D$8,"Concept abandonné")</x:f>
        <x:v>0</x:v>
      </x:c>
      <x:c r="L26" s="39" t="n">
        <x:f>COUNTIFS('Pouvoirs'!$D$7:$D$8,"Allégation écartée")</x:f>
        <x:v>0</x:v>
      </x:c>
      <x:c r="M26" s="39" t="n">
        <x:f>COUNTIFS('Pouvoirs'!$E$7:$E$8,"P0")</x:f>
        <x:v>0</x:v>
      </x:c>
    </x:row>
    <x:row r="27" ht="22" customHeight="1">
      <x:c r="A27" s="2" t="str">
        <x:v>Movesets alliés</x:v>
      </x:c>
      <x:c r="B27" s="40" t="n">
        <x:f>COUNTA('Movesets_allies'!$A$7:$A$12)</x:f>
        <x:v>6</x:v>
      </x:c>
      <x:c r="C27" s="40" t="n">
        <x:f>COUNTIFS('Movesets_allies'!$C$7:$C$12,"Défini")</x:f>
        <x:v>6</x:v>
      </x:c>
      <x:c r="D27" s="40" t="n">
        <x:f>COUNTIFS('Movesets_allies'!$C$7:$C$12,"Prototype")</x:f>
        <x:v>0</x:v>
      </x:c>
      <x:c r="E27" s="40" t="n">
        <x:f>COUNTIFS('Movesets_allies'!$C$7:$C$12,"Intégré")</x:f>
        <x:v>0</x:v>
      </x:c>
      <x:c r="F27" s="40" t="n">
        <x:f>COUNTIFS('Movesets_allies'!$C$7:$C$12,"Validé")</x:f>
        <x:v>0</x:v>
      </x:c>
      <x:c r="G27" s="40" t="n">
        <x:f>COUNTIFS('Movesets_allies'!$D$7:$D$12,"Établi")</x:f>
        <x:v>0</x:v>
      </x:c>
      <x:c r="H27" s="40" t="n">
        <x:f>COUNTIFS('Movesets_allies'!$D$7:$D$12,"À vérifier")</x:f>
        <x:v>0</x:v>
      </x:c>
      <x:c r="I27" s="40" t="n">
        <x:f>COUNTIFS('Movesets_allies'!$D$7:$D$12,"Extrapolation")</x:f>
        <x:v>6</x:v>
      </x:c>
      <x:c r="J27" s="40" t="n">
        <x:f>COUNTIFS('Movesets_allies'!$D$7:$D$12,"Coupé attesté")</x:f>
        <x:v>0</x:v>
      </x:c>
      <x:c r="K27" s="40" t="n">
        <x:f>COUNTIFS('Movesets_allies'!$D$7:$D$12,"Concept abandonné")</x:f>
        <x:v>0</x:v>
      </x:c>
      <x:c r="L27" s="40" t="n">
        <x:f>COUNTIFS('Movesets_allies'!$D$7:$D$12,"Allégation écartée")</x:f>
        <x:v>0</x:v>
      </x:c>
      <x:c r="M27" s="40" t="n">
        <x:f>COUNTIFS('Movesets_allies'!$E$7:$E$12,"P0")</x:f>
        <x:v>0</x:v>
      </x:c>
    </x:row>
    <x:row r="28" ht="22" customHeight="1">
      <x:c r="A28" s="35" t="str">
        <x:v>Movesets ennemis</x:v>
      </x:c>
      <x:c r="B28" s="39" t="n">
        <x:f>COUNTA('Movesets_ennemis'!$A$7:$A$10)</x:f>
        <x:v>4</x:v>
      </x:c>
      <x:c r="C28" s="39" t="n">
        <x:f>COUNTIFS('Movesets_ennemis'!$C$7:$C$10,"Défini")</x:f>
        <x:v>4</x:v>
      </x:c>
      <x:c r="D28" s="39" t="n">
        <x:f>COUNTIFS('Movesets_ennemis'!$C$7:$C$10,"Prototype")</x:f>
        <x:v>0</x:v>
      </x:c>
      <x:c r="E28" s="39" t="n">
        <x:f>COUNTIFS('Movesets_ennemis'!$C$7:$C$10,"Intégré")</x:f>
        <x:v>0</x:v>
      </x:c>
      <x:c r="F28" s="39" t="n">
        <x:f>COUNTIFS('Movesets_ennemis'!$C$7:$C$10,"Validé")</x:f>
        <x:v>0</x:v>
      </x:c>
      <x:c r="G28" s="39" t="n">
        <x:f>COUNTIFS('Movesets_ennemis'!$D$7:$D$10,"Établi")</x:f>
        <x:v>0</x:v>
      </x:c>
      <x:c r="H28" s="39" t="n">
        <x:f>COUNTIFS('Movesets_ennemis'!$D$7:$D$10,"À vérifier")</x:f>
        <x:v>0</x:v>
      </x:c>
      <x:c r="I28" s="39" t="n">
        <x:f>COUNTIFS('Movesets_ennemis'!$D$7:$D$10,"Extrapolation")</x:f>
        <x:v>4</x:v>
      </x:c>
      <x:c r="J28" s="39" t="n">
        <x:f>COUNTIFS('Movesets_ennemis'!$D$7:$D$10,"Coupé attesté")</x:f>
        <x:v>0</x:v>
      </x:c>
      <x:c r="K28" s="39" t="n">
        <x:f>COUNTIFS('Movesets_ennemis'!$D$7:$D$10,"Concept abandonné")</x:f>
        <x:v>0</x:v>
      </x:c>
      <x:c r="L28" s="39" t="n">
        <x:f>COUNTIFS('Movesets_ennemis'!$D$7:$D$10,"Allégation écartée")</x:f>
        <x:v>0</x:v>
      </x:c>
      <x:c r="M28" s="39" t="n">
        <x:f>COUNTIFS('Movesets_ennemis'!$E$7:$E$10,"P0")</x:f>
        <x:v>0</x:v>
      </x:c>
    </x:row>
    <x:row r="29" ht="22" customHeight="1">
      <x:c r="A29" s="2" t="str">
        <x:v>Animations</x:v>
      </x:c>
      <x:c r="B29" s="40" t="n">
        <x:f>COUNTA('Animations'!$A$7:$A$16)</x:f>
        <x:v>10</x:v>
      </x:c>
      <x:c r="C29" s="40" t="n">
        <x:f>COUNTIFS('Animations'!$C$7:$C$16,"Défini")</x:f>
        <x:v>10</x:v>
      </x:c>
      <x:c r="D29" s="40" t="n">
        <x:f>COUNTIFS('Animations'!$C$7:$C$16,"Prototype")</x:f>
        <x:v>0</x:v>
      </x:c>
      <x:c r="E29" s="40" t="n">
        <x:f>COUNTIFS('Animations'!$C$7:$C$16,"Intégré")</x:f>
        <x:v>0</x:v>
      </x:c>
      <x:c r="F29" s="40" t="n">
        <x:f>COUNTIFS('Animations'!$C$7:$C$16,"Validé")</x:f>
        <x:v>0</x:v>
      </x:c>
      <x:c r="G29" s="40" t="n">
        <x:f>COUNTIFS('Animations'!$D$7:$D$16,"Établi")</x:f>
        <x:v>0</x:v>
      </x:c>
      <x:c r="H29" s="40" t="n">
        <x:f>COUNTIFS('Animations'!$D$7:$D$16,"À vérifier")</x:f>
        <x:v>0</x:v>
      </x:c>
      <x:c r="I29" s="40" t="n">
        <x:f>COUNTIFS('Animations'!$D$7:$D$16,"Extrapolation")</x:f>
        <x:v>10</x:v>
      </x:c>
      <x:c r="J29" s="40" t="n">
        <x:f>COUNTIFS('Animations'!$D$7:$D$16,"Coupé attesté")</x:f>
        <x:v>0</x:v>
      </x:c>
      <x:c r="K29" s="40" t="n">
        <x:f>COUNTIFS('Animations'!$D$7:$D$16,"Concept abandonné")</x:f>
        <x:v>0</x:v>
      </x:c>
      <x:c r="L29" s="40" t="n">
        <x:f>COUNTIFS('Animations'!$D$7:$D$16,"Allégation écartée")</x:f>
        <x:v>0</x:v>
      </x:c>
      <x:c r="M29" s="40" t="n">
        <x:f>COUNTIFS('Animations'!$E$7:$E$16,"P0")</x:f>
        <x:v>0</x:v>
      </x:c>
    </x:row>
    <x:row r="30" ht="22" customHeight="1">
      <x:c r="A30" s="35" t="str">
        <x:v>Sprites</x:v>
      </x:c>
      <x:c r="B30" s="39" t="n">
        <x:f>COUNTA('Sprites'!$A$7:$A$16)</x:f>
        <x:v>10</x:v>
      </x:c>
      <x:c r="C30" s="39" t="n">
        <x:f>COUNTIFS('Sprites'!$C$7:$C$16,"Défini")</x:f>
        <x:v>10</x:v>
      </x:c>
      <x:c r="D30" s="39" t="n">
        <x:f>COUNTIFS('Sprites'!$C$7:$C$16,"Prototype")</x:f>
        <x:v>0</x:v>
      </x:c>
      <x:c r="E30" s="39" t="n">
        <x:f>COUNTIFS('Sprites'!$C$7:$C$16,"Intégré")</x:f>
        <x:v>0</x:v>
      </x:c>
      <x:c r="F30" s="39" t="n">
        <x:f>COUNTIFS('Sprites'!$C$7:$C$16,"Validé")</x:f>
        <x:v>0</x:v>
      </x:c>
      <x:c r="G30" s="39" t="n">
        <x:f>COUNTIFS('Sprites'!$D$7:$D$16,"Établi")</x:f>
        <x:v>0</x:v>
      </x:c>
      <x:c r="H30" s="39" t="n">
        <x:f>COUNTIFS('Sprites'!$D$7:$D$16,"À vérifier")</x:f>
        <x:v>0</x:v>
      </x:c>
      <x:c r="I30" s="39" t="n">
        <x:f>COUNTIFS('Sprites'!$D$7:$D$16,"Extrapolation")</x:f>
        <x:v>10</x:v>
      </x:c>
      <x:c r="J30" s="39" t="n">
        <x:f>COUNTIFS('Sprites'!$D$7:$D$16,"Coupé attesté")</x:f>
        <x:v>0</x:v>
      </x:c>
      <x:c r="K30" s="39" t="n">
        <x:f>COUNTIFS('Sprites'!$D$7:$D$16,"Concept abandonné")</x:f>
        <x:v>0</x:v>
      </x:c>
      <x:c r="L30" s="39" t="n">
        <x:f>COUNTIFS('Sprites'!$D$7:$D$16,"Allégation écartée")</x:f>
        <x:v>0</x:v>
      </x:c>
      <x:c r="M30" s="39" t="n">
        <x:f>COUNTIFS('Sprites'!$E$7:$E$16,"P0")</x:f>
        <x:v>0</x:v>
      </x:c>
    </x:row>
    <x:row r="31" ht="22" customHeight="1">
      <x:c r="A31" s="2" t="str">
        <x:v>VFX</x:v>
      </x:c>
      <x:c r="B31" s="40" t="n">
        <x:f>COUNTA('VFX'!$A$7:$A$10)</x:f>
        <x:v>4</x:v>
      </x:c>
      <x:c r="C31" s="40" t="n">
        <x:f>COUNTIFS('VFX'!$C$7:$C$10,"Défini")</x:f>
        <x:v>4</x:v>
      </x:c>
      <x:c r="D31" s="40" t="n">
        <x:f>COUNTIFS('VFX'!$C$7:$C$10,"Prototype")</x:f>
        <x:v>0</x:v>
      </x:c>
      <x:c r="E31" s="40" t="n">
        <x:f>COUNTIFS('VFX'!$C$7:$C$10,"Intégré")</x:f>
        <x:v>0</x:v>
      </x:c>
      <x:c r="F31" s="40" t="n">
        <x:f>COUNTIFS('VFX'!$C$7:$C$10,"Validé")</x:f>
        <x:v>0</x:v>
      </x:c>
      <x:c r="G31" s="40" t="n">
        <x:f>COUNTIFS('VFX'!$D$7:$D$10,"Établi")</x:f>
        <x:v>0</x:v>
      </x:c>
      <x:c r="H31" s="40" t="n">
        <x:f>COUNTIFS('VFX'!$D$7:$D$10,"À vérifier")</x:f>
        <x:v>0</x:v>
      </x:c>
      <x:c r="I31" s="40" t="n">
        <x:f>COUNTIFS('VFX'!$D$7:$D$10,"Extrapolation")</x:f>
        <x:v>4</x:v>
      </x:c>
      <x:c r="J31" s="40" t="n">
        <x:f>COUNTIFS('VFX'!$D$7:$D$10,"Coupé attesté")</x:f>
        <x:v>0</x:v>
      </x:c>
      <x:c r="K31" s="40" t="n">
        <x:f>COUNTIFS('VFX'!$D$7:$D$10,"Concept abandonné")</x:f>
        <x:v>0</x:v>
      </x:c>
      <x:c r="L31" s="40" t="n">
        <x:f>COUNTIFS('VFX'!$D$7:$D$10,"Allégation écartée")</x:f>
        <x:v>0</x:v>
      </x:c>
      <x:c r="M31" s="40" t="n">
        <x:f>COUNTIFS('VFX'!$E$7:$E$10,"P0")</x:f>
        <x:v>0</x:v>
      </x:c>
    </x:row>
    <x:row r="32" ht="22" customHeight="1">
      <x:c r="A32" s="35" t="str">
        <x:v>Audio</x:v>
      </x:c>
      <x:c r="B32" s="39" t="n">
        <x:f>COUNTA('Audio'!$A$7:$A$11)</x:f>
        <x:v>5</x:v>
      </x:c>
      <x:c r="C32" s="39" t="n">
        <x:f>COUNTIFS('Audio'!$C$7:$C$11,"Défini")</x:f>
        <x:v>5</x:v>
      </x:c>
      <x:c r="D32" s="39" t="n">
        <x:f>COUNTIFS('Audio'!$C$7:$C$11,"Prototype")</x:f>
        <x:v>0</x:v>
      </x:c>
      <x:c r="E32" s="39" t="n">
        <x:f>COUNTIFS('Audio'!$C$7:$C$11,"Intégré")</x:f>
        <x:v>0</x:v>
      </x:c>
      <x:c r="F32" s="39" t="n">
        <x:f>COUNTIFS('Audio'!$C$7:$C$11,"Validé")</x:f>
        <x:v>0</x:v>
      </x:c>
      <x:c r="G32" s="39" t="n">
        <x:f>COUNTIFS('Audio'!$D$7:$D$11,"Établi")</x:f>
        <x:v>0</x:v>
      </x:c>
      <x:c r="H32" s="39" t="n">
        <x:f>COUNTIFS('Audio'!$D$7:$D$11,"À vérifier")</x:f>
        <x:v>0</x:v>
      </x:c>
      <x:c r="I32" s="39" t="n">
        <x:f>COUNTIFS('Audio'!$D$7:$D$11,"Extrapolation")</x:f>
        <x:v>5</x:v>
      </x:c>
      <x:c r="J32" s="39" t="n">
        <x:f>COUNTIFS('Audio'!$D$7:$D$11,"Coupé attesté")</x:f>
        <x:v>0</x:v>
      </x:c>
      <x:c r="K32" s="39" t="n">
        <x:f>COUNTIFS('Audio'!$D$7:$D$11,"Concept abandonné")</x:f>
        <x:v>0</x:v>
      </x:c>
      <x:c r="L32" s="39" t="n">
        <x:f>COUNTIFS('Audio'!$D$7:$D$11,"Allégation écartée")</x:f>
        <x:v>0</x:v>
      </x:c>
      <x:c r="M32" s="39" t="n">
        <x:f>COUNTIFS('Audio'!$E$7:$E$11,"P0")</x:f>
        <x:v>0</x:v>
      </x:c>
    </x:row>
    <x:row r="33" ht="22" customHeight="1">
      <x:c r="A33" s="2" t="str">
        <x:v>Systèmes et UI</x:v>
      </x:c>
      <x:c r="B33" s="40" t="n">
        <x:f>COUNTA('UI_systemes'!$A$7:$A$14)</x:f>
        <x:v>8</x:v>
      </x:c>
      <x:c r="C33" s="40" t="n">
        <x:f>COUNTIFS('UI_systemes'!$C$7:$C$14,"Défini")</x:f>
        <x:v>8</x:v>
      </x:c>
      <x:c r="D33" s="40" t="n">
        <x:f>COUNTIFS('UI_systemes'!$C$7:$C$14,"Prototype")</x:f>
        <x:v>0</x:v>
      </x:c>
      <x:c r="E33" s="40" t="n">
        <x:f>COUNTIFS('UI_systemes'!$C$7:$C$14,"Intégré")</x:f>
        <x:v>0</x:v>
      </x:c>
      <x:c r="F33" s="40" t="n">
        <x:f>COUNTIFS('UI_systemes'!$C$7:$C$14,"Validé")</x:f>
        <x:v>0</x:v>
      </x:c>
      <x:c r="G33" s="40" t="n">
        <x:f>COUNTIFS('UI_systemes'!$D$7:$D$14,"Établi")</x:f>
        <x:v>0</x:v>
      </x:c>
      <x:c r="H33" s="40" t="n">
        <x:f>COUNTIFS('UI_systemes'!$D$7:$D$14,"À vérifier")</x:f>
        <x:v>0</x:v>
      </x:c>
      <x:c r="I33" s="40" t="n">
        <x:f>COUNTIFS('UI_systemes'!$D$7:$D$14,"Extrapolation")</x:f>
        <x:v>8</x:v>
      </x:c>
      <x:c r="J33" s="40" t="n">
        <x:f>COUNTIFS('UI_systemes'!$D$7:$D$14,"Coupé attesté")</x:f>
        <x:v>0</x:v>
      </x:c>
      <x:c r="K33" s="40" t="n">
        <x:f>COUNTIFS('UI_systemes'!$D$7:$D$14,"Concept abandonné")</x:f>
        <x:v>0</x:v>
      </x:c>
      <x:c r="L33" s="40" t="n">
        <x:f>COUNTIFS('UI_systemes'!$D$7:$D$14,"Allégation écartée")</x:f>
        <x:v>0</x:v>
      </x:c>
      <x:c r="M33" s="40" t="n">
        <x:f>COUNTIFS('UI_systemes'!$E$7:$E$14,"P0")</x:f>
        <x:v>2</x:v>
      </x:c>
    </x:row>
    <x:row r="34" ht="22" customHeight="1">
      <x:c r="A34" s="35" t="str">
        <x:v>QA</x:v>
      </x:c>
      <x:c r="B34" s="39" t="n">
        <x:f>COUNTA('QA'!$A$7:$A$18)</x:f>
        <x:v>12</x:v>
      </x:c>
      <x:c r="C34" s="39" t="n">
        <x:f>COUNTIFS('QA'!$C$7:$C$18,"Défini")</x:f>
        <x:v>12</x:v>
      </x:c>
      <x:c r="D34" s="39" t="n">
        <x:f>COUNTIFS('QA'!$C$7:$C$18,"Prototype")</x:f>
        <x:v>0</x:v>
      </x:c>
      <x:c r="E34" s="39" t="n">
        <x:f>COUNTIFS('QA'!$C$7:$C$18,"Intégré")</x:f>
        <x:v>0</x:v>
      </x:c>
      <x:c r="F34" s="39" t="n">
        <x:f>COUNTIFS('QA'!$C$7:$C$18,"Validé")</x:f>
        <x:v>0</x:v>
      </x:c>
      <x:c r="G34" s="39" t="n">
        <x:f>COUNTIFS('QA'!$D$7:$D$18,"Établi")</x:f>
        <x:v>0</x:v>
      </x:c>
      <x:c r="H34" s="39" t="n">
        <x:f>COUNTIFS('QA'!$D$7:$D$18,"À vérifier")</x:f>
        <x:v>0</x:v>
      </x:c>
      <x:c r="I34" s="39" t="n">
        <x:f>COUNTIFS('QA'!$D$7:$D$18,"Extrapolation")</x:f>
        <x:v>12</x:v>
      </x:c>
      <x:c r="J34" s="39" t="n">
        <x:f>COUNTIFS('QA'!$D$7:$D$18,"Coupé attesté")</x:f>
        <x:v>0</x:v>
      </x:c>
      <x:c r="K34" s="39" t="n">
        <x:f>COUNTIFS('QA'!$D$7:$D$18,"Concept abandonné")</x:f>
        <x:v>0</x:v>
      </x:c>
      <x:c r="L34" s="39" t="n">
        <x:f>COUNTIFS('QA'!$D$7:$D$18,"Allégation écartée")</x:f>
        <x:v>0</x:v>
      </x:c>
      <x:c r="M34" s="39" t="n">
        <x:f>COUNTIFS('QA'!$E$7:$E$18,"P0")</x:f>
        <x:v>3</x:v>
      </x:c>
    </x:row>
    <x:row r="35" ht="22" customHeight="1">
      <x:c r="A35" s="2" t="str">
        <x:v>Continuité</x:v>
      </x:c>
      <x:c r="B35" s="40" t="n">
        <x:f>COUNTA('Continuite'!$A$7:$A$13)</x:f>
        <x:v>7</x:v>
      </x:c>
      <x:c r="C35" s="40" t="n">
        <x:f>COUNTIFS('Continuite'!$C$7:$C$13,"Défini")</x:f>
        <x:v>7</x:v>
      </x:c>
      <x:c r="D35" s="40" t="n">
        <x:f>COUNTIFS('Continuite'!$C$7:$C$13,"Prototype")</x:f>
        <x:v>0</x:v>
      </x:c>
      <x:c r="E35" s="40" t="n">
        <x:f>COUNTIFS('Continuite'!$C$7:$C$13,"Intégré")</x:f>
        <x:v>0</x:v>
      </x:c>
      <x:c r="F35" s="40" t="n">
        <x:f>COUNTIFS('Continuite'!$C$7:$C$13,"Validé")</x:f>
        <x:v>0</x:v>
      </x:c>
      <x:c r="G35" s="40" t="n">
        <x:f>COUNTIFS('Continuite'!$D$7:$D$13,"Établi")</x:f>
        <x:v>5</x:v>
      </x:c>
      <x:c r="H35" s="40" t="n">
        <x:f>COUNTIFS('Continuite'!$D$7:$D$13,"À vérifier")</x:f>
        <x:v>1</x:v>
      </x:c>
      <x:c r="I35" s="40" t="n">
        <x:f>COUNTIFS('Continuite'!$D$7:$D$13,"Extrapolation")</x:f>
        <x:v>1</x:v>
      </x:c>
      <x:c r="J35" s="40" t="n">
        <x:f>COUNTIFS('Continuite'!$D$7:$D$13,"Coupé attesté")</x:f>
        <x:v>0</x:v>
      </x:c>
      <x:c r="K35" s="40" t="n">
        <x:f>COUNTIFS('Continuite'!$D$7:$D$13,"Concept abandonné")</x:f>
        <x:v>0</x:v>
      </x:c>
      <x:c r="L35" s="40" t="n">
        <x:f>COUNTIFS('Continuite'!$D$7:$D$13,"Allégation écartée")</x:f>
        <x:v>0</x:v>
      </x:c>
      <x:c r="M35" s="40" t="n">
        <x:f>COUNTIFS('Continuite'!$E$7:$E$13,"P0")</x:f>
        <x:v>7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158</x:v>
      </x:c>
      <x:c r="C37" s="41" t="n">
        <x:f>SUM(C10:C35)</x:f>
        <x:v>158</x:v>
      </x:c>
      <x:c r="D37" s="41" t="n">
        <x:f>SUM(D10:D35)</x:f>
        <x:v>0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27</x:v>
      </x:c>
      <x:c r="H37" s="41" t="n">
        <x:f>SUM(H10:H35)</x:f>
        <x:v>1</x:v>
      </x:c>
      <x:c r="I37" s="41" t="n">
        <x:f>SUM(I10:I35)</x:f>
        <x:v>130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20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ASC-CHR-KAHLEE</x:v>
      </x:c>
      <x:c r="B7" s="9" t="str">
        <x:v>Kahlee Sanders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Scientifique du projet Ascension, elle cherche à protéger Gillian.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actor.asc.kahlee ; rôle de référence : équipier.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ASC-SRC-PUB</x:v>
      </x:c>
      <x:c r="R7" s="20" t="str">
        <x:v>https://www.penguinrandomhouse.com/books/89888/mass-effect-ascension-by-drew-karpyshyn/paperback/</x:v>
      </x:c>
      <x:c r="S7" s="20" t="str">
        <x:v>Le costume proposé dans les fiches de production n’est pas un modèle officiel.</x:v>
      </x:c>
    </x:row>
    <x:row r="8" ht="68" customHeight="1">
      <x:c r="A8" s="19" t="str">
        <x:v>ASC-CHR-GILLIAN</x:v>
      </x:c>
      <x:c r="B8" s="7" t="str">
        <x:v>Gillian Grayson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Enfant biotique de douze ans dans Ascension.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actor.asc.gillian ; rôle de référence : équipier.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ASC-SRC-PUB</x:v>
      </x:c>
      <x:c r="R8" s="21" t="str">
        <x:v>https://www.penguinrandomhouse.com/books/89888/mass-effect-ascension-by-drew-karpyshyn/paperback/</x:v>
      </x:c>
      <x:c r="S8" s="21" t="str">
        <x:v>Le costume proposé dans les fiches de production n’est pas un modèle officiel.</x:v>
      </x:c>
    </x:row>
    <x:row r="9" ht="68" customHeight="1">
      <x:c r="A9" s="18" t="str">
        <x:v>ASC-CHR-HENDEL</x:v>
      </x:c>
      <x:c r="B9" s="9" t="str">
        <x:v>Hendel Mitra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 soldat et chef de la sécurité du projet, doté de biotique.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actor.asc.hendel ; rôle de référence : équipier.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20" t="str">
        <x:v>https://masseffect.fandom.com/wiki/Hendel_Mitra</x:v>
      </x:c>
      <x:c r="S9" s="20" t="str">
        <x:v>Le costume proposé dans les fiches de production n’est pas un modèle officiel.</x:v>
      </x:c>
    </x:row>
    <x:row r="10" ht="68" customHeight="1">
      <x:c r="A10" s="19" t="str">
        <x:v>ASC-CHR-LEMM</x:v>
      </x:c>
      <x:c r="B10" s="7" t="str">
        <x:v>Lemm’Shal nar Tesleya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Jeune Quarien qui aide Kahlee, Gillian et Hendel à fuir.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actor.asc.lemm ; rôle de référence : équipier.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ASC-SRC-LEMM</x:v>
      </x:c>
      <x:c r="R10" s="21" t="str">
        <x:v>https://masseffect.fandom.com/wiki/Lemm%27Shal_nar_Tesleya</x:v>
      </x:c>
      <x:c r="S10" s="21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3b31accc9a46f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ASC-CHR-PAUL</x:v>
      </x:c>
      <x:c r="B7" s="9" t="str">
        <x:v>Paul Grayson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Père adoptif de Gillian et agent de Cerberus.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actor.asc.paul ; rôle de référence : interlocuteur.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ASC-SRC-GIL</x:v>
      </x:c>
      <x:c r="R7" s="20" t="str">
        <x:v>https://masseffect.fandom.com/wiki/Gillian_Grayson</x:v>
      </x:c>
      <x:c r="S7" s="20" t="str">
        <x:v>Le costume proposé dans les fiches de production n’est pas un modèle officiel.</x:v>
      </x:c>
    </x:row>
    <x:row r="8" ht="68" customHeight="1">
      <x:c r="A8" s="19" t="str">
        <x:v>ASC-CHR-GOLO</x:v>
      </x:c>
      <x:c r="B8" s="7" t="str">
        <x:v>Golo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Quarien exilé installé sur Omega et contact de Cerberus.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actor.asc.golo ; rôle de référence : adversaire.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ASC-SRC-GOLO</x:v>
      </x:c>
      <x:c r="R8" s="21" t="str">
        <x:v>https://masseffect.fandom.com/wiki/Golo</x:v>
      </x:c>
      <x:c r="S8" s="21" t="str">
        <x:v>Le costume proposé dans les fiches de production n’est pas un modèle officiel.</x:v>
      </x:c>
    </x:row>
    <x:row r="9" ht="68" customHeight="1">
      <x:c r="A9" s="18" t="str">
        <x:v>ASC-CHR-PEL</x:v>
      </x:c>
      <x:c r="B9" s="9" t="str">
        <x:v>Pel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Agent de Cerberus lié à la capture du groupe sur Omega.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actor.asc.pel ; rôle de référence : adversaire.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20" t="str">
        <x:v>https://masseffect.fandom.com/wiki/Hendel_Mitra</x:v>
      </x:c>
      <x:c r="S9" s="20" t="str">
        <x:v>Le costume proposé dans les fiches de production n’est pas un modèle officiel.</x:v>
      </x:c>
    </x:row>
    <x:row r="10" ht="68" customHeight="1">
      <x:c r="A10" s="19" t="str">
        <x:v>ASC-CHR-JIRO</x:v>
      </x:c>
      <x:c r="B10" s="7" t="str">
        <x:v>Jiro Toshiwa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Médecin infiltré de Cerberus au projet Ascension.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actor.asc.jiro ; rôle de référence : interlocuteur.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ASC-SRC-HEN</x:v>
      </x:c>
      <x:c r="R10" s="21" t="str">
        <x:v>https://masseffect.fandom.com/wiki/Hendel_Mitra</x:v>
      </x:c>
      <x:c r="S10" s="21" t="str">
        <x:v>Le costume proposé dans les fiches de production n’est pas un modèle officiel.</x:v>
      </x:c>
    </x:row>
    <x:row r="11" ht="68" customHeight="1">
      <x:c r="A11" s="18" t="str">
        <x:v>ASC-CHR-NICK</x:v>
      </x:c>
      <x:c r="B11" s="9" t="str">
        <x:v>Nick Donahue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Élève biotique du projet Ascension.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actor.asc.nick ; rôle de référence : interlocuteur.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ASC-SRC-NICK</x:v>
      </x:c>
      <x:c r="R11" s="20" t="str">
        <x:v>https://masseffect.fandom.com/wiki/Nick_Donahue</x:v>
      </x:c>
      <x:c r="S11" s="20" t="str">
        <x:v>Le costume proposé dans les fiches de production n’est pas un modèle officiel.</x:v>
      </x:c>
    </x:row>
    <x:row r="12" ht="68" customHeight="1">
      <x:c r="A12" s="19" t="str">
        <x:v>ASC-CHR-MAL</x:v>
      </x:c>
      <x:c r="B12" s="7" t="str">
        <x:v>Ysin’Mal vas Idenna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l’Idenna, il prépare une mission d’exploration.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actor.asc.mal ; rôle de référence : interlocuteur.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ASC-SRC-MAL</x:v>
      </x:c>
      <x:c r="R12" s="21" t="str">
        <x:v>https://masseffect.fandom.com/wiki/Ysin%27Mal_vas_Idenna</x:v>
      </x:c>
      <x:c r="S12" s="21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ddfb61981243d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ASC-REF-FLEET</x:v>
      </x:c>
      <x:c r="B7" s="9" t="str">
        <x:v>Flotte nomade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Elle accueille Kahlee, Gillian et Hendel.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ref.asc.fleet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20" t="str">
        <x:v>https://masseffect.fandom.com/wiki/Hendel_Mitra</x:v>
      </x:c>
      <x:c r="S7" s="20" t="str">
        <x:v>Ce relevé n’est ni un inventaire exhaustif ni un résumé scène par scène.</x:v>
      </x:c>
    </x:row>
    <x:row r="8" ht="68" customHeight="1">
      <x:c r="A8" s="19" t="str">
        <x:v>ASC-REF-CERBERUS</x:v>
      </x:c>
      <x:c r="B8" s="7" t="str">
        <x:v>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L’organisation détourne le projet à travers des expériences clandestines.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ref.asc.cerberus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ASC-SRC-PUB</x:v>
      </x:c>
      <x:c r="R8" s="21" t="str">
        <x:v>https://www.penguinrandomhouse.com/books/89888/mass-effect-ascension-by-drew-karpyshyn/paperback/</x:v>
      </x:c>
      <x:c r="S8" s="21" t="str">
        <x:v>Ce relevé n’est ni un inventaire exhaustif ni un résumé scène par scène.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f468dadd5a4f0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ASC-REF-ACADEMY</x:v>
      </x:c>
      <x:c r="B7" s="9" t="str">
        <x:v>Académie Grissom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L’académie héberge le projet Ascension.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ref.asc.academy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ASC-SRC-GIL</x:v>
      </x:c>
      <x:c r="R7" s="20" t="str">
        <x:v>https://masseffect.fandom.com/wiki/Gillian_Grayson</x:v>
      </x:c>
      <x:c r="S7" s="20" t="str">
        <x:v>Ce relevé n’est ni un inventaire exhaustif ni un résumé scène par scène.</x:v>
      </x:c>
    </x:row>
    <x:row r="8" ht="68" customHeight="1">
      <x:c r="A8" s="19" t="str">
        <x:v>ASC-REF-OMEGA</x:v>
      </x:c>
      <x:c r="B8" s="7" t="str">
        <x:v>Omega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groupe y est retenu par Pel avant sa fuite.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ref.asc.omega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21" t="str">
        <x:v>https://masseffect.fandom.com/wiki/Hendel_Mitra</x:v>
      </x:c>
      <x:c r="S8" s="21" t="str">
        <x:v>Ce relevé n’est ni un inventaire exhaustif ni un résumé scène par scène.</x:v>
      </x:c>
    </x:row>
    <x:row r="9" ht="68" customHeight="1">
      <x:c r="A9" s="18" t="str">
        <x:v>ASC-REF-SHELBA</x:v>
      </x:c>
      <x:c r="B9" s="9" t="str">
        <x:v>Shelba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Le Cyniad y est attiré dans une 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ref.asc.shelba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ASC-SRC-HILO</x:v>
      </x:c>
      <x:c r="R9" s="20" t="str">
        <x:v>https://masseffect.fandom.com/wiki/Hilo%27Jaa_vas_Idenna</x:v>
      </x:c>
      <x:c r="S9" s="20" t="str">
        <x:v>Ce relevé n’est ni un inventaire exhaustif ni un résumé scène par scène.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00c215ee94459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ASC-MAP-ACADEMY</x:v>
      </x:c>
      <x:c r="B7" s="9" t="str">
        <x:v>Aile pédagogique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Aile pédagogique proposée. Le plan n’est pas fourni par la source.</x:v>
      </x:c>
      <x:c r="G7" s="9" t="str">
        <x:v>Décor 3D à caméra fixe et personnages sprites. Salle calme, atelier supervisé et couloir de liaison.</x:v>
      </x:c>
      <x:c r="H7" s="9" t="str">
        <x:v>Un exercice demande coordination et consentement avant activation. Les passages importants restent accessibles en mode pause tactique.</x:v>
      </x:c>
      <x:c r="I7" s="9" t="str">
        <x:v>Mobilier éducatif, repères de sécurité doux, tablettes individuelles.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Sons de vie quotidienne, ventilation et interfaces discrètes. Un signal directionnel accompagne le danger local, doublé par une icône.</x:v>
      </x:c>
      <x:c r="L7" s="9" t="str">
        <x:v>maps/asc/academy.scene ; navmesh, colliders, ancrages d’entrée et sorties nommés.</x:v>
      </x:c>
      <x:c r="M7" s="9" t="str">
        <x:v>Pas d’arène où les enfants gagnent des points par violence.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20" t="str"/>
      <x:c r="S7" s="20" t="str">
        <x:v>Dimensions, connexions et accessoires de cette carte sont des propositions originales.</x:v>
      </x:c>
    </x:row>
    <x:row r="8" ht="68" customHeight="1">
      <x:c r="A8" s="19" t="str">
        <x:v>ASC-MAP-MED</x:v>
      </x:c>
      <x:c r="B8" s="7" t="str">
        <x:v>Poste de suivi médical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suivi médical proposé. Le plan n’est pas fourni par la source.</x:v>
      </x:c>
      <x:c r="G8" s="7" t="str">
        <x:v>Décor 3D à caméra fixe et personnages sprites. Accueil, local de dossiers et porte vers l’atrium.</x:v>
      </x:c>
      <x:c r="H8" s="7" t="str">
        <x:v>Comparer des autorisations et non des dosages réels. Les passages importants restent accessibles en mode pause tactique.</x:v>
      </x:c>
      <x:c r="I8" s="7" t="str">
        <x:v>Écrans de monitoring abstraits, rangements fermés, blanc chaud.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Sons de vie quotidienne, ventilation et interfaces discrètes. Un signal directionnel accompagne le danger local, doublé par une icône.</x:v>
      </x:c>
      <x:c r="L8" s="7" t="str">
        <x:v>maps/asc/med.scene ; navmesh, colliders, ancrages d’entrée et sorties nommés.</x:v>
      </x:c>
      <x:c r="M8" s="7" t="str">
        <x:v>Enquête abstraite sans instructions médicales.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21" t="str"/>
      <x:c r="S8" s="21" t="str">
        <x:v>Dimensions, connexions et accessoires de cette carte sont des propositions originales.</x:v>
      </x:c>
    </x:row>
    <x:row r="9" ht="68" customHeight="1">
      <x:c r="A9" s="18" t="str">
        <x:v>ASC-MAP-OMEGA</x:v>
      </x:c>
      <x:c r="B9" s="9" t="str">
        <x:v>Coursives de marché sur Omega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Coursives de marché sur Omega. Le plan n’est pas fourni par la source.</x:v>
      </x:c>
      <x:c r="G9" s="9" t="str">
        <x:v>Décor 3D à caméra fixe et personnages sprites. Étal central, ruelle de service et accès vers un entrepôt.</x:v>
      </x:c>
      <x:c r="H9" s="9" t="str">
        <x:v>Surveillance et foule limitent les trajets de l’escorte. Les passages importants restent accessibles en mode pause tactique.</x:v>
      </x:c>
      <x:c r="I9" s="9" t="str">
        <x:v>Enseignes originales, saturation modérée, réseaux de tuyaux.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Sons de vie quotidienne, ventilation et interfaces discrètes. Un signal directionnel accompagne le danger local, doublé par une icône.</x:v>
      </x:c>
      <x:c r="L9" s="9" t="str">
        <x:v>maps/asc/omega.scene ; navmesh, colliders, ancrages d’entrée et sorties nommés.</x:v>
      </x:c>
      <x:c r="M9" s="9" t="str">
        <x:v>Aucune visite touristique exhaustive d’Omega prétendue.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20" t="str"/>
      <x:c r="S9" s="20" t="str">
        <x:v>Dimensions, connexions et accessoires de cette carte sont des propositions originales.</x:v>
      </x:c>
    </x:row>
    <x:row r="10" ht="68" customHeight="1">
      <x:c r="A10" s="19" t="str">
        <x:v>ASC-MAP-WAREHOUSE</x:v>
      </x:c>
      <x:c r="B10" s="7" t="str">
        <x:v>Dépendance d’entrepôt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Dépendance d’entrepôt proposée. Le plan n’est pas fourni par la source.</x:v>
      </x:c>
      <x:c r="G10" s="7" t="str">
        <x:v>Décor 3D à caméra fixe et personnages sprites. Cellule, passerelle et issue de maintenance.</x:v>
      </x:c>
      <x:c r="H10" s="7" t="str">
        <x:v>Le groupe doit synchroniser ouverture et détour de surveillance. Les passages importants restent accessibles en mode pause tactique.</x:v>
      </x:c>
      <x:c r="I10" s="7" t="str">
        <x:v>Conteneurs, éclairage asymétrique et portes à verrou distinct.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Sons de vie quotidienne, ventilation et interfaces discrètes. Un signal directionnel accompagne le danger local, doublé par une icône.</x:v>
      </x:c>
      <x:c r="L10" s="7" t="str">
        <x:v>maps/asc/warehouse.scene ; navmesh, colliders, ancrages d’entrée et sorties nommés.</x:v>
      </x:c>
      <x:c r="M10" s="7" t="str">
        <x:v>Les positions de cellule sont inventées pour le niveau.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21" t="str"/>
      <x:c r="S10" s="21" t="str">
        <x:v>Dimensions, connexions et accessoires de cette carte sont des propositions originales.</x:v>
      </x:c>
    </x:row>
    <x:row r="11" ht="68" customHeight="1">
      <x:c r="A11" s="18" t="str">
        <x:v>ASC-MAP-SHUTTLE</x:v>
      </x:c>
      <x:c r="B11" s="9" t="str">
        <x:v>Cabine de transit proposée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Cabine de transit proposée. Le plan n’est pas fourni par la source.</x:v>
      </x:c>
      <x:c r="G11" s="9" t="str">
        <x:v>Décor 3D à caméra fixe et personnages sprites. Couloir unique avec console, réserve et couchette.</x:v>
      </x:c>
      <x:c r="H11" s="9" t="str">
        <x:v>Une avarie locale limite les actions simultanées. Les passages importants restent accessibles en mode pause tactique.</x:v>
      </x:c>
      <x:c r="I11" s="9" t="str">
        <x:v>Petits volumes, éclairage calme, hublot de transit sans carte astronomique exacte.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Sons de vie quotidienne, ventilation et interfaces discrètes. Un signal directionnel accompagne le danger local, doublé par une icône.</x:v>
      </x:c>
      <x:c r="L11" s="9" t="str">
        <x:v>maps/asc/shuttle.scene ; navmesh, colliders, ancrages d’entrée et sorties nommés.</x:v>
      </x:c>
      <x:c r="M11" s="9" t="str">
        <x:v>Ne pas assimiler un transit spatial à une porte entre quartiers.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20" t="str"/>
      <x:c r="S11" s="20" t="str">
        <x:v>Dimensions, connexions et accessoires de cette carte sont des propositions originales.</x:v>
      </x:c>
    </x:row>
    <x:row r="12" ht="68" customHeight="1">
      <x:c r="A12" s="19" t="str">
        <x:v>ASC-MAP-QUARANTINE</x:v>
      </x:c>
      <x:c r="B12" s="7" t="str">
        <x:v>Sas d’accueil quarien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Sas d’accueil quarien proposé. Le plan n’est pas fourni par la source.</x:v>
      </x:c>
      <x:c r="G12" s="7" t="str">
        <x:v>Décor 3D à caméra fixe et personnages sprites. Deux chambres tampons et poste de contrôle externe.</x:v>
      </x:c>
      <x:c r="H12" s="7" t="str">
        <x:v>Respecter les états d’isolation avant passage. Les passages importants restent accessibles en mode pause tactique.</x:v>
      </x:c>
      <x:c r="I12" s="7" t="str">
        <x:v>Cloisons transparentes, filtration, signalétique par pictogrammes.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Sons de vie quotidienne, ventilation et interfaces discrètes. Un signal directionnel accompagne le danger local, doublé par une icône.</x:v>
      </x:c>
      <x:c r="L12" s="7" t="str">
        <x:v>maps/asc/quarantine.scene ; navmesh, colliders, ancrages d’entrée et sorties nommés.</x:v>
      </x:c>
      <x:c r="M12" s="7" t="str">
        <x:v>L’accueil n’efface pas les différences physiologiques.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21" t="str"/>
      <x:c r="S12" s="21" t="str">
        <x:v>Dimensions, connexions et accessoires de cette carte sont des propositions originales.</x:v>
      </x:c>
    </x:row>
    <x:row r="13" ht="68" customHeight="1">
      <x:c r="A13" s="18" t="str">
        <x:v>ASC-MAP-TRADE</x:v>
      </x:c>
      <x:c r="B13" s="9" t="str">
        <x:v>Pont d’échange de l’Idenna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Pont d’échange de l’Idenna proposé. Le plan n’est pas fourni par la source.</x:v>
      </x:c>
      <x:c r="G13" s="9" t="str">
        <x:v>Décor 3D à caméra fixe et personnages sprites. Axe central partagé et alcôves de matériel.</x:v>
      </x:c>
      <x:c r="H13" s="9" t="str">
        <x:v>Échanger une ressource locale selon les besoins de l’équipage. Les passages importants restent accessibles en mode pause tactique.</x:v>
      </x:c>
      <x:c r="I13" s="9" t="str">
        <x:v>Objets réparés, réemploi, cheminements compacts.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Sons de vie quotidienne, ventilation et interfaces discrètes. Un signal directionnel accompagne le danger local, doublé par une icône.</x:v>
      </x:c>
      <x:c r="L13" s="9" t="str">
        <x:v>maps/asc/trade.scene ; navmesh, colliders, ancrages d’entrée et sorties nommés.</x:v>
      </x:c>
      <x:c r="M13" s="9" t="str">
        <x:v>Ne pas réduire toute l’économie quarienne à un magasin à crédits.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20" t="str"/>
      <x:c r="S13" s="20" t="str">
        <x:v>Dimensions, connexions et accessoires de cette carte sont des propositions originales.</x:v>
      </x:c>
    </x:row>
    <x:row r="14" ht="68" customHeight="1">
      <x:c r="A14" s="19" t="str">
        <x:v>ASC-MAP-IDENNA</x:v>
      </x:c>
      <x:c r="B14" s="7" t="str">
        <x:v>Aire technique de l’Idenna proposée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Aire technique de l’Idenna proposée. Le plan n’est pas fourni par la source.</x:v>
      </x:c>
      <x:c r="G14" s="7" t="str">
        <x:v>Décor 3D à caméra fixe et personnages sprites. Salle de distribution, accès au quai et atelier de secours.</x:v>
      </x:c>
      <x:c r="H14" s="7" t="str">
        <x:v>Protéger les systèmes sans exposer les résidents. Les passages importants restent accessibles en mode pause tactique.</x:v>
      </x:c>
      <x:c r="I14" s="7" t="str">
        <x:v>Câbles accessibles, plaques réparées, signalétique de bord.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Sons de vie quotidienne, ventilation et interfaces discrètes. Un signal directionnel accompagne le danger local, doublé par une icône.</x:v>
      </x:c>
      <x:c r="L14" s="7" t="str">
        <x:v>maps/asc/idenna.scene ; navmesh, colliders, ancrages d’entrée et sorties nommés.</x:v>
      </x:c>
      <x:c r="M14" s="7" t="str">
        <x:v>La sortie rejoint le séjour de Gillian et Hendel sur l’Idenna.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21" t="str"/>
      <x:c r="S14" s="21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9884d4d0fb4ad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ASC-LNK-ACADEMY</x:v>
      </x:c>
      <x:c r="B7" s="9" t="str">
        <x:v>Aile pédagogique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Aile pédagogique proposée au bloc Poste de suivi médical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links/asc.json : academy -&gt; med; sauvegarde avant transit, restauration à un ancrage sûr.</x:v>
      </x:c>
      <x:c r="M7" s="9" t="str">
        <x:v>Pas d’arène où les enfants gagnent des points par violence.</x:v>
      </x:c>
      <x:c r="N7" s="9" t="str">
        <x:v>Le groupe arrive au bon ancrage après chargement ; aller-retour ne duplique ni objet ni dialogue.</x:v>
      </x:c>
      <x:c r="O7" s="9" t="str">
        <x:v>ASC-MAP-ACADEMY, ASC-MAP-MED</x:v>
      </x:c>
      <x:c r="P7" s="9" t="str"/>
      <x:c r="Q7" s="9" t="str"/>
      <x:c r="R7" s="20" t="str"/>
      <x:c r="S7" s="20" t="str">
        <x:v>Boucle de parcours de production ; la dernière liaison sert à la consultation post-module, pas à remonter le temps.</x:v>
      </x:c>
    </x:row>
    <x:row r="8" ht="54" customHeight="1">
      <x:c r="A8" s="19" t="str">
        <x:v>ASC-LNK-MED</x:v>
      </x:c>
      <x:c r="B8" s="7" t="str">
        <x:v>Poste de suivi médical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suivi médical proposé au bloc Coursives de marché sur Omega;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links/asc.json : med -&gt; omega; sauvegarde avant transit, restauration à un ancrage sûr.</x:v>
      </x:c>
      <x:c r="M8" s="7" t="str">
        <x:v>Enquête abstraite sans instructions médicales.</x:v>
      </x:c>
      <x:c r="N8" s="7" t="str">
        <x:v>Le groupe arrive au bon ancrage après chargement ; aller-retour ne duplique ni objet ni dialogue.</x:v>
      </x:c>
      <x:c r="O8" s="7" t="str">
        <x:v>ASC-MAP-MED, ASC-MAP-OMEGA</x:v>
      </x:c>
      <x:c r="P8" s="7" t="str"/>
      <x:c r="Q8" s="7" t="str"/>
      <x:c r="R8" s="21" t="str"/>
      <x:c r="S8" s="21" t="str">
        <x:v>Boucle de parcours de production ; la dernière liaison sert à la consultation post-module, pas à remonter le temps.</x:v>
      </x:c>
    </x:row>
    <x:row r="9" ht="54" customHeight="1">
      <x:c r="A9" s="18" t="str">
        <x:v>ASC-LNK-OMEGA</x:v>
      </x:c>
      <x:c r="B9" s="9" t="str">
        <x:v>Coursives de marché sur Omega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Coursives de marché sur Omega au bloc Dépendance d’entrepôt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links/asc.json : omega -&gt; warehouse; sauvegarde avant transit, restauration à un ancrage sûr.</x:v>
      </x:c>
      <x:c r="M9" s="9" t="str">
        <x:v>Aucune visite touristique exhaustive d’Omega prétendue.</x:v>
      </x:c>
      <x:c r="N9" s="9" t="str">
        <x:v>Le groupe arrive au bon ancrage après chargement ; aller-retour ne duplique ni objet ni dialogue.</x:v>
      </x:c>
      <x:c r="O9" s="9" t="str">
        <x:v>ASC-MAP-OMEGA, ASC-MAP-WAREHOUSE</x:v>
      </x:c>
      <x:c r="P9" s="9" t="str"/>
      <x:c r="Q9" s="9" t="str"/>
      <x:c r="R9" s="20" t="str"/>
      <x:c r="S9" s="20" t="str">
        <x:v>Boucle de parcours de production ; la dernière liaison sert à la consultation post-module, pas à remonter le temps.</x:v>
      </x:c>
    </x:row>
    <x:row r="10" ht="54" customHeight="1">
      <x:c r="A10" s="19" t="str">
        <x:v>ASC-LNK-WAREHOUSE</x:v>
      </x:c>
      <x:c r="B10" s="7" t="str">
        <x:v>Dépendance d’entrepôt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Dépendance d’entrepôt proposée au bloc Cabine de transit proposée;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links/asc.json : warehouse -&gt; shuttle; sauvegarde avant transit, restauration à un ancrage sûr.</x:v>
      </x:c>
      <x:c r="M10" s="7" t="str">
        <x:v>Les positions de cellule sont inventées pour le niveau.</x:v>
      </x:c>
      <x:c r="N10" s="7" t="str">
        <x:v>Le groupe arrive au bon ancrage après chargement ; aller-retour ne duplique ni objet ni dialogue.</x:v>
      </x:c>
      <x:c r="O10" s="7" t="str">
        <x:v>ASC-MAP-WAREHOUSE, ASC-MAP-SHUTTLE</x:v>
      </x:c>
      <x:c r="P10" s="7" t="str"/>
      <x:c r="Q10" s="7" t="str"/>
      <x:c r="R10" s="21" t="str"/>
      <x:c r="S10" s="21" t="str">
        <x:v>Boucle de parcours de production ; la dernière liaison sert à la consultation post-module, pas à remonter le temps.</x:v>
      </x:c>
    </x:row>
    <x:row r="11" ht="54" customHeight="1">
      <x:c r="A11" s="18" t="str">
        <x:v>ASC-LNK-SHUTTLE</x:v>
      </x:c>
      <x:c r="B11" s="9" t="str">
        <x:v>Cabine de transit proposée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Cabine de transit proposée au bloc Sas d’accueil quarien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links/asc.json : shuttle -&gt; quarantine; sauvegarde avant transit, restauration à un ancrage sûr.</x:v>
      </x:c>
      <x:c r="M11" s="9" t="str">
        <x:v>Ne pas assimiler un transit spatial à une porte entre quartiers.</x:v>
      </x:c>
      <x:c r="N11" s="9" t="str">
        <x:v>Le groupe arrive au bon ancrage après chargement ; aller-retour ne duplique ni objet ni dialogue.</x:v>
      </x:c>
      <x:c r="O11" s="9" t="str">
        <x:v>ASC-MAP-SHUTTLE, ASC-MAP-QUARANTINE</x:v>
      </x:c>
      <x:c r="P11" s="9" t="str"/>
      <x:c r="Q11" s="9" t="str"/>
      <x:c r="R11" s="20" t="str"/>
      <x:c r="S11" s="20" t="str">
        <x:v>Boucle de parcours de production ; la dernière liaison sert à la consultation post-module, pas à remonter le temps.</x:v>
      </x:c>
    </x:row>
    <x:row r="12" ht="54" customHeight="1">
      <x:c r="A12" s="19" t="str">
        <x:v>ASC-LNK-QUARANTINE</x:v>
      </x:c>
      <x:c r="B12" s="7" t="str">
        <x:v>Sas d’accueil quarien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Sas d’accueil quarien proposé au bloc Pont d’échange de l’Idenna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links/asc.json : quarantine -&gt; trade; sauvegarde avant transit, restauration à un ancrage sûr.</x:v>
      </x:c>
      <x:c r="M12" s="7" t="str">
        <x:v>L’accueil n’efface pas les différences physiologiques.</x:v>
      </x:c>
      <x:c r="N12" s="7" t="str">
        <x:v>Le groupe arrive au bon ancrage après chargement ; aller-retour ne duplique ni objet ni dialogue.</x:v>
      </x:c>
      <x:c r="O12" s="7" t="str">
        <x:v>ASC-MAP-QUARANTINE, ASC-MAP-TRADE</x:v>
      </x:c>
      <x:c r="P12" s="7" t="str"/>
      <x:c r="Q12" s="7" t="str"/>
      <x:c r="R12" s="21" t="str"/>
      <x:c r="S12" s="21" t="str">
        <x:v>Boucle de parcours de production ; la dernière liaison sert à la consultation post-module, pas à remonter le temps.</x:v>
      </x:c>
    </x:row>
    <x:row r="13" ht="68" customHeight="1">
      <x:c r="A13" s="18" t="str">
        <x:v>ASC-LNK-TRADE</x:v>
      </x:c>
      <x:c r="B13" s="9" t="str">
        <x:v>Pont d’échange de l’Idenna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Pont d’échange de l’Idenna proposé au bloc Aire technique de l’Idenna proposée;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links/asc.json : trade -&gt; idenna; sauvegarde avant transit, restauration à un ancrage sûr.</x:v>
      </x:c>
      <x:c r="M13" s="9" t="str">
        <x:v>Ne pas réduire toute l’économie quarienne à un magasin à crédits.</x:v>
      </x:c>
      <x:c r="N13" s="9" t="str">
        <x:v>Le groupe arrive au bon ancrage après chargement ; aller-retour ne duplique ni objet ni dialogue.</x:v>
      </x:c>
      <x:c r="O13" s="9" t="str">
        <x:v>ASC-MAP-TRADE, ASC-MAP-IDENNA</x:v>
      </x:c>
      <x:c r="P13" s="9" t="str"/>
      <x:c r="Q13" s="9" t="str"/>
      <x:c r="R13" s="20" t="str"/>
      <x:c r="S13" s="20" t="str">
        <x:v>Boucle de parcours de production ; la dernière liaison sert à la consultation post-module, pas à remonter le temps.</x:v>
      </x:c>
    </x:row>
    <x:row r="14" ht="54" customHeight="1">
      <x:c r="A14" s="19" t="str">
        <x:v>ASC-LNK-IDENNA</x:v>
      </x:c>
      <x:c r="B14" s="7" t="str">
        <x:v>Aire technique de l’Idenna proposée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Aire technique de l’Idenna proposée au bloc Aile pédagogique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links/asc.json : idenna -&gt; academy; sauvegarde avant transit, restauration à un ancrage sûr.</x:v>
      </x:c>
      <x:c r="M14" s="7" t="str">
        <x:v>La sortie rejoint le séjour de Gillian et Hendel sur l’Idenna.</x:v>
      </x:c>
      <x:c r="N14" s="7" t="str">
        <x:v>Le groupe arrive au bon ancrage après chargement ; aller-retour ne duplique ni objet ni dialogue.</x:v>
      </x:c>
      <x:c r="O14" s="7" t="str">
        <x:v>ASC-MAP-IDENNA, ASC-MAP-ACADEMY</x:v>
      </x:c>
      <x:c r="P14" s="7" t="str"/>
      <x:c r="Q14" s="7" t="str"/>
      <x:c r="R14" s="21" t="str"/>
      <x:c r="S14" s="21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8e157ac16947d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ASC-SET-ACADEMY</x:v>
      </x:c>
      <x:c r="B7" s="9" t="str">
        <x:v>Aile pédagogique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Mobilier éducatif, repères de sécurité doux, tablettes individuelles. Construire trois profondeurs de décor avec variantes intacte et perturbée si utiles.</x:v>
      </x:c>
      <x:c r="H7" s="9" t="str">
        <x:v>Le décor signale la règle : Un exercice demande coordination et consentement avant activation.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assets/asc/sets/academy/ ; collider séparé du mesh et des ornements.</x:v>
      </x:c>
      <x:c r="M7" s="9" t="str">
        <x:v>Pas d’arène où les enfants gagnent des points par violence.</x:v>
      </x:c>
      <x:c r="N7" s="9" t="str">
        <x:v>Aucun détail décoratif ne ressemble à tort à une porte ; vue complète vérifiée en petite résolution.</x:v>
      </x:c>
      <x:c r="O7" s="9" t="str">
        <x:v>ASC-MAP-ACADEMY</x:v>
      </x:c>
      <x:c r="P7" s="9" t="str"/>
      <x:c r="Q7" s="9" t="str"/>
      <x:c r="R7" s="20" t="str"/>
      <x:c r="S7" s="20" t="str"/>
    </x:row>
    <x:row r="8" ht="54" customHeight="1">
      <x:c r="A8" s="19" t="str">
        <x:v>ASC-SET-MED</x:v>
      </x:c>
      <x:c r="B8" s="7" t="str">
        <x:v>Poste de suivi médical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Écrans de monitoring abstraits, rangements fermés, blanc chaud. Construire trois profondeurs de décor avec variantes intacte et perturbée si utiles.</x:v>
      </x:c>
      <x:c r="H8" s="7" t="str">
        <x:v>Le décor signale la règle : Comparer des autorisations et non des dosages réels.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assets/asc/sets/med/ ; collider séparé du mesh et des ornements.</x:v>
      </x:c>
      <x:c r="M8" s="7" t="str">
        <x:v>Enquête abstraite sans instructions médicales.</x:v>
      </x:c>
      <x:c r="N8" s="7" t="str">
        <x:v>Aucun détail décoratif ne ressemble à tort à une porte ; vue complète vérifiée en petite résolution.</x:v>
      </x:c>
      <x:c r="O8" s="7" t="str">
        <x:v>ASC-MAP-MED</x:v>
      </x:c>
      <x:c r="P8" s="7" t="str"/>
      <x:c r="Q8" s="7" t="str"/>
      <x:c r="R8" s="21" t="str"/>
      <x:c r="S8" s="21" t="str"/>
    </x:row>
    <x:row r="9" ht="54" customHeight="1">
      <x:c r="A9" s="18" t="str">
        <x:v>ASC-SET-OMEGA</x:v>
      </x:c>
      <x:c r="B9" s="9" t="str">
        <x:v>Coursives de marché sur Omega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Enseignes originales, saturation modérée, réseaux de tuyaux. Construire trois profondeurs de décor avec variantes intacte et perturbée si utiles.</x:v>
      </x:c>
      <x:c r="H9" s="9" t="str">
        <x:v>Le décor signale la règle : Surveillance et foule limitent les trajets de l’escorte.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assets/asc/sets/omega/ ; collider séparé du mesh et des ornements.</x:v>
      </x:c>
      <x:c r="M9" s="9" t="str">
        <x:v>Aucune visite touristique exhaustive d’Omega prétendue.</x:v>
      </x:c>
      <x:c r="N9" s="9" t="str">
        <x:v>Aucun détail décoratif ne ressemble à tort à une porte ; vue complète vérifiée en petite résolution.</x:v>
      </x:c>
      <x:c r="O9" s="9" t="str">
        <x:v>ASC-MAP-OMEGA</x:v>
      </x:c>
      <x:c r="P9" s="9" t="str"/>
      <x:c r="Q9" s="9" t="str"/>
      <x:c r="R9" s="20" t="str"/>
      <x:c r="S9" s="20" t="str"/>
    </x:row>
    <x:row r="10" ht="54" customHeight="1">
      <x:c r="A10" s="19" t="str">
        <x:v>ASC-SET-WAREHOUSE</x:v>
      </x:c>
      <x:c r="B10" s="7" t="str">
        <x:v>Dépendance d’entrepôt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Conteneurs, éclairage asymétrique et portes à verrou distinct. Construire trois profondeurs de décor avec variantes intacte et perturbée si utiles.</x:v>
      </x:c>
      <x:c r="H10" s="7" t="str">
        <x:v>Le décor signale la règle : Le groupe doit synchroniser ouverture et détour de surveillance.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assets/asc/sets/warehouse/ ; collider séparé du mesh et des ornements.</x:v>
      </x:c>
      <x:c r="M10" s="7" t="str">
        <x:v>Les positions de cellule sont inventées pour le niveau.</x:v>
      </x:c>
      <x:c r="N10" s="7" t="str">
        <x:v>Aucun détail décoratif ne ressemble à tort à une porte ; vue complète vérifiée en petite résolution.</x:v>
      </x:c>
      <x:c r="O10" s="7" t="str">
        <x:v>ASC-MAP-WAREHOUSE</x:v>
      </x:c>
      <x:c r="P10" s="7" t="str"/>
      <x:c r="Q10" s="7" t="str"/>
      <x:c r="R10" s="21" t="str"/>
      <x:c r="S10" s="21" t="str"/>
    </x:row>
    <x:row r="11" ht="68" customHeight="1">
      <x:c r="A11" s="18" t="str">
        <x:v>ASC-SET-SHUTTLE</x:v>
      </x:c>
      <x:c r="B11" s="9" t="str">
        <x:v>Cabine de transit proposée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Petits volumes, éclairage calme, hublot de transit sans carte astronomique exacte. Construire trois profondeurs de décor avec variantes intacte et perturbée si utiles.</x:v>
      </x:c>
      <x:c r="H11" s="9" t="str">
        <x:v>Le décor signale la règle : Une avarie locale limite les actions simultanées.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assets/asc/sets/shuttle/ ; collider séparé du mesh et des ornements.</x:v>
      </x:c>
      <x:c r="M11" s="9" t="str">
        <x:v>Ne pas assimiler un transit spatial à une porte entre quartiers.</x:v>
      </x:c>
      <x:c r="N11" s="9" t="str">
        <x:v>Aucun détail décoratif ne ressemble à tort à une porte ; vue complète vérifiée en petite résolution.</x:v>
      </x:c>
      <x:c r="O11" s="9" t="str">
        <x:v>ASC-MAP-SHUTTLE</x:v>
      </x:c>
      <x:c r="P11" s="9" t="str"/>
      <x:c r="Q11" s="9" t="str"/>
      <x:c r="R11" s="20" t="str"/>
      <x:c r="S11" s="20" t="str"/>
    </x:row>
    <x:row r="12" ht="54" customHeight="1">
      <x:c r="A12" s="19" t="str">
        <x:v>ASC-SET-QUARANTINE</x:v>
      </x:c>
      <x:c r="B12" s="7" t="str">
        <x:v>Sas d’accueil quarien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Cloisons transparentes, filtration, signalétique par pictogrammes. Construire trois profondeurs de décor avec variantes intacte et perturbée si utiles.</x:v>
      </x:c>
      <x:c r="H12" s="7" t="str">
        <x:v>Le décor signale la règle : Respecter les états d’isolation avant passage.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assets/asc/sets/quarantine/ ; collider séparé du mesh et des ornements.</x:v>
      </x:c>
      <x:c r="M12" s="7" t="str">
        <x:v>L’accueil n’efface pas les différences physiologiques.</x:v>
      </x:c>
      <x:c r="N12" s="7" t="str">
        <x:v>Aucun détail décoratif ne ressemble à tort à une porte ; vue complète vérifiée en petite résolution.</x:v>
      </x:c>
      <x:c r="O12" s="7" t="str">
        <x:v>ASC-MAP-QUARANTINE</x:v>
      </x:c>
      <x:c r="P12" s="7" t="str"/>
      <x:c r="Q12" s="7" t="str"/>
      <x:c r="R12" s="21" t="str"/>
      <x:c r="S12" s="21" t="str"/>
    </x:row>
    <x:row r="13" ht="54" customHeight="1">
      <x:c r="A13" s="18" t="str">
        <x:v>ASC-SET-TRADE</x:v>
      </x:c>
      <x:c r="B13" s="9" t="str">
        <x:v>Pont d’échange de l’Idenna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Objets réparés, réemploi, cheminements compacts. Construire trois profondeurs de décor avec variantes intacte et perturbée si utiles.</x:v>
      </x:c>
      <x:c r="H13" s="9" t="str">
        <x:v>Le décor signale la règle : Échanger une ressource locale selon les besoins de l’équipage.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assets/asc/sets/trade/ ; collider séparé du mesh et des ornements.</x:v>
      </x:c>
      <x:c r="M13" s="9" t="str">
        <x:v>Ne pas réduire toute l’économie quarienne à un magasin à crédits.</x:v>
      </x:c>
      <x:c r="N13" s="9" t="str">
        <x:v>Aucun détail décoratif ne ressemble à tort à une porte ; vue complète vérifiée en petite résolution.</x:v>
      </x:c>
      <x:c r="O13" s="9" t="str">
        <x:v>ASC-MAP-TRADE</x:v>
      </x:c>
      <x:c r="P13" s="9" t="str"/>
      <x:c r="Q13" s="9" t="str"/>
      <x:c r="R13" s="20" t="str"/>
      <x:c r="S13" s="20" t="str"/>
    </x:row>
    <x:row r="14" ht="54" customHeight="1">
      <x:c r="A14" s="19" t="str">
        <x:v>ASC-SET-IDENNA</x:v>
      </x:c>
      <x:c r="B14" s="7" t="str">
        <x:v>Aire technique de l’Idenna proposée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Câbles accessibles, plaques réparées, signalétique de bord. Construire trois profondeurs de décor avec variantes intacte et perturbée si utiles.</x:v>
      </x:c>
      <x:c r="H14" s="7" t="str">
        <x:v>Le décor signale la règle : Protéger les systèmes sans exposer les résidents.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assets/asc/sets/idenna/ ; collider séparé du mesh et des ornements.</x:v>
      </x:c>
      <x:c r="M14" s="7" t="str">
        <x:v>La sortie rejoint le séjour de Gillian et Hendel sur l’Idenna.</x:v>
      </x:c>
      <x:c r="N14" s="7" t="str">
        <x:v>Aucun détail décoratif ne ressemble à tort à une porte ; vue complète vérifiée en petite résolution.</x:v>
      </x:c>
      <x:c r="O14" s="7" t="str">
        <x:v>ASC-MAP-IDENNA</x:v>
      </x:c>
      <x:c r="P14" s="7" t="str"/>
      <x:c r="Q14" s="7" t="str"/>
      <x:c r="R14" s="21" t="str"/>
      <x:c r="S14" s="21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5b8365cc9942f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ASC-REF-CODES</x:v>
      </x:c>
      <x:c r="B7" s="9" t="str">
        <x:v>Codes de la Flotte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Cerberus cherche à obtenir les codes de transmission de la Flotte.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ref.asc.codes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ASC-SRC-GOLO</x:v>
      </x:c>
      <x:c r="R7" s="20" t="str">
        <x:v>https://masseffect.fandom.com/wiki/Golo</x:v>
      </x:c>
      <x:c r="S7" s="20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401de6965b400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ASC-ENC-CAPTOR</x:v>
      </x:c>
      <x:c r="B7" s="9" t="str">
        <x:v>Surveillant de dépôt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Adversaire Cerberus créé pour une annexe de niveau.</x:v>
      </x:c>
      <x:c r="G7" s="9" t="str">
        <x:v>Opposition ou crise scénarisée pour le groupe ; ne pas attribuer au roman une barre de vie ou un rang de boss.</x:v>
      </x:c>
      <x:c r="H7" s="9" t="str">
        <x:v>Déplace sa surveillance entre accès et terminal. Réponse du joueur : Couper sa ligne de vue ou attendre l’ouverture d’un second accès.</x:v>
      </x:c>
      <x:c r="I7" s="9" t="str">
        <x:v>Lampe frontale et arc de contrôle au sol.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encounters/asc/captor.json ; activer seulement dans les zones prévues.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20" t="str"/>
      <x:c r="S7" s="20" t="str">
        <x:v>Tous comportements et réglages de combat sont du design original.</x:v>
      </x:c>
    </x:row>
    <x:row r="8" ht="68" customHeight="1">
      <x:c r="A8" s="19" t="str">
        <x:v>ASC-ENC-BARGAIN</x:v>
      </x:c>
      <x:c r="B8" s="7" t="str">
        <x:v>Intermédiaire hostile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social original autour d’un accès de transit.</x:v>
      </x:c>
      <x:c r="G8" s="7" t="str">
        <x:v>Opposition ou crise scénarisée pour le groupe ; ne pas attribuer au roman une barre de vie ou un rang de boss.</x:v>
      </x:c>
      <x:c r="H8" s="7" t="str">
        <x:v>Multiplie les exigences si le groupe présente un document incomplet. Réponse du joueur : Compléter le dossier ou trouver le contact de service.</x:v>
      </x:c>
      <x:c r="I8" s="7" t="str">
        <x:v>Liste de conditions visible avant confirmation.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encounters/asc/bargain.json ; activer seulement dans les zones prévues.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21" t="str"/>
      <x:c r="S8" s="21" t="str">
        <x:v>Tous comportements et réglages de combat sont du design original.</x:v>
      </x:c>
    </x:row>
    <x:row r="9" ht="68" customHeight="1">
      <x:c r="A9" s="18" t="str">
        <x:v>ASC-ENC-GOLO</x:v>
      </x:c>
      <x:c r="B9" s="9" t="str">
        <x:v>Intrusion de Golo — confrontation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Segment de pression narrative, sans nouvelle issue canonique.</x:v>
      </x:c>
      <x:c r="G9" s="9" t="str">
        <x:v>Opposition ou crise scénarisée pour le groupe ; ne pas attribuer au roman une barre de vie ou un rang de boss.</x:v>
      </x:c>
      <x:c r="H9" s="9" t="str">
        <x:v>Essaie de verrouiller un accès pendant que le groupe protège des résidents. Réponse du joueur : Maintenir le poste secondaire et déplacer les civils.</x:v>
      </x:c>
      <x:c r="I9" s="9" t="str">
        <x:v>Deux voyants passent successivement à l’alerte.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encounters/asc/golo.json ; activer seulement dans les zones prévues.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20" t="str"/>
      <x:c r="S9" s="20" t="str">
        <x:v>Tous comportements et réglages de combat sont du design original.</x:v>
      </x:c>
    </x:row>
    <x:row r="10" ht="68" customHeight="1">
      <x:c r="A10" s="19" t="str">
        <x:v>ASC-ENC-FILTER</x:v>
      </x:c>
      <x:c r="B10" s="7" t="str">
        <x:v>Surcharge de filtration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environnementale originale de l’accueil quarien.</x:v>
      </x:c>
      <x:c r="G10" s="7" t="str">
        <x:v>Opposition ou crise scénarisée pour le groupe ; ne pas attribuer au roman une barre de vie ou un rang de boss.</x:v>
      </x:c>
      <x:c r="H10" s="7" t="str">
        <x:v>Force l’arrêt temporaire d’une chambre du sas. Réponse du joueur : Basculer vers la chambre de réserve sans ouvrir les deux portes.</x:v>
      </x:c>
      <x:c r="I10" s="7" t="str">
        <x:v>Variation de souffle et jauge de pression symbolique.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encounters/asc/filter.json ; activer seulement dans les zones prévues.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21" t="str"/>
      <x:c r="S10" s="21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72911dd8694da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ASC-MIS-CALM</x:v>
      </x:c>
      <x:c r="B7" s="9" t="str">
        <x:v>Trouver un rythme de coopération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Construire avec Gillian une routine d’exercice choisie.</x:v>
      </x:c>
      <x:c r="H7" s="9" t="str">
        <x:v>Le joueur sélectionne rythme, espace et partenaire ; la réussite dépend de la bonne lecture des consignes, pas d’une jauge d’autisme.</x:v>
      </x:c>
      <x:c r="I7" s="9" t="str">
        <x:v>Objectif spatial associé à Aile pédagogique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quests/asc/calm.json ; états offered/active/resolved ; clés de progression propres au module.</x:v>
      </x:c>
      <x:c r="M7" s="9" t="str">
        <x:v>Ne pas définir le personnage seulement par son diagnostic.</x:v>
      </x:c>
      <x:c r="N7" s="9" t="str">
        <x:v>Le joueur peut accomplir « Construire avec Gillian une routine d’exercice choisie. » et la sortie confirme le résultat ; Ne pas définir le personnage seulement par son diagnostic.</x:v>
      </x:c>
      <x:c r="O7" s="9" t="str">
        <x:v>ASC-MAP-ACADEMY</x:v>
      </x:c>
      <x:c r="P7" s="9" t="str"/>
      <x:c r="Q7" s="9" t="str"/>
      <x:c r="R7" s="20" t="str"/>
      <x:c r="S7" s="20" t="str"/>
    </x:row>
    <x:row r="8" ht="68" customHeight="1">
      <x:c r="A8" s="19" t="str">
        <x:v>ASC-MIS-RECORD</x:v>
      </x:c>
      <x:c r="B8" s="7" t="str">
        <x:v>Contrôler un dossier de suivi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Repérer une incohérence administrative dans une procédure fictive.</x:v>
      </x:c>
      <x:c r="H8" s="7" t="str">
        <x:v>Comparer signature, autorisation et heure d’accès ; transmettre l’alerte à un adulte responsable.</x:v>
      </x:c>
      <x:c r="I8" s="7" t="str">
        <x:v>Objectif spatial associé à Poste de suivi médical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quests/asc/record.json ; états offered/active/resolved ; clés de progression propres au module.</x:v>
      </x:c>
      <x:c r="M8" s="7" t="str">
        <x:v>Aucune technique de traitement ou injection détaillée.</x:v>
      </x:c>
      <x:c r="N8" s="7" t="str">
        <x:v>Le joueur peut accomplir « Repérer une incohérence administrative dans une procédure fictive. » et la sortie confirme le résultat ; Aucune technique de traitement ou injection détaillée.</x:v>
      </x:c>
      <x:c r="O8" s="7" t="str">
        <x:v>ASC-MAP-MED</x:v>
      </x:c>
      <x:c r="P8" s="7" t="str"/>
      <x:c r="Q8" s="7" t="str"/>
      <x:c r="R8" s="21" t="str"/>
      <x:c r="S8" s="21" t="str"/>
    </x:row>
    <x:row r="9" ht="68" customHeight="1">
      <x:c r="A9" s="18" t="str">
        <x:v>ASC-MIS-CONTACT</x:v>
      </x:c>
      <x:c r="B9" s="9" t="str">
        <x:v>Chercher un passage discret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Repérer sur Omega un trajet supportable pour tout le groupe.</x:v>
      </x:c>
      <x:c r="H9" s="9" t="str">
        <x:v>Éviter contrôle hostile et encombrement ; conserver une halte sûre accessible.</x:v>
      </x:c>
      <x:c r="I9" s="9" t="str">
        <x:v>Objectif spatial associé à Coursives de marché sur Omega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quests/asc/contact.json ; états offered/active/resolved ; clés de progression propres au module.</x:v>
      </x:c>
      <x:c r="M9" s="9" t="str">
        <x:v>Les PNJ ajoutés portent la mention création originale.</x:v>
      </x:c>
      <x:c r="N9" s="9" t="str">
        <x:v>Le joueur peut accomplir « Repérer sur Omega un trajet supportable pour tout le groupe. » et la sortie confirme le résultat ; Les PNJ ajoutés portent la mention création originale.</x:v>
      </x:c>
      <x:c r="O9" s="9" t="str">
        <x:v>ASC-MAP-OMEGA</x:v>
      </x:c>
      <x:c r="P9" s="9" t="str"/>
      <x:c r="Q9" s="9" t="str"/>
      <x:c r="R9" s="20" t="str"/>
      <x:c r="S9" s="20" t="str"/>
    </x:row>
    <x:row r="10" ht="68" customHeight="1">
      <x:c r="A10" s="19" t="str">
        <x:v>ASC-MIS-RELEASE</x:v>
      </x:c>
      <x:c r="B10" s="7" t="str">
        <x:v>Dégager un sas de détention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sortie locale avec un allié technique.</x:v>
      </x:c>
      <x:c r="H10" s="7" t="str">
        <x:v>Deux postes doivent rester actifs ; un personnage protège pendant qu’un autre ouvre.</x:v>
      </x:c>
      <x:c r="I10" s="7" t="str">
        <x:v>Objectif spatial associé à Dépendance d’entrepôt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quests/asc/release.json ; états offered/active/resolved ; clés de progression propres au module.</x:v>
      </x:c>
      <x:c r="M10" s="7" t="str">
        <x:v>Ne pas transformer Gillian en combattante obligatoire.</x:v>
      </x:c>
      <x:c r="N10" s="7" t="str">
        <x:v>Le joueur peut accomplir « Coordonner une sortie locale avec un allié technique. » et la sortie confirme le résultat ; Ne pas transformer Gillian en combattante obligatoire.</x:v>
      </x:c>
      <x:c r="O10" s="7" t="str">
        <x:v>ASC-MAP-WAREHOUSE</x:v>
      </x:c>
      <x:c r="P10" s="7" t="str"/>
      <x:c r="Q10" s="7" t="str"/>
      <x:c r="R10" s="21" t="str"/>
      <x:c r="S10" s="21" t="str"/>
    </x:row>
    <x:row r="11" ht="68" customHeight="1">
      <x:c r="A11" s="18" t="str">
        <x:v>ASC-MIS-TRAVEL</x:v>
      </x:c>
      <x:c r="B11" s="9" t="str">
        <x:v>Préserver les ressources de transit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Rétablir confort et communication dans une cabine sous contrainte.</x:v>
      </x:c>
      <x:c r="H11" s="9" t="str">
        <x:v>Répartir énergie entre liaison, diagnostic et environnement ; aucune mortalité aléatoire.</x:v>
      </x:c>
      <x:c r="I11" s="9" t="str">
        <x:v>Objectif spatial associé à Cabine de transit proposée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quests/asc/travel.json ; états offered/active/resolved ; clés de progression propres au module.</x:v>
      </x:c>
      <x:c r="M11" s="9" t="str">
        <x:v>Les temps de voyage sont abstraits et ne fixent pas un nouveau canon.</x:v>
      </x:c>
      <x:c r="N11" s="9" t="str">
        <x:v>Le joueur peut accomplir « Rétablir confort et communication dans une cabine sous contrainte. » et la sortie confirme le résultat ; Les temps de voyage sont abstraits et ne fixent pas un nouveau canon.</x:v>
      </x:c>
      <x:c r="O11" s="9" t="str">
        <x:v>ASC-MAP-SHUTTLE</x:v>
      </x:c>
      <x:c r="P11" s="9" t="str"/>
      <x:c r="Q11" s="9" t="str"/>
      <x:c r="R11" s="20" t="str"/>
      <x:c r="S11" s="20" t="str"/>
    </x:row>
    <x:row r="12" ht="68" customHeight="1">
      <x:c r="A12" s="19" t="str">
        <x:v>ASC-MIS-WELCOME</x:v>
      </x:c>
      <x:c r="B12" s="7" t="str">
        <x:v>Franchir le protocole d’accueil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Obtenir une admission sans compromettre la sécurité de l’équipage.</x:v>
      </x:c>
      <x:c r="H12" s="7" t="str">
        <x:v>Déclarer matériel, vérifier sas puis attendre l’autorisation ; énigme de procédure lisible.</x:v>
      </x:c>
      <x:c r="I12" s="7" t="str">
        <x:v>Objectif spatial associé à Sas d’accueil quarien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quests/asc/welcome.json ; états offered/active/resolved ; clés de progression propres au module.</x:v>
      </x:c>
      <x:c r="M12" s="7" t="str">
        <x:v>Pas de guérison magique des vulnérabilités quarianes.</x:v>
      </x:c>
      <x:c r="N12" s="7" t="str">
        <x:v>Le joueur peut accomplir « Obtenir une admission sans compromettre la sécurité de l’équipage. » et la sortie confirme le résultat ; Pas de guérison magique des vulnérabilités quarianes.</x:v>
      </x:c>
      <x:c r="O12" s="7" t="str">
        <x:v>ASC-MAP-QUARANTINE</x:v>
      </x:c>
      <x:c r="P12" s="7" t="str"/>
      <x:c r="Q12" s="7" t="str"/>
      <x:c r="R12" s="21" t="str"/>
      <x:c r="S12" s="21" t="str"/>
    </x:row>
    <x:row r="13" ht="68" customHeight="1">
      <x:c r="A13" s="18" t="str">
        <x:v>ASC-MIS-SHARE</x:v>
      </x:c>
      <x:c r="B13" s="9" t="str">
        <x:v>Contribuer au pont d’échange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Aider l’équipage à répartir un matériel rare dans une situation originale.</x:v>
      </x:c>
      <x:c r="H13" s="9" t="str">
        <x:v>Trois demandes visibles, deux ressources puis une réparation permettant de satisfaire la dernière.</x:v>
      </x:c>
      <x:c r="I13" s="9" t="str">
        <x:v>Objectif spatial associé à Pont d’échange de l’Idenna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quests/asc/share.json ; états offered/active/resolved ; clés de progression propres au module.</x:v>
      </x:c>
      <x:c r="M13" s="9" t="str">
        <x:v>Les échanges ne changent pas la mission de l’Idenna.</x:v>
      </x:c>
      <x:c r="N13" s="9" t="str">
        <x:v>Le joueur peut accomplir « Aider l’équipage à répartir un matériel rare dans une situation originale. » et la sortie confirme le résultat ; Les échanges ne changent pas la mission de l’Idenna.</x:v>
      </x:c>
      <x:c r="O13" s="9" t="str">
        <x:v>ASC-MAP-TRADE</x:v>
      </x:c>
      <x:c r="P13" s="9" t="str"/>
      <x:c r="Q13" s="9" t="str"/>
      <x:c r="R13" s="20" t="str"/>
      <x:c r="S13" s="20" t="str"/>
    </x:row>
    <x:row r="14" ht="68" customHeight="1">
      <x:c r="A14" s="19" t="str">
        <x:v>ASC-MIS-SECURE</x:v>
      </x:c>
      <x:c r="B14" s="7" t="str">
        <x:v>Sécuriser l’aire d’accueil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Protéger un réseau de bord pendant une intrusion proposée.</x:v>
      </x:c>
      <x:c r="H14" s="7" t="str">
        <x:v>Gérer accès, information et couverture ; l’objectif est la stabilité du vaisseau.</x:v>
      </x:c>
      <x:c r="I14" s="7" t="str">
        <x:v>Objectif spatial associé à Aire technique de l’Idenna proposée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quests/asc/secure.json ; états offered/active/resolved ; clés de progression propres au module.</x:v>
      </x:c>
      <x:c r="M14" s="7" t="str">
        <x:v>Gillian et Hendel restent liés à l’Idenna selon la continuité.</x:v>
      </x:c>
      <x:c r="N14" s="7" t="str">
        <x:v>Le joueur peut accomplir « Protéger un réseau de bord pendant une intrusion proposée. » et la sortie confirme le résultat ; Gillian et Hendel restent liés à l’Idenna selon la continuité.</x:v>
      </x:c>
      <x:c r="O14" s="7" t="str">
        <x:v>ASC-MAP-IDENNA</x:v>
      </x:c>
      <x:c r="P14" s="7" t="str"/>
      <x:c r="Q14" s="7" t="str"/>
      <x:c r="R14" s="21" t="str"/>
      <x:c r="S14" s="21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0245856ba047e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ASC-OPT-CALM</x:v>
      </x:c>
      <x:c r="B7" s="9" t="str">
        <x:v>Trouver un rythme de coopération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objet personnel égaré sans l’utiliser comme récompense de docilité.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optional.asc.calm ; persister done/skipped, récompenser une seule fois.</x:v>
      </x:c>
      <x:c r="M7" s="9" t="str">
        <x:v>Facultatif ; peut être ignoré sans bloquer la mission. Ne pas définir le personnage seulement par son diagnostic.</x:v>
      </x:c>
      <x:c r="N7" s="9" t="str">
        <x:v>Ignorer puis terminer la mission fonctionne ; compléter ne verse la récompense qu’une fois.</x:v>
      </x:c>
      <x:c r="O7" s="9" t="str">
        <x:v>ASC-MIS-CALM</x:v>
      </x:c>
      <x:c r="P7" s="9" t="str"/>
      <x:c r="Q7" s="9" t="str"/>
      <x:c r="R7" s="20" t="str"/>
      <x:c r="S7" s="20" t="str"/>
    </x:row>
    <x:row r="8" ht="54" customHeight="1">
      <x:c r="A8" s="19" t="str">
        <x:v>ASC-OPT-RECORD</x:v>
      </x:c>
      <x:c r="B8" s="7" t="str">
        <x:v>Contrôler un dossier de suivi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Réorganiser la réserve de matériel pour rendre l’issue médicale accessible.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optional.asc.record ; persister done/skipped, récompenser une seule fois.</x:v>
      </x:c>
      <x:c r="M8" s="7" t="str">
        <x:v>Facultatif ; peut être ignoré sans bloquer la mission. Aucune technique de traitement ou injection détaillée.</x:v>
      </x:c>
      <x:c r="N8" s="7" t="str">
        <x:v>Ignorer puis terminer la mission fonctionne ; compléter ne verse la récompense qu’une fois.</x:v>
      </x:c>
      <x:c r="O8" s="7" t="str">
        <x:v>ASC-MIS-RECORD</x:v>
      </x:c>
      <x:c r="P8" s="7" t="str"/>
      <x:c r="Q8" s="7" t="str"/>
      <x:c r="R8" s="21" t="str"/>
      <x:c r="S8" s="21" t="str"/>
    </x:row>
    <x:row r="9" ht="54" customHeight="1">
      <x:c r="A9" s="18" t="str">
        <x:v>ASC-OPT-CONTACT</x:v>
      </x:c>
      <x:c r="B9" s="9" t="str">
        <x:v>Chercher un passage discret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Rendre un outil emprunté à un marchand original pour obtenir une indication.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optional.asc.contact ; persister done/skipped, récompenser une seule fois.</x:v>
      </x:c>
      <x:c r="M9" s="9" t="str">
        <x:v>Facultatif ; peut être ignoré sans bloquer la mission. Les PNJ ajoutés portent la mention création originale.</x:v>
      </x:c>
      <x:c r="N9" s="9" t="str">
        <x:v>Ignorer puis terminer la mission fonctionne ; compléter ne verse la récompense qu’une fois.</x:v>
      </x:c>
      <x:c r="O9" s="9" t="str">
        <x:v>ASC-MIS-CONTACT</x:v>
      </x:c>
      <x:c r="P9" s="9" t="str"/>
      <x:c r="Q9" s="9" t="str"/>
      <x:c r="R9" s="20" t="str"/>
      <x:c r="S9" s="20" t="str"/>
    </x:row>
    <x:row r="10" ht="54" customHeight="1">
      <x:c r="A10" s="19" t="str">
        <x:v>ASC-OPT-RELEASE</x:v>
      </x:c>
      <x:c r="B10" s="7" t="str">
        <x:v>Dégager un sas de détention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Ouvrir une réserve pour récupérer le sac du groupe.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optional.asc.release ; persister done/skipped, récompenser une seule fois.</x:v>
      </x:c>
      <x:c r="M10" s="7" t="str">
        <x:v>Facultatif ; peut être ignoré sans bloquer la mission. Ne pas transformer Gillian en combattante obligatoire.</x:v>
      </x:c>
      <x:c r="N10" s="7" t="str">
        <x:v>Ignorer puis terminer la mission fonctionne ; compléter ne verse la récompense qu’une fois.</x:v>
      </x:c>
      <x:c r="O10" s="7" t="str">
        <x:v>ASC-MIS-RELEASE</x:v>
      </x:c>
      <x:c r="P10" s="7" t="str"/>
      <x:c r="Q10" s="7" t="str"/>
      <x:c r="R10" s="21" t="str"/>
      <x:c r="S10" s="21" t="str"/>
    </x:row>
    <x:row r="11" ht="54" customHeight="1">
      <x:c r="A11" s="18" t="str">
        <x:v>ASC-OPT-TRAVEL</x:v>
      </x:c>
      <x:c r="B11" s="9" t="str">
        <x:v>Préserver les ressources de transit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Créer un espace de repos à l’écart des alarmes.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optional.asc.travel ; persister done/skipped, récompenser une seule fois.</x:v>
      </x:c>
      <x:c r="M11" s="9" t="str">
        <x:v>Facultatif ; peut être ignoré sans bloquer la mission. Les temps de voyage sont abstraits et ne fixent pas un nouveau canon.</x:v>
      </x:c>
      <x:c r="N11" s="9" t="str">
        <x:v>Ignorer puis terminer la mission fonctionne ; compléter ne verse la récompense qu’une fois.</x:v>
      </x:c>
      <x:c r="O11" s="9" t="str">
        <x:v>ASC-MIS-TRAVEL</x:v>
      </x:c>
      <x:c r="P11" s="9" t="str"/>
      <x:c r="Q11" s="9" t="str"/>
      <x:c r="R11" s="20" t="str"/>
      <x:c r="S11" s="20" t="str"/>
    </x:row>
    <x:row r="12" ht="54" customHeight="1">
      <x:c r="A12" s="19" t="str">
        <x:v>ASC-OPT-WELCOME</x:v>
      </x:c>
      <x:c r="B12" s="7" t="str">
        <x:v>Franchir le protocole d’accueil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Identifier une fuite de filtre et la signaler à l’équipe de bord.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optional.asc.welcome ; persister done/skipped, récompenser une seule fois.</x:v>
      </x:c>
      <x:c r="M12" s="7" t="str">
        <x:v>Facultatif ; peut être ignoré sans bloquer la mission. Pas de guérison magique des vulnérabilités quarianes.</x:v>
      </x:c>
      <x:c r="N12" s="7" t="str">
        <x:v>Ignorer puis terminer la mission fonctionne ; compléter ne verse la récompense qu’une fois.</x:v>
      </x:c>
      <x:c r="O12" s="7" t="str">
        <x:v>ASC-MIS-WELCOME</x:v>
      </x:c>
      <x:c r="P12" s="7" t="str"/>
      <x:c r="Q12" s="7" t="str"/>
      <x:c r="R12" s="21" t="str"/>
      <x:c r="S12" s="21" t="str"/>
    </x:row>
    <x:row r="13" ht="54" customHeight="1">
      <x:c r="A13" s="18" t="str">
        <x:v>ASC-OPT-SHARE</x:v>
      </x:c>
      <x:c r="B13" s="9" t="str">
        <x:v>Contribuer au pont d’échange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Récupérer une pièce dans une alcôve non dangereuse pour un technicien.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optional.asc.share ; persister done/skipped, récompenser une seule fois.</x:v>
      </x:c>
      <x:c r="M13" s="9" t="str">
        <x:v>Facultatif ; peut être ignoré sans bloquer la mission. Les échanges ne changent pas la mission de l’Idenna.</x:v>
      </x:c>
      <x:c r="N13" s="9" t="str">
        <x:v>Ignorer puis terminer la mission fonctionne ; compléter ne verse la récompense qu’une fois.</x:v>
      </x:c>
      <x:c r="O13" s="9" t="str">
        <x:v>ASC-MIS-SHARE</x:v>
      </x:c>
      <x:c r="P13" s="9" t="str"/>
      <x:c r="Q13" s="9" t="str"/>
      <x:c r="R13" s="20" t="str"/>
      <x:c r="S13" s="20" t="str"/>
    </x:row>
    <x:row r="14" ht="54" customHeight="1">
      <x:c r="A14" s="19" t="str">
        <x:v>ASC-OPT-SECURE</x:v>
      </x:c>
      <x:c r="B14" s="7" t="str">
        <x:v>Sécuriser l’aire d’accueil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Mettre à l’abri des journaux civils originaux.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optional.asc.secure ; persister done/skipped, récompenser une seule fois.</x:v>
      </x:c>
      <x:c r="M14" s="7" t="str">
        <x:v>Facultatif ; peut être ignoré sans bloquer la mission. Gillian et Hendel restent liés à l’Idenna selon la continuité.</x:v>
      </x:c>
      <x:c r="N14" s="7" t="str">
        <x:v>Ignorer puis terminer la mission fonctionne ; compléter ne verse la récompense qu’une fois.</x:v>
      </x:c>
      <x:c r="O14" s="7" t="str">
        <x:v>ASC-MIS-SECURE</x:v>
      </x:c>
      <x:c r="P14" s="7" t="str"/>
      <x:c r="Q14" s="7" t="str"/>
      <x:c r="R14" s="21" t="str"/>
      <x:c r="S14" s="21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dfa6644756468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ASC-CHO-CALM</x:v>
      </x:c>
      <x:c r="B7" s="9" t="str">
        <x:v>Trouver un rythme de coopération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Exercice de précision ou exercice de coordination ; même validation pédagogique.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choice.asc.calm ; stocker la méthode et le coût, jamais une réécriture d’événement source.</x:v>
      </x:c>
      <x:c r="M7" s="9" t="str">
        <x:v>Ne pas définir le personnage seulement par son diagnostic.</x:v>
      </x:c>
      <x:c r="N7" s="9" t="str">
        <x:v>Les deux branches sont atteignables ; l’état canonique final du module est identique.</x:v>
      </x:c>
      <x:c r="O7" s="9" t="str">
        <x:v>ASC-MIS-CALM</x:v>
      </x:c>
      <x:c r="P7" s="9" t="str"/>
      <x:c r="Q7" s="9" t="str"/>
      <x:c r="R7" s="20" t="str"/>
      <x:c r="S7" s="20" t="str"/>
    </x:row>
    <x:row r="8" ht="54" customHeight="1">
      <x:c r="A8" s="19" t="str">
        <x:v>ASC-CHO-RECORD</x:v>
      </x:c>
      <x:c r="B8" s="7" t="str">
        <x:v>Contrôler un dossier de suivi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Demander une seconde lecture ou consulter un registre ; coût de temps seulement.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choice.asc.record ; stocker la méthode et le coût, jamais une réécriture d’événement source.</x:v>
      </x:c>
      <x:c r="M8" s="7" t="str">
        <x:v>Aucune technique de traitement ou injection détaillée.</x:v>
      </x:c>
      <x:c r="N8" s="7" t="str">
        <x:v>Les deux branches sont atteignables ; l’état canonique final du module est identique.</x:v>
      </x:c>
      <x:c r="O8" s="7" t="str">
        <x:v>ASC-MIS-RECORD</x:v>
      </x:c>
      <x:c r="P8" s="7" t="str"/>
      <x:c r="Q8" s="7" t="str"/>
      <x:c r="R8" s="21" t="str"/>
      <x:c r="S8" s="21" t="str"/>
    </x:row>
    <x:row r="9" ht="54" customHeight="1">
      <x:c r="A9" s="18" t="str">
        <x:v>ASC-CHO-CONTACT</x:v>
      </x:c>
      <x:c r="B9" s="9" t="str">
        <x:v>Chercher un passage discret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Parcourir les étals ou utiliser la coursive haute ; même point d’arrivée.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choice.asc.contact ; stocker la méthode et le coût, jamais une réécriture d’événement source.</x:v>
      </x:c>
      <x:c r="M9" s="9" t="str">
        <x:v>Les PNJ ajoutés portent la mention création originale.</x:v>
      </x:c>
      <x:c r="N9" s="9" t="str">
        <x:v>Les deux branches sont atteignables ; l’état canonique final du module est identique.</x:v>
      </x:c>
      <x:c r="O9" s="9" t="str">
        <x:v>ASC-MIS-CONTACT</x:v>
      </x:c>
      <x:c r="P9" s="9" t="str"/>
      <x:c r="Q9" s="9" t="str"/>
      <x:c r="R9" s="20" t="str"/>
      <x:c r="S9" s="20" t="str"/>
    </x:row>
    <x:row r="10" ht="54" customHeight="1">
      <x:c r="A10" s="19" t="str">
        <x:v>ASC-CHO-RELEASE</x:v>
      </x:c>
      <x:c r="B10" s="7" t="str">
        <x:v>Dégager un sas de détention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Neutralisation non létale d’un garde ajouté ou coupure d’éclairage locale.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choice.asc.release ; stocker la méthode et le coût, jamais une réécriture d’événement source.</x:v>
      </x:c>
      <x:c r="M10" s="7" t="str">
        <x:v>Ne pas transformer Gillian en combattante obligatoire.</x:v>
      </x:c>
      <x:c r="N10" s="7" t="str">
        <x:v>Les deux branches sont atteignables ; l’état canonique final du module est identique.</x:v>
      </x:c>
      <x:c r="O10" s="7" t="str">
        <x:v>ASC-MIS-RELEASE</x:v>
      </x:c>
      <x:c r="P10" s="7" t="str"/>
      <x:c r="Q10" s="7" t="str"/>
      <x:c r="R10" s="21" t="str"/>
      <x:c r="S10" s="21" t="str"/>
    </x:row>
    <x:row r="11" ht="54" customHeight="1">
      <x:c r="A11" s="18" t="str">
        <x:v>ASC-CHO-TRAVEL</x:v>
      </x:c>
      <x:c r="B11" s="9" t="str">
        <x:v>Préserver les ressources de transit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Réparation lente discrète ou redirection énergivore ; deux solutions sûres.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choice.asc.travel ; stocker la méthode et le coût, jamais une réécriture d’événement source.</x:v>
      </x:c>
      <x:c r="M11" s="9" t="str">
        <x:v>Les temps de voyage sont abstraits et ne fixent pas un nouveau canon.</x:v>
      </x:c>
      <x:c r="N11" s="9" t="str">
        <x:v>Les deux branches sont atteignables ; l’état canonique final du module est identique.</x:v>
      </x:c>
      <x:c r="O11" s="9" t="str">
        <x:v>ASC-MIS-TRAVEL</x:v>
      </x:c>
      <x:c r="P11" s="9" t="str"/>
      <x:c r="Q11" s="9" t="str"/>
      <x:c r="R11" s="20" t="str"/>
      <x:c r="S11" s="20" t="str"/>
    </x:row>
    <x:row r="12" ht="54" customHeight="1">
      <x:c r="A12" s="19" t="str">
        <x:v>ASC-CHO-WELCOME</x:v>
      </x:c>
      <x:c r="B12" s="7" t="str">
        <x:v>Franchir le protocole d’accueil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Présenter le registre de bord ou solliciter un contrôle supplémentaire.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choice.asc.welcome ; stocker la méthode et le coût, jamais une réécriture d’événement source.</x:v>
      </x:c>
      <x:c r="M12" s="7" t="str">
        <x:v>Pas de guérison magique des vulnérabilités quarianes.</x:v>
      </x:c>
      <x:c r="N12" s="7" t="str">
        <x:v>Les deux branches sont atteignables ; l’état canonique final du module est identique.</x:v>
      </x:c>
      <x:c r="O12" s="7" t="str">
        <x:v>ASC-MIS-WELCOME</x:v>
      </x:c>
      <x:c r="P12" s="7" t="str"/>
      <x:c r="Q12" s="7" t="str"/>
      <x:c r="R12" s="21" t="str"/>
      <x:c r="S12" s="21" t="str"/>
    </x:row>
    <x:row r="13" ht="54" customHeight="1">
      <x:c r="A13" s="18" t="str">
        <x:v>ASC-CHO-SHARE</x:v>
      </x:c>
      <x:c r="B13" s="9" t="str">
        <x:v>Contribuer au pont d’échange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Prêter un outil ou fabriquer un adaptateur abstrait.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choice.asc.share ; stocker la méthode et le coût, jamais une réécriture d’événement source.</x:v>
      </x:c>
      <x:c r="M13" s="9" t="str">
        <x:v>Les échanges ne changent pas la mission de l’Idenna.</x:v>
      </x:c>
      <x:c r="N13" s="9" t="str">
        <x:v>Les deux branches sont atteignables ; l’état canonique final du module est identique.</x:v>
      </x:c>
      <x:c r="O13" s="9" t="str">
        <x:v>ASC-MIS-SHARE</x:v>
      </x:c>
      <x:c r="P13" s="9" t="str"/>
      <x:c r="Q13" s="9" t="str"/>
      <x:c r="R13" s="20" t="str"/>
      <x:c r="S13" s="20" t="str"/>
    </x:row>
    <x:row r="14" ht="54" customHeight="1">
      <x:c r="A14" s="19" t="str">
        <x:v>ASC-CHO-SECURE</x:v>
      </x:c>
      <x:c r="B14" s="7" t="str">
        <x:v>Sécuriser l’aire d’accueil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Fermer des voies ou déployer une diversion ; préserver un accès de secours.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choice.asc.secure ; stocker la méthode et le coût, jamais une réécriture d’événement source.</x:v>
      </x:c>
      <x:c r="M14" s="7" t="str">
        <x:v>Gillian et Hendel restent liés à l’Idenna selon la continuité.</x:v>
      </x:c>
      <x:c r="N14" s="7" t="str">
        <x:v>Les deux branches sont atteignables ; l’état canonique final du module est identique.</x:v>
      </x:c>
      <x:c r="O14" s="7" t="str">
        <x:v>ASC-MIS-SECURE</x:v>
      </x:c>
      <x:c r="P14" s="7" t="str"/>
      <x:c r="Q14" s="7" t="str"/>
      <x:c r="R14" s="21" t="str"/>
      <x:c r="S14" s="21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d35b2a68944415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ASC-DIA-KAHLEE</x:v>
      </x:c>
      <x:c r="B7" s="9" t="str">
        <x:v>Kahlee Sanders — échange : consentement et sécurité de l’élève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consentement et sécurité de l’élève,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Kahlee Sanders,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asc.kahlee.consentement-et-securite-de-leleve ; drapeaux de connaissance locaux.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Aucune option ne révèle un savoir futur ; quitter puis reprendre conserve les sujets déjà abordés.</x:v>
      </x:c>
      <x:c r="O7" s="9" t="str">
        <x:v>ASC-CHR-KAHLEE</x:v>
      </x:c>
      <x:c r="P7" s="9" t="str"/>
      <x:c r="Q7" s="9" t="str"/>
      <x:c r="R7" s="20" t="str"/>
      <x:c r="S7" s="20" t="str">
        <x:v>Sujet et intentions sont du design original, pas une transcription.</x:v>
      </x:c>
    </x:row>
    <x:row r="8" ht="68" customHeight="1">
      <x:c r="A8" s="19" t="str">
        <x:v>ASC-DIA-GILLIAN</x:v>
      </x:c>
      <x:c r="B8" s="7" t="str">
        <x:v>Gillian Grayson — échange : préférences personnelles et confiance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préférences personnelles et confiance,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Gillian Grayson,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asc.gillian.preferences-personnelles-et-confiance ; drapeaux de connaissance locaux.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Aucune option ne révèle un savoir futur ; quitter puis reprendre conserve les sujets déjà abordés.</x:v>
      </x:c>
      <x:c r="O8" s="7" t="str">
        <x:v>ASC-CHR-GILLIAN</x:v>
      </x:c>
      <x:c r="P8" s="7" t="str"/>
      <x:c r="Q8" s="7" t="str"/>
      <x:c r="R8" s="21" t="str"/>
      <x:c r="S8" s="21" t="str">
        <x:v>Sujet et intentions sont du design original, pas une transcription.</x:v>
      </x:c>
    </x:row>
    <x:row r="9" ht="68" customHeight="1">
      <x:c r="A9" s="18" t="str">
        <x:v>ASC-DIA-PAUL</x:v>
      </x:c>
      <x:c r="B9" s="9" t="str">
        <x:v>Paul Grayson — échange : protection de Gillian et loyautés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protection de Gillian et loyautés,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Paul Grayson,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asc.paul.protection-de-gillian-et-loyautes ; drapeaux de connaissance locaux.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Aucune option ne révèle un savoir futur ; quitter puis reprendre conserve les sujets déjà abordés.</x:v>
      </x:c>
      <x:c r="O9" s="9" t="str">
        <x:v>ASC-CHR-PAUL</x:v>
      </x:c>
      <x:c r="P9" s="9" t="str"/>
      <x:c r="Q9" s="9" t="str"/>
      <x:c r="R9" s="20" t="str"/>
      <x:c r="S9" s="20" t="str">
        <x:v>Sujet et intentions sont du design original, pas une transcription.</x:v>
      </x:c>
    </x:row>
    <x:row r="10" ht="68" customHeight="1">
      <x:c r="A10" s="19" t="str">
        <x:v>ASC-DIA-HENDEL</x:v>
      </x:c>
      <x:c r="B10" s="7" t="str">
        <x:v>Hendel Mitra — échange : responsabilité d’un mentor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responsabilité d’un mentor,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Hendel Mitra,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asc.hendel.responsabilite-dun-mentor ; drapeaux de connaissance locaux.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Aucune option ne révèle un savoir futur ; quitter puis reprendre conserve les sujets déjà abordés.</x:v>
      </x:c>
      <x:c r="O10" s="7" t="str">
        <x:v>ASC-CHR-HENDEL</x:v>
      </x:c>
      <x:c r="P10" s="7" t="str"/>
      <x:c r="Q10" s="7" t="str"/>
      <x:c r="R10" s="21" t="str"/>
      <x:c r="S10" s="21" t="str">
        <x:v>Sujet et intentions sont du design original, pas une transcription.</x:v>
      </x:c>
    </x:row>
    <x:row r="11" ht="68" customHeight="1">
      <x:c r="A11" s="18" t="str">
        <x:v>ASC-DIA-LEMM</x:v>
      </x:c>
      <x:c r="B11" s="9" t="str">
        <x:v>Lemm’Shal nar Tesleya — échange : entraide entre étrangers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entraide entre étrangers,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Lemm’Shal nar Tesleya,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asc.lemm.entraide-entre-etrangers ; drapeaux de connaissance locaux.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Aucune option ne révèle un savoir futur ; quitter puis reprendre conserve les sujets déjà abordés.</x:v>
      </x:c>
      <x:c r="O11" s="9" t="str">
        <x:v>ASC-CHR-LEMM</x:v>
      </x:c>
      <x:c r="P11" s="9" t="str"/>
      <x:c r="Q11" s="9" t="str"/>
      <x:c r="R11" s="20" t="str"/>
      <x:c r="S11" s="20" t="str">
        <x:v>Sujet et intentions sont du design original, pas une transcription.</x:v>
      </x:c>
    </x:row>
    <x:row r="12" ht="68" customHeight="1">
      <x:c r="A12" s="19" t="str">
        <x:v>ASC-DIA-GOLO</x:v>
      </x:c>
      <x:c r="B12" s="7" t="str">
        <x:v>Golo — échange : exil et intérêt personnel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exil et intérêt personnel,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Golo,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asc.golo.exil-et-interet-personnel ; drapeaux de connaissance locaux.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Aucune option ne révèle un savoir futur ; quitter puis reprendre conserve les sujets déjà abordés.</x:v>
      </x:c>
      <x:c r="O12" s="7" t="str">
        <x:v>ASC-CHR-GOLO</x:v>
      </x:c>
      <x:c r="P12" s="7" t="str"/>
      <x:c r="Q12" s="7" t="str"/>
      <x:c r="R12" s="21" t="str"/>
      <x:c r="S12" s="21" t="str">
        <x:v>Sujet et intentions sont du design original, pas une transcription.</x:v>
      </x:c>
    </x:row>
    <x:row r="13" ht="68" customHeight="1">
      <x:c r="A13" s="18" t="str">
        <x:v>ASC-DIA-PEL</x:v>
      </x:c>
      <x:c r="B13" s="9" t="str">
        <x:v>Pel — échange : exploitation des personnes biotiques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exploitation des personnes biotiques,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Pel,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asc.pel.exploitation-des-personnes-biotiques ; drapeaux de connaissance locaux.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Aucune option ne révèle un savoir futur ; quitter puis reprendre conserve les sujets déjà abordés.</x:v>
      </x:c>
      <x:c r="O13" s="9" t="str">
        <x:v>ASC-CHR-PEL</x:v>
      </x:c>
      <x:c r="P13" s="9" t="str"/>
      <x:c r="Q13" s="9" t="str"/>
      <x:c r="R13" s="20" t="str"/>
      <x:c r="S13" s="20" t="str">
        <x:v>Sujet et intentions sont du design original, pas une transcription.</x:v>
      </x:c>
    </x:row>
    <x:row r="14" ht="68" customHeight="1">
      <x:c r="A14" s="19" t="str">
        <x:v>ASC-DIA-JIRO</x:v>
      </x:c>
      <x:c r="B14" s="7" t="str">
        <x:v>Jiro Toshiwa — échange : confiance envers une autorité médicale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confiance envers une autorité médicale,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Jiro Toshiwa,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asc.jiro.confiance-envers-une-autorite-medicale ; drapeaux de connaissance locaux.</x:v>
      </x:c>
      <x:c r="M14" s="7" t="str">
        <x:v>Préserver Gillian comme personne et enfant dans le contexte d’Ascension ; les options de gameplay ne changent ni son identité ni les événements qui conduisent à son séjour sur l’Idenna.</x:v>
      </x:c>
      <x:c r="N14" s="7" t="str">
        <x:v>Aucune option ne révèle un savoir futur ; quitter puis reprendre conserve les sujets déjà abordés.</x:v>
      </x:c>
      <x:c r="O14" s="7" t="str">
        <x:v>ASC-CHR-JIRO</x:v>
      </x:c>
      <x:c r="P14" s="7" t="str"/>
      <x:c r="Q14" s="7" t="str"/>
      <x:c r="R14" s="21" t="str"/>
      <x:c r="S14" s="21" t="str">
        <x:v>Sujet et intentions sont du design original, pas une transcription.</x:v>
      </x:c>
    </x:row>
    <x:row r="15" ht="68" customHeight="1">
      <x:c r="A15" s="18" t="str">
        <x:v>ASC-DIA-NICK</x:v>
      </x:c>
      <x:c r="B15" s="9" t="str">
        <x:v>Nick Donahue — échange : coexistence et respect des limites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coexistence et respect des limites,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Nick Donahue,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asc.nick.coexistence-et-respect-des-limites ; drapeaux de connaissance locaux.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Aucune option ne révèle un savoir futur ; quitter puis reprendre conserve les sujets déjà abordés.</x:v>
      </x:c>
      <x:c r="O15" s="9" t="str">
        <x:v>ASC-CHR-NICK</x:v>
      </x:c>
      <x:c r="P15" s="9" t="str"/>
      <x:c r="Q15" s="9" t="str"/>
      <x:c r="R15" s="20" t="str"/>
      <x:c r="S15" s="20" t="str">
        <x:v>Sujet et intentions sont du design original, pas une transcription.</x:v>
      </x:c>
    </x:row>
    <x:row r="16" ht="68" customHeight="1">
      <x:c r="A16" s="19" t="str">
        <x:v>ASC-DIA-MAL</x:v>
      </x:c>
      <x:c r="B16" s="7" t="str">
        <x:v>Ysin’Mal vas Idenna — échange : hospitalité et responsabilité envers l’équipage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hospitalité et responsabilité envers l’équipage,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Ysin’Mal vas Idenna,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asc.mal.hospitalite-et-responsabilite-envers-lequipage ; drapeaux de connaissance locaux.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Aucune option ne révèle un savoir futur ; quitter puis reprendre conserve les sujets déjà abordés.</x:v>
      </x:c>
      <x:c r="O16" s="7" t="str">
        <x:v>ASC-CHR-MAL</x:v>
      </x:c>
      <x:c r="P16" s="7" t="str"/>
      <x:c r="Q16" s="7" t="str"/>
      <x:c r="R16" s="21" t="str"/>
      <x:c r="S16" s="21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2a9dcda6e24fcf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ASC-CIN-CALM</x:v>
      </x:c>
      <x:c r="B7" s="9" t="str">
        <x:v>Trouver un rythme de coopération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Échange original où Gillian exprime sa préférence.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cinematics/asc/calm.timeline ; événements idempotents.</x:v>
      </x:c>
      <x:c r="M7" s="9" t="str">
        <x:v>Ne pas définir le personnage seulement par son diagnostic.</x:v>
      </x:c>
      <x:c r="N7" s="9" t="str">
        <x:v>Version regardée et version sautée donnent les mêmes inventaire, équipe, carte et objectifs.</x:v>
      </x:c>
      <x:c r="O7" s="9" t="str">
        <x:v>ASC-MIS-CALM</x:v>
      </x:c>
      <x:c r="P7" s="9" t="str"/>
      <x:c r="Q7" s="9" t="str"/>
      <x:c r="R7" s="20" t="str"/>
      <x:c r="S7" s="20" t="str"/>
    </x:row>
    <x:row r="8" ht="54" customHeight="1">
      <x:c r="A8" s="19" t="str">
        <x:v>ASC-CIN-RECORD</x:v>
      </x:c>
      <x:c r="B8" s="7" t="str">
        <x:v>Contrôler un dossier de suivi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Un dossier s’affiche comme incomplet, puis l’écran revient au groupe.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cinematics/asc/record.timeline ; événements idempotents.</x:v>
      </x:c>
      <x:c r="M8" s="7" t="str">
        <x:v>Aucune technique de traitement ou injection détaillée.</x:v>
      </x:c>
      <x:c r="N8" s="7" t="str">
        <x:v>Version regardée et version sautée donnent les mêmes inventaire, équipe, carte et objectifs.</x:v>
      </x:c>
      <x:c r="O8" s="7" t="str">
        <x:v>ASC-MIS-RECORD</x:v>
      </x:c>
      <x:c r="P8" s="7" t="str"/>
      <x:c r="Q8" s="7" t="str"/>
      <x:c r="R8" s="21" t="str"/>
      <x:c r="S8" s="21" t="str"/>
    </x:row>
    <x:row r="9" ht="54" customHeight="1">
      <x:c r="A9" s="18" t="str">
        <x:v>ASC-CIN-CONTACT</x:v>
      </x:c>
      <x:c r="B9" s="9" t="str">
        <x:v>Chercher un passage discret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Panorama court qui situe le groupe dans la station.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cinematics/asc/contact.timeline ; événements idempotents.</x:v>
      </x:c>
      <x:c r="M9" s="9" t="str">
        <x:v>Les PNJ ajoutés portent la mention création originale.</x:v>
      </x:c>
      <x:c r="N9" s="9" t="str">
        <x:v>Version regardée et version sautée donnent les mêmes inventaire, équipe, carte et objectifs.</x:v>
      </x:c>
      <x:c r="O9" s="9" t="str">
        <x:v>ASC-MIS-CONTACT</x:v>
      </x:c>
      <x:c r="P9" s="9" t="str"/>
      <x:c r="Q9" s="9" t="str"/>
      <x:c r="R9" s="20" t="str"/>
      <x:c r="S9" s="20" t="str"/>
    </x:row>
    <x:row r="10" ht="54" customHeight="1">
      <x:c r="A10" s="19" t="str">
        <x:v>ASC-CIN-RELEASE</x:v>
      </x:c>
      <x:c r="B10" s="7" t="str">
        <x:v>Dégager un sas de détention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La porte se ferme derrière les fuyards sans dialogue du roman.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cinematics/asc/release.timeline ; événements idempotents.</x:v>
      </x:c>
      <x:c r="M10" s="7" t="str">
        <x:v>Ne pas transformer Gillian en combattante obligatoire.</x:v>
      </x:c>
      <x:c r="N10" s="7" t="str">
        <x:v>Version regardée et version sautée donnent les mêmes inventaire, équipe, carte et objectifs.</x:v>
      </x:c>
      <x:c r="O10" s="7" t="str">
        <x:v>ASC-MIS-RELEASE</x:v>
      </x:c>
      <x:c r="P10" s="7" t="str"/>
      <x:c r="Q10" s="7" t="str"/>
      <x:c r="R10" s="21" t="str"/>
      <x:c r="S10" s="21" t="str"/>
    </x:row>
    <x:row r="11" ht="54" customHeight="1">
      <x:c r="A11" s="18" t="str">
        <x:v>ASC-CIN-TRAVEL</x:v>
      </x:c>
      <x:c r="B11" s="9" t="str">
        <x:v>Préserver les ressources de transit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Plan sur le groupe au repos après stabilisation.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cinematics/asc/travel.timeline ; événements idempotents.</x:v>
      </x:c>
      <x:c r="M11" s="9" t="str">
        <x:v>Les temps de voyage sont abstraits et ne fixent pas un nouveau canon.</x:v>
      </x:c>
      <x:c r="N11" s="9" t="str">
        <x:v>Version regardée et version sautée donnent les mêmes inventaire, équipe, carte et objectifs.</x:v>
      </x:c>
      <x:c r="O11" s="9" t="str">
        <x:v>ASC-MIS-TRAVEL</x:v>
      </x:c>
      <x:c r="P11" s="9" t="str"/>
      <x:c r="Q11" s="9" t="str"/>
      <x:c r="R11" s="20" t="str"/>
      <x:c r="S11" s="20" t="str"/>
    </x:row>
    <x:row r="12" ht="54" customHeight="1">
      <x:c r="A12" s="19" t="str">
        <x:v>ASC-CIN-WELCOME</x:v>
      </x:c>
      <x:c r="B12" s="7" t="str">
        <x:v>Franchir le protocole d’accueil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portes successives marquent l’entrée dans un nouvel espace social.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cinematics/asc/welcome.timeline ; événements idempotents.</x:v>
      </x:c>
      <x:c r="M12" s="7" t="str">
        <x:v>Pas de guérison magique des vulnérabilités quarianes.</x:v>
      </x:c>
      <x:c r="N12" s="7" t="str">
        <x:v>Version regardée et version sautée donnent les mêmes inventaire, équipe, carte et objectifs.</x:v>
      </x:c>
      <x:c r="O12" s="7" t="str">
        <x:v>ASC-MIS-WELCOME</x:v>
      </x:c>
      <x:c r="P12" s="7" t="str"/>
      <x:c r="Q12" s="7" t="str"/>
      <x:c r="R12" s="21" t="str"/>
      <x:c r="S12" s="21" t="str"/>
    </x:row>
    <x:row r="13" ht="54" customHeight="1">
      <x:c r="A13" s="18" t="str">
        <x:v>ASC-CIN-SHARE</x:v>
      </x:c>
      <x:c r="B13" s="9" t="str">
        <x:v>Contribuer au pont d’échange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Une poignée de main ou un signe de reconnaissance choisi sans contact forcé.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cinematics/asc/share.timeline ; événements idempotents.</x:v>
      </x:c>
      <x:c r="M13" s="9" t="str">
        <x:v>Les échanges ne changent pas la mission de l’Idenna.</x:v>
      </x:c>
      <x:c r="N13" s="9" t="str">
        <x:v>Version regardée et version sautée donnent les mêmes inventaire, équipe, carte et objectifs.</x:v>
      </x:c>
      <x:c r="O13" s="9" t="str">
        <x:v>ASC-MIS-SHARE</x:v>
      </x:c>
      <x:c r="P13" s="9" t="str"/>
      <x:c r="Q13" s="9" t="str"/>
      <x:c r="R13" s="20" t="str"/>
      <x:c r="S13" s="20" t="str"/>
    </x:row>
    <x:row r="14" ht="54" customHeight="1">
      <x:c r="A14" s="19" t="str">
        <x:v>ASC-CIN-SECURE</x:v>
      </x:c>
      <x:c r="B14" s="7" t="str">
        <x:v>Sécuriser l’aire d’accueil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Le groupe observe un itinéraire d’exploration sur un écran abstrait.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cinematics/asc/secure.timeline ; événements idempotents.</x:v>
      </x:c>
      <x:c r="M14" s="7" t="str">
        <x:v>Gillian et Hendel restent liés à l’Idenna selon la continuité.</x:v>
      </x:c>
      <x:c r="N14" s="7" t="str">
        <x:v>Version regardée et version sautée donnent les mêmes inventaire, équipe, carte et objectifs.</x:v>
      </x:c>
      <x:c r="O14" s="7" t="str">
        <x:v>ASC-MIS-SECURE</x:v>
      </x:c>
      <x:c r="P14" s="7" t="str"/>
      <x:c r="Q14" s="7" t="str"/>
      <x:c r="R14" s="21" t="str"/>
      <x:c r="S14" s="21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937baa0a5c447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ASC-REF-STUN</x:v>
      </x:c>
      <x:c r="B7" s="9" t="str">
        <x:v>Arme étourdissante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Jiro tente d’arrêter Hendel à l’aide d’un étourdisseur.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ref.asc.stun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20" t="str">
        <x:v>https://masseffect.fandom.com/wiki/Hendel_Mitra</x:v>
      </x:c>
      <x:c r="S7" s="20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54af1407864f94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ASC-REF-IDENNA</x:v>
      </x:c>
      <x:c r="B7" s="9" t="str">
        <x:v>Idenna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Vaisseau quarien servant de refuge au groupe.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ref.asc.idenna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ASC-SRC-IDENNA</x:v>
      </x:c>
      <x:c r="R7" s="20" t="str">
        <x:v>https://masseffect.fandom.com/wiki/Idenna</x:v>
      </x:c>
      <x:c r="S7" s="20" t="str">
        <x:v>Ce relevé n’est ni un inventaire exhaustif ni un résumé scène par scène.</x:v>
      </x:c>
    </x:row>
    <x:row r="8" ht="68" customHeight="1">
      <x:c r="A8" s="19" t="str">
        <x:v>ASC-REF-CYNIAD</x:v>
      </x:c>
      <x:c r="B8" s="7" t="str">
        <x:v>Cyniad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éclaireur de l’Idenna piloté par Hilo.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ref.asc.cyniad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ASC-SRC-HILO</x:v>
      </x:c>
      <x:c r="R8" s="21" t="str">
        <x:v>https://masseffect.fandom.com/wiki/Hilo%27Jaa_vas_Idenna</x:v>
      </x:c>
      <x:c r="S8" s="21" t="str">
        <x:v>Ce relevé n’est ni un inventaire exhaustif ni un résumé scène par scène.</x:v>
      </x:c>
    </x:row>
    <x:row r="9" ht="68" customHeight="1">
      <x:c r="A9" s="18" t="str">
        <x:v>ASC-REF-SUIT</x:v>
      </x:c>
      <x:c r="B9" s="9" t="str">
        <x:v>Combinaison environnementale quarienne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L’intégrité du masque de Hilo est compromise dans l’embuscade.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ref.asc.suit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ASC-SRC-GOLO</x:v>
      </x:c>
      <x:c r="R9" s="20" t="str">
        <x:v>https://masseffect.fandom.com/wiki/Golo</x:v>
      </x:c>
      <x:c r="S9" s="20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c7ef9897934752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ASC-REF-BIOTICS</x:v>
      </x:c>
      <x:c r="B7" s="9" t="str">
        <x:v>Biotique encadrée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programme vise l’apprentissage des aptitudes biotiques des enfants.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ref.asc.biotics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ASC-SRC-PUB</x:v>
      </x:c>
      <x:c r="R7" s="20" t="str">
        <x:v>https://www.penguinrandomhouse.com/books/89888/mass-effect-ascension-by-drew-karpyshyn/paperback/</x:v>
      </x:c>
      <x:c r="S7" s="20" t="str">
        <x:v>Ce relevé n’est ni un inventaire exhaustif ni un résumé scène par scène.</x:v>
      </x:c>
    </x:row>
    <x:row r="8" ht="68" customHeight="1">
      <x:c r="A8" s="19" t="str">
        <x:v>ASC-REF-HENPOWER</x:v>
      </x:c>
      <x:c r="B8" s="7" t="str">
        <x:v>Protection biotique de Hendel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Hendel emploie sa biotique dans les crises du projet et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ref.asc.henpower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21" t="str">
        <x:v>https://masseffect.fandom.com/wiki/Hendel_Mitra</x:v>
      </x:c>
      <x:c r="S8" s="21" t="str">
        <x:v>Ce relevé n’est ni un inventaire exhaustif ni un résumé scène par scène.</x:v>
      </x:c>
    </x:row>
  </x:sheetData>
  <x:conditionalFormatting sqref="D7:D8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8">
    <x:cfRule type="cellIs" dxfId="66" priority="3" operator="equal">
      <x:formula>"Validé"</x:formula>
    </x:cfRule>
  </x:conditionalFormatting>
  <x:conditionalFormatting sqref="E7:E8">
    <x:cfRule type="cellIs" dxfId="6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69bdabe18d46d2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ASC-MOV-FOCUS</x:v>
      </x:c>
      <x:c r="B7" s="9" t="str">
        <x:v>Accord de concentration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et son accompagnant : Proposer un exercice que Gillian peut accepter ou interrompre ; bonus de précision local seulement.</x:v>
      </x:c>
      <x:c r="H7" s="9" t="str">
        <x:v>Proposer un exercice que Gillian peut accepter ou interrompre ; bonus de précision local seulement. Coût initial proposé : une action ATB ; coût et délai restent des paramètres de prototype.</x:v>
      </x:c>
      <x:c r="I7" s="9" t="str">
        <x:v>Halo discret et icône de consentement explicite.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actions/asc/focus.json ; commande, cibles autorisées, coût, effets, nettoyage.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20" t="str"/>
      <x:c r="S7" s="20" t="str"/>
    </x:row>
    <x:row r="8" ht="68" customHeight="1">
      <x:c r="A8" s="19" t="str">
        <x:v>ASC-MOV-WARD</x:v>
      </x:c>
      <x:c r="B8" s="7" t="str">
        <x:v>Protection encadrée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Maintenir un couvert temporaire le temps qu’un allié termine une interaction.</x:v>
      </x:c>
      <x:c r="H8" s="7" t="str">
        <x:v>Maintenir un couvert temporaire le temps qu’un allié termine une interaction. Coût initial proposé : une action ATB ; coût et délai restent des paramètres de prototype.</x:v>
      </x:c>
      <x:c r="I8" s="7" t="str">
        <x:v>Arc biotique avec limites visibles.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actions/asc/ward.json ; commande, cibles autorisées, coût, effets, nettoyage.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21" t="str"/>
      <x:c r="S8" s="21" t="str"/>
    </x:row>
    <x:row r="9" ht="68" customHeight="1">
      <x:c r="A9" s="18" t="str">
        <x:v>ASC-MOV-VERIFY</x:v>
      </x:c>
      <x:c r="B9" s="9" t="str">
        <x:v>Double lecture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Revoir une trace administrative pour retirer une fausse piste locale.</x:v>
      </x:c>
      <x:c r="H9" s="9" t="str">
        <x:v>Revoir une trace administrative pour retirer une fausse piste locale. Coût initial proposé : une action ATB ; coût et délai restent des paramètres de prototype.</x:v>
      </x:c>
      <x:c r="I9" s="9" t="str">
        <x:v>Surlignage de deux champs contradictoires.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actions/asc/verify.json ; commande, cibles autorisées, coût, effets, nettoyage.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20" t="str"/>
      <x:c r="S9" s="20" t="str"/>
    </x:row>
    <x:row r="10" ht="68" customHeight="1">
      <x:c r="A10" s="19" t="str">
        <x:v>ASC-MOV-BYPASS</x:v>
      </x:c>
      <x:c r="B10" s="7" t="str">
        <x:v>Pont technique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Lemm : Alimenter une porte depuis un poste voisin pendant qu’un second acteur passe.</x:v>
      </x:c>
      <x:c r="H10" s="7" t="str">
        <x:v>Alimenter une porte depuis un poste voisin pendant qu’un second acteur passe. Coût initial proposé : une action ATB ; coût et délai restent des paramètres de prototype.</x:v>
      </x:c>
      <x:c r="I10" s="7" t="str">
        <x:v>Câble virtuel et panneau orange.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actions/asc/bypass.json ; commande, cibles autorisées, coût, effets, nettoyage.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21" t="str"/>
      <x:c r="S10" s="21" t="str"/>
    </x:row>
    <x:row r="11" ht="68" customHeight="1">
      <x:c r="A11" s="18" t="str">
        <x:v>ASC-MOV-ASSIST</x:v>
      </x:c>
      <x:c r="B11" s="9" t="str">
        <x:v>Aide au déplacement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Accompagner un personnage sans contact imposé ; adapter le rythme au plus lent.</x:v>
      </x:c>
      <x:c r="H11" s="9" t="str">
        <x:v>Accompagner un personnage sans contact imposé ; adapter le rythme au plus lent. Coût initial proposé : une action ATB ; coût et délai restent des paramètres de prototype.</x:v>
      </x:c>
      <x:c r="I11" s="9" t="str">
        <x:v>Positions d’escorte espacées.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actions/asc/assist.json ; commande, cibles autorisées, coût, effets, nettoyage.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20" t="str"/>
      <x:c r="S11" s="20" t="str"/>
    </x:row>
    <x:row r="12" ht="68" customHeight="1">
      <x:c r="A12" s="19" t="str">
        <x:v>ASC-MOV-ISOLATE</x:v>
      </x:c>
      <x:c r="B12" s="7" t="str">
        <x:v>Isolation de sas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Équipage proposé : Fermer un circuit défaillant sans couper le trajet de retour.</x:v>
      </x:c>
      <x:c r="H12" s="7" t="str">
        <x:v>Fermer un circuit défaillant sans couper le trajet de retour. Coût initial proposé : une action ATB ; coût et délai restent des paramètres de prototype.</x:v>
      </x:c>
      <x:c r="I12" s="7" t="str">
        <x:v>Symboles de porte séparés et état de pression abstrait.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actions/asc/isolate.json ; commande, cibles autorisées, coût, effets, nettoyage.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21" t="str"/>
      <x:c r="S12" s="21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ebb328f37347bd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ASC-EMV-CAPTOR</x:v>
      </x:c>
      <x:c r="B7" s="9" t="str">
        <x:v>Surveillant de dépôt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Déplace sa surveillance entre accès et terminal.</x:v>
      </x:c>
      <x:c r="H7" s="9" t="str">
        <x:v>Télégraphe : Lampe frontale et arc de contrôle au sol. Contre-mesure : Couper sa ligne de vue ou attendre l’ouverture d’un second accès.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behaviors/asc/captor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ASC-ENC-CAPTOR</x:v>
      </x:c>
      <x:c r="P7" s="9" t="str"/>
      <x:c r="Q7" s="9" t="str"/>
      <x:c r="R7" s="20" t="str"/>
      <x:c r="S7" s="20" t="str"/>
    </x:row>
    <x:row r="8" ht="68" customHeight="1">
      <x:c r="A8" s="19" t="str">
        <x:v>ASC-EMV-BARGAIN</x:v>
      </x:c>
      <x:c r="B8" s="7" t="str">
        <x:v>Intermédiaire hostile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Multiplie les exigences si le groupe présente un document incomplet.</x:v>
      </x:c>
      <x:c r="H8" s="7" t="str">
        <x:v>Télégraphe : Liste de conditions visible avant confirmation. Contre-mesure : Compléter le dossier ou trouver le contact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behaviors/asc/bargain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ASC-ENC-BARGAIN</x:v>
      </x:c>
      <x:c r="P8" s="7" t="str"/>
      <x:c r="Q8" s="7" t="str"/>
      <x:c r="R8" s="21" t="str"/>
      <x:c r="S8" s="21" t="str"/>
    </x:row>
    <x:row r="9" ht="68" customHeight="1">
      <x:c r="A9" s="18" t="str">
        <x:v>ASC-EMV-GOLO</x:v>
      </x:c>
      <x:c r="B9" s="9" t="str">
        <x:v>Intrusion de Golo — confrontation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Essaie de verrouiller un accès pendant que le groupe protège des résidents.</x:v>
      </x:c>
      <x:c r="H9" s="9" t="str">
        <x:v>Télégraphe : Deux voyants passent successivement à l’alerte. Contre-mesure : Maintenir le poste secondaire et déplacer les civils.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behaviors/asc/golo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ASC-ENC-GOLO</x:v>
      </x:c>
      <x:c r="P9" s="9" t="str"/>
      <x:c r="Q9" s="9" t="str"/>
      <x:c r="R9" s="20" t="str"/>
      <x:c r="S9" s="20" t="str"/>
    </x:row>
    <x:row r="10" ht="68" customHeight="1">
      <x:c r="A10" s="19" t="str">
        <x:v>ASC-EMV-FILTER</x:v>
      </x:c>
      <x:c r="B10" s="7" t="str">
        <x:v>Surcharge de filtration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Force l’arrêt temporaire d’une chambre du sas.</x:v>
      </x:c>
      <x:c r="H10" s="7" t="str">
        <x:v>Télégraphe : Variation de souffle et jauge de pression symbolique. Contre-mesure : Basculer vers la chambre de réserve sans ouvrir les deux portes.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behaviors/asc/filter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ASC-ENC-FILTER</x:v>
      </x:c>
      <x:c r="P10" s="7" t="str"/>
      <x:c r="Q10" s="7" t="str"/>
      <x:c r="R10" s="21" t="str"/>
      <x:c r="S10" s="21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50c2b58e124975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ASC-ANI-KAHLEE</x:v>
      </x:c>
      <x:c r="B7" s="9" t="str">
        <x:v>Kahlee Sanders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Vérifier une procédure de soin et communiquer une consigne accessible. ».</x:v>
      </x:c>
      <x:c r="G7" s="9" t="str">
        <x:v>Blocage animé de Kahlee Sanders : anticipation, action, récupération, retour au repos ; prévoir une interruption propre.</x:v>
      </x:c>
      <x:c r="H7" s="9" t="str">
        <x:v>Vérifier une procédure de soin et communiquer une consigne accessible. L’effet logique ne dépend jamais de la cadence du rendu.</x:v>
      </x:c>
      <x:c r="I7" s="9" t="str">
        <x:v>Conserver les repères de silhouette : Tenue de travail pédagogique, tablette, visage rassurant sans infantilisation.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actor.asc.kahlee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ASC-SPR-KAHLEE</x:v>
      </x:c>
      <x:c r="P7" s="9" t="str"/>
      <x:c r="Q7" s="9" t="str"/>
      <x:c r="R7" s="20" t="str"/>
      <x:c r="S7" s="20" t="str"/>
    </x:row>
    <x:row r="8" ht="54" customHeight="1">
      <x:c r="A8" s="19" t="str">
        <x:v>ASC-ANI-GILLIAN</x:v>
      </x:c>
      <x:c r="B8" s="7" t="str">
        <x:v>Gillian Grayson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Choisir un point de concentration avant une action encadrée. ».</x:v>
      </x:c>
      <x:c r="G8" s="7" t="str">
        <x:v>Blocage animé de Gillian Grayson : anticipation, action, récupération, retour au repos ; prévoir une interruption propre.</x:v>
      </x:c>
      <x:c r="H8" s="7" t="str">
        <x:v>Choisir un point de concentration avant une action encadrée. L’effet logique ne dépend jamais de la cadence du rendu.</x:v>
      </x:c>
      <x:c r="I8" s="7" t="str">
        <x:v>Conserver les repères de silhouette : Silhouette d’enfant, cheveux sombres ; garder un langage corporel individualisé.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actor.asc.gillian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ASC-SPR-GILLIAN</x:v>
      </x:c>
      <x:c r="P8" s="7" t="str"/>
      <x:c r="Q8" s="7" t="str"/>
      <x:c r="R8" s="21" t="str"/>
      <x:c r="S8" s="21" t="str"/>
    </x:row>
    <x:row r="9" ht="54" customHeight="1">
      <x:c r="A9" s="18" t="str">
        <x:v>ASC-ANI-PAUL</x:v>
      </x:c>
      <x:c r="B9" s="9" t="str">
        <x:v>Paul Grayson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Participer à une conversation où sa fiabilité demeure un enjeu. ».</x:v>
      </x:c>
      <x:c r="G9" s="9" t="str">
        <x:v>Blocage animé de Paul Grayson : anticipation, action, récupération, retour au repos ; prévoir une interruption propre.</x:v>
      </x:c>
      <x:c r="H9" s="9" t="str">
        <x:v>Participer à une conversation où sa fiabilité demeure un enjeu. L’effet logique ne dépend jamais de la cadence du rendu.</x:v>
      </x:c>
      <x:c r="I9" s="9" t="str">
        <x:v>Conserver les repères de silhouette : Civil mobile, équipement discret, fatigue rendue sans caricature.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actor.asc.paul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ASC-SPR-PAUL</x:v>
      </x:c>
      <x:c r="P9" s="9" t="str"/>
      <x:c r="Q9" s="9" t="str"/>
      <x:c r="R9" s="20" t="str"/>
      <x:c r="S9" s="20" t="str"/>
    </x:row>
    <x:row r="10" ht="54" customHeight="1">
      <x:c r="A10" s="19" t="str">
        <x:v>ASC-ANI-HENDEL</x:v>
      </x:c>
      <x:c r="B10" s="7" t="str">
        <x:v>Hendel Mitra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Former un espace de protection temporaire autour d’une évacuation. ».</x:v>
      </x:c>
      <x:c r="G10" s="7" t="str">
        <x:v>Blocage animé de Hendel Mitra : anticipation, action, récupération, retour au repos ; prévoir une interruption propre.</x:v>
      </x:c>
      <x:c r="H10" s="7" t="str">
        <x:v>Former un espace de protection temporaire autour d’une évacuation. L’effet logique ne dépend jamais de la cadence du rendu.</x:v>
      </x:c>
      <x:c r="I10" s="7" t="str">
        <x:v>Conserver les repères de silhouette : Grande stature, peau brune, cheveux brun roux, tenue de sécurité proposée.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actor.asc.hendel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ASC-SPR-HENDEL</x:v>
      </x:c>
      <x:c r="P10" s="7" t="str"/>
      <x:c r="Q10" s="7" t="str"/>
      <x:c r="R10" s="21" t="str"/>
      <x:c r="S10" s="21" t="str"/>
    </x:row>
    <x:row r="11" ht="54" customHeight="1">
      <x:c r="A11" s="18" t="str">
        <x:v>ASC-ANI-LEMM</x:v>
      </x:c>
      <x:c r="B11" s="9" t="str">
        <x:v>Lemm’Shal nar Tesleya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Ouvrir un chemin technique dans un environnement marchand. ».</x:v>
      </x:c>
      <x:c r="G11" s="9" t="str">
        <x:v>Blocage animé de Lemm’Shal nar Tesleya : anticipation, action, récupération, retour au repos ; prévoir une interruption propre.</x:v>
      </x:c>
      <x:c r="H11" s="9" t="str">
        <x:v>Ouvrir un chemin technique dans un environnement marchand. L’effet logique ne dépend jamais de la cadence du rendu.</x:v>
      </x:c>
      <x:c r="I11" s="9" t="str">
        <x:v>Conserver les repères de silhouette : Combinaison close, silhouette légère ; couleurs à fixer après validation.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actor.asc.lemm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ASC-SPR-LEMM</x:v>
      </x:c>
      <x:c r="P11" s="9" t="str"/>
      <x:c r="Q11" s="9" t="str"/>
      <x:c r="R11" s="20" t="str"/>
      <x:c r="S11" s="20" t="str"/>
    </x:row>
    <x:row r="12" ht="54" customHeight="1">
      <x:c r="A12" s="19" t="str">
        <x:v>ASC-ANI-GOLO</x:v>
      </x:c>
      <x:c r="B12" s="7" t="str">
        <x:v>Golo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Tenter de détourner les accès d’une opération locale. ».</x:v>
      </x:c>
      <x:c r="G12" s="7" t="str">
        <x:v>Blocage animé de Golo : anticipation, action, récupération, retour au repos ; prévoir une interruption propre.</x:v>
      </x:c>
      <x:c r="H12" s="7" t="str">
        <x:v>Tenter de détourner les accès d’une opération locale. L’effet logique ne dépend jamais de la cadence du rendu.</x:v>
      </x:c>
      <x:c r="I12" s="7" t="str">
        <x:v>Conserver les repères de silhouette : Combinaison close usée ; ne pas transformer ses actes en trait de toute son espèce.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actor.asc.golo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ASC-SPR-GOLO</x:v>
      </x:c>
      <x:c r="P12" s="7" t="str"/>
      <x:c r="Q12" s="7" t="str"/>
      <x:c r="R12" s="21" t="str"/>
      <x:c r="S12" s="21" t="str"/>
    </x:row>
    <x:row r="13" ht="54" customHeight="1">
      <x:c r="A13" s="18" t="str">
        <x:v>ASC-ANI-PEL</x:v>
      </x:c>
      <x:c r="B13" s="9" t="str">
        <x:v>Pel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Surveiller un espace de détention ajouté pour le module. ».</x:v>
      </x:c>
      <x:c r="G13" s="9" t="str">
        <x:v>Blocage animé de Pel : anticipation, action, récupération, retour au repos ; prévoir une interruption propre.</x:v>
      </x:c>
      <x:c r="H13" s="9" t="str">
        <x:v>Surveiller un espace de détention ajouté pour le module. L’effet logique ne dépend jamais de la cadence du rendu.</x:v>
      </x:c>
      <x:c r="I13" s="9" t="str">
        <x:v>Conserver les repères de silhouette : Silhouette humaine de mercenaire, accessoires à confirmer.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actor.asc.pel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ASC-SPR-PEL</x:v>
      </x:c>
      <x:c r="P13" s="9" t="str"/>
      <x:c r="Q13" s="9" t="str"/>
      <x:c r="R13" s="20" t="str"/>
      <x:c r="S13" s="20" t="str"/>
    </x:row>
    <x:row r="14" ht="54" customHeight="1">
      <x:c r="A14" s="19" t="str">
        <x:v>ASC-ANI-JIRO</x:v>
      </x:c>
      <x:c r="B14" s="7" t="str">
        <x:v>Jiro Toshiwa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Être associé à un dossier de traitement suspect à vérifier. ».</x:v>
      </x:c>
      <x:c r="G14" s="7" t="str">
        <x:v>Blocage animé de Jiro Toshiwa : anticipation, action, récupération, retour au repos ; prévoir une interruption propre.</x:v>
      </x:c>
      <x:c r="H14" s="7" t="str">
        <x:v>Être associé à un dossier de traitement suspect à vérifier. L’effet logique ne dépend jamais de la cadence du rendu.</x:v>
      </x:c>
      <x:c r="I14" s="7" t="str">
        <x:v>Conserver les repères de silhouette : Tenue médicale, outils de soin traités sans procédure réelle détaillée.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actor.asc.jiro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ASC-SPR-JIRO</x:v>
      </x:c>
      <x:c r="P14" s="7" t="str"/>
      <x:c r="Q14" s="7" t="str"/>
      <x:c r="R14" s="21" t="str"/>
      <x:c r="S14" s="21" t="str"/>
    </x:row>
    <x:row r="15" ht="54" customHeight="1">
      <x:c r="A15" s="18" t="str">
        <x:v>ASC-ANI-NICK</x:v>
      </x:c>
      <x:c r="B15" s="9" t="str">
        <x:v>Nick Donahue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Exprimer une rivalité dans une scène de dialogue originale. ».</x:v>
      </x:c>
      <x:c r="G15" s="9" t="str">
        <x:v>Blocage animé de Nick Donahue : anticipation, action, récupération, retour au repos ; prévoir une interruption propre.</x:v>
      </x:c>
      <x:c r="H15" s="9" t="str">
        <x:v>Exprimer une rivalité dans une scène de dialogue originale. L’effet logique ne dépend jamais de la cadence du rendu.</x:v>
      </x:c>
      <x:c r="I15" s="9" t="str">
        <x:v>Conserver les repères de silhouette : Adolescent de l’académie, uniforme proposé sans apparence d’adulte.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actor.asc.nick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ASC-SPR-NICK</x:v>
      </x:c>
      <x:c r="P15" s="9" t="str"/>
      <x:c r="Q15" s="9" t="str"/>
      <x:c r="R15" s="20" t="str"/>
      <x:c r="S15" s="20" t="str"/>
    </x:row>
    <x:row r="16" ht="54" customHeight="1">
      <x:c r="A16" s="19" t="str">
        <x:v>ASC-ANI-MAL</x:v>
      </x:c>
      <x:c r="B16" s="7" t="str">
        <x:v>Ysin’Mal vas Idenna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Énoncer les conditions d’accueil et de départ. ».</x:v>
      </x:c>
      <x:c r="G16" s="7" t="str">
        <x:v>Blocage animé de Ysin’Mal vas Idenna : anticipation, action, récupération, retour au repos ; prévoir une interruption propre.</x:v>
      </x:c>
      <x:c r="H16" s="7" t="str">
        <x:v>Énoncer les conditions d’accueil et de départ. L’effet logique ne dépend jamais de la cadence du rendu.</x:v>
      </x:c>
      <x:c r="I16" s="7" t="str">
        <x:v>Conserver les repères de silhouette : Combinaison de commandement sobre, distinction par liseré proposé.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actor.asc.mal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ASC-SPR-MAL</x:v>
      </x:c>
      <x:c r="P16" s="7" t="str"/>
      <x:c r="Q16" s="7" t="str"/>
      <x:c r="R16" s="21" t="str"/>
      <x:c r="S16" s="21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a0143eee0c461a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ASC-SPR-KAHLEE</x:v>
      </x:c>
      <x:c r="B7" s="9" t="str">
        <x:v>Kahlee Sanders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Kahlee Sanders pour ce module.</x:v>
      </x:c>
      <x:c r="G7" s="9" t="str">
        <x:v>Tenue de travail pédagogique, tablette, visage rassurant sans infantilisation.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Tenue de travail pédagogique, tablette, visage rassurant sans infantilisation.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assets/asc/actors/kahlee/atlas.png + atlas.json, pivot aux pieds.</x:v>
      </x:c>
      <x:c r="M7" s="9" t="str">
        <x:v>Visible uniquement quand Kahlee Sanders est autorisé par l’état narratif.</x:v>
      </x:c>
      <x:c r="N7" s="9" t="str">
        <x:v>Silhouette reconnue sans nom ; pieds sans glissement ; portrait et sprite cohérents à échelle réelle.</x:v>
      </x:c>
      <x:c r="O7" s="9" t="str">
        <x:v>ASC-CHR-KAHLEE</x:v>
      </x:c>
      <x:c r="P7" s="9" t="str"/>
      <x:c r="Q7" s="9" t="str"/>
      <x:c r="R7" s="20" t="str"/>
      <x:c r="S7" s="20" t="str"/>
    </x:row>
    <x:row r="8" ht="68" customHeight="1">
      <x:c r="A8" s="19" t="str">
        <x:v>ASC-SPR-GILLIAN</x:v>
      </x:c>
      <x:c r="B8" s="7" t="str">
        <x:v>Gillian Grayson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Gillian Grayson pour ce module.</x:v>
      </x:c>
      <x:c r="G8" s="7" t="str">
        <x:v>Silhouette d’enfant, cheveux sombres ; garder un langage corporel individualisé.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Silhouette d’enfant, cheveux sombres ; garder un langage corporel individualisé.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assets/asc/actors/gillian/atlas.png + atlas.json, pivot aux pieds.</x:v>
      </x:c>
      <x:c r="M8" s="7" t="str">
        <x:v>Visible uniquement quand Gillian Grayson est autorisé par l’état narratif.</x:v>
      </x:c>
      <x:c r="N8" s="7" t="str">
        <x:v>Silhouette reconnue sans nom ; pieds sans glissement ; portrait et sprite cohérents à échelle réelle.</x:v>
      </x:c>
      <x:c r="O8" s="7" t="str">
        <x:v>ASC-CHR-GILLIAN</x:v>
      </x:c>
      <x:c r="P8" s="7" t="str"/>
      <x:c r="Q8" s="7" t="str"/>
      <x:c r="R8" s="21" t="str"/>
      <x:c r="S8" s="21" t="str"/>
    </x:row>
    <x:row r="9" ht="54" customHeight="1">
      <x:c r="A9" s="18" t="str">
        <x:v>ASC-SPR-PAUL</x:v>
      </x:c>
      <x:c r="B9" s="9" t="str">
        <x:v>Paul Grayson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Paul Grayson pour ce module.</x:v>
      </x:c>
      <x:c r="G9" s="9" t="str">
        <x:v>Civil mobile, équipement discret, fatigue rendue sans caricature.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Civil mobile, équipement discret, fatigue rendue sans caricature.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assets/asc/actors/paul/atlas.png + atlas.json, pivot aux pieds.</x:v>
      </x:c>
      <x:c r="M9" s="9" t="str">
        <x:v>Visible uniquement quand Paul Grayson est autorisé par l’état narratif.</x:v>
      </x:c>
      <x:c r="N9" s="9" t="str">
        <x:v>Silhouette reconnue sans nom ; pieds sans glissement ; portrait et sprite cohérents à échelle réelle.</x:v>
      </x:c>
      <x:c r="O9" s="9" t="str">
        <x:v>ASC-CHR-PAUL</x:v>
      </x:c>
      <x:c r="P9" s="9" t="str"/>
      <x:c r="Q9" s="9" t="str"/>
      <x:c r="R9" s="20" t="str"/>
      <x:c r="S9" s="20" t="str"/>
    </x:row>
    <x:row r="10" ht="68" customHeight="1">
      <x:c r="A10" s="19" t="str">
        <x:v>ASC-SPR-HENDEL</x:v>
      </x:c>
      <x:c r="B10" s="7" t="str">
        <x:v>Hendel Mitra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Hendel Mitra pour ce module.</x:v>
      </x:c>
      <x:c r="G10" s="7" t="str">
        <x:v>Grande stature, peau brune, cheveux brun roux, tenue de sécurité proposée.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Grande stature, peau brune, cheveux brun roux, tenue de sécurité proposée.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assets/asc/actors/hendel/atlas.png + atlas.json, pivot aux pieds.</x:v>
      </x:c>
      <x:c r="M10" s="7" t="str">
        <x:v>Visible uniquement quand Hendel Mitra est autorisé par l’état narratif.</x:v>
      </x:c>
      <x:c r="N10" s="7" t="str">
        <x:v>Silhouette reconnue sans nom ; pieds sans glissement ; portrait et sprite cohérents à échelle réelle.</x:v>
      </x:c>
      <x:c r="O10" s="7" t="str">
        <x:v>ASC-CHR-HENDEL</x:v>
      </x:c>
      <x:c r="P10" s="7" t="str"/>
      <x:c r="Q10" s="7" t="str"/>
      <x:c r="R10" s="21" t="str"/>
      <x:c r="S10" s="21" t="str"/>
    </x:row>
    <x:row r="11" ht="68" customHeight="1">
      <x:c r="A11" s="18" t="str">
        <x:v>ASC-SPR-LEMM</x:v>
      </x:c>
      <x:c r="B11" s="9" t="str">
        <x:v>Lemm’Shal nar Tesleya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Lemm’Shal nar Tesleya pour ce module.</x:v>
      </x:c>
      <x:c r="G11" s="9" t="str">
        <x:v>Combinaison close, silhouette légère ; couleurs à fixer après validation.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Combinaison close, silhouette légère ; couleurs à fixer après validation.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assets/asc/actors/lemm/atlas.png + atlas.json, pivot aux pieds.</x:v>
      </x:c>
      <x:c r="M11" s="9" t="str">
        <x:v>Visible uniquement quand Lemm’Shal nar Tesleya est autorisé par l’état narratif.</x:v>
      </x:c>
      <x:c r="N11" s="9" t="str">
        <x:v>Silhouette reconnue sans nom ; pieds sans glissement ; portrait et sprite cohérents à échelle réelle.</x:v>
      </x:c>
      <x:c r="O11" s="9" t="str">
        <x:v>ASC-CHR-LEMM</x:v>
      </x:c>
      <x:c r="P11" s="9" t="str"/>
      <x:c r="Q11" s="9" t="str"/>
      <x:c r="R11" s="20" t="str"/>
      <x:c r="S11" s="20" t="str"/>
    </x:row>
    <x:row r="12" ht="68" customHeight="1">
      <x:c r="A12" s="19" t="str">
        <x:v>ASC-SPR-GOLO</x:v>
      </x:c>
      <x:c r="B12" s="7" t="str">
        <x:v>Golo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Golo pour ce module.</x:v>
      </x:c>
      <x:c r="G12" s="7" t="str">
        <x:v>Combinaison close usée ; ne pas transformer ses actes en trait de toute son espèce.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Combinaison close usée ; ne pas transformer ses actes en trait de toute son espèce.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assets/asc/actors/golo/atlas.png + atlas.json, pivot aux pieds.</x:v>
      </x:c>
      <x:c r="M12" s="7" t="str">
        <x:v>Visible uniquement quand Golo est autorisé par l’état narratif.</x:v>
      </x:c>
      <x:c r="N12" s="7" t="str">
        <x:v>Silhouette reconnue sans nom ; pieds sans glissement ; portrait et sprite cohérents à échelle réelle.</x:v>
      </x:c>
      <x:c r="O12" s="7" t="str">
        <x:v>ASC-CHR-GOLO</x:v>
      </x:c>
      <x:c r="P12" s="7" t="str"/>
      <x:c r="Q12" s="7" t="str"/>
      <x:c r="R12" s="21" t="str"/>
      <x:c r="S12" s="21" t="str"/>
    </x:row>
    <x:row r="13" ht="54" customHeight="1">
      <x:c r="A13" s="18" t="str">
        <x:v>ASC-SPR-PEL</x:v>
      </x:c>
      <x:c r="B13" s="9" t="str">
        <x:v>Pel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Pel pour ce module.</x:v>
      </x:c>
      <x:c r="G13" s="9" t="str">
        <x:v>Silhouette humaine de mercenaire, accessoires à confirmer.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Silhouette humaine de mercenaire, accessoires à confirmer.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assets/asc/actors/pel/atlas.png + atlas.json, pivot aux pieds.</x:v>
      </x:c>
      <x:c r="M13" s="9" t="str">
        <x:v>Visible uniquement quand Pel est autorisé par l’état narratif.</x:v>
      </x:c>
      <x:c r="N13" s="9" t="str">
        <x:v>Silhouette reconnue sans nom ; pieds sans glissement ; portrait et sprite cohérents à échelle réelle.</x:v>
      </x:c>
      <x:c r="O13" s="9" t="str">
        <x:v>ASC-CHR-PEL</x:v>
      </x:c>
      <x:c r="P13" s="9" t="str"/>
      <x:c r="Q13" s="9" t="str"/>
      <x:c r="R13" s="20" t="str"/>
      <x:c r="S13" s="20" t="str"/>
    </x:row>
    <x:row r="14" ht="68" customHeight="1">
      <x:c r="A14" s="19" t="str">
        <x:v>ASC-SPR-JIRO</x:v>
      </x:c>
      <x:c r="B14" s="7" t="str">
        <x:v>Jiro Toshiwa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Jiro Toshiwa pour ce module.</x:v>
      </x:c>
      <x:c r="G14" s="7" t="str">
        <x:v>Tenue médicale, outils de soin traités sans procédure réelle détaillée.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Tenue médicale, outils de soin traités sans procédure réelle détaillée.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assets/asc/actors/jiro/atlas.png + atlas.json, pivot aux pieds.</x:v>
      </x:c>
      <x:c r="M14" s="7" t="str">
        <x:v>Visible uniquement quand Jiro Toshiwa est autorisé par l’état narratif.</x:v>
      </x:c>
      <x:c r="N14" s="7" t="str">
        <x:v>Silhouette reconnue sans nom ; pieds sans glissement ; portrait et sprite cohérents à échelle réelle.</x:v>
      </x:c>
      <x:c r="O14" s="7" t="str">
        <x:v>ASC-CHR-JIRO</x:v>
      </x:c>
      <x:c r="P14" s="7" t="str"/>
      <x:c r="Q14" s="7" t="str"/>
      <x:c r="R14" s="21" t="str"/>
      <x:c r="S14" s="21" t="str"/>
    </x:row>
    <x:row r="15" ht="68" customHeight="1">
      <x:c r="A15" s="18" t="str">
        <x:v>ASC-SPR-NICK</x:v>
      </x:c>
      <x:c r="B15" s="9" t="str">
        <x:v>Nick Donahue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Nick Donahue pour ce module.</x:v>
      </x:c>
      <x:c r="G15" s="9" t="str">
        <x:v>Adolescent de l’académie, uniforme proposé sans apparence d’adulte.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Adolescent de l’académie, uniforme proposé sans apparence d’adulte.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assets/asc/actors/nick/atlas.png + atlas.json, pivot aux pieds.</x:v>
      </x:c>
      <x:c r="M15" s="9" t="str">
        <x:v>Visible uniquement quand Nick Donahue est autorisé par l’état narratif.</x:v>
      </x:c>
      <x:c r="N15" s="9" t="str">
        <x:v>Silhouette reconnue sans nom ; pieds sans glissement ; portrait et sprite cohérents à échelle réelle.</x:v>
      </x:c>
      <x:c r="O15" s="9" t="str">
        <x:v>ASC-CHR-NICK</x:v>
      </x:c>
      <x:c r="P15" s="9" t="str"/>
      <x:c r="Q15" s="9" t="str"/>
      <x:c r="R15" s="20" t="str"/>
      <x:c r="S15" s="20" t="str"/>
    </x:row>
    <x:row r="16" ht="68" customHeight="1">
      <x:c r="A16" s="19" t="str">
        <x:v>ASC-SPR-MAL</x:v>
      </x:c>
      <x:c r="B16" s="7" t="str">
        <x:v>Ysin’Mal vas Idenna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Ysin’Mal vas Idenna pour ce module.</x:v>
      </x:c>
      <x:c r="G16" s="7" t="str">
        <x:v>Combinaison de commandement sobre, distinction par liseré proposé.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Combinaison de commandement sobre, distinction par liseré proposé.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assets/asc/actors/mal/atlas.png + atlas.json, pivot aux pieds.</x:v>
      </x:c>
      <x:c r="M16" s="7" t="str">
        <x:v>Visible uniquement quand Ysin’Mal vas Idenna est autorisé par l’état narratif.</x:v>
      </x:c>
      <x:c r="N16" s="7" t="str">
        <x:v>Silhouette reconnue sans nom ; pieds sans glissement ; portrait et sprite cohérents à échelle réelle.</x:v>
      </x:c>
      <x:c r="O16" s="7" t="str">
        <x:v>ASC-CHR-MAL</x:v>
      </x:c>
      <x:c r="P16" s="7" t="str"/>
      <x:c r="Q16" s="7" t="str"/>
      <x:c r="R16" s="21" t="str"/>
      <x:c r="S16" s="21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77146665c14fe0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ASC-VFX-CAPTOR</x:v>
      </x:c>
      <x:c r="B7" s="9" t="str">
        <x:v>Surveillant de dépôt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Lampe frontale et arc de contrôle au sol.</x:v>
      </x:c>
      <x:c r="H7" s="9" t="str">
        <x:v>Aire de prévision égale à l’aire logique ; masque de cible conservé en daltonisme.</x:v>
      </x:c>
      <x:c r="I7" s="9" t="str">
        <x:v>Lampe frontale et arc de contrôle au sol.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fx/asc/captor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ASC-EMV-CAPTOR</x:v>
      </x:c>
      <x:c r="P7" s="9" t="str"/>
      <x:c r="Q7" s="9" t="str"/>
      <x:c r="R7" s="20" t="str"/>
      <x:c r="S7" s="20" t="str"/>
    </x:row>
    <x:row r="8" ht="54" customHeight="1">
      <x:c r="A8" s="19" t="str">
        <x:v>ASC-VFX-BARGAIN</x:v>
      </x:c>
      <x:c r="B8" s="7" t="str">
        <x:v>Intermédiaire hostile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Liste de conditions visible avant confirmation.</x:v>
      </x:c>
      <x:c r="H8" s="7" t="str">
        <x:v>Aire de prévision égale à l’aire logique ; masque de cible conservé en daltonisme.</x:v>
      </x:c>
      <x:c r="I8" s="7" t="str">
        <x:v>Liste de conditions visible avant confirmation.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fx/asc/bargain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ASC-EMV-BARGAIN</x:v>
      </x:c>
      <x:c r="P8" s="7" t="str"/>
      <x:c r="Q8" s="7" t="str"/>
      <x:c r="R8" s="21" t="str"/>
      <x:c r="S8" s="21" t="str"/>
    </x:row>
    <x:row r="9" ht="54" customHeight="1">
      <x:c r="A9" s="18" t="str">
        <x:v>ASC-VFX-GOLO</x:v>
      </x:c>
      <x:c r="B9" s="9" t="str">
        <x:v>Intrusion de Golo — confrontation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Deux voyants passent successivement à l’alerte.</x:v>
      </x:c>
      <x:c r="H9" s="9" t="str">
        <x:v>Aire de prévision égale à l’aire logique ; masque de cible conservé en daltonisme.</x:v>
      </x:c>
      <x:c r="I9" s="9" t="str">
        <x:v>Deux voyants passent successivement à l’alerte.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fx/asc/golo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ASC-EMV-GOLO</x:v>
      </x:c>
      <x:c r="P9" s="9" t="str"/>
      <x:c r="Q9" s="9" t="str"/>
      <x:c r="R9" s="20" t="str"/>
      <x:c r="S9" s="20" t="str"/>
    </x:row>
    <x:row r="10" ht="54" customHeight="1">
      <x:c r="A10" s="19" t="str">
        <x:v>ASC-VFX-FILTER</x:v>
      </x:c>
      <x:c r="B10" s="7" t="str">
        <x:v>Surcharge de filtration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Variation de souffle et jauge de pression symbolique.</x:v>
      </x:c>
      <x:c r="H10" s="7" t="str">
        <x:v>Aire de prévision égale à l’aire logique ; masque de cible conservé en daltonisme.</x:v>
      </x:c>
      <x:c r="I10" s="7" t="str">
        <x:v>Variation de souffle et jauge de pression symbolique.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fx/asc/filter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ASC-EMV-FILTER</x:v>
      </x:c>
      <x:c r="P10" s="7" t="str"/>
      <x:c r="Q10" s="7" t="str"/>
      <x:c r="R10" s="21" t="str"/>
      <x:c r="S10" s="21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2554b6175b49b2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ASC-AUD-01</x:v>
      </x:c>
      <x:c r="B7" s="9" t="str">
        <x:v>Académie active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Bruits d’atelier et conversations indistinctes originales avec niveau ajustable.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Bruits d’atelier et conversations indistinctes originales avec niveau ajustable. Musique, bruitages et éventuelles voix à produire sans extraire les enregistrements officiels.</x:v>
      </x:c>
      <x:c r="L7" s="9" t="str">
        <x:v>audio/asc/academie-active.ogg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20" t="str"/>
      <x:c r="S7" s="20" t="str"/>
    </x:row>
    <x:row r="8" ht="82" customHeight="1">
      <x:c r="A8" s="19" t="str">
        <x:v>ASC-AUD-02</x:v>
      </x:c>
      <x:c r="B8" s="7" t="str">
        <x:v>Espace calme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minimale, sons UI adoucis et absence de boucle stressante pendant les exercices.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minimale, sons UI adoucis et absence de boucle stressante pendant les exercices. Musique, bruitages et éventuelles voix à produire sans extraire les enregistrements officiels.</x:v>
      </x:c>
      <x:c r="L8" s="7" t="str">
        <x:v>audio/asc/espace-calme.ogg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21" t="str"/>
      <x:c r="S8" s="21" t="str"/>
    </x:row>
    <x:row r="9" ht="68" customHeight="1">
      <x:c r="A9" s="18" t="str">
        <x:v>ASC-AUD-03</x:v>
      </x:c>
      <x:c r="B9" s="9" t="str">
        <x:v>Omega sous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Strates de machines et pas qui donnent le sens des itinéraires sans saturer le mix.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Strates de machines et pas qui donnent le sens des itinéraires sans saturer le mix. Musique, bruitages et éventuelles voix à produire sans extraire les enregistrements officiels.</x:v>
      </x:c>
      <x:c r="L9" s="9" t="str">
        <x:v>audio/asc/omega-sous-controle.ogg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20" t="str"/>
      <x:c r="S9" s="20" t="str"/>
    </x:row>
    <x:row r="10" ht="68" customHeight="1">
      <x:c r="A10" s="19" t="str">
        <x:v>ASC-AUD-04</x:v>
      </x:c>
      <x:c r="B10" s="7" t="str">
        <x:v>Sas de la Flotte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Souffles réguliers et fermeture des cloisons signalés aussi visuellement.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Souffles réguliers et fermeture des cloisons signalés aussi visuellement. Musique, bruitages et éventuelles voix à produire sans extraire les enregistrements officiels.</x:v>
      </x:c>
      <x:c r="L10" s="7" t="str">
        <x:v>audio/asc/sas-de-la-flotte.ogg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21" t="str"/>
      <x:c r="S10" s="21" t="str"/>
    </x:row>
    <x:row r="11" ht="68" customHeight="1">
      <x:c r="A11" s="18" t="str">
        <x:v>ASC-AUD-05</x:v>
      </x:c>
      <x:c r="B11" s="9" t="str">
        <x:v>Appartenance à bord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sobre, évoluant avec l’installation du groupe.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sobre, évoluant avec l’installation du groupe. Musique, bruitages et éventuelles voix à produire sans extraire les enregistrements officiels.</x:v>
      </x:c>
      <x:c r="L11" s="9" t="str">
        <x:v>audio/asc/appartenance-a-bord.ogg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20" t="str"/>
      <x:c r="S11" s="20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b02cc71482401a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ASC-SYS-01</x:v>
      </x:c>
      <x:c r="B7" s="9" t="str">
        <x:v>Préférences de Gillian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Mémoriser les choix de rythme et d’interaction exprimés dans les scènes originales ; ne pas les convertir en diagnostic ou score moral.</x:v>
      </x:c>
      <x:c r="H7" s="9" t="str">
        <x:v>Mémoriser les choix de rythme et d’interaction exprimés dans les scènes originales ; ne pas les convertir en diagnostic ou score moral.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systems/asc/preferences-de-gillian.ts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20" t="str"/>
      <x:c r="S7" s="20" t="str"/>
    </x:row>
    <x:row r="8" ht="54" customHeight="1">
      <x:c r="A8" s="19" t="str">
        <x:v>ASC-SYS-02</x:v>
      </x:c>
      <x:c r="B8" s="7" t="str">
        <x:v>Groupe protecteur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Au moins un adulte disponible pour les interactions à risque ; les commandes n’imposent pas de combat à Gillian.</x:v>
      </x:c>
      <x:c r="H8" s="7" t="str">
        <x:v>Au moins un adulte disponible pour les interactions à risque ; les commandes n’imposent pas de combat à Gillian.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systems/asc/groupe-protecteur.ts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21" t="str"/>
      <x:c r="S8" s="21" t="str"/>
    </x:row>
    <x:row r="9" ht="44" customHeight="1">
      <x:c r="A9" s="18" t="str">
        <x:v>ASC-SYS-03</x:v>
      </x:c>
      <x:c r="B9" s="9" t="str">
        <x:v>Protocole de sas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Représenter uniquement des états abstraits : fermé, contrôlé, autorisé ; aucun protocole médical réel.</x:v>
      </x:c>
      <x:c r="H9" s="9" t="str">
        <x:v>Représenter uniquement des états abstraits : fermé, contrôlé, autorisé ; aucun protocole médical réel.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systems/asc/protocole-de-sas.ts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20" t="str"/>
      <x:c r="S9" s="20" t="str"/>
    </x:row>
    <x:row r="10" ht="44" customHeight="1">
      <x:c r="A10" s="19" t="str">
        <x:v>ASC-SYS-04</x:v>
      </x:c>
      <x:c r="B10" s="7" t="str">
        <x:v>Échange à bord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Matériel, savoir-faire et service sont des monnaies de quête distinctes dans l’annexe originale.</x:v>
      </x:c>
      <x:c r="H10" s="7" t="str">
        <x:v>Matériel, savoir-faire et service sont des monnaies de quête distinctes dans l’annexe originale.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systems/asc/echange-a-bord.ts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21" t="str"/>
      <x:c r="S10" s="21" t="str"/>
    </x:row>
    <x:row r="11" ht="44" customHeight="1">
      <x:c r="A11" s="18" t="str">
        <x:v>ASC-SYS-05</x:v>
      </x:c>
      <x:c r="B11" s="9" t="str">
        <x:v>Confiance et faits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Une relation positive ne valide pas automatiquement une affirmation de Grayson ou de Golo.</x:v>
      </x:c>
      <x:c r="H11" s="9" t="str">
        <x:v>Une relation positive ne valide pas automatiquement une affirmation de Grayson ou de Golo.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systems/asc/confiance-et-faits.ts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20" t="str"/>
      <x:c r="S11" s="20" t="str"/>
    </x:row>
    <x:row r="12" ht="44" customHeight="1">
      <x:c r="A12" s="19" t="str">
        <x:v>ASC-SYS-06</x:v>
      </x:c>
      <x:c r="B12" s="7" t="str">
        <x:v>Route de repli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Chaque espace d’escorte garde une halte sûre ; la pause ATB protège les phases de lecture.</x:v>
      </x:c>
      <x:c r="H12" s="7" t="str">
        <x:v>Chaque espace d’escorte garde une halte sûre ; la pause ATB protège les phases de lecture.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systems/asc/route-de-repli.ts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21" t="str"/>
      <x:c r="S12" s="21" t="str"/>
    </x:row>
    <x:row r="13" ht="44" customHeight="1">
      <x:c r="A13" s="18" t="str">
        <x:v>ASC-SYS-07</x:v>
      </x:c>
      <x:c r="B13" s="9" t="str">
        <x:v>Inventaire personnel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Objets personnels hors économie de butin ; retour au propriétaire enregistré.</x:v>
      </x:c>
      <x:c r="H13" s="9" t="str">
        <x:v>Objets personnels hors économie de butin ; retour au propriétaire enregistré.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systems/asc/inventaire-personnel.ts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20" t="str"/>
      <x:c r="S13" s="20" t="str"/>
    </x:row>
    <x:row r="14" ht="44" customHeight="1">
      <x:c r="A14" s="19" t="str">
        <x:v>ASC-SYS-08</x:v>
      </x:c>
      <x:c r="B14" s="7" t="str">
        <x:v>Journal pédagogique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Décrire ce qui a été essayé et choisi, sans vocabulaire stigmatisant ou récompense de conformité.</x:v>
      </x:c>
      <x:c r="H14" s="7" t="str">
        <x:v>Décrire ce qui a été essayé et choisi, sans vocabulaire stigmatisant ou récompense de conformité.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systems/asc/journal-pedagogique.ts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21" t="str"/>
      <x:c r="S14" s="21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7111cfae9447e2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ASC-TST-CALM</x:v>
      </x:c>
      <x:c r="B7" s="9" t="str">
        <x:v>Trouver un rythme de coopération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Trouver un rythme de coopération avec la méthode la plus lente puis avec la méthode alternative.</x:v>
      </x:c>
      <x:c r="H7" s="9" t="str">
        <x:v>Contrôler les transitions de la règle suivante : Le joueur sélectionne rythme, espace et partenaire ; la réussite dépend de la bonne lecture des consignes, pas d’une jauge d’autisme.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qa/asc/calm.md : état initial, actions, attendu, résultat, capture.</x:v>
      </x:c>
      <x:c r="M7" s="9" t="str">
        <x:v>Ne pas définir le personnage seulement par son diagnostic.</x:v>
      </x:c>
      <x:c r="N7" s="9" t="str">
        <x:v>Aucun blocage, récompense multiple, information future ou divergence entre pause ATB et temps normal.</x:v>
      </x:c>
      <x:c r="O7" s="9" t="str">
        <x:v>ASC-MIS-CALM, ASC-CHO-CALM, ASC-OPT-CALM</x:v>
      </x:c>
      <x:c r="P7" s="9" t="str"/>
      <x:c r="Q7" s="9" t="str"/>
      <x:c r="R7" s="20" t="str"/>
      <x:c r="S7" s="20" t="str"/>
    </x:row>
    <x:row r="8" ht="54" customHeight="1">
      <x:c r="A8" s="19" t="str">
        <x:v>ASC-TST-RECORD</x:v>
      </x:c>
      <x:c r="B8" s="7" t="str">
        <x:v>Contrôler un dossier de suivi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Contrôler un dossier de suivi avec la méthode la plus lente puis avec la méthode alternative.</x:v>
      </x:c>
      <x:c r="H8" s="7" t="str">
        <x:v>Contrôler les transitions de la règle suivante : Comparer signature, autorisation et heure d’accès ; transmettre l’alerte à un adulte responsable.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qa/asc/record.md : état initial, actions, attendu, résultat, capture.</x:v>
      </x:c>
      <x:c r="M8" s="7" t="str">
        <x:v>Aucune technique de traitement ou injection détaillée.</x:v>
      </x:c>
      <x:c r="N8" s="7" t="str">
        <x:v>Aucun blocage, récompense multiple, information future ou divergence entre pause ATB et temps normal.</x:v>
      </x:c>
      <x:c r="O8" s="7" t="str">
        <x:v>ASC-MIS-RECORD, ASC-CHO-RECORD, ASC-OPT-RECORD</x:v>
      </x:c>
      <x:c r="P8" s="7" t="str"/>
      <x:c r="Q8" s="7" t="str"/>
      <x:c r="R8" s="21" t="str"/>
      <x:c r="S8" s="21" t="str"/>
    </x:row>
    <x:row r="9" ht="54" customHeight="1">
      <x:c r="A9" s="18" t="str">
        <x:v>ASC-TST-CONTACT</x:v>
      </x:c>
      <x:c r="B9" s="9" t="str">
        <x:v>Chercher un passage discret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Chercher un passage discret avec la méthode la plus lente puis avec la méthode alternative.</x:v>
      </x:c>
      <x:c r="H9" s="9" t="str">
        <x:v>Contrôler les transitions de la règle suivante : Éviter contrôle hostile et encombrement ; conserver une halte sûre accessible.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qa/asc/contact.md : état initial, actions, attendu, résultat, capture.</x:v>
      </x:c>
      <x:c r="M9" s="9" t="str">
        <x:v>Les PNJ ajoutés portent la mention création originale.</x:v>
      </x:c>
      <x:c r="N9" s="9" t="str">
        <x:v>Aucun blocage, récompense multiple, information future ou divergence entre pause ATB et temps normal.</x:v>
      </x:c>
      <x:c r="O9" s="9" t="str">
        <x:v>ASC-MIS-CONTACT, ASC-CHO-CONTACT, ASC-OPT-CONTACT</x:v>
      </x:c>
      <x:c r="P9" s="9" t="str"/>
      <x:c r="Q9" s="9" t="str"/>
      <x:c r="R9" s="20" t="str"/>
      <x:c r="S9" s="20" t="str"/>
    </x:row>
    <x:row r="10" ht="54" customHeight="1">
      <x:c r="A10" s="19" t="str">
        <x:v>ASC-TST-RELEASE</x:v>
      </x:c>
      <x:c r="B10" s="7" t="str">
        <x:v>Dégager un sas de détention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Dégager un sas de détention avec la méthode la plus lente puis avec la méthode alternative.</x:v>
      </x:c>
      <x:c r="H10" s="7" t="str">
        <x:v>Contrôler les transitions de la règle suivante : Deux postes doivent rester actifs ; un personnage protège pendant qu’un autre ouvre.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qa/asc/release.md : état initial, actions, attendu, résultat, capture.</x:v>
      </x:c>
      <x:c r="M10" s="7" t="str">
        <x:v>Ne pas transformer Gillian en combattante obligatoire.</x:v>
      </x:c>
      <x:c r="N10" s="7" t="str">
        <x:v>Aucun blocage, récompense multiple, information future ou divergence entre pause ATB et temps normal.</x:v>
      </x:c>
      <x:c r="O10" s="7" t="str">
        <x:v>ASC-MIS-RELEASE, ASC-CHO-RELEASE, ASC-OPT-RELEASE</x:v>
      </x:c>
      <x:c r="P10" s="7" t="str"/>
      <x:c r="Q10" s="7" t="str"/>
      <x:c r="R10" s="21" t="str"/>
      <x:c r="S10" s="21" t="str"/>
    </x:row>
    <x:row r="11" ht="54" customHeight="1">
      <x:c r="A11" s="18" t="str">
        <x:v>ASC-TST-TRAVEL</x:v>
      </x:c>
      <x:c r="B11" s="9" t="str">
        <x:v>Préserver les ressources de transit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Préserver les ressources de transit avec la méthode la plus lente puis avec la méthode alternative.</x:v>
      </x:c>
      <x:c r="H11" s="9" t="str">
        <x:v>Contrôler les transitions de la règle suivante : Répartir énergie entre liaison, diagnostic et environnement ; aucune mortalité aléatoire.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qa/asc/travel.md : état initial, actions, attendu, résultat, capture.</x:v>
      </x:c>
      <x:c r="M11" s="9" t="str">
        <x:v>Les temps de voyage sont abstraits et ne fixent pas un nouveau canon.</x:v>
      </x:c>
      <x:c r="N11" s="9" t="str">
        <x:v>Aucun blocage, récompense multiple, information future ou divergence entre pause ATB et temps normal.</x:v>
      </x:c>
      <x:c r="O11" s="9" t="str">
        <x:v>ASC-MIS-TRAVEL, ASC-CHO-TRAVEL, ASC-OPT-TRAVEL</x:v>
      </x:c>
      <x:c r="P11" s="9" t="str"/>
      <x:c r="Q11" s="9" t="str"/>
      <x:c r="R11" s="20" t="str"/>
      <x:c r="S11" s="20" t="str"/>
    </x:row>
    <x:row r="12" ht="54" customHeight="1">
      <x:c r="A12" s="19" t="str">
        <x:v>ASC-TST-WELCOME</x:v>
      </x:c>
      <x:c r="B12" s="7" t="str">
        <x:v>Franchir le protocole d’accueil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Franchir le protocole d’accueil avec la méthode la plus lente puis avec la méthode alternative.</x:v>
      </x:c>
      <x:c r="H12" s="7" t="str">
        <x:v>Contrôler les transitions de la règle suivante : Déclarer matériel, vérifier sas puis attendre l’autorisation ; énigme de procédure lisible.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qa/asc/welcome.md : état initial, actions, attendu, résultat, capture.</x:v>
      </x:c>
      <x:c r="M12" s="7" t="str">
        <x:v>Pas de guérison magique des vulnérabilités quarianes.</x:v>
      </x:c>
      <x:c r="N12" s="7" t="str">
        <x:v>Aucun blocage, récompense multiple, information future ou divergence entre pause ATB et temps normal.</x:v>
      </x:c>
      <x:c r="O12" s="7" t="str">
        <x:v>ASC-MIS-WELCOME, ASC-CHO-WELCOME, ASC-OPT-WELCOME</x:v>
      </x:c>
      <x:c r="P12" s="7" t="str"/>
      <x:c r="Q12" s="7" t="str"/>
      <x:c r="R12" s="21" t="str"/>
      <x:c r="S12" s="21" t="str"/>
    </x:row>
    <x:row r="13" ht="54" customHeight="1">
      <x:c r="A13" s="18" t="str">
        <x:v>ASC-TST-SHARE</x:v>
      </x:c>
      <x:c r="B13" s="9" t="str">
        <x:v>Contribuer au pont d’échange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Contribuer au pont d’échange avec la méthode la plus lente puis avec la méthode alternative.</x:v>
      </x:c>
      <x:c r="H13" s="9" t="str">
        <x:v>Contrôler les transitions de la règle suivante : Trois demandes visibles, deux ressources puis une réparation permettant de satisfaire la dernière.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qa/asc/share.md : état initial, actions, attendu, résultat, capture.</x:v>
      </x:c>
      <x:c r="M13" s="9" t="str">
        <x:v>Les échanges ne changent pas la mission de l’Idenna.</x:v>
      </x:c>
      <x:c r="N13" s="9" t="str">
        <x:v>Aucun blocage, récompense multiple, information future ou divergence entre pause ATB et temps normal.</x:v>
      </x:c>
      <x:c r="O13" s="9" t="str">
        <x:v>ASC-MIS-SHARE, ASC-CHO-SHARE, ASC-OPT-SHARE</x:v>
      </x:c>
      <x:c r="P13" s="9" t="str"/>
      <x:c r="Q13" s="9" t="str"/>
      <x:c r="R13" s="20" t="str"/>
      <x:c r="S13" s="20" t="str"/>
    </x:row>
    <x:row r="14" ht="54" customHeight="1">
      <x:c r="A14" s="19" t="str">
        <x:v>ASC-TST-SECURE</x:v>
      </x:c>
      <x:c r="B14" s="7" t="str">
        <x:v>Sécuriser l’aire d’accueil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Sécuriser l’aire d’accueil avec la méthode la plus lente puis avec la méthode alternative.</x:v>
      </x:c>
      <x:c r="H14" s="7" t="str">
        <x:v>Contrôler les transitions de la règle suivante : Gérer accès, information et couverture ; l’objectif est la stabilité du vaisseau.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qa/asc/secure.md : état initial, actions, attendu, résultat, capture.</x:v>
      </x:c>
      <x:c r="M14" s="7" t="str">
        <x:v>Gillian et Hendel restent liés à l’Idenna selon la continuité.</x:v>
      </x:c>
      <x:c r="N14" s="7" t="str">
        <x:v>Aucun blocage, récompense multiple, information future ou divergence entre pause ATB et temps normal.</x:v>
      </x:c>
      <x:c r="O14" s="7" t="str">
        <x:v>ASC-MIS-SECURE, ASC-CHO-SECURE, ASC-OPT-SECURE</x:v>
      </x:c>
      <x:c r="P14" s="7" t="str"/>
      <x:c r="Q14" s="7" t="str"/>
      <x:c r="R14" s="21" t="str"/>
      <x:c r="S14" s="21" t="str"/>
    </x:row>
    <x:row r="15" ht="68" customHeight="1">
      <x:c r="A15" s="18" t="str">
        <x:v>ASC-QA-SOURCES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ASC par nature puis sourceIds ; revue ciblée des éléments sans source.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20" t="str"/>
      <x:c r="S15" s="20" t="str"/>
    </x:row>
    <x:row r="16" ht="68" customHeight="1">
      <x:c r="A16" s="19" t="str">
        <x:v>ASC-QA-SAVE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qa/asc/save-reload.md avec capture avant/après.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21" t="str"/>
      <x:c r="S16" s="21" t="str"/>
    </x:row>
    <x:row r="17" ht="54" customHeight="1">
      <x:c r="A17" s="18" t="str">
        <x:v>ASC-QA-VISUAL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qa/asc/readability/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20" t="str"/>
      <x:c r="S17" s="20" t="str"/>
    </x:row>
    <x:row r="18" ht="54" customHeight="1">
      <x:c r="A18" s="19" t="str">
        <x:v>ASC-QA-ACCESS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qa/asc/accessibility.md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21" t="str"/>
      <x:c r="S18" s="21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3b24ad50f94200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ASC-CON-01</x:v>
      </x:c>
      <x:c r="B7" s="9" t="str">
        <x:v>Douze ans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La notice officielle décrit Gillian âgée de douze ans dans Ascension.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continuity/asc.json ; règle documentée et décision de validation datée.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ASC-SRC-PUB</x:v>
      </x:c>
      <x:c r="R7" s="20" t="str">
        <x:v>https://www.penguinrandomhouse.com/books/89888/mass-effect-ascension-by-drew-karpyshyn/paperback/</x:v>
      </x:c>
      <x:c r="S7" s="20" t="str">
        <x:v>Aucun numéro de chapitre ou de page n’est attribué sans exemplaire vérifié.</x:v>
      </x:c>
    </x:row>
    <x:row r="8" ht="68" customHeight="1">
      <x:c r="A8" s="19" t="str">
        <x:v>ASC-CON-02</x:v>
      </x:c>
      <x:c r="B8" s="7" t="str">
        <x:v>Hendel protège Gillian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Son rôle de sécurité et de mentor n’autorise pas à inventer un recrutement guerrier de l’enfant.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continuity/asc.json ; règle documentée et décision de validation datée.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ASC-SRC-HEN</x:v>
      </x:c>
      <x:c r="R8" s="21" t="str">
        <x:v>https://masseffect.fandom.com/wiki/Hendel_Mitra</x:v>
      </x:c>
      <x:c r="S8" s="21" t="str">
        <x:v>Aucun numéro de chapitre ou de page n’est attribué sans exemplaire vérifié.</x:v>
      </x:c>
    </x:row>
    <x:row r="9" ht="68" customHeight="1">
      <x:c r="A9" s="18" t="str">
        <x:v>ASC-CON-03</x:v>
      </x:c>
      <x:c r="B9" s="9" t="str">
        <x:v>Adoption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Paul Grayson est le père adoptif de Gillian.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continuity/asc.json ; règle documentée et décision de validation datée.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ASC-SRC-GIL</x:v>
      </x:c>
      <x:c r="R9" s="20" t="str">
        <x:v>https://masseffect.fandom.com/wiki/Gillian_Grayson</x:v>
      </x:c>
      <x:c r="S9" s="20" t="str">
        <x:v>Aucun numéro de chapitre ou de page n’est attribué sans exemplaire vérifié.</x:v>
      </x:c>
    </x:row>
    <x:row r="10" ht="68" customHeight="1">
      <x:c r="A10" s="19" t="str">
        <x:v>ASC-CON-04</x:v>
      </x:c>
      <x:c r="B10" s="7" t="str">
        <x:v>Différence avec Deception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Ne pas importer l’âge attribué à Gillian dans Deception sans consigner l’incohérence.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continuity/asc.json ; règle documentée et décision de validation datée.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ASC-SRC-GIL</x:v>
      </x:c>
      <x:c r="R10" s="21" t="str">
        <x:v>https://masseffect.fandom.com/wiki/Gillian_Grayson</x:v>
      </x:c>
      <x:c r="S10" s="21" t="str">
        <x:v>Aucun numéro de chapitre ou de page n’est attribué sans exemplaire vérifié.</x:v>
      </x:c>
    </x:row>
    <x:row r="11" ht="68" customHeight="1">
      <x:c r="A11" s="18" t="str">
        <x:v>ASC-CON-05</x:v>
      </x:c>
      <x:c r="B11" s="9" t="str">
        <x:v>Autisme et gameplay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Aucune règle ne présente l’autisme comme un mal à éliminer ou une compétence à gagner.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continuity/asc.json ; règle documentée et décision de validation datée.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/>
      <x:c r="R11" s="20" t="str"/>
      <x:c r="S11" s="20" t="str">
        <x:v>Aucun numéro de chapitre ou de page n’est attribué sans exemplaire vérifié.</x:v>
      </x:c>
    </x:row>
    <x:row r="12" ht="68" customHeight="1">
      <x:c r="A12" s="19" t="str">
        <x:v>ASC-CON-06</x:v>
      </x:c>
      <x:c r="B12" s="7" t="str">
        <x:v>Technologie de la Flotte</x:v>
      </x:c>
      <x:c r="C12" s="15" t="str">
        <x:v>Défini</x:v>
      </x:c>
      <x:c r="D12" s="17" t="str">
        <x:v>À vérifier</x:v>
      </x:c>
      <x:c r="E12" s="17" t="str">
        <x:v>P0</x:v>
      </x:c>
      <x:c r="F12" s="7" t="str">
        <x:v>Combinaisons, sas et immunité exigent validation d’édition ; pas de visage découvert gratuit pour tous.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continuity/asc.json ; règle documentée et décision de validation datée.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21" t="str"/>
      <x:c r="S12" s="21" t="str">
        <x:v>Aucun numéro de chapitre ou de page n’est attribué sans exemplaire vérifié.</x:v>
      </x:c>
    </x:row>
    <x:row r="13" ht="68" customHeight="1">
      <x:c r="A13" s="18" t="str">
        <x:v>ASC-CON-07</x:v>
      </x:c>
      <x:c r="B13" s="9" t="str">
        <x:v>Retour et exploration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La fin d’Ascension associe Gillian, Hendel et Lemm au voyage de l’Idenna ; Kahlee revient au projet.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continuity/asc.json ; règle documentée et décision de validation datée.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ASC-SRC-LEMM</x:v>
      </x:c>
      <x:c r="R13" s="20" t="str">
        <x:v>https://masseffect.fandom.com/wiki/Lemm%27Shal_nar_Tesleya</x:v>
      </x:c>
      <x:c r="S13" s="20" t="str">
        <x:v>Aucun numéro de chapitre ou de page n’est attribué sans exemplaire vérifié.</x:v>
      </x:c>
    </x:row>
  </x:sheetData>
  <x:conditionalFormatting sqref="D7:D13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3">
    <x:cfRule type="cellIs" dxfId="102" priority="3" operator="equal">
      <x:formula>"Validé"</x:formula>
    </x:cfRule>
  </x:conditionalFormatting>
  <x:conditionalFormatting sqref="E7:E13">
    <x:cfRule type="cellIs" dxfId="10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d84ac236aa449c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Ascension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Ascension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Drew Karpyshyn ; protection d’enfants biotiques et coopération avec la Flotte nomade.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Projet Ascension, Gillian, Kahlee, Grayson, Cerberus et refuge quarien ; huit espaces proposés privilégiant enquête, confiance et protection.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Préserver Gillian comme personne et enfant dans le contexte d’Ascension ; les options de gameplay ne changent ni son identité ni les événements qui conduisent à son séjour sur l’Idenna.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54" customHeight="1">
      <x:c r="A27" s="6" t="str">
        <x:v>ASC-SRC-PUB</x:v>
      </x:c>
      <x:c r="B27" s="6" t="str">
        <x:v>Penguin Random House — Ascension</x:v>
      </x:c>
      <x:c r="C27" s="6" t="str">
        <x:v>source officielle</x:v>
      </x:c>
      <x:c r="D27" s="6" t="str">
        <x:v>https://www.penguinrandomhouse.com/books/89888/mass-effect-ascension-by-drew-karpyshyn/paperback/</x:v>
      </x:c>
      <x:c r="E27" s="6" t="str">
        <x:v>Prémisse, projet et protagonistes</x:v>
      </x:c>
      <x:c r="F27" s="6" t="str">
        <x:v>Consulté le 22 octobre 2026. Faits courts uniquement ; la publication originale reste nécessaire pour contrôler les détails.</x:v>
      </x:c>
    </x:row>
    <x:row r="28" ht="42" customHeight="1">
      <x:c r="A28" s="6" t="str">
        <x:v>ASC-SRC-WIKI</x:v>
      </x:c>
      <x:c r="B28" s="6" t="str">
        <x:v>Mass Effect Wiki — Ascension</x:v>
      </x:c>
      <x:c r="C28" s="6" t="str">
        <x:v>wiki</x:v>
      </x:c>
      <x:c r="D28" s="6" t="str">
        <x:v>https://masseffect.fandom.com/wiki/Mass_Effect:_Ascension</x:v>
      </x:c>
      <x:c r="E28" s="6" t="str">
        <x:v>Notice bibliographique visible dans le résultat indexé</x:v>
      </x:c>
      <x:c r="F28" s="6" t="str">
        <x:v>Ouverture directe refusée ; seule la notice du résultat de recherche est retenue.</x:v>
      </x:c>
    </x:row>
    <x:row r="29" ht="54" customHeight="1">
      <x:c r="A29" s="6" t="str">
        <x:v>ASC-SRC-HEN</x:v>
      </x:c>
      <x:c r="B29" s="6" t="str">
        <x:v>Mass Effect Wiki — Hendel Mitra</x:v>
      </x:c>
      <x:c r="C29" s="6" t="str">
        <x:v>wiki</x:v>
      </x:c>
      <x:c r="D29" s="6" t="str">
        <x:v>https://masseffect.fandom.com/wiki/Hendel_Mitra</x:v>
      </x:c>
      <x:c r="E29" s="6" t="str">
        <x:v>Rôle, pouvoirs et accompagnement de Gillian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ASC-SRC-GOLO</x:v>
      </x:c>
      <x:c r="B30" s="6" t="str">
        <x:v>Mass Effect Wiki — Golo</x:v>
      </x:c>
      <x:c r="C30" s="6" t="str">
        <x:v>wiki</x:v>
      </x:c>
      <x:c r="D30" s="6" t="str">
        <x:v>https://masseffect.fandom.com/wiki/Golo</x:v>
      </x:c>
      <x:c r="E30" s="6" t="str">
        <x:v>Exil, Omega, Cerberus, Cyniad et Idenna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ASC-SRC-LEMM</x:v>
      </x:c>
      <x:c r="B31" s="6" t="str">
        <x:v>Mass Effect Wiki — Lemm’Shal nar Tesleya</x:v>
      </x:c>
      <x:c r="C31" s="6" t="str">
        <x:v>wiki</x:v>
      </x:c>
      <x:c r="D31" s="6" t="str">
        <x:v>https://masseffect.fandom.com/wiki/Lemm%27Shal_nar_Tesleya</x:v>
      </x:c>
      <x:c r="E31" s="6" t="str">
        <x:v>Sauvetage, Flotte et retour de Kahlee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ASC-SRC-GIL</x:v>
      </x:c>
      <x:c r="B32" s="6" t="str">
        <x:v>Mass Effect Wiki — Gillian Grayson</x:v>
      </x:c>
      <x:c r="C32" s="6" t="str">
        <x:v>wiki</x:v>
      </x:c>
      <x:c r="D32" s="6" t="str">
        <x:v>https://masseffect.fandom.com/wiki/Gillian_Grayson</x:v>
      </x:c>
      <x:c r="E32" s="6" t="str">
        <x:v>Biotique, âge et adoption ; distinction avec Deception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ASC-SRC-HILO</x:v>
      </x:c>
      <x:c r="B33" s="6" t="str">
        <x:v>Mass Effect Wiki — Hilo’Jaa vas Idenna</x:v>
      </x:c>
      <x:c r="C33" s="6" t="str">
        <x:v>wiki</x:v>
      </x:c>
      <x:c r="D33" s="6" t="str">
        <x:v>https://masseffect.fandom.com/wiki/Hilo%27Jaa_vas_Idenna</x:v>
      </x:c>
      <x:c r="E33" s="6" t="str">
        <x:v>Pilote du Cyniad et embuscade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ASC-SRC-NICK</x:v>
      </x:c>
      <x:c r="B34" s="6" t="str">
        <x:v>Mass Effect Wiki — Nick Donahue</x:v>
      </x:c>
      <x:c r="C34" s="6" t="str">
        <x:v>wiki</x:v>
      </x:c>
      <x:c r="D34" s="6" t="str">
        <x:v>https://masseffect.fandom.com/wiki/Nick_Donahue</x:v>
      </x:c>
      <x:c r="E34" s="6" t="str">
        <x:v>Élève du projet et limites chronologiques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ASC-SRC-IDENNA</x:v>
      </x:c>
      <x:c r="B35" s="6" t="str">
        <x:v>Mass Effect Wiki — Idenna</x:v>
      </x:c>
      <x:c r="C35" s="6" t="str">
        <x:v>wiki</x:v>
      </x:c>
      <x:c r="D35" s="6" t="str">
        <x:v>https://masseffect.fandom.com/wiki/Idenna</x:v>
      </x:c>
      <x:c r="E35" s="6" t="str">
        <x:v>Refuge sur la Flotte nomade</x:v>
      </x:c>
      <x:c r="F35" s="6" t="str">
        <x:v>Consulté le 22 octobre 2026. Faits courts uniquement ; la publication originale reste nécessaire pour contrôler les détails.</x:v>
      </x:c>
    </x:row>
    <x:row r="36" ht="54" customHeight="1">
      <x:c r="A36" s="6" t="str">
        <x:v>ASC-SRC-MAL</x:v>
      </x:c>
      <x:c r="B36" s="6" t="str">
        <x:v>Mass Effect Wiki — Ysin’Mal vas Idenna</x:v>
      </x:c>
      <x:c r="C36" s="6" t="str">
        <x:v>wiki</x:v>
      </x:c>
      <x:c r="D36" s="6" t="str">
        <x:v>https://masseffect.fandom.com/wiki/Ysin%27Mal_vas_Idenna</x:v>
      </x:c>
      <x:c r="E36" s="6" t="str">
        <x:v>Capitaine et équipage explorateur</x:v>
      </x:c>
      <x:c r="F36" s="6" t="str">
        <x:v>Consulté le 22 octobre 2026. Faits courts uniquement ; la publication originale reste nécessaire pour contrôler les détails.</x:v>
      </x:c>
    </x:row>
    <x:row r="37" ht="54" customHeight="1">
      <x:c r="A37" s="6" t="str">
        <x:v>ASC-SRC-EXCERPT</x:v>
      </x:c>
      <x:c r="B37" s="6" t="str">
        <x:v>PRH Retail — extrait autorisé d’Ascension</x:v>
      </x:c>
      <x:c r="C37" s="6" t="str">
        <x:v>publication originale</x:v>
      </x:c>
      <x:c r="D37" s="6" t="str">
        <x:v>https://www.penguinrandomhouseretail.com/book/?isbn=9780345498526</x:v>
      </x:c>
      <x:c r="E37" s="6" t="str">
        <x:v>Contexte de Grayson et Pel ; aucun extrait reproduit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30" t="str">
        <x:v>Domaine</x:v>
      </x:c>
      <x:c r="B41" s="31" t="str">
        <x:v>Couverture actuelle</x:v>
      </x:c>
      <x:c r="C41" s="32" t="str">
        <x:v>Travail restant</x:v>
      </x:c>
      <x:c r="D41" s="2"/>
      <x:c r="E41" s="2"/>
      <x:c r="F41" s="2"/>
    </x:row>
    <x:row r="42" ht="82" customHeight="1">
      <x:c r="A42" s="6" t="str">
        <x:v>Références canoniques</x:v>
      </x:c>
      <x:c r="B42" s="6" t="str">
        <x:v>Projet Ascension, Gillian, Kahlee, Grayson, Cerberus et refuge quarien ; huit espaces proposés privilégiant enquête, confiance et protection.</x:v>
      </x:c>
      <x:c r="C42" s="6" t="str">
        <x:v>Pas de lecture intégrale. Les tenues, l’armement exact et les procédures de la Flotte exigent validation. L’autisme ne reçoit ni jauge punitive ni traitement de pouvoir fantastique.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de https://masseffect.fandom.com/wiki/Mass_Effect:_Ascension refusée deux fois ; extrait indexé et notice PRH consultés ; personnages et vaisseaux complétés par résultats indexés.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</x:sheetData>
  <x:pageMargins left="0.7" right="0.7" top="0.75" bottom="0.75" header="0.3" footer="0.3"/>
</x:worksheet>
</file>