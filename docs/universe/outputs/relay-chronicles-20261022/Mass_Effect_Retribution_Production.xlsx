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916e94c8634885" /></Relationships>
</file>

<file path=xl/workbook.xml><?xml version="1.0" encoding="utf-8"?>
<x:workbook xmlns:x="http://schemas.openxmlformats.org/spreadsheetml/2006/main">
  <x:sheets>
    <x:sheet xmlns:r="http://schemas.openxmlformats.org/officeDocument/2006/relationships" name="Dashboard" sheetId="1" r:id="Rd56826bb84da447f"/>
    <x:sheet xmlns:r="http://schemas.openxmlformats.org/officeDocument/2006/relationships" name="Personnages" sheetId="2" r:id="R43a54dfcb7f74b58"/>
    <x:sheet xmlns:r="http://schemas.openxmlformats.org/officeDocument/2006/relationships" name="PNJ" sheetId="3" r:id="R01c58f7aa4d6438a"/>
    <x:sheet xmlns:r="http://schemas.openxmlformats.org/officeDocument/2006/relationships" name="Especes_factions" sheetId="4" r:id="R98610032e80242f0"/>
    <x:sheet xmlns:r="http://schemas.openxmlformats.org/officeDocument/2006/relationships" name="Mondes" sheetId="5" r:id="Reefe9925a7f744bb"/>
    <x:sheet xmlns:r="http://schemas.openxmlformats.org/officeDocument/2006/relationships" name="Zones" sheetId="6" r:id="R04d9f2aea03144c0"/>
    <x:sheet xmlns:r="http://schemas.openxmlformats.org/officeDocument/2006/relationships" name="Liaisons" sheetId="7" r:id="R4845681942ba46e4"/>
    <x:sheet xmlns:r="http://schemas.openxmlformats.org/officeDocument/2006/relationships" name="Decors" sheetId="8" r:id="R36902415cb044748"/>
    <x:sheet xmlns:r="http://schemas.openxmlformats.org/officeDocument/2006/relationships" name="Props" sheetId="9" r:id="R0fcc0095e1ea48c2"/>
    <x:sheet xmlns:r="http://schemas.openxmlformats.org/officeDocument/2006/relationships" name="Ennemis_boss" sheetId="10" r:id="R6e496dc8c8434996"/>
    <x:sheet xmlns:r="http://schemas.openxmlformats.org/officeDocument/2006/relationships" name="Missions" sheetId="11" r:id="Rdb4d3763522342e7"/>
    <x:sheet xmlns:r="http://schemas.openxmlformats.org/officeDocument/2006/relationships" name="Secondaires_DLC" sheetId="12" r:id="R51dd4c43eb004a2f"/>
    <x:sheet xmlns:r="http://schemas.openxmlformats.org/officeDocument/2006/relationships" name="Choix_relations" sheetId="13" r:id="Rb24fd33f3c0d47da"/>
    <x:sheet xmlns:r="http://schemas.openxmlformats.org/officeDocument/2006/relationships" name="Dialogues" sheetId="14" r:id="R28c68124138a4164"/>
    <x:sheet xmlns:r="http://schemas.openxmlformats.org/officeDocument/2006/relationships" name="Cinematiques" sheetId="15" r:id="Rfe248eaca0c34c75"/>
    <x:sheet xmlns:r="http://schemas.openxmlformats.org/officeDocument/2006/relationships" name="Armes" sheetId="16" r:id="R089db5334482422e"/>
    <x:sheet xmlns:r="http://schemas.openxmlformats.org/officeDocument/2006/relationships" name="Armures_equipement" sheetId="17" r:id="Rec57f68c65d54a68"/>
    <x:sheet xmlns:r="http://schemas.openxmlformats.org/officeDocument/2006/relationships" name="Pouvoirs" sheetId="18" r:id="R64f5cd9a140a4c63"/>
    <x:sheet xmlns:r="http://schemas.openxmlformats.org/officeDocument/2006/relationships" name="Movesets_allies" sheetId="19" r:id="R259fa4dd2a1d40e3"/>
    <x:sheet xmlns:r="http://schemas.openxmlformats.org/officeDocument/2006/relationships" name="Movesets_ennemis" sheetId="20" r:id="Rf793402a01164647"/>
    <x:sheet xmlns:r="http://schemas.openxmlformats.org/officeDocument/2006/relationships" name="Animations" sheetId="21" r:id="R87e97f4a32d942c2"/>
    <x:sheet xmlns:r="http://schemas.openxmlformats.org/officeDocument/2006/relationships" name="Sprites" sheetId="22" r:id="R27633366d60c449a"/>
    <x:sheet xmlns:r="http://schemas.openxmlformats.org/officeDocument/2006/relationships" name="VFX" sheetId="23" r:id="R7e96fe1f108e41b7"/>
    <x:sheet xmlns:r="http://schemas.openxmlformats.org/officeDocument/2006/relationships" name="Audio" sheetId="24" r:id="Refba8dc3fe7b40d8"/>
    <x:sheet xmlns:r="http://schemas.openxmlformats.org/officeDocument/2006/relationships" name="UI_systemes" sheetId="25" r:id="R89bc00332eda4f70"/>
    <x:sheet xmlns:r="http://schemas.openxmlformats.org/officeDocument/2006/relationships" name="QA" sheetId="26" r:id="R0b8c24d730fb47fc"/>
    <x:sheet xmlns:r="http://schemas.openxmlformats.org/officeDocument/2006/relationships" name="Continuite" sheetId="27" r:id="R924218572d2242ba"/>
    <x:sheet xmlns:r="http://schemas.openxmlformats.org/officeDocument/2006/relationships" name="Guide" sheetId="28" r:id="R5fe3688915514e6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b1659ab125ca4195" /><Relationship Type="http://schemas.openxmlformats.org/officeDocument/2006/relationships/theme" Target="/xl/theme/theme1.xml" Id="Rba5199ebefc2492e" /><Relationship Type="http://schemas.openxmlformats.org/officeDocument/2006/relationships/sharedStrings" Target="/xl/sharedStrings.xml" Id="Reaf71fc047724481" /><Relationship Type="http://schemas.openxmlformats.org/officeDocument/2006/relationships/worksheet" Target="/xl/worksheets/sheet1.xml" Id="Rd56826bb84da447f" /><Relationship Type="http://schemas.openxmlformats.org/officeDocument/2006/relationships/worksheet" Target="/xl/worksheets/sheet2.xml" Id="R43a54dfcb7f74b58" /><Relationship Type="http://schemas.openxmlformats.org/officeDocument/2006/relationships/worksheet" Target="/xl/worksheets/sheet3.xml" Id="R01c58f7aa4d6438a" /><Relationship Type="http://schemas.openxmlformats.org/officeDocument/2006/relationships/worksheet" Target="/xl/worksheets/sheet4.xml" Id="R98610032e80242f0" /><Relationship Type="http://schemas.openxmlformats.org/officeDocument/2006/relationships/worksheet" Target="/xl/worksheets/sheet5.xml" Id="Reefe9925a7f744bb" /><Relationship Type="http://schemas.openxmlformats.org/officeDocument/2006/relationships/worksheet" Target="/xl/worksheets/sheet6.xml" Id="R04d9f2aea03144c0" /><Relationship Type="http://schemas.openxmlformats.org/officeDocument/2006/relationships/worksheet" Target="/xl/worksheets/sheet7.xml" Id="R4845681942ba46e4" /><Relationship Type="http://schemas.openxmlformats.org/officeDocument/2006/relationships/worksheet" Target="/xl/worksheets/sheet8.xml" Id="R36902415cb044748" /><Relationship Type="http://schemas.openxmlformats.org/officeDocument/2006/relationships/worksheet" Target="/xl/worksheets/sheet9.xml" Id="R0fcc0095e1ea48c2" /><Relationship Type="http://schemas.openxmlformats.org/officeDocument/2006/relationships/worksheet" Target="/xl/worksheets/sheet10.xml" Id="R6e496dc8c8434996" /><Relationship Type="http://schemas.openxmlformats.org/officeDocument/2006/relationships/worksheet" Target="/xl/worksheets/sheet11.xml" Id="Rdb4d3763522342e7" /><Relationship Type="http://schemas.openxmlformats.org/officeDocument/2006/relationships/worksheet" Target="/xl/worksheets/sheet12.xml" Id="R51dd4c43eb004a2f" /><Relationship Type="http://schemas.openxmlformats.org/officeDocument/2006/relationships/worksheet" Target="/xl/worksheets/sheet13.xml" Id="Rb24fd33f3c0d47da" /><Relationship Type="http://schemas.openxmlformats.org/officeDocument/2006/relationships/worksheet" Target="/xl/worksheets/sheet14.xml" Id="R28c68124138a4164" /><Relationship Type="http://schemas.openxmlformats.org/officeDocument/2006/relationships/worksheet" Target="/xl/worksheets/sheet15.xml" Id="Rfe248eaca0c34c75" /><Relationship Type="http://schemas.openxmlformats.org/officeDocument/2006/relationships/worksheet" Target="/xl/worksheets/sheet16.xml" Id="R089db5334482422e" /><Relationship Type="http://schemas.openxmlformats.org/officeDocument/2006/relationships/worksheet" Target="/xl/worksheets/sheet17.xml" Id="Rec57f68c65d54a68" /><Relationship Type="http://schemas.openxmlformats.org/officeDocument/2006/relationships/worksheet" Target="/xl/worksheets/sheet18.xml" Id="R64f5cd9a140a4c63" /><Relationship Type="http://schemas.openxmlformats.org/officeDocument/2006/relationships/worksheet" Target="/xl/worksheets/sheet19.xml" Id="R259fa4dd2a1d40e3" /><Relationship Type="http://schemas.openxmlformats.org/officeDocument/2006/relationships/worksheet" Target="/xl/worksheets/sheet20.xml" Id="Rf793402a01164647" /><Relationship Type="http://schemas.openxmlformats.org/officeDocument/2006/relationships/worksheet" Target="/xl/worksheets/sheet21.xml" Id="R87e97f4a32d942c2" /><Relationship Type="http://schemas.openxmlformats.org/officeDocument/2006/relationships/worksheet" Target="/xl/worksheets/sheet22.xml" Id="R27633366d60c449a" /><Relationship Type="http://schemas.openxmlformats.org/officeDocument/2006/relationships/worksheet" Target="/xl/worksheets/sheet23.xml" Id="R7e96fe1f108e41b7" /><Relationship Type="http://schemas.openxmlformats.org/officeDocument/2006/relationships/worksheet" Target="/xl/worksheets/sheet24.xml" Id="Refba8dc3fe7b40d8" /><Relationship Type="http://schemas.openxmlformats.org/officeDocument/2006/relationships/worksheet" Target="/xl/worksheets/sheet25.xml" Id="R89bc00332eda4f70" /><Relationship Type="http://schemas.openxmlformats.org/officeDocument/2006/relationships/worksheet" Target="/xl/worksheets/sheet26.xml" Id="R0b8c24d730fb47fc" /><Relationship Type="http://schemas.openxmlformats.org/officeDocument/2006/relationships/worksheet" Target="/xl/worksheets/sheet27.xml" Id="R924218572d2242ba" /><Relationship Type="http://schemas.openxmlformats.org/officeDocument/2006/relationships/worksheet" Target="/xl/worksheets/sheet28.xml" Id="R5fe3688915514e61" /></Relationships>
</file>

<file path=xl/tables/table1.xml><?xml version="1.0" encoding="utf-8"?>
<x:table xmlns:x="http://schemas.openxmlformats.org/spreadsheetml/2006/main" id="1" name="RET_characters" displayName="RET_character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RET_npcs" displayName="RET_npc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RET_lore" displayName="RET_lore"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RET_worlds" displayName="RET_world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RET_zones" displayName="RET_zon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RET_links" displayName="RET_link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RET_scenery" displayName="RET_scenery"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RET_props" displayName="RET_prop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RET_enemies" displayName="RET_enemi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RET_main_quests" displayName="RET_main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RET_side_quests" displayName="RET_side_quest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RET_choices" displayName="RET_choice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RET_dialogues" displayName="RET_dialogu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RET_cinematics" displayName="RET_cinematic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RET_weapons" displayName="RET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RET_equipment" displayName="RET_equipment"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RET_powers" displayName="RET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RET_ally_moves" displayName="RET_all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RET_enemy_moves" displayName="RET_enemy_mov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RET_animations" displayName="RET_animation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RET_sprites" displayName="RET_sprites"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RET_vfx" displayName="RET_vfx"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RET_audio" displayName="RET_audio" ref="A6:S11" headerRowCount="1" totalsRowCount="0" totalsRowShown="0">
  <x:autoFilter ref="A6:S11"/>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RET_systems" displayName="RET_systems" ref="A6:S14" headerRowCount="1" totalsRowCount="0" totalsRowShown="0">
  <x:autoFilter ref="A6:S14"/>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RET_qa" displayName="RET_qa" ref="A6:S18" headerRowCount="1" totalsRowCount="0" totalsRowShown="0">
  <x:autoFilter ref="A6:S1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RET_continuity" displayName="RET_continuity"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6bb52394d34067" /></Relationships>
</file>

<file path=xl/worksheets/_rels/sheet3.xml.rels>&#65279;<?xml version="1.0" encoding="utf-8"?><Relationships xmlns="http://schemas.openxmlformats.org/package/2006/relationships"><Relationship Type="http://schemas.openxmlformats.org/officeDocument/2006/relationships/table" Target="/xl/tables/table2.xml" Id="R9d0729b19da641f9" /></Relationships>
</file>

<file path=xl/worksheets/_rels/sheet4.xml.rels>&#65279;<?xml version="1.0" encoding="utf-8"?><Relationships xmlns="http://schemas.openxmlformats.org/package/2006/relationships"><Relationship Type="http://schemas.openxmlformats.org/officeDocument/2006/relationships/table" Target="/xl/tables/table3.xml" Id="R226c484d06534bf6" /></Relationships>
</file>

<file path=xl/worksheets/_rels/sheet5.xml.rels>&#65279;<?xml version="1.0" encoding="utf-8"?><Relationships xmlns="http://schemas.openxmlformats.org/package/2006/relationships"><Relationship Type="http://schemas.openxmlformats.org/officeDocument/2006/relationships/table" Target="/xl/tables/table4.xml" Id="Raa099605362247cd" /></Relationships>
</file>

<file path=xl/worksheets/_rels/sheet6.xml.rels>&#65279;<?xml version="1.0" encoding="utf-8"?><Relationships xmlns="http://schemas.openxmlformats.org/package/2006/relationships"><Relationship Type="http://schemas.openxmlformats.org/officeDocument/2006/relationships/table" Target="/xl/tables/table5.xml" Id="R86cae89e30824203" /></Relationships>
</file>

<file path=xl/worksheets/_rels/sheet7.xml.rels>&#65279;<?xml version="1.0" encoding="utf-8"?><Relationships xmlns="http://schemas.openxmlformats.org/package/2006/relationships"><Relationship Type="http://schemas.openxmlformats.org/officeDocument/2006/relationships/table" Target="/xl/tables/table6.xml" Id="R32e3da6b1f2a49b8" /></Relationships>
</file>

<file path=xl/worksheets/_rels/sheet8.xml.rels>&#65279;<?xml version="1.0" encoding="utf-8"?><Relationships xmlns="http://schemas.openxmlformats.org/package/2006/relationships"><Relationship Type="http://schemas.openxmlformats.org/officeDocument/2006/relationships/table" Target="/xl/tables/table7.xml" Id="R4b86713b827d4926" /></Relationships>
</file>

<file path=xl/worksheets/_rels/sheet9.xml.rels>&#65279;<?xml version="1.0" encoding="utf-8"?><Relationships xmlns="http://schemas.openxmlformats.org/package/2006/relationships"><Relationship Type="http://schemas.openxmlformats.org/officeDocument/2006/relationships/table" Target="/xl/tables/table8.xml" Id="R9c971186211b4e27" /></Relationships>
</file>

<file path=xl/worksheets/_rels/sheet10.xml.rels>&#65279;<?xml version="1.0" encoding="utf-8"?><Relationships xmlns="http://schemas.openxmlformats.org/package/2006/relationships"><Relationship Type="http://schemas.openxmlformats.org/officeDocument/2006/relationships/table" Target="/xl/tables/table9.xml" Id="R6e5b79a1ed4b4e4c" /></Relationships>
</file>

<file path=xl/worksheets/_rels/sheet11.xml.rels>&#65279;<?xml version="1.0" encoding="utf-8"?><Relationships xmlns="http://schemas.openxmlformats.org/package/2006/relationships"><Relationship Type="http://schemas.openxmlformats.org/officeDocument/2006/relationships/table" Target="/xl/tables/table10.xml" Id="R74cf204f829643e4" /></Relationships>
</file>

<file path=xl/worksheets/_rels/sheet12.xml.rels>&#65279;<?xml version="1.0" encoding="utf-8"?><Relationships xmlns="http://schemas.openxmlformats.org/package/2006/relationships"><Relationship Type="http://schemas.openxmlformats.org/officeDocument/2006/relationships/table" Target="/xl/tables/table11.xml" Id="R2a59818e5650476f" /></Relationships>
</file>

<file path=xl/worksheets/_rels/sheet13.xml.rels>&#65279;<?xml version="1.0" encoding="utf-8"?><Relationships xmlns="http://schemas.openxmlformats.org/package/2006/relationships"><Relationship Type="http://schemas.openxmlformats.org/officeDocument/2006/relationships/table" Target="/xl/tables/table12.xml" Id="Re8461671a0eb4a24" /></Relationships>
</file>

<file path=xl/worksheets/_rels/sheet14.xml.rels>&#65279;<?xml version="1.0" encoding="utf-8"?><Relationships xmlns="http://schemas.openxmlformats.org/package/2006/relationships"><Relationship Type="http://schemas.openxmlformats.org/officeDocument/2006/relationships/table" Target="/xl/tables/table13.xml" Id="Ra6a6518b723a4d19" /></Relationships>
</file>

<file path=xl/worksheets/_rels/sheet15.xml.rels>&#65279;<?xml version="1.0" encoding="utf-8"?><Relationships xmlns="http://schemas.openxmlformats.org/package/2006/relationships"><Relationship Type="http://schemas.openxmlformats.org/officeDocument/2006/relationships/table" Target="/xl/tables/table14.xml" Id="R779a969cf97d4f3e" /></Relationships>
</file>

<file path=xl/worksheets/_rels/sheet16.xml.rels>&#65279;<?xml version="1.0" encoding="utf-8"?><Relationships xmlns="http://schemas.openxmlformats.org/package/2006/relationships"><Relationship Type="http://schemas.openxmlformats.org/officeDocument/2006/relationships/table" Target="/xl/tables/table15.xml" Id="R2073801f3a094980" /></Relationships>
</file>

<file path=xl/worksheets/_rels/sheet17.xml.rels>&#65279;<?xml version="1.0" encoding="utf-8"?><Relationships xmlns="http://schemas.openxmlformats.org/package/2006/relationships"><Relationship Type="http://schemas.openxmlformats.org/officeDocument/2006/relationships/table" Target="/xl/tables/table16.xml" Id="Rd823ee01ad2b466c" /></Relationships>
</file>

<file path=xl/worksheets/_rels/sheet18.xml.rels>&#65279;<?xml version="1.0" encoding="utf-8"?><Relationships xmlns="http://schemas.openxmlformats.org/package/2006/relationships"><Relationship Type="http://schemas.openxmlformats.org/officeDocument/2006/relationships/table" Target="/xl/tables/table17.xml" Id="Rc5e8342777554b75" /></Relationships>
</file>

<file path=xl/worksheets/_rels/sheet19.xml.rels>&#65279;<?xml version="1.0" encoding="utf-8"?><Relationships xmlns="http://schemas.openxmlformats.org/package/2006/relationships"><Relationship Type="http://schemas.openxmlformats.org/officeDocument/2006/relationships/table" Target="/xl/tables/table18.xml" Id="R810d2b42570a44b4" /></Relationships>
</file>

<file path=xl/worksheets/_rels/sheet20.xml.rels>&#65279;<?xml version="1.0" encoding="utf-8"?><Relationships xmlns="http://schemas.openxmlformats.org/package/2006/relationships"><Relationship Type="http://schemas.openxmlformats.org/officeDocument/2006/relationships/table" Target="/xl/tables/table19.xml" Id="R290a549b89c44bd1" /></Relationships>
</file>

<file path=xl/worksheets/_rels/sheet21.xml.rels>&#65279;<?xml version="1.0" encoding="utf-8"?><Relationships xmlns="http://schemas.openxmlformats.org/package/2006/relationships"><Relationship Type="http://schemas.openxmlformats.org/officeDocument/2006/relationships/table" Target="/xl/tables/table20.xml" Id="R7c6a2543f98f4bf1" /></Relationships>
</file>

<file path=xl/worksheets/_rels/sheet22.xml.rels>&#65279;<?xml version="1.0" encoding="utf-8"?><Relationships xmlns="http://schemas.openxmlformats.org/package/2006/relationships"><Relationship Type="http://schemas.openxmlformats.org/officeDocument/2006/relationships/table" Target="/xl/tables/table21.xml" Id="Rce773019d68a4b29" /></Relationships>
</file>

<file path=xl/worksheets/_rels/sheet23.xml.rels>&#65279;<?xml version="1.0" encoding="utf-8"?><Relationships xmlns="http://schemas.openxmlformats.org/package/2006/relationships"><Relationship Type="http://schemas.openxmlformats.org/officeDocument/2006/relationships/table" Target="/xl/tables/table22.xml" Id="R0bd6ce449e9148b3" /></Relationships>
</file>

<file path=xl/worksheets/_rels/sheet24.xml.rels>&#65279;<?xml version="1.0" encoding="utf-8"?><Relationships xmlns="http://schemas.openxmlformats.org/package/2006/relationships"><Relationship Type="http://schemas.openxmlformats.org/officeDocument/2006/relationships/table" Target="/xl/tables/table23.xml" Id="R561dae121e584962" /></Relationships>
</file>

<file path=xl/worksheets/_rels/sheet25.xml.rels>&#65279;<?xml version="1.0" encoding="utf-8"?><Relationships xmlns="http://schemas.openxmlformats.org/package/2006/relationships"><Relationship Type="http://schemas.openxmlformats.org/officeDocument/2006/relationships/table" Target="/xl/tables/table24.xml" Id="R5f11a2816d854574" /></Relationships>
</file>

<file path=xl/worksheets/_rels/sheet26.xml.rels>&#65279;<?xml version="1.0" encoding="utf-8"?><Relationships xmlns="http://schemas.openxmlformats.org/package/2006/relationships"><Relationship Type="http://schemas.openxmlformats.org/officeDocument/2006/relationships/table" Target="/xl/tables/table25.xml" Id="Rccba04ec25b54f3c" /></Relationships>
</file>

<file path=xl/worksheets/_rels/sheet27.xml.rels>&#65279;<?xml version="1.0" encoding="utf-8"?><Relationships xmlns="http://schemas.openxmlformats.org/package/2006/relationships"><Relationship Type="http://schemas.openxmlformats.org/officeDocument/2006/relationships/table" Target="/xl/tables/table26.xml" Id="R7ddfed4b14294397"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Retribution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158</x:v>
      </x:c>
      <x:c r="C5" s="2"/>
      <x:c r="D5" s="2" t="str">
        <x:v>Intégrés</x:v>
      </x:c>
      <x:c r="E5" s="31" t="n">
        <x:f>SUM(E10:F35)</x:f>
        <x:v>0</x:v>
      </x:c>
      <x:c r="F5" s="2"/>
      <x:c r="G5" s="2" t="str">
        <x:v>À vérifier</x:v>
      </x:c>
      <x:c r="H5" s="31" t="n">
        <x:f>SUM(H10:H35)</x:f>
        <x:v>1</x:v>
      </x:c>
      <x:c r="I5" s="2"/>
      <x:c r="J5" s="2" t="str">
        <x:v>Extrapolations</x:v>
      </x:c>
      <x:c r="K5" s="31" t="n">
        <x:f>SUM(I10:I35)</x:f>
        <x:v>130</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COUNTA('Personnages'!$A$7:$A$9)</x:f>
        <x:v>3</x:v>
      </x:c>
      <x:c r="C10" s="37" t="n">
        <x:f>COUNTIFS('Personnages'!$C$7:$C$9,"Défini")</x:f>
        <x:v>3</x:v>
      </x:c>
      <x:c r="D10" s="37" t="n">
        <x:f>COUNTIFS('Personnages'!$C$7:$C$9,"Prototype")</x:f>
        <x:v>0</x:v>
      </x:c>
      <x:c r="E10" s="37" t="n">
        <x:f>COUNTIFS('Personnages'!$C$7:$C$9,"Intégré")</x:f>
        <x:v>0</x:v>
      </x:c>
      <x:c r="F10" s="37" t="n">
        <x:f>COUNTIFS('Personnages'!$C$7:$C$9,"Validé")</x:f>
        <x:v>0</x:v>
      </x:c>
      <x:c r="G10" s="37" t="n">
        <x:f>COUNTIFS('Personnages'!$D$7:$D$9,"Établi")</x:f>
        <x:v>3</x:v>
      </x:c>
      <x:c r="H10" s="37" t="n">
        <x:f>COUNTIFS('Personnages'!$D$7:$D$9,"À vérifier")</x:f>
        <x:v>0</x:v>
      </x:c>
      <x:c r="I10" s="37" t="n">
        <x:f>COUNTIFS('Personnages'!$D$7:$D$9,"Extrapolation")</x:f>
        <x:v>0</x:v>
      </x:c>
      <x:c r="J10" s="37" t="n">
        <x:f>COUNTIFS('Personnages'!$D$7:$D$9,"Coupé attesté")</x:f>
        <x:v>0</x:v>
      </x:c>
      <x:c r="K10" s="37" t="n">
        <x:f>COUNTIFS('Personnages'!$D$7:$D$9,"Concept abandonné")</x:f>
        <x:v>0</x:v>
      </x:c>
      <x:c r="L10" s="37" t="n">
        <x:f>COUNTIFS('Personnages'!$D$7:$D$9,"Allégation écartée")</x:f>
        <x:v>0</x:v>
      </x:c>
      <x:c r="M10" s="37" t="n">
        <x:f>COUNTIFS('Personnages'!$E$7:$E$9,"P0")</x:f>
        <x:v>0</x:v>
      </x:c>
    </x:row>
    <x:row r="11" ht="22" customHeight="1">
      <x:c r="A11" s="2" t="str">
        <x:v>PNJ</x:v>
      </x:c>
      <x:c r="B11" s="38" t="n">
        <x:f>COUNTA('PNJ'!$A$7:$A$13)</x:f>
        <x:v>7</x:v>
      </x:c>
      <x:c r="C11" s="38" t="n">
        <x:f>COUNTIFS('PNJ'!$C$7:$C$13,"Défini")</x:f>
        <x:v>7</x:v>
      </x:c>
      <x:c r="D11" s="38" t="n">
        <x:f>COUNTIFS('PNJ'!$C$7:$C$13,"Prototype")</x:f>
        <x:v>0</x:v>
      </x:c>
      <x:c r="E11" s="38" t="n">
        <x:f>COUNTIFS('PNJ'!$C$7:$C$13,"Intégré")</x:f>
        <x:v>0</x:v>
      </x:c>
      <x:c r="F11" s="38" t="n">
        <x:f>COUNTIFS('PNJ'!$C$7:$C$13,"Validé")</x:f>
        <x:v>0</x:v>
      </x:c>
      <x:c r="G11" s="38" t="n">
        <x:f>COUNTIFS('PNJ'!$D$7:$D$13,"Établi")</x:f>
        <x:v>7</x:v>
      </x:c>
      <x:c r="H11" s="38" t="n">
        <x:f>COUNTIFS('PNJ'!$D$7:$D$13,"À vérifier")</x:f>
        <x:v>0</x:v>
      </x:c>
      <x:c r="I11" s="38" t="n">
        <x:f>COUNTIFS('PNJ'!$D$7:$D$13,"Extrapolation")</x:f>
        <x:v>0</x:v>
      </x:c>
      <x:c r="J11" s="38" t="n">
        <x:f>COUNTIFS('PNJ'!$D$7:$D$13,"Coupé attesté")</x:f>
        <x:v>0</x:v>
      </x:c>
      <x:c r="K11" s="38" t="n">
        <x:f>COUNTIFS('PNJ'!$D$7:$D$13,"Concept abandonné")</x:f>
        <x:v>0</x:v>
      </x:c>
      <x:c r="L11" s="38" t="n">
        <x:f>COUNTIFS('PNJ'!$D$7:$D$13,"Allégation écartée")</x:f>
        <x:v>0</x:v>
      </x:c>
      <x:c r="M11" s="38" t="n">
        <x:f>COUNTIFS('PNJ'!$E$7:$E$13,"P0")</x:f>
        <x:v>0</x:v>
      </x:c>
    </x:row>
    <x:row r="12" ht="22" customHeight="1">
      <x:c r="A12" s="33" t="str">
        <x:v>Espèces et factions</x:v>
      </x:c>
      <x:c r="B12" s="37" t="n">
        <x:f>COUNTA('Especes_factions'!$A$7:$A$9)</x:f>
        <x:v>3</x:v>
      </x:c>
      <x:c r="C12" s="37" t="n">
        <x:f>COUNTIFS('Especes_factions'!$C$7:$C$9,"Défini")</x:f>
        <x:v>0</x:v>
      </x:c>
      <x:c r="D12" s="37" t="n">
        <x:f>COUNTIFS('Especes_factions'!$C$7:$C$9,"Prototype")</x:f>
        <x:v>3</x:v>
      </x:c>
      <x:c r="E12" s="37" t="n">
        <x:f>COUNTIFS('Especes_factions'!$C$7:$C$9,"Intégré")</x:f>
        <x:v>0</x:v>
      </x:c>
      <x:c r="F12" s="37" t="n">
        <x:f>COUNTIFS('Especes_factions'!$C$7:$C$9,"Validé")</x:f>
        <x:v>0</x:v>
      </x:c>
      <x:c r="G12" s="37" t="n">
        <x:f>COUNTIFS('Especes_factions'!$D$7:$D$9,"Établi")</x:f>
        <x:v>3</x:v>
      </x:c>
      <x:c r="H12" s="37" t="n">
        <x:f>COUNTIFS('Especes_factions'!$D$7:$D$9,"À vérifier")</x:f>
        <x:v>0</x:v>
      </x:c>
      <x:c r="I12" s="37" t="n">
        <x:f>COUNTIFS('Especes_factions'!$D$7:$D$9,"Extrapolation")</x:f>
        <x:v>0</x:v>
      </x:c>
      <x:c r="J12" s="37" t="n">
        <x:f>COUNTIFS('Especes_factions'!$D$7:$D$9,"Coupé attesté")</x:f>
        <x:v>0</x:v>
      </x:c>
      <x:c r="K12" s="37" t="n">
        <x:f>COUNTIFS('Especes_factions'!$D$7:$D$9,"Concept abandonné")</x:f>
        <x:v>0</x:v>
      </x:c>
      <x:c r="L12" s="37" t="n">
        <x:f>COUNTIFS('Especes_factions'!$D$7:$D$9,"Allégation écartée")</x:f>
        <x:v>0</x:v>
      </x:c>
      <x:c r="M12" s="37" t="n">
        <x:f>COUNTIFS('Especes_factions'!$E$7:$E$9,"P0")</x:f>
        <x:v>0</x:v>
      </x:c>
    </x:row>
    <x:row r="13" ht="22" customHeight="1">
      <x:c r="A13" s="2" t="str">
        <x:v>Mondes</x:v>
      </x:c>
      <x:c r="B13" s="38" t="n">
        <x:f>COUNTA('Mondes'!$A$7:$A$9)</x:f>
        <x:v>3</x:v>
      </x:c>
      <x:c r="C13" s="38" t="n">
        <x:f>COUNTIFS('Mondes'!$C$7:$C$9,"Défini")</x:f>
        <x:v>1</x:v>
      </x:c>
      <x:c r="D13" s="38" t="n">
        <x:f>COUNTIFS('Mondes'!$C$7:$C$9,"Prototype")</x:f>
        <x:v>2</x:v>
      </x:c>
      <x:c r="E13" s="38" t="n">
        <x:f>COUNTIFS('Mondes'!$C$7:$C$9,"Intégré")</x:f>
        <x:v>0</x:v>
      </x:c>
      <x:c r="F13" s="38" t="n">
        <x:f>COUNTIFS('Mondes'!$C$7:$C$9,"Validé")</x:f>
        <x:v>0</x:v>
      </x:c>
      <x:c r="G13" s="38" t="n">
        <x:f>COUNTIFS('Mondes'!$D$7:$D$9,"Établi")</x:f>
        <x:v>3</x:v>
      </x:c>
      <x:c r="H13" s="38" t="n">
        <x:f>COUNTIFS('Mondes'!$D$7:$D$9,"À vérifier")</x:f>
        <x:v>0</x:v>
      </x:c>
      <x:c r="I13" s="38" t="n">
        <x:f>COUNTIFS('Mondes'!$D$7:$D$9,"Extrapolation")</x:f>
        <x:v>0</x:v>
      </x:c>
      <x:c r="J13" s="38" t="n">
        <x:f>COUNTIFS('Mondes'!$D$7:$D$9,"Coupé attesté")</x:f>
        <x:v>0</x:v>
      </x:c>
      <x:c r="K13" s="38" t="n">
        <x:f>COUNTIFS('Mondes'!$D$7:$D$9,"Concept abandonné")</x:f>
        <x:v>0</x:v>
      </x:c>
      <x:c r="L13" s="38" t="n">
        <x:f>COUNTIFS('Mondes'!$D$7:$D$9,"Allégation écartée")</x:f>
        <x:v>0</x:v>
      </x:c>
      <x:c r="M13" s="38" t="n">
        <x:f>COUNTIFS('Mondes'!$E$7:$E$9,"P0")</x:f>
        <x:v>0</x:v>
      </x:c>
    </x:row>
    <x:row r="14" ht="22" customHeight="1">
      <x:c r="A14" s="33" t="str">
        <x:v>Zones</x:v>
      </x:c>
      <x:c r="B14" s="37" t="n">
        <x:f>COUNTA('Zones'!$A$7:$A$14)</x:f>
        <x:v>8</x:v>
      </x:c>
      <x:c r="C14" s="37" t="n">
        <x:f>COUNTIFS('Zones'!$C$7:$C$14,"Défini")</x:f>
        <x:v>8</x:v>
      </x:c>
      <x:c r="D14" s="37" t="n">
        <x:f>COUNTIFS('Zones'!$C$7:$C$14,"Prototype")</x:f>
        <x:v>0</x:v>
      </x:c>
      <x:c r="E14" s="37" t="n">
        <x:f>COUNTIFS('Zones'!$C$7:$C$14,"Intégré")</x:f>
        <x:v>0</x:v>
      </x:c>
      <x:c r="F14" s="37" t="n">
        <x:f>COUNTIFS('Zones'!$C$7:$C$14,"Validé")</x:f>
        <x:v>0</x:v>
      </x:c>
      <x:c r="G14" s="37" t="n">
        <x:f>COUNTIFS('Zones'!$D$7:$D$14,"Établi")</x:f>
        <x:v>0</x:v>
      </x:c>
      <x:c r="H14" s="37" t="n">
        <x:f>COUNTIFS('Zones'!$D$7:$D$14,"À vérifier")</x:f>
        <x:v>0</x:v>
      </x:c>
      <x:c r="I14" s="37" t="n">
        <x:f>COUNTIFS('Zones'!$D$7:$D$14,"Extrapolation")</x:f>
        <x:v>8</x:v>
      </x:c>
      <x:c r="J14" s="37" t="n">
        <x:f>COUNTIFS('Zones'!$D$7:$D$14,"Coupé attesté")</x:f>
        <x:v>0</x:v>
      </x:c>
      <x:c r="K14" s="37" t="n">
        <x:f>COUNTIFS('Zones'!$D$7:$D$14,"Concept abandonné")</x:f>
        <x:v>0</x:v>
      </x:c>
      <x:c r="L14" s="37" t="n">
        <x:f>COUNTIFS('Zones'!$D$7:$D$14,"Allégation écartée")</x:f>
        <x:v>0</x:v>
      </x:c>
      <x:c r="M14" s="37" t="n">
        <x:f>COUNTIFS('Zones'!$E$7:$E$14,"P0")</x:f>
        <x:v>0</x:v>
      </x:c>
    </x:row>
    <x:row r="15" ht="22" customHeight="1">
      <x:c r="A15" s="2" t="str">
        <x:v>Liaisons</x:v>
      </x:c>
      <x:c r="B15" s="38" t="n">
        <x:f>COUNTA('Liaisons'!$A$7:$A$14)</x:f>
        <x:v>8</x:v>
      </x:c>
      <x:c r="C15" s="38" t="n">
        <x:f>COUNTIFS('Liaisons'!$C$7:$C$14,"Défini")</x:f>
        <x:v>8</x:v>
      </x:c>
      <x:c r="D15" s="38" t="n">
        <x:f>COUNTIFS('Liaisons'!$C$7:$C$14,"Prototype")</x:f>
        <x:v>0</x:v>
      </x:c>
      <x:c r="E15" s="38" t="n">
        <x:f>COUNTIFS('Liaisons'!$C$7:$C$14,"Intégré")</x:f>
        <x:v>0</x:v>
      </x:c>
      <x:c r="F15" s="38" t="n">
        <x:f>COUNTIFS('Liaisons'!$C$7:$C$14,"Validé")</x:f>
        <x:v>0</x:v>
      </x:c>
      <x:c r="G15" s="38" t="n">
        <x:f>COUNTIFS('Liaisons'!$D$7:$D$14,"Établi")</x:f>
        <x:v>0</x:v>
      </x:c>
      <x:c r="H15" s="38" t="n">
        <x:f>COUNTIFS('Liaisons'!$D$7:$D$14,"À vérifier")</x:f>
        <x:v>0</x:v>
      </x:c>
      <x:c r="I15" s="38" t="n">
        <x:f>COUNTIFS('Liaisons'!$D$7:$D$14,"Extrapolation")</x:f>
        <x:v>8</x:v>
      </x:c>
      <x:c r="J15" s="38" t="n">
        <x:f>COUNTIFS('Liaisons'!$D$7:$D$14,"Coupé attesté")</x:f>
        <x:v>0</x:v>
      </x:c>
      <x:c r="K15" s="38" t="n">
        <x:f>COUNTIFS('Liaisons'!$D$7:$D$14,"Concept abandonné")</x:f>
        <x:v>0</x:v>
      </x:c>
      <x:c r="L15" s="38" t="n">
        <x:f>COUNTIFS('Liaisons'!$D$7:$D$14,"Allégation écartée")</x:f>
        <x:v>0</x:v>
      </x:c>
      <x:c r="M15" s="38" t="n">
        <x:f>COUNTIFS('Liaisons'!$E$7:$E$14,"P0")</x:f>
        <x:v>0</x:v>
      </x:c>
    </x:row>
    <x:row r="16" ht="22" customHeight="1">
      <x:c r="A16" s="33" t="str">
        <x:v>Décors</x:v>
      </x:c>
      <x:c r="B16" s="37" t="n">
        <x:f>COUNTA('Decors'!$A$7:$A$14)</x:f>
        <x:v>8</x:v>
      </x:c>
      <x:c r="C16" s="37" t="n">
        <x:f>COUNTIFS('Decors'!$C$7:$C$14,"Défini")</x:f>
        <x:v>8</x:v>
      </x:c>
      <x:c r="D16" s="37" t="n">
        <x:f>COUNTIFS('Decors'!$C$7:$C$14,"Prototype")</x:f>
        <x:v>0</x:v>
      </x:c>
      <x:c r="E16" s="37" t="n">
        <x:f>COUNTIFS('Decors'!$C$7:$C$14,"Intégré")</x:f>
        <x:v>0</x:v>
      </x:c>
      <x:c r="F16" s="37" t="n">
        <x:f>COUNTIFS('Decors'!$C$7:$C$14,"Validé")</x:f>
        <x:v>0</x:v>
      </x:c>
      <x:c r="G16" s="37" t="n">
        <x:f>COUNTIFS('Decors'!$D$7:$D$14,"Établi")</x:f>
        <x:v>0</x:v>
      </x:c>
      <x:c r="H16" s="37" t="n">
        <x:f>COUNTIFS('Decors'!$D$7:$D$14,"À vérifier")</x:f>
        <x:v>0</x:v>
      </x:c>
      <x:c r="I16" s="37" t="n">
        <x:f>COUNTIFS('Decors'!$D$7:$D$14,"Extrapolation")</x:f>
        <x:v>8</x:v>
      </x:c>
      <x:c r="J16" s="37" t="n">
        <x:f>COUNTIFS('Decors'!$D$7:$D$14,"Coupé attesté")</x:f>
        <x:v>0</x:v>
      </x:c>
      <x:c r="K16" s="37" t="n">
        <x:f>COUNTIFS('Decors'!$D$7:$D$14,"Concept abandonné")</x:f>
        <x:v>0</x:v>
      </x:c>
      <x:c r="L16" s="37" t="n">
        <x:f>COUNTIFS('Decors'!$D$7:$D$14,"Allégation écartée")</x:f>
        <x:v>0</x:v>
      </x:c>
      <x:c r="M16" s="37" t="n">
        <x:f>COUNTIFS('Decors'!$E$7:$E$14,"P0")</x:f>
        <x:v>0</x:v>
      </x:c>
    </x:row>
    <x:row r="17" ht="22" customHeight="1">
      <x:c r="A17" s="2" t="str">
        <x:v>Props</x:v>
      </x:c>
      <x:c r="B17" s="38" t="n">
        <x:f>COUNTA('Props'!$A$7:$A$8)</x:f>
        <x:v>2</x:v>
      </x:c>
      <x:c r="C17" s="38" t="n">
        <x:f>COUNTIFS('Props'!$C$7:$C$8,"Défini")</x:f>
        <x:v>2</x:v>
      </x:c>
      <x:c r="D17" s="38" t="n">
        <x:f>COUNTIFS('Props'!$C$7:$C$8,"Prototype")</x:f>
        <x:v>0</x:v>
      </x:c>
      <x:c r="E17" s="38" t="n">
        <x:f>COUNTIFS('Props'!$C$7:$C$8,"Intégré")</x:f>
        <x:v>0</x:v>
      </x:c>
      <x:c r="F17" s="38" t="n">
        <x:f>COUNTIFS('Props'!$C$7:$C$8,"Validé")</x:f>
        <x:v>0</x:v>
      </x:c>
      <x:c r="G17" s="38" t="n">
        <x:f>COUNTIFS('Props'!$D$7:$D$8,"Établi")</x:f>
        <x:v>2</x:v>
      </x:c>
      <x:c r="H17" s="38" t="n">
        <x:f>COUNTIFS('Props'!$D$7:$D$8,"À vérifier")</x:f>
        <x:v>0</x:v>
      </x:c>
      <x:c r="I17" s="38" t="n">
        <x:f>COUNTIFS('Props'!$D$7:$D$8,"Extrapolation")</x:f>
        <x:v>0</x:v>
      </x:c>
      <x:c r="J17" s="38" t="n">
        <x:f>COUNTIFS('Props'!$D$7:$D$8,"Coupé attesté")</x:f>
        <x:v>0</x:v>
      </x:c>
      <x:c r="K17" s="38" t="n">
        <x:f>COUNTIFS('Props'!$D$7:$D$8,"Concept abandonné")</x:f>
        <x:v>0</x:v>
      </x:c>
      <x:c r="L17" s="38" t="n">
        <x:f>COUNTIFS('Props'!$D$7:$D$8,"Allégation écartée")</x:f>
        <x:v>0</x:v>
      </x:c>
      <x:c r="M17" s="38" t="n">
        <x:f>COUNTIFS('Props'!$E$7:$E$8,"P0")</x:f>
        <x:v>0</x:v>
      </x:c>
    </x:row>
    <x:row r="18" ht="22" customHeight="1">
      <x:c r="A18" s="33" t="str">
        <x:v>Ennemis et boss</x:v>
      </x:c>
      <x:c r="B18" s="37" t="n">
        <x:f>COUNTA('Ennemis_boss'!$A$7:$A$10)</x:f>
        <x:v>4</x:v>
      </x:c>
      <x:c r="C18" s="37" t="n">
        <x:f>COUNTIFS('Ennemis_boss'!$C$7:$C$10,"Défini")</x:f>
        <x:v>4</x:v>
      </x:c>
      <x:c r="D18" s="37" t="n">
        <x:f>COUNTIFS('Ennemis_boss'!$C$7:$C$10,"Prototype")</x:f>
        <x:v>0</x:v>
      </x:c>
      <x:c r="E18" s="37" t="n">
        <x:f>COUNTIFS('Ennemis_boss'!$C$7:$C$10,"Intégré")</x:f>
        <x:v>0</x:v>
      </x:c>
      <x:c r="F18" s="37" t="n">
        <x:f>COUNTIFS('Ennemis_boss'!$C$7:$C$10,"Validé")</x:f>
        <x:v>0</x:v>
      </x:c>
      <x:c r="G18" s="37" t="n">
        <x:f>COUNTIFS('Ennemis_boss'!$D$7:$D$10,"Établi")</x:f>
        <x:v>0</x:v>
      </x:c>
      <x:c r="H18" s="37" t="n">
        <x:f>COUNTIFS('Ennemis_boss'!$D$7:$D$10,"À vérifier")</x:f>
        <x:v>0</x:v>
      </x:c>
      <x:c r="I18" s="37" t="n">
        <x:f>COUNTIFS('Ennemis_boss'!$D$7:$D$10,"Extrapolation")</x:f>
        <x:v>4</x:v>
      </x:c>
      <x:c r="J18" s="37" t="n">
        <x:f>COUNTIFS('Ennemis_boss'!$D$7:$D$10,"Coupé attesté")</x:f>
        <x:v>0</x:v>
      </x:c>
      <x:c r="K18" s="37" t="n">
        <x:f>COUNTIFS('Ennemis_boss'!$D$7:$D$10,"Concept abandonné")</x:f>
        <x:v>0</x:v>
      </x:c>
      <x:c r="L18" s="37" t="n">
        <x:f>COUNTIFS('Ennemis_boss'!$D$7:$D$10,"Allégation écartée")</x:f>
        <x:v>0</x:v>
      </x:c>
      <x:c r="M18" s="37" t="n">
        <x:f>COUNTIFS('Ennemis_boss'!$E$7:$E$10,"P0")</x:f>
        <x:v>0</x:v>
      </x:c>
    </x:row>
    <x:row r="19" ht="22" customHeight="1">
      <x:c r="A19" s="2" t="str">
        <x:v>Missions</x:v>
      </x:c>
      <x:c r="B19" s="38" t="n">
        <x:f>COUNTA('Missions'!$A$7:$A$14)</x:f>
        <x:v>8</x:v>
      </x:c>
      <x:c r="C19" s="38" t="n">
        <x:f>COUNTIFS('Missions'!$C$7:$C$14,"Défini")</x:f>
        <x:v>8</x:v>
      </x:c>
      <x:c r="D19" s="38" t="n">
        <x:f>COUNTIFS('Missions'!$C$7:$C$14,"Prototype")</x:f>
        <x:v>0</x:v>
      </x:c>
      <x:c r="E19" s="38" t="n">
        <x:f>COUNTIFS('Missions'!$C$7:$C$14,"Intégré")</x:f>
        <x:v>0</x:v>
      </x:c>
      <x:c r="F19" s="38" t="n">
        <x:f>COUNTIFS('Missions'!$C$7:$C$14,"Validé")</x:f>
        <x:v>0</x:v>
      </x:c>
      <x:c r="G19" s="38" t="n">
        <x:f>COUNTIFS('Missions'!$D$7:$D$14,"Établi")</x:f>
        <x:v>0</x:v>
      </x:c>
      <x:c r="H19" s="38" t="n">
        <x:f>COUNTIFS('Missions'!$D$7:$D$14,"À vérifier")</x:f>
        <x:v>0</x:v>
      </x:c>
      <x:c r="I19" s="38" t="n">
        <x:f>COUNTIFS('Missions'!$D$7:$D$14,"Extrapolation")</x:f>
        <x:v>8</x:v>
      </x:c>
      <x:c r="J19" s="38" t="n">
        <x:f>COUNTIFS('Missions'!$D$7:$D$14,"Coupé attesté")</x:f>
        <x:v>0</x:v>
      </x:c>
      <x:c r="K19" s="38" t="n">
        <x:f>COUNTIFS('Missions'!$D$7:$D$14,"Concept abandonné")</x:f>
        <x:v>0</x:v>
      </x:c>
      <x:c r="L19" s="38" t="n">
        <x:f>COUNTIFS('Missions'!$D$7:$D$14,"Allégation écartée")</x:f>
        <x:v>0</x:v>
      </x:c>
      <x:c r="M19" s="38" t="n">
        <x:f>COUNTIFS('Missions'!$E$7:$E$14,"P0")</x:f>
        <x:v>8</x:v>
      </x:c>
    </x:row>
    <x:row r="20" ht="22" customHeight="1">
      <x:c r="A20" s="33" t="str">
        <x:v>Secondaires et DLC</x:v>
      </x:c>
      <x:c r="B20" s="37" t="n">
        <x:f>COUNTA('Secondaires_DLC'!$A$7:$A$14)</x:f>
        <x:v>8</x:v>
      </x:c>
      <x:c r="C20" s="37" t="n">
        <x:f>COUNTIFS('Secondaires_DLC'!$C$7:$C$14,"Défini")</x:f>
        <x:v>8</x:v>
      </x:c>
      <x:c r="D20" s="37" t="n">
        <x:f>COUNTIFS('Secondaires_DLC'!$C$7:$C$14,"Prototype")</x:f>
        <x:v>0</x:v>
      </x:c>
      <x:c r="E20" s="37" t="n">
        <x:f>COUNTIFS('Secondaires_DLC'!$C$7:$C$14,"Intégré")</x:f>
        <x:v>0</x:v>
      </x:c>
      <x:c r="F20" s="37" t="n">
        <x:f>COUNTIFS('Secondaires_DLC'!$C$7:$C$14,"Validé")</x:f>
        <x:v>0</x:v>
      </x:c>
      <x:c r="G20" s="37" t="n">
        <x:f>COUNTIFS('Secondaires_DLC'!$D$7:$D$14,"Établi")</x:f>
        <x:v>0</x:v>
      </x:c>
      <x:c r="H20" s="37" t="n">
        <x:f>COUNTIFS('Secondaires_DLC'!$D$7:$D$14,"À vérifier")</x:f>
        <x:v>0</x:v>
      </x:c>
      <x:c r="I20" s="37" t="n">
        <x:f>COUNTIFS('Secondaires_DLC'!$D$7:$D$14,"Extrapolation")</x:f>
        <x:v>8</x:v>
      </x:c>
      <x:c r="J20" s="37" t="n">
        <x:f>COUNTIFS('Secondaires_DLC'!$D$7:$D$14,"Coupé attesté")</x:f>
        <x:v>0</x:v>
      </x:c>
      <x:c r="K20" s="37" t="n">
        <x:f>COUNTIFS('Secondaires_DLC'!$D$7:$D$14,"Concept abandonné")</x:f>
        <x:v>0</x:v>
      </x:c>
      <x:c r="L20" s="37" t="n">
        <x:f>COUNTIFS('Secondaires_DLC'!$D$7:$D$14,"Allégation écartée")</x:f>
        <x:v>0</x:v>
      </x:c>
      <x:c r="M20" s="37" t="n">
        <x:f>COUNTIFS('Secondaires_DLC'!$E$7:$E$14,"P0")</x:f>
        <x:v>0</x:v>
      </x:c>
    </x:row>
    <x:row r="21" ht="22" customHeight="1">
      <x:c r="A21" s="2" t="str">
        <x:v>Choix et relations</x:v>
      </x:c>
      <x:c r="B21" s="38" t="n">
        <x:f>COUNTA('Choix_relations'!$A$7:$A$14)</x:f>
        <x:v>8</x:v>
      </x:c>
      <x:c r="C21" s="38" t="n">
        <x:f>COUNTIFS('Choix_relations'!$C$7:$C$14,"Défini")</x:f>
        <x:v>8</x:v>
      </x:c>
      <x:c r="D21" s="38" t="n">
        <x:f>COUNTIFS('Choix_relations'!$C$7:$C$14,"Prototype")</x:f>
        <x:v>0</x:v>
      </x:c>
      <x:c r="E21" s="38" t="n">
        <x:f>COUNTIFS('Choix_relations'!$C$7:$C$14,"Intégré")</x:f>
        <x:v>0</x:v>
      </x:c>
      <x:c r="F21" s="38" t="n">
        <x:f>COUNTIFS('Choix_relations'!$C$7:$C$14,"Validé")</x:f>
        <x:v>0</x:v>
      </x:c>
      <x:c r="G21" s="38" t="n">
        <x:f>COUNTIFS('Choix_relations'!$D$7:$D$14,"Établi")</x:f>
        <x:v>0</x:v>
      </x:c>
      <x:c r="H21" s="38" t="n">
        <x:f>COUNTIFS('Choix_relations'!$D$7:$D$14,"À vérifier")</x:f>
        <x:v>0</x:v>
      </x:c>
      <x:c r="I21" s="38" t="n">
        <x:f>COUNTIFS('Choix_relations'!$D$7:$D$14,"Extrapolation")</x:f>
        <x:v>8</x:v>
      </x:c>
      <x:c r="J21" s="38" t="n">
        <x:f>COUNTIFS('Choix_relations'!$D$7:$D$14,"Coupé attesté")</x:f>
        <x:v>0</x:v>
      </x:c>
      <x:c r="K21" s="38" t="n">
        <x:f>COUNTIFS('Choix_relations'!$D$7:$D$14,"Concept abandonné")</x:f>
        <x:v>0</x:v>
      </x:c>
      <x:c r="L21" s="38" t="n">
        <x:f>COUNTIFS('Choix_relations'!$D$7:$D$14,"Allégation écartée")</x:f>
        <x:v>0</x:v>
      </x:c>
      <x:c r="M21" s="38" t="n">
        <x:f>COUNTIFS('Choix_relations'!$E$7:$E$14,"P0")</x:f>
        <x:v>0</x:v>
      </x:c>
    </x:row>
    <x:row r="22" ht="22" customHeight="1">
      <x:c r="A22" s="33" t="str">
        <x:v>Dialogues</x:v>
      </x:c>
      <x:c r="B22" s="37" t="n">
        <x:f>COUNTA('Dialogues'!$A$7:$A$16)</x:f>
        <x:v>10</x:v>
      </x:c>
      <x:c r="C22" s="37" t="n">
        <x:f>COUNTIFS('Dialogues'!$C$7:$C$16,"Défini")</x:f>
        <x:v>10</x:v>
      </x:c>
      <x:c r="D22" s="37" t="n">
        <x:f>COUNTIFS('Dialogues'!$C$7:$C$16,"Prototype")</x:f>
        <x:v>0</x:v>
      </x:c>
      <x:c r="E22" s="37" t="n">
        <x:f>COUNTIFS('Dialogues'!$C$7:$C$16,"Intégré")</x:f>
        <x:v>0</x:v>
      </x:c>
      <x:c r="F22" s="37" t="n">
        <x:f>COUNTIFS('Dialogues'!$C$7:$C$16,"Validé")</x:f>
        <x:v>0</x:v>
      </x:c>
      <x:c r="G22" s="37" t="n">
        <x:f>COUNTIFS('Dialogues'!$D$7:$D$16,"Établi")</x:f>
        <x:v>0</x:v>
      </x:c>
      <x:c r="H22" s="37" t="n">
        <x:f>COUNTIFS('Dialogues'!$D$7:$D$16,"À vérifier")</x:f>
        <x:v>0</x:v>
      </x:c>
      <x:c r="I22" s="37" t="n">
        <x:f>COUNTIFS('Dialogues'!$D$7:$D$16,"Extrapolation")</x:f>
        <x:v>10</x:v>
      </x:c>
      <x:c r="J22" s="37" t="n">
        <x:f>COUNTIFS('Dialogues'!$D$7:$D$16,"Coupé attesté")</x:f>
        <x:v>0</x:v>
      </x:c>
      <x:c r="K22" s="37" t="n">
        <x:f>COUNTIFS('Dialogues'!$D$7:$D$16,"Concept abandonné")</x:f>
        <x:v>0</x:v>
      </x:c>
      <x:c r="L22" s="37" t="n">
        <x:f>COUNTIFS('Dialogues'!$D$7:$D$16,"Allégation écartée")</x:f>
        <x:v>0</x:v>
      </x:c>
      <x:c r="M22" s="37" t="n">
        <x:f>COUNTIFS('Dialogues'!$E$7:$E$16,"P0")</x:f>
        <x:v>0</x:v>
      </x:c>
    </x:row>
    <x:row r="23" ht="22" customHeight="1">
      <x:c r="A23" s="2" t="str">
        <x:v>Cinématiques</x:v>
      </x:c>
      <x:c r="B23" s="38" t="n">
        <x:f>COUNTA('Cinematiques'!$A$7:$A$14)</x:f>
        <x:v>8</x:v>
      </x:c>
      <x:c r="C23" s="38" t="n">
        <x:f>COUNTIFS('Cinematiques'!$C$7:$C$14,"Défini")</x:f>
        <x:v>8</x:v>
      </x:c>
      <x:c r="D23" s="38" t="n">
        <x:f>COUNTIFS('Cinematiques'!$C$7:$C$14,"Prototype")</x:f>
        <x:v>0</x:v>
      </x:c>
      <x:c r="E23" s="38" t="n">
        <x:f>COUNTIFS('Cinematiques'!$C$7:$C$14,"Intégré")</x:f>
        <x:v>0</x:v>
      </x:c>
      <x:c r="F23" s="38" t="n">
        <x:f>COUNTIFS('Cinematiques'!$C$7:$C$14,"Validé")</x:f>
        <x:v>0</x:v>
      </x:c>
      <x:c r="G23" s="38" t="n">
        <x:f>COUNTIFS('Cinematiques'!$D$7:$D$14,"Établi")</x:f>
        <x:v>0</x:v>
      </x:c>
      <x:c r="H23" s="38" t="n">
        <x:f>COUNTIFS('Cinematiques'!$D$7:$D$14,"À vérifier")</x:f>
        <x:v>0</x:v>
      </x:c>
      <x:c r="I23" s="38" t="n">
        <x:f>COUNTIFS('Cinematiques'!$D$7:$D$14,"Extrapolation")</x:f>
        <x:v>8</x:v>
      </x:c>
      <x:c r="J23" s="38" t="n">
        <x:f>COUNTIFS('Cinematiques'!$D$7:$D$14,"Coupé attesté")</x:f>
        <x:v>0</x:v>
      </x:c>
      <x:c r="K23" s="38" t="n">
        <x:f>COUNTIFS('Cinematiques'!$D$7:$D$14,"Concept abandonné")</x:f>
        <x:v>0</x:v>
      </x:c>
      <x:c r="L23" s="38" t="n">
        <x:f>COUNTIFS('Cinematiques'!$D$7:$D$14,"Allégation écartée")</x:f>
        <x:v>0</x:v>
      </x:c>
      <x:c r="M23" s="38" t="n">
        <x:f>COUNTIFS('Cinematiques'!$E$7:$E$14,"P0")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1</x:v>
      </x:c>
      <x:c r="H24" s="37" t="n">
        <x:f>COUNTIFS('Armes'!$D$7:$D$7,"À vérifier")</x:f>
        <x:v>0</x:v>
      </x:c>
      <x:c r="I24" s="37" t="n">
        <x:f>COUNTIFS('Armes'!$D$7:$D$7,"Extrapolation")</x:f>
        <x:v>0</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COUNTA('Armures_equipement'!$A$7:$A$8)</x:f>
        <x:v>2</x:v>
      </x:c>
      <x:c r="C25" s="38" t="n">
        <x:f>COUNTIFS('Armures_equipement'!$C$7:$C$8,"Défini")</x:f>
        <x:v>2</x:v>
      </x:c>
      <x:c r="D25" s="38" t="n">
        <x:f>COUNTIFS('Armures_equipement'!$C$7:$C$8,"Prototype")</x:f>
        <x:v>0</x:v>
      </x:c>
      <x:c r="E25" s="38" t="n">
        <x:f>COUNTIFS('Armures_equipement'!$C$7:$C$8,"Intégré")</x:f>
        <x:v>0</x:v>
      </x:c>
      <x:c r="F25" s="38" t="n">
        <x:f>COUNTIFS('Armures_equipement'!$C$7:$C$8,"Validé")</x:f>
        <x:v>0</x:v>
      </x:c>
      <x:c r="G25" s="38" t="n">
        <x:f>COUNTIFS('Armures_equipement'!$D$7:$D$8,"Établi")</x:f>
        <x:v>2</x:v>
      </x:c>
      <x:c r="H25" s="38" t="n">
        <x:f>COUNTIFS('Armures_equipement'!$D$7:$D$8,"À vérifier")</x:f>
        <x:v>0</x:v>
      </x:c>
      <x:c r="I25" s="38" t="n">
        <x:f>COUNTIFS('Armures_equipement'!$D$7:$D$8,"Extrapolation")</x:f>
        <x:v>0</x:v>
      </x:c>
      <x:c r="J25" s="38" t="n">
        <x:f>COUNTIFS('Armures_equipement'!$D$7:$D$8,"Coupé attesté")</x:f>
        <x:v>0</x:v>
      </x:c>
      <x:c r="K25" s="38" t="n">
        <x:f>COUNTIFS('Armures_equipement'!$D$7:$D$8,"Concept abandonné")</x:f>
        <x:v>0</x:v>
      </x:c>
      <x:c r="L25" s="38" t="n">
        <x:f>COUNTIFS('Armures_equipement'!$D$7:$D$8,"Allégation écartée")</x:f>
        <x:v>0</x:v>
      </x:c>
      <x:c r="M25" s="38" t="n">
        <x:f>COUNTIFS('Armures_equipement'!$E$7:$E$8,"P0")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1</x:v>
      </x:c>
      <x:c r="H26" s="37" t="n">
        <x:f>COUNTIFS('Pouvoirs'!$D$7:$D$7,"À vérifier")</x:f>
        <x:v>0</x:v>
      </x:c>
      <x:c r="I26" s="37" t="n">
        <x:f>COUNTIFS('Pouvoirs'!$D$7:$D$7,"Extrapolation")</x:f>
        <x:v>0</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COUNTA('Movesets_allies'!$A$7:$A$12)</x:f>
        <x:v>6</x:v>
      </x:c>
      <x:c r="C27" s="38" t="n">
        <x:f>COUNTIFS('Movesets_allies'!$C$7:$C$12,"Défini")</x:f>
        <x:v>6</x:v>
      </x:c>
      <x:c r="D27" s="38" t="n">
        <x:f>COUNTIFS('Movesets_allies'!$C$7:$C$12,"Prototype")</x:f>
        <x:v>0</x:v>
      </x:c>
      <x:c r="E27" s="38" t="n">
        <x:f>COUNTIFS('Movesets_allies'!$C$7:$C$12,"Intégré")</x:f>
        <x:v>0</x:v>
      </x:c>
      <x:c r="F27" s="38" t="n">
        <x:f>COUNTIFS('Movesets_allies'!$C$7:$C$12,"Validé")</x:f>
        <x:v>0</x:v>
      </x:c>
      <x:c r="G27" s="38" t="n">
        <x:f>COUNTIFS('Movesets_allies'!$D$7:$D$12,"Établi")</x:f>
        <x:v>0</x:v>
      </x:c>
      <x:c r="H27" s="38" t="n">
        <x:f>COUNTIFS('Movesets_allies'!$D$7:$D$12,"À vérifier")</x:f>
        <x:v>0</x:v>
      </x:c>
      <x:c r="I27" s="38" t="n">
        <x:f>COUNTIFS('Movesets_allies'!$D$7:$D$12,"Extrapolation")</x:f>
        <x:v>6</x:v>
      </x:c>
      <x:c r="J27" s="38" t="n">
        <x:f>COUNTIFS('Movesets_allies'!$D$7:$D$12,"Coupé attesté")</x:f>
        <x:v>0</x:v>
      </x:c>
      <x:c r="K27" s="38" t="n">
        <x:f>COUNTIFS('Movesets_allies'!$D$7:$D$12,"Concept abandonné")</x:f>
        <x:v>0</x:v>
      </x:c>
      <x:c r="L27" s="38" t="n">
        <x:f>COUNTIFS('Movesets_allies'!$D$7:$D$12,"Allégation écartée")</x:f>
        <x:v>0</x:v>
      </x:c>
      <x:c r="M27" s="38" t="n">
        <x:f>COUNTIFS('Movesets_allies'!$E$7:$E$12,"P0")</x:f>
        <x:v>0</x:v>
      </x:c>
    </x:row>
    <x:row r="28" ht="22" customHeight="1">
      <x:c r="A28" s="33" t="str">
        <x:v>Movesets ennemis</x:v>
      </x:c>
      <x:c r="B28" s="37" t="n">
        <x:f>COUNTA('Movesets_ennemis'!$A$7:$A$10)</x:f>
        <x:v>4</x:v>
      </x:c>
      <x:c r="C28" s="37" t="n">
        <x:f>COUNTIFS('Movesets_ennemis'!$C$7:$C$10,"Défini")</x:f>
        <x:v>4</x:v>
      </x:c>
      <x:c r="D28" s="37" t="n">
        <x:f>COUNTIFS('Movesets_ennemis'!$C$7:$C$10,"Prototype")</x:f>
        <x:v>0</x:v>
      </x:c>
      <x:c r="E28" s="37" t="n">
        <x:f>COUNTIFS('Movesets_ennemis'!$C$7:$C$10,"Intégré")</x:f>
        <x:v>0</x:v>
      </x:c>
      <x:c r="F28" s="37" t="n">
        <x:f>COUNTIFS('Movesets_ennemis'!$C$7:$C$10,"Validé")</x:f>
        <x:v>0</x:v>
      </x:c>
      <x:c r="G28" s="37" t="n">
        <x:f>COUNTIFS('Movesets_ennemis'!$D$7:$D$10,"Établi")</x:f>
        <x:v>0</x:v>
      </x:c>
      <x:c r="H28" s="37" t="n">
        <x:f>COUNTIFS('Movesets_ennemis'!$D$7:$D$10,"À vérifier")</x:f>
        <x:v>0</x:v>
      </x:c>
      <x:c r="I28" s="37" t="n">
        <x:f>COUNTIFS('Movesets_ennemis'!$D$7:$D$10,"Extrapolation")</x:f>
        <x:v>4</x:v>
      </x:c>
      <x:c r="J28" s="37" t="n">
        <x:f>COUNTIFS('Movesets_ennemis'!$D$7:$D$10,"Coupé attesté")</x:f>
        <x:v>0</x:v>
      </x:c>
      <x:c r="K28" s="37" t="n">
        <x:f>COUNTIFS('Movesets_ennemis'!$D$7:$D$10,"Concept abandonné")</x:f>
        <x:v>0</x:v>
      </x:c>
      <x:c r="L28" s="37" t="n">
        <x:f>COUNTIFS('Movesets_ennemis'!$D$7:$D$10,"Allégation écartée")</x:f>
        <x:v>0</x:v>
      </x:c>
      <x:c r="M28" s="37" t="n">
        <x:f>COUNTIFS('Movesets_ennemis'!$E$7:$E$10,"P0")</x:f>
        <x:v>0</x:v>
      </x:c>
    </x:row>
    <x:row r="29" ht="22" customHeight="1">
      <x:c r="A29" s="2" t="str">
        <x:v>Animations</x:v>
      </x:c>
      <x:c r="B29" s="38" t="n">
        <x:f>COUNTA('Animations'!$A$7:$A$16)</x:f>
        <x:v>10</x:v>
      </x:c>
      <x:c r="C29" s="38" t="n">
        <x:f>COUNTIFS('Animations'!$C$7:$C$16,"Défini")</x:f>
        <x:v>10</x:v>
      </x:c>
      <x:c r="D29" s="38" t="n">
        <x:f>COUNTIFS('Animations'!$C$7:$C$16,"Prototype")</x:f>
        <x:v>0</x:v>
      </x:c>
      <x:c r="E29" s="38" t="n">
        <x:f>COUNTIFS('Animations'!$C$7:$C$16,"Intégré")</x:f>
        <x:v>0</x:v>
      </x:c>
      <x:c r="F29" s="38" t="n">
        <x:f>COUNTIFS('Animations'!$C$7:$C$16,"Validé")</x:f>
        <x:v>0</x:v>
      </x:c>
      <x:c r="G29" s="38" t="n">
        <x:f>COUNTIFS('Animations'!$D$7:$D$16,"Établi")</x:f>
        <x:v>0</x:v>
      </x:c>
      <x:c r="H29" s="38" t="n">
        <x:f>COUNTIFS('Animations'!$D$7:$D$16,"À vérifier")</x:f>
        <x:v>0</x:v>
      </x:c>
      <x:c r="I29" s="38" t="n">
        <x:f>COUNTIFS('Animations'!$D$7:$D$16,"Extrapolation")</x:f>
        <x:v>10</x:v>
      </x:c>
      <x:c r="J29" s="38" t="n">
        <x:f>COUNTIFS('Animations'!$D$7:$D$16,"Coupé attesté")</x:f>
        <x:v>0</x:v>
      </x:c>
      <x:c r="K29" s="38" t="n">
        <x:f>COUNTIFS('Animations'!$D$7:$D$16,"Concept abandonné")</x:f>
        <x:v>0</x:v>
      </x:c>
      <x:c r="L29" s="38" t="n">
        <x:f>COUNTIFS('Animations'!$D$7:$D$16,"Allégation écartée")</x:f>
        <x:v>0</x:v>
      </x:c>
      <x:c r="M29" s="38" t="n">
        <x:f>COUNTIFS('Animations'!$E$7:$E$16,"P0")</x:f>
        <x:v>0</x:v>
      </x:c>
    </x:row>
    <x:row r="30" ht="22" customHeight="1">
      <x:c r="A30" s="33" t="str">
        <x:v>Sprites</x:v>
      </x:c>
      <x:c r="B30" s="37" t="n">
        <x:f>COUNTA('Sprites'!$A$7:$A$16)</x:f>
        <x:v>10</x:v>
      </x:c>
      <x:c r="C30" s="37" t="n">
        <x:f>COUNTIFS('Sprites'!$C$7:$C$16,"Défini")</x:f>
        <x:v>10</x:v>
      </x:c>
      <x:c r="D30" s="37" t="n">
        <x:f>COUNTIFS('Sprites'!$C$7:$C$16,"Prototype")</x:f>
        <x:v>0</x:v>
      </x:c>
      <x:c r="E30" s="37" t="n">
        <x:f>COUNTIFS('Sprites'!$C$7:$C$16,"Intégré")</x:f>
        <x:v>0</x:v>
      </x:c>
      <x:c r="F30" s="37" t="n">
        <x:f>COUNTIFS('Sprites'!$C$7:$C$16,"Validé")</x:f>
        <x:v>0</x:v>
      </x:c>
      <x:c r="G30" s="37" t="n">
        <x:f>COUNTIFS('Sprites'!$D$7:$D$16,"Établi")</x:f>
        <x:v>0</x:v>
      </x:c>
      <x:c r="H30" s="37" t="n">
        <x:f>COUNTIFS('Sprites'!$D$7:$D$16,"À vérifier")</x:f>
        <x:v>0</x:v>
      </x:c>
      <x:c r="I30" s="37" t="n">
        <x:f>COUNTIFS('Sprites'!$D$7:$D$16,"Extrapolation")</x:f>
        <x:v>10</x:v>
      </x:c>
      <x:c r="J30" s="37" t="n">
        <x:f>COUNTIFS('Sprites'!$D$7:$D$16,"Coupé attesté")</x:f>
        <x:v>0</x:v>
      </x:c>
      <x:c r="K30" s="37" t="n">
        <x:f>COUNTIFS('Sprites'!$D$7:$D$16,"Concept abandonné")</x:f>
        <x:v>0</x:v>
      </x:c>
      <x:c r="L30" s="37" t="n">
        <x:f>COUNTIFS('Sprites'!$D$7:$D$16,"Allégation écartée")</x:f>
        <x:v>0</x:v>
      </x:c>
      <x:c r="M30" s="37" t="n">
        <x:f>COUNTIFS('Sprites'!$E$7:$E$16,"P0")</x:f>
        <x:v>0</x:v>
      </x:c>
    </x:row>
    <x:row r="31" ht="22" customHeight="1">
      <x:c r="A31" s="2" t="str">
        <x:v>VFX</x:v>
      </x:c>
      <x:c r="B31" s="38" t="n">
        <x:f>COUNTA('VFX'!$A$7:$A$10)</x:f>
        <x:v>4</x:v>
      </x:c>
      <x:c r="C31" s="38" t="n">
        <x:f>COUNTIFS('VFX'!$C$7:$C$10,"Défini")</x:f>
        <x:v>4</x:v>
      </x:c>
      <x:c r="D31" s="38" t="n">
        <x:f>COUNTIFS('VFX'!$C$7:$C$10,"Prototype")</x:f>
        <x:v>0</x:v>
      </x:c>
      <x:c r="E31" s="38" t="n">
        <x:f>COUNTIFS('VFX'!$C$7:$C$10,"Intégré")</x:f>
        <x:v>0</x:v>
      </x:c>
      <x:c r="F31" s="38" t="n">
        <x:f>COUNTIFS('VFX'!$C$7:$C$10,"Validé")</x:f>
        <x:v>0</x:v>
      </x:c>
      <x:c r="G31" s="38" t="n">
        <x:f>COUNTIFS('VFX'!$D$7:$D$10,"Établi")</x:f>
        <x:v>0</x:v>
      </x:c>
      <x:c r="H31" s="38" t="n">
        <x:f>COUNTIFS('VFX'!$D$7:$D$10,"À vérifier")</x:f>
        <x:v>0</x:v>
      </x:c>
      <x:c r="I31" s="38" t="n">
        <x:f>COUNTIFS('VFX'!$D$7:$D$10,"Extrapolation")</x:f>
        <x:v>4</x:v>
      </x:c>
      <x:c r="J31" s="38" t="n">
        <x:f>COUNTIFS('VFX'!$D$7:$D$10,"Coupé attesté")</x:f>
        <x:v>0</x:v>
      </x:c>
      <x:c r="K31" s="38" t="n">
        <x:f>COUNTIFS('VFX'!$D$7:$D$10,"Concept abandonné")</x:f>
        <x:v>0</x:v>
      </x:c>
      <x:c r="L31" s="38" t="n">
        <x:f>COUNTIFS('VFX'!$D$7:$D$10,"Allégation écartée")</x:f>
        <x:v>0</x:v>
      </x:c>
      <x:c r="M31" s="38" t="n">
        <x:f>COUNTIFS('VFX'!$E$7:$E$10,"P0")</x:f>
        <x:v>0</x:v>
      </x:c>
    </x:row>
    <x:row r="32" ht="22" customHeight="1">
      <x:c r="A32" s="33" t="str">
        <x:v>Audio</x:v>
      </x:c>
      <x:c r="B32" s="37" t="n">
        <x:f>COUNTA('Audio'!$A$7:$A$11)</x:f>
        <x:v>5</x:v>
      </x:c>
      <x:c r="C32" s="37" t="n">
        <x:f>COUNTIFS('Audio'!$C$7:$C$11,"Défini")</x:f>
        <x:v>5</x:v>
      </x:c>
      <x:c r="D32" s="37" t="n">
        <x:f>COUNTIFS('Audio'!$C$7:$C$11,"Prototype")</x:f>
        <x:v>0</x:v>
      </x:c>
      <x:c r="E32" s="37" t="n">
        <x:f>COUNTIFS('Audio'!$C$7:$C$11,"Intégré")</x:f>
        <x:v>0</x:v>
      </x:c>
      <x:c r="F32" s="37" t="n">
        <x:f>COUNTIFS('Audio'!$C$7:$C$11,"Validé")</x:f>
        <x:v>0</x:v>
      </x:c>
      <x:c r="G32" s="37" t="n">
        <x:f>COUNTIFS('Audio'!$D$7:$D$11,"Établi")</x:f>
        <x:v>0</x:v>
      </x:c>
      <x:c r="H32" s="37" t="n">
        <x:f>COUNTIFS('Audio'!$D$7:$D$11,"À vérifier")</x:f>
        <x:v>0</x:v>
      </x:c>
      <x:c r="I32" s="37" t="n">
        <x:f>COUNTIFS('Audio'!$D$7:$D$11,"Extrapolation")</x:f>
        <x:v>5</x:v>
      </x:c>
      <x:c r="J32" s="37" t="n">
        <x:f>COUNTIFS('Audio'!$D$7:$D$11,"Coupé attesté")</x:f>
        <x:v>0</x:v>
      </x:c>
      <x:c r="K32" s="37" t="n">
        <x:f>COUNTIFS('Audio'!$D$7:$D$11,"Concept abandonné")</x:f>
        <x:v>0</x:v>
      </x:c>
      <x:c r="L32" s="37" t="n">
        <x:f>COUNTIFS('Audio'!$D$7:$D$11,"Allégation écartée")</x:f>
        <x:v>0</x:v>
      </x:c>
      <x:c r="M32" s="37" t="n">
        <x:f>COUNTIFS('Audio'!$E$7:$E$11,"P0")</x:f>
        <x:v>0</x:v>
      </x:c>
    </x:row>
    <x:row r="33" ht="22" customHeight="1">
      <x:c r="A33" s="2" t="str">
        <x:v>Systèmes et UI</x:v>
      </x:c>
      <x:c r="B33" s="38" t="n">
        <x:f>COUNTA('UI_systemes'!$A$7:$A$14)</x:f>
        <x:v>8</x:v>
      </x:c>
      <x:c r="C33" s="38" t="n">
        <x:f>COUNTIFS('UI_systemes'!$C$7:$C$14,"Défini")</x:f>
        <x:v>8</x:v>
      </x:c>
      <x:c r="D33" s="38" t="n">
        <x:f>COUNTIFS('UI_systemes'!$C$7:$C$14,"Prototype")</x:f>
        <x:v>0</x:v>
      </x:c>
      <x:c r="E33" s="38" t="n">
        <x:f>COUNTIFS('UI_systemes'!$C$7:$C$14,"Intégré")</x:f>
        <x:v>0</x:v>
      </x:c>
      <x:c r="F33" s="38" t="n">
        <x:f>COUNTIFS('UI_systemes'!$C$7:$C$14,"Validé")</x:f>
        <x:v>0</x:v>
      </x:c>
      <x:c r="G33" s="38" t="n">
        <x:f>COUNTIFS('UI_systemes'!$D$7:$D$14,"Établi")</x:f>
        <x:v>0</x:v>
      </x:c>
      <x:c r="H33" s="38" t="n">
        <x:f>COUNTIFS('UI_systemes'!$D$7:$D$14,"À vérifier")</x:f>
        <x:v>0</x:v>
      </x:c>
      <x:c r="I33" s="38" t="n">
        <x:f>COUNTIFS('UI_systemes'!$D$7:$D$14,"Extrapolation")</x:f>
        <x:v>8</x:v>
      </x:c>
      <x:c r="J33" s="38" t="n">
        <x:f>COUNTIFS('UI_systemes'!$D$7:$D$14,"Coupé attesté")</x:f>
        <x:v>0</x:v>
      </x:c>
      <x:c r="K33" s="38" t="n">
        <x:f>COUNTIFS('UI_systemes'!$D$7:$D$14,"Concept abandonné")</x:f>
        <x:v>0</x:v>
      </x:c>
      <x:c r="L33" s="38" t="n">
        <x:f>COUNTIFS('UI_systemes'!$D$7:$D$14,"Allégation écartée")</x:f>
        <x:v>0</x:v>
      </x:c>
      <x:c r="M33" s="38" t="n">
        <x:f>COUNTIFS('UI_systemes'!$E$7:$E$14,"P0")</x:f>
        <x:v>2</x:v>
      </x:c>
    </x:row>
    <x:row r="34" ht="22" customHeight="1">
      <x:c r="A34" s="33" t="str">
        <x:v>QA</x:v>
      </x:c>
      <x:c r="B34" s="37" t="n">
        <x:f>COUNTA('QA'!$A$7:$A$18)</x:f>
        <x:v>12</x:v>
      </x:c>
      <x:c r="C34" s="37" t="n">
        <x:f>COUNTIFS('QA'!$C$7:$C$18,"Défini")</x:f>
        <x:v>12</x:v>
      </x:c>
      <x:c r="D34" s="37" t="n">
        <x:f>COUNTIFS('QA'!$C$7:$C$18,"Prototype")</x:f>
        <x:v>0</x:v>
      </x:c>
      <x:c r="E34" s="37" t="n">
        <x:f>COUNTIFS('QA'!$C$7:$C$18,"Intégré")</x:f>
        <x:v>0</x:v>
      </x:c>
      <x:c r="F34" s="37" t="n">
        <x:f>COUNTIFS('QA'!$C$7:$C$18,"Validé")</x:f>
        <x:v>0</x:v>
      </x:c>
      <x:c r="G34" s="37" t="n">
        <x:f>COUNTIFS('QA'!$D$7:$D$18,"Établi")</x:f>
        <x:v>0</x:v>
      </x:c>
      <x:c r="H34" s="37" t="n">
        <x:f>COUNTIFS('QA'!$D$7:$D$18,"À vérifier")</x:f>
        <x:v>0</x:v>
      </x:c>
      <x:c r="I34" s="37" t="n">
        <x:f>COUNTIFS('QA'!$D$7:$D$18,"Extrapolation")</x:f>
        <x:v>12</x:v>
      </x:c>
      <x:c r="J34" s="37" t="n">
        <x:f>COUNTIFS('QA'!$D$7:$D$18,"Coupé attesté")</x:f>
        <x:v>0</x:v>
      </x:c>
      <x:c r="K34" s="37" t="n">
        <x:f>COUNTIFS('QA'!$D$7:$D$18,"Concept abandonné")</x:f>
        <x:v>0</x:v>
      </x:c>
      <x:c r="L34" s="37" t="n">
        <x:f>COUNTIFS('QA'!$D$7:$D$18,"Allégation écartée")</x:f>
        <x:v>0</x:v>
      </x:c>
      <x:c r="M34" s="37" t="n">
        <x:f>COUNTIFS('QA'!$E$7:$E$18,"P0")</x:f>
        <x:v>3</x:v>
      </x:c>
    </x:row>
    <x:row r="35" ht="22" customHeight="1">
      <x:c r="A35" s="2" t="str">
        <x:v>Continuité</x:v>
      </x:c>
      <x:c r="B35" s="38" t="n">
        <x:f>COUNTA('Continuite'!$A$7:$A$13)</x:f>
        <x:v>7</x:v>
      </x:c>
      <x:c r="C35" s="38" t="n">
        <x:f>COUNTIFS('Continuite'!$C$7:$C$13,"Défini")</x:f>
        <x:v>7</x:v>
      </x:c>
      <x:c r="D35" s="38" t="n">
        <x:f>COUNTIFS('Continuite'!$C$7:$C$13,"Prototype")</x:f>
        <x:v>0</x:v>
      </x:c>
      <x:c r="E35" s="38" t="n">
        <x:f>COUNTIFS('Continuite'!$C$7:$C$13,"Intégré")</x:f>
        <x:v>0</x:v>
      </x:c>
      <x:c r="F35" s="38" t="n">
        <x:f>COUNTIFS('Continuite'!$C$7:$C$13,"Validé")</x:f>
        <x:v>0</x:v>
      </x:c>
      <x:c r="G35" s="38" t="n">
        <x:f>COUNTIFS('Continuite'!$D$7:$D$13,"Établi")</x:f>
        <x:v>5</x:v>
      </x:c>
      <x:c r="H35" s="38" t="n">
        <x:f>COUNTIFS('Continuite'!$D$7:$D$13,"À vérifier")</x:f>
        <x:v>1</x:v>
      </x:c>
      <x:c r="I35" s="38" t="n">
        <x:f>COUNTIFS('Continuite'!$D$7:$D$13,"Extrapolation")</x:f>
        <x:v>1</x:v>
      </x:c>
      <x:c r="J35" s="38" t="n">
        <x:f>COUNTIFS('Continuite'!$D$7:$D$13,"Coupé attesté")</x:f>
        <x:v>0</x:v>
      </x:c>
      <x:c r="K35" s="38" t="n">
        <x:f>COUNTIFS('Continuite'!$D$7:$D$13,"Concept abandonné")</x:f>
        <x:v>0</x:v>
      </x:c>
      <x:c r="L35" s="38" t="n">
        <x:f>COUNTIFS('Continuite'!$D$7:$D$13,"Allégation écartée")</x:f>
        <x:v>0</x:v>
      </x:c>
      <x:c r="M35" s="38" t="n">
        <x:f>COUNTIFS('Continuite'!$E$7:$E$13,"P0")</x:f>
        <x:v>7</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158</x:v>
      </x:c>
      <x:c r="C37" s="39" t="n">
        <x:f>SUM(C10:C35)</x:f>
        <x:v>153</x:v>
      </x:c>
      <x:c r="D37" s="39" t="n">
        <x:f>SUM(D10:D35)</x:f>
        <x:v>5</x:v>
      </x:c>
      <x:c r="E37" s="39" t="n">
        <x:f>SUM(E10:E35)</x:f>
        <x:v>0</x:v>
      </x:c>
      <x:c r="F37" s="39" t="n">
        <x:f>SUM(F10:F35)</x:f>
        <x:v>0</x:v>
      </x:c>
      <x:c r="G37" s="39" t="n">
        <x:f>SUM(G10:G35)</x:f>
        <x:v>27</x:v>
      </x:c>
      <x:c r="H37" s="39" t="n">
        <x:f>SUM(H10:H35)</x:f>
        <x:v>1</x:v>
      </x:c>
      <x:c r="I37" s="39" t="n">
        <x:f>SUM(I10:I35)</x:f>
        <x:v>130</x:v>
      </x:c>
      <x:c r="J37" s="39" t="n">
        <x:f>SUM(J10:J35)</x:f>
        <x:v>0</x:v>
      </x:c>
      <x:c r="K37" s="39" t="n">
        <x:f>SUM(K10:K35)</x:f>
        <x:v>0</x:v>
      </x:c>
      <x:c r="L37" s="39" t="n">
        <x:f>SUM(L10:L35)</x:f>
        <x:v>0</x:v>
      </x:c>
      <x:c r="M37" s="39" t="n">
        <x:f>SUM(M10:M35)</x:f>
        <x:v>20</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Retribution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RET-CHR-GRAYSON</x:v>
      </x:c>
      <x:c r="B7" s="9" t="str">
        <x:v>Paul Grayson</x:v>
      </x:c>
      <x:c r="C7" s="15" t="str">
        <x:v>Défini</x:v>
      </x:c>
      <x:c r="D7" s="16" t="str">
        <x:v>Établi</x:v>
      </x:c>
      <x:c r="E7" s="16" t="str">
        <x:v>P1</x:v>
      </x:c>
      <x:c r="F7" s="9" t="str">
        <x:v>Ancien agent de Cerberus choisi pour une expérience utilisant une technologie des Moissonneurs.</x:v>
      </x:c>
      <x:c r="G7" s="9" t="str">
        <x:v>Référence narrative ; proposition visuelle et interaction dans les fiches liées.</x:v>
      </x:c>
      <x:c r="H7" s="9" t="str"/>
      <x:c r="I7" s="9" t="str"/>
      <x:c r="J7" s="9" t="str"/>
      <x:c r="K7" s="9" t="str"/>
      <x:c r="L7" s="9" t="str">
        <x:v>Réserver actor.ret.grayson ; rôle de référence : équipier.</x:v>
      </x:c>
      <x:c r="M7" s="9" t="str">
        <x:v>Préserver le parcours de Grayson et les états nécessaires à Deception et ME3. Les rencontres proposées n’offrent ni guérison canonique de Grayson ni élimination définitive de Kai Leng.</x:v>
      </x:c>
      <x:c r="N7" s="9" t="str">
        <x:v>Nom, rôle et présence confirmés dans la source indiquée ; aucune compétence chiffrée déduite du roman.</x:v>
      </x:c>
      <x:c r="O7" s="9" t="str"/>
      <x:c r="P7" s="9" t="str">
        <x:v>Notice de personnage ou présentation de l’œuvre ; pas de chapitre attribué.</x:v>
      </x:c>
      <x:c r="Q7" s="9" t="str">
        <x:v>RET-SRC-PUB</x:v>
      </x:c>
      <x:c r="R7" s="9" t="str">
        <x:v>https://www.penguinrandomhouse.com/books/200767/mass-effect-retribution-by-drew-karpyshyn/paperback/</x:v>
      </x:c>
      <x:c r="S7" s="9" t="str">
        <x:v>Le costume proposé dans les fiches de production n’est pas un modèle officiel.</x:v>
      </x:c>
    </x:row>
    <x:row r="8" ht="68" customHeight="1">
      <x:c r="A8" s="19" t="str">
        <x:v>RET-CHR-KAHLEE</x:v>
      </x:c>
      <x:c r="B8" s="7" t="str">
        <x:v>Kahlee Sanders</x:v>
      </x:c>
      <x:c r="C8" s="15" t="str">
        <x:v>Défini</x:v>
      </x:c>
      <x:c r="D8" s="17" t="str">
        <x:v>Établi</x:v>
      </x:c>
      <x:c r="E8" s="17" t="str">
        <x:v>P1</x:v>
      </x:c>
      <x:c r="F8" s="7" t="str">
        <x:v>Elle sollicite Anderson lorsqu’elle apprend la disparition de Grayson.</x:v>
      </x:c>
      <x:c r="G8" s="7" t="str">
        <x:v>Référence narrative ; proposition visuelle et interaction dans les fiches liées.</x:v>
      </x:c>
      <x:c r="H8" s="7" t="str"/>
      <x:c r="I8" s="7" t="str"/>
      <x:c r="J8" s="7" t="str"/>
      <x:c r="K8" s="7" t="str"/>
      <x:c r="L8" s="7" t="str">
        <x:v>Réserver actor.ret.kahlee ; rôle de référence : équipier.</x:v>
      </x:c>
      <x:c r="M8" s="7" t="str">
        <x:v>Préserver le parcours de Grayson et les états nécessaires à Deception et ME3. Les rencontres proposées n’offrent ni guérison canonique de Grayson ni élimination définitive de Kai Leng.</x:v>
      </x:c>
      <x:c r="N8" s="7" t="str">
        <x:v>Nom, rôle et présence confirmés dans la source indiquée ; aucune compétence chiffrée déduite du roman.</x:v>
      </x:c>
      <x:c r="O8" s="7" t="str"/>
      <x:c r="P8" s="7" t="str">
        <x:v>Notice de personnage ou présentation de l’œuvre ; pas de chapitre attribué.</x:v>
      </x:c>
      <x:c r="Q8" s="7" t="str">
        <x:v>RET-SRC-PUB</x:v>
      </x:c>
      <x:c r="R8" s="7" t="str">
        <x:v>https://www.penguinrandomhouse.com/books/200767/mass-effect-retribution-by-drew-karpyshyn/paperback/</x:v>
      </x:c>
      <x:c r="S8" s="7" t="str">
        <x:v>Le costume proposé dans les fiches de production n’est pas un modèle officiel.</x:v>
      </x:c>
    </x:row>
    <x:row r="9" ht="68" customHeight="1">
      <x:c r="A9" s="18" t="str">
        <x:v>RET-CHR-ANDERSON</x:v>
      </x:c>
      <x:c r="B9" s="9" t="str">
        <x:v>David Anderson</x:v>
      </x:c>
      <x:c r="C9" s="15" t="str">
        <x:v>Défini</x:v>
      </x:c>
      <x:c r="D9" s="16" t="str">
        <x:v>Établi</x:v>
      </x:c>
      <x:c r="E9" s="16" t="str">
        <x:v>P1</x:v>
      </x:c>
      <x:c r="F9" s="9" t="str">
        <x:v>Il aide Kahlee à rechercher le centre de détention de Cerberus.</x:v>
      </x:c>
      <x:c r="G9" s="9" t="str">
        <x:v>Référence narrative ; proposition visuelle et interaction dans les fiches liées.</x:v>
      </x:c>
      <x:c r="H9" s="9" t="str"/>
      <x:c r="I9" s="9" t="str"/>
      <x:c r="J9" s="9" t="str"/>
      <x:c r="K9" s="9" t="str"/>
      <x:c r="L9" s="9" t="str">
        <x:v>Réserver actor.ret.anderson ; rôle de référence : équipier.</x:v>
      </x:c>
      <x:c r="M9" s="9" t="str">
        <x:v>Préserver le parcours de Grayson et les états nécessaires à Deception et ME3. Les rencontres proposées n’offrent ni guérison canonique de Grayson ni élimination définitive de Kai Leng.</x:v>
      </x:c>
      <x:c r="N9" s="9" t="str">
        <x:v>Nom, rôle et présence confirmés dans la source indiquée ; aucune compétence chiffrée déduite du roman.</x:v>
      </x:c>
      <x:c r="O9" s="9" t="str"/>
      <x:c r="P9" s="9" t="str">
        <x:v>Notice de personnage ou présentation de l’œuvre ; pas de chapitre attribué.</x:v>
      </x:c>
      <x:c r="Q9" s="9" t="str">
        <x:v>RET-SRC-PUB</x:v>
      </x:c>
      <x:c r="R9" s="9" t="str">
        <x:v>https://www.penguinrandomhouse.com/books/200767/mass-effect-retribution-by-drew-karpyshyn/paperback/</x:v>
      </x:c>
      <x:c r="S9" s="9" t="str">
        <x:v>Le costume proposé dans les fiches de production n’est pas un modèle officiel.</x:v>
      </x:c>
    </x:row>
  </x:sheetData>
  <x:conditionalFormatting sqref="D7:D9">
    <x:cfRule type="cellIs" dxfId="0" priority="1" operator="equal">
      <x:formula>"À vérifier"</x:formula>
    </x:cfRule>
    <x:cfRule type="cellIs" dxfId="1" priority="2" operator="equal">
      <x:formula>"Extrapolation"</x:formula>
    </x:cfRule>
  </x:conditionalFormatting>
  <x:conditionalFormatting sqref="C7:C9">
    <x:cfRule type="cellIs" dxfId="2" priority="3" operator="equal">
      <x:formula>"Validé"</x:formula>
    </x:cfRule>
  </x:conditionalFormatting>
  <x:conditionalFormatting sqref="E7:E9">
    <x:cfRule type="cellIs" dxfId="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556bb52394d34067"/>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Retribution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RET-CHR-KAILENG</x:v>
      </x:c>
      <x:c r="B7" s="9" t="str">
        <x:v>Kai Leng</x:v>
      </x:c>
      <x:c r="C7" s="15" t="str">
        <x:v>Défini</x:v>
      </x:c>
      <x:c r="D7" s="16" t="str">
        <x:v>Établi</x:v>
      </x:c>
      <x:c r="E7" s="16" t="str">
        <x:v>P1</x:v>
      </x:c>
      <x:c r="F7" s="9" t="str">
        <x:v>Assassin de Cerberus chargé de capturer et surveiller Grayson.</x:v>
      </x:c>
      <x:c r="G7" s="9" t="str">
        <x:v>Référence narrative ; proposition visuelle et interaction dans les fiches liées.</x:v>
      </x:c>
      <x:c r="H7" s="9" t="str"/>
      <x:c r="I7" s="9" t="str"/>
      <x:c r="J7" s="9" t="str"/>
      <x:c r="K7" s="9" t="str"/>
      <x:c r="L7" s="9" t="str">
        <x:v>Réserver actor.ret.kaileng ; rôle de référence : adversaire.</x:v>
      </x:c>
      <x:c r="M7" s="9" t="str">
        <x:v>Préserver le parcours de Grayson et les états nécessaires à Deception et ME3. Les rencontres proposées n’offrent ni guérison canonique de Grayson ni élimination définitive de Kai Leng.</x:v>
      </x:c>
      <x:c r="N7" s="9" t="str">
        <x:v>Nom, rôle et présence confirmés dans la source indiquée ; aucune compétence chiffrée déduite du roman.</x:v>
      </x:c>
      <x:c r="O7" s="9" t="str"/>
      <x:c r="P7" s="9" t="str">
        <x:v>Notice de personnage ou présentation de l’œuvre ; pas de chapitre attribué.</x:v>
      </x:c>
      <x:c r="Q7" s="9" t="str">
        <x:v>RET-SRC-KAI</x:v>
      </x:c>
      <x:c r="R7" s="9" t="str">
        <x:v>https://masseffect.fandom.com/wiki/Kai_Leng</x:v>
      </x:c>
      <x:c r="S7" s="9" t="str">
        <x:v>Le costume proposé dans les fiches de production n’est pas un modèle officiel.</x:v>
      </x:c>
    </x:row>
    <x:row r="8" ht="68" customHeight="1">
      <x:c r="A8" s="19" t="str">
        <x:v>RET-CHR-ILLUSIVE</x:v>
      </x:c>
      <x:c r="B8" s="7" t="str">
        <x:v>Homme Trouble</x:v>
      </x:c>
      <x:c r="C8" s="15" t="str">
        <x:v>Défini</x:v>
      </x:c>
      <x:c r="D8" s="17" t="str">
        <x:v>Établi</x:v>
      </x:c>
      <x:c r="E8" s="17" t="str">
        <x:v>P1</x:v>
      </x:c>
      <x:c r="F8" s="7" t="str">
        <x:v>Il ordonne l’étude de Grayson pour comprendre les Moissonneurs.</x:v>
      </x:c>
      <x:c r="G8" s="7" t="str">
        <x:v>Référence narrative ; proposition visuelle et interaction dans les fiches liées.</x:v>
      </x:c>
      <x:c r="H8" s="7" t="str"/>
      <x:c r="I8" s="7" t="str"/>
      <x:c r="J8" s="7" t="str"/>
      <x:c r="K8" s="7" t="str"/>
      <x:c r="L8" s="7" t="str">
        <x:v>Réserver actor.ret.illusive ; rôle de référence : interlocuteur.</x:v>
      </x:c>
      <x:c r="M8" s="7" t="str">
        <x:v>Préserver le parcours de Grayson et les états nécessaires à Deception et ME3. Les rencontres proposées n’offrent ni guérison canonique de Grayson ni élimination définitive de Kai Leng.</x:v>
      </x:c>
      <x:c r="N8" s="7" t="str">
        <x:v>Nom, rôle et présence confirmés dans la source indiquée ; aucune compétence chiffrée déduite du roman.</x:v>
      </x:c>
      <x:c r="O8" s="7" t="str"/>
      <x:c r="P8" s="7" t="str">
        <x:v>Notice de personnage ou présentation de l’œuvre ; pas de chapitre attribué.</x:v>
      </x:c>
      <x:c r="Q8" s="7" t="str">
        <x:v>RET-SRC-PUB</x:v>
      </x:c>
      <x:c r="R8" s="7" t="str">
        <x:v>https://www.penguinrandomhouse.com/books/200767/mass-effect-retribution-by-drew-karpyshyn/paperback/</x:v>
      </x:c>
      <x:c r="S8" s="7" t="str">
        <x:v>Le costume proposé dans les fiches de production n’est pas un modèle officiel.</x:v>
      </x:c>
    </x:row>
    <x:row r="9" ht="68" customHeight="1">
      <x:c r="A9" s="18" t="str">
        <x:v>RET-CHR-LISELLE</x:v>
      </x:c>
      <x:c r="B9" s="9" t="str">
        <x:v>Liselle</x:v>
      </x:c>
      <x:c r="C9" s="15" t="str">
        <x:v>Défini</x:v>
      </x:c>
      <x:c r="D9" s="16" t="str">
        <x:v>Établi</x:v>
      </x:c>
      <x:c r="E9" s="16" t="str">
        <x:v>P1</x:v>
      </x:c>
      <x:c r="F9" s="9" t="str">
        <x:v>Asari, fille d’Aria et compagne de Grayson.</x:v>
      </x:c>
      <x:c r="G9" s="9" t="str">
        <x:v>Référence narrative ; proposition visuelle et interaction dans les fiches liées.</x:v>
      </x:c>
      <x:c r="H9" s="9" t="str"/>
      <x:c r="I9" s="9" t="str"/>
      <x:c r="J9" s="9" t="str"/>
      <x:c r="K9" s="9" t="str"/>
      <x:c r="L9" s="9" t="str">
        <x:v>Réserver actor.ret.liselle ; rôle de référence : interlocuteur.</x:v>
      </x:c>
      <x:c r="M9" s="9" t="str">
        <x:v>Préserver le parcours de Grayson et les états nécessaires à Deception et ME3. Les rencontres proposées n’offrent ni guérison canonique de Grayson ni élimination définitive de Kai Leng.</x:v>
      </x:c>
      <x:c r="N9" s="9" t="str">
        <x:v>Nom, rôle et présence confirmés dans la source indiquée ; aucune compétence chiffrée déduite du roman.</x:v>
      </x:c>
      <x:c r="O9" s="9" t="str"/>
      <x:c r="P9" s="9" t="str">
        <x:v>Notice de personnage ou présentation de l’œuvre ; pas de chapitre attribué.</x:v>
      </x:c>
      <x:c r="Q9" s="9" t="str">
        <x:v>RET-SRC-LIS</x:v>
      </x:c>
      <x:c r="R9" s="9" t="str">
        <x:v>https://masseffect.fandom.com/wiki/Liselle</x:v>
      </x:c>
      <x:c r="S9" s="9" t="str">
        <x:v>Le costume proposé dans les fiches de production n’est pas un modèle officiel.</x:v>
      </x:c>
    </x:row>
    <x:row r="10" ht="68" customHeight="1">
      <x:c r="A10" s="19" t="str">
        <x:v>RET-CHR-ARIA</x:v>
      </x:c>
      <x:c r="B10" s="7" t="str">
        <x:v>Aria T’Loak</x:v>
      </x:c>
      <x:c r="C10" s="15" t="str">
        <x:v>Défini</x:v>
      </x:c>
      <x:c r="D10" s="17" t="str">
        <x:v>Établi</x:v>
      </x:c>
      <x:c r="E10" s="17" t="str">
        <x:v>P1</x:v>
      </x:c>
      <x:c r="F10" s="7" t="str">
        <x:v>Autorité d’Omega impliquée dans la chasse à Grayson.</x:v>
      </x:c>
      <x:c r="G10" s="7" t="str">
        <x:v>Référence narrative ; proposition visuelle et interaction dans les fiches liées.</x:v>
      </x:c>
      <x:c r="H10" s="7" t="str"/>
      <x:c r="I10" s="7" t="str"/>
      <x:c r="J10" s="7" t="str"/>
      <x:c r="K10" s="7" t="str"/>
      <x:c r="L10" s="7" t="str">
        <x:v>Réserver actor.ret.aria ; rôle de référence : interlocuteur.</x:v>
      </x:c>
      <x:c r="M10" s="7" t="str">
        <x:v>Préserver le parcours de Grayson et les états nécessaires à Deception et ME3. Les rencontres proposées n’offrent ni guérison canonique de Grayson ni élimination définitive de Kai Leng.</x:v>
      </x:c>
      <x:c r="N10" s="7" t="str">
        <x:v>Nom, rôle et présence confirmés dans la source indiquée ; aucune compétence chiffrée déduite du roman.</x:v>
      </x:c>
      <x:c r="O10" s="7" t="str"/>
      <x:c r="P10" s="7" t="str">
        <x:v>Notice de personnage ou présentation de l’œuvre ; pas de chapitre attribué.</x:v>
      </x:c>
      <x:c r="Q10" s="7" t="str">
        <x:v>RET-SRC-OMEGA</x:v>
      </x:c>
      <x:c r="R10" s="7" t="str">
        <x:v>https://masseffect.fandom.com/wiki/Omega</x:v>
      </x:c>
      <x:c r="S10" s="7" t="str">
        <x:v>Le costume proposé dans les fiches de production n’est pas un modèle officiel.</x:v>
      </x:c>
    </x:row>
    <x:row r="11" ht="68" customHeight="1">
      <x:c r="A11" s="18" t="str">
        <x:v>RET-CHR-SANAK</x:v>
      </x:c>
      <x:c r="B11" s="9" t="str">
        <x:v>Sanak</x:v>
      </x:c>
      <x:c r="C11" s="15" t="str">
        <x:v>Défini</x:v>
      </x:c>
      <x:c r="D11" s="16" t="str">
        <x:v>Établi</x:v>
      </x:c>
      <x:c r="E11" s="16" t="str">
        <x:v>P1</x:v>
      </x:c>
      <x:c r="F11" s="9" t="str">
        <x:v>Mercenaire travaillant avec Grayson et Liselle pour Aria.</x:v>
      </x:c>
      <x:c r="G11" s="9" t="str">
        <x:v>Référence narrative ; proposition visuelle et interaction dans les fiches liées.</x:v>
      </x:c>
      <x:c r="H11" s="9" t="str"/>
      <x:c r="I11" s="9" t="str"/>
      <x:c r="J11" s="9" t="str"/>
      <x:c r="K11" s="9" t="str"/>
      <x:c r="L11" s="9" t="str">
        <x:v>Réserver actor.ret.sanak ; rôle de référence : interlocuteur.</x:v>
      </x:c>
      <x:c r="M11" s="9" t="str">
        <x:v>Préserver le parcours de Grayson et les états nécessaires à Deception et ME3. Les rencontres proposées n’offrent ni guérison canonique de Grayson ni élimination définitive de Kai Leng.</x:v>
      </x:c>
      <x:c r="N11" s="9" t="str">
        <x:v>Nom, rôle et présence confirmés dans la source indiquée ; aucune compétence chiffrée déduite du roman.</x:v>
      </x:c>
      <x:c r="O11" s="9" t="str"/>
      <x:c r="P11" s="9" t="str">
        <x:v>Notice de personnage ou présentation de l’œuvre ; pas de chapitre attribué.</x:v>
      </x:c>
      <x:c r="Q11" s="9" t="str">
        <x:v>RET-SRC-SAN</x:v>
      </x:c>
      <x:c r="R11" s="9" t="str">
        <x:v>https://masseffect.fandom.com/wiki/Sanak</x:v>
      </x:c>
      <x:c r="S11" s="9" t="str">
        <x:v>Le costume proposé dans les fiches de production n’est pas un modèle officiel.</x:v>
      </x:c>
    </x:row>
    <x:row r="12" ht="68" customHeight="1">
      <x:c r="A12" s="19" t="str">
        <x:v>RET-CHR-ORINIA</x:v>
      </x:c>
      <x:c r="B12" s="7" t="str">
        <x:v>Orinia</x:v>
      </x:c>
      <x:c r="C12" s="15" t="str">
        <x:v>Défini</x:v>
      </x:c>
      <x:c r="D12" s="17" t="str">
        <x:v>Établi</x:v>
      </x:c>
      <x:c r="E12" s="17" t="str">
        <x:v>P1</x:v>
      </x:c>
      <x:c r="F12" s="7" t="str">
        <x:v>Ambassadrice turienne sollicitée pour aider Anderson et Kahlee.</x:v>
      </x:c>
      <x:c r="G12" s="7" t="str">
        <x:v>Référence narrative ; proposition visuelle et interaction dans les fiches liées.</x:v>
      </x:c>
      <x:c r="H12" s="7" t="str"/>
      <x:c r="I12" s="7" t="str"/>
      <x:c r="J12" s="7" t="str"/>
      <x:c r="K12" s="7" t="str"/>
      <x:c r="L12" s="7" t="str">
        <x:v>Réserver actor.ret.orinia ; rôle de référence : interlocuteur.</x:v>
      </x:c>
      <x:c r="M12" s="7" t="str">
        <x:v>Préserver le parcours de Grayson et les états nécessaires à Deception et ME3. Les rencontres proposées n’offrent ni guérison canonique de Grayson ni élimination définitive de Kai Leng.</x:v>
      </x:c>
      <x:c r="N12" s="7" t="str">
        <x:v>Nom, rôle et présence confirmés dans la source indiquée ; aucune compétence chiffrée déduite du roman.</x:v>
      </x:c>
      <x:c r="O12" s="7" t="str"/>
      <x:c r="P12" s="7" t="str">
        <x:v>Notice de personnage ou présentation de l’œuvre ; pas de chapitre attribué.</x:v>
      </x:c>
      <x:c r="Q12" s="7" t="str">
        <x:v>RET-SRC-AND</x:v>
      </x:c>
      <x:c r="R12" s="7" t="str">
        <x:v>https://masseffect.fandom.com/wiki/David_Anderson</x:v>
      </x:c>
      <x:c r="S12" s="7" t="str">
        <x:v>Le costume proposé dans les fiches de production n’est pas un modèle officiel.</x:v>
      </x:c>
    </x:row>
    <x:row r="13" ht="68" customHeight="1">
      <x:c r="A13" s="18" t="str">
        <x:v>RET-CHR-NICK</x:v>
      </x:c>
      <x:c r="B13" s="9" t="str">
        <x:v>Nick Donahue</x:v>
      </x:c>
      <x:c r="C13" s="15" t="str">
        <x:v>Défini</x:v>
      </x:c>
      <x:c r="D13" s="16" t="str">
        <x:v>Établi</x:v>
      </x:c>
      <x:c r="E13" s="16" t="str">
        <x:v>P1</x:v>
      </x:c>
      <x:c r="F13" s="9" t="str">
        <x:v>Élève biotique présent lors de la crise à l’académie.</x:v>
      </x:c>
      <x:c r="G13" s="9" t="str">
        <x:v>Référence narrative ; proposition visuelle et interaction dans les fiches liées.</x:v>
      </x:c>
      <x:c r="H13" s="9" t="str"/>
      <x:c r="I13" s="9" t="str"/>
      <x:c r="J13" s="9" t="str"/>
      <x:c r="K13" s="9" t="str"/>
      <x:c r="L13" s="9" t="str">
        <x:v>Réserver actor.ret.nick ; rôle de référence : interlocuteur.</x:v>
      </x:c>
      <x:c r="M13" s="9" t="str">
        <x:v>Préserver le parcours de Grayson et les états nécessaires à Deception et ME3. Les rencontres proposées n’offrent ni guérison canonique de Grayson ni élimination définitive de Kai Leng.</x:v>
      </x:c>
      <x:c r="N13" s="9" t="str">
        <x:v>Nom, rôle et présence confirmés dans la source indiquée ; aucune compétence chiffrée déduite du roman.</x:v>
      </x:c>
      <x:c r="O13" s="9" t="str"/>
      <x:c r="P13" s="9" t="str">
        <x:v>Notice de personnage ou présentation de l’œuvre ; pas de chapitre attribué.</x:v>
      </x:c>
      <x:c r="Q13" s="9" t="str">
        <x:v>RET-SRC-NICK</x:v>
      </x:c>
      <x:c r="R13" s="9" t="str">
        <x:v>https://masseffect.fandom.com/wiki/Nick_Donahue</x:v>
      </x:c>
      <x:c r="S13" s="9" t="str">
        <x:v>Le costume proposé dans les fiches de production n’est pas un modèle officiel.</x:v>
      </x:c>
    </x:row>
  </x:sheetData>
  <x:conditionalFormatting sqref="D7:D13">
    <x:cfRule type="cellIs" dxfId="4" priority="1" operator="equal">
      <x:formula>"À vérifier"</x:formula>
    </x:cfRule>
    <x:cfRule type="cellIs" dxfId="5" priority="2" operator="equal">
      <x:formula>"Extrapolation"</x:formula>
    </x:cfRule>
  </x:conditionalFormatting>
  <x:conditionalFormatting sqref="C7:C13">
    <x:cfRule type="cellIs" dxfId="6" priority="3" operator="equal">
      <x:formula>"Validé"</x:formula>
    </x:cfRule>
  </x:conditionalFormatting>
  <x:conditionalFormatting sqref="E7:E13">
    <x:cfRule type="cellIs" dxfId="7"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9d0729b19da641f9"/>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Retribution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RET-REF-CERBERUS</x:v>
      </x:c>
      <x:c r="B7" s="9" t="str">
        <x:v>Cerberus</x:v>
      </x:c>
      <x:c r="C7" s="15" t="str">
        <x:v>Prototype</x:v>
      </x:c>
      <x:c r="D7" s="16" t="str">
        <x:v>Établi</x:v>
      </x:c>
      <x:c r="E7" s="16" t="str">
        <x:v>P1</x:v>
      </x:c>
      <x:c r="F7" s="9" t="str">
        <x:v>L’organisation mène l’expérience sur Grayson.</x:v>
      </x:c>
      <x:c r="G7" s="9" t="str">
        <x:v>Ancrage documentaire du module ; aucune statistique officielle inférée.</x:v>
      </x:c>
      <x:c r="H7" s="9" t="str"/>
      <x:c r="I7" s="9" t="str"/>
      <x:c r="J7" s="9" t="str"/>
      <x:c r="K7" s="9" t="str"/>
      <x:c r="L7" s="9" t="str">
        <x:v>Référence documentaire RET-REF-CERBERUS consultable dans les lectures de src/chronicle-story.js, avec sources et progression séparée. Aucune scène, carte, animation ou incarnation de personnage n’est produite par cette fiche.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RET-SRC-PUB</x:v>
      </x:c>
      <x:c r="R7" s="9" t="str">
        <x:v>https://www.penguinrandomhouse.com/books/200767/mass-effect-retribution-by-drew-karpyshyn/paperback/</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82" customHeight="1">
      <x:c r="A8" s="19" t="str">
        <x:v>RET-REF-REAPERS</x:v>
      </x:c>
      <x:c r="B8" s="7" t="str">
        <x:v>Moissonneurs</x:v>
      </x:c>
      <x:c r="C8" s="15" t="str">
        <x:v>Prototype</x:v>
      </x:c>
      <x:c r="D8" s="17" t="str">
        <x:v>Établi</x:v>
      </x:c>
      <x:c r="E8" s="17" t="str">
        <x:v>P1</x:v>
      </x:c>
      <x:c r="F8" s="7" t="str">
        <x:v>Leur technologie constitue l’objet de l’expérience.</x:v>
      </x:c>
      <x:c r="G8" s="7" t="str">
        <x:v>Ancrage documentaire du module ; aucune statistique officielle inférée.</x:v>
      </x:c>
      <x:c r="H8" s="7" t="str"/>
      <x:c r="I8" s="7" t="str"/>
      <x:c r="J8" s="7" t="str"/>
      <x:c r="K8" s="7" t="str"/>
      <x:c r="L8" s="7" t="str">
        <x:v>Référence documentaire RET-REF-REAPERS consultable dans les lectures de src/chronicle-story.js, avec sources et progression séparée. Aucune scène, carte, animation ou incarnation de personnage n’est produite par cette fiche.</x:v>
      </x:c>
      <x:c r="M8" s="7" t="str">
        <x:v>Préserver le parcours de Grayson et les états nécessaires à Deception et ME3. Les rencontres proposées n’offrent ni guérison canonique de Grayson ni élimination définitive de Kai Leng.</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RET-SRC-PUB</x:v>
      </x:c>
      <x:c r="R8" s="7" t="str">
        <x:v>https://www.penguinrandomhouse.com/books/200767/mass-effect-retribution-by-drew-karpyshyn/paperback/</x:v>
      </x:c>
      <x:c r="S8" s="7"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9" ht="82" customHeight="1">
      <x:c r="A9" s="18" t="str">
        <x:v>RET-REF-TURIANS</x:v>
      </x:c>
      <x:c r="B9" s="9" t="str">
        <x:v>Force d’intervention turienne</x:v>
      </x:c>
      <x:c r="C9" s="15" t="str">
        <x:v>Prototype</x:v>
      </x:c>
      <x:c r="D9" s="16" t="str">
        <x:v>Établi</x:v>
      </x:c>
      <x:c r="E9" s="16" t="str">
        <x:v>P1</x:v>
      </x:c>
      <x:c r="F9" s="9" t="str">
        <x:v>Des Turiens attaquent le centre où Grayson est détenu.</x:v>
      </x:c>
      <x:c r="G9" s="9" t="str">
        <x:v>Ancrage documentaire du module ; aucune statistique officielle inférée.</x:v>
      </x:c>
      <x:c r="H9" s="9" t="str"/>
      <x:c r="I9" s="9" t="str"/>
      <x:c r="J9" s="9" t="str"/>
      <x:c r="K9" s="9" t="str"/>
      <x:c r="L9" s="9" t="str">
        <x:v>Référence documentaire RET-REF-TURIANS consultable dans les lectures de src/chronicle-story.js, avec sources et progression séparée. Aucune scène, carte, animation ou incarnation de personnage n’est produite par cette fiche.</x:v>
      </x:c>
      <x:c r="M9" s="9" t="str">
        <x:v>Préserver le parcours de Grayson et les états nécessaires à Deception et ME3. Les rencontres proposées n’offrent ni guérison canonique de Grayson ni élimination définitive de Kai Leng.</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RET-SRC-KAI</x:v>
      </x:c>
      <x:c r="R9" s="9" t="str">
        <x:v>https://masseffect.fandom.com/wiki/Kai_Leng</x:v>
      </x:c>
      <x:c r="S9"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9">
    <x:cfRule type="cellIs" dxfId="8" priority="1" operator="equal">
      <x:formula>"À vérifier"</x:formula>
    </x:cfRule>
    <x:cfRule type="cellIs" dxfId="9" priority="2" operator="equal">
      <x:formula>"Extrapolation"</x:formula>
    </x:cfRule>
  </x:conditionalFormatting>
  <x:conditionalFormatting sqref="C7:C9">
    <x:cfRule type="cellIs" dxfId="10" priority="3" operator="equal">
      <x:formula>"Validé"</x:formula>
    </x:cfRule>
  </x:conditionalFormatting>
  <x:conditionalFormatting sqref="E7:E9">
    <x:cfRule type="cellIs" dxfId="1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226c484d06534bf6"/>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25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Retribution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82" customHeight="1">
      <x:c r="A7" s="18" t="str">
        <x:v>RET-REF-OMEGA</x:v>
      </x:c>
      <x:c r="B7" s="9" t="str">
        <x:v>Omega</x:v>
      </x:c>
      <x:c r="C7" s="15" t="str">
        <x:v>Prototype</x:v>
      </x:c>
      <x:c r="D7" s="16" t="str">
        <x:v>Établi</x:v>
      </x:c>
      <x:c r="E7" s="16" t="str">
        <x:v>P1</x:v>
      </x:c>
      <x:c r="F7" s="9" t="str">
        <x:v>Grayson y vit et y est capturé par Cerberus.</x:v>
      </x:c>
      <x:c r="G7" s="9" t="str">
        <x:v>Ancrage documentaire du module ; aucune statistique officielle inférée.</x:v>
      </x:c>
      <x:c r="H7" s="9" t="str"/>
      <x:c r="I7" s="9" t="str"/>
      <x:c r="J7" s="9" t="str"/>
      <x:c r="K7" s="9" t="str"/>
      <x:c r="L7" s="9" t="str">
        <x:v>Référence documentaire RET-REF-OMEGA consultable dans les lectures de src/chronicle-story.js, avec sources et progression séparée. Aucune scène, carte, animation ou incarnation de personnage n’est produite par cette fiche.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RET-SRC-KAI</x:v>
      </x:c>
      <x:c r="R7" s="9" t="str">
        <x:v>https://masseffect.fandom.com/wiki/Kai_Leng</x:v>
      </x:c>
      <x:c r="S7"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row r="8" ht="68" customHeight="1">
      <x:c r="A8" s="19" t="str">
        <x:v>RET-REF-CITADEL</x:v>
      </x:c>
      <x:c r="B8" s="7" t="str">
        <x:v>Citadelle</x:v>
      </x:c>
      <x:c r="C8" s="15" t="str">
        <x:v>Défini</x:v>
      </x:c>
      <x:c r="D8" s="17" t="str">
        <x:v>Établi</x:v>
      </x:c>
      <x:c r="E8" s="17" t="str">
        <x:v>P1</x:v>
      </x:c>
      <x:c r="F8" s="7" t="str">
        <x:v>Orinia y exerce son rôle diplomatique.</x:v>
      </x:c>
      <x:c r="G8" s="7" t="str">
        <x:v>Ancrage documentaire du module ; aucune statistique officielle inférée.</x:v>
      </x:c>
      <x:c r="H8" s="7" t="str"/>
      <x:c r="I8" s="7" t="str"/>
      <x:c r="J8" s="7" t="str"/>
      <x:c r="K8" s="7" t="str"/>
      <x:c r="L8" s="7" t="str">
        <x:v>Codex ref.ret.citadel ; affichage bref avec source.</x:v>
      </x:c>
      <x:c r="M8" s="7" t="str">
        <x:v>Préserver le parcours de Grayson et les états nécessaires à Deception et ME3. Les rencontres proposées n’offrent ni guérison canonique de Grayson ni élimination définitive de Kai Leng.</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RET-SRC-AND</x:v>
      </x:c>
      <x:c r="R8" s="7" t="str">
        <x:v>https://masseffect.fandom.com/wiki/David_Anderson</x:v>
      </x:c>
      <x:c r="S8" s="7" t="str">
        <x:v>Ce relevé n’est ni un inventaire exhaustif ni un résumé scène par scène.</x:v>
      </x:c>
    </x:row>
    <x:row r="9" ht="82" customHeight="1">
      <x:c r="A9" s="18" t="str">
        <x:v>RET-REF-ACADEMY</x:v>
      </x:c>
      <x:c r="B9" s="9" t="str">
        <x:v>Académie Grissom</x:v>
      </x:c>
      <x:c r="C9" s="15" t="str">
        <x:v>Prototype</x:v>
      </x:c>
      <x:c r="D9" s="16" t="str">
        <x:v>Établi</x:v>
      </x:c>
      <x:c r="E9" s="16" t="str">
        <x:v>P1</x:v>
      </x:c>
      <x:c r="F9" s="9" t="str">
        <x:v>La crise liée à Grayson atteint l’académie.</x:v>
      </x:c>
      <x:c r="G9" s="9" t="str">
        <x:v>Ancrage documentaire du module ; aucune statistique officielle inférée.</x:v>
      </x:c>
      <x:c r="H9" s="9" t="str"/>
      <x:c r="I9" s="9" t="str"/>
      <x:c r="J9" s="9" t="str"/>
      <x:c r="K9" s="9" t="str"/>
      <x:c r="L9" s="9" t="str">
        <x:v>Référence documentaire RET-REF-ACADEMY consultable dans les lectures de src/chronicle-story.js, avec sources et progression séparée. Aucune scène, carte, animation ou incarnation de personnage n’est produite par cette fiche.</x:v>
      </x:c>
      <x:c r="M9" s="9" t="str">
        <x:v>Préserver le parcours de Grayson et les états nécessaires à Deception et ME3. Les rencontres proposées n’offrent ni guérison canonique de Grayson ni élimination définitive de Kai Leng.</x:v>
      </x:c>
      <x:c r="N9" s="9" t="str">
        <x:v>La source citée atteste précisément cet élément ; modèle, plan détaillé et valeur de combat restent séparés.</x:v>
      </x:c>
      <x:c r="O9" s="9" t="str"/>
      <x:c r="P9" s="9" t="str">
        <x:v>Rubrique consultée ou synopsis éditorial ; localisation précise dans l’œuvre à relever.</x:v>
      </x:c>
      <x:c r="Q9" s="9" t="str">
        <x:v>RET-SRC-KAI</x:v>
      </x:c>
      <x:c r="R9" s="9" t="str">
        <x:v>https://masseffect.fandom.com/wiki/Kai_Leng</x:v>
      </x:c>
      <x:c r="S9" s="9" t="str">
        <x:v>Ce relevé n’est ni un inventaire exhaustif ni un résumé scène par scène.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9">
    <x:cfRule type="cellIs" dxfId="12" priority="1" operator="equal">
      <x:formula>"À vérifier"</x:formula>
    </x:cfRule>
    <x:cfRule type="cellIs" dxfId="13" priority="2" operator="equal">
      <x:formula>"Extrapolation"</x:formula>
    </x:cfRule>
  </x:conditionalFormatting>
  <x:conditionalFormatting sqref="C7:C9">
    <x:cfRule type="cellIs" dxfId="14" priority="3" operator="equal">
      <x:formula>"Validé"</x:formula>
    </x:cfRule>
  </x:conditionalFormatting>
  <x:conditionalFormatting sqref="E7:E9">
    <x:cfRule type="cellIs" dxfId="1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aa099605362247cd"/>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Retribution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RET-MAP-OMEGA</x:v>
      </x:c>
      <x:c r="B7" s="9" t="str">
        <x:v>Dépôt de préparation sur Omega — carte proposée</x:v>
      </x:c>
      <x:c r="C7" s="15" t="str">
        <x:v>Défini</x:v>
      </x:c>
      <x:c r="D7" s="16" t="str">
        <x:v>Extrapolation</x:v>
      </x:c>
      <x:c r="E7" s="16" t="str">
        <x:v>P1</x:v>
      </x:c>
      <x:c r="F7" s="9" t="str">
        <x:v>Bloc de niveau original autour de Dépôt de préparation sur Omega. Le plan n’est pas fourni par la source.</x:v>
      </x:c>
      <x:c r="G7" s="9" t="str">
        <x:v>Décor 3D à caméra fixe et personnages sprites. Salle de contrat, réserve et issue de service.</x:v>
      </x:c>
      <x:c r="H7" s="9" t="str">
        <x:v>La surveillance d’une entrée oblige à vérifier l’autre. Les passages importants restent accessibles en mode pause tactique.</x:v>
      </x:c>
      <x:c r="I7" s="9" t="str">
        <x:v>Matériel de récupération, lumière chaude basse, écran de mission original. Séparer sol praticable, couvert et fond par valeur lumineuse.</x:v>
      </x:c>
      <x:c r="J7" s="9" t="str">
        <x:v>Occlusion douce des parois devant le groupe ; portes synchronisées avec les collisions.</x:v>
      </x:c>
      <x:c r="K7" s="9" t="str">
        <x:v>Tension retenue, ventilation clinique et sons d’accès sobres. Un signal directionnel accompagne le danger local, doublé par une icône.</x:v>
      </x:c>
      <x:c r="L7" s="9" t="str">
        <x:v>maps/ret/omega.scene ; navmesh, colliders, ancrages d’entrée et sorties nommés.</x:v>
      </x:c>
      <x:c r="M7" s="9" t="str">
        <x:v>Ne pas prolonger la présence de Liselle au-delà de sa fenêtre narrative.</x:v>
      </x:c>
      <x:c r="N7" s="9" t="str">
        <x:v>Entrée, objectif et sortie sont reliés sans traverser une collision ; lisibilité des sprites aux carrefours.</x:v>
      </x:c>
      <x:c r="O7" s="9" t="str"/>
      <x:c r="P7" s="9" t="str"/>
      <x:c r="Q7" s="9" t="str"/>
      <x:c r="R7" s="9" t="str"/>
      <x:c r="S7" s="9" t="str">
        <x:v>Dimensions, connexions et accessoires de cette carte sont des propositions originales.</x:v>
      </x:c>
    </x:row>
    <x:row r="8" ht="68" customHeight="1">
      <x:c r="A8" s="19" t="str">
        <x:v>RET-MAP-APARTMENT</x:v>
      </x:c>
      <x:c r="B8" s="7" t="str">
        <x:v>Annexe résidentielle proposée — carte proposée</x:v>
      </x:c>
      <x:c r="C8" s="15" t="str">
        <x:v>Défini</x:v>
      </x:c>
      <x:c r="D8" s="17" t="str">
        <x:v>Extrapolation</x:v>
      </x:c>
      <x:c r="E8" s="17" t="str">
        <x:v>P1</x:v>
      </x:c>
      <x:c r="F8" s="7" t="str">
        <x:v>Bloc de niveau original autour de Annexe résidentielle proposée. Le plan n’est pas fourni par la source.</x:v>
      </x:c>
      <x:c r="G8" s="7" t="str">
        <x:v>Décor 3D à caméra fixe et personnages sprites. Palier, espace de vie et fenêtre de service.</x:v>
      </x:c>
      <x:c r="H8" s="7" t="str">
        <x:v>Collecter des indices sans déplacer les preuves critiques. Les passages importants restent accessibles en mode pause tactique.</x:v>
      </x:c>
      <x:c r="I8" s="7" t="str">
        <x:v>Traces de vie quotidienne sans reconstitution exhaustive du logement du livre. Séparer sol praticable, couvert et fond par valeur lumineuse.</x:v>
      </x:c>
      <x:c r="J8" s="7" t="str">
        <x:v>Occlusion douce des parois devant le groupe ; portes synchronisées avec les collisions.</x:v>
      </x:c>
      <x:c r="K8" s="7" t="str">
        <x:v>Tension retenue, ventilation clinique et sons d’accès sobres. Un signal directionnel accompagne le danger local, doublé par une icône.</x:v>
      </x:c>
      <x:c r="L8" s="7" t="str">
        <x:v>maps/ret/apartment.scene ; navmesh, colliders, ancrages d’entrée et sorties nommés.</x:v>
      </x:c>
      <x:c r="M8" s="7" t="str">
        <x:v>Une capture narrative n’est pas annulée par la fouille.</x:v>
      </x:c>
      <x:c r="N8" s="7" t="str">
        <x:v>Entrée, objectif et sortie sont reliés sans traverser une collision ; lisibilité des sprites aux carrefours.</x:v>
      </x:c>
      <x:c r="O8" s="7" t="str"/>
      <x:c r="P8" s="7" t="str"/>
      <x:c r="Q8" s="7" t="str"/>
      <x:c r="R8" s="7" t="str"/>
      <x:c r="S8" s="7" t="str">
        <x:v>Dimensions, connexions et accessoires de cette carte sont des propositions originales.</x:v>
      </x:c>
    </x:row>
    <x:row r="9" ht="68" customHeight="1">
      <x:c r="A9" s="18" t="str">
        <x:v>RET-MAP-DIPLOMACY</x:v>
      </x:c>
      <x:c r="B9" s="9" t="str">
        <x:v>Bureau diplomatique proposé — carte proposée</x:v>
      </x:c>
      <x:c r="C9" s="15" t="str">
        <x:v>Défini</x:v>
      </x:c>
      <x:c r="D9" s="16" t="str">
        <x:v>Extrapolation</x:v>
      </x:c>
      <x:c r="E9" s="16" t="str">
        <x:v>P1</x:v>
      </x:c>
      <x:c r="F9" s="9" t="str">
        <x:v>Bloc de niveau original autour de Bureau diplomatique proposé. Le plan n’est pas fourni par la source.</x:v>
      </x:c>
      <x:c r="G9" s="9" t="str">
        <x:v>Décor 3D à caméra fixe et personnages sprites. Vestibule, table de dossier et retour vers le transport.</x:v>
      </x:c>
      <x:c r="H9" s="9" t="str">
        <x:v>La cohérence du dossier conditionne la discussion. Les passages importants restent accessibles en mode pause tactique.</x:v>
      </x:c>
      <x:c r="I9" s="9" t="str">
        <x:v>Volumes calmes, écran de preuves, sièges adaptés aux silhouettes. Séparer sol praticable, couvert et fond par valeur lumineuse.</x:v>
      </x:c>
      <x:c r="J9" s="9" t="str">
        <x:v>Occlusion douce des parois devant le groupe ; portes synchronisées avec les collisions.</x:v>
      </x:c>
      <x:c r="K9" s="9" t="str">
        <x:v>Tension retenue, ventilation clinique et sons d’accès sobres. Un signal directionnel accompagne le danger local, doublé par une icône.</x:v>
      </x:c>
      <x:c r="L9" s="9" t="str">
        <x:v>maps/ret/diplomacy.scene ; navmesh, colliders, ancrages d’entrée et sorties nommés.</x:v>
      </x:c>
      <x:c r="M9" s="9" t="str">
        <x:v>Le soutien politique n’équivaut pas à une alliance générale inventée.</x:v>
      </x:c>
      <x:c r="N9" s="9" t="str">
        <x:v>Entrée, objectif et sortie sont reliés sans traverser une collision ; lisibilité des sprites aux carrefours.</x:v>
      </x:c>
      <x:c r="O9" s="9" t="str"/>
      <x:c r="P9" s="9" t="str"/>
      <x:c r="Q9" s="9" t="str"/>
      <x:c r="R9" s="9" t="str"/>
      <x:c r="S9" s="9" t="str">
        <x:v>Dimensions, connexions et accessoires de cette carte sont des propositions originales.</x:v>
      </x:c>
    </x:row>
    <x:row r="10" ht="68" customHeight="1">
      <x:c r="A10" s="19" t="str">
        <x:v>RET-MAP-LAB</x:v>
      </x:c>
      <x:c r="B10" s="7" t="str">
        <x:v>Périmètre du laboratoire proposé — carte proposée</x:v>
      </x:c>
      <x:c r="C10" s="15" t="str">
        <x:v>Défini</x:v>
      </x:c>
      <x:c r="D10" s="17" t="str">
        <x:v>Extrapolation</x:v>
      </x:c>
      <x:c r="E10" s="17" t="str">
        <x:v>P1</x:v>
      </x:c>
      <x:c r="F10" s="7" t="str">
        <x:v>Bloc de niveau original autour de Périmètre du laboratoire proposé. Le plan n’est pas fourni par la source.</x:v>
      </x:c>
      <x:c r="G10" s="7" t="str">
        <x:v>Décor 3D à caméra fixe et personnages sprites. Observation extérieure, accès technique et chambre de contrôle.</x:v>
      </x:c>
      <x:c r="H10" s="7" t="str">
        <x:v>Les portes de confinement découpent le terrain. Les passages importants restent accessibles en mode pause tactique.</x:v>
      </x:c>
      <x:c r="I10" s="7" t="str">
        <x:v>Blanc clinique, contrastes froids, zones opaques pour préserver la tension. Séparer sol praticable, couvert et fond par valeur lumineuse.</x:v>
      </x:c>
      <x:c r="J10" s="7" t="str">
        <x:v>Occlusion douce des parois devant le groupe ; portes synchronisées avec les collisions.</x:v>
      </x:c>
      <x:c r="K10" s="7" t="str">
        <x:v>Tension retenue, ventilation clinique et sons d’accès sobres. Un signal directionnel accompagne le danger local, doublé par une icône.</x:v>
      </x:c>
      <x:c r="L10" s="7" t="str">
        <x:v>maps/ret/lab.scene ; navmesh, colliders, ancrages d’entrée et sorties nommés.</x:v>
      </x:c>
      <x:c r="M10" s="7" t="str">
        <x:v>Aucune procédure réelle d’implantation n’est détaillée.</x:v>
      </x:c>
      <x:c r="N10" s="7" t="str">
        <x:v>Entrée, objectif et sortie sont reliés sans traverser une collision ; lisibilité des sprites aux carrefours.</x:v>
      </x:c>
      <x:c r="O10" s="7" t="str"/>
      <x:c r="P10" s="7" t="str"/>
      <x:c r="Q10" s="7" t="str"/>
      <x:c r="R10" s="7" t="str"/>
      <x:c r="S10" s="7" t="str">
        <x:v>Dimensions, connexions et accessoires de cette carte sont des propositions originales.</x:v>
      </x:c>
    </x:row>
    <x:row r="11" ht="68" customHeight="1">
      <x:c r="A11" s="18" t="str">
        <x:v>RET-MAP-HOLD</x:v>
      </x:c>
      <x:c r="B11" s="9" t="str">
        <x:v>Unité de confinement proposée — carte proposée</x:v>
      </x:c>
      <x:c r="C11" s="15" t="str">
        <x:v>Défini</x:v>
      </x:c>
      <x:c r="D11" s="16" t="str">
        <x:v>Extrapolation</x:v>
      </x:c>
      <x:c r="E11" s="16" t="str">
        <x:v>P1</x:v>
      </x:c>
      <x:c r="F11" s="9" t="str">
        <x:v>Bloc de niveau original autour de Unité de confinement proposée. Le plan n’est pas fourni par la source.</x:v>
      </x:c>
      <x:c r="G11" s="9" t="str">
        <x:v>Décor 3D à caméra fixe et personnages sprites. Salle d’observation, corridor annulaire et sas de sortie.</x:v>
      </x:c>
      <x:c r="H11" s="9" t="str">
        <x:v>Une panne impose de choisir l’ordre des interventions. Les passages importants restent accessibles en mode pause tactique.</x:v>
      </x:c>
      <x:c r="I11" s="9" t="str">
        <x:v>Verre épais, câblage abstrait, signaux de diagnostic incomplets. Séparer sol praticable, couvert et fond par valeur lumineuse.</x:v>
      </x:c>
      <x:c r="J11" s="9" t="str">
        <x:v>Occlusion douce des parois devant le groupe ; portes synchronisées avec les collisions.</x:v>
      </x:c>
      <x:c r="K11" s="9" t="str">
        <x:v>Tension retenue, ventilation clinique et sons d’accès sobres. Un signal directionnel accompagne le danger local, doublé par une icône.</x:v>
      </x:c>
      <x:c r="L11" s="9" t="str">
        <x:v>maps/ret/hold.scene ; navmesh, colliders, ancrages d’entrée et sorties nommés.</x:v>
      </x:c>
      <x:c r="M11" s="9" t="str">
        <x:v>Grayson n’est pas guéri par une énigme technique.</x:v>
      </x:c>
      <x:c r="N11" s="9" t="str">
        <x:v>Entrée, objectif et sortie sont reliés sans traverser une collision ; lisibilité des sprites aux carrefours.</x:v>
      </x:c>
      <x:c r="O11" s="9" t="str"/>
      <x:c r="P11" s="9" t="str"/>
      <x:c r="Q11" s="9" t="str"/>
      <x:c r="R11" s="9" t="str"/>
      <x:c r="S11" s="9" t="str">
        <x:v>Dimensions, connexions et accessoires de cette carte sont des propositions originales.</x:v>
      </x:c>
    </x:row>
    <x:row r="12" ht="68" customHeight="1">
      <x:c r="A12" s="19" t="str">
        <x:v>RET-MAP-TRANSIT</x:v>
      </x:c>
      <x:c r="B12" s="7" t="str">
        <x:v>Navette sous tension — carte proposée</x:v>
      </x:c>
      <x:c r="C12" s="15" t="str">
        <x:v>Défini</x:v>
      </x:c>
      <x:c r="D12" s="17" t="str">
        <x:v>Extrapolation</x:v>
      </x:c>
      <x:c r="E12" s="17" t="str">
        <x:v>P1</x:v>
      </x:c>
      <x:c r="F12" s="7" t="str">
        <x:v>Bloc de niveau original autour de Navette sous tension. Le plan n’est pas fourni par la source.</x:v>
      </x:c>
      <x:c r="G12" s="7" t="str">
        <x:v>Décor 3D à caméra fixe et personnages sprites. Cabine resserrée, poste de pilotage et compartiment de matériel.</x:v>
      </x:c>
      <x:c r="H12" s="7" t="str">
        <x:v>Déplacement restreint pendant une phase de communication. Les passages importants restent accessibles en mode pause tactique.</x:v>
      </x:c>
      <x:c r="I12" s="7" t="str">
        <x:v>Sangles, balises de route et éclairage de transit. Séparer sol praticable, couvert et fond par valeur lumineuse.</x:v>
      </x:c>
      <x:c r="J12" s="7" t="str">
        <x:v>Occlusion douce des parois devant le groupe ; portes synchronisées avec les collisions.</x:v>
      </x:c>
      <x:c r="K12" s="7" t="str">
        <x:v>Tension retenue, ventilation clinique et sons d’accès sobres. Un signal directionnel accompagne le danger local, doublé par une icône.</x:v>
      </x:c>
      <x:c r="L12" s="7" t="str">
        <x:v>maps/ret/transit.scene ; navmesh, colliders, ancrages d’entrée et sorties nommés.</x:v>
      </x:c>
      <x:c r="M12" s="7" t="str">
        <x:v>La présence de chaque acteur suit la continuité.</x:v>
      </x:c>
      <x:c r="N12" s="7" t="str">
        <x:v>Entrée, objectif et sortie sont reliés sans traverser une collision ; lisibilité des sprites aux carrefours.</x:v>
      </x:c>
      <x:c r="O12" s="7" t="str"/>
      <x:c r="P12" s="7" t="str"/>
      <x:c r="Q12" s="7" t="str"/>
      <x:c r="R12" s="7" t="str"/>
      <x:c r="S12" s="7" t="str">
        <x:v>Dimensions, connexions et accessoires de cette carte sont des propositions originales.</x:v>
      </x:c>
    </x:row>
    <x:row r="13" ht="68" customHeight="1">
      <x:c r="A13" s="18" t="str">
        <x:v>RET-MAP-ACADEMY</x:v>
      </x:c>
      <x:c r="B13" s="9" t="str">
        <x:v>Couloir pédagogique en crise — carte proposée</x:v>
      </x:c>
      <x:c r="C13" s="15" t="str">
        <x:v>Défini</x:v>
      </x:c>
      <x:c r="D13" s="16" t="str">
        <x:v>Extrapolation</x:v>
      </x:c>
      <x:c r="E13" s="16" t="str">
        <x:v>P1</x:v>
      </x:c>
      <x:c r="F13" s="9" t="str">
        <x:v>Bloc de niveau original autour de Couloir pédagogique en crise. Le plan n’est pas fourni par la source.</x:v>
      </x:c>
      <x:c r="G13" s="9" t="str">
        <x:v>Décor 3D à caméra fixe et personnages sprites. Axe de circulation, salles refuges et point de soins.</x:v>
      </x:c>
      <x:c r="H13" s="9" t="str">
        <x:v>Évacuer vers les salles sûres avant toute poursuite. Les passages importants restent accessibles en mode pause tactique.</x:v>
      </x:c>
      <x:c r="I13" s="9" t="str">
        <x:v>Mobilier d’école et travaux d’élèves distingués des barricades. Séparer sol praticable, couvert et fond par valeur lumineuse.</x:v>
      </x:c>
      <x:c r="J13" s="9" t="str">
        <x:v>Occlusion douce des parois devant le groupe ; portes synchronisées avec les collisions.</x:v>
      </x:c>
      <x:c r="K13" s="9" t="str">
        <x:v>Tension retenue, ventilation clinique et sons d’accès sobres. Un signal directionnel accompagne le danger local, doublé par une icône.</x:v>
      </x:c>
      <x:c r="L13" s="9" t="str">
        <x:v>maps/ret/academy.scene ; navmesh, colliders, ancrages d’entrée et sorties nommés.</x:v>
      </x:c>
      <x:c r="M13" s="9" t="str">
        <x:v>Pas de massacre aléatoire utilisé comme difficulté.</x:v>
      </x:c>
      <x:c r="N13" s="9" t="str">
        <x:v>Entrée, objectif et sortie sont reliés sans traverser une collision ; lisibilité des sprites aux carrefours.</x:v>
      </x:c>
      <x:c r="O13" s="9" t="str"/>
      <x:c r="P13" s="9" t="str"/>
      <x:c r="Q13" s="9" t="str"/>
      <x:c r="R13" s="9" t="str"/>
      <x:c r="S13" s="9" t="str">
        <x:v>Dimensions, connexions et accessoires de cette carte sont des propositions originales.</x:v>
      </x:c>
    </x:row>
    <x:row r="14" ht="68" customHeight="1">
      <x:c r="A14" s="19" t="str">
        <x:v>RET-MAP-ARCHIVE</x:v>
      </x:c>
      <x:c r="B14" s="7" t="str">
        <x:v>Poste de consignation proposé — carte proposée</x:v>
      </x:c>
      <x:c r="C14" s="15" t="str">
        <x:v>Défini</x:v>
      </x:c>
      <x:c r="D14" s="17" t="str">
        <x:v>Extrapolation</x:v>
      </x:c>
      <x:c r="E14" s="17" t="str">
        <x:v>P1</x:v>
      </x:c>
      <x:c r="F14" s="7" t="str">
        <x:v>Bloc de niveau original autour de Poste de consignation proposé. Le plan n’est pas fourni par la source.</x:v>
      </x:c>
      <x:c r="G14" s="7" t="str">
        <x:v>Décor 3D à caméra fixe et personnages sprites. Aire de soin, terminal de rapport et fenêtre sur la station.</x:v>
      </x:c>
      <x:c r="H14" s="7" t="str">
        <x:v>Confirmer les personnes et pièces de preuve restantes. Les passages importants restent accessibles en mode pause tactique.</x:v>
      </x:c>
      <x:c r="I14" s="7" t="str">
        <x:v>Éclairage stabilisé, matériel rangé, état de dommage persistant. Séparer sol praticable, couvert et fond par valeur lumineuse.</x:v>
      </x:c>
      <x:c r="J14" s="7" t="str">
        <x:v>Occlusion douce des parois devant le groupe ; portes synchronisées avec les collisions.</x:v>
      </x:c>
      <x:c r="K14" s="7" t="str">
        <x:v>Tension retenue, ventilation clinique et sons d’accès sobres. Un signal directionnel accompagne le danger local, doublé par une icône.</x:v>
      </x:c>
      <x:c r="L14" s="7" t="str">
        <x:v>maps/ret/archive.scene ; navmesh, colliders, ancrages d’entrée et sorties nommés.</x:v>
      </x:c>
      <x:c r="M14" s="7" t="str">
        <x:v>Aucun retour temporel dans le monde ; relecture via menu séparé.</x:v>
      </x:c>
      <x:c r="N14" s="7" t="str">
        <x:v>Entrée, objectif et sortie sont reliés sans traverser une collision ; lisibilité des sprites aux carrefours.</x:v>
      </x:c>
      <x:c r="O14" s="7" t="str"/>
      <x:c r="P14" s="7" t="str"/>
      <x:c r="Q14" s="7" t="str"/>
      <x:c r="R14" s="7" t="str"/>
      <x:c r="S14" s="7" t="str">
        <x:v>Dimensions, connexions et accessoires de cette carte sont des propositions originales.</x:v>
      </x:c>
    </x:row>
  </x:sheetData>
  <x:conditionalFormatting sqref="D7:D14">
    <x:cfRule type="cellIs" dxfId="16" priority="1" operator="equal">
      <x:formula>"À vérifier"</x:formula>
    </x:cfRule>
    <x:cfRule type="cellIs" dxfId="17" priority="2" operator="equal">
      <x:formula>"Extrapolation"</x:formula>
    </x:cfRule>
  </x:conditionalFormatting>
  <x:conditionalFormatting sqref="C7:C14">
    <x:cfRule type="cellIs" dxfId="18" priority="3" operator="equal">
      <x:formula>"Validé"</x:formula>
    </x:cfRule>
  </x:conditionalFormatting>
  <x:conditionalFormatting sqref="E7:E14">
    <x:cfRule type="cellIs" dxfId="1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86cae89e30824203"/>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105"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Retribution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RET-LNK-OMEGA</x:v>
      </x:c>
      <x:c r="B7" s="9" t="str">
        <x:v>Dépôt de préparation sur Omega — transition de module</x:v>
      </x:c>
      <x:c r="C7" s="15" t="str">
        <x:v>Défini</x:v>
      </x:c>
      <x:c r="D7" s="16" t="str">
        <x:v>Extrapolation</x:v>
      </x:c>
      <x:c r="E7" s="16" t="str">
        <x:v>P1</x:v>
      </x:c>
      <x:c r="F7" s="9" t="str">
        <x:v>Liaison de niveau proposée, sans prétendre établir une géographie officielle.</x:v>
      </x:c>
      <x:c r="G7" s="9" t="str">
        <x:v>Associer un point de départ dans Dépôt de préparation sur Omega au bloc Annexe résidentielle proposée; transit masqué lorsque les lieux sont éloignés.</x:v>
      </x:c>
      <x:c r="H7" s="9" t="str">
        <x:v>Sortie inactive pendant une interaction critique ; confirmation uniquement si le retour est temporairement fermé.</x:v>
      </x:c>
      <x:c r="I7" s="9" t="str">
        <x:v>Flèche de sortie et nom du lieu cible ; distinguer voyage spatial et porte adjacente.</x:v>
      </x:c>
      <x:c r="J7" s="9" t="str">
        <x:v>Regroupement des sprites avant fondu ; aucun personnage laissé derrière hors cadre.</x:v>
      </x:c>
      <x:c r="K7" s="9" t="str">
        <x:v>Transition d’ambiance progressive ; sous-titre de lieu affiché après chargement.</x:v>
      </x:c>
      <x:c r="L7" s="9" t="str">
        <x:v>links/ret.json : omega -&gt; apartment; sauvegarde avant transit, restauration à un ancrage sûr.</x:v>
      </x:c>
      <x:c r="M7" s="9" t="str">
        <x:v>Ne pas prolonger la présence de Liselle au-delà de sa fenêtre narrative.</x:v>
      </x:c>
      <x:c r="N7" s="9" t="str">
        <x:v>Le groupe arrive au bon ancrage après chargement ; aller-retour ne duplique ni objet ni dialogue.</x:v>
      </x:c>
      <x:c r="O7" s="9" t="str">
        <x:v>RET-MAP-OMEGA, RET-MAP-APARTMENT</x:v>
      </x:c>
      <x:c r="P7" s="9" t="str"/>
      <x:c r="Q7" s="9" t="str"/>
      <x:c r="R7" s="9" t="str"/>
      <x:c r="S7" s="9" t="str">
        <x:v>Boucle de parcours de production ; la dernière liaison sert à la consultation post-module, pas à remonter le temps.</x:v>
      </x:c>
    </x:row>
    <x:row r="8" ht="54" customHeight="1">
      <x:c r="A8" s="19" t="str">
        <x:v>RET-LNK-APARTMENT</x:v>
      </x:c>
      <x:c r="B8" s="7" t="str">
        <x:v>Annexe résidentielle proposée — transition de module</x:v>
      </x:c>
      <x:c r="C8" s="15" t="str">
        <x:v>Défini</x:v>
      </x:c>
      <x:c r="D8" s="17" t="str">
        <x:v>Extrapolation</x:v>
      </x:c>
      <x:c r="E8" s="17" t="str">
        <x:v>P1</x:v>
      </x:c>
      <x:c r="F8" s="7" t="str">
        <x:v>Liaison de niveau proposée, sans prétendre établir une géographie officielle.</x:v>
      </x:c>
      <x:c r="G8" s="7" t="str">
        <x:v>Associer un point de départ dans Annexe résidentielle proposée au bloc Bureau diplomatique proposé; transit masqué lorsque les lieux sont éloignés.</x:v>
      </x:c>
      <x:c r="H8" s="7" t="str">
        <x:v>Sortie inactive pendant une interaction critique ; confirmation uniquement si le retour est temporairement fermé.</x:v>
      </x:c>
      <x:c r="I8" s="7" t="str">
        <x:v>Flèche de sortie et nom du lieu cible ; distinguer voyage spatial et porte adjacente.</x:v>
      </x:c>
      <x:c r="J8" s="7" t="str">
        <x:v>Regroupement des sprites avant fondu ; aucun personnage laissé derrière hors cadre.</x:v>
      </x:c>
      <x:c r="K8" s="7" t="str">
        <x:v>Transition d’ambiance progressive ; sous-titre de lieu affiché après chargement.</x:v>
      </x:c>
      <x:c r="L8" s="7" t="str">
        <x:v>links/ret.json : apartment -&gt; diplomacy; sauvegarde avant transit, restauration à un ancrage sûr.</x:v>
      </x:c>
      <x:c r="M8" s="7" t="str">
        <x:v>Une capture narrative n’est pas annulée par la fouille.</x:v>
      </x:c>
      <x:c r="N8" s="7" t="str">
        <x:v>Le groupe arrive au bon ancrage après chargement ; aller-retour ne duplique ni objet ni dialogue.</x:v>
      </x:c>
      <x:c r="O8" s="7" t="str">
        <x:v>RET-MAP-APARTMENT, RET-MAP-DIPLOMACY</x:v>
      </x:c>
      <x:c r="P8" s="7" t="str"/>
      <x:c r="Q8" s="7" t="str"/>
      <x:c r="R8" s="7" t="str"/>
      <x:c r="S8" s="7" t="str">
        <x:v>Boucle de parcours de production ; la dernière liaison sert à la consultation post-module, pas à remonter le temps.</x:v>
      </x:c>
    </x:row>
    <x:row r="9" ht="54" customHeight="1">
      <x:c r="A9" s="18" t="str">
        <x:v>RET-LNK-DIPLOMACY</x:v>
      </x:c>
      <x:c r="B9" s="9" t="str">
        <x:v>Bureau diplomatique proposé — transition de module</x:v>
      </x:c>
      <x:c r="C9" s="15" t="str">
        <x:v>Défini</x:v>
      </x:c>
      <x:c r="D9" s="16" t="str">
        <x:v>Extrapolation</x:v>
      </x:c>
      <x:c r="E9" s="16" t="str">
        <x:v>P1</x:v>
      </x:c>
      <x:c r="F9" s="9" t="str">
        <x:v>Liaison de niveau proposée, sans prétendre établir une géographie officielle.</x:v>
      </x:c>
      <x:c r="G9" s="9" t="str">
        <x:v>Associer un point de départ dans Bureau diplomatique proposé au bloc Périmètre du laboratoire proposé; transit masqué lorsque les lieux sont éloignés.</x:v>
      </x:c>
      <x:c r="H9" s="9" t="str">
        <x:v>Sortie inactive pendant une interaction critique ; confirmation uniquement si le retour est temporairement fermé.</x:v>
      </x:c>
      <x:c r="I9" s="9" t="str">
        <x:v>Flèche de sortie et nom du lieu cible ; distinguer voyage spatial et porte adjacente.</x:v>
      </x:c>
      <x:c r="J9" s="9" t="str">
        <x:v>Regroupement des sprites avant fondu ; aucun personnage laissé derrière hors cadre.</x:v>
      </x:c>
      <x:c r="K9" s="9" t="str">
        <x:v>Transition d’ambiance progressive ; sous-titre de lieu affiché après chargement.</x:v>
      </x:c>
      <x:c r="L9" s="9" t="str">
        <x:v>links/ret.json : diplomacy -&gt; lab; sauvegarde avant transit, restauration à un ancrage sûr.</x:v>
      </x:c>
      <x:c r="M9" s="9" t="str">
        <x:v>Le soutien politique n’équivaut pas à une alliance générale inventée.</x:v>
      </x:c>
      <x:c r="N9" s="9" t="str">
        <x:v>Le groupe arrive au bon ancrage après chargement ; aller-retour ne duplique ni objet ni dialogue.</x:v>
      </x:c>
      <x:c r="O9" s="9" t="str">
        <x:v>RET-MAP-DIPLOMACY, RET-MAP-LAB</x:v>
      </x:c>
      <x:c r="P9" s="9" t="str"/>
      <x:c r="Q9" s="9" t="str"/>
      <x:c r="R9" s="9" t="str"/>
      <x:c r="S9" s="9" t="str">
        <x:v>Boucle de parcours de production ; la dernière liaison sert à la consultation post-module, pas à remonter le temps.</x:v>
      </x:c>
    </x:row>
    <x:row r="10" ht="68" customHeight="1">
      <x:c r="A10" s="19" t="str">
        <x:v>RET-LNK-LAB</x:v>
      </x:c>
      <x:c r="B10" s="7" t="str">
        <x:v>Périmètre du laboratoire proposé — transition de module</x:v>
      </x:c>
      <x:c r="C10" s="15" t="str">
        <x:v>Défini</x:v>
      </x:c>
      <x:c r="D10" s="17" t="str">
        <x:v>Extrapolation</x:v>
      </x:c>
      <x:c r="E10" s="17" t="str">
        <x:v>P1</x:v>
      </x:c>
      <x:c r="F10" s="7" t="str">
        <x:v>Liaison de niveau proposée, sans prétendre établir une géographie officielle.</x:v>
      </x:c>
      <x:c r="G10" s="7" t="str">
        <x:v>Associer un point de départ dans Périmètre du laboratoire proposé au bloc Unité de confinement proposée; transit masqué lorsque les lieux sont éloignés.</x:v>
      </x:c>
      <x:c r="H10" s="7" t="str">
        <x:v>Sortie inactive pendant une interaction critique ; confirmation uniquement si le retour est temporairement fermé.</x:v>
      </x:c>
      <x:c r="I10" s="7" t="str">
        <x:v>Flèche de sortie et nom du lieu cible ; distinguer voyage spatial et porte adjacente.</x:v>
      </x:c>
      <x:c r="J10" s="7" t="str">
        <x:v>Regroupement des sprites avant fondu ; aucun personnage laissé derrière hors cadre.</x:v>
      </x:c>
      <x:c r="K10" s="7" t="str">
        <x:v>Transition d’ambiance progressive ; sous-titre de lieu affiché après chargement.</x:v>
      </x:c>
      <x:c r="L10" s="7" t="str">
        <x:v>links/ret.json : lab -&gt; hold; sauvegarde avant transit, restauration à un ancrage sûr.</x:v>
      </x:c>
      <x:c r="M10" s="7" t="str">
        <x:v>Aucune procédure réelle d’implantation n’est détaillée.</x:v>
      </x:c>
      <x:c r="N10" s="7" t="str">
        <x:v>Le groupe arrive au bon ancrage après chargement ; aller-retour ne duplique ni objet ni dialogue.</x:v>
      </x:c>
      <x:c r="O10" s="7" t="str">
        <x:v>RET-MAP-LAB, RET-MAP-HOLD</x:v>
      </x:c>
      <x:c r="P10" s="7" t="str"/>
      <x:c r="Q10" s="7" t="str"/>
      <x:c r="R10" s="7" t="str"/>
      <x:c r="S10" s="7" t="str">
        <x:v>Boucle de parcours de production ; la dernière liaison sert à la consultation post-module, pas à remonter le temps.</x:v>
      </x:c>
    </x:row>
    <x:row r="11" ht="54" customHeight="1">
      <x:c r="A11" s="18" t="str">
        <x:v>RET-LNK-HOLD</x:v>
      </x:c>
      <x:c r="B11" s="9" t="str">
        <x:v>Unité de confinement proposée — transition de module</x:v>
      </x:c>
      <x:c r="C11" s="15" t="str">
        <x:v>Défini</x:v>
      </x:c>
      <x:c r="D11" s="16" t="str">
        <x:v>Extrapolation</x:v>
      </x:c>
      <x:c r="E11" s="16" t="str">
        <x:v>P1</x:v>
      </x:c>
      <x:c r="F11" s="9" t="str">
        <x:v>Liaison de niveau proposée, sans prétendre établir une géographie officielle.</x:v>
      </x:c>
      <x:c r="G11" s="9" t="str">
        <x:v>Associer un point de départ dans Unité de confinement proposée au bloc Navette sous tension; transit masqué lorsque les lieux sont éloignés.</x:v>
      </x:c>
      <x:c r="H11" s="9" t="str">
        <x:v>Sortie inactive pendant une interaction critique ; confirmation uniquement si le retour est temporairement fermé.</x:v>
      </x:c>
      <x:c r="I11" s="9" t="str">
        <x:v>Flèche de sortie et nom du lieu cible ; distinguer voyage spatial et porte adjacente.</x:v>
      </x:c>
      <x:c r="J11" s="9" t="str">
        <x:v>Regroupement des sprites avant fondu ; aucun personnage laissé derrière hors cadre.</x:v>
      </x:c>
      <x:c r="K11" s="9" t="str">
        <x:v>Transition d’ambiance progressive ; sous-titre de lieu affiché après chargement.</x:v>
      </x:c>
      <x:c r="L11" s="9" t="str">
        <x:v>links/ret.json : hold -&gt; transit; sauvegarde avant transit, restauration à un ancrage sûr.</x:v>
      </x:c>
      <x:c r="M11" s="9" t="str">
        <x:v>Grayson n’est pas guéri par une énigme technique.</x:v>
      </x:c>
      <x:c r="N11" s="9" t="str">
        <x:v>Le groupe arrive au bon ancrage après chargement ; aller-retour ne duplique ni objet ni dialogue.</x:v>
      </x:c>
      <x:c r="O11" s="9" t="str">
        <x:v>RET-MAP-HOLD, RET-MAP-TRANSIT</x:v>
      </x:c>
      <x:c r="P11" s="9" t="str"/>
      <x:c r="Q11" s="9" t="str"/>
      <x:c r="R11" s="9" t="str"/>
      <x:c r="S11" s="9" t="str">
        <x:v>Boucle de parcours de production ; la dernière liaison sert à la consultation post-module, pas à remonter le temps.</x:v>
      </x:c>
    </x:row>
    <x:row r="12" ht="54" customHeight="1">
      <x:c r="A12" s="19" t="str">
        <x:v>RET-LNK-TRANSIT</x:v>
      </x:c>
      <x:c r="B12" s="7" t="str">
        <x:v>Navette sous tension — transition de module</x:v>
      </x:c>
      <x:c r="C12" s="15" t="str">
        <x:v>Défini</x:v>
      </x:c>
      <x:c r="D12" s="17" t="str">
        <x:v>Extrapolation</x:v>
      </x:c>
      <x:c r="E12" s="17" t="str">
        <x:v>P1</x:v>
      </x:c>
      <x:c r="F12" s="7" t="str">
        <x:v>Liaison de niveau proposée, sans prétendre établir une géographie officielle.</x:v>
      </x:c>
      <x:c r="G12" s="7" t="str">
        <x:v>Associer un point de départ dans Navette sous tension au bloc Couloir pédagogique en crise; transit masqué lorsque les lieux sont éloignés.</x:v>
      </x:c>
      <x:c r="H12" s="7" t="str">
        <x:v>Sortie inactive pendant une interaction critique ; confirmation uniquement si le retour est temporairement fermé.</x:v>
      </x:c>
      <x:c r="I12" s="7" t="str">
        <x:v>Flèche de sortie et nom du lieu cible ; distinguer voyage spatial et porte adjacente.</x:v>
      </x:c>
      <x:c r="J12" s="7" t="str">
        <x:v>Regroupement des sprites avant fondu ; aucun personnage laissé derrière hors cadre.</x:v>
      </x:c>
      <x:c r="K12" s="7" t="str">
        <x:v>Transition d’ambiance progressive ; sous-titre de lieu affiché après chargement.</x:v>
      </x:c>
      <x:c r="L12" s="7" t="str">
        <x:v>links/ret.json : transit -&gt; academy; sauvegarde avant transit, restauration à un ancrage sûr.</x:v>
      </x:c>
      <x:c r="M12" s="7" t="str">
        <x:v>La présence de chaque acteur suit la continuité.</x:v>
      </x:c>
      <x:c r="N12" s="7" t="str">
        <x:v>Le groupe arrive au bon ancrage après chargement ; aller-retour ne duplique ni objet ni dialogue.</x:v>
      </x:c>
      <x:c r="O12" s="7" t="str">
        <x:v>RET-MAP-TRANSIT, RET-MAP-ACADEMY</x:v>
      </x:c>
      <x:c r="P12" s="7" t="str"/>
      <x:c r="Q12" s="7" t="str"/>
      <x:c r="R12" s="7" t="str"/>
      <x:c r="S12" s="7" t="str">
        <x:v>Boucle de parcours de production ; la dernière liaison sert à la consultation post-module, pas à remonter le temps.</x:v>
      </x:c>
    </x:row>
    <x:row r="13" ht="54" customHeight="1">
      <x:c r="A13" s="18" t="str">
        <x:v>RET-LNK-ACADEMY</x:v>
      </x:c>
      <x:c r="B13" s="9" t="str">
        <x:v>Couloir pédagogique en crise — transition de module</x:v>
      </x:c>
      <x:c r="C13" s="15" t="str">
        <x:v>Défini</x:v>
      </x:c>
      <x:c r="D13" s="16" t="str">
        <x:v>Extrapolation</x:v>
      </x:c>
      <x:c r="E13" s="16" t="str">
        <x:v>P1</x:v>
      </x:c>
      <x:c r="F13" s="9" t="str">
        <x:v>Liaison de niveau proposée, sans prétendre établir une géographie officielle.</x:v>
      </x:c>
      <x:c r="G13" s="9" t="str">
        <x:v>Associer un point de départ dans Couloir pédagogique en crise au bloc Poste de consignation proposé; transit masqué lorsque les lieux sont éloignés.</x:v>
      </x:c>
      <x:c r="H13" s="9" t="str">
        <x:v>Sortie inactive pendant une interaction critique ; confirmation uniquement si le retour est temporairement fermé.</x:v>
      </x:c>
      <x:c r="I13" s="9" t="str">
        <x:v>Flèche de sortie et nom du lieu cible ; distinguer voyage spatial et porte adjacente.</x:v>
      </x:c>
      <x:c r="J13" s="9" t="str">
        <x:v>Regroupement des sprites avant fondu ; aucun personnage laissé derrière hors cadre.</x:v>
      </x:c>
      <x:c r="K13" s="9" t="str">
        <x:v>Transition d’ambiance progressive ; sous-titre de lieu affiché après chargement.</x:v>
      </x:c>
      <x:c r="L13" s="9" t="str">
        <x:v>links/ret.json : academy -&gt; archive; sauvegarde avant transit, restauration à un ancrage sûr.</x:v>
      </x:c>
      <x:c r="M13" s="9" t="str">
        <x:v>Pas de massacre aléatoire utilisé comme difficulté.</x:v>
      </x:c>
      <x:c r="N13" s="9" t="str">
        <x:v>Le groupe arrive au bon ancrage après chargement ; aller-retour ne duplique ni objet ni dialogue.</x:v>
      </x:c>
      <x:c r="O13" s="9" t="str">
        <x:v>RET-MAP-ACADEMY, RET-MAP-ARCHIVE</x:v>
      </x:c>
      <x:c r="P13" s="9" t="str"/>
      <x:c r="Q13" s="9" t="str"/>
      <x:c r="R13" s="9" t="str"/>
      <x:c r="S13" s="9" t="str">
        <x:v>Boucle de parcours de production ; la dernière liaison sert à la consultation post-module, pas à remonter le temps.</x:v>
      </x:c>
    </x:row>
    <x:row r="14" ht="54" customHeight="1">
      <x:c r="A14" s="19" t="str">
        <x:v>RET-LNK-ARCHIVE</x:v>
      </x:c>
      <x:c r="B14" s="7" t="str">
        <x:v>Poste de consignation proposé — transition de module</x:v>
      </x:c>
      <x:c r="C14" s="15" t="str">
        <x:v>Défini</x:v>
      </x:c>
      <x:c r="D14" s="17" t="str">
        <x:v>Extrapolation</x:v>
      </x:c>
      <x:c r="E14" s="17" t="str">
        <x:v>P1</x:v>
      </x:c>
      <x:c r="F14" s="7" t="str">
        <x:v>Liaison de niveau proposée, sans prétendre établir une géographie officielle.</x:v>
      </x:c>
      <x:c r="G14" s="7" t="str">
        <x:v>Associer un point de départ dans Poste de consignation proposé au bloc Dépôt de préparation sur Omega; transit masqué lorsque les lieux sont éloignés.</x:v>
      </x:c>
      <x:c r="H14" s="7" t="str">
        <x:v>Sortie inactive pendant une interaction critique ; confirmation uniquement si le retour est temporairement fermé.</x:v>
      </x:c>
      <x:c r="I14" s="7" t="str">
        <x:v>Flèche de sortie et nom du lieu cible ; distinguer voyage spatial et porte adjacente.</x:v>
      </x:c>
      <x:c r="J14" s="7" t="str">
        <x:v>Regroupement des sprites avant fondu ; aucun personnage laissé derrière hors cadre.</x:v>
      </x:c>
      <x:c r="K14" s="7" t="str">
        <x:v>Transition d’ambiance progressive ; sous-titre de lieu affiché après chargement.</x:v>
      </x:c>
      <x:c r="L14" s="7" t="str">
        <x:v>links/ret.json : archive -&gt; omega; sauvegarde avant transit, restauration à un ancrage sûr.</x:v>
      </x:c>
      <x:c r="M14" s="7" t="str">
        <x:v>Aucun retour temporel dans le monde ; relecture via menu séparé.</x:v>
      </x:c>
      <x:c r="N14" s="7" t="str">
        <x:v>Le groupe arrive au bon ancrage après chargement ; aller-retour ne duplique ni objet ni dialogue.</x:v>
      </x:c>
      <x:c r="O14" s="7" t="str">
        <x:v>RET-MAP-ARCHIVE, RET-MAP-OMEGA</x:v>
      </x:c>
      <x:c r="P14" s="7" t="str"/>
      <x:c r="Q14" s="7" t="str"/>
      <x:c r="R14" s="7" t="str"/>
      <x:c r="S14" s="7" t="str">
        <x:v>Boucle de parcours de production ; la dernière liaison sert à la consultation post-module, pas à remonter le temps.</x:v>
      </x:c>
    </x:row>
  </x:sheetData>
  <x:conditionalFormatting sqref="D7:D14">
    <x:cfRule type="cellIs" dxfId="20" priority="1" operator="equal">
      <x:formula>"À vérifier"</x:formula>
    </x:cfRule>
    <x:cfRule type="cellIs" dxfId="21" priority="2" operator="equal">
      <x:formula>"Extrapolation"</x:formula>
    </x:cfRule>
  </x:conditionalFormatting>
  <x:conditionalFormatting sqref="C7:C14">
    <x:cfRule type="cellIs" dxfId="22" priority="3" operator="equal">
      <x:formula>"Validé"</x:formula>
    </x:cfRule>
  </x:conditionalFormatting>
  <x:conditionalFormatting sqref="E7:E14">
    <x:cfRule type="cellIs" dxfId="2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32e3da6b1f2a49b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Retribution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RET-SET-OMEGA</x:v>
      </x:c>
      <x:c r="B7" s="9" t="str">
        <x:v>Dépôt de préparation sur Omega — kit de décor</x:v>
      </x:c>
      <x:c r="C7" s="15" t="str">
        <x:v>Défini</x:v>
      </x:c>
      <x:c r="D7" s="16" t="str">
        <x:v>Extrapolation</x:v>
      </x:c>
      <x:c r="E7" s="16" t="str">
        <x:v>P1</x:v>
      </x:c>
      <x:c r="F7" s="9" t="str">
        <x:v>Production originale des éléments fixes de la carte liée.</x:v>
      </x:c>
      <x:c r="G7" s="9" t="str">
        <x:v>Matériel de récupération, lumière chaude basse, écran de mission original. Construire trois profondeurs de décor avec variantes intacte et perturbée si utiles.</x:v>
      </x:c>
      <x:c r="H7" s="9" t="str">
        <x:v>Le décor signale la règle : La surveillance d’une entrée oblige à vérifier l’autre.</x:v>
      </x:c>
      <x:c r="I7" s="9" t="str">
        <x:v>Volumes sans microdétails illisibles ; surfaces dangereuses reconnues également en niveaux de gris.</x:v>
      </x:c>
      <x:c r="J7" s="9" t="str">
        <x:v>Animer seulement les repères actifs ; ne pas déplacer un obstacle statique après le calcul du chemin.</x:v>
      </x:c>
      <x:c r="K7" s="9" t="str">
        <x:v>Boucles très courtes évitées ; matériaux sonores propres aux interactions de cette zone.</x:v>
      </x:c>
      <x:c r="L7" s="9" t="str">
        <x:v>assets/ret/sets/omega/ ; collider séparé du mesh et des ornements.</x:v>
      </x:c>
      <x:c r="M7" s="9" t="str">
        <x:v>Ne pas prolonger la présence de Liselle au-delà de sa fenêtre narrative.</x:v>
      </x:c>
      <x:c r="N7" s="9" t="str">
        <x:v>Aucun détail décoratif ne ressemble à tort à une porte ; vue complète vérifiée en petite résolution.</x:v>
      </x:c>
      <x:c r="O7" s="9" t="str">
        <x:v>RET-MAP-OMEGA</x:v>
      </x:c>
      <x:c r="P7" s="9" t="str"/>
      <x:c r="Q7" s="9" t="str"/>
      <x:c r="R7" s="9" t="str"/>
      <x:c r="S7" s="9" t="str"/>
    </x:row>
    <x:row r="8" ht="68" customHeight="1">
      <x:c r="A8" s="19" t="str">
        <x:v>RET-SET-APARTMENT</x:v>
      </x:c>
      <x:c r="B8" s="7" t="str">
        <x:v>Annexe résidentielle proposée — kit de décor</x:v>
      </x:c>
      <x:c r="C8" s="15" t="str">
        <x:v>Défini</x:v>
      </x:c>
      <x:c r="D8" s="17" t="str">
        <x:v>Extrapolation</x:v>
      </x:c>
      <x:c r="E8" s="17" t="str">
        <x:v>P1</x:v>
      </x:c>
      <x:c r="F8" s="7" t="str">
        <x:v>Production originale des éléments fixes de la carte liée.</x:v>
      </x:c>
      <x:c r="G8" s="7" t="str">
        <x:v>Traces de vie quotidienne sans reconstitution exhaustive du logement du livre. Construire trois profondeurs de décor avec variantes intacte et perturbée si utiles.</x:v>
      </x:c>
      <x:c r="H8" s="7" t="str">
        <x:v>Le décor signale la règle : Collecter des indices sans déplacer les preuves critiques.</x:v>
      </x:c>
      <x:c r="I8" s="7" t="str">
        <x:v>Volumes sans microdétails illisibles ; surfaces dangereuses reconnues également en niveaux de gris.</x:v>
      </x:c>
      <x:c r="J8" s="7" t="str">
        <x:v>Animer seulement les repères actifs ; ne pas déplacer un obstacle statique après le calcul du chemin.</x:v>
      </x:c>
      <x:c r="K8" s="7" t="str">
        <x:v>Boucles très courtes évitées ; matériaux sonores propres aux interactions de cette zone.</x:v>
      </x:c>
      <x:c r="L8" s="7" t="str">
        <x:v>assets/ret/sets/apartment/ ; collider séparé du mesh et des ornements.</x:v>
      </x:c>
      <x:c r="M8" s="7" t="str">
        <x:v>Une capture narrative n’est pas annulée par la fouille.</x:v>
      </x:c>
      <x:c r="N8" s="7" t="str">
        <x:v>Aucun détail décoratif ne ressemble à tort à une porte ; vue complète vérifiée en petite résolution.</x:v>
      </x:c>
      <x:c r="O8" s="7" t="str">
        <x:v>RET-MAP-APARTMENT</x:v>
      </x:c>
      <x:c r="P8" s="7" t="str"/>
      <x:c r="Q8" s="7" t="str"/>
      <x:c r="R8" s="7" t="str"/>
      <x:c r="S8" s="7" t="str"/>
    </x:row>
    <x:row r="9" ht="54" customHeight="1">
      <x:c r="A9" s="18" t="str">
        <x:v>RET-SET-DIPLOMACY</x:v>
      </x:c>
      <x:c r="B9" s="9" t="str">
        <x:v>Bureau diplomatique proposé — kit de décor</x:v>
      </x:c>
      <x:c r="C9" s="15" t="str">
        <x:v>Défini</x:v>
      </x:c>
      <x:c r="D9" s="16" t="str">
        <x:v>Extrapolation</x:v>
      </x:c>
      <x:c r="E9" s="16" t="str">
        <x:v>P1</x:v>
      </x:c>
      <x:c r="F9" s="9" t="str">
        <x:v>Production originale des éléments fixes de la carte liée.</x:v>
      </x:c>
      <x:c r="G9" s="9" t="str">
        <x:v>Volumes calmes, écran de preuves, sièges adaptés aux silhouettes. Construire trois profondeurs de décor avec variantes intacte et perturbée si utiles.</x:v>
      </x:c>
      <x:c r="H9" s="9" t="str">
        <x:v>Le décor signale la règle : La cohérence du dossier conditionne la discussion.</x:v>
      </x:c>
      <x:c r="I9" s="9" t="str">
        <x:v>Volumes sans microdétails illisibles ; surfaces dangereuses reconnues également en niveaux de gris.</x:v>
      </x:c>
      <x:c r="J9" s="9" t="str">
        <x:v>Animer seulement les repères actifs ; ne pas déplacer un obstacle statique après le calcul du chemin.</x:v>
      </x:c>
      <x:c r="K9" s="9" t="str">
        <x:v>Boucles très courtes évitées ; matériaux sonores propres aux interactions de cette zone.</x:v>
      </x:c>
      <x:c r="L9" s="9" t="str">
        <x:v>assets/ret/sets/diplomacy/ ; collider séparé du mesh et des ornements.</x:v>
      </x:c>
      <x:c r="M9" s="9" t="str">
        <x:v>Le soutien politique n’équivaut pas à une alliance générale inventée.</x:v>
      </x:c>
      <x:c r="N9" s="9" t="str">
        <x:v>Aucun détail décoratif ne ressemble à tort à une porte ; vue complète vérifiée en petite résolution.</x:v>
      </x:c>
      <x:c r="O9" s="9" t="str">
        <x:v>RET-MAP-DIPLOMACY</x:v>
      </x:c>
      <x:c r="P9" s="9" t="str"/>
      <x:c r="Q9" s="9" t="str"/>
      <x:c r="R9" s="9" t="str"/>
      <x:c r="S9" s="9" t="str"/>
    </x:row>
    <x:row r="10" ht="54" customHeight="1">
      <x:c r="A10" s="19" t="str">
        <x:v>RET-SET-LAB</x:v>
      </x:c>
      <x:c r="B10" s="7" t="str">
        <x:v>Périmètre du laboratoire proposé — kit de décor</x:v>
      </x:c>
      <x:c r="C10" s="15" t="str">
        <x:v>Défini</x:v>
      </x:c>
      <x:c r="D10" s="17" t="str">
        <x:v>Extrapolation</x:v>
      </x:c>
      <x:c r="E10" s="17" t="str">
        <x:v>P1</x:v>
      </x:c>
      <x:c r="F10" s="7" t="str">
        <x:v>Production originale des éléments fixes de la carte liée.</x:v>
      </x:c>
      <x:c r="G10" s="7" t="str">
        <x:v>Blanc clinique, contrastes froids, zones opaques pour préserver la tension. Construire trois profondeurs de décor avec variantes intacte et perturbée si utiles.</x:v>
      </x:c>
      <x:c r="H10" s="7" t="str">
        <x:v>Le décor signale la règle : Les portes de confinement découpent le terrain.</x:v>
      </x:c>
      <x:c r="I10" s="7" t="str">
        <x:v>Volumes sans microdétails illisibles ; surfaces dangereuses reconnues également en niveaux de gris.</x:v>
      </x:c>
      <x:c r="J10" s="7" t="str">
        <x:v>Animer seulement les repères actifs ; ne pas déplacer un obstacle statique après le calcul du chemin.</x:v>
      </x:c>
      <x:c r="K10" s="7" t="str">
        <x:v>Boucles très courtes évitées ; matériaux sonores propres aux interactions de cette zone.</x:v>
      </x:c>
      <x:c r="L10" s="7" t="str">
        <x:v>assets/ret/sets/lab/ ; collider séparé du mesh et des ornements.</x:v>
      </x:c>
      <x:c r="M10" s="7" t="str">
        <x:v>Aucune procédure réelle d’implantation n’est détaillée.</x:v>
      </x:c>
      <x:c r="N10" s="7" t="str">
        <x:v>Aucun détail décoratif ne ressemble à tort à une porte ; vue complète vérifiée en petite résolution.</x:v>
      </x:c>
      <x:c r="O10" s="7" t="str">
        <x:v>RET-MAP-LAB</x:v>
      </x:c>
      <x:c r="P10" s="7" t="str"/>
      <x:c r="Q10" s="7" t="str"/>
      <x:c r="R10" s="7" t="str"/>
      <x:c r="S10" s="7" t="str"/>
    </x:row>
    <x:row r="11" ht="54" customHeight="1">
      <x:c r="A11" s="18" t="str">
        <x:v>RET-SET-HOLD</x:v>
      </x:c>
      <x:c r="B11" s="9" t="str">
        <x:v>Unité de confinement proposée — kit de décor</x:v>
      </x:c>
      <x:c r="C11" s="15" t="str">
        <x:v>Défini</x:v>
      </x:c>
      <x:c r="D11" s="16" t="str">
        <x:v>Extrapolation</x:v>
      </x:c>
      <x:c r="E11" s="16" t="str">
        <x:v>P1</x:v>
      </x:c>
      <x:c r="F11" s="9" t="str">
        <x:v>Production originale des éléments fixes de la carte liée.</x:v>
      </x:c>
      <x:c r="G11" s="9" t="str">
        <x:v>Verre épais, câblage abstrait, signaux de diagnostic incomplets. Construire trois profondeurs de décor avec variantes intacte et perturbée si utiles.</x:v>
      </x:c>
      <x:c r="H11" s="9" t="str">
        <x:v>Le décor signale la règle : Une panne impose de choisir l’ordre des interventions.</x:v>
      </x:c>
      <x:c r="I11" s="9" t="str">
        <x:v>Volumes sans microdétails illisibles ; surfaces dangereuses reconnues également en niveaux de gris.</x:v>
      </x:c>
      <x:c r="J11" s="9" t="str">
        <x:v>Animer seulement les repères actifs ; ne pas déplacer un obstacle statique après le calcul du chemin.</x:v>
      </x:c>
      <x:c r="K11" s="9" t="str">
        <x:v>Boucles très courtes évitées ; matériaux sonores propres aux interactions de cette zone.</x:v>
      </x:c>
      <x:c r="L11" s="9" t="str">
        <x:v>assets/ret/sets/hold/ ; collider séparé du mesh et des ornements.</x:v>
      </x:c>
      <x:c r="M11" s="9" t="str">
        <x:v>Grayson n’est pas guéri par une énigme technique.</x:v>
      </x:c>
      <x:c r="N11" s="9" t="str">
        <x:v>Aucun détail décoratif ne ressemble à tort à une porte ; vue complète vérifiée en petite résolution.</x:v>
      </x:c>
      <x:c r="O11" s="9" t="str">
        <x:v>RET-MAP-HOLD</x:v>
      </x:c>
      <x:c r="P11" s="9" t="str"/>
      <x:c r="Q11" s="9" t="str"/>
      <x:c r="R11" s="9" t="str"/>
      <x:c r="S11" s="9" t="str"/>
    </x:row>
    <x:row r="12" ht="54" customHeight="1">
      <x:c r="A12" s="19" t="str">
        <x:v>RET-SET-TRANSIT</x:v>
      </x:c>
      <x:c r="B12" s="7" t="str">
        <x:v>Navette sous tension — kit de décor</x:v>
      </x:c>
      <x:c r="C12" s="15" t="str">
        <x:v>Défini</x:v>
      </x:c>
      <x:c r="D12" s="17" t="str">
        <x:v>Extrapolation</x:v>
      </x:c>
      <x:c r="E12" s="17" t="str">
        <x:v>P1</x:v>
      </x:c>
      <x:c r="F12" s="7" t="str">
        <x:v>Production originale des éléments fixes de la carte liée.</x:v>
      </x:c>
      <x:c r="G12" s="7" t="str">
        <x:v>Sangles, balises de route et éclairage de transit. Construire trois profondeurs de décor avec variantes intacte et perturbée si utiles.</x:v>
      </x:c>
      <x:c r="H12" s="7" t="str">
        <x:v>Le décor signale la règle : Déplacement restreint pendant une phase de communication.</x:v>
      </x:c>
      <x:c r="I12" s="7" t="str">
        <x:v>Volumes sans microdétails illisibles ; surfaces dangereuses reconnues également en niveaux de gris.</x:v>
      </x:c>
      <x:c r="J12" s="7" t="str">
        <x:v>Animer seulement les repères actifs ; ne pas déplacer un obstacle statique après le calcul du chemin.</x:v>
      </x:c>
      <x:c r="K12" s="7" t="str">
        <x:v>Boucles très courtes évitées ; matériaux sonores propres aux interactions de cette zone.</x:v>
      </x:c>
      <x:c r="L12" s="7" t="str">
        <x:v>assets/ret/sets/transit/ ; collider séparé du mesh et des ornements.</x:v>
      </x:c>
      <x:c r="M12" s="7" t="str">
        <x:v>La présence de chaque acteur suit la continuité.</x:v>
      </x:c>
      <x:c r="N12" s="7" t="str">
        <x:v>Aucun détail décoratif ne ressemble à tort à une porte ; vue complète vérifiée en petite résolution.</x:v>
      </x:c>
      <x:c r="O12" s="7" t="str">
        <x:v>RET-MAP-TRANSIT</x:v>
      </x:c>
      <x:c r="P12" s="7" t="str"/>
      <x:c r="Q12" s="7" t="str"/>
      <x:c r="R12" s="7" t="str"/>
      <x:c r="S12" s="7" t="str"/>
    </x:row>
    <x:row r="13" ht="54" customHeight="1">
      <x:c r="A13" s="18" t="str">
        <x:v>RET-SET-ACADEMY</x:v>
      </x:c>
      <x:c r="B13" s="9" t="str">
        <x:v>Couloir pédagogique en crise — kit de décor</x:v>
      </x:c>
      <x:c r="C13" s="15" t="str">
        <x:v>Défini</x:v>
      </x:c>
      <x:c r="D13" s="16" t="str">
        <x:v>Extrapolation</x:v>
      </x:c>
      <x:c r="E13" s="16" t="str">
        <x:v>P1</x:v>
      </x:c>
      <x:c r="F13" s="9" t="str">
        <x:v>Production originale des éléments fixes de la carte liée.</x:v>
      </x:c>
      <x:c r="G13" s="9" t="str">
        <x:v>Mobilier d’école et travaux d’élèves distingués des barricades. Construire trois profondeurs de décor avec variantes intacte et perturbée si utiles.</x:v>
      </x:c>
      <x:c r="H13" s="9" t="str">
        <x:v>Le décor signale la règle : Évacuer vers les salles sûres avant toute poursuite.</x:v>
      </x:c>
      <x:c r="I13" s="9" t="str">
        <x:v>Volumes sans microdétails illisibles ; surfaces dangereuses reconnues également en niveaux de gris.</x:v>
      </x:c>
      <x:c r="J13" s="9" t="str">
        <x:v>Animer seulement les repères actifs ; ne pas déplacer un obstacle statique après le calcul du chemin.</x:v>
      </x:c>
      <x:c r="K13" s="9" t="str">
        <x:v>Boucles très courtes évitées ; matériaux sonores propres aux interactions de cette zone.</x:v>
      </x:c>
      <x:c r="L13" s="9" t="str">
        <x:v>assets/ret/sets/academy/ ; collider séparé du mesh et des ornements.</x:v>
      </x:c>
      <x:c r="M13" s="9" t="str">
        <x:v>Pas de massacre aléatoire utilisé comme difficulté.</x:v>
      </x:c>
      <x:c r="N13" s="9" t="str">
        <x:v>Aucun détail décoratif ne ressemble à tort à une porte ; vue complète vérifiée en petite résolution.</x:v>
      </x:c>
      <x:c r="O13" s="9" t="str">
        <x:v>RET-MAP-ACADEMY</x:v>
      </x:c>
      <x:c r="P13" s="9" t="str"/>
      <x:c r="Q13" s="9" t="str"/>
      <x:c r="R13" s="9" t="str"/>
      <x:c r="S13" s="9" t="str"/>
    </x:row>
    <x:row r="14" ht="54" customHeight="1">
      <x:c r="A14" s="19" t="str">
        <x:v>RET-SET-ARCHIVE</x:v>
      </x:c>
      <x:c r="B14" s="7" t="str">
        <x:v>Poste de consignation proposé — kit de décor</x:v>
      </x:c>
      <x:c r="C14" s="15" t="str">
        <x:v>Défini</x:v>
      </x:c>
      <x:c r="D14" s="17" t="str">
        <x:v>Extrapolation</x:v>
      </x:c>
      <x:c r="E14" s="17" t="str">
        <x:v>P1</x:v>
      </x:c>
      <x:c r="F14" s="7" t="str">
        <x:v>Production originale des éléments fixes de la carte liée.</x:v>
      </x:c>
      <x:c r="G14" s="7" t="str">
        <x:v>Éclairage stabilisé, matériel rangé, état de dommage persistant. Construire trois profondeurs de décor avec variantes intacte et perturbée si utiles.</x:v>
      </x:c>
      <x:c r="H14" s="7" t="str">
        <x:v>Le décor signale la règle : Confirmer les personnes et pièces de preuve restantes.</x:v>
      </x:c>
      <x:c r="I14" s="7" t="str">
        <x:v>Volumes sans microdétails illisibles ; surfaces dangereuses reconnues également en niveaux de gris.</x:v>
      </x:c>
      <x:c r="J14" s="7" t="str">
        <x:v>Animer seulement les repères actifs ; ne pas déplacer un obstacle statique après le calcul du chemin.</x:v>
      </x:c>
      <x:c r="K14" s="7" t="str">
        <x:v>Boucles très courtes évitées ; matériaux sonores propres aux interactions de cette zone.</x:v>
      </x:c>
      <x:c r="L14" s="7" t="str">
        <x:v>assets/ret/sets/archive/ ; collider séparé du mesh et des ornements.</x:v>
      </x:c>
      <x:c r="M14" s="7" t="str">
        <x:v>Aucun retour temporel dans le monde ; relecture via menu séparé.</x:v>
      </x:c>
      <x:c r="N14" s="7" t="str">
        <x:v>Aucun détail décoratif ne ressemble à tort à une porte ; vue complète vérifiée en petite résolution.</x:v>
      </x:c>
      <x:c r="O14" s="7" t="str">
        <x:v>RET-MAP-ARCHIVE</x:v>
      </x:c>
      <x:c r="P14" s="7" t="str"/>
      <x:c r="Q14" s="7" t="str"/>
      <x:c r="R14" s="7" t="str"/>
      <x:c r="S14" s="7" t="str"/>
    </x:row>
  </x:sheetData>
  <x:conditionalFormatting sqref="D7:D14">
    <x:cfRule type="cellIs" dxfId="24" priority="1" operator="equal">
      <x:formula>"À vérifier"</x:formula>
    </x:cfRule>
    <x:cfRule type="cellIs" dxfId="25" priority="2" operator="equal">
      <x:formula>"Extrapolation"</x:formula>
    </x:cfRule>
  </x:conditionalFormatting>
  <x:conditionalFormatting sqref="C7:C14">
    <x:cfRule type="cellIs" dxfId="26" priority="3" operator="equal">
      <x:formula>"Validé"</x:formula>
    </x:cfRule>
  </x:conditionalFormatting>
  <x:conditionalFormatting sqref="E7:E14">
    <x:cfRule type="cellIs" dxfId="2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4b86713b827d4926"/>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Retribution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RET-REF-REDSAND</x:v>
      </x:c>
      <x:c r="B7" s="9" t="str">
        <x:v>Sable rouge</x:v>
      </x:c>
      <x:c r="C7" s="15" t="str">
        <x:v>Défini</x:v>
      </x:c>
      <x:c r="D7" s="16" t="str">
        <x:v>Établi</x:v>
      </x:c>
      <x:c r="E7" s="16" t="str">
        <x:v>P1</x:v>
      </x:c>
      <x:c r="F7" s="9" t="str">
        <x:v>Kai Leng l’utilise pour affaiblir la résistance de Grayson.</x:v>
      </x:c>
      <x:c r="G7" s="9" t="str">
        <x:v>Ancrage documentaire du module ; aucune statistique officielle inférée.</x:v>
      </x:c>
      <x:c r="H7" s="9" t="str"/>
      <x:c r="I7" s="9" t="str"/>
      <x:c r="J7" s="9" t="str"/>
      <x:c r="K7" s="9" t="str"/>
      <x:c r="L7" s="9" t="str">
        <x:v>Codex ref.ret.redsand ; affichage bref avec source.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RET-SRC-KAI</x:v>
      </x:c>
      <x:c r="R7" s="9" t="str">
        <x:v>https://masseffect.fandom.com/wiki/Kai_Leng</x:v>
      </x:c>
      <x:c r="S7" s="9" t="str">
        <x:v>Ce relevé n’est ni un inventaire exhaustif ni un résumé scène par scène.</x:v>
      </x:c>
    </x:row>
    <x:row r="8" ht="68" customHeight="1">
      <x:c r="A8" s="19" t="str">
        <x:v>RET-REF-DOSSIER</x:v>
      </x:c>
      <x:c r="B8" s="7" t="str">
        <x:v>Preuves sur Grayson</x:v>
      </x:c>
      <x:c r="C8" s="15" t="str">
        <x:v>Défini</x:v>
      </x:c>
      <x:c r="D8" s="17" t="str">
        <x:v>Établi</x:v>
      </x:c>
      <x:c r="E8" s="17" t="str">
        <x:v>P1</x:v>
      </x:c>
      <x:c r="F8" s="7" t="str">
        <x:v>La recherche de Kahlee vise à retrouver le lieu de son expérimentation.</x:v>
      </x:c>
      <x:c r="G8" s="7" t="str">
        <x:v>Ancrage documentaire du module ; aucune statistique officielle inférée.</x:v>
      </x:c>
      <x:c r="H8" s="7" t="str"/>
      <x:c r="I8" s="7" t="str"/>
      <x:c r="J8" s="7" t="str"/>
      <x:c r="K8" s="7" t="str"/>
      <x:c r="L8" s="7" t="str">
        <x:v>Codex ref.ret.dossier ; affichage bref avec source.</x:v>
      </x:c>
      <x:c r="M8" s="7" t="str">
        <x:v>Préserver le parcours de Grayson et les états nécessaires à Deception et ME3. Les rencontres proposées n’offrent ni guérison canonique de Grayson ni élimination définitive de Kai Leng.</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RET-SRC-PUB</x:v>
      </x:c>
      <x:c r="R8" s="7" t="str">
        <x:v>https://www.penguinrandomhouse.com/books/200767/mass-effect-retribution-by-drew-karpyshyn/paperback/</x:v>
      </x:c>
      <x:c r="S8" s="7" t="str">
        <x:v>Ce relevé n’est ni un inventaire exhaustif ni un résumé scène par scène.</x:v>
      </x:c>
    </x:row>
  </x:sheetData>
  <x:conditionalFormatting sqref="D7:D8">
    <x:cfRule type="cellIs" dxfId="28" priority="1" operator="equal">
      <x:formula>"À vérifier"</x:formula>
    </x:cfRule>
    <x:cfRule type="cellIs" dxfId="29" priority="2" operator="equal">
      <x:formula>"Extrapolation"</x:formula>
    </x:cfRule>
  </x:conditionalFormatting>
  <x:conditionalFormatting sqref="C7:C8">
    <x:cfRule type="cellIs" dxfId="30" priority="3" operator="equal">
      <x:formula>"Validé"</x:formula>
    </x:cfRule>
  </x:conditionalFormatting>
  <x:conditionalFormatting sqref="E7:E8">
    <x:cfRule type="cellIs" dxfId="3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9c971186211b4e27"/>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Retribution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RET-ENC-CERB</x:v>
      </x:c>
      <x:c r="B7" s="9" t="str">
        <x:v>Équipe de capture proposée</x:v>
      </x:c>
      <x:c r="C7" s="15" t="str">
        <x:v>Défini</x:v>
      </x:c>
      <x:c r="D7" s="16" t="str">
        <x:v>Extrapolation</x:v>
      </x:c>
      <x:c r="E7" s="16" t="str">
        <x:v>P1</x:v>
      </x:c>
      <x:c r="F7" s="9" t="str">
        <x:v>Rencontre originale proposée : Opposition Cerberus originale autour d’une zone annexe.</x:v>
      </x:c>
      <x:c r="G7" s="9" t="str">
        <x:v>Opposition ou crise scénarisée pour le groupe ; ne pas attribuer au roman une barre de vie ou un rang de boss.</x:v>
      </x:c>
      <x:c r="H7" s="9" t="str">
        <x:v>Un opérateur marque la cible pendant que deux silhouettes contrôlent les sorties. Réponse du joueur : Briser la ligne de marquage et ouvrir une sortie secondaire.</x:v>
      </x:c>
      <x:c r="I7" s="9" t="str">
        <x:v>Marqueur de poursuite et mouvement vers les issues.</x:v>
      </x:c>
      <x:c r="J7" s="9" t="str">
        <x:v>Anticipation identifiable, action, récupération exploitable ; variante de sortie non létale lorsque pertinente.</x:v>
      </x:c>
      <x:c r="K7" s="9" t="str">
        <x:v>Motif de danger spécifique, sous-titre bref et avertissement visuel.</x:v>
      </x:c>
      <x:c r="L7" s="9" t="str">
        <x:v>encounters/ret/cerb.json ; activer seulement dans les zones prévues.</x:v>
      </x:c>
      <x:c r="M7" s="9" t="str">
        <x:v>Préserver le parcours de Grayson et les états nécessaires à Deception et ME3. Les rencontres proposées n’offrent ni guérison canonique de Grayson ni élimination définitive de Kai Leng.</x:v>
      </x:c>
      <x:c r="N7" s="9" t="str">
        <x:v>Un joueur découvre la contre-mesure par le télégraphe ; la résolution ne modifie aucun destin établi.</x:v>
      </x:c>
      <x:c r="O7" s="9" t="str"/>
      <x:c r="P7" s="9" t="str"/>
      <x:c r="Q7" s="9" t="str"/>
      <x:c r="R7" s="9" t="str"/>
      <x:c r="S7" s="9" t="str">
        <x:v>Tous comportements et réglages de combat sont du design original.</x:v>
      </x:c>
    </x:row>
    <x:row r="8" ht="68" customHeight="1">
      <x:c r="A8" s="19" t="str">
        <x:v>RET-ENC-LENG</x:v>
      </x:c>
      <x:c r="B8" s="7" t="str">
        <x:v>Kai Leng — contrôle d’accès proposé</x:v>
      </x:c>
      <x:c r="C8" s="15" t="str">
        <x:v>Défini</x:v>
      </x:c>
      <x:c r="D8" s="17" t="str">
        <x:v>Extrapolation</x:v>
      </x:c>
      <x:c r="E8" s="17" t="str">
        <x:v>P1</x:v>
      </x:c>
      <x:c r="F8" s="7" t="str">
        <x:v>Rencontre originale proposée : Segment de boss sans mort définitive ajoutée.</x:v>
      </x:c>
      <x:c r="G8" s="7" t="str">
        <x:v>Opposition ou crise scénarisée pour le groupe ; ne pas attribuer au roman une barre de vie ou un rang de boss.</x:v>
      </x:c>
      <x:c r="H8" s="7" t="str">
        <x:v>Feinte de déplacement puis verrouillage d’un objectif de sortie. Réponse du joueur : Protéger l’objectif plutôt que poursuivre son ombre.</x:v>
      </x:c>
      <x:c r="I8" s="7" t="str">
        <x:v>Variation de posture et indicateur de la porte menacée.</x:v>
      </x:c>
      <x:c r="J8" s="7" t="str">
        <x:v>Anticipation identifiable, action, récupération exploitable ; variante de sortie non létale lorsque pertinente.</x:v>
      </x:c>
      <x:c r="K8" s="7" t="str">
        <x:v>Motif de danger spécifique, sous-titre bref et avertissement visuel.</x:v>
      </x:c>
      <x:c r="L8" s="7" t="str">
        <x:v>encounters/ret/leng.json ; activer seulement dans les zones prévues.</x:v>
      </x:c>
      <x:c r="M8" s="7" t="str">
        <x:v>Préserver le parcours de Grayson et les états nécessaires à Deception et ME3. Les rencontres proposées n’offrent ni guérison canonique de Grayson ni élimination définitive de Kai Leng.</x:v>
      </x:c>
      <x:c r="N8" s="7" t="str">
        <x:v>Un joueur découvre la contre-mesure par le télégraphe ; la résolution ne modifie aucun destin établi.</x:v>
      </x:c>
      <x:c r="O8" s="7" t="str"/>
      <x:c r="P8" s="7" t="str"/>
      <x:c r="Q8" s="7" t="str"/>
      <x:c r="R8" s="7" t="str"/>
      <x:c r="S8" s="7" t="str">
        <x:v>Tous comportements et réglages de combat sont du design original.</x:v>
      </x:c>
    </x:row>
    <x:row r="9" ht="68" customHeight="1">
      <x:c r="A9" s="18" t="str">
        <x:v>RET-ENC-REAPER</x:v>
      </x:c>
      <x:c r="B9" s="9" t="str">
        <x:v>Pression du contrôle moissonneur</x:v>
      </x:c>
      <x:c r="C9" s="15" t="str">
        <x:v>Défini</x:v>
      </x:c>
      <x:c r="D9" s="16" t="str">
        <x:v>Extrapolation</x:v>
      </x:c>
      <x:c r="E9" s="16" t="str">
        <x:v>P1</x:v>
      </x:c>
      <x:c r="F9" s="9" t="str">
        <x:v>Rencontre originale proposée : Crise scénarisée proposée, pas une capacité officielle chiffrée.</x:v>
      </x:c>
      <x:c r="G9" s="9" t="str">
        <x:v>Opposition ou crise scénarisée pour le groupe ; ne pas attribuer au roman une barre de vie ou un rang de boss.</x:v>
      </x:c>
      <x:c r="H9" s="9" t="str">
        <x:v>Trouble la lecture d’un indice et pousse à confirmer par un allié. Réponse du joueur : Comparer au relevé externe et suspendre une décision irréversible.</x:v>
      </x:c>
      <x:c r="I9" s="9" t="str">
        <x:v>Double affichage explicitement identifié comme perception incertaine.</x:v>
      </x:c>
      <x:c r="J9" s="9" t="str">
        <x:v>Anticipation identifiable, action, récupération exploitable ; variante de sortie non létale lorsque pertinente.</x:v>
      </x:c>
      <x:c r="K9" s="9" t="str">
        <x:v>Motif de danger spécifique, sous-titre bref et avertissement visuel.</x:v>
      </x:c>
      <x:c r="L9" s="9" t="str">
        <x:v>encounters/ret/reaper.json ; activer seulement dans les zones prévues.</x:v>
      </x:c>
      <x:c r="M9" s="9" t="str">
        <x:v>Préserver le parcours de Grayson et les états nécessaires à Deception et ME3. Les rencontres proposées n’offrent ni guérison canonique de Grayson ni élimination définitive de Kai Leng.</x:v>
      </x:c>
      <x:c r="N9" s="9" t="str">
        <x:v>Un joueur découvre la contre-mesure par le télégraphe ; la résolution ne modifie aucun destin établi.</x:v>
      </x:c>
      <x:c r="O9" s="9" t="str"/>
      <x:c r="P9" s="9" t="str"/>
      <x:c r="Q9" s="9" t="str"/>
      <x:c r="R9" s="9" t="str"/>
      <x:c r="S9" s="9" t="str">
        <x:v>Tous comportements et réglages de combat sont du design original.</x:v>
      </x:c>
    </x:row>
    <x:row r="10" ht="68" customHeight="1">
      <x:c r="A10" s="19" t="str">
        <x:v>RET-ENC-LOCKDOWN</x:v>
      </x:c>
      <x:c r="B10" s="7" t="str">
        <x:v>Confinement en chaîne</x:v>
      </x:c>
      <x:c r="C10" s="15" t="str">
        <x:v>Défini</x:v>
      </x:c>
      <x:c r="D10" s="17" t="str">
        <x:v>Extrapolation</x:v>
      </x:c>
      <x:c r="E10" s="17" t="str">
        <x:v>P1</x:v>
      </x:c>
      <x:c r="F10" s="7" t="str">
        <x:v>Rencontre originale proposée : Boss environnemental original dans le périmètre du laboratoire.</x:v>
      </x:c>
      <x:c r="G10" s="7" t="str">
        <x:v>Opposition ou crise scénarisée pour le groupe ; ne pas attribuer au roman une barre de vie ou un rang de boss.</x:v>
      </x:c>
      <x:c r="H10" s="7" t="str">
        <x:v>Ferme deux routes et force la redistribution d’énergie. Réponse du joueur : Conserver un chemin ouvert et basculer le circuit de secours.</x:v>
      </x:c>
      <x:c r="I10" s="7" t="str">
        <x:v>Séquence de voyants numérotés au-dessus des sas.</x:v>
      </x:c>
      <x:c r="J10" s="7" t="str">
        <x:v>Anticipation identifiable, action, récupération exploitable ; variante de sortie non létale lorsque pertinente.</x:v>
      </x:c>
      <x:c r="K10" s="7" t="str">
        <x:v>Motif de danger spécifique, sous-titre bref et avertissement visuel.</x:v>
      </x:c>
      <x:c r="L10" s="7" t="str">
        <x:v>encounters/ret/lockdown.json ; activer seulement dans les zones prévues.</x:v>
      </x:c>
      <x:c r="M10" s="7" t="str">
        <x:v>Préserver le parcours de Grayson et les états nécessaires à Deception et ME3. Les rencontres proposées n’offrent ni guérison canonique de Grayson ni élimination définitive de Kai Leng.</x:v>
      </x:c>
      <x:c r="N10" s="7" t="str">
        <x:v>Un joueur découvre la contre-mesure par le télégraphe ; la résolution ne modifie aucun destin établi.</x:v>
      </x:c>
      <x:c r="O10" s="7" t="str"/>
      <x:c r="P10" s="7" t="str"/>
      <x:c r="Q10" s="7" t="str"/>
      <x:c r="R10" s="7" t="str"/>
      <x:c r="S10" s="7" t="str">
        <x:v>Tous comportements et réglages de combat sont du design original.</x:v>
      </x:c>
    </x:row>
  </x:sheetData>
  <x:conditionalFormatting sqref="D7:D10">
    <x:cfRule type="cellIs" dxfId="32" priority="1" operator="equal">
      <x:formula>"À vérifier"</x:formula>
    </x:cfRule>
    <x:cfRule type="cellIs" dxfId="33" priority="2" operator="equal">
      <x:formula>"Extrapolation"</x:formula>
    </x:cfRule>
  </x:conditionalFormatting>
  <x:conditionalFormatting sqref="C7:C10">
    <x:cfRule type="cellIs" dxfId="34" priority="3" operator="equal">
      <x:formula>"Validé"</x:formula>
    </x:cfRule>
  </x:conditionalFormatting>
  <x:conditionalFormatting sqref="E7:E10">
    <x:cfRule type="cellIs" dxfId="3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6e5b79a1ed4b4e4c"/>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Retribution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RET-MIS-CONTRACT</x:v>
      </x:c>
      <x:c r="B7" s="9" t="str">
        <x:v>Évaluer un trajet de mission</x:v>
      </x:c>
      <x:c r="C7" s="15" t="str">
        <x:v>Défini</x:v>
      </x:c>
      <x:c r="D7" s="16" t="str">
        <x:v>Extrapolation</x:v>
      </x:c>
      <x:c r="E7" s="16" t="str">
        <x:v>P0</x:v>
      </x:c>
      <x:c r="F7" s="9" t="str">
        <x:v>Mission originale d’adaptation, inspirée d’un enjeu général de l’œuvre.</x:v>
      </x:c>
      <x:c r="G7" s="9" t="str">
        <x:v>Établir un itinéraire prudent pour une opération locale originale sur Omega.</x:v>
      </x:c>
      <x:c r="H7" s="9" t="str">
        <x:v>Comparer trois accès proposés selon visibilité, sortie et matériel disponible.</x:v>
      </x:c>
      <x:c r="I7" s="9" t="str">
        <x:v>Objectif spatial associé à Dépôt de préparation sur Omega ; états non commencé/en cours/résolu distingués.</x:v>
      </x:c>
      <x:c r="J7" s="9" t="str">
        <x:v>Entrée contrôlée, actions de groupe et fin interruptible avant sauvegarde ; aucune animation ne décide seule du résultat.</x:v>
      </x:c>
      <x:c r="K7" s="9" t="str">
        <x:v>Briefing original concis ; changement de musique à la résolution d’objectif, pas après un délai arbitraire.</x:v>
      </x:c>
      <x:c r="L7" s="9" t="str">
        <x:v>quests/ret/contract.json ; états offered/active/resolved ; clés de progression propres au module.</x:v>
      </x:c>
      <x:c r="M7" s="9" t="str">
        <x:v>Ne pas attribuer à Grayson un savoir qu’il n’a pas encore.</x:v>
      </x:c>
      <x:c r="N7" s="9" t="str">
        <x:v>Le joueur peut accomplir « Établir un itinéraire prudent pour une opération locale originale sur Omega. » et la sortie confirme le résultat ; Ne pas attribuer à Grayson un savoir qu’il n’a pas encore.</x:v>
      </x:c>
      <x:c r="O7" s="9" t="str">
        <x:v>RET-MAP-OMEGA</x:v>
      </x:c>
      <x:c r="P7" s="9" t="str"/>
      <x:c r="Q7" s="9" t="str"/>
      <x:c r="R7" s="9" t="str"/>
      <x:c r="S7" s="9" t="str"/>
    </x:row>
    <x:row r="8" ht="68" customHeight="1">
      <x:c r="A8" s="19" t="str">
        <x:v>RET-MIS-MISSING</x:v>
      </x:c>
      <x:c r="B8" s="7" t="str">
        <x:v>Vérifier une disparition</x:v>
      </x:c>
      <x:c r="C8" s="15" t="str">
        <x:v>Défini</x:v>
      </x:c>
      <x:c r="D8" s="17" t="str">
        <x:v>Extrapolation</x:v>
      </x:c>
      <x:c r="E8" s="17" t="str">
        <x:v>P0</x:v>
      </x:c>
      <x:c r="F8" s="7" t="str">
        <x:v>Mission originale d’adaptation, inspirée d’un enjeu général de l’œuvre.</x:v>
      </x:c>
      <x:c r="G8" s="7" t="str">
        <x:v>Assembler un dossier bref à partir d’une annexe résidentielle.</x:v>
      </x:c>
      <x:c r="H8" s="7" t="str">
        <x:v>Relier un accès forcé, une communication interrompue et un déplacement constaté.</x:v>
      </x:c>
      <x:c r="I8" s="7" t="str">
        <x:v>Objectif spatial associé à Annexe résidentielle proposée ; états non commencé/en cours/résolu distingués.</x:v>
      </x:c>
      <x:c r="J8" s="7" t="str">
        <x:v>Entrée contrôlée, actions de groupe et fin interruptible avant sauvegarde ; aucune animation ne décide seule du résultat.</x:v>
      </x:c>
      <x:c r="K8" s="7" t="str">
        <x:v>Briefing original concis ; changement de musique à la résolution d’objectif, pas après un délai arbitraire.</x:v>
      </x:c>
      <x:c r="L8" s="7" t="str">
        <x:v>quests/ret/missing.json ; états offered/active/resolved ; clés de progression propres au module.</x:v>
      </x:c>
      <x:c r="M8" s="7" t="str">
        <x:v>La capture de Grayson demeure un fait du récit.</x:v>
      </x:c>
      <x:c r="N8" s="7" t="str">
        <x:v>Le joueur peut accomplir « Assembler un dossier bref à partir d’une annexe résidentielle. » et la sortie confirme le résultat ; La capture de Grayson demeure un fait du récit.</x:v>
      </x:c>
      <x:c r="O8" s="7" t="str">
        <x:v>RET-MAP-APARTMENT</x:v>
      </x:c>
      <x:c r="P8" s="7" t="str"/>
      <x:c r="Q8" s="7" t="str"/>
      <x:c r="R8" s="7" t="str"/>
      <x:c r="S8" s="7" t="str"/>
    </x:row>
    <x:row r="9" ht="68" customHeight="1">
      <x:c r="A9" s="18" t="str">
        <x:v>RET-MIS-HELP</x:v>
      </x:c>
      <x:c r="B9" s="9" t="str">
        <x:v>Obtenir une assistance motivée</x:v>
      </x:c>
      <x:c r="C9" s="15" t="str">
        <x:v>Défini</x:v>
      </x:c>
      <x:c r="D9" s="16" t="str">
        <x:v>Extrapolation</x:v>
      </x:c>
      <x:c r="E9" s="16" t="str">
        <x:v>P0</x:v>
      </x:c>
      <x:c r="F9" s="9" t="str">
        <x:v>Mission originale d’adaptation, inspirée d’un enjeu général de l’œuvre.</x:v>
      </x:c>
      <x:c r="G9" s="9" t="str">
        <x:v>Présenter à un interlocuteur les éléments utiles au sauvetage.</x:v>
      </x:c>
      <x:c r="H9" s="9" t="str">
        <x:v>Ordonner les preuves selon fiabilité, puis répondre à une objection.</x:v>
      </x:c>
      <x:c r="I9" s="9" t="str">
        <x:v>Objectif spatial associé à Bureau diplomatique proposé ; états non commencé/en cours/résolu distingués.</x:v>
      </x:c>
      <x:c r="J9" s="9" t="str">
        <x:v>Entrée contrôlée, actions de groupe et fin interruptible avant sauvegarde ; aucune animation ne décide seule du résultat.</x:v>
      </x:c>
      <x:c r="K9" s="9" t="str">
        <x:v>Briefing original concis ; changement de musique à la résolution d’objectif, pas après un délai arbitraire.</x:v>
      </x:c>
      <x:c r="L9" s="9" t="str">
        <x:v>quests/ret/help.json ; états offered/active/resolved ; clés de progression propres au module.</x:v>
      </x:c>
      <x:c r="M9" s="9" t="str">
        <x:v>Le rôle d’Orinia reste limité à ce qui est attesté.</x:v>
      </x:c>
      <x:c r="N9" s="9" t="str">
        <x:v>Le joueur peut accomplir « Présenter à un interlocuteur les éléments utiles au sauvetage. » et la sortie confirme le résultat ; Le rôle d’Orinia reste limité à ce qui est attesté.</x:v>
      </x:c>
      <x:c r="O9" s="9" t="str">
        <x:v>RET-MAP-DIPLOMACY</x:v>
      </x:c>
      <x:c r="P9" s="9" t="str"/>
      <x:c r="Q9" s="9" t="str"/>
      <x:c r="R9" s="9" t="str"/>
      <x:c r="S9" s="9" t="str"/>
    </x:row>
    <x:row r="10" ht="68" customHeight="1">
      <x:c r="A10" s="19" t="str">
        <x:v>RET-MIS-ACCESS</x:v>
      </x:c>
      <x:c r="B10" s="7" t="str">
        <x:v>Ouvrir une voie d’approche</x:v>
      </x:c>
      <x:c r="C10" s="15" t="str">
        <x:v>Défini</x:v>
      </x:c>
      <x:c r="D10" s="17" t="str">
        <x:v>Extrapolation</x:v>
      </x:c>
      <x:c r="E10" s="17" t="str">
        <x:v>P0</x:v>
      </x:c>
      <x:c r="F10" s="7" t="str">
        <x:v>Mission originale d’adaptation, inspirée d’un enjeu général de l’œuvre.</x:v>
      </x:c>
      <x:c r="G10" s="7" t="str">
        <x:v>Créer un passage technique vers un périmètre proposé de Cerberus.</x:v>
      </x:c>
      <x:c r="H10" s="7" t="str">
        <x:v>Observer ronde, relayer l’alimentation puis franchir sans alerter toute l’installation.</x:v>
      </x:c>
      <x:c r="I10" s="7" t="str">
        <x:v>Objectif spatial associé à Périmètre du laboratoire proposé ; états non commencé/en cours/résolu distingués.</x:v>
      </x:c>
      <x:c r="J10" s="7" t="str">
        <x:v>Entrée contrôlée, actions de groupe et fin interruptible avant sauvegarde ; aucune animation ne décide seule du résultat.</x:v>
      </x:c>
      <x:c r="K10" s="7" t="str">
        <x:v>Briefing original concis ; changement de musique à la résolution d’objectif, pas après un délai arbitraire.</x:v>
      </x:c>
      <x:c r="L10" s="7" t="str">
        <x:v>quests/ret/access.json ; états offered/active/resolved ; clés de progression propres au module.</x:v>
      </x:c>
      <x:c r="M10" s="7" t="str">
        <x:v>L’organisation des salles est une création de niveau.</x:v>
      </x:c>
      <x:c r="N10" s="7" t="str">
        <x:v>Le joueur peut accomplir « Créer un passage technique vers un périmètre proposé de Cerberus. » et la sortie confirme le résultat ; L’organisation des salles est une création de niveau.</x:v>
      </x:c>
      <x:c r="O10" s="7" t="str">
        <x:v>RET-MAP-LAB</x:v>
      </x:c>
      <x:c r="P10" s="7" t="str"/>
      <x:c r="Q10" s="7" t="str"/>
      <x:c r="R10" s="7" t="str"/>
      <x:c r="S10" s="7" t="str"/>
    </x:row>
    <x:row r="11" ht="68" customHeight="1">
      <x:c r="A11" s="18" t="str">
        <x:v>RET-MIS-OBSERVE</x:v>
      </x:c>
      <x:c r="B11" s="9" t="str">
        <x:v>Distinguer signal et illusion</x:v>
      </x:c>
      <x:c r="C11" s="15" t="str">
        <x:v>Défini</x:v>
      </x:c>
      <x:c r="D11" s="16" t="str">
        <x:v>Extrapolation</x:v>
      </x:c>
      <x:c r="E11" s="16" t="str">
        <x:v>P0</x:v>
      </x:c>
      <x:c r="F11" s="9" t="str">
        <x:v>Mission originale d’adaptation, inspirée d’un enjeu général de l’œuvre.</x:v>
      </x:c>
      <x:c r="G11" s="9" t="str">
        <x:v>Lire des informations contradictoires dans une séquence subjective proposée.</x:v>
      </x:c>
      <x:c r="H11" s="9" t="str">
        <x:v>Comparer perception du personnage et mesures externes ; le journal garde les deux sans trancher trop tôt.</x:v>
      </x:c>
      <x:c r="I11" s="9" t="str">
        <x:v>Objectif spatial associé à Unité de confinement proposée ; états non commencé/en cours/résolu distingués.</x:v>
      </x:c>
      <x:c r="J11" s="9" t="str">
        <x:v>Entrée contrôlée, actions de groupe et fin interruptible avant sauvegarde ; aucune animation ne décide seule du résultat.</x:v>
      </x:c>
      <x:c r="K11" s="9" t="str">
        <x:v>Briefing original concis ; changement de musique à la résolution d’objectif, pas après un délai arbitraire.</x:v>
      </x:c>
      <x:c r="L11" s="9" t="str">
        <x:v>quests/ret/observe.json ; états offered/active/resolved ; clés de progression propres au module.</x:v>
      </x:c>
      <x:c r="M11" s="9" t="str">
        <x:v>Aucune option ne supprime définitivement le contrôle des Moissonneurs.</x:v>
      </x:c>
      <x:c r="N11" s="9" t="str">
        <x:v>Le joueur peut accomplir « Lire des informations contradictoires dans une séquence subjective proposée. » et la sortie confirme le résultat ; Aucune option ne supprime définitivement le contrôle des Moissonneurs.</x:v>
      </x:c>
      <x:c r="O11" s="9" t="str">
        <x:v>RET-MAP-HOLD</x:v>
      </x:c>
      <x:c r="P11" s="9" t="str"/>
      <x:c r="Q11" s="9" t="str"/>
      <x:c r="R11" s="9" t="str"/>
      <x:c r="S11" s="9" t="str"/>
    </x:row>
    <x:row r="12" ht="68" customHeight="1">
      <x:c r="A12" s="19" t="str">
        <x:v>RET-MIS-UNEASY</x:v>
      </x:c>
      <x:c r="B12" s="7" t="str">
        <x:v>Maintenir une coopération provisoire</x:v>
      </x:c>
      <x:c r="C12" s="15" t="str">
        <x:v>Défini</x:v>
      </x:c>
      <x:c r="D12" s="17" t="str">
        <x:v>Extrapolation</x:v>
      </x:c>
      <x:c r="E12" s="17" t="str">
        <x:v>P0</x:v>
      </x:c>
      <x:c r="F12" s="7" t="str">
        <x:v>Mission originale d’adaptation, inspirée d’un enjeu général de l’œuvre.</x:v>
      </x:c>
      <x:c r="G12" s="7" t="str">
        <x:v>Coordonner des acteurs dont les objectifs divergent pendant un transit.</x:v>
      </x:c>
      <x:c r="H12" s="7" t="str">
        <x:v>Définir qui surveille, qui pilote et qui vérifie la destination ; choix locaux réversibles.</x:v>
      </x:c>
      <x:c r="I12" s="7" t="str">
        <x:v>Objectif spatial associé à Navette sous tension ; états non commencé/en cours/résolu distingués.</x:v>
      </x:c>
      <x:c r="J12" s="7" t="str">
        <x:v>Entrée contrôlée, actions de groupe et fin interruptible avant sauvegarde ; aucune animation ne décide seule du résultat.</x:v>
      </x:c>
      <x:c r="K12" s="7" t="str">
        <x:v>Briefing original concis ; changement de musique à la résolution d’objectif, pas après un délai arbitraire.</x:v>
      </x:c>
      <x:c r="L12" s="7" t="str">
        <x:v>quests/ret/uneasy.json ; états offered/active/resolved ; clés de progression propres au module.</x:v>
      </x:c>
      <x:c r="M12" s="7" t="str">
        <x:v>Kai Leng n’est pas converti en compagnon fidèle.</x:v>
      </x:c>
      <x:c r="N12" s="7" t="str">
        <x:v>Le joueur peut accomplir « Coordonner des acteurs dont les objectifs divergent pendant un transit. » et la sortie confirme le résultat ; Kai Leng n’est pas converti en compagnon fidèle.</x:v>
      </x:c>
      <x:c r="O12" s="7" t="str">
        <x:v>RET-MAP-TRANSIT</x:v>
      </x:c>
      <x:c r="P12" s="7" t="str"/>
      <x:c r="Q12" s="7" t="str"/>
      <x:c r="R12" s="7" t="str"/>
      <x:c r="S12" s="7" t="str"/>
    </x:row>
    <x:row r="13" ht="68" customHeight="1">
      <x:c r="A13" s="18" t="str">
        <x:v>RET-MIS-SHELTER</x:v>
      </x:c>
      <x:c r="B13" s="9" t="str">
        <x:v>Garder l’académie ouverte aux secours</x:v>
      </x:c>
      <x:c r="C13" s="15" t="str">
        <x:v>Défini</x:v>
      </x:c>
      <x:c r="D13" s="16" t="str">
        <x:v>Extrapolation</x:v>
      </x:c>
      <x:c r="E13" s="16" t="str">
        <x:v>P0</x:v>
      </x:c>
      <x:c r="F13" s="9" t="str">
        <x:v>Mission originale d’adaptation, inspirée d’un enjeu général de l’œuvre.</x:v>
      </x:c>
      <x:c r="G13" s="9" t="str">
        <x:v>Créer une route de protection pour des élèves dans un secteur original.</x:v>
      </x:c>
      <x:c r="H13" s="9" t="str">
        <x:v>Couvrir les portes, guider les groupes et tenir le point de soins.</x:v>
      </x:c>
      <x:c r="I13" s="9" t="str">
        <x:v>Objectif spatial associé à Couloir pédagogique en crise ; états non commencé/en cours/résolu distingués.</x:v>
      </x:c>
      <x:c r="J13" s="9" t="str">
        <x:v>Entrée contrôlée, actions de groupe et fin interruptible avant sauvegarde ; aucune animation ne décide seule du résultat.</x:v>
      </x:c>
      <x:c r="K13" s="9" t="str">
        <x:v>Briefing original concis ; changement de musique à la résolution d’objectif, pas après un délai arbitraire.</x:v>
      </x:c>
      <x:c r="L13" s="9" t="str">
        <x:v>quests/ret/shelter.json ; états offered/active/resolved ; clés de progression propres au module.</x:v>
      </x:c>
      <x:c r="M13" s="9" t="str">
        <x:v>Les destins établis ne deviennent pas des récompenses de score.</x:v>
      </x:c>
      <x:c r="N13" s="9" t="str">
        <x:v>Le joueur peut accomplir « Créer une route de protection pour des élèves dans un secteur original. » et la sortie confirme le résultat ; Les destins établis ne deviennent pas des récompenses de score.</x:v>
      </x:c>
      <x:c r="O13" s="9" t="str">
        <x:v>RET-MAP-ACADEMY</x:v>
      </x:c>
      <x:c r="P13" s="9" t="str"/>
      <x:c r="Q13" s="9" t="str"/>
      <x:c r="R13" s="9" t="str"/>
      <x:c r="S13" s="9" t="str"/>
    </x:row>
    <x:row r="14" ht="68" customHeight="1">
      <x:c r="A14" s="19" t="str">
        <x:v>RET-MIS-REPORT</x:v>
      </x:c>
      <x:c r="B14" s="7" t="str">
        <x:v>Conserver le résultat de l’opération</x:v>
      </x:c>
      <x:c r="C14" s="15" t="str">
        <x:v>Défini</x:v>
      </x:c>
      <x:c r="D14" s="17" t="str">
        <x:v>Extrapolation</x:v>
      </x:c>
      <x:c r="E14" s="17" t="str">
        <x:v>P0</x:v>
      </x:c>
      <x:c r="F14" s="7" t="str">
        <x:v>Mission originale d’adaptation, inspirée d’un enjeu général de l’œuvre.</x:v>
      </x:c>
      <x:c r="G14" s="7" t="str">
        <x:v>Clore le module par un inventaire des faits utilisables.</x:v>
      </x:c>
      <x:c r="H14" s="7" t="str">
        <x:v>Séparer témoignage, mesure et hypothèse ; archiver sans divulguer les données hors contexte.</x:v>
      </x:c>
      <x:c r="I14" s="7" t="str">
        <x:v>Objectif spatial associé à Poste de consignation proposé ; états non commencé/en cours/résolu distingués.</x:v>
      </x:c>
      <x:c r="J14" s="7" t="str">
        <x:v>Entrée contrôlée, actions de groupe et fin interruptible avant sauvegarde ; aucune animation ne décide seule du résultat.</x:v>
      </x:c>
      <x:c r="K14" s="7" t="str">
        <x:v>Briefing original concis ; changement de musique à la résolution d’objectif, pas après un délai arbitraire.</x:v>
      </x:c>
      <x:c r="L14" s="7" t="str">
        <x:v>quests/ret/report.json ; états offered/active/resolved ; clés de progression propres au module.</x:v>
      </x:c>
      <x:c r="M14" s="7" t="str">
        <x:v>Préserver les états de Grayson, Nick et Kai Leng nécessaires à la suite.</x:v>
      </x:c>
      <x:c r="N14" s="7" t="str">
        <x:v>Le joueur peut accomplir « Clore le module par un inventaire des faits utilisables. » et la sortie confirme le résultat ; Préserver les états de Grayson, Nick et Kai Leng nécessaires à la suite.</x:v>
      </x:c>
      <x:c r="O14" s="7" t="str">
        <x:v>RET-MAP-ARCHIVE</x:v>
      </x:c>
      <x:c r="P14" s="7" t="str"/>
      <x:c r="Q14" s="7" t="str"/>
      <x:c r="R14" s="7" t="str"/>
      <x:c r="S14" s="7" t="str"/>
    </x:row>
  </x:sheetData>
  <x:conditionalFormatting sqref="D7:D14">
    <x:cfRule type="cellIs" dxfId="36" priority="1" operator="equal">
      <x:formula>"À vérifier"</x:formula>
    </x:cfRule>
    <x:cfRule type="cellIs" dxfId="37" priority="2" operator="equal">
      <x:formula>"Extrapolation"</x:formula>
    </x:cfRule>
  </x:conditionalFormatting>
  <x:conditionalFormatting sqref="C7:C14">
    <x:cfRule type="cellIs" dxfId="38" priority="3" operator="equal">
      <x:formula>"Validé"</x:formula>
    </x:cfRule>
  </x:conditionalFormatting>
  <x:conditionalFormatting sqref="E7:E14">
    <x:cfRule type="cellIs" dxfId="39"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74cf204f829643e4"/>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Retribution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RET-OPT-CONTRACT</x:v>
      </x:c>
      <x:c r="B7" s="9" t="str">
        <x:v>Évaluer un trajet de mission — tâche annexe</x:v>
      </x:c>
      <x:c r="C7" s="15" t="str">
        <x:v>Défini</x:v>
      </x:c>
      <x:c r="D7" s="16" t="str">
        <x:v>Extrapolation</x:v>
      </x:c>
      <x:c r="E7" s="16" t="str">
        <x:v>P1</x:v>
      </x:c>
      <x:c r="F7" s="9" t="str">
        <x:v>Objectif annexe créé pour l’adaptation.</x:v>
      </x:c>
      <x:c r="G7" s="9" t="str">
        <x:v>Retrouver un chargeur d’outil pour le dépôt de mission.</x:v>
      </x:c>
      <x:c r="H7" s="9" t="str">
        <x:v>Récompense proposée : renseignement de terrain, raccourci ou consommable local. Ne débloque aucun savoir anticipé sur la saga.</x:v>
      </x:c>
      <x:c r="I7" s="9" t="str">
        <x:v>Marqueur secondaire distinct du chemin critique et objet d’intérêt cadré lisiblement.</x:v>
      </x:c>
      <x:c r="J7" s="9" t="str">
        <x:v>Interaction brève réutilisant les poses du métier concerné, avec interruption possible.</x:v>
      </x:c>
      <x:c r="K7" s="9" t="str">
        <x:v>Petit signal de découverte ; résultat textuel consultable sans audio.</x:v>
      </x:c>
      <x:c r="L7" s="9" t="str">
        <x:v>optional.ret.contract ; persister done/skipped, récompenser une seule fois.</x:v>
      </x:c>
      <x:c r="M7" s="9" t="str">
        <x:v>Facultatif ; peut être ignoré sans bloquer la mission. Ne pas attribuer à Grayson un savoir qu’il n’a pas encore.</x:v>
      </x:c>
      <x:c r="N7" s="9" t="str">
        <x:v>Ignorer puis terminer la mission fonctionne ; compléter ne verse la récompense qu’une fois.</x:v>
      </x:c>
      <x:c r="O7" s="9" t="str">
        <x:v>RET-MIS-CONTRACT</x:v>
      </x:c>
      <x:c r="P7" s="9" t="str"/>
      <x:c r="Q7" s="9" t="str"/>
      <x:c r="R7" s="9" t="str"/>
      <x:c r="S7" s="9" t="str"/>
    </x:row>
    <x:row r="8" ht="54" customHeight="1">
      <x:c r="A8" s="19" t="str">
        <x:v>RET-OPT-MISSING</x:v>
      </x:c>
      <x:c r="B8" s="7" t="str">
        <x:v>Vérifier une disparition — tâche annexe</x:v>
      </x:c>
      <x:c r="C8" s="15" t="str">
        <x:v>Défini</x:v>
      </x:c>
      <x:c r="D8" s="17" t="str">
        <x:v>Extrapolation</x:v>
      </x:c>
      <x:c r="E8" s="17" t="str">
        <x:v>P1</x:v>
      </x:c>
      <x:c r="F8" s="7" t="str">
        <x:v>Objectif annexe créé pour l’adaptation.</x:v>
      </x:c>
      <x:c r="G8" s="7" t="str">
        <x:v>Récupérer un objet personnel destiné au registre de restitution.</x:v>
      </x:c>
      <x:c r="H8" s="7" t="str">
        <x:v>Récompense proposée : renseignement de terrain, raccourci ou consommable local. Ne débloque aucun savoir anticipé sur la saga.</x:v>
      </x:c>
      <x:c r="I8" s="7" t="str">
        <x:v>Marqueur secondaire distinct du chemin critique et objet d’intérêt cadré lisiblement.</x:v>
      </x:c>
      <x:c r="J8" s="7" t="str">
        <x:v>Interaction brève réutilisant les poses du métier concerné, avec interruption possible.</x:v>
      </x:c>
      <x:c r="K8" s="7" t="str">
        <x:v>Petit signal de découverte ; résultat textuel consultable sans audio.</x:v>
      </x:c>
      <x:c r="L8" s="7" t="str">
        <x:v>optional.ret.missing ; persister done/skipped, récompenser une seule fois.</x:v>
      </x:c>
      <x:c r="M8" s="7" t="str">
        <x:v>Facultatif ; peut être ignoré sans bloquer la mission. La capture de Grayson demeure un fait du récit.</x:v>
      </x:c>
      <x:c r="N8" s="7" t="str">
        <x:v>Ignorer puis terminer la mission fonctionne ; compléter ne verse la récompense qu’une fois.</x:v>
      </x:c>
      <x:c r="O8" s="7" t="str">
        <x:v>RET-MIS-MISSING</x:v>
      </x:c>
      <x:c r="P8" s="7" t="str"/>
      <x:c r="Q8" s="7" t="str"/>
      <x:c r="R8" s="7" t="str"/>
      <x:c r="S8" s="7" t="str"/>
    </x:row>
    <x:row r="9" ht="54" customHeight="1">
      <x:c r="A9" s="18" t="str">
        <x:v>RET-OPT-HELP</x:v>
      </x:c>
      <x:c r="B9" s="9" t="str">
        <x:v>Obtenir une assistance motivée — tâche annexe</x:v>
      </x:c>
      <x:c r="C9" s="15" t="str">
        <x:v>Défini</x:v>
      </x:c>
      <x:c r="D9" s="16" t="str">
        <x:v>Extrapolation</x:v>
      </x:c>
      <x:c r="E9" s="16" t="str">
        <x:v>P1</x:v>
      </x:c>
      <x:c r="F9" s="9" t="str">
        <x:v>Objectif annexe créé pour l’adaptation.</x:v>
      </x:c>
      <x:c r="G9" s="9" t="str">
        <x:v>Faire corriger une erreur d’index dans une pièce jointe fictive.</x:v>
      </x:c>
      <x:c r="H9" s="9" t="str">
        <x:v>Récompense proposée : renseignement de terrain, raccourci ou consommable local. Ne débloque aucun savoir anticipé sur la saga.</x:v>
      </x:c>
      <x:c r="I9" s="9" t="str">
        <x:v>Marqueur secondaire distinct du chemin critique et objet d’intérêt cadré lisiblement.</x:v>
      </x:c>
      <x:c r="J9" s="9" t="str">
        <x:v>Interaction brève réutilisant les poses du métier concerné, avec interruption possible.</x:v>
      </x:c>
      <x:c r="K9" s="9" t="str">
        <x:v>Petit signal de découverte ; résultat textuel consultable sans audio.</x:v>
      </x:c>
      <x:c r="L9" s="9" t="str">
        <x:v>optional.ret.help ; persister done/skipped, récompenser une seule fois.</x:v>
      </x:c>
      <x:c r="M9" s="9" t="str">
        <x:v>Facultatif ; peut être ignoré sans bloquer la mission. Le rôle d’Orinia reste limité à ce qui est attesté.</x:v>
      </x:c>
      <x:c r="N9" s="9" t="str">
        <x:v>Ignorer puis terminer la mission fonctionne ; compléter ne verse la récompense qu’une fois.</x:v>
      </x:c>
      <x:c r="O9" s="9" t="str">
        <x:v>RET-MIS-HELP</x:v>
      </x:c>
      <x:c r="P9" s="9" t="str"/>
      <x:c r="Q9" s="9" t="str"/>
      <x:c r="R9" s="9" t="str"/>
      <x:c r="S9" s="9" t="str"/>
    </x:row>
    <x:row r="10" ht="54" customHeight="1">
      <x:c r="A10" s="19" t="str">
        <x:v>RET-OPT-ACCESS</x:v>
      </x:c>
      <x:c r="B10" s="7" t="str">
        <x:v>Ouvrir une voie d’approche — tâche annexe</x:v>
      </x:c>
      <x:c r="C10" s="15" t="str">
        <x:v>Défini</x:v>
      </x:c>
      <x:c r="D10" s="17" t="str">
        <x:v>Extrapolation</x:v>
      </x:c>
      <x:c r="E10" s="17" t="str">
        <x:v>P1</x:v>
      </x:c>
      <x:c r="F10" s="7" t="str">
        <x:v>Objectif annexe créé pour l’adaptation.</x:v>
      </x:c>
      <x:c r="G10" s="7" t="str">
        <x:v>Désactiver une alarme secondaire pour faciliter le retour.</x:v>
      </x:c>
      <x:c r="H10" s="7" t="str">
        <x:v>Récompense proposée : renseignement de terrain, raccourci ou consommable local. Ne débloque aucun savoir anticipé sur la saga.</x:v>
      </x:c>
      <x:c r="I10" s="7" t="str">
        <x:v>Marqueur secondaire distinct du chemin critique et objet d’intérêt cadré lisiblement.</x:v>
      </x:c>
      <x:c r="J10" s="7" t="str">
        <x:v>Interaction brève réutilisant les poses du métier concerné, avec interruption possible.</x:v>
      </x:c>
      <x:c r="K10" s="7" t="str">
        <x:v>Petit signal de découverte ; résultat textuel consultable sans audio.</x:v>
      </x:c>
      <x:c r="L10" s="7" t="str">
        <x:v>optional.ret.access ; persister done/skipped, récompenser une seule fois.</x:v>
      </x:c>
      <x:c r="M10" s="7" t="str">
        <x:v>Facultatif ; peut être ignoré sans bloquer la mission. L’organisation des salles est une création de niveau.</x:v>
      </x:c>
      <x:c r="N10" s="7" t="str">
        <x:v>Ignorer puis terminer la mission fonctionne ; compléter ne verse la récompense qu’une fois.</x:v>
      </x:c>
      <x:c r="O10" s="7" t="str">
        <x:v>RET-MIS-ACCESS</x:v>
      </x:c>
      <x:c r="P10" s="7" t="str"/>
      <x:c r="Q10" s="7" t="str"/>
      <x:c r="R10" s="7" t="str"/>
      <x:c r="S10" s="7" t="str"/>
    </x:row>
    <x:row r="11" ht="54" customHeight="1">
      <x:c r="A11" s="18" t="str">
        <x:v>RET-OPT-OBSERVE</x:v>
      </x:c>
      <x:c r="B11" s="9" t="str">
        <x:v>Distinguer signal et illusion — tâche annexe</x:v>
      </x:c>
      <x:c r="C11" s="15" t="str">
        <x:v>Défini</x:v>
      </x:c>
      <x:c r="D11" s="16" t="str">
        <x:v>Extrapolation</x:v>
      </x:c>
      <x:c r="E11" s="16" t="str">
        <x:v>P1</x:v>
      </x:c>
      <x:c r="F11" s="9" t="str">
        <x:v>Objectif annexe créé pour l’adaptation.</x:v>
      </x:c>
      <x:c r="G11" s="9" t="str">
        <x:v>Identifier un défaut de capteur qui explique un faux signal local.</x:v>
      </x:c>
      <x:c r="H11" s="9" t="str">
        <x:v>Récompense proposée : renseignement de terrain, raccourci ou consommable local. Ne débloque aucun savoir anticipé sur la saga.</x:v>
      </x:c>
      <x:c r="I11" s="9" t="str">
        <x:v>Marqueur secondaire distinct du chemin critique et objet d’intérêt cadré lisiblement.</x:v>
      </x:c>
      <x:c r="J11" s="9" t="str">
        <x:v>Interaction brève réutilisant les poses du métier concerné, avec interruption possible.</x:v>
      </x:c>
      <x:c r="K11" s="9" t="str">
        <x:v>Petit signal de découverte ; résultat textuel consultable sans audio.</x:v>
      </x:c>
      <x:c r="L11" s="9" t="str">
        <x:v>optional.ret.observe ; persister done/skipped, récompenser une seule fois.</x:v>
      </x:c>
      <x:c r="M11" s="9" t="str">
        <x:v>Facultatif ; peut être ignoré sans bloquer la mission. Aucune option ne supprime définitivement le contrôle des Moissonneurs.</x:v>
      </x:c>
      <x:c r="N11" s="9" t="str">
        <x:v>Ignorer puis terminer la mission fonctionne ; compléter ne verse la récompense qu’une fois.</x:v>
      </x:c>
      <x:c r="O11" s="9" t="str">
        <x:v>RET-MIS-OBSERVE</x:v>
      </x:c>
      <x:c r="P11" s="9" t="str"/>
      <x:c r="Q11" s="9" t="str"/>
      <x:c r="R11" s="9" t="str"/>
      <x:c r="S11" s="9" t="str"/>
    </x:row>
    <x:row r="12" ht="54" customHeight="1">
      <x:c r="A12" s="19" t="str">
        <x:v>RET-OPT-UNEASY</x:v>
      </x:c>
      <x:c r="B12" s="7" t="str">
        <x:v>Maintenir une coopération provisoire — tâche annexe</x:v>
      </x:c>
      <x:c r="C12" s="15" t="str">
        <x:v>Défini</x:v>
      </x:c>
      <x:c r="D12" s="17" t="str">
        <x:v>Extrapolation</x:v>
      </x:c>
      <x:c r="E12" s="17" t="str">
        <x:v>P1</x:v>
      </x:c>
      <x:c r="F12" s="7" t="str">
        <x:v>Objectif annexe créé pour l’adaptation.</x:v>
      </x:c>
      <x:c r="G12" s="7" t="str">
        <x:v>Ranger le matériel pour rendre une trousse accessible.</x:v>
      </x:c>
      <x:c r="H12" s="7" t="str">
        <x:v>Récompense proposée : renseignement de terrain, raccourci ou consommable local. Ne débloque aucun savoir anticipé sur la saga.</x:v>
      </x:c>
      <x:c r="I12" s="7" t="str">
        <x:v>Marqueur secondaire distinct du chemin critique et objet d’intérêt cadré lisiblement.</x:v>
      </x:c>
      <x:c r="J12" s="7" t="str">
        <x:v>Interaction brève réutilisant les poses du métier concerné, avec interruption possible.</x:v>
      </x:c>
      <x:c r="K12" s="7" t="str">
        <x:v>Petit signal de découverte ; résultat textuel consultable sans audio.</x:v>
      </x:c>
      <x:c r="L12" s="7" t="str">
        <x:v>optional.ret.uneasy ; persister done/skipped, récompenser une seule fois.</x:v>
      </x:c>
      <x:c r="M12" s="7" t="str">
        <x:v>Facultatif ; peut être ignoré sans bloquer la mission. Kai Leng n’est pas converti en compagnon fidèle.</x:v>
      </x:c>
      <x:c r="N12" s="7" t="str">
        <x:v>Ignorer puis terminer la mission fonctionne ; compléter ne verse la récompense qu’une fois.</x:v>
      </x:c>
      <x:c r="O12" s="7" t="str">
        <x:v>RET-MIS-UNEASY</x:v>
      </x:c>
      <x:c r="P12" s="7" t="str"/>
      <x:c r="Q12" s="7" t="str"/>
      <x:c r="R12" s="7" t="str"/>
      <x:c r="S12" s="7" t="str"/>
    </x:row>
    <x:row r="13" ht="54" customHeight="1">
      <x:c r="A13" s="18" t="str">
        <x:v>RET-OPT-SHELTER</x:v>
      </x:c>
      <x:c r="B13" s="9" t="str">
        <x:v>Garder l’académie ouverte aux secours — tâche annexe</x:v>
      </x:c>
      <x:c r="C13" s="15" t="str">
        <x:v>Défini</x:v>
      </x:c>
      <x:c r="D13" s="16" t="str">
        <x:v>Extrapolation</x:v>
      </x:c>
      <x:c r="E13" s="16" t="str">
        <x:v>P1</x:v>
      </x:c>
      <x:c r="F13" s="9" t="str">
        <x:v>Objectif annexe créé pour l’adaptation.</x:v>
      </x:c>
      <x:c r="G13" s="9" t="str">
        <x:v>Récupérer le registre d’appel pour confirmer les personnes déjà à l’abri.</x:v>
      </x:c>
      <x:c r="H13" s="9" t="str">
        <x:v>Récompense proposée : renseignement de terrain, raccourci ou consommable local. Ne débloque aucun savoir anticipé sur la saga.</x:v>
      </x:c>
      <x:c r="I13" s="9" t="str">
        <x:v>Marqueur secondaire distinct du chemin critique et objet d’intérêt cadré lisiblement.</x:v>
      </x:c>
      <x:c r="J13" s="9" t="str">
        <x:v>Interaction brève réutilisant les poses du métier concerné, avec interruption possible.</x:v>
      </x:c>
      <x:c r="K13" s="9" t="str">
        <x:v>Petit signal de découverte ; résultat textuel consultable sans audio.</x:v>
      </x:c>
      <x:c r="L13" s="9" t="str">
        <x:v>optional.ret.shelter ; persister done/skipped, récompenser une seule fois.</x:v>
      </x:c>
      <x:c r="M13" s="9" t="str">
        <x:v>Facultatif ; peut être ignoré sans bloquer la mission. Les destins établis ne deviennent pas des récompenses de score.</x:v>
      </x:c>
      <x:c r="N13" s="9" t="str">
        <x:v>Ignorer puis terminer la mission fonctionne ; compléter ne verse la récompense qu’une fois.</x:v>
      </x:c>
      <x:c r="O13" s="9" t="str">
        <x:v>RET-MIS-SHELTER</x:v>
      </x:c>
      <x:c r="P13" s="9" t="str"/>
      <x:c r="Q13" s="9" t="str"/>
      <x:c r="R13" s="9" t="str"/>
      <x:c r="S13" s="9" t="str"/>
    </x:row>
    <x:row r="14" ht="54" customHeight="1">
      <x:c r="A14" s="19" t="str">
        <x:v>RET-OPT-REPORT</x:v>
      </x:c>
      <x:c r="B14" s="7" t="str">
        <x:v>Conserver le résultat de l’opération — tâche annexe</x:v>
      </x:c>
      <x:c r="C14" s="15" t="str">
        <x:v>Défini</x:v>
      </x:c>
      <x:c r="D14" s="17" t="str">
        <x:v>Extrapolation</x:v>
      </x:c>
      <x:c r="E14" s="17" t="str">
        <x:v>P1</x:v>
      </x:c>
      <x:c r="F14" s="7" t="str">
        <x:v>Objectif annexe créé pour l’adaptation.</x:v>
      </x:c>
      <x:c r="G14" s="7" t="str">
        <x:v>Restituer un objet à l’équipe pédagogique dans une scène originale.</x:v>
      </x:c>
      <x:c r="H14" s="7" t="str">
        <x:v>Récompense proposée : renseignement de terrain, raccourci ou consommable local. Ne débloque aucun savoir anticipé sur la saga.</x:v>
      </x:c>
      <x:c r="I14" s="7" t="str">
        <x:v>Marqueur secondaire distinct du chemin critique et objet d’intérêt cadré lisiblement.</x:v>
      </x:c>
      <x:c r="J14" s="7" t="str">
        <x:v>Interaction brève réutilisant les poses du métier concerné, avec interruption possible.</x:v>
      </x:c>
      <x:c r="K14" s="7" t="str">
        <x:v>Petit signal de découverte ; résultat textuel consultable sans audio.</x:v>
      </x:c>
      <x:c r="L14" s="7" t="str">
        <x:v>optional.ret.report ; persister done/skipped, récompenser une seule fois.</x:v>
      </x:c>
      <x:c r="M14" s="7" t="str">
        <x:v>Facultatif ; peut être ignoré sans bloquer la mission. Préserver les états de Grayson, Nick et Kai Leng nécessaires à la suite.</x:v>
      </x:c>
      <x:c r="N14" s="7" t="str">
        <x:v>Ignorer puis terminer la mission fonctionne ; compléter ne verse la récompense qu’une fois.</x:v>
      </x:c>
      <x:c r="O14" s="7" t="str">
        <x:v>RET-MIS-REPORT</x:v>
      </x:c>
      <x:c r="P14" s="7" t="str"/>
      <x:c r="Q14" s="7" t="str"/>
      <x:c r="R14" s="7" t="str"/>
      <x:c r="S14" s="7" t="str"/>
    </x:row>
  </x:sheetData>
  <x:conditionalFormatting sqref="D7:D14">
    <x:cfRule type="cellIs" dxfId="40" priority="1" operator="equal">
      <x:formula>"À vérifier"</x:formula>
    </x:cfRule>
    <x:cfRule type="cellIs" dxfId="41" priority="2" operator="equal">
      <x:formula>"Extrapolation"</x:formula>
    </x:cfRule>
  </x:conditionalFormatting>
  <x:conditionalFormatting sqref="C7:C14">
    <x:cfRule type="cellIs" dxfId="42" priority="3" operator="equal">
      <x:formula>"Validé"</x:formula>
    </x:cfRule>
  </x:conditionalFormatting>
  <x:conditionalFormatting sqref="E7:E14">
    <x:cfRule type="cellIs" dxfId="43"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2a59818e5650476f"/>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Retribution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RET-CHO-CONTRACT</x:v>
      </x:c>
      <x:c r="B7" s="9" t="str">
        <x:v>Évaluer un trajet de mission — méthode optionnelle</x:v>
      </x:c>
      <x:c r="C7" s="15" t="str">
        <x:v>Défini</x:v>
      </x:c>
      <x:c r="D7" s="16" t="str">
        <x:v>Extrapolation</x:v>
      </x:c>
      <x:c r="E7" s="16" t="str">
        <x:v>P1</x:v>
      </x:c>
      <x:c r="F7" s="9" t="str">
        <x:v>Bifurcation locale originale ; elle ne crée pas une autre fin officielle.</x:v>
      </x:c>
      <x:c r="G7" s="9" t="str">
        <x:v>Passage couvert long ou traversée rapide avec observation préalable.</x:v>
      </x:c>
      <x:c r="H7" s="9" t="str">
        <x:v>Afficher coût, bénéfice local et condition de retour avant validation ; deux méthodes rejoignent le même verrou de continuité.</x:v>
      </x:c>
      <x:c r="I7" s="9" t="str">
        <x:v>Libellés d’action concrets ; symbole d’effet local ; aucune option désactivée sans motif.</x:v>
      </x:c>
      <x:c r="J7" s="9" t="str">
        <x:v>Réaction courte du groupe ; reprise immédiate des contrôles après résultat.</x:v>
      </x:c>
      <x:c r="K7" s="9" t="str">
        <x:v>Confirmation discrète ; lecture du résultat disponible dans le journal.</x:v>
      </x:c>
      <x:c r="L7" s="9" t="str">
        <x:v>choice.ret.contract ; stocker la méthode et le coût, jamais une réécriture d’événement source.</x:v>
      </x:c>
      <x:c r="M7" s="9" t="str">
        <x:v>Ne pas attribuer à Grayson un savoir qu’il n’a pas encore.</x:v>
      </x:c>
      <x:c r="N7" s="9" t="str">
        <x:v>Les deux branches sont atteignables ; l’état canonique final du module est identique.</x:v>
      </x:c>
      <x:c r="O7" s="9" t="str">
        <x:v>RET-MIS-CONTRACT</x:v>
      </x:c>
      <x:c r="P7" s="9" t="str"/>
      <x:c r="Q7" s="9" t="str"/>
      <x:c r="R7" s="9" t="str"/>
      <x:c r="S7" s="9" t="str"/>
    </x:row>
    <x:row r="8" ht="54" customHeight="1">
      <x:c r="A8" s="19" t="str">
        <x:v>RET-CHO-MISSING</x:v>
      </x:c>
      <x:c r="B8" s="7" t="str">
        <x:v>Vérifier une disparition — méthode optionnelle</x:v>
      </x:c>
      <x:c r="C8" s="15" t="str">
        <x:v>Défini</x:v>
      </x:c>
      <x:c r="D8" s="17" t="str">
        <x:v>Extrapolation</x:v>
      </x:c>
      <x:c r="E8" s="17" t="str">
        <x:v>P1</x:v>
      </x:c>
      <x:c r="F8" s="7" t="str">
        <x:v>Bifurcation locale originale ; elle ne crée pas une autre fin officielle.</x:v>
      </x:c>
      <x:c r="G8" s="7" t="str">
        <x:v>Interroger un témoin original ou relever les capteurs ; même conclusion locale.</x:v>
      </x:c>
      <x:c r="H8" s="7" t="str">
        <x:v>Afficher coût, bénéfice local et condition de retour avant validation ; deux méthodes rejoignent le même verrou de continuité.</x:v>
      </x:c>
      <x:c r="I8" s="7" t="str">
        <x:v>Libellés d’action concrets ; symbole d’effet local ; aucune option désactivée sans motif.</x:v>
      </x:c>
      <x:c r="J8" s="7" t="str">
        <x:v>Réaction courte du groupe ; reprise immédiate des contrôles après résultat.</x:v>
      </x:c>
      <x:c r="K8" s="7" t="str">
        <x:v>Confirmation discrète ; lecture du résultat disponible dans le journal.</x:v>
      </x:c>
      <x:c r="L8" s="7" t="str">
        <x:v>choice.ret.missing ; stocker la méthode et le coût, jamais une réécriture d’événement source.</x:v>
      </x:c>
      <x:c r="M8" s="7" t="str">
        <x:v>La capture de Grayson demeure un fait du récit.</x:v>
      </x:c>
      <x:c r="N8" s="7" t="str">
        <x:v>Les deux branches sont atteignables ; l’état canonique final du module est identique.</x:v>
      </x:c>
      <x:c r="O8" s="7" t="str">
        <x:v>RET-MIS-MISSING</x:v>
      </x:c>
      <x:c r="P8" s="7" t="str"/>
      <x:c r="Q8" s="7" t="str"/>
      <x:c r="R8" s="7" t="str"/>
      <x:c r="S8" s="7" t="str"/>
    </x:row>
    <x:row r="9" ht="54" customHeight="1">
      <x:c r="A9" s="18" t="str">
        <x:v>RET-CHO-HELP</x:v>
      </x:c>
      <x:c r="B9" s="9" t="str">
        <x:v>Obtenir une assistance motivée — méthode optionnelle</x:v>
      </x:c>
      <x:c r="C9" s="15" t="str">
        <x:v>Défini</x:v>
      </x:c>
      <x:c r="D9" s="16" t="str">
        <x:v>Extrapolation</x:v>
      </x:c>
      <x:c r="E9" s="16" t="str">
        <x:v>P1</x:v>
      </x:c>
      <x:c r="F9" s="9" t="str">
        <x:v>Bifurcation locale originale ; elle ne crée pas une autre fin officielle.</x:v>
      </x:c>
      <x:c r="G9" s="9" t="str">
        <x:v>Exposé technique ou requête humanitaire ; aucune influence universelle gagnée.</x:v>
      </x:c>
      <x:c r="H9" s="9" t="str">
        <x:v>Afficher coût, bénéfice local et condition de retour avant validation ; deux méthodes rejoignent le même verrou de continuité.</x:v>
      </x:c>
      <x:c r="I9" s="9" t="str">
        <x:v>Libellés d’action concrets ; symbole d’effet local ; aucune option désactivée sans motif.</x:v>
      </x:c>
      <x:c r="J9" s="9" t="str">
        <x:v>Réaction courte du groupe ; reprise immédiate des contrôles après résultat.</x:v>
      </x:c>
      <x:c r="K9" s="9" t="str">
        <x:v>Confirmation discrète ; lecture du résultat disponible dans le journal.</x:v>
      </x:c>
      <x:c r="L9" s="9" t="str">
        <x:v>choice.ret.help ; stocker la méthode et le coût, jamais une réécriture d’événement source.</x:v>
      </x:c>
      <x:c r="M9" s="9" t="str">
        <x:v>Le rôle d’Orinia reste limité à ce qui est attesté.</x:v>
      </x:c>
      <x:c r="N9" s="9" t="str">
        <x:v>Les deux branches sont atteignables ; l’état canonique final du module est identique.</x:v>
      </x:c>
      <x:c r="O9" s="9" t="str">
        <x:v>RET-MIS-HELP</x:v>
      </x:c>
      <x:c r="P9" s="9" t="str"/>
      <x:c r="Q9" s="9" t="str"/>
      <x:c r="R9" s="9" t="str"/>
      <x:c r="S9" s="9" t="str"/>
    </x:row>
    <x:row r="10" ht="54" customHeight="1">
      <x:c r="A10" s="19" t="str">
        <x:v>RET-CHO-ACCESS</x:v>
      </x:c>
      <x:c r="B10" s="7" t="str">
        <x:v>Ouvrir une voie d’approche — méthode optionnelle</x:v>
      </x:c>
      <x:c r="C10" s="15" t="str">
        <x:v>Défini</x:v>
      </x:c>
      <x:c r="D10" s="17" t="str">
        <x:v>Extrapolation</x:v>
      </x:c>
      <x:c r="E10" s="17" t="str">
        <x:v>P1</x:v>
      </x:c>
      <x:c r="F10" s="7" t="str">
        <x:v>Bifurcation locale originale ; elle ne crée pas une autre fin officielle.</x:v>
      </x:c>
      <x:c r="G10" s="7" t="str">
        <x:v>Brouiller un capteur ou isoler la porte ; ressources différentes.</x:v>
      </x:c>
      <x:c r="H10" s="7" t="str">
        <x:v>Afficher coût, bénéfice local et condition de retour avant validation ; deux méthodes rejoignent le même verrou de continuité.</x:v>
      </x:c>
      <x:c r="I10" s="7" t="str">
        <x:v>Libellés d’action concrets ; symbole d’effet local ; aucune option désactivée sans motif.</x:v>
      </x:c>
      <x:c r="J10" s="7" t="str">
        <x:v>Réaction courte du groupe ; reprise immédiate des contrôles après résultat.</x:v>
      </x:c>
      <x:c r="K10" s="7" t="str">
        <x:v>Confirmation discrète ; lecture du résultat disponible dans le journal.</x:v>
      </x:c>
      <x:c r="L10" s="7" t="str">
        <x:v>choice.ret.access ; stocker la méthode et le coût, jamais une réécriture d’événement source.</x:v>
      </x:c>
      <x:c r="M10" s="7" t="str">
        <x:v>L’organisation des salles est une création de niveau.</x:v>
      </x:c>
      <x:c r="N10" s="7" t="str">
        <x:v>Les deux branches sont atteignables ; l’état canonique final du module est identique.</x:v>
      </x:c>
      <x:c r="O10" s="7" t="str">
        <x:v>RET-MIS-ACCESS</x:v>
      </x:c>
      <x:c r="P10" s="7" t="str"/>
      <x:c r="Q10" s="7" t="str"/>
      <x:c r="R10" s="7" t="str"/>
      <x:c r="S10" s="7" t="str"/>
    </x:row>
    <x:row r="11" ht="54" customHeight="1">
      <x:c r="A11" s="18" t="str">
        <x:v>RET-CHO-OBSERVE</x:v>
      </x:c>
      <x:c r="B11" s="9" t="str">
        <x:v>Distinguer signal et illusion — méthode optionnelle</x:v>
      </x:c>
      <x:c r="C11" s="15" t="str">
        <x:v>Défini</x:v>
      </x:c>
      <x:c r="D11" s="16" t="str">
        <x:v>Extrapolation</x:v>
      </x:c>
      <x:c r="E11" s="16" t="str">
        <x:v>P1</x:v>
      </x:c>
      <x:c r="F11" s="9" t="str">
        <x:v>Bifurcation locale originale ; elle ne crée pas une autre fin officielle.</x:v>
      </x:c>
      <x:c r="G11" s="9" t="str">
        <x:v>Inspection visuelle assistée ou demande de confirmation à distance.</x:v>
      </x:c>
      <x:c r="H11" s="9" t="str">
        <x:v>Afficher coût, bénéfice local et condition de retour avant validation ; deux méthodes rejoignent le même verrou de continuité.</x:v>
      </x:c>
      <x:c r="I11" s="9" t="str">
        <x:v>Libellés d’action concrets ; symbole d’effet local ; aucune option désactivée sans motif.</x:v>
      </x:c>
      <x:c r="J11" s="9" t="str">
        <x:v>Réaction courte du groupe ; reprise immédiate des contrôles après résultat.</x:v>
      </x:c>
      <x:c r="K11" s="9" t="str">
        <x:v>Confirmation discrète ; lecture du résultat disponible dans le journal.</x:v>
      </x:c>
      <x:c r="L11" s="9" t="str">
        <x:v>choice.ret.observe ; stocker la méthode et le coût, jamais une réécriture d’événement source.</x:v>
      </x:c>
      <x:c r="M11" s="9" t="str">
        <x:v>Aucune option ne supprime définitivement le contrôle des Moissonneurs.</x:v>
      </x:c>
      <x:c r="N11" s="9" t="str">
        <x:v>Les deux branches sont atteignables ; l’état canonique final du module est identique.</x:v>
      </x:c>
      <x:c r="O11" s="9" t="str">
        <x:v>RET-MIS-OBSERVE</x:v>
      </x:c>
      <x:c r="P11" s="9" t="str"/>
      <x:c r="Q11" s="9" t="str"/>
      <x:c r="R11" s="9" t="str"/>
      <x:c r="S11" s="9" t="str"/>
    </x:row>
    <x:row r="12" ht="54" customHeight="1">
      <x:c r="A12" s="19" t="str">
        <x:v>RET-CHO-UNEASY</x:v>
      </x:c>
      <x:c r="B12" s="7" t="str">
        <x:v>Maintenir une coopération provisoire — méthode optionnelle</x:v>
      </x:c>
      <x:c r="C12" s="15" t="str">
        <x:v>Défini</x:v>
      </x:c>
      <x:c r="D12" s="17" t="str">
        <x:v>Extrapolation</x:v>
      </x:c>
      <x:c r="E12" s="17" t="str">
        <x:v>P1</x:v>
      </x:c>
      <x:c r="F12" s="7" t="str">
        <x:v>Bifurcation locale originale ; elle ne crée pas une autre fin officielle.</x:v>
      </x:c>
      <x:c r="G12" s="7" t="str">
        <x:v>Priorité à l’information ou à la sécurité immédiate.</x:v>
      </x:c>
      <x:c r="H12" s="7" t="str">
        <x:v>Afficher coût, bénéfice local et condition de retour avant validation ; deux méthodes rejoignent le même verrou de continuité.</x:v>
      </x:c>
      <x:c r="I12" s="7" t="str">
        <x:v>Libellés d’action concrets ; symbole d’effet local ; aucune option désactivée sans motif.</x:v>
      </x:c>
      <x:c r="J12" s="7" t="str">
        <x:v>Réaction courte du groupe ; reprise immédiate des contrôles après résultat.</x:v>
      </x:c>
      <x:c r="K12" s="7" t="str">
        <x:v>Confirmation discrète ; lecture du résultat disponible dans le journal.</x:v>
      </x:c>
      <x:c r="L12" s="7" t="str">
        <x:v>choice.ret.uneasy ; stocker la méthode et le coût, jamais une réécriture d’événement source.</x:v>
      </x:c>
      <x:c r="M12" s="7" t="str">
        <x:v>Kai Leng n’est pas converti en compagnon fidèle.</x:v>
      </x:c>
      <x:c r="N12" s="7" t="str">
        <x:v>Les deux branches sont atteignables ; l’état canonique final du module est identique.</x:v>
      </x:c>
      <x:c r="O12" s="7" t="str">
        <x:v>RET-MIS-UNEASY</x:v>
      </x:c>
      <x:c r="P12" s="7" t="str"/>
      <x:c r="Q12" s="7" t="str"/>
      <x:c r="R12" s="7" t="str"/>
      <x:c r="S12" s="7" t="str"/>
    </x:row>
    <x:row r="13" ht="54" customHeight="1">
      <x:c r="A13" s="18" t="str">
        <x:v>RET-CHO-SHELTER</x:v>
      </x:c>
      <x:c r="B13" s="9" t="str">
        <x:v>Garder l’académie ouverte aux secours — méthode optionnelle</x:v>
      </x:c>
      <x:c r="C13" s="15" t="str">
        <x:v>Défini</x:v>
      </x:c>
      <x:c r="D13" s="16" t="str">
        <x:v>Extrapolation</x:v>
      </x:c>
      <x:c r="E13" s="16" t="str">
        <x:v>P1</x:v>
      </x:c>
      <x:c r="F13" s="9" t="str">
        <x:v>Bifurcation locale originale ; elle ne crée pas une autre fin officielle.</x:v>
      </x:c>
      <x:c r="G13" s="9" t="str">
        <x:v>Évacuation par classes ou par ailes ; même population narrative à la sortie.</x:v>
      </x:c>
      <x:c r="H13" s="9" t="str">
        <x:v>Afficher coût, bénéfice local et condition de retour avant validation ; deux méthodes rejoignent le même verrou de continuité.</x:v>
      </x:c>
      <x:c r="I13" s="9" t="str">
        <x:v>Libellés d’action concrets ; symbole d’effet local ; aucune option désactivée sans motif.</x:v>
      </x:c>
      <x:c r="J13" s="9" t="str">
        <x:v>Réaction courte du groupe ; reprise immédiate des contrôles après résultat.</x:v>
      </x:c>
      <x:c r="K13" s="9" t="str">
        <x:v>Confirmation discrète ; lecture du résultat disponible dans le journal.</x:v>
      </x:c>
      <x:c r="L13" s="9" t="str">
        <x:v>choice.ret.shelter ; stocker la méthode et le coût, jamais une réécriture d’événement source.</x:v>
      </x:c>
      <x:c r="M13" s="9" t="str">
        <x:v>Les destins établis ne deviennent pas des récompenses de score.</x:v>
      </x:c>
      <x:c r="N13" s="9" t="str">
        <x:v>Les deux branches sont atteignables ; l’état canonique final du module est identique.</x:v>
      </x:c>
      <x:c r="O13" s="9" t="str">
        <x:v>RET-MIS-SHELTER</x:v>
      </x:c>
      <x:c r="P13" s="9" t="str"/>
      <x:c r="Q13" s="9" t="str"/>
      <x:c r="R13" s="9" t="str"/>
      <x:c r="S13" s="9" t="str"/>
    </x:row>
    <x:row r="14" ht="54" customHeight="1">
      <x:c r="A14" s="19" t="str">
        <x:v>RET-CHO-REPORT</x:v>
      </x:c>
      <x:c r="B14" s="7" t="str">
        <x:v>Conserver le résultat de l’opération — méthode optionnelle</x:v>
      </x:c>
      <x:c r="C14" s="15" t="str">
        <x:v>Défini</x:v>
      </x:c>
      <x:c r="D14" s="17" t="str">
        <x:v>Extrapolation</x:v>
      </x:c>
      <x:c r="E14" s="17" t="str">
        <x:v>P1</x:v>
      </x:c>
      <x:c r="F14" s="7" t="str">
        <x:v>Bifurcation locale originale ; elle ne crée pas une autre fin officielle.</x:v>
      </x:c>
      <x:c r="G14" s="7" t="str">
        <x:v>Rapport concis ou dossier annoté ; même état de continuité.</x:v>
      </x:c>
      <x:c r="H14" s="7" t="str">
        <x:v>Afficher coût, bénéfice local et condition de retour avant validation ; deux méthodes rejoignent le même verrou de continuité.</x:v>
      </x:c>
      <x:c r="I14" s="7" t="str">
        <x:v>Libellés d’action concrets ; symbole d’effet local ; aucune option désactivée sans motif.</x:v>
      </x:c>
      <x:c r="J14" s="7" t="str">
        <x:v>Réaction courte du groupe ; reprise immédiate des contrôles après résultat.</x:v>
      </x:c>
      <x:c r="K14" s="7" t="str">
        <x:v>Confirmation discrète ; lecture du résultat disponible dans le journal.</x:v>
      </x:c>
      <x:c r="L14" s="7" t="str">
        <x:v>choice.ret.report ; stocker la méthode et le coût, jamais une réécriture d’événement source.</x:v>
      </x:c>
      <x:c r="M14" s="7" t="str">
        <x:v>Préserver les états de Grayson, Nick et Kai Leng nécessaires à la suite.</x:v>
      </x:c>
      <x:c r="N14" s="7" t="str">
        <x:v>Les deux branches sont atteignables ; l’état canonique final du module est identique.</x:v>
      </x:c>
      <x:c r="O14" s="7" t="str">
        <x:v>RET-MIS-REPORT</x:v>
      </x:c>
      <x:c r="P14" s="7" t="str"/>
      <x:c r="Q14" s="7" t="str"/>
      <x:c r="R14" s="7" t="str"/>
      <x:c r="S14" s="7" t="str"/>
    </x:row>
  </x:sheetData>
  <x:conditionalFormatting sqref="D7:D14">
    <x:cfRule type="cellIs" dxfId="44" priority="1" operator="equal">
      <x:formula>"À vérifier"</x:formula>
    </x:cfRule>
    <x:cfRule type="cellIs" dxfId="45" priority="2" operator="equal">
      <x:formula>"Extrapolation"</x:formula>
    </x:cfRule>
  </x:conditionalFormatting>
  <x:conditionalFormatting sqref="C7:C14">
    <x:cfRule type="cellIs" dxfId="46" priority="3" operator="equal">
      <x:formula>"Validé"</x:formula>
    </x:cfRule>
  </x:conditionalFormatting>
  <x:conditionalFormatting sqref="E7:E14">
    <x:cfRule type="cellIs" dxfId="47"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e8461671a0eb4a24"/>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Retribution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RET-DIA-GRAYSON</x:v>
      </x:c>
      <x:c r="B7" s="9" t="str">
        <x:v>Paul Grayson — échange : identité et perte de contrôle</x:v>
      </x:c>
      <x:c r="C7" s="15" t="str">
        <x:v>Défini</x:v>
      </x:c>
      <x:c r="D7" s="16" t="str">
        <x:v>Extrapolation</x:v>
      </x:c>
      <x:c r="E7" s="16" t="str">
        <x:v>P1</x:v>
      </x:c>
      <x:c r="F7" s="9" t="str">
        <x:v>Dialogue original à écrire, sans reproduire les répliques de la publication.</x:v>
      </x:c>
      <x:c r="G7" s="9" t="str">
        <x:v>Intentions : aborder identité et perte de contrôle, poser une question de clarification, puis revenir à l’objectif local.</x:v>
      </x:c>
      <x:c r="H7" s="9" t="str">
        <x:v>Trois intentions proposées : demander un fait, exprimer une réserve, clore. Débloquer un indice local sans imposer une opinion au joueur.</x:v>
      </x:c>
      <x:c r="I7" s="9" t="str">
        <x:v>Portrait Paul Grayson, interlocuteur actif et indication de la personne qui connaît le fait.</x:v>
      </x:c>
      <x:c r="J7" s="9" t="str">
        <x:v>Pose d’écoute puis réaction sobre ; ne pas boucler une émotion pendant une pause de lecture.</x:v>
      </x:c>
      <x:c r="K7" s="9" t="str">
        <x:v>Texte intégral affiché ; éventuelle voix originale avec débit réglable, sans imitation du casting.</x:v>
      </x:c>
      <x:c r="L7" s="9" t="str">
        <x:v>Dialogue graph ret.grayson.identite-et-perte-de-controle ; drapeaux de connaissance locaux.</x:v>
      </x:c>
      <x:c r="M7" s="9" t="str">
        <x:v>Préserver le parcours de Grayson et les états nécessaires à Deception et ME3. Les rencontres proposées n’offrent ni guérison canonique de Grayson ni élimination définitive de Kai Leng.</x:v>
      </x:c>
      <x:c r="N7" s="9" t="str">
        <x:v>Aucune option ne révèle un savoir futur ; quitter puis reprendre conserve les sujets déjà abordés.</x:v>
      </x:c>
      <x:c r="O7" s="9" t="str">
        <x:v>RET-CHR-GRAYSON</x:v>
      </x:c>
      <x:c r="P7" s="9" t="str"/>
      <x:c r="Q7" s="9" t="str"/>
      <x:c r="R7" s="9" t="str"/>
      <x:c r="S7" s="9" t="str">
        <x:v>Sujet et intentions sont du design original, pas une transcription.</x:v>
      </x:c>
    </x:row>
    <x:row r="8" ht="68" customHeight="1">
      <x:c r="A8" s="19" t="str">
        <x:v>RET-DIA-KAHLEE</x:v>
      </x:c>
      <x:c r="B8" s="7" t="str">
        <x:v>Kahlee Sanders — échange : urgence et responsabilité envers Grayson</x:v>
      </x:c>
      <x:c r="C8" s="15" t="str">
        <x:v>Défini</x:v>
      </x:c>
      <x:c r="D8" s="17" t="str">
        <x:v>Extrapolation</x:v>
      </x:c>
      <x:c r="E8" s="17" t="str">
        <x:v>P1</x:v>
      </x:c>
      <x:c r="F8" s="7" t="str">
        <x:v>Dialogue original à écrire, sans reproduire les répliques de la publication.</x:v>
      </x:c>
      <x:c r="G8" s="7" t="str">
        <x:v>Intentions : aborder urgence et responsabilité envers Grayson, poser une question de clarification, puis revenir à l’objectif local.</x:v>
      </x:c>
      <x:c r="H8" s="7" t="str">
        <x:v>Trois intentions proposées : demander un fait, exprimer une réserve, clore. Débloquer un indice local sans imposer une opinion au joueur.</x:v>
      </x:c>
      <x:c r="I8" s="7" t="str">
        <x:v>Portrait Kahlee Sanders, interlocuteur actif et indication de la personne qui connaît le fait.</x:v>
      </x:c>
      <x:c r="J8" s="7" t="str">
        <x:v>Pose d’écoute puis réaction sobre ; ne pas boucler une émotion pendant une pause de lecture.</x:v>
      </x:c>
      <x:c r="K8" s="7" t="str">
        <x:v>Texte intégral affiché ; éventuelle voix originale avec débit réglable, sans imitation du casting.</x:v>
      </x:c>
      <x:c r="L8" s="7" t="str">
        <x:v>Dialogue graph ret.kahlee.urgence-et-responsabilite-envers-grayson ; drapeaux de connaissance locaux.</x:v>
      </x:c>
      <x:c r="M8" s="7" t="str">
        <x:v>Préserver le parcours de Grayson et les états nécessaires à Deception et ME3. Les rencontres proposées n’offrent ni guérison canonique de Grayson ni élimination définitive de Kai Leng.</x:v>
      </x:c>
      <x:c r="N8" s="7" t="str">
        <x:v>Aucune option ne révèle un savoir futur ; quitter puis reprendre conserve les sujets déjà abordés.</x:v>
      </x:c>
      <x:c r="O8" s="7" t="str">
        <x:v>RET-CHR-KAHLEE</x:v>
      </x:c>
      <x:c r="P8" s="7" t="str"/>
      <x:c r="Q8" s="7" t="str"/>
      <x:c r="R8" s="7" t="str"/>
      <x:c r="S8" s="7" t="str">
        <x:v>Sujet et intentions sont du design original, pas une transcription.</x:v>
      </x:c>
    </x:row>
    <x:row r="9" ht="68" customHeight="1">
      <x:c r="A9" s="18" t="str">
        <x:v>RET-DIA-ANDERSON</x:v>
      </x:c>
      <x:c r="B9" s="9" t="str">
        <x:v>David Anderson — échange : limites d’une opération de sauvetage</x:v>
      </x:c>
      <x:c r="C9" s="15" t="str">
        <x:v>Défini</x:v>
      </x:c>
      <x:c r="D9" s="16" t="str">
        <x:v>Extrapolation</x:v>
      </x:c>
      <x:c r="E9" s="16" t="str">
        <x:v>P1</x:v>
      </x:c>
      <x:c r="F9" s="9" t="str">
        <x:v>Dialogue original à écrire, sans reproduire les répliques de la publication.</x:v>
      </x:c>
      <x:c r="G9" s="9" t="str">
        <x:v>Intentions : aborder limites d’une opération de sauvetage, poser une question de clarification, puis revenir à l’objectif local.</x:v>
      </x:c>
      <x:c r="H9" s="9" t="str">
        <x:v>Trois intentions proposées : demander un fait, exprimer une réserve, clore. Débloquer un indice local sans imposer une opinion au joueur.</x:v>
      </x:c>
      <x:c r="I9" s="9" t="str">
        <x:v>Portrait David Anderson, interlocuteur actif et indication de la personne qui connaît le fait.</x:v>
      </x:c>
      <x:c r="J9" s="9" t="str">
        <x:v>Pose d’écoute puis réaction sobre ; ne pas boucler une émotion pendant une pause de lecture.</x:v>
      </x:c>
      <x:c r="K9" s="9" t="str">
        <x:v>Texte intégral affiché ; éventuelle voix originale avec débit réglable, sans imitation du casting.</x:v>
      </x:c>
      <x:c r="L9" s="9" t="str">
        <x:v>Dialogue graph ret.anderson.limites-dune-operation-de-sauvetage ; drapeaux de connaissance locaux.</x:v>
      </x:c>
      <x:c r="M9" s="9" t="str">
        <x:v>Préserver le parcours de Grayson et les états nécessaires à Deception et ME3. Les rencontres proposées n’offrent ni guérison canonique de Grayson ni élimination définitive de Kai Leng.</x:v>
      </x:c>
      <x:c r="N9" s="9" t="str">
        <x:v>Aucune option ne révèle un savoir futur ; quitter puis reprendre conserve les sujets déjà abordés.</x:v>
      </x:c>
      <x:c r="O9" s="9" t="str">
        <x:v>RET-CHR-ANDERSON</x:v>
      </x:c>
      <x:c r="P9" s="9" t="str"/>
      <x:c r="Q9" s="9" t="str"/>
      <x:c r="R9" s="9" t="str"/>
      <x:c r="S9" s="9" t="str">
        <x:v>Sujet et intentions sont du design original, pas une transcription.</x:v>
      </x:c>
    </x:row>
    <x:row r="10" ht="68" customHeight="1">
      <x:c r="A10" s="19" t="str">
        <x:v>RET-DIA-KAILENG</x:v>
      </x:c>
      <x:c r="B10" s="7" t="str">
        <x:v>Kai Leng — échange : loyauté à Cerberus et coopération contrainte</x:v>
      </x:c>
      <x:c r="C10" s="15" t="str">
        <x:v>Défini</x:v>
      </x:c>
      <x:c r="D10" s="17" t="str">
        <x:v>Extrapolation</x:v>
      </x:c>
      <x:c r="E10" s="17" t="str">
        <x:v>P1</x:v>
      </x:c>
      <x:c r="F10" s="7" t="str">
        <x:v>Dialogue original à écrire, sans reproduire les répliques de la publication.</x:v>
      </x:c>
      <x:c r="G10" s="7" t="str">
        <x:v>Intentions : aborder loyauté à Cerberus et coopération contrainte, poser une question de clarification, puis revenir à l’objectif local.</x:v>
      </x:c>
      <x:c r="H10" s="7" t="str">
        <x:v>Trois intentions proposées : demander un fait, exprimer une réserve, clore. Débloquer un indice local sans imposer une opinion au joueur.</x:v>
      </x:c>
      <x:c r="I10" s="7" t="str">
        <x:v>Portrait Kai Leng, interlocuteur actif et indication de la personne qui connaît le fait.</x:v>
      </x:c>
      <x:c r="J10" s="7" t="str">
        <x:v>Pose d’écoute puis réaction sobre ; ne pas boucler une émotion pendant une pause de lecture.</x:v>
      </x:c>
      <x:c r="K10" s="7" t="str">
        <x:v>Texte intégral affiché ; éventuelle voix originale avec débit réglable, sans imitation du casting.</x:v>
      </x:c>
      <x:c r="L10" s="7" t="str">
        <x:v>Dialogue graph ret.kaileng.loyaute-a-cerberus-et-cooperation-contrainte ; drapeaux de connaissance locaux.</x:v>
      </x:c>
      <x:c r="M10" s="7" t="str">
        <x:v>Préserver le parcours de Grayson et les états nécessaires à Deception et ME3. Les rencontres proposées n’offrent ni guérison canonique de Grayson ni élimination définitive de Kai Leng.</x:v>
      </x:c>
      <x:c r="N10" s="7" t="str">
        <x:v>Aucune option ne révèle un savoir futur ; quitter puis reprendre conserve les sujets déjà abordés.</x:v>
      </x:c>
      <x:c r="O10" s="7" t="str">
        <x:v>RET-CHR-KAILENG</x:v>
      </x:c>
      <x:c r="P10" s="7" t="str"/>
      <x:c r="Q10" s="7" t="str"/>
      <x:c r="R10" s="7" t="str"/>
      <x:c r="S10" s="7" t="str">
        <x:v>Sujet et intentions sont du design original, pas une transcription.</x:v>
      </x:c>
    </x:row>
    <x:row r="11" ht="68" customHeight="1">
      <x:c r="A11" s="18" t="str">
        <x:v>RET-DIA-ILLUSIVE</x:v>
      </x:c>
      <x:c r="B11" s="9" t="str">
        <x:v>Homme Trouble — échange : instrumentalisation de la recherche</x:v>
      </x:c>
      <x:c r="C11" s="15" t="str">
        <x:v>Défini</x:v>
      </x:c>
      <x:c r="D11" s="16" t="str">
        <x:v>Extrapolation</x:v>
      </x:c>
      <x:c r="E11" s="16" t="str">
        <x:v>P1</x:v>
      </x:c>
      <x:c r="F11" s="9" t="str">
        <x:v>Dialogue original à écrire, sans reproduire les répliques de la publication.</x:v>
      </x:c>
      <x:c r="G11" s="9" t="str">
        <x:v>Intentions : aborder instrumentalisation de la recherche, poser une question de clarification, puis revenir à l’objectif local.</x:v>
      </x:c>
      <x:c r="H11" s="9" t="str">
        <x:v>Trois intentions proposées : demander un fait, exprimer une réserve, clore. Débloquer un indice local sans imposer une opinion au joueur.</x:v>
      </x:c>
      <x:c r="I11" s="9" t="str">
        <x:v>Portrait Homme Trouble, interlocuteur actif et indication de la personne qui connaît le fait.</x:v>
      </x:c>
      <x:c r="J11" s="9" t="str">
        <x:v>Pose d’écoute puis réaction sobre ; ne pas boucler une émotion pendant une pause de lecture.</x:v>
      </x:c>
      <x:c r="K11" s="9" t="str">
        <x:v>Texte intégral affiché ; éventuelle voix originale avec débit réglable, sans imitation du casting.</x:v>
      </x:c>
      <x:c r="L11" s="9" t="str">
        <x:v>Dialogue graph ret.illusive.instrumentalisation-de-la-recherche ; drapeaux de connaissance locaux.</x:v>
      </x:c>
      <x:c r="M11" s="9" t="str">
        <x:v>Préserver le parcours de Grayson et les états nécessaires à Deception et ME3. Les rencontres proposées n’offrent ni guérison canonique de Grayson ni élimination définitive de Kai Leng.</x:v>
      </x:c>
      <x:c r="N11" s="9" t="str">
        <x:v>Aucune option ne révèle un savoir futur ; quitter puis reprendre conserve les sujets déjà abordés.</x:v>
      </x:c>
      <x:c r="O11" s="9" t="str">
        <x:v>RET-CHR-ILLUSIVE</x:v>
      </x:c>
      <x:c r="P11" s="9" t="str"/>
      <x:c r="Q11" s="9" t="str"/>
      <x:c r="R11" s="9" t="str"/>
      <x:c r="S11" s="9" t="str">
        <x:v>Sujet et intentions sont du design original, pas une transcription.</x:v>
      </x:c>
    </x:row>
    <x:row r="12" ht="68" customHeight="1">
      <x:c r="A12" s="19" t="str">
        <x:v>RET-DIA-LISELLE</x:v>
      </x:c>
      <x:c r="B12" s="7" t="str">
        <x:v>Liselle — échange : confiance dans l’équipe d’Omega</x:v>
      </x:c>
      <x:c r="C12" s="15" t="str">
        <x:v>Défini</x:v>
      </x:c>
      <x:c r="D12" s="17" t="str">
        <x:v>Extrapolation</x:v>
      </x:c>
      <x:c r="E12" s="17" t="str">
        <x:v>P1</x:v>
      </x:c>
      <x:c r="F12" s="7" t="str">
        <x:v>Dialogue original à écrire, sans reproduire les répliques de la publication.</x:v>
      </x:c>
      <x:c r="G12" s="7" t="str">
        <x:v>Intentions : aborder confiance dans l’équipe d’Omega, poser une question de clarification, puis revenir à l’objectif local.</x:v>
      </x:c>
      <x:c r="H12" s="7" t="str">
        <x:v>Trois intentions proposées : demander un fait, exprimer une réserve, clore. Débloquer un indice local sans imposer une opinion au joueur.</x:v>
      </x:c>
      <x:c r="I12" s="7" t="str">
        <x:v>Portrait Liselle, interlocuteur actif et indication de la personne qui connaît le fait.</x:v>
      </x:c>
      <x:c r="J12" s="7" t="str">
        <x:v>Pose d’écoute puis réaction sobre ; ne pas boucler une émotion pendant une pause de lecture.</x:v>
      </x:c>
      <x:c r="K12" s="7" t="str">
        <x:v>Texte intégral affiché ; éventuelle voix originale avec débit réglable, sans imitation du casting.</x:v>
      </x:c>
      <x:c r="L12" s="7" t="str">
        <x:v>Dialogue graph ret.liselle.confiance-dans-lequipe-domega ; drapeaux de connaissance locaux.</x:v>
      </x:c>
      <x:c r="M12" s="7" t="str">
        <x:v>Préserver le parcours de Grayson et les états nécessaires à Deception et ME3. Les rencontres proposées n’offrent ni guérison canonique de Grayson ni élimination définitive de Kai Leng.</x:v>
      </x:c>
      <x:c r="N12" s="7" t="str">
        <x:v>Aucune option ne révèle un savoir futur ; quitter puis reprendre conserve les sujets déjà abordés.</x:v>
      </x:c>
      <x:c r="O12" s="7" t="str">
        <x:v>RET-CHR-LISELLE</x:v>
      </x:c>
      <x:c r="P12" s="7" t="str"/>
      <x:c r="Q12" s="7" t="str"/>
      <x:c r="R12" s="7" t="str"/>
      <x:c r="S12" s="7" t="str">
        <x:v>Sujet et intentions sont du design original, pas une transcription.</x:v>
      </x:c>
    </x:row>
    <x:row r="13" ht="68" customHeight="1">
      <x:c r="A13" s="18" t="str">
        <x:v>RET-DIA-ARIA</x:v>
      </x:c>
      <x:c r="B13" s="9" t="str">
        <x:v>Aria T’Loak — échange : territoire et information</x:v>
      </x:c>
      <x:c r="C13" s="15" t="str">
        <x:v>Défini</x:v>
      </x:c>
      <x:c r="D13" s="16" t="str">
        <x:v>Extrapolation</x:v>
      </x:c>
      <x:c r="E13" s="16" t="str">
        <x:v>P1</x:v>
      </x:c>
      <x:c r="F13" s="9" t="str">
        <x:v>Dialogue original à écrire, sans reproduire les répliques de la publication.</x:v>
      </x:c>
      <x:c r="G13" s="9" t="str">
        <x:v>Intentions : aborder territoire et information, poser une question de clarification, puis revenir à l’objectif local.</x:v>
      </x:c>
      <x:c r="H13" s="9" t="str">
        <x:v>Trois intentions proposées : demander un fait, exprimer une réserve, clore. Débloquer un indice local sans imposer une opinion au joueur.</x:v>
      </x:c>
      <x:c r="I13" s="9" t="str">
        <x:v>Portrait Aria T’Loak, interlocuteur actif et indication de la personne qui connaît le fait.</x:v>
      </x:c>
      <x:c r="J13" s="9" t="str">
        <x:v>Pose d’écoute puis réaction sobre ; ne pas boucler une émotion pendant une pause de lecture.</x:v>
      </x:c>
      <x:c r="K13" s="9" t="str">
        <x:v>Texte intégral affiché ; éventuelle voix originale avec débit réglable, sans imitation du casting.</x:v>
      </x:c>
      <x:c r="L13" s="9" t="str">
        <x:v>Dialogue graph ret.aria.territoire-et-information ; drapeaux de connaissance locaux.</x:v>
      </x:c>
      <x:c r="M13" s="9" t="str">
        <x:v>Préserver le parcours de Grayson et les états nécessaires à Deception et ME3. Les rencontres proposées n’offrent ni guérison canonique de Grayson ni élimination définitive de Kai Leng.</x:v>
      </x:c>
      <x:c r="N13" s="9" t="str">
        <x:v>Aucune option ne révèle un savoir futur ; quitter puis reprendre conserve les sujets déjà abordés.</x:v>
      </x:c>
      <x:c r="O13" s="9" t="str">
        <x:v>RET-CHR-ARIA</x:v>
      </x:c>
      <x:c r="P13" s="9" t="str"/>
      <x:c r="Q13" s="9" t="str"/>
      <x:c r="R13" s="9" t="str"/>
      <x:c r="S13" s="9" t="str">
        <x:v>Sujet et intentions sont du design original, pas une transcription.</x:v>
      </x:c>
    </x:row>
    <x:row r="14" ht="68" customHeight="1">
      <x:c r="A14" s="19" t="str">
        <x:v>RET-DIA-SANAK</x:v>
      </x:c>
      <x:c r="B14" s="7" t="str">
        <x:v>Sanak — échange : méfiance au sein d’une équipe</x:v>
      </x:c>
      <x:c r="C14" s="15" t="str">
        <x:v>Défini</x:v>
      </x:c>
      <x:c r="D14" s="17" t="str">
        <x:v>Extrapolation</x:v>
      </x:c>
      <x:c r="E14" s="17" t="str">
        <x:v>P1</x:v>
      </x:c>
      <x:c r="F14" s="7" t="str">
        <x:v>Dialogue original à écrire, sans reproduire les répliques de la publication.</x:v>
      </x:c>
      <x:c r="G14" s="7" t="str">
        <x:v>Intentions : aborder méfiance au sein d’une équipe, poser une question de clarification, puis revenir à l’objectif local.</x:v>
      </x:c>
      <x:c r="H14" s="7" t="str">
        <x:v>Trois intentions proposées : demander un fait, exprimer une réserve, clore. Débloquer un indice local sans imposer une opinion au joueur.</x:v>
      </x:c>
      <x:c r="I14" s="7" t="str">
        <x:v>Portrait Sanak, interlocuteur actif et indication de la personne qui connaît le fait.</x:v>
      </x:c>
      <x:c r="J14" s="7" t="str">
        <x:v>Pose d’écoute puis réaction sobre ; ne pas boucler une émotion pendant une pause de lecture.</x:v>
      </x:c>
      <x:c r="K14" s="7" t="str">
        <x:v>Texte intégral affiché ; éventuelle voix originale avec débit réglable, sans imitation du casting.</x:v>
      </x:c>
      <x:c r="L14" s="7" t="str">
        <x:v>Dialogue graph ret.sanak.mefiance-au-sein-dune-equipe ; drapeaux de connaissance locaux.</x:v>
      </x:c>
      <x:c r="M14" s="7" t="str">
        <x:v>Préserver le parcours de Grayson et les états nécessaires à Deception et ME3. Les rencontres proposées n’offrent ni guérison canonique de Grayson ni élimination définitive de Kai Leng.</x:v>
      </x:c>
      <x:c r="N14" s="7" t="str">
        <x:v>Aucune option ne révèle un savoir futur ; quitter puis reprendre conserve les sujets déjà abordés.</x:v>
      </x:c>
      <x:c r="O14" s="7" t="str">
        <x:v>RET-CHR-SANAK</x:v>
      </x:c>
      <x:c r="P14" s="7" t="str"/>
      <x:c r="Q14" s="7" t="str"/>
      <x:c r="R14" s="7" t="str"/>
      <x:c r="S14" s="7" t="str">
        <x:v>Sujet et intentions sont du design original, pas une transcription.</x:v>
      </x:c>
    </x:row>
    <x:row r="15" ht="68" customHeight="1">
      <x:c r="A15" s="18" t="str">
        <x:v>RET-DIA-ORINIA</x:v>
      </x:c>
      <x:c r="B15" s="9" t="str">
        <x:v>Orinia — échange : conditions d’un soutien extérieur</x:v>
      </x:c>
      <x:c r="C15" s="15" t="str">
        <x:v>Défini</x:v>
      </x:c>
      <x:c r="D15" s="16" t="str">
        <x:v>Extrapolation</x:v>
      </x:c>
      <x:c r="E15" s="16" t="str">
        <x:v>P1</x:v>
      </x:c>
      <x:c r="F15" s="9" t="str">
        <x:v>Dialogue original à écrire, sans reproduire les répliques de la publication.</x:v>
      </x:c>
      <x:c r="G15" s="9" t="str">
        <x:v>Intentions : aborder conditions d’un soutien extérieur, poser une question de clarification, puis revenir à l’objectif local.</x:v>
      </x:c>
      <x:c r="H15" s="9" t="str">
        <x:v>Trois intentions proposées : demander un fait, exprimer une réserve, clore. Débloquer un indice local sans imposer une opinion au joueur.</x:v>
      </x:c>
      <x:c r="I15" s="9" t="str">
        <x:v>Portrait Orinia, interlocuteur actif et indication de la personne qui connaît le fait.</x:v>
      </x:c>
      <x:c r="J15" s="9" t="str">
        <x:v>Pose d’écoute puis réaction sobre ; ne pas boucler une émotion pendant une pause de lecture.</x:v>
      </x:c>
      <x:c r="K15" s="9" t="str">
        <x:v>Texte intégral affiché ; éventuelle voix originale avec débit réglable, sans imitation du casting.</x:v>
      </x:c>
      <x:c r="L15" s="9" t="str">
        <x:v>Dialogue graph ret.orinia.conditions-dun-soutien-exterieur ; drapeaux de connaissance locaux.</x:v>
      </x:c>
      <x:c r="M15" s="9" t="str">
        <x:v>Préserver le parcours de Grayson et les états nécessaires à Deception et ME3. Les rencontres proposées n’offrent ni guérison canonique de Grayson ni élimination définitive de Kai Leng.</x:v>
      </x:c>
      <x:c r="N15" s="9" t="str">
        <x:v>Aucune option ne révèle un savoir futur ; quitter puis reprendre conserve les sujets déjà abordés.</x:v>
      </x:c>
      <x:c r="O15" s="9" t="str">
        <x:v>RET-CHR-ORINIA</x:v>
      </x:c>
      <x:c r="P15" s="9" t="str"/>
      <x:c r="Q15" s="9" t="str"/>
      <x:c r="R15" s="9" t="str"/>
      <x:c r="S15" s="9" t="str">
        <x:v>Sujet et intentions sont du design original, pas une transcription.</x:v>
      </x:c>
    </x:row>
    <x:row r="16" ht="68" customHeight="1">
      <x:c r="A16" s="19" t="str">
        <x:v>RET-DIA-NICK</x:v>
      </x:c>
      <x:c r="B16" s="7" t="str">
        <x:v>Nick Donahue — échange : confiance envers les adultes en situation de crise</x:v>
      </x:c>
      <x:c r="C16" s="15" t="str">
        <x:v>Défini</x:v>
      </x:c>
      <x:c r="D16" s="17" t="str">
        <x:v>Extrapolation</x:v>
      </x:c>
      <x:c r="E16" s="17" t="str">
        <x:v>P1</x:v>
      </x:c>
      <x:c r="F16" s="7" t="str">
        <x:v>Dialogue original à écrire, sans reproduire les répliques de la publication.</x:v>
      </x:c>
      <x:c r="G16" s="7" t="str">
        <x:v>Intentions : aborder confiance envers les adultes en situation de crise, poser une question de clarification, puis revenir à l’objectif local.</x:v>
      </x:c>
      <x:c r="H16" s="7" t="str">
        <x:v>Trois intentions proposées : demander un fait, exprimer une réserve, clore. Débloquer un indice local sans imposer une opinion au joueur.</x:v>
      </x:c>
      <x:c r="I16" s="7" t="str">
        <x:v>Portrait Nick Donahue, interlocuteur actif et indication de la personne qui connaît le fait.</x:v>
      </x:c>
      <x:c r="J16" s="7" t="str">
        <x:v>Pose d’écoute puis réaction sobre ; ne pas boucler une émotion pendant une pause de lecture.</x:v>
      </x:c>
      <x:c r="K16" s="7" t="str">
        <x:v>Texte intégral affiché ; éventuelle voix originale avec débit réglable, sans imitation du casting.</x:v>
      </x:c>
      <x:c r="L16" s="7" t="str">
        <x:v>Dialogue graph ret.nick.confiance-envers-les-adultes-en-situation-de-crise ; drapeaux de connaissance locaux.</x:v>
      </x:c>
      <x:c r="M16" s="7" t="str">
        <x:v>Préserver le parcours de Grayson et les états nécessaires à Deception et ME3. Les rencontres proposées n’offrent ni guérison canonique de Grayson ni élimination définitive de Kai Leng.</x:v>
      </x:c>
      <x:c r="N16" s="7" t="str">
        <x:v>Aucune option ne révèle un savoir futur ; quitter puis reprendre conserve les sujets déjà abordés.</x:v>
      </x:c>
      <x:c r="O16" s="7" t="str">
        <x:v>RET-CHR-NICK</x:v>
      </x:c>
      <x:c r="P16" s="7" t="str"/>
      <x:c r="Q16" s="7" t="str"/>
      <x:c r="R16" s="7" t="str"/>
      <x:c r="S16" s="7" t="str">
        <x:v>Sujet et intentions sont du design original, pas une transcription.</x:v>
      </x:c>
    </x:row>
  </x:sheetData>
  <x:conditionalFormatting sqref="D7:D16">
    <x:cfRule type="cellIs" dxfId="48" priority="1" operator="equal">
      <x:formula>"À vérifier"</x:formula>
    </x:cfRule>
    <x:cfRule type="cellIs" dxfId="49" priority="2" operator="equal">
      <x:formula>"Extrapolation"</x:formula>
    </x:cfRule>
  </x:conditionalFormatting>
  <x:conditionalFormatting sqref="C7:C16">
    <x:cfRule type="cellIs" dxfId="50" priority="3" operator="equal">
      <x:formula>"Validé"</x:formula>
    </x:cfRule>
  </x:conditionalFormatting>
  <x:conditionalFormatting sqref="E7:E16">
    <x:cfRule type="cellIs" dxfId="5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a6a6518b723a4d19"/>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Retribution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RET-CIN-CONTRACT</x:v>
      </x:c>
      <x:c r="B7" s="9" t="str">
        <x:v>Évaluer un trajet de mission — transition narrative</x:v>
      </x:c>
      <x:c r="C7" s="15" t="str">
        <x:v>Défini</x:v>
      </x:c>
      <x:c r="D7" s="16" t="str">
        <x:v>Extrapolation</x:v>
      </x:c>
      <x:c r="E7" s="16" t="str">
        <x:v>P1</x:v>
      </x:c>
      <x:c r="F7" s="9" t="str">
        <x:v>Mise en scène originale compacte, sans reconstituer les dialogues de l’œuvre.</x:v>
      </x:c>
      <x:c r="G7" s="9" t="str">
        <x:v>Plan sur un itinéraire choisi puis retour à la vie du quartier.</x:v>
      </x:c>
      <x:c r="H7" s="9" t="str">
        <x:v>Caméra et texte uniquement ; aucune commande de combat pendant la transition ; reprise au même état en cas de saut.</x:v>
      </x:c>
      <x:c r="I7" s="9" t="str">
        <x:v>Composition 3D sobre, silhouettes 2D au premier plan ; contrôler l’échelle des personnages.</x:v>
      </x:c>
      <x:c r="J7" s="9" t="str">
        <x:v>Deux ou trois plans courts proposés ; sortie anticipée applique les mêmes drapeaux que lecture complète.</x:v>
      </x:c>
      <x:c r="K7" s="9" t="str">
        <x:v>Musique originale sous les sous-titres ; aucun extrait de bande sonore officielle.</x:v>
      </x:c>
      <x:c r="L7" s="9" t="str">
        <x:v>cinematics/ret/contract.timeline ; événements idempotents.</x:v>
      </x:c>
      <x:c r="M7" s="9" t="str">
        <x:v>Ne pas attribuer à Grayson un savoir qu’il n’a pas encore.</x:v>
      </x:c>
      <x:c r="N7" s="9" t="str">
        <x:v>Version regardée et version sautée donnent les mêmes inventaire, équipe, carte et objectifs.</x:v>
      </x:c>
      <x:c r="O7" s="9" t="str">
        <x:v>RET-MIS-CONTRACT</x:v>
      </x:c>
      <x:c r="P7" s="9" t="str"/>
      <x:c r="Q7" s="9" t="str"/>
      <x:c r="R7" s="9" t="str"/>
      <x:c r="S7" s="9" t="str"/>
    </x:row>
    <x:row r="8" ht="54" customHeight="1">
      <x:c r="A8" s="19" t="str">
        <x:v>RET-CIN-MISSING</x:v>
      </x:c>
      <x:c r="B8" s="7" t="str">
        <x:v>Vérifier une disparition — transition narrative</x:v>
      </x:c>
      <x:c r="C8" s="15" t="str">
        <x:v>Défini</x:v>
      </x:c>
      <x:c r="D8" s="17" t="str">
        <x:v>Extrapolation</x:v>
      </x:c>
      <x:c r="E8" s="17" t="str">
        <x:v>P1</x:v>
      </x:c>
      <x:c r="F8" s="7" t="str">
        <x:v>Mise en scène originale compacte, sans reconstituer les dialogues de l’œuvre.</x:v>
      </x:c>
      <x:c r="G8" s="7" t="str">
        <x:v>Le logement silencieux est montré par un unique plan sans violence détaillée.</x:v>
      </x:c>
      <x:c r="H8" s="7" t="str">
        <x:v>Caméra et texte uniquement ; aucune commande de combat pendant la transition ; reprise au même état en cas de saut.</x:v>
      </x:c>
      <x:c r="I8" s="7" t="str">
        <x:v>Composition 3D sobre, silhouettes 2D au premier plan ; contrôler l’échelle des personnages.</x:v>
      </x:c>
      <x:c r="J8" s="7" t="str">
        <x:v>Deux ou trois plans courts proposés ; sortie anticipée applique les mêmes drapeaux que lecture complète.</x:v>
      </x:c>
      <x:c r="K8" s="7" t="str">
        <x:v>Musique originale sous les sous-titres ; aucun extrait de bande sonore officielle.</x:v>
      </x:c>
      <x:c r="L8" s="7" t="str">
        <x:v>cinematics/ret/missing.timeline ; événements idempotents.</x:v>
      </x:c>
      <x:c r="M8" s="7" t="str">
        <x:v>La capture de Grayson demeure un fait du récit.</x:v>
      </x:c>
      <x:c r="N8" s="7" t="str">
        <x:v>Version regardée et version sautée donnent les mêmes inventaire, équipe, carte et objectifs.</x:v>
      </x:c>
      <x:c r="O8" s="7" t="str">
        <x:v>RET-MIS-MISSING</x:v>
      </x:c>
      <x:c r="P8" s="7" t="str"/>
      <x:c r="Q8" s="7" t="str"/>
      <x:c r="R8" s="7" t="str"/>
      <x:c r="S8" s="7" t="str"/>
    </x:row>
    <x:row r="9" ht="54" customHeight="1">
      <x:c r="A9" s="18" t="str">
        <x:v>RET-CIN-HELP</x:v>
      </x:c>
      <x:c r="B9" s="9" t="str">
        <x:v>Obtenir une assistance motivée — transition narrative</x:v>
      </x:c>
      <x:c r="C9" s="15" t="str">
        <x:v>Défini</x:v>
      </x:c>
      <x:c r="D9" s="16" t="str">
        <x:v>Extrapolation</x:v>
      </x:c>
      <x:c r="E9" s="16" t="str">
        <x:v>P1</x:v>
      </x:c>
      <x:c r="F9" s="9" t="str">
        <x:v>Mise en scène originale compacte, sans reconstituer les dialogues de l’œuvre.</x:v>
      </x:c>
      <x:c r="G9" s="9" t="str">
        <x:v>Un signal de soutien apparaît sans promesse de résolution totale.</x:v>
      </x:c>
      <x:c r="H9" s="9" t="str">
        <x:v>Caméra et texte uniquement ; aucune commande de combat pendant la transition ; reprise au même état en cas de saut.</x:v>
      </x:c>
      <x:c r="I9" s="9" t="str">
        <x:v>Composition 3D sobre, silhouettes 2D au premier plan ; contrôler l’échelle des personnages.</x:v>
      </x:c>
      <x:c r="J9" s="9" t="str">
        <x:v>Deux ou trois plans courts proposés ; sortie anticipée applique les mêmes drapeaux que lecture complète.</x:v>
      </x:c>
      <x:c r="K9" s="9" t="str">
        <x:v>Musique originale sous les sous-titres ; aucun extrait de bande sonore officielle.</x:v>
      </x:c>
      <x:c r="L9" s="9" t="str">
        <x:v>cinematics/ret/help.timeline ; événements idempotents.</x:v>
      </x:c>
      <x:c r="M9" s="9" t="str">
        <x:v>Le rôle d’Orinia reste limité à ce qui est attesté.</x:v>
      </x:c>
      <x:c r="N9" s="9" t="str">
        <x:v>Version regardée et version sautée donnent les mêmes inventaire, équipe, carte et objectifs.</x:v>
      </x:c>
      <x:c r="O9" s="9" t="str">
        <x:v>RET-MIS-HELP</x:v>
      </x:c>
      <x:c r="P9" s="9" t="str"/>
      <x:c r="Q9" s="9" t="str"/>
      <x:c r="R9" s="9" t="str"/>
      <x:c r="S9" s="9" t="str"/>
    </x:row>
    <x:row r="10" ht="54" customHeight="1">
      <x:c r="A10" s="19" t="str">
        <x:v>RET-CIN-ACCESS</x:v>
      </x:c>
      <x:c r="B10" s="7" t="str">
        <x:v>Ouvrir une voie d’approche — transition narrative</x:v>
      </x:c>
      <x:c r="C10" s="15" t="str">
        <x:v>Défini</x:v>
      </x:c>
      <x:c r="D10" s="17" t="str">
        <x:v>Extrapolation</x:v>
      </x:c>
      <x:c r="E10" s="17" t="str">
        <x:v>P1</x:v>
      </x:c>
      <x:c r="F10" s="7" t="str">
        <x:v>Mise en scène originale compacte, sans reconstituer les dialogues de l’œuvre.</x:v>
      </x:c>
      <x:c r="G10" s="7" t="str">
        <x:v>Un voyant de porte révèle le passage disponible.</x:v>
      </x:c>
      <x:c r="H10" s="7" t="str">
        <x:v>Caméra et texte uniquement ; aucune commande de combat pendant la transition ; reprise au même état en cas de saut.</x:v>
      </x:c>
      <x:c r="I10" s="7" t="str">
        <x:v>Composition 3D sobre, silhouettes 2D au premier plan ; contrôler l’échelle des personnages.</x:v>
      </x:c>
      <x:c r="J10" s="7" t="str">
        <x:v>Deux ou trois plans courts proposés ; sortie anticipée applique les mêmes drapeaux que lecture complète.</x:v>
      </x:c>
      <x:c r="K10" s="7" t="str">
        <x:v>Musique originale sous les sous-titres ; aucun extrait de bande sonore officielle.</x:v>
      </x:c>
      <x:c r="L10" s="7" t="str">
        <x:v>cinematics/ret/access.timeline ; événements idempotents.</x:v>
      </x:c>
      <x:c r="M10" s="7" t="str">
        <x:v>L’organisation des salles est une création de niveau.</x:v>
      </x:c>
      <x:c r="N10" s="7" t="str">
        <x:v>Version regardée et version sautée donnent les mêmes inventaire, équipe, carte et objectifs.</x:v>
      </x:c>
      <x:c r="O10" s="7" t="str">
        <x:v>RET-MIS-ACCESS</x:v>
      </x:c>
      <x:c r="P10" s="7" t="str"/>
      <x:c r="Q10" s="7" t="str"/>
      <x:c r="R10" s="7" t="str"/>
      <x:c r="S10" s="7" t="str"/>
    </x:row>
    <x:row r="11" ht="54" customHeight="1">
      <x:c r="A11" s="18" t="str">
        <x:v>RET-CIN-OBSERVE</x:v>
      </x:c>
      <x:c r="B11" s="9" t="str">
        <x:v>Distinguer signal et illusion — transition narrative</x:v>
      </x:c>
      <x:c r="C11" s="15" t="str">
        <x:v>Défini</x:v>
      </x:c>
      <x:c r="D11" s="16" t="str">
        <x:v>Extrapolation</x:v>
      </x:c>
      <x:c r="E11" s="16" t="str">
        <x:v>P1</x:v>
      </x:c>
      <x:c r="F11" s="9" t="str">
        <x:v>Mise en scène originale compacte, sans reconstituer les dialogues de l’œuvre.</x:v>
      </x:c>
      <x:c r="G11" s="9" t="str">
        <x:v>Superposition brève de deux lectures, désactivable en mode effets réduits.</x:v>
      </x:c>
      <x:c r="H11" s="9" t="str">
        <x:v>Caméra et texte uniquement ; aucune commande de combat pendant la transition ; reprise au même état en cas de saut.</x:v>
      </x:c>
      <x:c r="I11" s="9" t="str">
        <x:v>Composition 3D sobre, silhouettes 2D au premier plan ; contrôler l’échelle des personnages.</x:v>
      </x:c>
      <x:c r="J11" s="9" t="str">
        <x:v>Deux ou trois plans courts proposés ; sortie anticipée applique les mêmes drapeaux que lecture complète.</x:v>
      </x:c>
      <x:c r="K11" s="9" t="str">
        <x:v>Musique originale sous les sous-titres ; aucun extrait de bande sonore officielle.</x:v>
      </x:c>
      <x:c r="L11" s="9" t="str">
        <x:v>cinematics/ret/observe.timeline ; événements idempotents.</x:v>
      </x:c>
      <x:c r="M11" s="9" t="str">
        <x:v>Aucune option ne supprime définitivement le contrôle des Moissonneurs.</x:v>
      </x:c>
      <x:c r="N11" s="9" t="str">
        <x:v>Version regardée et version sautée donnent les mêmes inventaire, équipe, carte et objectifs.</x:v>
      </x:c>
      <x:c r="O11" s="9" t="str">
        <x:v>RET-MIS-OBSERVE</x:v>
      </x:c>
      <x:c r="P11" s="9" t="str"/>
      <x:c r="Q11" s="9" t="str"/>
      <x:c r="R11" s="9" t="str"/>
      <x:c r="S11" s="9" t="str"/>
    </x:row>
    <x:row r="12" ht="54" customHeight="1">
      <x:c r="A12" s="19" t="str">
        <x:v>RET-CIN-UNEASY</x:v>
      </x:c>
      <x:c r="B12" s="7" t="str">
        <x:v>Maintenir une coopération provisoire — transition narrative</x:v>
      </x:c>
      <x:c r="C12" s="15" t="str">
        <x:v>Défini</x:v>
      </x:c>
      <x:c r="D12" s="17" t="str">
        <x:v>Extrapolation</x:v>
      </x:c>
      <x:c r="E12" s="17" t="str">
        <x:v>P1</x:v>
      </x:c>
      <x:c r="F12" s="7" t="str">
        <x:v>Mise en scène originale compacte, sans reconstituer les dialogues de l’œuvre.</x:v>
      </x:c>
      <x:c r="G12" s="7" t="str">
        <x:v>Regards et courte phrase originale marquent l’accord limité.</x:v>
      </x:c>
      <x:c r="H12" s="7" t="str">
        <x:v>Caméra et texte uniquement ; aucune commande de combat pendant la transition ; reprise au même état en cas de saut.</x:v>
      </x:c>
      <x:c r="I12" s="7" t="str">
        <x:v>Composition 3D sobre, silhouettes 2D au premier plan ; contrôler l’échelle des personnages.</x:v>
      </x:c>
      <x:c r="J12" s="7" t="str">
        <x:v>Deux ou trois plans courts proposés ; sortie anticipée applique les mêmes drapeaux que lecture complète.</x:v>
      </x:c>
      <x:c r="K12" s="7" t="str">
        <x:v>Musique originale sous les sous-titres ; aucun extrait de bande sonore officielle.</x:v>
      </x:c>
      <x:c r="L12" s="7" t="str">
        <x:v>cinematics/ret/uneasy.timeline ; événements idempotents.</x:v>
      </x:c>
      <x:c r="M12" s="7" t="str">
        <x:v>Kai Leng n’est pas converti en compagnon fidèle.</x:v>
      </x:c>
      <x:c r="N12" s="7" t="str">
        <x:v>Version regardée et version sautée donnent les mêmes inventaire, équipe, carte et objectifs.</x:v>
      </x:c>
      <x:c r="O12" s="7" t="str">
        <x:v>RET-MIS-UNEASY</x:v>
      </x:c>
      <x:c r="P12" s="7" t="str"/>
      <x:c r="Q12" s="7" t="str"/>
      <x:c r="R12" s="7" t="str"/>
      <x:c r="S12" s="7" t="str"/>
    </x:row>
    <x:row r="13" ht="54" customHeight="1">
      <x:c r="A13" s="18" t="str">
        <x:v>RET-CIN-SHELTER</x:v>
      </x:c>
      <x:c r="B13" s="9" t="str">
        <x:v>Garder l’académie ouverte aux secours — transition narrative</x:v>
      </x:c>
      <x:c r="C13" s="15" t="str">
        <x:v>Défini</x:v>
      </x:c>
      <x:c r="D13" s="16" t="str">
        <x:v>Extrapolation</x:v>
      </x:c>
      <x:c r="E13" s="16" t="str">
        <x:v>P1</x:v>
      </x:c>
      <x:c r="F13" s="9" t="str">
        <x:v>Mise en scène originale compacte, sans reconstituer les dialogues de l’œuvre.</x:v>
      </x:c>
      <x:c r="G13" s="9" t="str">
        <x:v>La caméra privilégie la salle refuge et ses occupants.</x:v>
      </x:c>
      <x:c r="H13" s="9" t="str">
        <x:v>Caméra et texte uniquement ; aucune commande de combat pendant la transition ; reprise au même état en cas de saut.</x:v>
      </x:c>
      <x:c r="I13" s="9" t="str">
        <x:v>Composition 3D sobre, silhouettes 2D au premier plan ; contrôler l’échelle des personnages.</x:v>
      </x:c>
      <x:c r="J13" s="9" t="str">
        <x:v>Deux ou trois plans courts proposés ; sortie anticipée applique les mêmes drapeaux que lecture complète.</x:v>
      </x:c>
      <x:c r="K13" s="9" t="str">
        <x:v>Musique originale sous les sous-titres ; aucun extrait de bande sonore officielle.</x:v>
      </x:c>
      <x:c r="L13" s="9" t="str">
        <x:v>cinematics/ret/shelter.timeline ; événements idempotents.</x:v>
      </x:c>
      <x:c r="M13" s="9" t="str">
        <x:v>Les destins établis ne deviennent pas des récompenses de score.</x:v>
      </x:c>
      <x:c r="N13" s="9" t="str">
        <x:v>Version regardée et version sautée donnent les mêmes inventaire, équipe, carte et objectifs.</x:v>
      </x:c>
      <x:c r="O13" s="9" t="str">
        <x:v>RET-MIS-SHELTER</x:v>
      </x:c>
      <x:c r="P13" s="9" t="str"/>
      <x:c r="Q13" s="9" t="str"/>
      <x:c r="R13" s="9" t="str"/>
      <x:c r="S13" s="9" t="str"/>
    </x:row>
    <x:row r="14" ht="54" customHeight="1">
      <x:c r="A14" s="19" t="str">
        <x:v>RET-CIN-REPORT</x:v>
      </x:c>
      <x:c r="B14" s="7" t="str">
        <x:v>Conserver le résultat de l’opération — transition narrative</x:v>
      </x:c>
      <x:c r="C14" s="15" t="str">
        <x:v>Défini</x:v>
      </x:c>
      <x:c r="D14" s="17" t="str">
        <x:v>Extrapolation</x:v>
      </x:c>
      <x:c r="E14" s="17" t="str">
        <x:v>P1</x:v>
      </x:c>
      <x:c r="F14" s="7" t="str">
        <x:v>Mise en scène originale compacte, sans reconstituer les dialogues de l’œuvre.</x:v>
      </x:c>
      <x:c r="G14" s="7" t="str">
        <x:v>Plan calme sur les sièges vides et le rapport enregistré.</x:v>
      </x:c>
      <x:c r="H14" s="7" t="str">
        <x:v>Caméra et texte uniquement ; aucune commande de combat pendant la transition ; reprise au même état en cas de saut.</x:v>
      </x:c>
      <x:c r="I14" s="7" t="str">
        <x:v>Composition 3D sobre, silhouettes 2D au premier plan ; contrôler l’échelle des personnages.</x:v>
      </x:c>
      <x:c r="J14" s="7" t="str">
        <x:v>Deux ou trois plans courts proposés ; sortie anticipée applique les mêmes drapeaux que lecture complète.</x:v>
      </x:c>
      <x:c r="K14" s="7" t="str">
        <x:v>Musique originale sous les sous-titres ; aucun extrait de bande sonore officielle.</x:v>
      </x:c>
      <x:c r="L14" s="7" t="str">
        <x:v>cinematics/ret/report.timeline ; événements idempotents.</x:v>
      </x:c>
      <x:c r="M14" s="7" t="str">
        <x:v>Préserver les états de Grayson, Nick et Kai Leng nécessaires à la suite.</x:v>
      </x:c>
      <x:c r="N14" s="7" t="str">
        <x:v>Version regardée et version sautée donnent les mêmes inventaire, équipe, carte et objectifs.</x:v>
      </x:c>
      <x:c r="O14" s="7" t="str">
        <x:v>RET-MIS-REPORT</x:v>
      </x:c>
      <x:c r="P14" s="7" t="str"/>
      <x:c r="Q14" s="7" t="str"/>
      <x:c r="R14" s="7" t="str"/>
      <x:c r="S14" s="7" t="str"/>
    </x:row>
  </x:sheetData>
  <x:conditionalFormatting sqref="D7:D14">
    <x:cfRule type="cellIs" dxfId="52" priority="1" operator="equal">
      <x:formula>"À vérifier"</x:formula>
    </x:cfRule>
    <x:cfRule type="cellIs" dxfId="53" priority="2" operator="equal">
      <x:formula>"Extrapolation"</x:formula>
    </x:cfRule>
  </x:conditionalFormatting>
  <x:conditionalFormatting sqref="C7:C14">
    <x:cfRule type="cellIs" dxfId="54" priority="3" operator="equal">
      <x:formula>"Validé"</x:formula>
    </x:cfRule>
  </x:conditionalFormatting>
  <x:conditionalFormatting sqref="E7:E14">
    <x:cfRule type="cellIs" dxfId="5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779a969cf97d4f3e"/>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Retribution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RET-REF-SHOTGUN</x:v>
      </x:c>
      <x:c r="B7" s="9" t="str">
        <x:v>Fusil à pompe d’Anderson</x:v>
      </x:c>
      <x:c r="C7" s="15" t="str">
        <x:v>Défini</x:v>
      </x:c>
      <x:c r="D7" s="16" t="str">
        <x:v>Établi</x:v>
      </x:c>
      <x:c r="E7" s="16" t="str">
        <x:v>P1</x:v>
      </x:c>
      <x:c r="F7" s="9" t="str">
        <x:v>Anderson emploie un fusil à pompe contre Grayson.</x:v>
      </x:c>
      <x:c r="G7" s="9" t="str">
        <x:v>Ancrage documentaire du module ; aucune statistique officielle inférée.</x:v>
      </x:c>
      <x:c r="H7" s="9" t="str"/>
      <x:c r="I7" s="9" t="str"/>
      <x:c r="J7" s="9" t="str"/>
      <x:c r="K7" s="9" t="str"/>
      <x:c r="L7" s="9" t="str">
        <x:v>Codex ref.ret.shotgun ; affichage bref avec source.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RET-SRC-KAI</x:v>
      </x:c>
      <x:c r="R7" s="9" t="str">
        <x:v>https://masseffect.fandom.com/wiki/Kai_Leng</x:v>
      </x:c>
      <x:c r="S7" s="9" t="str">
        <x:v>Ce relevé n’est ni un inventaire exhaustif ni un résumé scène par scène.</x:v>
      </x:c>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2073801f3a094980"/>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9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Retribution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RET-REF-IMPLANTS</x:v>
      </x:c>
      <x:c r="B7" s="9" t="str">
        <x:v>Implants expérimentaux</x:v>
      </x:c>
      <x:c r="C7" s="15" t="str">
        <x:v>Défini</x:v>
      </x:c>
      <x:c r="D7" s="16" t="str">
        <x:v>Établi</x:v>
      </x:c>
      <x:c r="E7" s="16" t="str">
        <x:v>P1</x:v>
      </x:c>
      <x:c r="F7" s="9" t="str">
        <x:v>Grayson reçoit une technologie modifiée des Moissonneurs.</x:v>
      </x:c>
      <x:c r="G7" s="9" t="str">
        <x:v>Ancrage documentaire du module ; aucune statistique officielle inférée.</x:v>
      </x:c>
      <x:c r="H7" s="9" t="str"/>
      <x:c r="I7" s="9" t="str"/>
      <x:c r="J7" s="9" t="str"/>
      <x:c r="K7" s="9" t="str"/>
      <x:c r="L7" s="9" t="str">
        <x:v>Codex ref.ret.implants ; affichage bref avec source.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RET-SRC-PUB</x:v>
      </x:c>
      <x:c r="R7" s="9" t="str">
        <x:v>https://www.penguinrandomhouse.com/books/200767/mass-effect-retribution-by-drew-karpyshyn/paperback/</x:v>
      </x:c>
      <x:c r="S7" s="9" t="str">
        <x:v>Ce relevé n’est ni un inventaire exhaustif ni un résumé scène par scène.</x:v>
      </x:c>
    </x:row>
    <x:row r="8" ht="68" customHeight="1">
      <x:c r="A8" s="19" t="str">
        <x:v>RET-REF-SHUTTLE</x:v>
      </x:c>
      <x:c r="B8" s="7" t="str">
        <x:v>Navette d’extraction</x:v>
      </x:c>
      <x:c r="C8" s="15" t="str">
        <x:v>Défini</x:v>
      </x:c>
      <x:c r="D8" s="17" t="str">
        <x:v>Établi</x:v>
      </x:c>
      <x:c r="E8" s="17" t="str">
        <x:v>P1</x:v>
      </x:c>
      <x:c r="F8" s="7" t="str">
        <x:v>Une navette intervient dans le déplacement vers l’académie.</x:v>
      </x:c>
      <x:c r="G8" s="7" t="str">
        <x:v>Ancrage documentaire du module ; aucune statistique officielle inférée.</x:v>
      </x:c>
      <x:c r="H8" s="7" t="str"/>
      <x:c r="I8" s="7" t="str"/>
      <x:c r="J8" s="7" t="str"/>
      <x:c r="K8" s="7" t="str"/>
      <x:c r="L8" s="7" t="str">
        <x:v>Codex ref.ret.shuttle ; affichage bref avec source.</x:v>
      </x:c>
      <x:c r="M8" s="7" t="str">
        <x:v>Préserver le parcours de Grayson et les états nécessaires à Deception et ME3. Les rencontres proposées n’offrent ni guérison canonique de Grayson ni élimination définitive de Kai Leng.</x:v>
      </x:c>
      <x:c r="N8" s="7" t="str">
        <x:v>La source citée atteste précisément cet élément ; modèle, plan détaillé et valeur de combat restent séparés.</x:v>
      </x:c>
      <x:c r="O8" s="7" t="str"/>
      <x:c r="P8" s="7" t="str">
        <x:v>Rubrique consultée ou synopsis éditorial ; localisation précise dans l’œuvre à relever.</x:v>
      </x:c>
      <x:c r="Q8" s="7" t="str">
        <x:v>RET-SRC-KAI</x:v>
      </x:c>
      <x:c r="R8" s="7" t="str">
        <x:v>https://masseffect.fandom.com/wiki/Kai_Leng</x:v>
      </x:c>
      <x:c r="S8" s="7" t="str">
        <x:v>Ce relevé n’est ni un inventaire exhaustif ni un résumé scène par scène.</x:v>
      </x:c>
    </x:row>
  </x:sheetData>
  <x:conditionalFormatting sqref="D7:D8">
    <x:cfRule type="cellIs" dxfId="60" priority="1" operator="equal">
      <x:formula>"À vérifier"</x:formula>
    </x:cfRule>
    <x:cfRule type="cellIs" dxfId="61" priority="2" operator="equal">
      <x:formula>"Extrapolation"</x:formula>
    </x:cfRule>
  </x:conditionalFormatting>
  <x:conditionalFormatting sqref="C7:C8">
    <x:cfRule type="cellIs" dxfId="62" priority="3" operator="equal">
      <x:formula>"Validé"</x:formula>
    </x:cfRule>
  </x:conditionalFormatting>
  <x:conditionalFormatting sqref="E7:E8">
    <x:cfRule type="cellIs" dxfId="6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d823ee01ad2b466c"/>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Retribution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RET-REF-NICKBIO</x:v>
      </x:c>
      <x:c r="B7" s="9" t="str">
        <x:v>Biotique de Nick</x:v>
      </x:c>
      <x:c r="C7" s="15" t="str">
        <x:v>Défini</x:v>
      </x:c>
      <x:c r="D7" s="16" t="str">
        <x:v>Établi</x:v>
      </x:c>
      <x:c r="E7" s="16" t="str">
        <x:v>P1</x:v>
      </x:c>
      <x:c r="F7" s="9" t="str">
        <x:v>Kai Leng cherche à exploiter les aptitudes biotiques de Nick.</x:v>
      </x:c>
      <x:c r="G7" s="9" t="str">
        <x:v>Ancrage documentaire du module ; aucune statistique officielle inférée.</x:v>
      </x:c>
      <x:c r="H7" s="9" t="str"/>
      <x:c r="I7" s="9" t="str"/>
      <x:c r="J7" s="9" t="str"/>
      <x:c r="K7" s="9" t="str"/>
      <x:c r="L7" s="9" t="str">
        <x:v>Codex ref.ret.nickbio ; affichage bref avec source.</x:v>
      </x:c>
      <x:c r="M7" s="9" t="str">
        <x:v>Préserver le parcours de Grayson et les états nécessaires à Deception et ME3. Les rencontres proposées n’offrent ni guérison canonique de Grayson ni élimination définitive de Kai Leng.</x:v>
      </x:c>
      <x:c r="N7" s="9" t="str">
        <x:v>La source citée atteste précisément cet élément ; modèle, plan détaillé et valeur de combat restent séparés.</x:v>
      </x:c>
      <x:c r="O7" s="9" t="str"/>
      <x:c r="P7" s="9" t="str">
        <x:v>Rubrique consultée ou synopsis éditorial ; localisation précise dans l’œuvre à relever.</x:v>
      </x:c>
      <x:c r="Q7" s="9" t="str">
        <x:v>RET-SRC-KAI</x:v>
      </x:c>
      <x:c r="R7" s="9" t="str">
        <x:v>https://masseffect.fandom.com/wiki/Kai_Leng</x:v>
      </x:c>
      <x:c r="S7" s="9" t="str">
        <x:v>Ce relevé n’est ni un inventaire exhaustif ni un résumé scène par scène.</x:v>
      </x:c>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c5e8342777554b75"/>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Retribution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RET-MOV-SUPPRESS</x:v>
      </x:c>
      <x:c r="B7" s="9" t="str">
        <x:v>Appui d’extraction</x:v>
      </x:c>
      <x:c r="C7" s="15" t="str">
        <x:v>Défini</x:v>
      </x:c>
      <x:c r="D7" s="16" t="str">
        <x:v>Extrapolation</x:v>
      </x:c>
      <x:c r="E7" s="16" t="str">
        <x:v>P1</x:v>
      </x:c>
      <x:c r="F7" s="9" t="str">
        <x:v>Action de groupe originale ; elle n’est pas une compétence officielle de cette œuvre.</x:v>
      </x:c>
      <x:c r="G7" s="9" t="str">
        <x:v>Anderson : Empêcher une menace ajoutée d’interrompre un allié qui ouvre un sas.</x:v>
      </x:c>
      <x:c r="H7" s="9" t="str">
        <x:v>Empêcher une menace ajoutée d’interrompre un allié qui ouvre un sas. Coût initial proposé : une action ATB ; coût et délai restent des paramètres de prototype.</x:v>
      </x:c>
      <x:c r="I7" s="9" t="str">
        <x:v>Cône de couverture court.</x:v>
      </x:c>
      <x:c r="J7" s="9" t="str">
        <x:v>Préparation, validation de cible, engagement et récupération ; prévoir animation de refus avec motif.</x:v>
      </x:c>
      <x:c r="K7" s="9" t="str">
        <x:v>Confirmation et refus distingués ; texte d’état accessible au clavier.</x:v>
      </x:c>
      <x:c r="L7" s="9" t="str">
        <x:v>actions/ret/suppress.json ; commande, cibles autorisées, coût, effets, nettoyage.</x:v>
      </x:c>
      <x:c r="M7" s="9" t="str">
        <x:v>Préserver le parcours de Grayson et les états nécessaires à Deception et ME3. Les rencontres proposées n’offrent ni guérison canonique de Grayson ni élimination définitive de Kai Leng.</x:v>
      </x:c>
      <x:c r="N7" s="9" t="str">
        <x:v>Une cible incompatible ne consomme rien ; l’effet est réversible au rechargement du point de contrôle.</x:v>
      </x:c>
      <x:c r="O7" s="9" t="str"/>
      <x:c r="P7" s="9" t="str"/>
      <x:c r="Q7" s="9" t="str"/>
      <x:c r="R7" s="9" t="str"/>
      <x:c r="S7" s="9" t="str"/>
    </x:row>
    <x:row r="8" ht="68" customHeight="1">
      <x:c r="A8" s="19" t="str">
        <x:v>RET-MOV-CORROBORATE</x:v>
      </x:c>
      <x:c r="B8" s="7" t="str">
        <x:v>Confirmation externe</x:v>
      </x:c>
      <x:c r="C8" s="15" t="str">
        <x:v>Défini</x:v>
      </x:c>
      <x:c r="D8" s="17" t="str">
        <x:v>Extrapolation</x:v>
      </x:c>
      <x:c r="E8" s="17" t="str">
        <x:v>P1</x:v>
      </x:c>
      <x:c r="F8" s="7" t="str">
        <x:v>Action de groupe originale ; elle n’est pas une compétence officielle de cette œuvre.</x:v>
      </x:c>
      <x:c r="G8" s="7" t="str">
        <x:v>Kahlee : Valider un indice local avec une deuxième lecture ; aucune immunité à l’endoctrinement.</x:v>
      </x:c>
      <x:c r="H8" s="7" t="str">
        <x:v>Valider un indice local avec une deuxième lecture ; aucune immunité à l’endoctrinement. Coût initial proposé : une action ATB ; coût et délai restent des paramètres de prototype.</x:v>
      </x:c>
      <x:c r="I8" s="7" t="str">
        <x:v>Deux témoins de mesure séparés.</x:v>
      </x:c>
      <x:c r="J8" s="7" t="str">
        <x:v>Préparation, validation de cible, engagement et récupération ; prévoir animation de refus avec motif.</x:v>
      </x:c>
      <x:c r="K8" s="7" t="str">
        <x:v>Confirmation et refus distingués ; texte d’état accessible au clavier.</x:v>
      </x:c>
      <x:c r="L8" s="7" t="str">
        <x:v>actions/ret/corroborate.json ; commande, cibles autorisées, coût, effets, nettoyage.</x:v>
      </x:c>
      <x:c r="M8" s="7" t="str">
        <x:v>Préserver le parcours de Grayson et les états nécessaires à Deception et ME3. Les rencontres proposées n’offrent ni guérison canonique de Grayson ni élimination définitive de Kai Leng.</x:v>
      </x:c>
      <x:c r="N8" s="7" t="str">
        <x:v>Une cible incompatible ne consomme rien ; l’effet est réversible au rechargement du point de contrôle.</x:v>
      </x:c>
      <x:c r="O8" s="7" t="str"/>
      <x:c r="P8" s="7" t="str"/>
      <x:c r="Q8" s="7" t="str"/>
      <x:c r="R8" s="7" t="str"/>
      <x:c r="S8" s="7" t="str"/>
    </x:row>
    <x:row r="9" ht="68" customHeight="1">
      <x:c r="A9" s="18" t="str">
        <x:v>RET-MOV-GUIDE</x:v>
      </x:c>
      <x:c r="B9" s="9" t="str">
        <x:v>Mise à l’abri</x:v>
      </x:c>
      <x:c r="C9" s="15" t="str">
        <x:v>Défini</x:v>
      </x:c>
      <x:c r="D9" s="16" t="str">
        <x:v>Extrapolation</x:v>
      </x:c>
      <x:c r="E9" s="16" t="str">
        <x:v>P1</x:v>
      </x:c>
      <x:c r="F9" s="9" t="str">
        <x:v>Action de groupe originale ; elle n’est pas une compétence officielle de cette œuvre.</x:v>
      </x:c>
      <x:c r="G9" s="9" t="str">
        <x:v>Équipe pédagogique proposée : Guider un groupe civil jusqu’à la prochaine salle sûre.</x:v>
      </x:c>
      <x:c r="H9" s="9" t="str">
        <x:v>Guider un groupe civil jusqu’à la prochaine salle sûre. Coût initial proposé : une action ATB ; coût et délai restent des paramètres de prototype.</x:v>
      </x:c>
      <x:c r="I9" s="9" t="str">
        <x:v>Marqueurs de destination visibles pour le groupe.</x:v>
      </x:c>
      <x:c r="J9" s="9" t="str">
        <x:v>Préparation, validation de cible, engagement et récupération ; prévoir animation de refus avec motif.</x:v>
      </x:c>
      <x:c r="K9" s="9" t="str">
        <x:v>Confirmation et refus distingués ; texte d’état accessible au clavier.</x:v>
      </x:c>
      <x:c r="L9" s="9" t="str">
        <x:v>actions/ret/guide.json ; commande, cibles autorisées, coût, effets, nettoyage.</x:v>
      </x:c>
      <x:c r="M9" s="9" t="str">
        <x:v>Préserver le parcours de Grayson et les états nécessaires à Deception et ME3. Les rencontres proposées n’offrent ni guérison canonique de Grayson ni élimination définitive de Kai Leng.</x:v>
      </x:c>
      <x:c r="N9" s="9" t="str">
        <x:v>Une cible incompatible ne consomme rien ; l’effet est réversible au rechargement du point de contrôle.</x:v>
      </x:c>
      <x:c r="O9" s="9" t="str"/>
      <x:c r="P9" s="9" t="str"/>
      <x:c r="Q9" s="9" t="str"/>
      <x:c r="R9" s="9" t="str"/>
      <x:c r="S9" s="9" t="str"/>
    </x:row>
    <x:row r="10" ht="68" customHeight="1">
      <x:c r="A10" s="19" t="str">
        <x:v>RET-MOV-TRACE</x:v>
      </x:c>
      <x:c r="B10" s="7" t="str">
        <x:v>Traçage de liaison</x:v>
      </x:c>
      <x:c r="C10" s="15" t="str">
        <x:v>Défini</x:v>
      </x:c>
      <x:c r="D10" s="17" t="str">
        <x:v>Extrapolation</x:v>
      </x:c>
      <x:c r="E10" s="17" t="str">
        <x:v>P1</x:v>
      </x:c>
      <x:c r="F10" s="7" t="str">
        <x:v>Action de groupe originale ; elle n’est pas une compétence officielle de cette œuvre.</x:v>
      </x:c>
      <x:c r="G10" s="7" t="str">
        <x:v>Technicien proposé : Repérer l’origine locale d’un message sans révéler tous les secrets de Cerberus.</x:v>
      </x:c>
      <x:c r="H10" s="7" t="str">
        <x:v>Repérer l’origine locale d’un message sans révéler tous les secrets de Cerberus. Coût initial proposé : une action ATB ; coût et délai restent des paramètres de prototype.</x:v>
      </x:c>
      <x:c r="I10" s="7" t="str">
        <x:v>Ligne réseau limitée aux nœuds connus.</x:v>
      </x:c>
      <x:c r="J10" s="7" t="str">
        <x:v>Préparation, validation de cible, engagement et récupération ; prévoir animation de refus avec motif.</x:v>
      </x:c>
      <x:c r="K10" s="7" t="str">
        <x:v>Confirmation et refus distingués ; texte d’état accessible au clavier.</x:v>
      </x:c>
      <x:c r="L10" s="7" t="str">
        <x:v>actions/ret/trace.json ; commande, cibles autorisées, coût, effets, nettoyage.</x:v>
      </x:c>
      <x:c r="M10" s="7" t="str">
        <x:v>Préserver le parcours de Grayson et les états nécessaires à Deception et ME3. Les rencontres proposées n’offrent ni guérison canonique de Grayson ni élimination définitive de Kai Leng.</x:v>
      </x:c>
      <x:c r="N10" s="7" t="str">
        <x:v>Une cible incompatible ne consomme rien ; l’effet est réversible au rechargement du point de contrôle.</x:v>
      </x:c>
      <x:c r="O10" s="7" t="str"/>
      <x:c r="P10" s="7" t="str"/>
      <x:c r="Q10" s="7" t="str"/>
      <x:c r="R10" s="7" t="str"/>
      <x:c r="S10" s="7" t="str"/>
    </x:row>
    <x:row r="11" ht="68" customHeight="1">
      <x:c r="A11" s="18" t="str">
        <x:v>RET-MOV-BLOCK</x:v>
      </x:c>
      <x:c r="B11" s="9" t="str">
        <x:v>Verrou de passage</x:v>
      </x:c>
      <x:c r="C11" s="15" t="str">
        <x:v>Défini</x:v>
      </x:c>
      <x:c r="D11" s="16" t="str">
        <x:v>Extrapolation</x:v>
      </x:c>
      <x:c r="E11" s="16" t="str">
        <x:v>P1</x:v>
      </x:c>
      <x:c r="F11" s="9" t="str">
        <x:v>Action de groupe originale ; elle n’est pas une compétence officielle de cette œuvre.</x:v>
      </x:c>
      <x:c r="G11" s="9" t="str">
        <x:v>Groupe : Bloquer temporairement une porte après le passage des civils.</x:v>
      </x:c>
      <x:c r="H11" s="9" t="str">
        <x:v>Bloquer temporairement une porte après le passage des civils. Coût initial proposé : une action ATB ; coût et délai restent des paramètres de prototype.</x:v>
      </x:c>
      <x:c r="I11" s="9" t="str">
        <x:v>Verrou mécanique et compte d’occupants.</x:v>
      </x:c>
      <x:c r="J11" s="9" t="str">
        <x:v>Préparation, validation de cible, engagement et récupération ; prévoir animation de refus avec motif.</x:v>
      </x:c>
      <x:c r="K11" s="9" t="str">
        <x:v>Confirmation et refus distingués ; texte d’état accessible au clavier.</x:v>
      </x:c>
      <x:c r="L11" s="9" t="str">
        <x:v>actions/ret/block.json ; commande, cibles autorisées, coût, effets, nettoyage.</x:v>
      </x:c>
      <x:c r="M11" s="9" t="str">
        <x:v>Préserver le parcours de Grayson et les états nécessaires à Deception et ME3. Les rencontres proposées n’offrent ni guérison canonique de Grayson ni élimination définitive de Kai Leng.</x:v>
      </x:c>
      <x:c r="N11" s="9" t="str">
        <x:v>Une cible incompatible ne consomme rien ; l’effet est réversible au rechargement du point de contrôle.</x:v>
      </x:c>
      <x:c r="O11" s="9" t="str"/>
      <x:c r="P11" s="9" t="str"/>
      <x:c r="Q11" s="9" t="str"/>
      <x:c r="R11" s="9" t="str"/>
      <x:c r="S11" s="9" t="str"/>
    </x:row>
    <x:row r="12" ht="68" customHeight="1">
      <x:c r="A12" s="19" t="str">
        <x:v>RET-MOV-STABILIZE</x:v>
      </x:c>
      <x:c r="B12" s="7" t="str">
        <x:v>Assistance au blessé</x:v>
      </x:c>
      <x:c r="C12" s="15" t="str">
        <x:v>Défini</x:v>
      </x:c>
      <x:c r="D12" s="17" t="str">
        <x:v>Extrapolation</x:v>
      </x:c>
      <x:c r="E12" s="17" t="str">
        <x:v>P1</x:v>
      </x:c>
      <x:c r="F12" s="7" t="str">
        <x:v>Action de groupe originale ; elle n’est pas une compétence officielle de cette œuvre.</x:v>
      </x:c>
      <x:c r="G12" s="7" t="str">
        <x:v>Groupe : Maintenir un état de secours abstrait jusqu’à l’arrivée de l’aide.</x:v>
      </x:c>
      <x:c r="H12" s="7" t="str">
        <x:v>Maintenir un état de secours abstrait jusqu’à l’arrivée de l’aide. Coût initial proposé : une action ATB ; coût et délai restent des paramètres de prototype.</x:v>
      </x:c>
      <x:c r="I12" s="7" t="str">
        <x:v>Icône d’assistance sans détail médical réel.</x:v>
      </x:c>
      <x:c r="J12" s="7" t="str">
        <x:v>Préparation, validation de cible, engagement et récupération ; prévoir animation de refus avec motif.</x:v>
      </x:c>
      <x:c r="K12" s="7" t="str">
        <x:v>Confirmation et refus distingués ; texte d’état accessible au clavier.</x:v>
      </x:c>
      <x:c r="L12" s="7" t="str">
        <x:v>actions/ret/stabilize.json ; commande, cibles autorisées, coût, effets, nettoyage.</x:v>
      </x:c>
      <x:c r="M12" s="7" t="str">
        <x:v>Préserver le parcours de Grayson et les états nécessaires à Deception et ME3. Les rencontres proposées n’offrent ni guérison canonique de Grayson ni élimination définitive de Kai Leng.</x:v>
      </x:c>
      <x:c r="N12" s="7" t="str">
        <x:v>Une cible incompatible ne consomme rien ; l’effet est réversible au rechargement du point de contrôle.</x:v>
      </x:c>
      <x:c r="O12" s="7" t="str"/>
      <x:c r="P12" s="7" t="str"/>
      <x:c r="Q12" s="7" t="str"/>
      <x:c r="R12" s="7" t="str"/>
      <x:c r="S12" s="7" t="str"/>
    </x:row>
  </x:sheetData>
  <x:conditionalFormatting sqref="D7:D12">
    <x:cfRule type="cellIs" dxfId="68" priority="1" operator="equal">
      <x:formula>"À vérifier"</x:formula>
    </x:cfRule>
    <x:cfRule type="cellIs" dxfId="69" priority="2" operator="equal">
      <x:formula>"Extrapolation"</x:formula>
    </x:cfRule>
  </x:conditionalFormatting>
  <x:conditionalFormatting sqref="C7:C12">
    <x:cfRule type="cellIs" dxfId="70" priority="3" operator="equal">
      <x:formula>"Validé"</x:formula>
    </x:cfRule>
  </x:conditionalFormatting>
  <x:conditionalFormatting sqref="E7:E12">
    <x:cfRule type="cellIs" dxfId="7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810d2b42570a44b4"/>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Retribution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RET-EMV-CERB</x:v>
      </x:c>
      <x:c r="B7" s="9" t="str">
        <x:v>Équipe de capture proposée — comportement principal</x:v>
      </x:c>
      <x:c r="C7" s="15" t="str">
        <x:v>Défini</x:v>
      </x:c>
      <x:c r="D7" s="16" t="str">
        <x:v>Extrapolation</x:v>
      </x:c>
      <x:c r="E7" s="16" t="str">
        <x:v>P1</x:v>
      </x:c>
      <x:c r="F7" s="9" t="str">
        <x:v>Comportement proposé pour la rencontre liée.</x:v>
      </x:c>
      <x:c r="G7" s="9" t="str">
        <x:v>Un opérateur marque la cible pendant que deux silhouettes contrôlent les sorties.</x:v>
      </x:c>
      <x:c r="H7" s="9" t="str">
        <x:v>Télégraphe : Marqueur de poursuite et mouvement vers les issues. Contre-mesure : Briser la ligne de marquage et ouvrir une sortie secondaire. Consommer une action ATB à l’engagement ; équilibrage à mesurer au prototype.</x:v>
      </x:c>
      <x:c r="I7" s="9" t="str">
        <x:v>Rendre l’aire touchée lisible au sol et sur le HUD ; ne jamais dépendre seulement de la couleur.</x:v>
      </x:c>
      <x:c r="J7" s="9" t="str">
        <x:v>Bloquer la cible au début de l’engagement ; annuler proprement si les préconditions disparaissent.</x:v>
      </x:c>
      <x:c r="K7" s="9" t="str">
        <x:v>Signal préalable distinct du son d’impact ; option pour réduire les sons agressifs.</x:v>
      </x:c>
      <x:c r="L7" s="9" t="str">
        <x:v>behaviors/ret/cerb : prepare/commit/recover ; paramètres séparés du code.</x:v>
      </x:c>
      <x:c r="M7" s="9" t="str">
        <x:v>Uniquement quand la rencontre correspondante est active.</x:v>
      </x:c>
      <x:c r="N7" s="9" t="str">
        <x:v>L’indicateur apparaît avant la conséquence ; la contre-mesure fonctionne en pause et à vitesse normale.</x:v>
      </x:c>
      <x:c r="O7" s="9" t="str">
        <x:v>RET-ENC-CERB</x:v>
      </x:c>
      <x:c r="P7" s="9" t="str"/>
      <x:c r="Q7" s="9" t="str"/>
      <x:c r="R7" s="9" t="str"/>
      <x:c r="S7" s="9" t="str"/>
    </x:row>
    <x:row r="8" ht="68" customHeight="1">
      <x:c r="A8" s="19" t="str">
        <x:v>RET-EMV-LENG</x:v>
      </x:c>
      <x:c r="B8" s="7" t="str">
        <x:v>Kai Leng — contrôle d’accès proposé — comportement principal</x:v>
      </x:c>
      <x:c r="C8" s="15" t="str">
        <x:v>Défini</x:v>
      </x:c>
      <x:c r="D8" s="17" t="str">
        <x:v>Extrapolation</x:v>
      </x:c>
      <x:c r="E8" s="17" t="str">
        <x:v>P1</x:v>
      </x:c>
      <x:c r="F8" s="7" t="str">
        <x:v>Comportement proposé pour la rencontre liée.</x:v>
      </x:c>
      <x:c r="G8" s="7" t="str">
        <x:v>Feinte de déplacement puis verrouillage d’un objectif de sortie.</x:v>
      </x:c>
      <x:c r="H8" s="7" t="str">
        <x:v>Télégraphe : Variation de posture et indicateur de la porte menacée. Contre-mesure : Protéger l’objectif plutôt que poursuivre son ombre. Consommer une action ATB à l’engagement ; équilibrage à mesurer au prototype.</x:v>
      </x:c>
      <x:c r="I8" s="7" t="str">
        <x:v>Rendre l’aire touchée lisible au sol et sur le HUD ; ne jamais dépendre seulement de la couleur.</x:v>
      </x:c>
      <x:c r="J8" s="7" t="str">
        <x:v>Bloquer la cible au début de l’engagement ; annuler proprement si les préconditions disparaissent.</x:v>
      </x:c>
      <x:c r="K8" s="7" t="str">
        <x:v>Signal préalable distinct du son d’impact ; option pour réduire les sons agressifs.</x:v>
      </x:c>
      <x:c r="L8" s="7" t="str">
        <x:v>behaviors/ret/leng : prepare/commit/recover ; paramètres séparés du code.</x:v>
      </x:c>
      <x:c r="M8" s="7" t="str">
        <x:v>Uniquement quand la rencontre correspondante est active.</x:v>
      </x:c>
      <x:c r="N8" s="7" t="str">
        <x:v>L’indicateur apparaît avant la conséquence ; la contre-mesure fonctionne en pause et à vitesse normale.</x:v>
      </x:c>
      <x:c r="O8" s="7" t="str">
        <x:v>RET-ENC-LENG</x:v>
      </x:c>
      <x:c r="P8" s="7" t="str"/>
      <x:c r="Q8" s="7" t="str"/>
      <x:c r="R8" s="7" t="str"/>
      <x:c r="S8" s="7" t="str"/>
    </x:row>
    <x:row r="9" ht="82" customHeight="1">
      <x:c r="A9" s="18" t="str">
        <x:v>RET-EMV-REAPER</x:v>
      </x:c>
      <x:c r="B9" s="9" t="str">
        <x:v>Pression du contrôle moissonneur — comportement principal</x:v>
      </x:c>
      <x:c r="C9" s="15" t="str">
        <x:v>Défini</x:v>
      </x:c>
      <x:c r="D9" s="16" t="str">
        <x:v>Extrapolation</x:v>
      </x:c>
      <x:c r="E9" s="16" t="str">
        <x:v>P1</x:v>
      </x:c>
      <x:c r="F9" s="9" t="str">
        <x:v>Comportement proposé pour la rencontre liée.</x:v>
      </x:c>
      <x:c r="G9" s="9" t="str">
        <x:v>Trouble la lecture d’un indice et pousse à confirmer par un allié.</x:v>
      </x:c>
      <x:c r="H9" s="9" t="str">
        <x:v>Télégraphe : Double affichage explicitement identifié comme perception incertaine. Contre-mesure : Comparer au relevé externe et suspendre une décision irréversible. Consommer une action ATB à l’engagement ; équilibrage à mesurer au prototype.</x:v>
      </x:c>
      <x:c r="I9" s="9" t="str">
        <x:v>Rendre l’aire touchée lisible au sol et sur le HUD ; ne jamais dépendre seulement de la couleur.</x:v>
      </x:c>
      <x:c r="J9" s="9" t="str">
        <x:v>Bloquer la cible au début de l’engagement ; annuler proprement si les préconditions disparaissent.</x:v>
      </x:c>
      <x:c r="K9" s="9" t="str">
        <x:v>Signal préalable distinct du son d’impact ; option pour réduire les sons agressifs.</x:v>
      </x:c>
      <x:c r="L9" s="9" t="str">
        <x:v>behaviors/ret/reaper : prepare/commit/recover ; paramètres séparés du code.</x:v>
      </x:c>
      <x:c r="M9" s="9" t="str">
        <x:v>Uniquement quand la rencontre correspondante est active.</x:v>
      </x:c>
      <x:c r="N9" s="9" t="str">
        <x:v>L’indicateur apparaît avant la conséquence ; la contre-mesure fonctionne en pause et à vitesse normale.</x:v>
      </x:c>
      <x:c r="O9" s="9" t="str">
        <x:v>RET-ENC-REAPER</x:v>
      </x:c>
      <x:c r="P9" s="9" t="str"/>
      <x:c r="Q9" s="9" t="str"/>
      <x:c r="R9" s="9" t="str"/>
      <x:c r="S9" s="9" t="str"/>
    </x:row>
    <x:row r="10" ht="68" customHeight="1">
      <x:c r="A10" s="19" t="str">
        <x:v>RET-EMV-LOCKDOWN</x:v>
      </x:c>
      <x:c r="B10" s="7" t="str">
        <x:v>Confinement en chaîne — comportement principal</x:v>
      </x:c>
      <x:c r="C10" s="15" t="str">
        <x:v>Défini</x:v>
      </x:c>
      <x:c r="D10" s="17" t="str">
        <x:v>Extrapolation</x:v>
      </x:c>
      <x:c r="E10" s="17" t="str">
        <x:v>P1</x:v>
      </x:c>
      <x:c r="F10" s="7" t="str">
        <x:v>Comportement proposé pour la rencontre liée.</x:v>
      </x:c>
      <x:c r="G10" s="7" t="str">
        <x:v>Ferme deux routes et force la redistribution d’énergie.</x:v>
      </x:c>
      <x:c r="H10" s="7" t="str">
        <x:v>Télégraphe : Séquence de voyants numérotés au-dessus des sas. Contre-mesure : Conserver un chemin ouvert et basculer le circuit de secours. Consommer une action ATB à l’engagement ; équilibrage à mesurer au prototype.</x:v>
      </x:c>
      <x:c r="I10" s="7" t="str">
        <x:v>Rendre l’aire touchée lisible au sol et sur le HUD ; ne jamais dépendre seulement de la couleur.</x:v>
      </x:c>
      <x:c r="J10" s="7" t="str">
        <x:v>Bloquer la cible au début de l’engagement ; annuler proprement si les préconditions disparaissent.</x:v>
      </x:c>
      <x:c r="K10" s="7" t="str">
        <x:v>Signal préalable distinct du son d’impact ; option pour réduire les sons agressifs.</x:v>
      </x:c>
      <x:c r="L10" s="7" t="str">
        <x:v>behaviors/ret/lockdown : prepare/commit/recover ; paramètres séparés du code.</x:v>
      </x:c>
      <x:c r="M10" s="7" t="str">
        <x:v>Uniquement quand la rencontre correspondante est active.</x:v>
      </x:c>
      <x:c r="N10" s="7" t="str">
        <x:v>L’indicateur apparaît avant la conséquence ; la contre-mesure fonctionne en pause et à vitesse normale.</x:v>
      </x:c>
      <x:c r="O10" s="7" t="str">
        <x:v>RET-ENC-LOCKDOWN</x:v>
      </x:c>
      <x:c r="P10" s="7" t="str"/>
      <x:c r="Q10" s="7" t="str"/>
      <x:c r="R10" s="7" t="str"/>
      <x:c r="S10" s="7" t="str"/>
    </x:row>
  </x:sheetData>
  <x:conditionalFormatting sqref="D7:D10">
    <x:cfRule type="cellIs" dxfId="72" priority="1" operator="equal">
      <x:formula>"À vérifier"</x:formula>
    </x:cfRule>
    <x:cfRule type="cellIs" dxfId="73" priority="2" operator="equal">
      <x:formula>"Extrapolation"</x:formula>
    </x:cfRule>
  </x:conditionalFormatting>
  <x:conditionalFormatting sqref="C7:C10">
    <x:cfRule type="cellIs" dxfId="74" priority="3" operator="equal">
      <x:formula>"Validé"</x:formula>
    </x:cfRule>
  </x:conditionalFormatting>
  <x:conditionalFormatting sqref="E7:E10">
    <x:cfRule type="cellIs" dxfId="7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290a549b89c44bd1"/>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Retribution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RET-ANI-GRAYSON</x:v>
      </x:c>
      <x:c r="B7" s="9" t="str">
        <x:v>Paul Grayson — jeu de poses contextuelles</x:v>
      </x:c>
      <x:c r="C7" s="15" t="str">
        <x:v>Défini</x:v>
      </x:c>
      <x:c r="D7" s="16" t="str">
        <x:v>Extrapolation</x:v>
      </x:c>
      <x:c r="E7" s="16" t="str">
        <x:v>P1</x:v>
      </x:c>
      <x:c r="F7" s="9" t="str">
        <x:v>Création proposée : poses nécessaires à l’interaction « Servir de point de vue limité lors d’une séquence de perception proposée. ».</x:v>
      </x:c>
      <x:c r="G7" s="9" t="str">
        <x:v>Blocage animé de Paul Grayson : anticipation, action, récupération, retour au repos ; prévoir une interruption propre.</x:v>
      </x:c>
      <x:c r="H7" s="9" t="str">
        <x:v>Servir de point de vue limité lors d’une séquence de perception proposée. L’effet logique ne dépend jamais de la cadence du rendu.</x:v>
      </x:c>
      <x:c r="I7" s="9" t="str">
        <x:v>Conserver les repères de silhouette : Civil puis silhouette altérée ; pas de monstre générique dès sa première apparition.</x:v>
      </x:c>
      <x:c r="J7" s="9" t="str">
        <x:v>Repos, déplacement, interaction et réaction ; nombre d’images ajusté après essai sur écran ; ne pas ajouter une attaque aux personnages civils.</x:v>
      </x:c>
      <x:c r="K7" s="9" t="str">
        <x:v>Marqueurs animation distincts du fichier audio ; sous-titre court si l’action porte une information.</x:v>
      </x:c>
      <x:c r="L7" s="9" t="str">
        <x:v>Animator actor.ret.grayson ; événements start/commit/recover ; annulation avant commit sans effet.</x:v>
      </x:c>
      <x:c r="M7" s="9" t="str">
        <x:v>Animation de blessure ou de décès uniquement si le contexte la justifie ; pas de mort libre d’un personnage établi.</x:v>
      </x:c>
      <x:c r="N7" s="9" t="str">
        <x:v>Une interruption avant commit ne dépense pas la ressource ; aucune pose résiduelle après changement de carte.</x:v>
      </x:c>
      <x:c r="O7" s="9" t="str">
        <x:v>RET-SPR-GRAYSON</x:v>
      </x:c>
      <x:c r="P7" s="9" t="str"/>
      <x:c r="Q7" s="9" t="str"/>
      <x:c r="R7" s="9" t="str"/>
      <x:c r="S7" s="9" t="str"/>
    </x:row>
    <x:row r="8" ht="54" customHeight="1">
      <x:c r="A8" s="19" t="str">
        <x:v>RET-ANI-KAHLEE</x:v>
      </x:c>
      <x:c r="B8" s="7" t="str">
        <x:v>Kahlee Sanders — jeu de poses contextuelles</x:v>
      </x:c>
      <x:c r="C8" s="15" t="str">
        <x:v>Défini</x:v>
      </x:c>
      <x:c r="D8" s="17" t="str">
        <x:v>Extrapolation</x:v>
      </x:c>
      <x:c r="E8" s="17" t="str">
        <x:v>P1</x:v>
      </x:c>
      <x:c r="F8" s="7" t="str">
        <x:v>Création proposée : poses nécessaires à l’interaction « Assembler un dossier de localisation à partir de traces vérifiables. ».</x:v>
      </x:c>
      <x:c r="G8" s="7" t="str">
        <x:v>Blocage animé de Kahlee Sanders : anticipation, action, récupération, retour au repos ; prévoir une interruption propre.</x:v>
      </x:c>
      <x:c r="H8" s="7" t="str">
        <x:v>Assembler un dossier de localisation à partir de traces vérifiables. L’effet logique ne dépend jamais de la cadence du rendu.</x:v>
      </x:c>
      <x:c r="I8" s="7" t="str">
        <x:v>Conserver les repères de silhouette : Tenue de scientifique mobile, matériel d’analyse, posture déterminée.</x:v>
      </x:c>
      <x:c r="J8" s="7" t="str">
        <x:v>Repos, déplacement, interaction et réaction ; nombre d’images ajusté après essai sur écran ; ne pas ajouter une attaque aux personnages civils.</x:v>
      </x:c>
      <x:c r="K8" s="7" t="str">
        <x:v>Marqueurs animation distincts du fichier audio ; sous-titre court si l’action porte une information.</x:v>
      </x:c>
      <x:c r="L8" s="7" t="str">
        <x:v>Animator actor.ret.kahlee ; événements start/commit/recover ; annulation avant commit sans effet.</x:v>
      </x:c>
      <x:c r="M8" s="7" t="str">
        <x:v>Animation de blessure ou de décès uniquement si le contexte la justifie ; pas de mort libre d’un personnage établi.</x:v>
      </x:c>
      <x:c r="N8" s="7" t="str">
        <x:v>Une interruption avant commit ne dépense pas la ressource ; aucune pose résiduelle après changement de carte.</x:v>
      </x:c>
      <x:c r="O8" s="7" t="str">
        <x:v>RET-SPR-KAHLEE</x:v>
      </x:c>
      <x:c r="P8" s="7" t="str"/>
      <x:c r="Q8" s="7" t="str"/>
      <x:c r="R8" s="7" t="str"/>
      <x:c r="S8" s="7" t="str"/>
    </x:row>
    <x:row r="9" ht="54" customHeight="1">
      <x:c r="A9" s="18" t="str">
        <x:v>RET-ANI-ANDERSON</x:v>
      </x:c>
      <x:c r="B9" s="9" t="str">
        <x:v>David Anderson — jeu de poses contextuelles</x:v>
      </x:c>
      <x:c r="C9" s="15" t="str">
        <x:v>Défini</x:v>
      </x:c>
      <x:c r="D9" s="16" t="str">
        <x:v>Extrapolation</x:v>
      </x:c>
      <x:c r="E9" s="16" t="str">
        <x:v>P1</x:v>
      </x:c>
      <x:c r="F9" s="9" t="str">
        <x:v>Création proposée : poses nécessaires à l’interaction « Coordonner protection, progression et retour des informations. ».</x:v>
      </x:c>
      <x:c r="G9" s="9" t="str">
        <x:v>Blocage animé de David Anderson : anticipation, action, récupération, retour au repos ; prévoir une interruption propre.</x:v>
      </x:c>
      <x:c r="H9" s="9" t="str">
        <x:v>Coordonner protection, progression et retour des informations. L’effet logique ne dépend jamais de la cadence du rendu.</x:v>
      </x:c>
      <x:c r="I9" s="9" t="str">
        <x:v>Conserver les repères de silhouette : Armure militaire sobre avec variante civile ; aucun équipement tardif automatique.</x:v>
      </x:c>
      <x:c r="J9" s="9" t="str">
        <x:v>Repos, déplacement, interaction et réaction ; nombre d’images ajusté après essai sur écran ; ne pas ajouter une attaque aux personnages civils.</x:v>
      </x:c>
      <x:c r="K9" s="9" t="str">
        <x:v>Marqueurs animation distincts du fichier audio ; sous-titre court si l’action porte une information.</x:v>
      </x:c>
      <x:c r="L9" s="9" t="str">
        <x:v>Animator actor.ret.anderson ; événements start/commit/recover ; annulation avant commit sans effet.</x:v>
      </x:c>
      <x:c r="M9" s="9" t="str">
        <x:v>Animation de blessure ou de décès uniquement si le contexte la justifie ; pas de mort libre d’un personnage établi.</x:v>
      </x:c>
      <x:c r="N9" s="9" t="str">
        <x:v>Une interruption avant commit ne dépense pas la ressource ; aucune pose résiduelle après changement de carte.</x:v>
      </x:c>
      <x:c r="O9" s="9" t="str">
        <x:v>RET-SPR-ANDERSON</x:v>
      </x:c>
      <x:c r="P9" s="9" t="str"/>
      <x:c r="Q9" s="9" t="str"/>
      <x:c r="R9" s="9" t="str"/>
      <x:c r="S9" s="9" t="str"/>
    </x:row>
    <x:row r="10" ht="54" customHeight="1">
      <x:c r="A10" s="19" t="str">
        <x:v>RET-ANI-KAILENG</x:v>
      </x:c>
      <x:c r="B10" s="7" t="str">
        <x:v>Kai Leng — jeu de poses contextuelles</x:v>
      </x:c>
      <x:c r="C10" s="15" t="str">
        <x:v>Défini</x:v>
      </x:c>
      <x:c r="D10" s="17" t="str">
        <x:v>Extrapolation</x:v>
      </x:c>
      <x:c r="E10" s="17" t="str">
        <x:v>P1</x:v>
      </x:c>
      <x:c r="F10" s="7" t="str">
        <x:v>Création proposée : poses nécessaires à l’interaction « Imposer un duel de contrôle d’objectif dont il peut sortir selon le récit. ».</x:v>
      </x:c>
      <x:c r="G10" s="7" t="str">
        <x:v>Blocage animé de Kai Leng : anticipation, action, récupération, retour au repos ; prévoir une interruption propre.</x:v>
      </x:c>
      <x:c r="H10" s="7" t="str">
        <x:v>Imposer un duel de contrôle d’objectif dont il peut sortir selon le récit. L’effet logique ne dépend jamais de la cadence du rendu.</x:v>
      </x:c>
      <x:c r="I10" s="7" t="str">
        <x:v>Conserver les repères de silhouette : Tenue d’infiltration propre à la période ; éviter une copie immédiate de ME3.</x:v>
      </x:c>
      <x:c r="J10" s="7" t="str">
        <x:v>Repos, déplacement, interaction et réaction ; nombre d’images ajusté après essai sur écran ; ne pas ajouter une attaque aux personnages civils.</x:v>
      </x:c>
      <x:c r="K10" s="7" t="str">
        <x:v>Marqueurs animation distincts du fichier audio ; sous-titre court si l’action porte une information.</x:v>
      </x:c>
      <x:c r="L10" s="7" t="str">
        <x:v>Animator actor.ret.kaileng ; événements start/commit/recover ; annulation avant commit sans effet.</x:v>
      </x:c>
      <x:c r="M10" s="7" t="str">
        <x:v>Animation de blessure ou de décès uniquement si le contexte la justifie ; pas de mort libre d’un personnage établi.</x:v>
      </x:c>
      <x:c r="N10" s="7" t="str">
        <x:v>Une interruption avant commit ne dépense pas la ressource ; aucune pose résiduelle après changement de carte.</x:v>
      </x:c>
      <x:c r="O10" s="7" t="str">
        <x:v>RET-SPR-KAILENG</x:v>
      </x:c>
      <x:c r="P10" s="7" t="str"/>
      <x:c r="Q10" s="7" t="str"/>
      <x:c r="R10" s="7" t="str"/>
      <x:c r="S10" s="7" t="str"/>
    </x:row>
    <x:row r="11" ht="54" customHeight="1">
      <x:c r="A11" s="18" t="str">
        <x:v>RET-ANI-ILLUSIVE</x:v>
      </x:c>
      <x:c r="B11" s="9" t="str">
        <x:v>Homme Trouble — jeu de poses contextuelles</x:v>
      </x:c>
      <x:c r="C11" s="15" t="str">
        <x:v>Défini</x:v>
      </x:c>
      <x:c r="D11" s="16" t="str">
        <x:v>Extrapolation</x:v>
      </x:c>
      <x:c r="E11" s="16" t="str">
        <x:v>P1</x:v>
      </x:c>
      <x:c r="F11" s="9" t="str">
        <x:v>Création proposée : poses nécessaires à l’interaction « Intervenir par une instruction qui ne révèle pas tous ses objectifs. ».</x:v>
      </x:c>
      <x:c r="G11" s="9" t="str">
        <x:v>Blocage animé de Homme Trouble : anticipation, action, récupération, retour au repos ; prévoir une interruption propre.</x:v>
      </x:c>
      <x:c r="H11" s="9" t="str">
        <x:v>Intervenir par une instruction qui ne révèle pas tous ses objectifs. L’effet logique ne dépend jamais de la cadence du rendu.</x:v>
      </x:c>
      <x:c r="I11" s="9" t="str">
        <x:v>Conserver les repères de silhouette : Silhouette en communication distante, cadrage contenu et décor abstrait.</x:v>
      </x:c>
      <x:c r="J11" s="9" t="str">
        <x:v>Repos, déplacement, interaction et réaction ; nombre d’images ajusté après essai sur écran ; ne pas ajouter une attaque aux personnages civils.</x:v>
      </x:c>
      <x:c r="K11" s="9" t="str">
        <x:v>Marqueurs animation distincts du fichier audio ; sous-titre court si l’action porte une information.</x:v>
      </x:c>
      <x:c r="L11" s="9" t="str">
        <x:v>Animator actor.ret.illusive ; événements start/commit/recover ; annulation avant commit sans effet.</x:v>
      </x:c>
      <x:c r="M11" s="9" t="str">
        <x:v>Animation de blessure ou de décès uniquement si le contexte la justifie ; pas de mort libre d’un personnage établi.</x:v>
      </x:c>
      <x:c r="N11" s="9" t="str">
        <x:v>Une interruption avant commit ne dépense pas la ressource ; aucune pose résiduelle après changement de carte.</x:v>
      </x:c>
      <x:c r="O11" s="9" t="str">
        <x:v>RET-SPR-ILLUSIVE</x:v>
      </x:c>
      <x:c r="P11" s="9" t="str"/>
      <x:c r="Q11" s="9" t="str"/>
      <x:c r="R11" s="9" t="str"/>
      <x:c r="S11" s="9" t="str"/>
    </x:row>
    <x:row r="12" ht="68" customHeight="1">
      <x:c r="A12" s="19" t="str">
        <x:v>RET-ANI-LISELLE</x:v>
      </x:c>
      <x:c r="B12" s="7" t="str">
        <x:v>Liselle — jeu de poses contextuelles</x:v>
      </x:c>
      <x:c r="C12" s="15" t="str">
        <x:v>Défini</x:v>
      </x:c>
      <x:c r="D12" s="17" t="str">
        <x:v>Extrapolation</x:v>
      </x:c>
      <x:c r="E12" s="17" t="str">
        <x:v>P1</x:v>
      </x:c>
      <x:c r="F12" s="7" t="str">
        <x:v>Création proposée : poses nécessaires à l’interaction « Participer à un échange de préparation situé avant les événements qui l’excluent. ».</x:v>
      </x:c>
      <x:c r="G12" s="7" t="str">
        <x:v>Blocage animé de Liselle : anticipation, action, récupération, retour au repos ; prévoir une interruption propre.</x:v>
      </x:c>
      <x:c r="H12" s="7" t="str">
        <x:v>Participer à un échange de préparation situé avant les événements qui l’excluent. L’effet logique ne dépend jamais de la cadence du rendu.</x:v>
      </x:c>
      <x:c r="I12" s="7" t="str">
        <x:v>Conserver les repères de silhouette : Tenue de terrain asari proposée ; portrait personnel distinct de sa mère.</x:v>
      </x:c>
      <x:c r="J12" s="7" t="str">
        <x:v>Repos, déplacement, interaction et réaction ; nombre d’images ajusté après essai sur écran ; ne pas ajouter une attaque aux personnages civils.</x:v>
      </x:c>
      <x:c r="K12" s="7" t="str">
        <x:v>Marqueurs animation distincts du fichier audio ; sous-titre court si l’action porte une information.</x:v>
      </x:c>
      <x:c r="L12" s="7" t="str">
        <x:v>Animator actor.ret.liselle ; événements start/commit/recover ; annulation avant commit sans effet.</x:v>
      </x:c>
      <x:c r="M12" s="7" t="str">
        <x:v>Animation de blessure ou de décès uniquement si le contexte la justifie ; pas de mort libre d’un personnage établi.</x:v>
      </x:c>
      <x:c r="N12" s="7" t="str">
        <x:v>Une interruption avant commit ne dépense pas la ressource ; aucune pose résiduelle après changement de carte.</x:v>
      </x:c>
      <x:c r="O12" s="7" t="str">
        <x:v>RET-SPR-LISELLE</x:v>
      </x:c>
      <x:c r="P12" s="7" t="str"/>
      <x:c r="Q12" s="7" t="str"/>
      <x:c r="R12" s="7" t="str"/>
      <x:c r="S12" s="7" t="str"/>
    </x:row>
    <x:row r="13" ht="54" customHeight="1">
      <x:c r="A13" s="18" t="str">
        <x:v>RET-ANI-ARIA</x:v>
      </x:c>
      <x:c r="B13" s="9" t="str">
        <x:v>Aria T’Loak — jeu de poses contextuelles</x:v>
      </x:c>
      <x:c r="C13" s="15" t="str">
        <x:v>Défini</x:v>
      </x:c>
      <x:c r="D13" s="16" t="str">
        <x:v>Extrapolation</x:v>
      </x:c>
      <x:c r="E13" s="16" t="str">
        <x:v>P1</x:v>
      </x:c>
      <x:c r="F13" s="9" t="str">
        <x:v>Création proposée : poses nécessaires à l’interaction « Autoriser ou refuser un accès local sans score de moralité. ».</x:v>
      </x:c>
      <x:c r="G13" s="9" t="str">
        <x:v>Blocage animé de Aria T’Loak : anticipation, action, récupération, retour au repos ; prévoir une interruption propre.</x:v>
      </x:c>
      <x:c r="H13" s="9" t="str">
        <x:v>Autoriser ou refuser un accès local sans score de moralité. L’effet logique ne dépend jamais de la cadence du rendu.</x:v>
      </x:c>
      <x:c r="I13" s="9" t="str">
        <x:v>Conserver les repères de silhouette : Silhouette asari assurée ; cadrage fixe plutôt qu’un nouveau boss.</x:v>
      </x:c>
      <x:c r="J13" s="9" t="str">
        <x:v>Repos, déplacement, interaction et réaction ; nombre d’images ajusté après essai sur écran ; ne pas ajouter une attaque aux personnages civils.</x:v>
      </x:c>
      <x:c r="K13" s="9" t="str">
        <x:v>Marqueurs animation distincts du fichier audio ; sous-titre court si l’action porte une information.</x:v>
      </x:c>
      <x:c r="L13" s="9" t="str">
        <x:v>Animator actor.ret.aria ; événements start/commit/recover ; annulation avant commit sans effet.</x:v>
      </x:c>
      <x:c r="M13" s="9" t="str">
        <x:v>Animation de blessure ou de décès uniquement si le contexte la justifie ; pas de mort libre d’un personnage établi.</x:v>
      </x:c>
      <x:c r="N13" s="9" t="str">
        <x:v>Une interruption avant commit ne dépense pas la ressource ; aucune pose résiduelle après changement de carte.</x:v>
      </x:c>
      <x:c r="O13" s="9" t="str">
        <x:v>RET-SPR-ARIA</x:v>
      </x:c>
      <x:c r="P13" s="9" t="str"/>
      <x:c r="Q13" s="9" t="str"/>
      <x:c r="R13" s="9" t="str"/>
      <x:c r="S13" s="9" t="str"/>
    </x:row>
    <x:row r="14" ht="54" customHeight="1">
      <x:c r="A14" s="19" t="str">
        <x:v>RET-ANI-SANAK</x:v>
      </x:c>
      <x:c r="B14" s="7" t="str">
        <x:v>Sanak — jeu de poses contextuelles</x:v>
      </x:c>
      <x:c r="C14" s="15" t="str">
        <x:v>Défini</x:v>
      </x:c>
      <x:c r="D14" s="17" t="str">
        <x:v>Extrapolation</x:v>
      </x:c>
      <x:c r="E14" s="17" t="str">
        <x:v>P1</x:v>
      </x:c>
      <x:c r="F14" s="7" t="str">
        <x:v>Création proposée : poses nécessaires à l’interaction « Contrôler un contrat fictif et contester un risque de mission. ».</x:v>
      </x:c>
      <x:c r="G14" s="7" t="str">
        <x:v>Blocage animé de Sanak : anticipation, action, récupération, retour au repos ; prévoir une interruption propre.</x:v>
      </x:c>
      <x:c r="H14" s="7" t="str">
        <x:v>Contrôler un contrat fictif et contester un risque de mission. L’effet logique ne dépend jamais de la cadence du rendu.</x:v>
      </x:c>
      <x:c r="I14" s="7" t="str">
        <x:v>Conserver les repères de silhouette : Combattant de terrain distinct de l’escouade Cerberus ; espèce et tenue à vérifier dans l’édition.</x:v>
      </x:c>
      <x:c r="J14" s="7" t="str">
        <x:v>Repos, déplacement, interaction et réaction ; nombre d’images ajusté après essai sur écran ; ne pas ajouter une attaque aux personnages civils.</x:v>
      </x:c>
      <x:c r="K14" s="7" t="str">
        <x:v>Marqueurs animation distincts du fichier audio ; sous-titre court si l’action porte une information.</x:v>
      </x:c>
      <x:c r="L14" s="7" t="str">
        <x:v>Animator actor.ret.sanak ; événements start/commit/recover ; annulation avant commit sans effet.</x:v>
      </x:c>
      <x:c r="M14" s="7" t="str">
        <x:v>Animation de blessure ou de décès uniquement si le contexte la justifie ; pas de mort libre d’un personnage établi.</x:v>
      </x:c>
      <x:c r="N14" s="7" t="str">
        <x:v>Une interruption avant commit ne dépense pas la ressource ; aucune pose résiduelle après changement de carte.</x:v>
      </x:c>
      <x:c r="O14" s="7" t="str">
        <x:v>RET-SPR-SANAK</x:v>
      </x:c>
      <x:c r="P14" s="7" t="str"/>
      <x:c r="Q14" s="7" t="str"/>
      <x:c r="R14" s="7" t="str"/>
      <x:c r="S14" s="7" t="str"/>
    </x:row>
    <x:row r="15" ht="54" customHeight="1">
      <x:c r="A15" s="18" t="str">
        <x:v>RET-ANI-ORINIA</x:v>
      </x:c>
      <x:c r="B15" s="9" t="str">
        <x:v>Orinia — jeu de poses contextuelles</x:v>
      </x:c>
      <x:c r="C15" s="15" t="str">
        <x:v>Défini</x:v>
      </x:c>
      <x:c r="D15" s="16" t="str">
        <x:v>Extrapolation</x:v>
      </x:c>
      <x:c r="E15" s="16" t="str">
        <x:v>P1</x:v>
      </x:c>
      <x:c r="F15" s="9" t="str">
        <x:v>Création proposée : poses nécessaires à l’interaction « Évaluer une demande d’assistance étayée par des preuves. ».</x:v>
      </x:c>
      <x:c r="G15" s="9" t="str">
        <x:v>Blocage animé de Orinia : anticipation, action, récupération, retour au repos ; prévoir une interruption propre.</x:v>
      </x:c>
      <x:c r="H15" s="9" t="str">
        <x:v>Évaluer une demande d’assistance étayée par des preuves. L’effet logique ne dépend jamais de la cadence du rendu.</x:v>
      </x:c>
      <x:c r="I15" s="9" t="str">
        <x:v>Conserver les repères de silhouette : Tenue diplomatique turienne proposée, posture administrative distincte de Saren.</x:v>
      </x:c>
      <x:c r="J15" s="9" t="str">
        <x:v>Repos, déplacement, interaction et réaction ; nombre d’images ajusté après essai sur écran ; ne pas ajouter une attaque aux personnages civils.</x:v>
      </x:c>
      <x:c r="K15" s="9" t="str">
        <x:v>Marqueurs animation distincts du fichier audio ; sous-titre court si l’action porte une information.</x:v>
      </x:c>
      <x:c r="L15" s="9" t="str">
        <x:v>Animator actor.ret.orinia ; événements start/commit/recover ; annulation avant commit sans effet.</x:v>
      </x:c>
      <x:c r="M15" s="9" t="str">
        <x:v>Animation de blessure ou de décès uniquement si le contexte la justifie ; pas de mort libre d’un personnage établi.</x:v>
      </x:c>
      <x:c r="N15" s="9" t="str">
        <x:v>Une interruption avant commit ne dépense pas la ressource ; aucune pose résiduelle après changement de carte.</x:v>
      </x:c>
      <x:c r="O15" s="9" t="str">
        <x:v>RET-SPR-ORINIA</x:v>
      </x:c>
      <x:c r="P15" s="9" t="str"/>
      <x:c r="Q15" s="9" t="str"/>
      <x:c r="R15" s="9" t="str"/>
      <x:c r="S15" s="9" t="str"/>
    </x:row>
    <x:row r="16" ht="54" customHeight="1">
      <x:c r="A16" s="19" t="str">
        <x:v>RET-ANI-NICK</x:v>
      </x:c>
      <x:c r="B16" s="7" t="str">
        <x:v>Nick Donahue — jeu de poses contextuelles</x:v>
      </x:c>
      <x:c r="C16" s="15" t="str">
        <x:v>Défini</x:v>
      </x:c>
      <x:c r="D16" s="17" t="str">
        <x:v>Extrapolation</x:v>
      </x:c>
      <x:c r="E16" s="17" t="str">
        <x:v>P1</x:v>
      </x:c>
      <x:c r="F16" s="7" t="str">
        <x:v>Création proposée : poses nécessaires à l’interaction « Suivre des consignes de mise à l’abri sans recrutement permanent au combat. ».</x:v>
      </x:c>
      <x:c r="G16" s="7" t="str">
        <x:v>Blocage animé de Nick Donahue : anticipation, action, récupération, retour au repos ; prévoir une interruption propre.</x:v>
      </x:c>
      <x:c r="H16" s="7" t="str">
        <x:v>Suivre des consignes de mise à l’abri sans recrutement permanent au combat. L’effet logique ne dépend jamais de la cadence du rendu.</x:v>
      </x:c>
      <x:c r="I16" s="7" t="str">
        <x:v>Conserver les repères de silhouette : Silhouette adolescente, tenue d’élève, variante d’alerte et de soin.</x:v>
      </x:c>
      <x:c r="J16" s="7" t="str">
        <x:v>Repos, déplacement, interaction et réaction ; nombre d’images ajusté après essai sur écran ; ne pas ajouter une attaque aux personnages civils.</x:v>
      </x:c>
      <x:c r="K16" s="7" t="str">
        <x:v>Marqueurs animation distincts du fichier audio ; sous-titre court si l’action porte une information.</x:v>
      </x:c>
      <x:c r="L16" s="7" t="str">
        <x:v>Animator actor.ret.nick ; événements start/commit/recover ; annulation avant commit sans effet.</x:v>
      </x:c>
      <x:c r="M16" s="7" t="str">
        <x:v>Animation de blessure ou de décès uniquement si le contexte la justifie ; pas de mort libre d’un personnage établi.</x:v>
      </x:c>
      <x:c r="N16" s="7" t="str">
        <x:v>Une interruption avant commit ne dépense pas la ressource ; aucune pose résiduelle après changement de carte.</x:v>
      </x:c>
      <x:c r="O16" s="7" t="str">
        <x:v>RET-SPR-NICK</x:v>
      </x:c>
      <x:c r="P16" s="7" t="str"/>
      <x:c r="Q16" s="7" t="str"/>
      <x:c r="R16" s="7" t="str"/>
      <x:c r="S16" s="7" t="str"/>
    </x:row>
  </x:sheetData>
  <x:conditionalFormatting sqref="D7:D16">
    <x:cfRule type="cellIs" dxfId="76" priority="1" operator="equal">
      <x:formula>"À vérifier"</x:formula>
    </x:cfRule>
    <x:cfRule type="cellIs" dxfId="77" priority="2" operator="equal">
      <x:formula>"Extrapolation"</x:formula>
    </x:cfRule>
  </x:conditionalFormatting>
  <x:conditionalFormatting sqref="C7:C16">
    <x:cfRule type="cellIs" dxfId="78" priority="3" operator="equal">
      <x:formula>"Validé"</x:formula>
    </x:cfRule>
  </x:conditionalFormatting>
  <x:conditionalFormatting sqref="E7:E16">
    <x:cfRule type="cellIs" dxfId="79"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7c6a2543f98f4bf1"/>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Retribution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RET-SPR-GRAYSON</x:v>
      </x:c>
      <x:c r="B7" s="9" t="str">
        <x:v>Paul Grayson — planche sprite</x:v>
      </x:c>
      <x:c r="C7" s="15" t="str">
        <x:v>Défini</x:v>
      </x:c>
      <x:c r="D7" s="16" t="str">
        <x:v>Extrapolation</x:v>
      </x:c>
      <x:c r="E7" s="16" t="str">
        <x:v>P1</x:v>
      </x:c>
      <x:c r="F7" s="9" t="str">
        <x:v>Création proposée : représentation 2D de Paul Grayson pour ce module.</x:v>
      </x:c>
      <x:c r="G7" s="9" t="str">
        <x:v>Civil puis silhouette altérée ; pas de monstre générique dès sa première apparition. Préparer silhouette entière, portrait de dialogue et masque de sélection.</x:v>
      </x:c>
      <x:c r="H7" s="9" t="str">
        <x:v>La zone interactive reste stable entre les poses ; la tenue ne confère aucun bonus implicite.</x:v>
      </x:c>
      <x:c r="I7" s="9" t="str">
        <x:v>Civil puis silhouette altérée ; pas de monstre générique dès sa première apparition. Palette proposée à valider ; comparaison en miniature et sur le décor le plus sombre.</x:v>
      </x:c>
      <x:c r="J7" s="9" t="str">
        <x:v>Vue de trois quarts ; pivots dans huit directions proposées ; symétrie interdite si elle inverse un accessoire identifiable.</x:v>
      </x:c>
      <x:c r="K7" s="9" t="str">
        <x:v>Aucun échantillon du jeu ou du film ; le changement de sélection utilise le son UI du module.</x:v>
      </x:c>
      <x:c r="L7" s="9" t="str">
        <x:v>Prévoir assets/ret/actors/grayson/atlas.png + atlas.json, pivot aux pieds.</x:v>
      </x:c>
      <x:c r="M7" s="9" t="str">
        <x:v>Visible uniquement quand Paul Grayson est autorisé par l’état narratif.</x:v>
      </x:c>
      <x:c r="N7" s="9" t="str">
        <x:v>Silhouette reconnue sans nom ; pieds sans glissement ; portrait et sprite cohérents à échelle réelle.</x:v>
      </x:c>
      <x:c r="O7" s="9" t="str">
        <x:v>RET-CHR-GRAYSON</x:v>
      </x:c>
      <x:c r="P7" s="9" t="str"/>
      <x:c r="Q7" s="9" t="str"/>
      <x:c r="R7" s="9" t="str"/>
      <x:c r="S7" s="9" t="str"/>
    </x:row>
    <x:row r="8" ht="68" customHeight="1">
      <x:c r="A8" s="19" t="str">
        <x:v>RET-SPR-KAHLEE</x:v>
      </x:c>
      <x:c r="B8" s="7" t="str">
        <x:v>Kahlee Sanders — planche sprite</x:v>
      </x:c>
      <x:c r="C8" s="15" t="str">
        <x:v>Défini</x:v>
      </x:c>
      <x:c r="D8" s="17" t="str">
        <x:v>Extrapolation</x:v>
      </x:c>
      <x:c r="E8" s="17" t="str">
        <x:v>P1</x:v>
      </x:c>
      <x:c r="F8" s="7" t="str">
        <x:v>Création proposée : représentation 2D de Kahlee Sanders pour ce module.</x:v>
      </x:c>
      <x:c r="G8" s="7" t="str">
        <x:v>Tenue de scientifique mobile, matériel d’analyse, posture déterminée. Préparer silhouette entière, portrait de dialogue et masque de sélection.</x:v>
      </x:c>
      <x:c r="H8" s="7" t="str">
        <x:v>La zone interactive reste stable entre les poses ; la tenue ne confère aucun bonus implicite.</x:v>
      </x:c>
      <x:c r="I8" s="7" t="str">
        <x:v>Tenue de scientifique mobile, matériel d’analyse, posture déterminée. Palette proposée à valider ; comparaison en miniature et sur le décor le plus sombre.</x:v>
      </x:c>
      <x:c r="J8" s="7" t="str">
        <x:v>Vue de trois quarts ; pivots dans huit directions proposées ; symétrie interdite si elle inverse un accessoire identifiable.</x:v>
      </x:c>
      <x:c r="K8" s="7" t="str">
        <x:v>Aucun échantillon du jeu ou du film ; le changement de sélection utilise le son UI du module.</x:v>
      </x:c>
      <x:c r="L8" s="7" t="str">
        <x:v>Prévoir assets/ret/actors/kahlee/atlas.png + atlas.json, pivot aux pieds.</x:v>
      </x:c>
      <x:c r="M8" s="7" t="str">
        <x:v>Visible uniquement quand Kahlee Sanders est autorisé par l’état narratif.</x:v>
      </x:c>
      <x:c r="N8" s="7" t="str">
        <x:v>Silhouette reconnue sans nom ; pieds sans glissement ; portrait et sprite cohérents à échelle réelle.</x:v>
      </x:c>
      <x:c r="O8" s="7" t="str">
        <x:v>RET-CHR-KAHLEE</x:v>
      </x:c>
      <x:c r="P8" s="7" t="str"/>
      <x:c r="Q8" s="7" t="str"/>
      <x:c r="R8" s="7" t="str"/>
      <x:c r="S8" s="7" t="str"/>
    </x:row>
    <x:row r="9" ht="68" customHeight="1">
      <x:c r="A9" s="18" t="str">
        <x:v>RET-SPR-ANDERSON</x:v>
      </x:c>
      <x:c r="B9" s="9" t="str">
        <x:v>David Anderson — planche sprite</x:v>
      </x:c>
      <x:c r="C9" s="15" t="str">
        <x:v>Défini</x:v>
      </x:c>
      <x:c r="D9" s="16" t="str">
        <x:v>Extrapolation</x:v>
      </x:c>
      <x:c r="E9" s="16" t="str">
        <x:v>P1</x:v>
      </x:c>
      <x:c r="F9" s="9" t="str">
        <x:v>Création proposée : représentation 2D de David Anderson pour ce module.</x:v>
      </x:c>
      <x:c r="G9" s="9" t="str">
        <x:v>Armure militaire sobre avec variante civile ; aucun équipement tardif automatique. Préparer silhouette entière, portrait de dialogue et masque de sélection.</x:v>
      </x:c>
      <x:c r="H9" s="9" t="str">
        <x:v>La zone interactive reste stable entre les poses ; la tenue ne confère aucun bonus implicite.</x:v>
      </x:c>
      <x:c r="I9" s="9" t="str">
        <x:v>Armure militaire sobre avec variante civile ; aucun équipement tardif automatique. Palette proposée à valider ; comparaison en miniature et sur le décor le plus sombre.</x:v>
      </x:c>
      <x:c r="J9" s="9" t="str">
        <x:v>Vue de trois quarts ; pivots dans huit directions proposées ; symétrie interdite si elle inverse un accessoire identifiable.</x:v>
      </x:c>
      <x:c r="K9" s="9" t="str">
        <x:v>Aucun échantillon du jeu ou du film ; le changement de sélection utilise le son UI du module.</x:v>
      </x:c>
      <x:c r="L9" s="9" t="str">
        <x:v>Prévoir assets/ret/actors/anderson/atlas.png + atlas.json, pivot aux pieds.</x:v>
      </x:c>
      <x:c r="M9" s="9" t="str">
        <x:v>Visible uniquement quand David Anderson est autorisé par l’état narratif.</x:v>
      </x:c>
      <x:c r="N9" s="9" t="str">
        <x:v>Silhouette reconnue sans nom ; pieds sans glissement ; portrait et sprite cohérents à échelle réelle.</x:v>
      </x:c>
      <x:c r="O9" s="9" t="str">
        <x:v>RET-CHR-ANDERSON</x:v>
      </x:c>
      <x:c r="P9" s="9" t="str"/>
      <x:c r="Q9" s="9" t="str"/>
      <x:c r="R9" s="9" t="str"/>
      <x:c r="S9" s="9" t="str"/>
    </x:row>
    <x:row r="10" ht="68" customHeight="1">
      <x:c r="A10" s="19" t="str">
        <x:v>RET-SPR-KAILENG</x:v>
      </x:c>
      <x:c r="B10" s="7" t="str">
        <x:v>Kai Leng — planche sprite</x:v>
      </x:c>
      <x:c r="C10" s="15" t="str">
        <x:v>Défini</x:v>
      </x:c>
      <x:c r="D10" s="17" t="str">
        <x:v>Extrapolation</x:v>
      </x:c>
      <x:c r="E10" s="17" t="str">
        <x:v>P1</x:v>
      </x:c>
      <x:c r="F10" s="7" t="str">
        <x:v>Création proposée : représentation 2D de Kai Leng pour ce module.</x:v>
      </x:c>
      <x:c r="G10" s="7" t="str">
        <x:v>Tenue d’infiltration propre à la période ; éviter une copie immédiate de ME3. Préparer silhouette entière, portrait de dialogue et masque de sélection.</x:v>
      </x:c>
      <x:c r="H10" s="7" t="str">
        <x:v>La zone interactive reste stable entre les poses ; la tenue ne confère aucun bonus implicite.</x:v>
      </x:c>
      <x:c r="I10" s="7" t="str">
        <x:v>Tenue d’infiltration propre à la période ; éviter une copie immédiate de ME3. Palette proposée à valider ; comparaison en miniature et sur le décor le plus sombre.</x:v>
      </x:c>
      <x:c r="J10" s="7" t="str">
        <x:v>Vue de trois quarts ; pivots dans huit directions proposées ; symétrie interdite si elle inverse un accessoire identifiable.</x:v>
      </x:c>
      <x:c r="K10" s="7" t="str">
        <x:v>Aucun échantillon du jeu ou du film ; le changement de sélection utilise le son UI du module.</x:v>
      </x:c>
      <x:c r="L10" s="7" t="str">
        <x:v>Prévoir assets/ret/actors/kaileng/atlas.png + atlas.json, pivot aux pieds.</x:v>
      </x:c>
      <x:c r="M10" s="7" t="str">
        <x:v>Visible uniquement quand Kai Leng est autorisé par l’état narratif.</x:v>
      </x:c>
      <x:c r="N10" s="7" t="str">
        <x:v>Silhouette reconnue sans nom ; pieds sans glissement ; portrait et sprite cohérents à échelle réelle.</x:v>
      </x:c>
      <x:c r="O10" s="7" t="str">
        <x:v>RET-CHR-KAILENG</x:v>
      </x:c>
      <x:c r="P10" s="7" t="str"/>
      <x:c r="Q10" s="7" t="str"/>
      <x:c r="R10" s="7" t="str"/>
      <x:c r="S10" s="7" t="str"/>
    </x:row>
    <x:row r="11" ht="68" customHeight="1">
      <x:c r="A11" s="18" t="str">
        <x:v>RET-SPR-ILLUSIVE</x:v>
      </x:c>
      <x:c r="B11" s="9" t="str">
        <x:v>Homme Trouble — planche sprite</x:v>
      </x:c>
      <x:c r="C11" s="15" t="str">
        <x:v>Défini</x:v>
      </x:c>
      <x:c r="D11" s="16" t="str">
        <x:v>Extrapolation</x:v>
      </x:c>
      <x:c r="E11" s="16" t="str">
        <x:v>P1</x:v>
      </x:c>
      <x:c r="F11" s="9" t="str">
        <x:v>Création proposée : représentation 2D de Homme Trouble pour ce module.</x:v>
      </x:c>
      <x:c r="G11" s="9" t="str">
        <x:v>Silhouette en communication distante, cadrage contenu et décor abstrait. Préparer silhouette entière, portrait de dialogue et masque de sélection.</x:v>
      </x:c>
      <x:c r="H11" s="9" t="str">
        <x:v>La zone interactive reste stable entre les poses ; la tenue ne confère aucun bonus implicite.</x:v>
      </x:c>
      <x:c r="I11" s="9" t="str">
        <x:v>Silhouette en communication distante, cadrage contenu et décor abstrait. Palette proposée à valider ; comparaison en miniature et sur le décor le plus sombre.</x:v>
      </x:c>
      <x:c r="J11" s="9" t="str">
        <x:v>Vue de trois quarts ; pivots dans huit directions proposées ; symétrie interdite si elle inverse un accessoire identifiable.</x:v>
      </x:c>
      <x:c r="K11" s="9" t="str">
        <x:v>Aucun échantillon du jeu ou du film ; le changement de sélection utilise le son UI du module.</x:v>
      </x:c>
      <x:c r="L11" s="9" t="str">
        <x:v>Prévoir assets/ret/actors/illusive/atlas.png + atlas.json, pivot aux pieds.</x:v>
      </x:c>
      <x:c r="M11" s="9" t="str">
        <x:v>Visible uniquement quand Homme Trouble est autorisé par l’état narratif.</x:v>
      </x:c>
      <x:c r="N11" s="9" t="str">
        <x:v>Silhouette reconnue sans nom ; pieds sans glissement ; portrait et sprite cohérents à échelle réelle.</x:v>
      </x:c>
      <x:c r="O11" s="9" t="str">
        <x:v>RET-CHR-ILLUSIVE</x:v>
      </x:c>
      <x:c r="P11" s="9" t="str"/>
      <x:c r="Q11" s="9" t="str"/>
      <x:c r="R11" s="9" t="str"/>
      <x:c r="S11" s="9" t="str"/>
    </x:row>
    <x:row r="12" ht="68" customHeight="1">
      <x:c r="A12" s="19" t="str">
        <x:v>RET-SPR-LISELLE</x:v>
      </x:c>
      <x:c r="B12" s="7" t="str">
        <x:v>Liselle — planche sprite</x:v>
      </x:c>
      <x:c r="C12" s="15" t="str">
        <x:v>Défini</x:v>
      </x:c>
      <x:c r="D12" s="17" t="str">
        <x:v>Extrapolation</x:v>
      </x:c>
      <x:c r="E12" s="17" t="str">
        <x:v>P1</x:v>
      </x:c>
      <x:c r="F12" s="7" t="str">
        <x:v>Création proposée : représentation 2D de Liselle pour ce module.</x:v>
      </x:c>
      <x:c r="G12" s="7" t="str">
        <x:v>Tenue de terrain asari proposée ; portrait personnel distinct de sa mère. Préparer silhouette entière, portrait de dialogue et masque de sélection.</x:v>
      </x:c>
      <x:c r="H12" s="7" t="str">
        <x:v>La zone interactive reste stable entre les poses ; la tenue ne confère aucun bonus implicite.</x:v>
      </x:c>
      <x:c r="I12" s="7" t="str">
        <x:v>Tenue de terrain asari proposée ; portrait personnel distinct de sa mère. Palette proposée à valider ; comparaison en miniature et sur le décor le plus sombre.</x:v>
      </x:c>
      <x:c r="J12" s="7" t="str">
        <x:v>Vue de trois quarts ; pivots dans huit directions proposées ; symétrie interdite si elle inverse un accessoire identifiable.</x:v>
      </x:c>
      <x:c r="K12" s="7" t="str">
        <x:v>Aucun échantillon du jeu ou du film ; le changement de sélection utilise le son UI du module.</x:v>
      </x:c>
      <x:c r="L12" s="7" t="str">
        <x:v>Prévoir assets/ret/actors/liselle/atlas.png + atlas.json, pivot aux pieds.</x:v>
      </x:c>
      <x:c r="M12" s="7" t="str">
        <x:v>Visible uniquement quand Liselle est autorisé par l’état narratif.</x:v>
      </x:c>
      <x:c r="N12" s="7" t="str">
        <x:v>Silhouette reconnue sans nom ; pieds sans glissement ; portrait et sprite cohérents à échelle réelle.</x:v>
      </x:c>
      <x:c r="O12" s="7" t="str">
        <x:v>RET-CHR-LISELLE</x:v>
      </x:c>
      <x:c r="P12" s="7" t="str"/>
      <x:c r="Q12" s="7" t="str"/>
      <x:c r="R12" s="7" t="str"/>
      <x:c r="S12" s="7" t="str"/>
    </x:row>
    <x:row r="13" ht="68" customHeight="1">
      <x:c r="A13" s="18" t="str">
        <x:v>RET-SPR-ARIA</x:v>
      </x:c>
      <x:c r="B13" s="9" t="str">
        <x:v>Aria T’Loak — planche sprite</x:v>
      </x:c>
      <x:c r="C13" s="15" t="str">
        <x:v>Défini</x:v>
      </x:c>
      <x:c r="D13" s="16" t="str">
        <x:v>Extrapolation</x:v>
      </x:c>
      <x:c r="E13" s="16" t="str">
        <x:v>P1</x:v>
      </x:c>
      <x:c r="F13" s="9" t="str">
        <x:v>Création proposée : représentation 2D de Aria T’Loak pour ce module.</x:v>
      </x:c>
      <x:c r="G13" s="9" t="str">
        <x:v>Silhouette asari assurée ; cadrage fixe plutôt qu’un nouveau boss. Préparer silhouette entière, portrait de dialogue et masque de sélection.</x:v>
      </x:c>
      <x:c r="H13" s="9" t="str">
        <x:v>La zone interactive reste stable entre les poses ; la tenue ne confère aucun bonus implicite.</x:v>
      </x:c>
      <x:c r="I13" s="9" t="str">
        <x:v>Silhouette asari assurée ; cadrage fixe plutôt qu’un nouveau boss. Palette proposée à valider ; comparaison en miniature et sur le décor le plus sombre.</x:v>
      </x:c>
      <x:c r="J13" s="9" t="str">
        <x:v>Vue de trois quarts ; pivots dans huit directions proposées ; symétrie interdite si elle inverse un accessoire identifiable.</x:v>
      </x:c>
      <x:c r="K13" s="9" t="str">
        <x:v>Aucun échantillon du jeu ou du film ; le changement de sélection utilise le son UI du module.</x:v>
      </x:c>
      <x:c r="L13" s="9" t="str">
        <x:v>Prévoir assets/ret/actors/aria/atlas.png + atlas.json, pivot aux pieds.</x:v>
      </x:c>
      <x:c r="M13" s="9" t="str">
        <x:v>Visible uniquement quand Aria T’Loak est autorisé par l’état narratif.</x:v>
      </x:c>
      <x:c r="N13" s="9" t="str">
        <x:v>Silhouette reconnue sans nom ; pieds sans glissement ; portrait et sprite cohérents à échelle réelle.</x:v>
      </x:c>
      <x:c r="O13" s="9" t="str">
        <x:v>RET-CHR-ARIA</x:v>
      </x:c>
      <x:c r="P13" s="9" t="str"/>
      <x:c r="Q13" s="9" t="str"/>
      <x:c r="R13" s="9" t="str"/>
      <x:c r="S13" s="9" t="str"/>
    </x:row>
    <x:row r="14" ht="68" customHeight="1">
      <x:c r="A14" s="19" t="str">
        <x:v>RET-SPR-SANAK</x:v>
      </x:c>
      <x:c r="B14" s="7" t="str">
        <x:v>Sanak — planche sprite</x:v>
      </x:c>
      <x:c r="C14" s="15" t="str">
        <x:v>Défini</x:v>
      </x:c>
      <x:c r="D14" s="17" t="str">
        <x:v>Extrapolation</x:v>
      </x:c>
      <x:c r="E14" s="17" t="str">
        <x:v>P1</x:v>
      </x:c>
      <x:c r="F14" s="7" t="str">
        <x:v>Création proposée : représentation 2D de Sanak pour ce module.</x:v>
      </x:c>
      <x:c r="G14" s="7" t="str">
        <x:v>Combattant de terrain distinct de l’escouade Cerberus ; espèce et tenue à vérifier dans l’édition. Préparer silhouette entière, portrait de dialogue et masque de sélection.</x:v>
      </x:c>
      <x:c r="H14" s="7" t="str">
        <x:v>La zone interactive reste stable entre les poses ; la tenue ne confère aucun bonus implicite.</x:v>
      </x:c>
      <x:c r="I14" s="7" t="str">
        <x:v>Combattant de terrain distinct de l’escouade Cerberus ; espèce et tenue à vérifier dans l’édition. Palette proposée à valider ; comparaison en miniature et sur le décor le plus sombre.</x:v>
      </x:c>
      <x:c r="J14" s="7" t="str">
        <x:v>Vue de trois quarts ; pivots dans huit directions proposées ; symétrie interdite si elle inverse un accessoire identifiable.</x:v>
      </x:c>
      <x:c r="K14" s="7" t="str">
        <x:v>Aucun échantillon du jeu ou du film ; le changement de sélection utilise le son UI du module.</x:v>
      </x:c>
      <x:c r="L14" s="7" t="str">
        <x:v>Prévoir assets/ret/actors/sanak/atlas.png + atlas.json, pivot aux pieds.</x:v>
      </x:c>
      <x:c r="M14" s="7" t="str">
        <x:v>Visible uniquement quand Sanak est autorisé par l’état narratif.</x:v>
      </x:c>
      <x:c r="N14" s="7" t="str">
        <x:v>Silhouette reconnue sans nom ; pieds sans glissement ; portrait et sprite cohérents à échelle réelle.</x:v>
      </x:c>
      <x:c r="O14" s="7" t="str">
        <x:v>RET-CHR-SANAK</x:v>
      </x:c>
      <x:c r="P14" s="7" t="str"/>
      <x:c r="Q14" s="7" t="str"/>
      <x:c r="R14" s="7" t="str"/>
      <x:c r="S14" s="7" t="str"/>
    </x:row>
    <x:row r="15" ht="68" customHeight="1">
      <x:c r="A15" s="18" t="str">
        <x:v>RET-SPR-ORINIA</x:v>
      </x:c>
      <x:c r="B15" s="9" t="str">
        <x:v>Orinia — planche sprite</x:v>
      </x:c>
      <x:c r="C15" s="15" t="str">
        <x:v>Défini</x:v>
      </x:c>
      <x:c r="D15" s="16" t="str">
        <x:v>Extrapolation</x:v>
      </x:c>
      <x:c r="E15" s="16" t="str">
        <x:v>P1</x:v>
      </x:c>
      <x:c r="F15" s="9" t="str">
        <x:v>Création proposée : représentation 2D de Orinia pour ce module.</x:v>
      </x:c>
      <x:c r="G15" s="9" t="str">
        <x:v>Tenue diplomatique turienne proposée, posture administrative distincte de Saren. Préparer silhouette entière, portrait de dialogue et masque de sélection.</x:v>
      </x:c>
      <x:c r="H15" s="9" t="str">
        <x:v>La zone interactive reste stable entre les poses ; la tenue ne confère aucun bonus implicite.</x:v>
      </x:c>
      <x:c r="I15" s="9" t="str">
        <x:v>Tenue diplomatique turienne proposée, posture administrative distincte de Saren. Palette proposée à valider ; comparaison en miniature et sur le décor le plus sombre.</x:v>
      </x:c>
      <x:c r="J15" s="9" t="str">
        <x:v>Vue de trois quarts ; pivots dans huit directions proposées ; symétrie interdite si elle inverse un accessoire identifiable.</x:v>
      </x:c>
      <x:c r="K15" s="9" t="str">
        <x:v>Aucun échantillon du jeu ou du film ; le changement de sélection utilise le son UI du module.</x:v>
      </x:c>
      <x:c r="L15" s="9" t="str">
        <x:v>Prévoir assets/ret/actors/orinia/atlas.png + atlas.json, pivot aux pieds.</x:v>
      </x:c>
      <x:c r="M15" s="9" t="str">
        <x:v>Visible uniquement quand Orinia est autorisé par l’état narratif.</x:v>
      </x:c>
      <x:c r="N15" s="9" t="str">
        <x:v>Silhouette reconnue sans nom ; pieds sans glissement ; portrait et sprite cohérents à échelle réelle.</x:v>
      </x:c>
      <x:c r="O15" s="9" t="str">
        <x:v>RET-CHR-ORINIA</x:v>
      </x:c>
      <x:c r="P15" s="9" t="str"/>
      <x:c r="Q15" s="9" t="str"/>
      <x:c r="R15" s="9" t="str"/>
      <x:c r="S15" s="9" t="str"/>
    </x:row>
    <x:row r="16" ht="68" customHeight="1">
      <x:c r="A16" s="19" t="str">
        <x:v>RET-SPR-NICK</x:v>
      </x:c>
      <x:c r="B16" s="7" t="str">
        <x:v>Nick Donahue — planche sprite</x:v>
      </x:c>
      <x:c r="C16" s="15" t="str">
        <x:v>Défini</x:v>
      </x:c>
      <x:c r="D16" s="17" t="str">
        <x:v>Extrapolation</x:v>
      </x:c>
      <x:c r="E16" s="17" t="str">
        <x:v>P1</x:v>
      </x:c>
      <x:c r="F16" s="7" t="str">
        <x:v>Création proposée : représentation 2D de Nick Donahue pour ce module.</x:v>
      </x:c>
      <x:c r="G16" s="7" t="str">
        <x:v>Silhouette adolescente, tenue d’élève, variante d’alerte et de soin. Préparer silhouette entière, portrait de dialogue et masque de sélection.</x:v>
      </x:c>
      <x:c r="H16" s="7" t="str">
        <x:v>La zone interactive reste stable entre les poses ; la tenue ne confère aucun bonus implicite.</x:v>
      </x:c>
      <x:c r="I16" s="7" t="str">
        <x:v>Silhouette adolescente, tenue d’élève, variante d’alerte et de soin. Palette proposée à valider ; comparaison en miniature et sur le décor le plus sombre.</x:v>
      </x:c>
      <x:c r="J16" s="7" t="str">
        <x:v>Vue de trois quarts ; pivots dans huit directions proposées ; symétrie interdite si elle inverse un accessoire identifiable.</x:v>
      </x:c>
      <x:c r="K16" s="7" t="str">
        <x:v>Aucun échantillon du jeu ou du film ; le changement de sélection utilise le son UI du module.</x:v>
      </x:c>
      <x:c r="L16" s="7" t="str">
        <x:v>Prévoir assets/ret/actors/nick/atlas.png + atlas.json, pivot aux pieds.</x:v>
      </x:c>
      <x:c r="M16" s="7" t="str">
        <x:v>Visible uniquement quand Nick Donahue est autorisé par l’état narratif.</x:v>
      </x:c>
      <x:c r="N16" s="7" t="str">
        <x:v>Silhouette reconnue sans nom ; pieds sans glissement ; portrait et sprite cohérents à échelle réelle.</x:v>
      </x:c>
      <x:c r="O16" s="7" t="str">
        <x:v>RET-CHR-NICK</x:v>
      </x:c>
      <x:c r="P16" s="7" t="str"/>
      <x:c r="Q16" s="7" t="str"/>
      <x:c r="R16" s="7" t="str"/>
      <x:c r="S16" s="7" t="str"/>
    </x:row>
  </x:sheetData>
  <x:conditionalFormatting sqref="D7:D16">
    <x:cfRule type="cellIs" dxfId="80" priority="1" operator="equal">
      <x:formula>"À vérifier"</x:formula>
    </x:cfRule>
    <x:cfRule type="cellIs" dxfId="81" priority="2" operator="equal">
      <x:formula>"Extrapolation"</x:formula>
    </x:cfRule>
  </x:conditionalFormatting>
  <x:conditionalFormatting sqref="C7:C16">
    <x:cfRule type="cellIs" dxfId="82" priority="3" operator="equal">
      <x:formula>"Validé"</x:formula>
    </x:cfRule>
  </x:conditionalFormatting>
  <x:conditionalFormatting sqref="E7:E16">
    <x:cfRule type="cellIs" dxfId="83"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ce773019d68a4b29"/>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Retribution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RET-VFX-CERB</x:v>
      </x:c>
      <x:c r="B7" s="9" t="str">
        <x:v>Équipe de capture proposée — effet lisible</x:v>
      </x:c>
      <x:c r="C7" s="15" t="str">
        <x:v>Défini</x:v>
      </x:c>
      <x:c r="D7" s="16" t="str">
        <x:v>Extrapolation</x:v>
      </x:c>
      <x:c r="E7" s="16" t="str">
        <x:v>P1</x:v>
      </x:c>
      <x:c r="F7" s="9" t="str">
        <x:v>Effet original de prévision et de résultat pour la rencontre.</x:v>
      </x:c>
      <x:c r="G7" s="9" t="str">
        <x:v>Marqueur de poursuite et mouvement vers les issues.</x:v>
      </x:c>
      <x:c r="H7" s="9" t="str">
        <x:v>Aire de prévision égale à l’aire logique ; masque de cible conservé en daltonisme.</x:v>
      </x:c>
      <x:c r="I7" s="9" t="str">
        <x:v>Marqueur de poursuite et mouvement vers les issues. Limiter les flashes ; option intensité réduite conservant contours et pictogrammes.</x:v>
      </x:c>
      <x:c r="J7" s="9" t="str">
        <x:v>Apparition, maintien, résolution et extinction distinctes ; pas de particule persistante après sortie de carte.</x:v>
      </x:c>
      <x:c r="K7" s="9" t="str">
        <x:v>Un son par engagement ; pas d’empilement de boucles sur recharge de sauvegarde.</x:v>
      </x:c>
      <x:c r="L7" s="9" t="str">
        <x:v>fx/ret/cerb ; pool local nettoyé au changement de scène.</x:v>
      </x:c>
      <x:c r="M7" s="9" t="str">
        <x:v>Effet lié au comportement, jamais déclenché par une animation décorative.</x:v>
      </x:c>
      <x:c r="N7" s="9" t="str">
        <x:v>Aucune cible hors aire n’est affectée ; mode réduit conserve la compréhension.</x:v>
      </x:c>
      <x:c r="O7" s="9" t="str">
        <x:v>RET-EMV-CERB</x:v>
      </x:c>
      <x:c r="P7" s="9" t="str"/>
      <x:c r="Q7" s="9" t="str"/>
      <x:c r="R7" s="9" t="str"/>
      <x:c r="S7" s="9" t="str"/>
    </x:row>
    <x:row r="8" ht="54" customHeight="1">
      <x:c r="A8" s="19" t="str">
        <x:v>RET-VFX-LENG</x:v>
      </x:c>
      <x:c r="B8" s="7" t="str">
        <x:v>Kai Leng — contrôle d’accès proposé — effet lisible</x:v>
      </x:c>
      <x:c r="C8" s="15" t="str">
        <x:v>Défini</x:v>
      </x:c>
      <x:c r="D8" s="17" t="str">
        <x:v>Extrapolation</x:v>
      </x:c>
      <x:c r="E8" s="17" t="str">
        <x:v>P1</x:v>
      </x:c>
      <x:c r="F8" s="7" t="str">
        <x:v>Effet original de prévision et de résultat pour la rencontre.</x:v>
      </x:c>
      <x:c r="G8" s="7" t="str">
        <x:v>Variation de posture et indicateur de la porte menacée.</x:v>
      </x:c>
      <x:c r="H8" s="7" t="str">
        <x:v>Aire de prévision égale à l’aire logique ; masque de cible conservé en daltonisme.</x:v>
      </x:c>
      <x:c r="I8" s="7" t="str">
        <x:v>Variation de posture et indicateur de la porte menacée. Limiter les flashes ; option intensité réduite conservant contours et pictogrammes.</x:v>
      </x:c>
      <x:c r="J8" s="7" t="str">
        <x:v>Apparition, maintien, résolution et extinction distinctes ; pas de particule persistante après sortie de carte.</x:v>
      </x:c>
      <x:c r="K8" s="7" t="str">
        <x:v>Un son par engagement ; pas d’empilement de boucles sur recharge de sauvegarde.</x:v>
      </x:c>
      <x:c r="L8" s="7" t="str">
        <x:v>fx/ret/leng ; pool local nettoyé au changement de scène.</x:v>
      </x:c>
      <x:c r="M8" s="7" t="str">
        <x:v>Effet lié au comportement, jamais déclenché par une animation décorative.</x:v>
      </x:c>
      <x:c r="N8" s="7" t="str">
        <x:v>Aucune cible hors aire n’est affectée ; mode réduit conserve la compréhension.</x:v>
      </x:c>
      <x:c r="O8" s="7" t="str">
        <x:v>RET-EMV-LENG</x:v>
      </x:c>
      <x:c r="P8" s="7" t="str"/>
      <x:c r="Q8" s="7" t="str"/>
      <x:c r="R8" s="7" t="str"/>
      <x:c r="S8" s="7" t="str"/>
    </x:row>
    <x:row r="9" ht="68" customHeight="1">
      <x:c r="A9" s="18" t="str">
        <x:v>RET-VFX-REAPER</x:v>
      </x:c>
      <x:c r="B9" s="9" t="str">
        <x:v>Pression du contrôle moissonneur — effet lisible</x:v>
      </x:c>
      <x:c r="C9" s="15" t="str">
        <x:v>Défini</x:v>
      </x:c>
      <x:c r="D9" s="16" t="str">
        <x:v>Extrapolation</x:v>
      </x:c>
      <x:c r="E9" s="16" t="str">
        <x:v>P1</x:v>
      </x:c>
      <x:c r="F9" s="9" t="str">
        <x:v>Effet original de prévision et de résultat pour la rencontre.</x:v>
      </x:c>
      <x:c r="G9" s="9" t="str">
        <x:v>Double affichage explicitement identifié comme perception incertaine.</x:v>
      </x:c>
      <x:c r="H9" s="9" t="str">
        <x:v>Aire de prévision égale à l’aire logique ; masque de cible conservé en daltonisme.</x:v>
      </x:c>
      <x:c r="I9" s="9" t="str">
        <x:v>Double affichage explicitement identifié comme perception incertaine. Limiter les flashes ; option intensité réduite conservant contours et pictogrammes.</x:v>
      </x:c>
      <x:c r="J9" s="9" t="str">
        <x:v>Apparition, maintien, résolution et extinction distinctes ; pas de particule persistante après sortie de carte.</x:v>
      </x:c>
      <x:c r="K9" s="9" t="str">
        <x:v>Un son par engagement ; pas d’empilement de boucles sur recharge de sauvegarde.</x:v>
      </x:c>
      <x:c r="L9" s="9" t="str">
        <x:v>fx/ret/reaper ; pool local nettoyé au changement de scène.</x:v>
      </x:c>
      <x:c r="M9" s="9" t="str">
        <x:v>Effet lié au comportement, jamais déclenché par une animation décorative.</x:v>
      </x:c>
      <x:c r="N9" s="9" t="str">
        <x:v>Aucune cible hors aire n’est affectée ; mode réduit conserve la compréhension.</x:v>
      </x:c>
      <x:c r="O9" s="9" t="str">
        <x:v>RET-EMV-REAPER</x:v>
      </x:c>
      <x:c r="P9" s="9" t="str"/>
      <x:c r="Q9" s="9" t="str"/>
      <x:c r="R9" s="9" t="str"/>
      <x:c r="S9" s="9" t="str"/>
    </x:row>
    <x:row r="10" ht="54" customHeight="1">
      <x:c r="A10" s="19" t="str">
        <x:v>RET-VFX-LOCKDOWN</x:v>
      </x:c>
      <x:c r="B10" s="7" t="str">
        <x:v>Confinement en chaîne — effet lisible</x:v>
      </x:c>
      <x:c r="C10" s="15" t="str">
        <x:v>Défini</x:v>
      </x:c>
      <x:c r="D10" s="17" t="str">
        <x:v>Extrapolation</x:v>
      </x:c>
      <x:c r="E10" s="17" t="str">
        <x:v>P1</x:v>
      </x:c>
      <x:c r="F10" s="7" t="str">
        <x:v>Effet original de prévision et de résultat pour la rencontre.</x:v>
      </x:c>
      <x:c r="G10" s="7" t="str">
        <x:v>Séquence de voyants numérotés au-dessus des sas.</x:v>
      </x:c>
      <x:c r="H10" s="7" t="str">
        <x:v>Aire de prévision égale à l’aire logique ; masque de cible conservé en daltonisme.</x:v>
      </x:c>
      <x:c r="I10" s="7" t="str">
        <x:v>Séquence de voyants numérotés au-dessus des sas. Limiter les flashes ; option intensité réduite conservant contours et pictogrammes.</x:v>
      </x:c>
      <x:c r="J10" s="7" t="str">
        <x:v>Apparition, maintien, résolution et extinction distinctes ; pas de particule persistante après sortie de carte.</x:v>
      </x:c>
      <x:c r="K10" s="7" t="str">
        <x:v>Un son par engagement ; pas d’empilement de boucles sur recharge de sauvegarde.</x:v>
      </x:c>
      <x:c r="L10" s="7" t="str">
        <x:v>fx/ret/lockdown ; pool local nettoyé au changement de scène.</x:v>
      </x:c>
      <x:c r="M10" s="7" t="str">
        <x:v>Effet lié au comportement, jamais déclenché par une animation décorative.</x:v>
      </x:c>
      <x:c r="N10" s="7" t="str">
        <x:v>Aucune cible hors aire n’est affectée ; mode réduit conserve la compréhension.</x:v>
      </x:c>
      <x:c r="O10" s="7" t="str">
        <x:v>RET-EMV-LOCKDOWN</x:v>
      </x:c>
      <x:c r="P10" s="7" t="str"/>
      <x:c r="Q10" s="7" t="str"/>
      <x:c r="R10" s="7" t="str"/>
      <x:c r="S10" s="7" t="str"/>
    </x:row>
  </x:sheetData>
  <x:conditionalFormatting sqref="D7:D10">
    <x:cfRule type="cellIs" dxfId="84" priority="1" operator="equal">
      <x:formula>"À vérifier"</x:formula>
    </x:cfRule>
    <x:cfRule type="cellIs" dxfId="85" priority="2" operator="equal">
      <x:formula>"Extrapolation"</x:formula>
    </x:cfRule>
  </x:conditionalFormatting>
  <x:conditionalFormatting sqref="C7:C10">
    <x:cfRule type="cellIs" dxfId="86" priority="3" operator="equal">
      <x:formula>"Validé"</x:formula>
    </x:cfRule>
  </x:conditionalFormatting>
  <x:conditionalFormatting sqref="E7:E10">
    <x:cfRule type="cellIs" dxfId="8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0bd6ce449e9148b3"/>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Retribution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RET-AUD-01</x:v>
      </x:c>
      <x:c r="B7" s="9" t="str">
        <x:v>Omega domestique</x:v>
      </x:c>
      <x:c r="C7" s="15" t="str">
        <x:v>Défini</x:v>
      </x:c>
      <x:c r="D7" s="16" t="str">
        <x:v>Extrapolation</x:v>
      </x:c>
      <x:c r="E7" s="16" t="str">
        <x:v>P1</x:v>
      </x:c>
      <x:c r="F7" s="9" t="str">
        <x:v>Création sonore originale pour le fan game.</x:v>
      </x:c>
      <x:c r="G7" s="9" t="str">
        <x:v>Mix séparant intimité d’un logement et rumeur industrielle lointaine.</x:v>
      </x:c>
      <x:c r="H7" s="9" t="str">
        <x:v>Déclenchement à l’événement logique ; priorité à la compréhension des commandes du groupe.</x:v>
      </x:c>
      <x:c r="I7" s="9" t="str">
        <x:v>Sous-titre d’ambiance facultatif ; pictogramme si le son fournit une alerte.</x:v>
      </x:c>
      <x:c r="J7" s="9" t="str">
        <x:v>Points de synchro notés dans la fiche animation concernée ; aucune dépendance à la vitesse de lecture.</x:v>
      </x:c>
      <x:c r="K7" s="9" t="str">
        <x:v>Mix séparant intimité d’un logement et rumeur industrielle lointaine. Musique, bruitages et éventuelles voix à produire sans extraire les enregistrements officiels.</x:v>
      </x:c>
      <x:c r="L7" s="9" t="str">
        <x:v>audio/ret/omega-domestique.ogg ; bus ambiance/musique/interface séparés.</x:v>
      </x:c>
      <x:c r="M7" s="9" t="str">
        <x:v>La source narrative inspire l’intention, pas une mélodie ou un enregistrement à copier.</x:v>
      </x:c>
      <x:c r="N7" s="9" t="str">
        <x:v>Boucle sans clic ; transitions propres ; information compréhensible volume coupé.</x:v>
      </x:c>
      <x:c r="O7" s="9" t="str"/>
      <x:c r="P7" s="9" t="str"/>
      <x:c r="Q7" s="9" t="str"/>
      <x:c r="R7" s="9" t="str"/>
      <x:c r="S7" s="9" t="str"/>
    </x:row>
    <x:row r="8" ht="68" customHeight="1">
      <x:c r="A8" s="19" t="str">
        <x:v>RET-AUD-02</x:v>
      </x:c>
      <x:c r="B8" s="7" t="str">
        <x:v>Laboratoire anxieux</x:v>
      </x:c>
      <x:c r="C8" s="15" t="str">
        <x:v>Défini</x:v>
      </x:c>
      <x:c r="D8" s="17" t="str">
        <x:v>Extrapolation</x:v>
      </x:c>
      <x:c r="E8" s="17" t="str">
        <x:v>P1</x:v>
      </x:c>
      <x:c r="F8" s="7" t="str">
        <x:v>Création sonore originale pour le fan game.</x:v>
      </x:c>
      <x:c r="G8" s="7" t="str">
        <x:v>Pulsations mécaniques sobres, alertes distinctes, aucune boucle de cris.</x:v>
      </x:c>
      <x:c r="H8" s="7" t="str">
        <x:v>Déclenchement à l’événement logique ; priorité à la compréhension des commandes du groupe.</x:v>
      </x:c>
      <x:c r="I8" s="7" t="str">
        <x:v>Sous-titre d’ambiance facultatif ; pictogramme si le son fournit une alerte.</x:v>
      </x:c>
      <x:c r="J8" s="7" t="str">
        <x:v>Points de synchro notés dans la fiche animation concernée ; aucune dépendance à la vitesse de lecture.</x:v>
      </x:c>
      <x:c r="K8" s="7" t="str">
        <x:v>Pulsations mécaniques sobres, alertes distinctes, aucune boucle de cris. Musique, bruitages et éventuelles voix à produire sans extraire les enregistrements officiels.</x:v>
      </x:c>
      <x:c r="L8" s="7" t="str">
        <x:v>audio/ret/laboratoire-anxieux.ogg ; bus ambiance/musique/interface séparés.</x:v>
      </x:c>
      <x:c r="M8" s="7" t="str">
        <x:v>La source narrative inspire l’intention, pas une mélodie ou un enregistrement à copier.</x:v>
      </x:c>
      <x:c r="N8" s="7" t="str">
        <x:v>Boucle sans clic ; transitions propres ; information compréhensible volume coupé.</x:v>
      </x:c>
      <x:c r="O8" s="7" t="str"/>
      <x:c r="P8" s="7" t="str"/>
      <x:c r="Q8" s="7" t="str"/>
      <x:c r="R8" s="7" t="str"/>
      <x:c r="S8" s="7" t="str"/>
    </x:row>
    <x:row r="9" ht="82" customHeight="1">
      <x:c r="A9" s="18" t="str">
        <x:v>RET-AUD-03</x:v>
      </x:c>
      <x:c r="B9" s="9" t="str">
        <x:v>Perception incertaine</x:v>
      </x:c>
      <x:c r="C9" s="15" t="str">
        <x:v>Défini</x:v>
      </x:c>
      <x:c r="D9" s="16" t="str">
        <x:v>Extrapolation</x:v>
      </x:c>
      <x:c r="E9" s="16" t="str">
        <x:v>P1</x:v>
      </x:c>
      <x:c r="F9" s="9" t="str">
        <x:v>Création sonore originale pour le fan game.</x:v>
      </x:c>
      <x:c r="G9" s="9" t="str">
        <x:v>Voix abstraites et textures originales à intensité réglable, toujours accompagnées d’un indicateur de perception.</x:v>
      </x:c>
      <x:c r="H9" s="9" t="str">
        <x:v>Déclenchement à l’événement logique ; priorité à la compréhension des commandes du groupe.</x:v>
      </x:c>
      <x:c r="I9" s="9" t="str">
        <x:v>Sous-titre d’ambiance facultatif ; pictogramme si le son fournit une alerte.</x:v>
      </x:c>
      <x:c r="J9" s="9" t="str">
        <x:v>Points de synchro notés dans la fiche animation concernée ; aucune dépendance à la vitesse de lecture.</x:v>
      </x:c>
      <x:c r="K9" s="9" t="str">
        <x:v>Voix abstraites et textures originales à intensité réglable, toujours accompagnées d’un indicateur de perception. Musique, bruitages et éventuelles voix à produire sans extraire les enregistrements officiels.</x:v>
      </x:c>
      <x:c r="L9" s="9" t="str">
        <x:v>audio/ret/perception-incertaine.ogg ; bus ambiance/musique/interface séparés.</x:v>
      </x:c>
      <x:c r="M9" s="9" t="str">
        <x:v>La source narrative inspire l’intention, pas une mélodie ou un enregistrement à copier.</x:v>
      </x:c>
      <x:c r="N9" s="9" t="str">
        <x:v>Boucle sans clic ; transitions propres ; information compréhensible volume coupé.</x:v>
      </x:c>
      <x:c r="O9" s="9" t="str"/>
      <x:c r="P9" s="9" t="str"/>
      <x:c r="Q9" s="9" t="str"/>
      <x:c r="R9" s="9" t="str"/>
      <x:c r="S9" s="9" t="str"/>
    </x:row>
    <x:row r="10" ht="82" customHeight="1">
      <x:c r="A10" s="19" t="str">
        <x:v>RET-AUD-04</x:v>
      </x:c>
      <x:c r="B10" s="7" t="str">
        <x:v>Académie en alerte</x:v>
      </x:c>
      <x:c r="C10" s="15" t="str">
        <x:v>Défini</x:v>
      </x:c>
      <x:c r="D10" s="17" t="str">
        <x:v>Extrapolation</x:v>
      </x:c>
      <x:c r="E10" s="17" t="str">
        <x:v>P1</x:v>
      </x:c>
      <x:c r="F10" s="7" t="str">
        <x:v>Création sonore originale pour le fan game.</x:v>
      </x:c>
      <x:c r="G10" s="7" t="str">
        <x:v>Instructions originales sobres, sonneries amorties et portes de refuge localisables.</x:v>
      </x:c>
      <x:c r="H10" s="7" t="str">
        <x:v>Déclenchement à l’événement logique ; priorité à la compréhension des commandes du groupe.</x:v>
      </x:c>
      <x:c r="I10" s="7" t="str">
        <x:v>Sous-titre d’ambiance facultatif ; pictogramme si le son fournit une alerte.</x:v>
      </x:c>
      <x:c r="J10" s="7" t="str">
        <x:v>Points de synchro notés dans la fiche animation concernée ; aucune dépendance à la vitesse de lecture.</x:v>
      </x:c>
      <x:c r="K10" s="7" t="str">
        <x:v>Instructions originales sobres, sonneries amorties et portes de refuge localisables. Musique, bruitages et éventuelles voix à produire sans extraire les enregistrements officiels.</x:v>
      </x:c>
      <x:c r="L10" s="7" t="str">
        <x:v>audio/ret/academie-en-alerte.ogg ; bus ambiance/musique/interface séparés.</x:v>
      </x:c>
      <x:c r="M10" s="7" t="str">
        <x:v>La source narrative inspire l’intention, pas une mélodie ou un enregistrement à copier.</x:v>
      </x:c>
      <x:c r="N10" s="7" t="str">
        <x:v>Boucle sans clic ; transitions propres ; information compréhensible volume coupé.</x:v>
      </x:c>
      <x:c r="O10" s="7" t="str"/>
      <x:c r="P10" s="7" t="str"/>
      <x:c r="Q10" s="7" t="str"/>
      <x:c r="R10" s="7" t="str"/>
      <x:c r="S10" s="7" t="str"/>
    </x:row>
    <x:row r="11" ht="68" customHeight="1">
      <x:c r="A11" s="18" t="str">
        <x:v>RET-AUD-05</x:v>
      </x:c>
      <x:c r="B11" s="9" t="str">
        <x:v>Après l’urgence</x:v>
      </x:c>
      <x:c r="C11" s="15" t="str">
        <x:v>Défini</x:v>
      </x:c>
      <x:c r="D11" s="16" t="str">
        <x:v>Extrapolation</x:v>
      </x:c>
      <x:c r="E11" s="16" t="str">
        <x:v>P1</x:v>
      </x:c>
      <x:c r="F11" s="9" t="str">
        <x:v>Création sonore originale pour le fan game.</x:v>
      </x:c>
      <x:c r="G11" s="9" t="str">
        <x:v>Silence et sons de soin abstraits ; pas de fanfare à la clôture.</x:v>
      </x:c>
      <x:c r="H11" s="9" t="str">
        <x:v>Déclenchement à l’événement logique ; priorité à la compréhension des commandes du groupe.</x:v>
      </x:c>
      <x:c r="I11" s="9" t="str">
        <x:v>Sous-titre d’ambiance facultatif ; pictogramme si le son fournit une alerte.</x:v>
      </x:c>
      <x:c r="J11" s="9" t="str">
        <x:v>Points de synchro notés dans la fiche animation concernée ; aucune dépendance à la vitesse de lecture.</x:v>
      </x:c>
      <x:c r="K11" s="9" t="str">
        <x:v>Silence et sons de soin abstraits ; pas de fanfare à la clôture. Musique, bruitages et éventuelles voix à produire sans extraire les enregistrements officiels.</x:v>
      </x:c>
      <x:c r="L11" s="9" t="str">
        <x:v>audio/ret/apres-lurgence.ogg ; bus ambiance/musique/interface séparés.</x:v>
      </x:c>
      <x:c r="M11" s="9" t="str">
        <x:v>La source narrative inspire l’intention, pas une mélodie ou un enregistrement à copier.</x:v>
      </x:c>
      <x:c r="N11" s="9" t="str">
        <x:v>Boucle sans clic ; transitions propres ; information compréhensible volume coupé.</x:v>
      </x:c>
      <x:c r="O11" s="9" t="str"/>
      <x:c r="P11" s="9" t="str"/>
      <x:c r="Q11" s="9" t="str"/>
      <x:c r="R11" s="9" t="str"/>
      <x:c r="S11" s="9" t="str"/>
    </x:row>
  </x:sheetData>
  <x:conditionalFormatting sqref="D7:D11">
    <x:cfRule type="cellIs" dxfId="88" priority="1" operator="equal">
      <x:formula>"À vérifier"</x:formula>
    </x:cfRule>
    <x:cfRule type="cellIs" dxfId="89" priority="2" operator="equal">
      <x:formula>"Extrapolation"</x:formula>
    </x:cfRule>
  </x:conditionalFormatting>
  <x:conditionalFormatting sqref="C7:C11">
    <x:cfRule type="cellIs" dxfId="90" priority="3" operator="equal">
      <x:formula>"Validé"</x:formula>
    </x:cfRule>
  </x:conditionalFormatting>
  <x:conditionalFormatting sqref="E7:E11">
    <x:cfRule type="cellIs" dxfId="91" priority="4" operator="equal">
      <x:formula>"P0"</x:formula>
    </x:cfRule>
  </x:conditionalFormatting>
  <x:dataValidations count="3">
    <x:dataValidation type="list" sqref="C7:C11">
      <x:formula1>"Défini,Prototype,Intégré,Validé"</x:formula1>
    </x:dataValidation>
    <x:dataValidation type="list" sqref="D7:D11">
      <x:formula1>"Établi,À vérifier,Extrapolation,Coupé attesté,Concept abandonné,Allégation écartée"</x:formula1>
    </x:dataValidation>
    <x:dataValidation type="list" sqref="E7:E11">
      <x:formula1>"P0,P1,P2"</x:formula1>
    </x:dataValidation>
  </x:dataValidations>
  <x:pageMargins left="0.7" right="0.7" top="0.75" bottom="0.75" header="0.3" footer="0.3"/>
  <x:tableParts count="1">
    <x:tablePart xmlns:r="http://schemas.openxmlformats.org/officeDocument/2006/relationships" r:id="R561dae121e584962"/>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Retribution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RET-SYS-01</x:v>
      </x:c>
      <x:c r="B7" s="9" t="str">
        <x:v>Connaissance et perception</x:v>
      </x:c>
      <x:c r="C7" s="15" t="str">
        <x:v>Défini</x:v>
      </x:c>
      <x:c r="D7" s="16" t="str">
        <x:v>Extrapolation</x:v>
      </x:c>
      <x:c r="E7" s="16" t="str">
        <x:v>P0</x:v>
      </x:c>
      <x:c r="F7" s="9" t="str">
        <x:v>Système original de production propre au module.</x:v>
      </x:c>
      <x:c r="G7" s="9" t="str">
        <x:v>Distinguer dans le journal constat collectif, perception subjective et hypothèse ; aucune hallucination ne s’écrit comme fait acquis.</x:v>
      </x:c>
      <x:c r="H7" s="9" t="str">
        <x:v>Distinguer dans le journal constat collectif, perception subjective et hypothèse ; aucune hallucination ne s’écrit comme fait acquis.</x:v>
      </x:c>
      <x:c r="I7" s="9" t="str">
        <x:v>État visible dans le HUD et le journal ; libellés complets, icônes non exclusives.</x:v>
      </x:c>
      <x:c r="J7" s="9" t="str">
        <x:v>Transitions rapides et possibilité de réduire les mouvements UI.</x:v>
      </x:c>
      <x:c r="K7" s="9" t="str">
        <x:v>Chaque changement critique possède un équivalent textuel ; pas de message sonore seul.</x:v>
      </x:c>
      <x:c r="L7" s="9" t="str">
        <x:v>systems/ret/connaissance-et-perception.ts prévu ; sauvegarde versionnée avec valeurs par défaut.</x:v>
      </x:c>
      <x:c r="M7" s="9" t="str">
        <x:v>Activé seulement dans ce module ; ne modifie pas les sauvegardes des jeux officiels.</x:v>
      </x:c>
      <x:c r="N7" s="9" t="str">
        <x:v>Chargement et reprise conservent l’état ; clavier et pointeur donnent le même résultat.</x:v>
      </x:c>
      <x:c r="O7" s="9" t="str"/>
      <x:c r="P7" s="9" t="str"/>
      <x:c r="Q7" s="9" t="str"/>
      <x:c r="R7" s="9" t="str"/>
      <x:c r="S7" s="9" t="str"/>
    </x:row>
    <x:row r="8" ht="44" customHeight="1">
      <x:c r="A8" s="19" t="str">
        <x:v>RET-SYS-02</x:v>
      </x:c>
      <x:c r="B8" s="7" t="str">
        <x:v>Priorité aux élèves</x:v>
      </x:c>
      <x:c r="C8" s="15" t="str">
        <x:v>Défini</x:v>
      </x:c>
      <x:c r="D8" s="17" t="str">
        <x:v>Extrapolation</x:v>
      </x:c>
      <x:c r="E8" s="17" t="str">
        <x:v>P0</x:v>
      </x:c>
      <x:c r="F8" s="7" t="str">
        <x:v>Système original de production propre au module.</x:v>
      </x:c>
      <x:c r="G8" s="7" t="str">
        <x:v>Les cartes de l’académie calculent la progression par salles sécurisées et secours disponibles.</x:v>
      </x:c>
      <x:c r="H8" s="7" t="str">
        <x:v>Les cartes de l’académie calculent la progression par salles sécurisées et secours disponibles.</x:v>
      </x:c>
      <x:c r="I8" s="7" t="str">
        <x:v>État visible dans le HUD et le journal ; libellés complets, icônes non exclusives.</x:v>
      </x:c>
      <x:c r="J8" s="7" t="str">
        <x:v>Transitions rapides et possibilité de réduire les mouvements UI.</x:v>
      </x:c>
      <x:c r="K8" s="7" t="str">
        <x:v>Chaque changement critique possède un équivalent textuel ; pas de message sonore seul.</x:v>
      </x:c>
      <x:c r="L8" s="7" t="str">
        <x:v>systems/ret/priorite-aux-eleves.ts prévu ; sauvegarde versionnée avec valeurs par défaut.</x:v>
      </x:c>
      <x:c r="M8" s="7" t="str">
        <x:v>Activé seulement dans ce module ; ne modifie pas les sauvegardes des jeux officiels.</x:v>
      </x:c>
      <x:c r="N8" s="7" t="str">
        <x:v>Chargement et reprise conservent l’état ; clavier et pointeur donnent le même résultat.</x:v>
      </x:c>
      <x:c r="O8" s="7" t="str"/>
      <x:c r="P8" s="7" t="str"/>
      <x:c r="Q8" s="7" t="str"/>
      <x:c r="R8" s="7" t="str"/>
      <x:c r="S8" s="7" t="str"/>
    </x:row>
    <x:row r="9" ht="44" customHeight="1">
      <x:c r="A9" s="18" t="str">
        <x:v>RET-SYS-03</x:v>
      </x:c>
      <x:c r="B9" s="9" t="str">
        <x:v>Coopération limitée</x:v>
      </x:c>
      <x:c r="C9" s="15" t="str">
        <x:v>Défini</x:v>
      </x:c>
      <x:c r="D9" s="16" t="str">
        <x:v>Extrapolation</x:v>
      </x:c>
      <x:c r="E9" s="16" t="str">
        <x:v>P1</x:v>
      </x:c>
      <x:c r="F9" s="9" t="str">
        <x:v>Système original de production propre au module.</x:v>
      </x:c>
      <x:c r="G9" s="9" t="str">
        <x:v>Une aide de Kai Leng ne donne pas accès à son inventaire ou à sa loyauté permanente.</x:v>
      </x:c>
      <x:c r="H9" s="9" t="str">
        <x:v>Une aide de Kai Leng ne donne pas accès à son inventaire ou à sa loyauté permanente.</x:v>
      </x:c>
      <x:c r="I9" s="9" t="str">
        <x:v>État visible dans le HUD et le journal ; libellés complets, icônes non exclusives.</x:v>
      </x:c>
      <x:c r="J9" s="9" t="str">
        <x:v>Transitions rapides et possibilité de réduire les mouvements UI.</x:v>
      </x:c>
      <x:c r="K9" s="9" t="str">
        <x:v>Chaque changement critique possède un équivalent textuel ; pas de message sonore seul.</x:v>
      </x:c>
      <x:c r="L9" s="9" t="str">
        <x:v>systems/ret/cooperation-limitee.ts prévu ; sauvegarde versionnée avec valeurs par défaut.</x:v>
      </x:c>
      <x:c r="M9" s="9" t="str">
        <x:v>Activé seulement dans ce module ; ne modifie pas les sauvegardes des jeux officiels.</x:v>
      </x:c>
      <x:c r="N9" s="9" t="str">
        <x:v>Chargement et reprise conservent l’état ; clavier et pointeur donnent le même résultat.</x:v>
      </x:c>
      <x:c r="O9" s="9" t="str"/>
      <x:c r="P9" s="9" t="str"/>
      <x:c r="Q9" s="9" t="str"/>
      <x:c r="R9" s="9" t="str"/>
      <x:c r="S9" s="9" t="str"/>
    </x:row>
    <x:row r="10" ht="44" customHeight="1">
      <x:c r="A10" s="19" t="str">
        <x:v>RET-SYS-04</x:v>
      </x:c>
      <x:c r="B10" s="7" t="str">
        <x:v>Dossier d’assistance</x:v>
      </x:c>
      <x:c r="C10" s="15" t="str">
        <x:v>Défini</x:v>
      </x:c>
      <x:c r="D10" s="17" t="str">
        <x:v>Extrapolation</x:v>
      </x:c>
      <x:c r="E10" s="17" t="str">
        <x:v>P1</x:v>
      </x:c>
      <x:c r="F10" s="7" t="str">
        <x:v>Système original de production propre au module.</x:v>
      </x:c>
      <x:c r="G10" s="7" t="str">
        <x:v>Vérifier la provenance des indices avant de débloquer la demande d’appui.</x:v>
      </x:c>
      <x:c r="H10" s="7" t="str">
        <x:v>Vérifier la provenance des indices avant de débloquer la demande d’appui.</x:v>
      </x:c>
      <x:c r="I10" s="7" t="str">
        <x:v>État visible dans le HUD et le journal ; libellés complets, icônes non exclusives.</x:v>
      </x:c>
      <x:c r="J10" s="7" t="str">
        <x:v>Transitions rapides et possibilité de réduire les mouvements UI.</x:v>
      </x:c>
      <x:c r="K10" s="7" t="str">
        <x:v>Chaque changement critique possède un équivalent textuel ; pas de message sonore seul.</x:v>
      </x:c>
      <x:c r="L10" s="7" t="str">
        <x:v>systems/ret/dossier-dassistance.ts prévu ; sauvegarde versionnée avec valeurs par défaut.</x:v>
      </x:c>
      <x:c r="M10" s="7" t="str">
        <x:v>Activé seulement dans ce module ; ne modifie pas les sauvegardes des jeux officiels.</x:v>
      </x:c>
      <x:c r="N10" s="7" t="str">
        <x:v>Chargement et reprise conservent l’état ; clavier et pointeur donnent le même résultat.</x:v>
      </x:c>
      <x:c r="O10" s="7" t="str"/>
      <x:c r="P10" s="7" t="str"/>
      <x:c r="Q10" s="7" t="str"/>
      <x:c r="R10" s="7" t="str"/>
      <x:c r="S10" s="7" t="str"/>
    </x:row>
    <x:row r="11" ht="44" customHeight="1">
      <x:c r="A11" s="18" t="str">
        <x:v>RET-SYS-05</x:v>
      </x:c>
      <x:c r="B11" s="9" t="str">
        <x:v>États d’intrusion</x:v>
      </x:c>
      <x:c r="C11" s="15" t="str">
        <x:v>Défini</x:v>
      </x:c>
      <x:c r="D11" s="16" t="str">
        <x:v>Extrapolation</x:v>
      </x:c>
      <x:c r="E11" s="16" t="str">
        <x:v>P1</x:v>
      </x:c>
      <x:c r="F11" s="9" t="str">
        <x:v>Système original de production propre au module.</x:v>
      </x:c>
      <x:c r="G11" s="9" t="str">
        <x:v>Séparer alarme locale et progression du récit ; une alarme ne crée pas un nouvel assaut canonique.</x:v>
      </x:c>
      <x:c r="H11" s="9" t="str">
        <x:v>Séparer alarme locale et progression du récit ; une alarme ne crée pas un nouvel assaut canonique.</x:v>
      </x:c>
      <x:c r="I11" s="9" t="str">
        <x:v>État visible dans le HUD et le journal ; libellés complets, icônes non exclusives.</x:v>
      </x:c>
      <x:c r="J11" s="9" t="str">
        <x:v>Transitions rapides et possibilité de réduire les mouvements UI.</x:v>
      </x:c>
      <x:c r="K11" s="9" t="str">
        <x:v>Chaque changement critique possède un équivalent textuel ; pas de message sonore seul.</x:v>
      </x:c>
      <x:c r="L11" s="9" t="str">
        <x:v>systems/ret/etats-dintrusion.ts prévu ; sauvegarde versionnée avec valeurs par défaut.</x:v>
      </x:c>
      <x:c r="M11" s="9" t="str">
        <x:v>Activé seulement dans ce module ; ne modifie pas les sauvegardes des jeux officiels.</x:v>
      </x:c>
      <x:c r="N11" s="9" t="str">
        <x:v>Chargement et reprise conservent l’état ; clavier et pointeur donnent le même résultat.</x:v>
      </x:c>
      <x:c r="O11" s="9" t="str"/>
      <x:c r="P11" s="9" t="str"/>
      <x:c r="Q11" s="9" t="str"/>
      <x:c r="R11" s="9" t="str"/>
      <x:c r="S11" s="9" t="str"/>
    </x:row>
    <x:row r="12" ht="44" customHeight="1">
      <x:c r="A12" s="19" t="str">
        <x:v>RET-SYS-06</x:v>
      </x:c>
      <x:c r="B12" s="7" t="str">
        <x:v>Inventaire probant</x:v>
      </x:c>
      <x:c r="C12" s="15" t="str">
        <x:v>Défini</x:v>
      </x:c>
      <x:c r="D12" s="17" t="str">
        <x:v>Extrapolation</x:v>
      </x:c>
      <x:c r="E12" s="17" t="str">
        <x:v>P1</x:v>
      </x:c>
      <x:c r="F12" s="7" t="str">
        <x:v>Système original de production propre au module.</x:v>
      </x:c>
      <x:c r="G12" s="7" t="str">
        <x:v>Objets de preuve non vendables et non consommables ; copies et originaux distingués.</x:v>
      </x:c>
      <x:c r="H12" s="7" t="str">
        <x:v>Objets de preuve non vendables et non consommables ; copies et originaux distingués.</x:v>
      </x:c>
      <x:c r="I12" s="7" t="str">
        <x:v>État visible dans le HUD et le journal ; libellés complets, icônes non exclusives.</x:v>
      </x:c>
      <x:c r="J12" s="7" t="str">
        <x:v>Transitions rapides et possibilité de réduire les mouvements UI.</x:v>
      </x:c>
      <x:c r="K12" s="7" t="str">
        <x:v>Chaque changement critique possède un équivalent textuel ; pas de message sonore seul.</x:v>
      </x:c>
      <x:c r="L12" s="7" t="str">
        <x:v>systems/ret/inventaire-probant.ts prévu ; sauvegarde versionnée avec valeurs par défaut.</x:v>
      </x:c>
      <x:c r="M12" s="7" t="str">
        <x:v>Activé seulement dans ce module ; ne modifie pas les sauvegardes des jeux officiels.</x:v>
      </x:c>
      <x:c r="N12" s="7" t="str">
        <x:v>Chargement et reprise conservent l’état ; clavier et pointeur donnent le même résultat.</x:v>
      </x:c>
      <x:c r="O12" s="7" t="str"/>
      <x:c r="P12" s="7" t="str"/>
      <x:c r="Q12" s="7" t="str"/>
      <x:c r="R12" s="7" t="str"/>
      <x:c r="S12" s="7" t="str"/>
    </x:row>
    <x:row r="13" ht="44" customHeight="1">
      <x:c r="A13" s="18" t="str">
        <x:v>RET-SYS-07</x:v>
      </x:c>
      <x:c r="B13" s="9" t="str">
        <x:v>Pause de lecture</x:v>
      </x:c>
      <x:c r="C13" s="15" t="str">
        <x:v>Défini</x:v>
      </x:c>
      <x:c r="D13" s="16" t="str">
        <x:v>Extrapolation</x:v>
      </x:c>
      <x:c r="E13" s="16" t="str">
        <x:v>P1</x:v>
      </x:c>
      <x:c r="F13" s="9" t="str">
        <x:v>Système original de production propre au module.</x:v>
      </x:c>
      <x:c r="G13" s="9" t="str">
        <x:v>Suspendre les menaces pendant l’examen d’un indice ou d’une contradiction perceptive.</x:v>
      </x:c>
      <x:c r="H13" s="9" t="str">
        <x:v>Suspendre les menaces pendant l’examen d’un indice ou d’une contradiction perceptive.</x:v>
      </x:c>
      <x:c r="I13" s="9" t="str">
        <x:v>État visible dans le HUD et le journal ; libellés complets, icônes non exclusives.</x:v>
      </x:c>
      <x:c r="J13" s="9" t="str">
        <x:v>Transitions rapides et possibilité de réduire les mouvements UI.</x:v>
      </x:c>
      <x:c r="K13" s="9" t="str">
        <x:v>Chaque changement critique possède un équivalent textuel ; pas de message sonore seul.</x:v>
      </x:c>
      <x:c r="L13" s="9" t="str">
        <x:v>systems/ret/pause-de-lecture.ts prévu ; sauvegarde versionnée avec valeurs par défaut.</x:v>
      </x:c>
      <x:c r="M13" s="9" t="str">
        <x:v>Activé seulement dans ce module ; ne modifie pas les sauvegardes des jeux officiels.</x:v>
      </x:c>
      <x:c r="N13" s="9" t="str">
        <x:v>Chargement et reprise conservent l’état ; clavier et pointeur donnent le même résultat.</x:v>
      </x:c>
      <x:c r="O13" s="9" t="str"/>
      <x:c r="P13" s="9" t="str"/>
      <x:c r="Q13" s="9" t="str"/>
      <x:c r="R13" s="9" t="str"/>
      <x:c r="S13" s="9" t="str"/>
    </x:row>
    <x:row r="14" ht="54" customHeight="1">
      <x:c r="A14" s="19" t="str">
        <x:v>RET-SYS-08</x:v>
      </x:c>
      <x:c r="B14" s="7" t="str">
        <x:v>Fenêtres de présence</x:v>
      </x:c>
      <x:c r="C14" s="15" t="str">
        <x:v>Défini</x:v>
      </x:c>
      <x:c r="D14" s="17" t="str">
        <x:v>Extrapolation</x:v>
      </x:c>
      <x:c r="E14" s="17" t="str">
        <x:v>P1</x:v>
      </x:c>
      <x:c r="F14" s="7" t="str">
        <x:v>Système original de production propre au module.</x:v>
      </x:c>
      <x:c r="G14" s="7" t="str">
        <x:v>Activer les personnages et dialogues selon l’état narratif ; pas de retour de Liselle par chargement tardif.</x:v>
      </x:c>
      <x:c r="H14" s="7" t="str">
        <x:v>Activer les personnages et dialogues selon l’état narratif ; pas de retour de Liselle par chargement tardif.</x:v>
      </x:c>
      <x:c r="I14" s="7" t="str">
        <x:v>État visible dans le HUD et le journal ; libellés complets, icônes non exclusives.</x:v>
      </x:c>
      <x:c r="J14" s="7" t="str">
        <x:v>Transitions rapides et possibilité de réduire les mouvements UI.</x:v>
      </x:c>
      <x:c r="K14" s="7" t="str">
        <x:v>Chaque changement critique possède un équivalent textuel ; pas de message sonore seul.</x:v>
      </x:c>
      <x:c r="L14" s="7" t="str">
        <x:v>systems/ret/fenetres-de-presence.ts prévu ; sauvegarde versionnée avec valeurs par défaut.</x:v>
      </x:c>
      <x:c r="M14" s="7" t="str">
        <x:v>Activé seulement dans ce module ; ne modifie pas les sauvegardes des jeux officiels.</x:v>
      </x:c>
      <x:c r="N14" s="7" t="str">
        <x:v>Chargement et reprise conservent l’état ; clavier et pointeur donnent le même résultat.</x:v>
      </x:c>
      <x:c r="O14" s="7" t="str"/>
      <x:c r="P14" s="7" t="str"/>
      <x:c r="Q14" s="7" t="str"/>
      <x:c r="R14" s="7" t="str"/>
      <x:c r="S14" s="7" t="str"/>
    </x:row>
  </x:sheetData>
  <x:conditionalFormatting sqref="D7:D14">
    <x:cfRule type="cellIs" dxfId="92" priority="1" operator="equal">
      <x:formula>"À vérifier"</x:formula>
    </x:cfRule>
    <x:cfRule type="cellIs" dxfId="93" priority="2" operator="equal">
      <x:formula>"Extrapolation"</x:formula>
    </x:cfRule>
  </x:conditionalFormatting>
  <x:conditionalFormatting sqref="C7:C14">
    <x:cfRule type="cellIs" dxfId="94" priority="3" operator="equal">
      <x:formula>"Validé"</x:formula>
    </x:cfRule>
  </x:conditionalFormatting>
  <x:conditionalFormatting sqref="E7:E14">
    <x:cfRule type="cellIs" dxfId="95" priority="4" operator="equal">
      <x:formula>"P0"</x:formula>
    </x:cfRule>
  </x:conditionalFormatting>
  <x:dataValidations count="3">
    <x:dataValidation type="list" sqref="C7:C14">
      <x:formula1>"Défini,Prototype,Intégré,Validé"</x:formula1>
    </x:dataValidation>
    <x:dataValidation type="list" sqref="D7:D14">
      <x:formula1>"Établi,À vérifier,Extrapolation,Coupé attesté,Concept abandonné,Allégation écartée"</x:formula1>
    </x:dataValidation>
    <x:dataValidation type="list" sqref="E7:E14">
      <x:formula1>"P0,P1,P2"</x:formula1>
    </x:dataValidation>
  </x:dataValidations>
  <x:pageMargins left="0.7" right="0.7" top="0.75" bottom="0.75" header="0.3" footer="0.3"/>
  <x:tableParts count="1">
    <x:tablePart xmlns:r="http://schemas.openxmlformats.org/officeDocument/2006/relationships" r:id="R5f11a2816d854574"/>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Retribution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RET-TST-CONTRACT</x:v>
      </x:c>
      <x:c r="B7" s="9" t="str">
        <x:v>Évaluer un trajet de mission — scénario d’acceptation</x:v>
      </x:c>
      <x:c r="C7" s="15" t="str">
        <x:v>Défini</x:v>
      </x:c>
      <x:c r="D7" s="16" t="str">
        <x:v>Extrapolation</x:v>
      </x:c>
      <x:c r="E7" s="16" t="str">
        <x:v>P1</x:v>
      </x:c>
      <x:c r="F7" s="9" t="str">
        <x:v>Test de comportement spécifique à la mission proposée.</x:v>
      </x:c>
      <x:c r="G7" s="9" t="str">
        <x:v>Exécuter Évaluer un trajet de mission avec la méthode la plus lente puis avec la méthode alternative.</x:v>
      </x:c>
      <x:c r="H7" s="9" t="str">
        <x:v>Contrôler les transitions de la règle suivante : Comparer trois accès proposés selon visibilité, sortie et matériel disponible.</x:v>
      </x:c>
      <x:c r="I7" s="9" t="str">
        <x:v>Capturer le moment où la sortie devient valide et celui où le choix devient indisponible.</x:v>
      </x:c>
      <x:c r="J7" s="9" t="str">
        <x:v>Interrompre une action à son anticipation et une autre après son engagement.</x:v>
      </x:c>
      <x:c r="K7" s="9" t="str">
        <x:v>Rejouer sans son pour vérifier les informations essentielles.</x:v>
      </x:c>
      <x:c r="L7" s="9" t="str">
        <x:v>qa/ret/contract.md : état initial, actions, attendu, résultat, capture.</x:v>
      </x:c>
      <x:c r="M7" s="9" t="str">
        <x:v>Ne pas attribuer à Grayson un savoir qu’il n’a pas encore.</x:v>
      </x:c>
      <x:c r="N7" s="9" t="str">
        <x:v>Aucun blocage, récompense multiple, information future ou divergence entre pause ATB et temps normal.</x:v>
      </x:c>
      <x:c r="O7" s="9" t="str">
        <x:v>RET-MIS-CONTRACT, RET-CHO-CONTRACT, RET-OPT-CONTRACT</x:v>
      </x:c>
      <x:c r="P7" s="9" t="str"/>
      <x:c r="Q7" s="9" t="str"/>
      <x:c r="R7" s="9" t="str"/>
      <x:c r="S7" s="9" t="str"/>
    </x:row>
    <x:row r="8" ht="54" customHeight="1">
      <x:c r="A8" s="19" t="str">
        <x:v>RET-TST-MISSING</x:v>
      </x:c>
      <x:c r="B8" s="7" t="str">
        <x:v>Vérifier une disparition — scénario d’acceptation</x:v>
      </x:c>
      <x:c r="C8" s="15" t="str">
        <x:v>Défini</x:v>
      </x:c>
      <x:c r="D8" s="17" t="str">
        <x:v>Extrapolation</x:v>
      </x:c>
      <x:c r="E8" s="17" t="str">
        <x:v>P1</x:v>
      </x:c>
      <x:c r="F8" s="7" t="str">
        <x:v>Test de comportement spécifique à la mission proposée.</x:v>
      </x:c>
      <x:c r="G8" s="7" t="str">
        <x:v>Exécuter Vérifier une disparition avec la méthode la plus lente puis avec la méthode alternative.</x:v>
      </x:c>
      <x:c r="H8" s="7" t="str">
        <x:v>Contrôler les transitions de la règle suivante : Relier un accès forcé, une communication interrompue et un déplacement constaté.</x:v>
      </x:c>
      <x:c r="I8" s="7" t="str">
        <x:v>Capturer le moment où la sortie devient valide et celui où le choix devient indisponible.</x:v>
      </x:c>
      <x:c r="J8" s="7" t="str">
        <x:v>Interrompre une action à son anticipation et une autre après son engagement.</x:v>
      </x:c>
      <x:c r="K8" s="7" t="str">
        <x:v>Rejouer sans son pour vérifier les informations essentielles.</x:v>
      </x:c>
      <x:c r="L8" s="7" t="str">
        <x:v>qa/ret/missing.md : état initial, actions, attendu, résultat, capture.</x:v>
      </x:c>
      <x:c r="M8" s="7" t="str">
        <x:v>La capture de Grayson demeure un fait du récit.</x:v>
      </x:c>
      <x:c r="N8" s="7" t="str">
        <x:v>Aucun blocage, récompense multiple, information future ou divergence entre pause ATB et temps normal.</x:v>
      </x:c>
      <x:c r="O8" s="7" t="str">
        <x:v>RET-MIS-MISSING, RET-CHO-MISSING, RET-OPT-MISSING</x:v>
      </x:c>
      <x:c r="P8" s="7" t="str"/>
      <x:c r="Q8" s="7" t="str"/>
      <x:c r="R8" s="7" t="str"/>
      <x:c r="S8" s="7" t="str"/>
    </x:row>
    <x:row r="9" ht="54" customHeight="1">
      <x:c r="A9" s="18" t="str">
        <x:v>RET-TST-HELP</x:v>
      </x:c>
      <x:c r="B9" s="9" t="str">
        <x:v>Obtenir une assistance motivée — scénario d’acceptation</x:v>
      </x:c>
      <x:c r="C9" s="15" t="str">
        <x:v>Défini</x:v>
      </x:c>
      <x:c r="D9" s="16" t="str">
        <x:v>Extrapolation</x:v>
      </x:c>
      <x:c r="E9" s="16" t="str">
        <x:v>P1</x:v>
      </x:c>
      <x:c r="F9" s="9" t="str">
        <x:v>Test de comportement spécifique à la mission proposée.</x:v>
      </x:c>
      <x:c r="G9" s="9" t="str">
        <x:v>Exécuter Obtenir une assistance motivée avec la méthode la plus lente puis avec la méthode alternative.</x:v>
      </x:c>
      <x:c r="H9" s="9" t="str">
        <x:v>Contrôler les transitions de la règle suivante : Ordonner les preuves selon fiabilité, puis répondre à une objection.</x:v>
      </x:c>
      <x:c r="I9" s="9" t="str">
        <x:v>Capturer le moment où la sortie devient valide et celui où le choix devient indisponible.</x:v>
      </x:c>
      <x:c r="J9" s="9" t="str">
        <x:v>Interrompre une action à son anticipation et une autre après son engagement.</x:v>
      </x:c>
      <x:c r="K9" s="9" t="str">
        <x:v>Rejouer sans son pour vérifier les informations essentielles.</x:v>
      </x:c>
      <x:c r="L9" s="9" t="str">
        <x:v>qa/ret/help.md : état initial, actions, attendu, résultat, capture.</x:v>
      </x:c>
      <x:c r="M9" s="9" t="str">
        <x:v>Le rôle d’Orinia reste limité à ce qui est attesté.</x:v>
      </x:c>
      <x:c r="N9" s="9" t="str">
        <x:v>Aucun blocage, récompense multiple, information future ou divergence entre pause ATB et temps normal.</x:v>
      </x:c>
      <x:c r="O9" s="9" t="str">
        <x:v>RET-MIS-HELP, RET-CHO-HELP, RET-OPT-HELP</x:v>
      </x:c>
      <x:c r="P9" s="9" t="str"/>
      <x:c r="Q9" s="9" t="str"/>
      <x:c r="R9" s="9" t="str"/>
      <x:c r="S9" s="9" t="str"/>
    </x:row>
    <x:row r="10" ht="54" customHeight="1">
      <x:c r="A10" s="19" t="str">
        <x:v>RET-TST-ACCESS</x:v>
      </x:c>
      <x:c r="B10" s="7" t="str">
        <x:v>Ouvrir une voie d’approche — scénario d’acceptation</x:v>
      </x:c>
      <x:c r="C10" s="15" t="str">
        <x:v>Défini</x:v>
      </x:c>
      <x:c r="D10" s="17" t="str">
        <x:v>Extrapolation</x:v>
      </x:c>
      <x:c r="E10" s="17" t="str">
        <x:v>P1</x:v>
      </x:c>
      <x:c r="F10" s="7" t="str">
        <x:v>Test de comportement spécifique à la mission proposée.</x:v>
      </x:c>
      <x:c r="G10" s="7" t="str">
        <x:v>Exécuter Ouvrir une voie d’approche avec la méthode la plus lente puis avec la méthode alternative.</x:v>
      </x:c>
      <x:c r="H10" s="7" t="str">
        <x:v>Contrôler les transitions de la règle suivante : Observer ronde, relayer l’alimentation puis franchir sans alerter toute l’installation.</x:v>
      </x:c>
      <x:c r="I10" s="7" t="str">
        <x:v>Capturer le moment où la sortie devient valide et celui où le choix devient indisponible.</x:v>
      </x:c>
      <x:c r="J10" s="7" t="str">
        <x:v>Interrompre une action à son anticipation et une autre après son engagement.</x:v>
      </x:c>
      <x:c r="K10" s="7" t="str">
        <x:v>Rejouer sans son pour vérifier les informations essentielles.</x:v>
      </x:c>
      <x:c r="L10" s="7" t="str">
        <x:v>qa/ret/access.md : état initial, actions, attendu, résultat, capture.</x:v>
      </x:c>
      <x:c r="M10" s="7" t="str">
        <x:v>L’organisation des salles est une création de niveau.</x:v>
      </x:c>
      <x:c r="N10" s="7" t="str">
        <x:v>Aucun blocage, récompense multiple, information future ou divergence entre pause ATB et temps normal.</x:v>
      </x:c>
      <x:c r="O10" s="7" t="str">
        <x:v>RET-MIS-ACCESS, RET-CHO-ACCESS, RET-OPT-ACCESS</x:v>
      </x:c>
      <x:c r="P10" s="7" t="str"/>
      <x:c r="Q10" s="7" t="str"/>
      <x:c r="R10" s="7" t="str"/>
      <x:c r="S10" s="7" t="str"/>
    </x:row>
    <x:row r="11" ht="54" customHeight="1">
      <x:c r="A11" s="18" t="str">
        <x:v>RET-TST-OBSERVE</x:v>
      </x:c>
      <x:c r="B11" s="9" t="str">
        <x:v>Distinguer signal et illusion — scénario d’acceptation</x:v>
      </x:c>
      <x:c r="C11" s="15" t="str">
        <x:v>Défini</x:v>
      </x:c>
      <x:c r="D11" s="16" t="str">
        <x:v>Extrapolation</x:v>
      </x:c>
      <x:c r="E11" s="16" t="str">
        <x:v>P1</x:v>
      </x:c>
      <x:c r="F11" s="9" t="str">
        <x:v>Test de comportement spécifique à la mission proposée.</x:v>
      </x:c>
      <x:c r="G11" s="9" t="str">
        <x:v>Exécuter Distinguer signal et illusion avec la méthode la plus lente puis avec la méthode alternative.</x:v>
      </x:c>
      <x:c r="H11" s="9" t="str">
        <x:v>Contrôler les transitions de la règle suivante : Comparer perception du personnage et mesures externes ; le journal garde les deux sans trancher trop tôt.</x:v>
      </x:c>
      <x:c r="I11" s="9" t="str">
        <x:v>Capturer le moment où la sortie devient valide et celui où le choix devient indisponible.</x:v>
      </x:c>
      <x:c r="J11" s="9" t="str">
        <x:v>Interrompre une action à son anticipation et une autre après son engagement.</x:v>
      </x:c>
      <x:c r="K11" s="9" t="str">
        <x:v>Rejouer sans son pour vérifier les informations essentielles.</x:v>
      </x:c>
      <x:c r="L11" s="9" t="str">
        <x:v>qa/ret/observe.md : état initial, actions, attendu, résultat, capture.</x:v>
      </x:c>
      <x:c r="M11" s="9" t="str">
        <x:v>Aucune option ne supprime définitivement le contrôle des Moissonneurs.</x:v>
      </x:c>
      <x:c r="N11" s="9" t="str">
        <x:v>Aucun blocage, récompense multiple, information future ou divergence entre pause ATB et temps normal.</x:v>
      </x:c>
      <x:c r="O11" s="9" t="str">
        <x:v>RET-MIS-OBSERVE, RET-CHO-OBSERVE, RET-OPT-OBSERVE</x:v>
      </x:c>
      <x:c r="P11" s="9" t="str"/>
      <x:c r="Q11" s="9" t="str"/>
      <x:c r="R11" s="9" t="str"/>
      <x:c r="S11" s="9" t="str"/>
    </x:row>
    <x:row r="12" ht="54" customHeight="1">
      <x:c r="A12" s="19" t="str">
        <x:v>RET-TST-UNEASY</x:v>
      </x:c>
      <x:c r="B12" s="7" t="str">
        <x:v>Maintenir une coopération provisoire — scénario d’acceptation</x:v>
      </x:c>
      <x:c r="C12" s="15" t="str">
        <x:v>Défini</x:v>
      </x:c>
      <x:c r="D12" s="17" t="str">
        <x:v>Extrapolation</x:v>
      </x:c>
      <x:c r="E12" s="17" t="str">
        <x:v>P1</x:v>
      </x:c>
      <x:c r="F12" s="7" t="str">
        <x:v>Test de comportement spécifique à la mission proposée.</x:v>
      </x:c>
      <x:c r="G12" s="7" t="str">
        <x:v>Exécuter Maintenir une coopération provisoire avec la méthode la plus lente puis avec la méthode alternative.</x:v>
      </x:c>
      <x:c r="H12" s="7" t="str">
        <x:v>Contrôler les transitions de la règle suivante : Définir qui surveille, qui pilote et qui vérifie la destination ; choix locaux réversibles.</x:v>
      </x:c>
      <x:c r="I12" s="7" t="str">
        <x:v>Capturer le moment où la sortie devient valide et celui où le choix devient indisponible.</x:v>
      </x:c>
      <x:c r="J12" s="7" t="str">
        <x:v>Interrompre une action à son anticipation et une autre après son engagement.</x:v>
      </x:c>
      <x:c r="K12" s="7" t="str">
        <x:v>Rejouer sans son pour vérifier les informations essentielles.</x:v>
      </x:c>
      <x:c r="L12" s="7" t="str">
        <x:v>qa/ret/uneasy.md : état initial, actions, attendu, résultat, capture.</x:v>
      </x:c>
      <x:c r="M12" s="7" t="str">
        <x:v>Kai Leng n’est pas converti en compagnon fidèle.</x:v>
      </x:c>
      <x:c r="N12" s="7" t="str">
        <x:v>Aucun blocage, récompense multiple, information future ou divergence entre pause ATB et temps normal.</x:v>
      </x:c>
      <x:c r="O12" s="7" t="str">
        <x:v>RET-MIS-UNEASY, RET-CHO-UNEASY, RET-OPT-UNEASY</x:v>
      </x:c>
      <x:c r="P12" s="7" t="str"/>
      <x:c r="Q12" s="7" t="str"/>
      <x:c r="R12" s="7" t="str"/>
      <x:c r="S12" s="7" t="str"/>
    </x:row>
    <x:row r="13" ht="54" customHeight="1">
      <x:c r="A13" s="18" t="str">
        <x:v>RET-TST-SHELTER</x:v>
      </x:c>
      <x:c r="B13" s="9" t="str">
        <x:v>Garder l’académie ouverte aux secours — scénario d’acceptation</x:v>
      </x:c>
      <x:c r="C13" s="15" t="str">
        <x:v>Défini</x:v>
      </x:c>
      <x:c r="D13" s="16" t="str">
        <x:v>Extrapolation</x:v>
      </x:c>
      <x:c r="E13" s="16" t="str">
        <x:v>P1</x:v>
      </x:c>
      <x:c r="F13" s="9" t="str">
        <x:v>Test de comportement spécifique à la mission proposée.</x:v>
      </x:c>
      <x:c r="G13" s="9" t="str">
        <x:v>Exécuter Garder l’académie ouverte aux secours avec la méthode la plus lente puis avec la méthode alternative.</x:v>
      </x:c>
      <x:c r="H13" s="9" t="str">
        <x:v>Contrôler les transitions de la règle suivante : Couvrir les portes, guider les groupes et tenir le point de soins.</x:v>
      </x:c>
      <x:c r="I13" s="9" t="str">
        <x:v>Capturer le moment où la sortie devient valide et celui où le choix devient indisponible.</x:v>
      </x:c>
      <x:c r="J13" s="9" t="str">
        <x:v>Interrompre une action à son anticipation et une autre après son engagement.</x:v>
      </x:c>
      <x:c r="K13" s="9" t="str">
        <x:v>Rejouer sans son pour vérifier les informations essentielles.</x:v>
      </x:c>
      <x:c r="L13" s="9" t="str">
        <x:v>qa/ret/shelter.md : état initial, actions, attendu, résultat, capture.</x:v>
      </x:c>
      <x:c r="M13" s="9" t="str">
        <x:v>Les destins établis ne deviennent pas des récompenses de score.</x:v>
      </x:c>
      <x:c r="N13" s="9" t="str">
        <x:v>Aucun blocage, récompense multiple, information future ou divergence entre pause ATB et temps normal.</x:v>
      </x:c>
      <x:c r="O13" s="9" t="str">
        <x:v>RET-MIS-SHELTER, RET-CHO-SHELTER, RET-OPT-SHELTER</x:v>
      </x:c>
      <x:c r="P13" s="9" t="str"/>
      <x:c r="Q13" s="9" t="str"/>
      <x:c r="R13" s="9" t="str"/>
      <x:c r="S13" s="9" t="str"/>
    </x:row>
    <x:row r="14" ht="54" customHeight="1">
      <x:c r="A14" s="19" t="str">
        <x:v>RET-TST-REPORT</x:v>
      </x:c>
      <x:c r="B14" s="7" t="str">
        <x:v>Conserver le résultat de l’opération — scénario d’acceptation</x:v>
      </x:c>
      <x:c r="C14" s="15" t="str">
        <x:v>Défini</x:v>
      </x:c>
      <x:c r="D14" s="17" t="str">
        <x:v>Extrapolation</x:v>
      </x:c>
      <x:c r="E14" s="17" t="str">
        <x:v>P1</x:v>
      </x:c>
      <x:c r="F14" s="7" t="str">
        <x:v>Test de comportement spécifique à la mission proposée.</x:v>
      </x:c>
      <x:c r="G14" s="7" t="str">
        <x:v>Exécuter Conserver le résultat de l’opération avec la méthode la plus lente puis avec la méthode alternative.</x:v>
      </x:c>
      <x:c r="H14" s="7" t="str">
        <x:v>Contrôler les transitions de la règle suivante : Séparer témoignage, mesure et hypothèse ; archiver sans divulguer les données hors contexte.</x:v>
      </x:c>
      <x:c r="I14" s="7" t="str">
        <x:v>Capturer le moment où la sortie devient valide et celui où le choix devient indisponible.</x:v>
      </x:c>
      <x:c r="J14" s="7" t="str">
        <x:v>Interrompre une action à son anticipation et une autre après son engagement.</x:v>
      </x:c>
      <x:c r="K14" s="7" t="str">
        <x:v>Rejouer sans son pour vérifier les informations essentielles.</x:v>
      </x:c>
      <x:c r="L14" s="7" t="str">
        <x:v>qa/ret/report.md : état initial, actions, attendu, résultat, capture.</x:v>
      </x:c>
      <x:c r="M14" s="7" t="str">
        <x:v>Préserver les états de Grayson, Nick et Kai Leng nécessaires à la suite.</x:v>
      </x:c>
      <x:c r="N14" s="7" t="str">
        <x:v>Aucun blocage, récompense multiple, information future ou divergence entre pause ATB et temps normal.</x:v>
      </x:c>
      <x:c r="O14" s="7" t="str">
        <x:v>RET-MIS-REPORT, RET-CHO-REPORT, RET-OPT-REPORT</x:v>
      </x:c>
      <x:c r="P14" s="7" t="str"/>
      <x:c r="Q14" s="7" t="str"/>
      <x:c r="R14" s="7" t="str"/>
      <x:c r="S14" s="7" t="str"/>
    </x:row>
    <x:row r="15" ht="68" customHeight="1">
      <x:c r="A15" s="18" t="str">
        <x:v>RET-QA-SOURCES</x:v>
      </x:c>
      <x:c r="B15" s="9" t="str">
        <x:v>Provenance et non-substitution</x:v>
      </x:c>
      <x:c r="C15" s="15" t="str">
        <x:v>Défini</x:v>
      </x:c>
      <x:c r="D15" s="16" t="str">
        <x:v>Extrapolation</x:v>
      </x:c>
      <x:c r="E15" s="16" t="str">
        <x:v>P0</x:v>
      </x:c>
      <x:c r="F15" s="9" t="str">
        <x:v>Contrôle éditorial du catalogue de production.</x:v>
      </x:c>
      <x:c r="G15" s="9" t="str">
        <x:v>Comparer les seuls faits de référence avec les pages citées ; conserver toutes les mécaniques ajoutées comme Extrapolation.</x:v>
      </x:c>
      <x:c r="H15" s="9" t="str">
        <x:v>Vérifier qu’aucune fiche ne présente une statistique ATB comme une valeur du roman ou du film.</x:v>
      </x:c>
      <x:c r="I15" s="9" t="str"/>
      <x:c r="J15" s="9" t="str"/>
      <x:c r="K15" s="9" t="str"/>
      <x:c r="L15" s="9" t="str">
        <x:v>Filtrer RET par nature puis sourceIds ; revue ciblée des éléments sans source.</x:v>
      </x:c>
      <x:c r="M15" s="9" t="str">
        <x:v>Préserver le parcours de Grayson et les états nécessaires à Deception et ME3. Les rencontres proposées n’offrent ni guérison canonique de Grayson ni élimination définitive de Kai Leng.</x:v>
      </x:c>
      <x:c r="N15" s="9" t="str">
        <x:v>Sources accessibles ou limites tracées ; aucun long extrait, dialogue reproduit ou résumé continu substitutif.</x:v>
      </x:c>
      <x:c r="O15" s="9" t="str"/>
      <x:c r="P15" s="9" t="str"/>
      <x:c r="Q15" s="9" t="str"/>
      <x:c r="R15" s="9" t="str"/>
      <x:c r="S15" s="9" t="str"/>
    </x:row>
    <x:row r="16" ht="68" customHeight="1">
      <x:c r="A16" s="19" t="str">
        <x:v>RET-QA-SAVE</x:v>
      </x:c>
      <x:c r="B16" s="7" t="str">
        <x:v>Reprise des états et du groupe</x:v>
      </x:c>
      <x:c r="C16" s="15" t="str">
        <x:v>Défini</x:v>
      </x:c>
      <x:c r="D16" s="17" t="str">
        <x:v>Extrapolation</x:v>
      </x:c>
      <x:c r="E16" s="17" t="str">
        <x:v>P0</x:v>
      </x:c>
      <x:c r="F16" s="7" t="str">
        <x:v>Contrôle de sauvegarde du module proposé.</x:v>
      </x:c>
      <x:c r="G16" s="7" t="str">
        <x:v>Sauver avant une transition, une option et une crise ; charger puis comparer les états de progression et de présence.</x:v>
      </x:c>
      <x:c r="H16" s="7" t="str">
        <x:v>Le coût d’action est appliqué exactement une fois ; les acteurs absents ne réapparaissent pas au chargement.</x:v>
      </x:c>
      <x:c r="I16" s="7" t="str"/>
      <x:c r="J16" s="7" t="str"/>
      <x:c r="K16" s="7" t="str"/>
      <x:c r="L16" s="7" t="str">
        <x:v>qa/ret/save-reload.md avec capture avant/après.</x:v>
      </x:c>
      <x:c r="M16" s="7" t="str">
        <x:v>Préserver le parcours de Grayson et les états nécessaires à Deception et ME3. Les rencontres proposées n’offrent ni guérison canonique de Grayson ni élimination définitive de Kai Leng.</x:v>
      </x:c>
      <x:c r="N16" s="7" t="str">
        <x:v>Inventaire, acteurs disponibles, indices et limites de continuité restent identiques.</x:v>
      </x:c>
      <x:c r="O16" s="7" t="str"/>
      <x:c r="P16" s="7" t="str"/>
      <x:c r="Q16" s="7" t="str"/>
      <x:c r="R16" s="7" t="str"/>
      <x:c r="S16" s="7" t="str"/>
    </x:row>
    <x:row r="17" ht="54" customHeight="1">
      <x:c r="A17" s="18" t="str">
        <x:v>RET-QA-VISUAL</x:v>
      </x:c>
      <x:c r="B17" s="9" t="str">
        <x:v>Lisibilité sprites 2D sur volumes 3D</x:v>
      </x:c>
      <x:c r="C17" s="15" t="str">
        <x:v>Défini</x:v>
      </x:c>
      <x:c r="D17" s="16" t="str">
        <x:v>Extrapolation</x:v>
      </x:c>
      <x:c r="E17" s="16" t="str">
        <x:v>P0</x:v>
      </x:c>
      <x:c r="F17" s="9" t="str">
        <x:v>Contrôle visuel de production du module.</x:v>
      </x:c>
      <x:c r="G17" s="9" t="str">
        <x:v>Photographier chaque carrefour et engagement avec effets actifs, puis répéter à petite résolution et sans couleur.</x:v>
      </x:c>
      <x:c r="H17" s="9" t="str">
        <x:v>La zone cliquable correspond aux pieds des sprites, jamais au sommet d’un décor.</x:v>
      </x:c>
      <x:c r="I17" s="9" t="str"/>
      <x:c r="J17" s="9" t="str"/>
      <x:c r="K17" s="9" t="str"/>
      <x:c r="L17" s="9" t="str">
        <x:v>qa/ret/readability/ : captures scènes et grille de comparaison.</x:v>
      </x:c>
      <x:c r="M17" s="9" t="str">
        <x:v>Validation sur les cartes de ce catalogue uniquement.</x:v>
      </x:c>
      <x:c r="N17" s="9" t="str">
        <x:v>Aucune occlusion totale du personnage actif ; les sorties et télégraphes restent compréhensibles.</x:v>
      </x:c>
      <x:c r="O17" s="9" t="str"/>
      <x:c r="P17" s="9" t="str"/>
      <x:c r="Q17" s="9" t="str"/>
      <x:c r="R17" s="9" t="str"/>
      <x:c r="S17" s="9" t="str"/>
    </x:row>
    <x:row r="18" ht="54" customHeight="1">
      <x:c r="A18" s="19" t="str">
        <x:v>RET-QA-ACCESS</x:v>
      </x:c>
      <x:c r="B18" s="7" t="str">
        <x:v>Commandes, texte et effets accessibles</x:v>
      </x:c>
      <x:c r="C18" s="15" t="str">
        <x:v>Défini</x:v>
      </x:c>
      <x:c r="D18" s="17" t="str">
        <x:v>Extrapolation</x:v>
      </x:c>
      <x:c r="E18" s="17" t="str">
        <x:v>P1</x:v>
      </x:c>
      <x:c r="F18" s="7" t="str">
        <x:v>Contrôle fonctionnel des options proposées.</x:v>
      </x:c>
      <x:c r="G18" s="7" t="str">
        <x:v>Parcourir le module au clavier, avec sous-titres et effets réduits ; désactiver l’audio et tester les avertissements.</x:v>
      </x:c>
      <x:c r="H18" s="7" t="str">
        <x:v>La pause ATB permet de lire un choix ou un indice sans pénalité de temps.</x:v>
      </x:c>
      <x:c r="I18" s="7" t="str"/>
      <x:c r="J18" s="7" t="str"/>
      <x:c r="K18" s="7" t="str"/>
      <x:c r="L18" s="7" t="str">
        <x:v>qa/ret/accessibility.md ; cas de navigation, focus, contraste et interruption.</x:v>
      </x:c>
      <x:c r="M18" s="7" t="str">
        <x:v>Conserver les règles de présence narrative pendant tous les essais.</x:v>
      </x:c>
      <x:c r="N18" s="7" t="str">
        <x:v>Toute action essentielle est réalisable ; aucune information indispensable ne dépend du son ou de la seule couleur.</x:v>
      </x:c>
      <x:c r="O18" s="7" t="str"/>
      <x:c r="P18" s="7" t="str"/>
      <x:c r="Q18" s="7" t="str"/>
      <x:c r="R18" s="7" t="str"/>
      <x:c r="S18" s="7" t="str"/>
    </x:row>
  </x:sheetData>
  <x:conditionalFormatting sqref="D7:D18">
    <x:cfRule type="cellIs" dxfId="96" priority="1" operator="equal">
      <x:formula>"À vérifier"</x:formula>
    </x:cfRule>
    <x:cfRule type="cellIs" dxfId="97" priority="2" operator="equal">
      <x:formula>"Extrapolation"</x:formula>
    </x:cfRule>
  </x:conditionalFormatting>
  <x:conditionalFormatting sqref="C7:C18">
    <x:cfRule type="cellIs" dxfId="98" priority="3" operator="equal">
      <x:formula>"Validé"</x:formula>
    </x:cfRule>
  </x:conditionalFormatting>
  <x:conditionalFormatting sqref="E7:E18">
    <x:cfRule type="cellIs" dxfId="99" priority="4" operator="equal">
      <x:formula>"P0"</x:formula>
    </x:cfRule>
  </x:conditionalFormatting>
  <x:dataValidations count="3">
    <x:dataValidation type="list" sqref="C7:C18">
      <x:formula1>"Défini,Prototype,Intégré,Validé"</x:formula1>
    </x:dataValidation>
    <x:dataValidation type="list" sqref="D7:D18">
      <x:formula1>"Établi,À vérifier,Extrapolation,Coupé attesté,Concept abandonné,Allégation écartée"</x:formula1>
    </x:dataValidation>
    <x:dataValidation type="list" sqref="E7:E18">
      <x:formula1>"P0,P1,P2"</x:formula1>
    </x:dataValidation>
  </x:dataValidations>
  <x:pageMargins left="0.7" right="0.7" top="0.75" bottom="0.75" header="0.3" footer="0.3"/>
  <x:tableParts count="1">
    <x:tablePart xmlns:r="http://schemas.openxmlformats.org/officeDocument/2006/relationships" r:id="Rccba04ec25b54f3c"/>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Retribution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RET-CON-01</x:v>
      </x:c>
      <x:c r="B7" s="9" t="str">
        <x:v>Après Mass Effect 2</x:v>
      </x:c>
      <x:c r="C7" s="15" t="str">
        <x:v>Défini</x:v>
      </x:c>
      <x:c r="D7" s="16" t="str">
        <x:v>Établi</x:v>
      </x:c>
      <x:c r="E7" s="16" t="str">
        <x:v>P0</x:v>
      </x:c>
      <x:c r="F7" s="9" t="str">
        <x:v>La notice situe le roman après les événements de ME2.</x:v>
      </x:c>
      <x:c r="G7" s="9" t="str">
        <x:v>Contrainte éditoriale : verrouiller les dépendances avant intégration du module.</x:v>
      </x:c>
      <x:c r="H7" s="9" t="str"/>
      <x:c r="I7" s="9" t="str"/>
      <x:c r="J7" s="9" t="str"/>
      <x:c r="K7" s="9" t="str"/>
      <x:c r="L7" s="9" t="str">
        <x:v>continuity/ret.json ; règle documentée et décision de validation datée.</x:v>
      </x:c>
      <x:c r="M7" s="9" t="str">
        <x:v>Préserver le parcours de Grayson et les états nécessaires à Deception et ME3. Les rencontres proposées n’offrent ni guérison canonique de Grayson ni élimination définitive de Kai Leng.</x:v>
      </x:c>
      <x:c r="N7" s="9" t="str">
        <x:v>La règle est contrôlée dans les textes, cartes, choix et sauvegardes ; incertitude résolue ou affichée.</x:v>
      </x:c>
      <x:c r="O7" s="9" t="str"/>
      <x:c r="P7" s="9" t="str">
        <x:v>Limite de continuité / contrôle transversal</x:v>
      </x:c>
      <x:c r="Q7" s="9" t="str">
        <x:v>RET-SRC-WIKI</x:v>
      </x:c>
      <x:c r="R7" s="9" t="str">
        <x:v>https://masseffect.fandom.com/wiki/Mass_Effect:_Retribution</x:v>
      </x:c>
      <x:c r="S7" s="9" t="str">
        <x:v>Aucun numéro de chapitre ou de page n’est attribué sans exemplaire vérifié.</x:v>
      </x:c>
    </x:row>
    <x:row r="8" ht="68" customHeight="1">
      <x:c r="A8" s="19" t="str">
        <x:v>RET-CON-02</x:v>
      </x:c>
      <x:c r="B8" s="7" t="str">
        <x:v>Liselle</x:v>
      </x:c>
      <x:c r="C8" s="15" t="str">
        <x:v>Défini</x:v>
      </x:c>
      <x:c r="D8" s="17" t="str">
        <x:v>Établi</x:v>
      </x:c>
      <x:c r="E8" s="17" t="str">
        <x:v>P0</x:v>
      </x:c>
      <x:c r="F8" s="7" t="str">
        <x:v>Sa mort pendant l’opération de capture ne devient pas une issue optionnelle présentée comme officielle.</x:v>
      </x:c>
      <x:c r="G8" s="7" t="str">
        <x:v>Contrainte éditoriale : verrouiller les dépendances avant intégration du module.</x:v>
      </x:c>
      <x:c r="H8" s="7" t="str"/>
      <x:c r="I8" s="7" t="str"/>
      <x:c r="J8" s="7" t="str"/>
      <x:c r="K8" s="7" t="str"/>
      <x:c r="L8" s="7" t="str">
        <x:v>continuity/ret.json ; règle documentée et décision de validation datée.</x:v>
      </x:c>
      <x:c r="M8" s="7" t="str">
        <x:v>Préserver le parcours de Grayson et les états nécessaires à Deception et ME3. Les rencontres proposées n’offrent ni guérison canonique de Grayson ni élimination définitive de Kai Leng.</x:v>
      </x:c>
      <x:c r="N8" s="7" t="str">
        <x:v>La règle est contrôlée dans les textes, cartes, choix et sauvegardes ; incertitude résolue ou affichée.</x:v>
      </x:c>
      <x:c r="O8" s="7" t="str"/>
      <x:c r="P8" s="7" t="str">
        <x:v>Limite de continuité / contrôle transversal</x:v>
      </x:c>
      <x:c r="Q8" s="7" t="str">
        <x:v>RET-SRC-KAI</x:v>
      </x:c>
      <x:c r="R8" s="7" t="str">
        <x:v>https://masseffect.fandom.com/wiki/Kai_Leng</x:v>
      </x:c>
      <x:c r="S8" s="7" t="str">
        <x:v>Aucun numéro de chapitre ou de page n’est attribué sans exemplaire vérifié.</x:v>
      </x:c>
    </x:row>
    <x:row r="9" ht="68" customHeight="1">
      <x:c r="A9" s="18" t="str">
        <x:v>RET-CON-03</x:v>
      </x:c>
      <x:c r="B9" s="9" t="str">
        <x:v>Kai Leng</x:v>
      </x:c>
      <x:c r="C9" s="15" t="str">
        <x:v>Défini</x:v>
      </x:c>
      <x:c r="D9" s="16" t="str">
        <x:v>Établi</x:v>
      </x:c>
      <x:c r="E9" s="16" t="str">
        <x:v>P0</x:v>
      </x:c>
      <x:c r="F9" s="9" t="str">
        <x:v>Kai Leng survit aux événements ; un duel proposé ne peut le supprimer de ME3.</x:v>
      </x:c>
      <x:c r="G9" s="9" t="str">
        <x:v>Contrainte éditoriale : verrouiller les dépendances avant intégration du module.</x:v>
      </x:c>
      <x:c r="H9" s="9" t="str"/>
      <x:c r="I9" s="9" t="str"/>
      <x:c r="J9" s="9" t="str"/>
      <x:c r="K9" s="9" t="str"/>
      <x:c r="L9" s="9" t="str">
        <x:v>continuity/ret.json ; règle documentée et décision de validation datée.</x:v>
      </x:c>
      <x:c r="M9" s="9" t="str">
        <x:v>Préserver le parcours de Grayson et les états nécessaires à Deception et ME3. Les rencontres proposées n’offrent ni guérison canonique de Grayson ni élimination définitive de Kai Leng.</x:v>
      </x:c>
      <x:c r="N9" s="9" t="str">
        <x:v>La règle est contrôlée dans les textes, cartes, choix et sauvegardes ; incertitude résolue ou affichée.</x:v>
      </x:c>
      <x:c r="O9" s="9" t="str"/>
      <x:c r="P9" s="9" t="str">
        <x:v>Limite de continuité / contrôle transversal</x:v>
      </x:c>
      <x:c r="Q9" s="9" t="str">
        <x:v>RET-SRC-KAI</x:v>
      </x:c>
      <x:c r="R9" s="9" t="str">
        <x:v>https://masseffect.fandom.com/wiki/Kai_Leng</x:v>
      </x:c>
      <x:c r="S9" s="9" t="str">
        <x:v>Aucun numéro de chapitre ou de page n’est attribué sans exemplaire vérifié.</x:v>
      </x:c>
    </x:row>
    <x:row r="10" ht="68" customHeight="1">
      <x:c r="A10" s="19" t="str">
        <x:v>RET-CON-04</x:v>
      </x:c>
      <x:c r="B10" s="7" t="str">
        <x:v>Grayson</x:v>
      </x:c>
      <x:c r="C10" s="15" t="str">
        <x:v>Défini</x:v>
      </x:c>
      <x:c r="D10" s="17" t="str">
        <x:v>À vérifier</x:v>
      </x:c>
      <x:c r="E10" s="17" t="str">
        <x:v>P0</x:v>
      </x:c>
      <x:c r="F10" s="7" t="str">
        <x:v>La fin de Grayson doit rester compatible avec les preuves transportées dans Deception.</x:v>
      </x:c>
      <x:c r="G10" s="7" t="str">
        <x:v>Contrainte éditoriale : verrouiller les dépendances avant intégration du module.</x:v>
      </x:c>
      <x:c r="H10" s="7" t="str"/>
      <x:c r="I10" s="7" t="str"/>
      <x:c r="J10" s="7" t="str"/>
      <x:c r="K10" s="7" t="str"/>
      <x:c r="L10" s="7" t="str">
        <x:v>continuity/ret.json ; règle documentée et décision de validation datée.</x:v>
      </x:c>
      <x:c r="M10" s="7" t="str">
        <x:v>Préserver le parcours de Grayson et les états nécessaires à Deception et ME3. Les rencontres proposées n’offrent ni guérison canonique de Grayson ni élimination définitive de Kai Leng.</x:v>
      </x:c>
      <x:c r="N10" s="7" t="str">
        <x:v>La règle est contrôlée dans les textes, cartes, choix et sauvegardes ; incertitude résolue ou affichée.</x:v>
      </x:c>
      <x:c r="O10" s="7" t="str"/>
      <x:c r="P10" s="7" t="str">
        <x:v>Limite de continuité / contrôle transversal</x:v>
      </x:c>
      <x:c r="Q10" s="7" t="str"/>
      <x:c r="R10" s="7" t="str"/>
      <x:c r="S10" s="7" t="str">
        <x:v>Aucun numéro de chapitre ou de page n’est attribué sans exemplaire vérifié.</x:v>
      </x:c>
    </x:row>
    <x:row r="11" ht="68" customHeight="1">
      <x:c r="A11" s="18" t="str">
        <x:v>RET-CON-05</x:v>
      </x:c>
      <x:c r="B11" s="9" t="str">
        <x:v>Nick adolescent</x:v>
      </x:c>
      <x:c r="C11" s="15" t="str">
        <x:v>Défini</x:v>
      </x:c>
      <x:c r="D11" s="16" t="str">
        <x:v>Établi</x:v>
      </x:c>
      <x:c r="E11" s="16" t="str">
        <x:v>P0</x:v>
      </x:c>
      <x:c r="F11" s="9" t="str">
        <x:v>Ne pas importer l’âge problématique de Deception dans ce module.</x:v>
      </x:c>
      <x:c r="G11" s="9" t="str">
        <x:v>Contrainte éditoriale : verrouiller les dépendances avant intégration du module.</x:v>
      </x:c>
      <x:c r="H11" s="9" t="str"/>
      <x:c r="I11" s="9" t="str"/>
      <x:c r="J11" s="9" t="str"/>
      <x:c r="K11" s="9" t="str"/>
      <x:c r="L11" s="9" t="str">
        <x:v>continuity/ret.json ; règle documentée et décision de validation datée.</x:v>
      </x:c>
      <x:c r="M11" s="9" t="str">
        <x:v>Préserver le parcours de Grayson et les états nécessaires à Deception et ME3. Les rencontres proposées n’offrent ni guérison canonique de Grayson ni élimination définitive de Kai Leng.</x:v>
      </x:c>
      <x:c r="N11" s="9" t="str">
        <x:v>La règle est contrôlée dans les textes, cartes, choix et sauvegardes ; incertitude résolue ou affichée.</x:v>
      </x:c>
      <x:c r="O11" s="9" t="str"/>
      <x:c r="P11" s="9" t="str">
        <x:v>Limite de continuité / contrôle transversal</x:v>
      </x:c>
      <x:c r="Q11" s="9" t="str">
        <x:v>RET-SRC-NICK</x:v>
      </x:c>
      <x:c r="R11" s="9" t="str">
        <x:v>https://masseffect.fandom.com/wiki/Nick_Donahue</x:v>
      </x:c>
      <x:c r="S11" s="9" t="str">
        <x:v>Aucun numéro de chapitre ou de page n’est attribué sans exemplaire vérifié.</x:v>
      </x:c>
    </x:row>
    <x:row r="12" ht="68" customHeight="1">
      <x:c r="A12" s="19" t="str">
        <x:v>RET-CON-06</x:v>
      </x:c>
      <x:c r="B12" s="7" t="str">
        <x:v>Implants</x:v>
      </x:c>
      <x:c r="C12" s="15" t="str">
        <x:v>Défini</x:v>
      </x:c>
      <x:c r="D12" s="17" t="str">
        <x:v>Extrapolation</x:v>
      </x:c>
      <x:c r="E12" s="17" t="str">
        <x:v>P0</x:v>
      </x:c>
      <x:c r="F12" s="7" t="str">
        <x:v>Les effets narratifs des implants ne justifient aucune recette technique ou taux de réussite médical inventé.</x:v>
      </x:c>
      <x:c r="G12" s="7" t="str">
        <x:v>Contrainte éditoriale : verrouiller les dépendances avant intégration du module.</x:v>
      </x:c>
      <x:c r="H12" s="7" t="str"/>
      <x:c r="I12" s="7" t="str"/>
      <x:c r="J12" s="7" t="str"/>
      <x:c r="K12" s="7" t="str"/>
      <x:c r="L12" s="7" t="str">
        <x:v>continuity/ret.json ; règle documentée et décision de validation datée.</x:v>
      </x:c>
      <x:c r="M12" s="7" t="str">
        <x:v>Préserver le parcours de Grayson et les états nécessaires à Deception et ME3. Les rencontres proposées n’offrent ni guérison canonique de Grayson ni élimination définitive de Kai Leng.</x:v>
      </x:c>
      <x:c r="N12" s="7" t="str">
        <x:v>La règle est contrôlée dans les textes, cartes, choix et sauvegardes ; incertitude résolue ou affichée.</x:v>
      </x:c>
      <x:c r="O12" s="7" t="str"/>
      <x:c r="P12" s="7" t="str">
        <x:v>Limite de continuité / contrôle transversal</x:v>
      </x:c>
      <x:c r="Q12" s="7" t="str"/>
      <x:c r="R12" s="7" t="str"/>
      <x:c r="S12" s="7" t="str">
        <x:v>Aucun numéro de chapitre ou de page n’est attribué sans exemplaire vérifié.</x:v>
      </x:c>
    </x:row>
    <x:row r="13" ht="68" customHeight="1">
      <x:c r="A13" s="18" t="str">
        <x:v>RET-CON-07</x:v>
      </x:c>
      <x:c r="B13" s="9" t="str">
        <x:v>Ambassadrice Orinia</x:v>
      </x:c>
      <x:c r="C13" s="15" t="str">
        <x:v>Défini</x:v>
      </x:c>
      <x:c r="D13" s="16" t="str">
        <x:v>Établi</x:v>
      </x:c>
      <x:c r="E13" s="16" t="str">
        <x:v>P0</x:v>
      </x:c>
      <x:c r="F13" s="9" t="str">
        <x:v>La relation diplomatique permet une aide ciblée ; elle ne crée pas une guerre générale entre Turiens et Cerberus.</x:v>
      </x:c>
      <x:c r="G13" s="9" t="str">
        <x:v>Contrainte éditoriale : verrouiller les dépendances avant intégration du module.</x:v>
      </x:c>
      <x:c r="H13" s="9" t="str"/>
      <x:c r="I13" s="9" t="str"/>
      <x:c r="J13" s="9" t="str"/>
      <x:c r="K13" s="9" t="str"/>
      <x:c r="L13" s="9" t="str">
        <x:v>continuity/ret.json ; règle documentée et décision de validation datée.</x:v>
      </x:c>
      <x:c r="M13" s="9" t="str">
        <x:v>Préserver le parcours de Grayson et les états nécessaires à Deception et ME3. Les rencontres proposées n’offrent ni guérison canonique de Grayson ni élimination définitive de Kai Leng.</x:v>
      </x:c>
      <x:c r="N13" s="9" t="str">
        <x:v>La règle est contrôlée dans les textes, cartes, choix et sauvegardes ; incertitude résolue ou affichée.</x:v>
      </x:c>
      <x:c r="O13" s="9" t="str"/>
      <x:c r="P13" s="9" t="str">
        <x:v>Limite de continuité / contrôle transversal</x:v>
      </x:c>
      <x:c r="Q13" s="9" t="str">
        <x:v>RET-SRC-AND</x:v>
      </x:c>
      <x:c r="R13" s="9" t="str">
        <x:v>https://masseffect.fandom.com/wiki/David_Anderson</x:v>
      </x:c>
      <x:c r="S13" s="9" t="str">
        <x:v>Aucun numéro de chapitre ou de page n’est attribué sans exemplaire vérifié.</x:v>
      </x:c>
    </x:row>
  </x:sheetData>
  <x:conditionalFormatting sqref="D7:D13">
    <x:cfRule type="cellIs" dxfId="100" priority="1" operator="equal">
      <x:formula>"À vérifier"</x:formula>
    </x:cfRule>
    <x:cfRule type="cellIs" dxfId="101" priority="2" operator="equal">
      <x:formula>"Extrapolation"</x:formula>
    </x:cfRule>
  </x:conditionalFormatting>
  <x:conditionalFormatting sqref="C7:C13">
    <x:cfRule type="cellIs" dxfId="102" priority="3" operator="equal">
      <x:formula>"Validé"</x:formula>
    </x:cfRule>
  </x:conditionalFormatting>
  <x:conditionalFormatting sqref="E7:E13">
    <x:cfRule type="cellIs" dxfId="103"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7ddfed4b14294397"/>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Retribution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Retribution</x:v>
      </x:c>
      <x:c r="C7" s="2"/>
      <x:c r="D7" s="2"/>
      <x:c r="E7" s="2"/>
      <x:c r="F7" s="2"/>
    </x:row>
    <x:row r="8" ht="30" customHeight="1">
      <x:c r="A8" s="7" t="str">
        <x:v>Support</x:v>
      </x:c>
      <x:c r="B8" s="7" t="str">
        <x:v>Roman</x:v>
      </x:c>
      <x:c r="C8" s="2"/>
      <x:c r="D8" s="2"/>
      <x:c r="E8" s="2"/>
      <x:c r="F8" s="2"/>
    </x:row>
    <x:row r="9" ht="40" customHeight="1">
      <x:c r="A9" s="7" t="str">
        <x:v>Périmètre</x:v>
      </x:c>
      <x:c r="B9" s="7" t="str">
        <x:v>Roman de Drew Karpyshyn ; enquête sur Grayson, expériences de Cerberus et menace sur l’académie.</x:v>
      </x:c>
      <x:c r="C9" s="2"/>
      <x:c r="D9" s="2"/>
      <x:c r="E9" s="2"/>
      <x:c r="F9" s="2"/>
    </x:row>
    <x:row r="10" ht="54" customHeight="1">
      <x:c r="A10" s="7" t="str">
        <x:v>Projet</x:v>
      </x:c>
      <x:c r="B10" s="7" t="str">
        <x:v>158 fiches de production ; 5 fiches au stade Prototype de portée partielle. Les autres livrables restent des spécifications ; aucun achèvement intégral 1:1 revendiqué.</x:v>
      </x:c>
      <x:c r="C10" s="2"/>
      <x:c r="D10" s="2"/>
      <x:c r="E10" s="2"/>
      <x:c r="F10" s="2"/>
    </x:row>
    <x:row r="11" ht="110" customHeight="1">
      <x:c r="A11" s="7" t="str">
        <x:v>Références et limites</x:v>
      </x:c>
      <x:c r="B11" s="7" t="str">
        <x:v>Préserver le parcours de Grayson et les états nécessaires à Deception et ME3. Les rencontres proposées n’offrent ni guérison canonique de Grayson ni élimination définitive de Kai Leng. Les données de gameplay, plans, choix, statistiques, sprites et sons sont des créations d’adaptation ; tous les ajouts jouables sont marqués Extrapolation. Sources consultées le 22 octobre 2026.</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54" customHeight="1">
      <x:c r="A27" s="6" t="str">
        <x:v>RET-SRC-PUB</x:v>
      </x:c>
      <x:c r="B27" s="6" t="str">
        <x:v>Penguin Random House — Retribution</x:v>
      </x:c>
      <x:c r="C27" s="6" t="str">
        <x:v>source officielle</x:v>
      </x:c>
      <x:c r="D27" s="6" t="str">
        <x:v>https://www.penguinrandomhouse.com/books/200767/mass-effect-retribution-by-drew-karpyshyn/paperback/</x:v>
      </x:c>
      <x:c r="E27" s="6" t="str">
        <x:v>Publication et prémisse officielle</x:v>
      </x:c>
      <x:c r="F27" s="6" t="str">
        <x:v>Consulté le 22 octobre 2026. Faits courts uniquement ; la publication originale reste nécessaire pour contrôler les détails.</x:v>
      </x:c>
    </x:row>
    <x:row r="28" ht="54" customHeight="1">
      <x:c r="A28" s="6" t="str">
        <x:v>RET-SRC-WIKI</x:v>
      </x:c>
      <x:c r="B28" s="6" t="str">
        <x:v>Mass Effect Wiki — Retribution</x:v>
      </x:c>
      <x:c r="C28" s="6" t="str">
        <x:v>wiki</x:v>
      </x:c>
      <x:c r="D28" s="6" t="str">
        <x:v>https://masseffect.fandom.com/wiki/Mass_Effect:_Retribution</x:v>
      </x:c>
      <x:c r="E28" s="6" t="str">
        <x:v>Situation après ME2 ; page ouverte après un premier refus</x:v>
      </x:c>
      <x:c r="F28" s="6" t="str">
        <x:v>Consulté le 22 octobre 2026. Faits courts uniquement ; la publication originale reste nécessaire pour contrôler les détails.</x:v>
      </x:c>
    </x:row>
    <x:row r="29" ht="54" customHeight="1">
      <x:c r="A29" s="6" t="str">
        <x:v>RET-SRC-KAI</x:v>
      </x:c>
      <x:c r="B29" s="6" t="str">
        <x:v>Mass Effect Wiki — Kai Leng</x:v>
      </x:c>
      <x:c r="C29" s="6" t="str">
        <x:v>wiki</x:v>
      </x:c>
      <x:c r="D29" s="6" t="str">
        <x:v>https://masseffect.fandom.com/wiki/Kai_Leng</x:v>
      </x:c>
      <x:c r="E29" s="6" t="str">
        <x:v>Opération sur Omega, expérience, académie et survie de Leng</x:v>
      </x:c>
      <x:c r="F29" s="6" t="str">
        <x:v>Consulté le 22 octobre 2026. Faits courts uniquement ; la publication originale reste nécessaire pour contrôler les détails.</x:v>
      </x:c>
    </x:row>
    <x:row r="30" ht="54" customHeight="1">
      <x:c r="A30" s="6" t="str">
        <x:v>RET-SRC-LIS</x:v>
      </x:c>
      <x:c r="B30" s="6" t="str">
        <x:v>Mass Effect Wiki — Liselle</x:v>
      </x:c>
      <x:c r="C30" s="6" t="str">
        <x:v>wiki</x:v>
      </x:c>
      <x:c r="D30" s="6" t="str">
        <x:v>https://masseffect.fandom.com/wiki/Liselle</x:v>
      </x:c>
      <x:c r="E30" s="6" t="str">
        <x:v>Fille d’Aria et relation avec Grayson ; résultat indexé</x:v>
      </x:c>
      <x:c r="F30" s="6" t="str">
        <x:v>Consulté le 22 octobre 2026. Faits courts uniquement ; la publication originale reste nécessaire pour contrôler les détails.</x:v>
      </x:c>
    </x:row>
    <x:row r="31" ht="54" customHeight="1">
      <x:c r="A31" s="6" t="str">
        <x:v>RET-SRC-SAN</x:v>
      </x:c>
      <x:c r="B31" s="6" t="str">
        <x:v>Mass Effect Wiki — Sanak</x:v>
      </x:c>
      <x:c r="C31" s="6" t="str">
        <x:v>wiki</x:v>
      </x:c>
      <x:c r="D31" s="6" t="str">
        <x:v>https://masseffect.fandom.com/wiki/Sanak</x:v>
      </x:c>
      <x:c r="E31" s="6" t="str">
        <x:v>Mercenaire au service d’Aria et identification de Grayson ; résultat indexé</x:v>
      </x:c>
      <x:c r="F31" s="6" t="str">
        <x:v>Consulté le 22 octobre 2026. Faits courts uniquement ; la publication originale reste nécessaire pour contrôler les détails.</x:v>
      </x:c>
    </x:row>
    <x:row r="32" ht="54" customHeight="1">
      <x:c r="A32" s="6" t="str">
        <x:v>RET-SRC-OMEGA</x:v>
      </x:c>
      <x:c r="B32" s="6" t="str">
        <x:v>Mass Effect Wiki — Omega</x:v>
      </x:c>
      <x:c r="C32" s="6" t="str">
        <x:v>wiki</x:v>
      </x:c>
      <x:c r="D32" s="6" t="str">
        <x:v>https://masseffect.fandom.com/wiki/Omega</x:v>
      </x:c>
      <x:c r="E32" s="6" t="str">
        <x:v>Cadre de Retribution et rôle d’Aria ; résultat indexé</x:v>
      </x:c>
      <x:c r="F32" s="6" t="str">
        <x:v>Consulté le 22 octobre 2026. Faits courts uniquement ; la publication originale reste nécessaire pour contrôler les détails.</x:v>
      </x:c>
    </x:row>
    <x:row r="33" ht="54" customHeight="1">
      <x:c r="A33" s="6" t="str">
        <x:v>RET-SRC-AND</x:v>
      </x:c>
      <x:c r="B33" s="6" t="str">
        <x:v>Mass Effect Wiki — David Anderson</x:v>
      </x:c>
      <x:c r="C33" s="6" t="str">
        <x:v>wiki</x:v>
      </x:c>
      <x:c r="D33" s="6" t="str">
        <x:v>https://masseffect.fandom.com/wiki/David_Anderson</x:v>
      </x:c>
      <x:c r="E33" s="6" t="str">
        <x:v>Kahlee, Anderson et assistance d’Orinia</x:v>
      </x:c>
      <x:c r="F33" s="6" t="str">
        <x:v>Consulté le 22 octobre 2026. Faits courts uniquement ; la publication originale reste nécessaire pour contrôler les détails.</x:v>
      </x:c>
    </x:row>
    <x:row r="34" ht="54" customHeight="1">
      <x:c r="A34" s="6" t="str">
        <x:v>RET-SRC-NICK</x:v>
      </x:c>
      <x:c r="B34" s="6" t="str">
        <x:v>Mass Effect Wiki — Nick Donahue</x:v>
      </x:c>
      <x:c r="C34" s="6" t="str">
        <x:v>wiki</x:v>
      </x:c>
      <x:c r="D34" s="6" t="str">
        <x:v>https://masseffect.fandom.com/wiki/Nick_Donahue</x:v>
      </x:c>
      <x:c r="E34" s="6" t="str">
        <x:v>Présence de Nick à l’académie et chronologie</x:v>
      </x:c>
      <x:c r="F34" s="6" t="str">
        <x:v>Consulté le 22 octobre 2026. Faits courts uniquement ; la publication originale reste nécessaire pour contrôler les détails.</x:v>
      </x:c>
    </x:row>
    <x:row r="35" ht="54" customHeight="1">
      <x:c r="A35" s="6" t="str">
        <x:v>RET-SRC-EXCERPT</x:v>
      </x:c>
      <x:c r="B35" s="6" t="str">
        <x:v>EA/BioWare — extrait de Retribution</x:v>
      </x:c>
      <x:c r="C35" s="6" t="str">
        <x:v>publication originale</x:v>
      </x:c>
      <x:c r="D35" s="6" t="str">
        <x:v>https://na.llnet.bioware.cdn.ea.com/u/f/eagames/bioware/masseffect2/resources/assets/market/books/retribution-01.pdf</x:v>
      </x:c>
      <x:c r="E35" s="6" t="str">
        <x:v>Extrait indexé : Grayson, Liselle et Sanak ; pas de citation ni de pagination utilisée</x:v>
      </x:c>
      <x:c r="F35" s="6" t="str">
        <x:v>Consulté le 22 octobre 2026. Faits courts uniquement ; la publication originale reste nécessaire pour contrôler les détails.</x:v>
      </x:c>
    </x:row>
    <x:row r="36" ht="22" customHeight="1">
      <x:c r="A36" s="2"/>
      <x:c r="B36" s="2"/>
      <x:c r="C36" s="2"/>
      <x:c r="D36" s="2"/>
      <x:c r="E36" s="2"/>
      <x:c r="F36" s="2"/>
    </x:row>
    <x:row r="37" ht="22" customHeight="1">
      <x:c r="A37" s="2"/>
      <x:c r="B37" s="2"/>
      <x:c r="C37" s="2"/>
      <x:c r="D37" s="2"/>
      <x:c r="E37" s="2"/>
      <x:c r="F37" s="2"/>
    </x:row>
    <x:row r="38" ht="22" customHeight="1">
      <x:c r="A38" s="2"/>
      <x:c r="B38" s="2"/>
      <x:c r="C38" s="2"/>
      <x:c r="D38" s="2"/>
      <x:c r="E38" s="2"/>
      <x:c r="F38" s="2"/>
    </x:row>
    <x:row r="39" ht="34" customHeight="1">
      <x:c r="A39" s="28" t="str">
        <x:v>Domaine</x:v>
      </x:c>
      <x:c r="B39" s="29" t="str">
        <x:v>Couverture actuelle</x:v>
      </x:c>
      <x:c r="C39" s="30" t="str">
        <x:v>Travail restant</x:v>
      </x:c>
      <x:c r="D39" s="2"/>
      <x:c r="E39" s="2"/>
      <x:c r="F39" s="2"/>
    </x:row>
    <x:row r="40" ht="68" customHeight="1">
      <x:c r="A40" s="6" t="str">
        <x:v>Références canoniques</x:v>
      </x:c>
      <x:c r="B40" s="6" t="str">
        <x:v>Grayson, Kahlee, Anderson, Kai Leng et réseaux d’Omega ; prototypes d’investigation, extraction et protection d’élèves.</x:v>
      </x:c>
      <x:c r="C40" s="6" t="str">
        <x:v>Le roman intégral n’a pas été collationné. Emplacements détaillés, inventaires, tenue de Kai Leng à cette époque et procédures de laboratoire restent à confirmer.</x:v>
      </x:c>
      <x:c r="D40" s="2"/>
      <x:c r="E40" s="2"/>
      <x:c r="F40" s="2"/>
    </x:row>
    <x:row r="41" ht="68" customHeight="1">
      <x:c r="A41" s="6" t="str">
        <x:v>Personnages et direction artistique</x:v>
      </x:c>
      <x:c r="B41" s="6" t="str">
        <x:v>10 personnages/PNJ documentés, avec planches, poses et intentions de dialogues originales distinctes.</x:v>
      </x:c>
      <x:c r="C41" s="6" t="str">
        <x:v>Valider les costumes, accessoires et nuances de caractérisation avec un exemplaire légal de l’œuvre ; pour le film, établir une bible visuelle par visionnage.</x:v>
      </x:c>
      <x:c r="D41" s="2"/>
      <x:c r="E41" s="2"/>
      <x:c r="F41" s="2"/>
    </x:row>
    <x:row r="42" ht="54" customHeight="1">
      <x:c r="A42" s="6" t="str">
        <x:v>Cartes et progression</x:v>
      </x:c>
      <x:c r="B42" s="6" t="str">
        <x:v>8 cartes proposées, leurs kits et transitions ; 8 missions originales avec options, annexes, cinématiques et critères de test.</x:v>
      </x:c>
      <x:c r="C42" s="6" t="str">
        <x:v>Blockouts, distances, budgets mémoire et temps de parcours à mesurer ; aucune carte officielle n’est revendiquée.</x:v>
      </x:c>
      <x:c r="D42" s="2"/>
      <x:c r="E42" s="2"/>
      <x:c r="F42" s="2"/>
    </x:row>
    <x:row r="43" ht="68" customHeight="1">
      <x:c r="A43" s="6" t="str">
        <x:v>Combat, systèmes et médias</x:v>
      </x:c>
      <x:c r="B43" s="6" t="str">
        <x:v>4 rencontres proposées, movesets, VFX, actions alliées, interface, audio et sauvegarde.</x:v>
      </x:c>
      <x:c r="C43" s="6" t="str">
        <x:v>Prototype, équilibrage, réalisation des assets, doublage éventuel et tests encore à faire. Aucune ligne ne signifie que le fan game contient déjà cet élément.</x:v>
      </x:c>
      <x:c r="D43" s="2"/>
      <x:c r="E43" s="2"/>
      <x:c r="F43" s="2"/>
    </x:row>
    <x:row r="44" ht="68" customHeight="1">
      <x:c r="A44" s="6" t="str">
        <x:v>Accès aux pages demandées</x:v>
      </x:c>
      <x:c r="B44" s="6" t="str">
        <x:v>Page wiki demandée ouverte ; sources secondaires utilisées seulement pour les points visibles.</x:v>
      </x:c>
      <x:c r="C44" s="6" t="str">
        <x:v>Les extraits indexés ne remplacent pas une vérification de l’œuvre intégrale. Les traductions françaises des noms et titres restent à contrôler selon l’édition retenue.</x:v>
      </x:c>
      <x:c r="D44" s="2"/>
      <x:c r="E44" s="2"/>
      <x:c r="F44" s="2"/>
    </x:row>
    <x:row r="45" ht="96" customHeight="1">
      <x:c r="A45" s="6" t="str">
        <x:v>Complément pouvoirs, modules et lectures</x:v>
      </x:c>
      <x:c r="B45" s="6" t="str">
        <x:v>0 fiches de pouvoirs utilisées, 0 familles de modules préparables et 5 références consultables dans une lecture documentaire. Les chemins et preuves sont inscrits sur les seules lignes Prototype.</x:v>
      </x:c>
      <x:c r="C45" s="6" t="str">
        <x:v>Arbres et progression complets, modèles et rangs exacts, campagnes et dialogues intégraux, niveaux et ressources visuelles propres à l’œuvre restent à réaliser ou vérifier. Les références lues ne rendent pas leurs personnages jouables.</x:v>
      </x:c>
      <x:c r="D45" s="2"/>
      <x:c r="E45" s="2"/>
      <x:c r="F45" s="2"/>
    </x:row>
    <x:row r="46" ht="22" customHeight="1">
      <x:c r="A46" s="2"/>
      <x:c r="B46" s="2"/>
      <x:c r="C46" s="2"/>
      <x:c r="D46" s="2"/>
      <x:c r="E46" s="2"/>
      <x:c r="F46" s="2"/>
    </x:row>
    <x:row r="47" ht="22" customHeight="1">
      <x:c r="A47" s="2"/>
      <x:c r="B47" s="2"/>
      <x:c r="C47" s="2"/>
      <x:c r="D47" s="2"/>
      <x:c r="E47" s="2"/>
      <x:c r="F47" s="2"/>
    </x:row>
    <x:row r="48" ht="22" customHeight="1">
      <x:c r="A48" s="2"/>
      <x:c r="B48" s="2"/>
      <x:c r="C48" s="2"/>
      <x:c r="D48" s="2"/>
      <x:c r="E48" s="2"/>
      <x:c r="F48" s="2"/>
    </x:row>
    <x:row r="49" ht="22" customHeight="1">
      <x:c r="A49" s="2"/>
      <x:c r="B49" s="2"/>
      <x:c r="C49" s="2"/>
      <x:c r="D49" s="2"/>
      <x:c r="E49" s="2"/>
      <x:c r="F49" s="2"/>
    </x:row>
    <x:row r="50" ht="22" customHeight="1">
      <x:c r="A50" s="2"/>
      <x:c r="B50" s="2"/>
      <x:c r="C50" s="2"/>
      <x:c r="D50" s="2"/>
      <x:c r="E50" s="2"/>
      <x:c r="F50" s="2"/>
    </x:row>
    <x:row r="51" ht="22" customHeight="1">
      <x:c r="A51" s="2"/>
      <x:c r="B51" s="2"/>
      <x:c r="C51" s="2"/>
      <x:c r="D51" s="2"/>
      <x:c r="E51" s="2"/>
      <x:c r="F51" s="2"/>
    </x:row>
    <x:row r="52" ht="22" customHeight="1">
      <x:c r="A52" s="2"/>
      <x:c r="B52" s="2"/>
      <x:c r="C52" s="2"/>
      <x:c r="D52" s="2"/>
      <x:c r="E52" s="2"/>
      <x:c r="F52" s="2"/>
    </x:row>
    <x:row r="53" ht="22" customHeight="1">
      <x:c r="A53" s="2"/>
      <x:c r="B53" s="2"/>
      <x:c r="C53" s="2"/>
      <x:c r="D53" s="2"/>
      <x:c r="E53" s="2"/>
      <x:c r="F53" s="2"/>
    </x:row>
    <x:row r="54" ht="22" customHeight="1">
      <x:c r="A54" s="2"/>
      <x:c r="B54" s="2"/>
      <x:c r="C54" s="2"/>
      <x:c r="D54" s="2"/>
      <x:c r="E54" s="2"/>
      <x:c r="F54" s="2"/>
    </x:row>
    <x:row r="55" ht="22" customHeight="1">
      <x:c r="A55" s="2"/>
      <x:c r="B55" s="2"/>
      <x:c r="C55" s="2"/>
      <x:c r="D55" s="2"/>
      <x:c r="E55" s="2"/>
      <x:c r="F55" s="2"/>
    </x:row>
    <x:row r="56" ht="22" customHeight="1">
      <x:c r="A56" s="2"/>
      <x:c r="B56" s="2"/>
      <x:c r="C56" s="2"/>
      <x:c r="D56" s="2"/>
      <x:c r="E56" s="2"/>
      <x:c r="F56" s="2"/>
    </x:row>
    <x:row r="57" ht="22" customHeight="1">
      <x:c r="A57" s="2"/>
      <x:c r="B57" s="2"/>
      <x:c r="C57" s="2"/>
      <x:c r="D57" s="2"/>
      <x:c r="E57" s="2"/>
      <x:c r="F57" s="2"/>
    </x:row>
    <x:row r="58" ht="22" customHeight="1">
      <x:c r="A58" s="2"/>
      <x:c r="B58" s="2"/>
      <x:c r="C58" s="2"/>
      <x:c r="D58" s="2"/>
      <x:c r="E58" s="2"/>
      <x:c r="F58" s="2"/>
    </x:row>
    <x:row r="59" ht="22" customHeight="1">
      <x:c r="A59" s="2"/>
      <x:c r="B59" s="2"/>
      <x:c r="C59" s="2"/>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sheetData>
  <x:pageMargins left="0.7" right="0.7" top="0.75" bottom="0.75" header="0.3" footer="0.3"/>
</x:worksheet>
</file>