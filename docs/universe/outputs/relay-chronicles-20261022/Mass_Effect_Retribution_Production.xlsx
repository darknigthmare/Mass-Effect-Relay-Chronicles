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8868752a7054f67" /></Relationships>
</file>

<file path=xl/workbook.xml><?xml version="1.0" encoding="utf-8"?>
<x:workbook xmlns:x="http://schemas.openxmlformats.org/spreadsheetml/2006/main">
  <x:sheets>
    <x:sheet xmlns:r="http://schemas.openxmlformats.org/officeDocument/2006/relationships" name="Dashboard" sheetId="1" r:id="R7a1e6c8305cf48cd"/>
    <x:sheet xmlns:r="http://schemas.openxmlformats.org/officeDocument/2006/relationships" name="Personnages" sheetId="2" r:id="R4850718c0abe4418"/>
    <x:sheet xmlns:r="http://schemas.openxmlformats.org/officeDocument/2006/relationships" name="PNJ" sheetId="3" r:id="Rf1e122c9327644c9"/>
    <x:sheet xmlns:r="http://schemas.openxmlformats.org/officeDocument/2006/relationships" name="Especes_factions" sheetId="4" r:id="R3ef0e410cd0c4a65"/>
    <x:sheet xmlns:r="http://schemas.openxmlformats.org/officeDocument/2006/relationships" name="Mondes" sheetId="5" r:id="R1757d533735844fe"/>
    <x:sheet xmlns:r="http://schemas.openxmlformats.org/officeDocument/2006/relationships" name="Zones" sheetId="6" r:id="R3537736c48ee484a"/>
    <x:sheet xmlns:r="http://schemas.openxmlformats.org/officeDocument/2006/relationships" name="Liaisons" sheetId="7" r:id="R27b37d9f20104171"/>
    <x:sheet xmlns:r="http://schemas.openxmlformats.org/officeDocument/2006/relationships" name="Decors" sheetId="8" r:id="Rbf0f30d861f542fd"/>
    <x:sheet xmlns:r="http://schemas.openxmlformats.org/officeDocument/2006/relationships" name="Props" sheetId="9" r:id="R6ec4956c80f24bc8"/>
    <x:sheet xmlns:r="http://schemas.openxmlformats.org/officeDocument/2006/relationships" name="Ennemis_boss" sheetId="10" r:id="Rc955dde7c3de4f8a"/>
    <x:sheet xmlns:r="http://schemas.openxmlformats.org/officeDocument/2006/relationships" name="Missions" sheetId="11" r:id="R7a72c47e9133421d"/>
    <x:sheet xmlns:r="http://schemas.openxmlformats.org/officeDocument/2006/relationships" name="Secondaires_DLC" sheetId="12" r:id="R2eeea436847441a6"/>
    <x:sheet xmlns:r="http://schemas.openxmlformats.org/officeDocument/2006/relationships" name="Choix_relations" sheetId="13" r:id="Rc4c54989b9db4ffd"/>
    <x:sheet xmlns:r="http://schemas.openxmlformats.org/officeDocument/2006/relationships" name="Dialogues" sheetId="14" r:id="Rc7672497dd3a413b"/>
    <x:sheet xmlns:r="http://schemas.openxmlformats.org/officeDocument/2006/relationships" name="Cinematiques" sheetId="15" r:id="R494a9161ffff44ef"/>
    <x:sheet xmlns:r="http://schemas.openxmlformats.org/officeDocument/2006/relationships" name="Armes" sheetId="16" r:id="Rb0d10f25dee2456a"/>
    <x:sheet xmlns:r="http://schemas.openxmlformats.org/officeDocument/2006/relationships" name="Armures_equipement" sheetId="17" r:id="R2b1fd5a0f48043ed"/>
    <x:sheet xmlns:r="http://schemas.openxmlformats.org/officeDocument/2006/relationships" name="Pouvoirs" sheetId="18" r:id="R4d3b5aa74a3840a1"/>
    <x:sheet xmlns:r="http://schemas.openxmlformats.org/officeDocument/2006/relationships" name="Movesets_allies" sheetId="19" r:id="R76c1090b7a5b4bff"/>
    <x:sheet xmlns:r="http://schemas.openxmlformats.org/officeDocument/2006/relationships" name="Movesets_ennemis" sheetId="20" r:id="Rf9a4463efb0949a0"/>
    <x:sheet xmlns:r="http://schemas.openxmlformats.org/officeDocument/2006/relationships" name="Animations" sheetId="21" r:id="Rd1450193fcac4bf1"/>
    <x:sheet xmlns:r="http://schemas.openxmlformats.org/officeDocument/2006/relationships" name="Sprites" sheetId="22" r:id="R0e9c9adc43584028"/>
    <x:sheet xmlns:r="http://schemas.openxmlformats.org/officeDocument/2006/relationships" name="VFX" sheetId="23" r:id="Rf9eb118ed5514580"/>
    <x:sheet xmlns:r="http://schemas.openxmlformats.org/officeDocument/2006/relationships" name="Audio" sheetId="24" r:id="R6d8d33d0a5e24d24"/>
    <x:sheet xmlns:r="http://schemas.openxmlformats.org/officeDocument/2006/relationships" name="UI_systemes" sheetId="25" r:id="R081deb1b748049b1"/>
    <x:sheet xmlns:r="http://schemas.openxmlformats.org/officeDocument/2006/relationships" name="QA" sheetId="26" r:id="R08c1b6a12a7549c7"/>
    <x:sheet xmlns:r="http://schemas.openxmlformats.org/officeDocument/2006/relationships" name="Continuite" sheetId="27" r:id="R007bd390acff4a98"/>
    <x:sheet xmlns:r="http://schemas.openxmlformats.org/officeDocument/2006/relationships" name="Guide" sheetId="28" r:id="R15c9775be2a34c3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fdec4938b8b542c4" /><Relationship Type="http://schemas.openxmlformats.org/officeDocument/2006/relationships/theme" Target="/xl/theme/theme1.xml" Id="Rb002583942434438" /><Relationship Type="http://schemas.openxmlformats.org/officeDocument/2006/relationships/sharedStrings" Target="/xl/sharedStrings.xml" Id="R90b03994c7444eb1" /><Relationship Type="http://schemas.openxmlformats.org/officeDocument/2006/relationships/worksheet" Target="/xl/worksheets/sheet1.xml" Id="R7a1e6c8305cf48cd" /><Relationship Type="http://schemas.openxmlformats.org/officeDocument/2006/relationships/worksheet" Target="/xl/worksheets/sheet2.xml" Id="R4850718c0abe4418" /><Relationship Type="http://schemas.openxmlformats.org/officeDocument/2006/relationships/worksheet" Target="/xl/worksheets/sheet3.xml" Id="Rf1e122c9327644c9" /><Relationship Type="http://schemas.openxmlformats.org/officeDocument/2006/relationships/worksheet" Target="/xl/worksheets/sheet4.xml" Id="R3ef0e410cd0c4a65" /><Relationship Type="http://schemas.openxmlformats.org/officeDocument/2006/relationships/worksheet" Target="/xl/worksheets/sheet5.xml" Id="R1757d533735844fe" /><Relationship Type="http://schemas.openxmlformats.org/officeDocument/2006/relationships/worksheet" Target="/xl/worksheets/sheet6.xml" Id="R3537736c48ee484a" /><Relationship Type="http://schemas.openxmlformats.org/officeDocument/2006/relationships/worksheet" Target="/xl/worksheets/sheet7.xml" Id="R27b37d9f20104171" /><Relationship Type="http://schemas.openxmlformats.org/officeDocument/2006/relationships/worksheet" Target="/xl/worksheets/sheet8.xml" Id="Rbf0f30d861f542fd" /><Relationship Type="http://schemas.openxmlformats.org/officeDocument/2006/relationships/worksheet" Target="/xl/worksheets/sheet9.xml" Id="R6ec4956c80f24bc8" /><Relationship Type="http://schemas.openxmlformats.org/officeDocument/2006/relationships/worksheet" Target="/xl/worksheets/sheet10.xml" Id="Rc955dde7c3de4f8a" /><Relationship Type="http://schemas.openxmlformats.org/officeDocument/2006/relationships/worksheet" Target="/xl/worksheets/sheet11.xml" Id="R7a72c47e9133421d" /><Relationship Type="http://schemas.openxmlformats.org/officeDocument/2006/relationships/worksheet" Target="/xl/worksheets/sheet12.xml" Id="R2eeea436847441a6" /><Relationship Type="http://schemas.openxmlformats.org/officeDocument/2006/relationships/worksheet" Target="/xl/worksheets/sheet13.xml" Id="Rc4c54989b9db4ffd" /><Relationship Type="http://schemas.openxmlformats.org/officeDocument/2006/relationships/worksheet" Target="/xl/worksheets/sheet14.xml" Id="Rc7672497dd3a413b" /><Relationship Type="http://schemas.openxmlformats.org/officeDocument/2006/relationships/worksheet" Target="/xl/worksheets/sheet15.xml" Id="R494a9161ffff44ef" /><Relationship Type="http://schemas.openxmlformats.org/officeDocument/2006/relationships/worksheet" Target="/xl/worksheets/sheet16.xml" Id="Rb0d10f25dee2456a" /><Relationship Type="http://schemas.openxmlformats.org/officeDocument/2006/relationships/worksheet" Target="/xl/worksheets/sheet17.xml" Id="R2b1fd5a0f48043ed" /><Relationship Type="http://schemas.openxmlformats.org/officeDocument/2006/relationships/worksheet" Target="/xl/worksheets/sheet18.xml" Id="R4d3b5aa74a3840a1" /><Relationship Type="http://schemas.openxmlformats.org/officeDocument/2006/relationships/worksheet" Target="/xl/worksheets/sheet19.xml" Id="R76c1090b7a5b4bff" /><Relationship Type="http://schemas.openxmlformats.org/officeDocument/2006/relationships/worksheet" Target="/xl/worksheets/sheet20.xml" Id="Rf9a4463efb0949a0" /><Relationship Type="http://schemas.openxmlformats.org/officeDocument/2006/relationships/worksheet" Target="/xl/worksheets/sheet21.xml" Id="Rd1450193fcac4bf1" /><Relationship Type="http://schemas.openxmlformats.org/officeDocument/2006/relationships/worksheet" Target="/xl/worksheets/sheet22.xml" Id="R0e9c9adc43584028" /><Relationship Type="http://schemas.openxmlformats.org/officeDocument/2006/relationships/worksheet" Target="/xl/worksheets/sheet23.xml" Id="Rf9eb118ed5514580" /><Relationship Type="http://schemas.openxmlformats.org/officeDocument/2006/relationships/worksheet" Target="/xl/worksheets/sheet24.xml" Id="R6d8d33d0a5e24d24" /><Relationship Type="http://schemas.openxmlformats.org/officeDocument/2006/relationships/worksheet" Target="/xl/worksheets/sheet25.xml" Id="R081deb1b748049b1" /><Relationship Type="http://schemas.openxmlformats.org/officeDocument/2006/relationships/worksheet" Target="/xl/worksheets/sheet26.xml" Id="R08c1b6a12a7549c7" /><Relationship Type="http://schemas.openxmlformats.org/officeDocument/2006/relationships/worksheet" Target="/xl/worksheets/sheet27.xml" Id="R007bd390acff4a98" /><Relationship Type="http://schemas.openxmlformats.org/officeDocument/2006/relationships/worksheet" Target="/xl/worksheets/sheet28.xml" Id="R15c9775be2a34c37" /></Relationships>
</file>

<file path=xl/tables/table1.xml><?xml version="1.0" encoding="utf-8"?>
<x:table xmlns:x="http://schemas.openxmlformats.org/spreadsheetml/2006/main" id="1" name="RET_characters" displayName="RET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RET_npcs" displayName="RET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RET_lore" displayName="RET_lore"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RET_worlds" displayName="RET_world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RET_zones" displayName="RET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RET_links" displayName="RET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RET_scenery" displayName="RET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RET_props" displayName="RET_prop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RET_enemies" displayName="RET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RET_main_quests" displayName="RET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RET_side_quests" displayName="RET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RET_choices" displayName="RET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RET_dialogues" displayName="RET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RET_cinematics" displayName="RET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RET_weapons" displayName="RET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RET_equipment" displayName="RET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RET_powers" displayName="RET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RET_ally_moves" displayName="RET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RET_enemy_moves" displayName="RET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RET_animations" displayName="RET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RET_sprites" displayName="RET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RET_vfx" displayName="RET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RET_audio" displayName="RET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RET_systems" displayName="RET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RET_qa" displayName="RET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RET_continuity" displayName="RET_continuit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63999199e7942b3" /></Relationships>
</file>

<file path=xl/worksheets/_rels/sheet3.xml.rels>&#65279;<?xml version="1.0" encoding="utf-8"?><Relationships xmlns="http://schemas.openxmlformats.org/package/2006/relationships"><Relationship Type="http://schemas.openxmlformats.org/officeDocument/2006/relationships/table" Target="/xl/tables/table2.xml" Id="R0a7c100c11924126" /></Relationships>
</file>

<file path=xl/worksheets/_rels/sheet4.xml.rels>&#65279;<?xml version="1.0" encoding="utf-8"?><Relationships xmlns="http://schemas.openxmlformats.org/package/2006/relationships"><Relationship Type="http://schemas.openxmlformats.org/officeDocument/2006/relationships/table" Target="/xl/tables/table3.xml" Id="R810c8dc1b3a6453b" /></Relationships>
</file>

<file path=xl/worksheets/_rels/sheet5.xml.rels>&#65279;<?xml version="1.0" encoding="utf-8"?><Relationships xmlns="http://schemas.openxmlformats.org/package/2006/relationships"><Relationship Type="http://schemas.openxmlformats.org/officeDocument/2006/relationships/table" Target="/xl/tables/table4.xml" Id="Rf021460d76004e76" /></Relationships>
</file>

<file path=xl/worksheets/_rels/sheet6.xml.rels>&#65279;<?xml version="1.0" encoding="utf-8"?><Relationships xmlns="http://schemas.openxmlformats.org/package/2006/relationships"><Relationship Type="http://schemas.openxmlformats.org/officeDocument/2006/relationships/table" Target="/xl/tables/table5.xml" Id="R7248c8bb55154c2d" /></Relationships>
</file>

<file path=xl/worksheets/_rels/sheet7.xml.rels>&#65279;<?xml version="1.0" encoding="utf-8"?><Relationships xmlns="http://schemas.openxmlformats.org/package/2006/relationships"><Relationship Type="http://schemas.openxmlformats.org/officeDocument/2006/relationships/table" Target="/xl/tables/table6.xml" Id="Rfbfeda69bd8d4a36" /></Relationships>
</file>

<file path=xl/worksheets/_rels/sheet8.xml.rels>&#65279;<?xml version="1.0" encoding="utf-8"?><Relationships xmlns="http://schemas.openxmlformats.org/package/2006/relationships"><Relationship Type="http://schemas.openxmlformats.org/officeDocument/2006/relationships/table" Target="/xl/tables/table7.xml" Id="Ref1558f5defa45fb" /></Relationships>
</file>

<file path=xl/worksheets/_rels/sheet9.xml.rels>&#65279;<?xml version="1.0" encoding="utf-8"?><Relationships xmlns="http://schemas.openxmlformats.org/package/2006/relationships"><Relationship Type="http://schemas.openxmlformats.org/officeDocument/2006/relationships/table" Target="/xl/tables/table8.xml" Id="R5296e988a87242be" /></Relationships>
</file>

<file path=xl/worksheets/_rels/sheet10.xml.rels>&#65279;<?xml version="1.0" encoding="utf-8"?><Relationships xmlns="http://schemas.openxmlformats.org/package/2006/relationships"><Relationship Type="http://schemas.openxmlformats.org/officeDocument/2006/relationships/table" Target="/xl/tables/table9.xml" Id="R7b59be9d6e3d41d8" /></Relationships>
</file>

<file path=xl/worksheets/_rels/sheet11.xml.rels>&#65279;<?xml version="1.0" encoding="utf-8"?><Relationships xmlns="http://schemas.openxmlformats.org/package/2006/relationships"><Relationship Type="http://schemas.openxmlformats.org/officeDocument/2006/relationships/table" Target="/xl/tables/table10.xml" Id="R0eb4ddcf528f408f" /></Relationships>
</file>

<file path=xl/worksheets/_rels/sheet12.xml.rels>&#65279;<?xml version="1.0" encoding="utf-8"?><Relationships xmlns="http://schemas.openxmlformats.org/package/2006/relationships"><Relationship Type="http://schemas.openxmlformats.org/officeDocument/2006/relationships/table" Target="/xl/tables/table11.xml" Id="R77135f7d9ad6443a" /></Relationships>
</file>

<file path=xl/worksheets/_rels/sheet13.xml.rels>&#65279;<?xml version="1.0" encoding="utf-8"?><Relationships xmlns="http://schemas.openxmlformats.org/package/2006/relationships"><Relationship Type="http://schemas.openxmlformats.org/officeDocument/2006/relationships/table" Target="/xl/tables/table12.xml" Id="R91d14a571cc54668" /></Relationships>
</file>

<file path=xl/worksheets/_rels/sheet14.xml.rels>&#65279;<?xml version="1.0" encoding="utf-8"?><Relationships xmlns="http://schemas.openxmlformats.org/package/2006/relationships"><Relationship Type="http://schemas.openxmlformats.org/officeDocument/2006/relationships/table" Target="/xl/tables/table13.xml" Id="R69ba5d3100bb4604" /></Relationships>
</file>

<file path=xl/worksheets/_rels/sheet15.xml.rels>&#65279;<?xml version="1.0" encoding="utf-8"?><Relationships xmlns="http://schemas.openxmlformats.org/package/2006/relationships"><Relationship Type="http://schemas.openxmlformats.org/officeDocument/2006/relationships/table" Target="/xl/tables/table14.xml" Id="R55c92657e4284926" /></Relationships>
</file>

<file path=xl/worksheets/_rels/sheet16.xml.rels>&#65279;<?xml version="1.0" encoding="utf-8"?><Relationships xmlns="http://schemas.openxmlformats.org/package/2006/relationships"><Relationship Type="http://schemas.openxmlformats.org/officeDocument/2006/relationships/table" Target="/xl/tables/table15.xml" Id="Re870af2717094c24" /></Relationships>
</file>

<file path=xl/worksheets/_rels/sheet17.xml.rels>&#65279;<?xml version="1.0" encoding="utf-8"?><Relationships xmlns="http://schemas.openxmlformats.org/package/2006/relationships"><Relationship Type="http://schemas.openxmlformats.org/officeDocument/2006/relationships/table" Target="/xl/tables/table16.xml" Id="R07fb8c50fc724efc" /></Relationships>
</file>

<file path=xl/worksheets/_rels/sheet18.xml.rels>&#65279;<?xml version="1.0" encoding="utf-8"?><Relationships xmlns="http://schemas.openxmlformats.org/package/2006/relationships"><Relationship Type="http://schemas.openxmlformats.org/officeDocument/2006/relationships/table" Target="/xl/tables/table17.xml" Id="Rfee5fe9381274a75" /></Relationships>
</file>

<file path=xl/worksheets/_rels/sheet19.xml.rels>&#65279;<?xml version="1.0" encoding="utf-8"?><Relationships xmlns="http://schemas.openxmlformats.org/package/2006/relationships"><Relationship Type="http://schemas.openxmlformats.org/officeDocument/2006/relationships/table" Target="/xl/tables/table18.xml" Id="R13ca951dfe7f4f04" /></Relationships>
</file>

<file path=xl/worksheets/_rels/sheet20.xml.rels>&#65279;<?xml version="1.0" encoding="utf-8"?><Relationships xmlns="http://schemas.openxmlformats.org/package/2006/relationships"><Relationship Type="http://schemas.openxmlformats.org/officeDocument/2006/relationships/table" Target="/xl/tables/table19.xml" Id="R823465bd1c774928" /></Relationships>
</file>

<file path=xl/worksheets/_rels/sheet21.xml.rels>&#65279;<?xml version="1.0" encoding="utf-8"?><Relationships xmlns="http://schemas.openxmlformats.org/package/2006/relationships"><Relationship Type="http://schemas.openxmlformats.org/officeDocument/2006/relationships/table" Target="/xl/tables/table20.xml" Id="R3900cb3a81284138" /></Relationships>
</file>

<file path=xl/worksheets/_rels/sheet22.xml.rels>&#65279;<?xml version="1.0" encoding="utf-8"?><Relationships xmlns="http://schemas.openxmlformats.org/package/2006/relationships"><Relationship Type="http://schemas.openxmlformats.org/officeDocument/2006/relationships/table" Target="/xl/tables/table21.xml" Id="R6aceddcaaeb74711" /></Relationships>
</file>

<file path=xl/worksheets/_rels/sheet23.xml.rels>&#65279;<?xml version="1.0" encoding="utf-8"?><Relationships xmlns="http://schemas.openxmlformats.org/package/2006/relationships"><Relationship Type="http://schemas.openxmlformats.org/officeDocument/2006/relationships/table" Target="/xl/tables/table22.xml" Id="Rf236181cdef24c60" /></Relationships>
</file>

<file path=xl/worksheets/_rels/sheet24.xml.rels>&#65279;<?xml version="1.0" encoding="utf-8"?><Relationships xmlns="http://schemas.openxmlformats.org/package/2006/relationships"><Relationship Type="http://schemas.openxmlformats.org/officeDocument/2006/relationships/table" Target="/xl/tables/table23.xml" Id="R5d79820ac6494b3e" /></Relationships>
</file>

<file path=xl/worksheets/_rels/sheet25.xml.rels>&#65279;<?xml version="1.0" encoding="utf-8"?><Relationships xmlns="http://schemas.openxmlformats.org/package/2006/relationships"><Relationship Type="http://schemas.openxmlformats.org/officeDocument/2006/relationships/table" Target="/xl/tables/table24.xml" Id="Rc814d77234c44252" /></Relationships>
</file>

<file path=xl/worksheets/_rels/sheet26.xml.rels>&#65279;<?xml version="1.0" encoding="utf-8"?><Relationships xmlns="http://schemas.openxmlformats.org/package/2006/relationships"><Relationship Type="http://schemas.openxmlformats.org/officeDocument/2006/relationships/table" Target="/xl/tables/table25.xml" Id="R26f083af00ac4526" /></Relationships>
</file>

<file path=xl/worksheets/_rels/sheet27.xml.rels>&#65279;<?xml version="1.0" encoding="utf-8"?><Relationships xmlns="http://schemas.openxmlformats.org/package/2006/relationships"><Relationship Type="http://schemas.openxmlformats.org/officeDocument/2006/relationships/table" Target="/xl/tables/table26.xml" Id="Rf502b3264c524e59"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Retribution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158</x:v>
      </x:c>
      <x:c r="C5" s="2"/>
      <x:c r="D5" s="2" t="str">
        <x:v>Intégrés</x:v>
      </x:c>
      <x:c r="E5" s="31" t="n">
        <x:f>SUM(E10:F35)</x:f>
        <x:v>0</x:v>
      </x:c>
      <x:c r="F5" s="2"/>
      <x:c r="G5" s="2" t="str">
        <x:v>À vérifier</x:v>
      </x:c>
      <x:c r="H5" s="31" t="n">
        <x:f>SUM(H10:H35)</x:f>
        <x:v>1</x:v>
      </x:c>
      <x:c r="I5" s="2"/>
      <x:c r="J5" s="2" t="str">
        <x:v>Extrapolations</x:v>
      </x:c>
      <x:c r="K5" s="31" t="n">
        <x:f>SUM(I10:I35)</x:f>
        <x:v>130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COUNTA('Personnages'!$A$7:$A$9)</x:f>
        <x:v>3</x:v>
      </x:c>
      <x:c r="C10" s="37" t="n">
        <x:f>COUNTIFS('Personnages'!$C$7:$C$9,"Défini")</x:f>
        <x:v>3</x:v>
      </x:c>
      <x:c r="D10" s="37" t="n">
        <x:f>COUNTIFS('Personnages'!$C$7:$C$9,"Prototype")</x:f>
        <x:v>0</x:v>
      </x:c>
      <x:c r="E10" s="37" t="n">
        <x:f>COUNTIFS('Personnages'!$C$7:$C$9,"Intégré")</x:f>
        <x:v>0</x:v>
      </x:c>
      <x:c r="F10" s="37" t="n">
        <x:f>COUNTIFS('Personnages'!$C$7:$C$9,"Validé")</x:f>
        <x:v>0</x:v>
      </x:c>
      <x:c r="G10" s="37" t="n">
        <x:f>COUNTIFS('Personnages'!$D$7:$D$9,"Établi")</x:f>
        <x:v>3</x:v>
      </x:c>
      <x:c r="H10" s="37" t="n">
        <x:f>COUNTIFS('Personnages'!$D$7:$D$9,"À vérifier")</x:f>
        <x:v>0</x:v>
      </x:c>
      <x:c r="I10" s="37" t="n">
        <x:f>COUNTIFS('Personnages'!$D$7:$D$9,"Extrapolation")</x:f>
        <x:v>0</x:v>
      </x:c>
      <x:c r="J10" s="37" t="n">
        <x:f>COUNTIFS('Personnages'!$D$7:$D$9,"Coupé attesté")</x:f>
        <x:v>0</x:v>
      </x:c>
      <x:c r="K10" s="37" t="n">
        <x:f>COUNTIFS('Personnages'!$D$7:$D$9,"Concept abandonné")</x:f>
        <x:v>0</x:v>
      </x:c>
      <x:c r="L10" s="37" t="n">
        <x:f>COUNTIFS('Personnages'!$D$7:$D$9,"Allégation écartée")</x:f>
        <x:v>0</x:v>
      </x:c>
      <x:c r="M10" s="37" t="n">
        <x:f>COUNTIFS('Personnages'!$E$7:$E$9,"P0")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7</x:v>
      </x:c>
      <x:c r="H11" s="38" t="n">
        <x:f>COUNTIFS('PNJ'!$D$7:$D$13,"À vérifier")</x:f>
        <x:v>0</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COUNTA('Especes_factions'!$A$7:$A$9)</x:f>
        <x:v>3</x:v>
      </x:c>
      <x:c r="C12" s="37" t="n">
        <x:f>COUNTIFS('Especes_factions'!$C$7:$C$9,"Défini")</x:f>
        <x:v>0</x:v>
      </x:c>
      <x:c r="D12" s="37" t="n">
        <x:f>COUNTIFS('Especes_factions'!$C$7:$C$9,"Prototype")</x:f>
        <x:v>3</x:v>
      </x:c>
      <x:c r="E12" s="37" t="n">
        <x:f>COUNTIFS('Especes_factions'!$C$7:$C$9,"Intégré")</x:f>
        <x:v>0</x:v>
      </x:c>
      <x:c r="F12" s="37" t="n">
        <x:f>COUNTIFS('Especes_factions'!$C$7:$C$9,"Validé")</x:f>
        <x:v>0</x:v>
      </x:c>
      <x:c r="G12" s="37" t="n">
        <x:f>COUNTIFS('Especes_factions'!$D$7:$D$9,"Établi")</x:f>
        <x:v>3</x:v>
      </x:c>
      <x:c r="H12" s="37" t="n">
        <x:f>COUNTIFS('Especes_factions'!$D$7:$D$9,"À vérifier")</x:f>
        <x:v>0</x:v>
      </x:c>
      <x:c r="I12" s="37" t="n">
        <x:f>COUNTIFS('Especes_factions'!$D$7:$D$9,"Extrapolation")</x:f>
        <x:v>0</x:v>
      </x:c>
      <x:c r="J12" s="37" t="n">
        <x:f>COUNTIFS('Especes_factions'!$D$7:$D$9,"Coupé attesté")</x:f>
        <x:v>0</x:v>
      </x:c>
      <x:c r="K12" s="37" t="n">
        <x:f>COUNTIFS('Especes_factions'!$D$7:$D$9,"Concept abandonné")</x:f>
        <x:v>0</x:v>
      </x:c>
      <x:c r="L12" s="37" t="n">
        <x:f>COUNTIFS('Especes_factions'!$D$7:$D$9,"Allégation écartée")</x:f>
        <x:v>0</x:v>
      </x:c>
      <x:c r="M12" s="37" t="n">
        <x:f>COUNTIFS('Especes_factions'!$E$7:$E$9,"P0")</x:f>
        <x:v>0</x:v>
      </x:c>
    </x:row>
    <x:row r="13" ht="22" customHeight="1">
      <x:c r="A13" s="2" t="str">
        <x:v>Mondes</x:v>
      </x:c>
      <x:c r="B13" s="38" t="n">
        <x:f>COUNTA('Mondes'!$A$7:$A$9)</x:f>
        <x:v>3</x:v>
      </x:c>
      <x:c r="C13" s="38" t="n">
        <x:f>COUNTIFS('Mondes'!$C$7:$C$9,"Défini")</x:f>
        <x:v>1</x:v>
      </x:c>
      <x:c r="D13" s="38" t="n">
        <x:f>COUNTIFS('Mondes'!$C$7:$C$9,"Prototype")</x:f>
        <x:v>2</x:v>
      </x:c>
      <x:c r="E13" s="38" t="n">
        <x:f>COUNTIFS('Mondes'!$C$7:$C$9,"Intégré")</x:f>
        <x:v>0</x:v>
      </x:c>
      <x:c r="F13" s="38" t="n">
        <x:f>COUNTIFS('Mondes'!$C$7:$C$9,"Validé")</x:f>
        <x:v>0</x:v>
      </x:c>
      <x:c r="G13" s="38" t="n">
        <x:f>COUNTIFS('Mondes'!$D$7:$D$9,"Établi")</x:f>
        <x:v>3</x:v>
      </x:c>
      <x:c r="H13" s="38" t="n">
        <x:f>COUNTIFS('Mondes'!$D$7:$D$9,"À vérifier")</x:f>
        <x:v>0</x:v>
      </x:c>
      <x:c r="I13" s="38" t="n">
        <x:f>COUNTIFS('Mondes'!$D$7:$D$9,"Extrapolation")</x:f>
        <x:v>0</x:v>
      </x:c>
      <x:c r="J13" s="38" t="n">
        <x:f>COUNTIFS('Mondes'!$D$7:$D$9,"Coupé attesté")</x:f>
        <x:v>0</x:v>
      </x:c>
      <x:c r="K13" s="38" t="n">
        <x:f>COUNTIFS('Mondes'!$D$7:$D$9,"Concept abandonné")</x:f>
        <x:v>0</x:v>
      </x:c>
      <x:c r="L13" s="38" t="n">
        <x:f>COUNTIFS('Mondes'!$D$7:$D$9,"Allégation écartée")</x:f>
        <x:v>0</x:v>
      </x:c>
      <x:c r="M13" s="38" t="n">
        <x:f>COUNTIFS('Mondes'!$E$7:$E$9,"P0")</x:f>
        <x:v>0</x:v>
      </x:c>
    </x:row>
    <x:row r="14" ht="22" customHeight="1">
      <x:c r="A14" s="33" t="str">
        <x:v>Zones</x:v>
      </x:c>
      <x:c r="B14" s="37" t="n">
        <x:f>COUNTA('Zones'!$A$7:$A$14)</x:f>
        <x:v>8</x:v>
      </x:c>
      <x:c r="C14" s="37" t="n">
        <x:f>COUNTIFS('Zones'!$C$7:$C$14,"Défini")</x:f>
        <x:v>8</x:v>
      </x:c>
      <x:c r="D14" s="37" t="n">
        <x:f>COUNTIFS('Zones'!$C$7:$C$14,"Prototype")</x:f>
        <x:v>0</x:v>
      </x:c>
      <x:c r="E14" s="37" t="n">
        <x:f>COUNTIFS('Zones'!$C$7:$C$14,"Intégré")</x:f>
        <x:v>0</x:v>
      </x:c>
      <x:c r="F14" s="37" t="n">
        <x:f>COUNTIFS('Zones'!$C$7:$C$14,"Validé")</x:f>
        <x:v>0</x:v>
      </x:c>
      <x:c r="G14" s="37" t="n">
        <x:f>COUNTIFS('Zones'!$D$7:$D$14,"Établi")</x:f>
        <x:v>0</x:v>
      </x:c>
      <x:c r="H14" s="37" t="n">
        <x:f>COUNTIFS('Zones'!$D$7:$D$14,"À vérifier")</x:f>
        <x:v>0</x:v>
      </x:c>
      <x:c r="I14" s="37" t="n">
        <x:f>COUNTIFS('Zones'!$D$7:$D$14,"Extrapolation")</x:f>
        <x:v>8</x:v>
      </x:c>
      <x:c r="J14" s="37" t="n">
        <x:f>COUNTIFS('Zones'!$D$7:$D$14,"Coupé attesté")</x:f>
        <x:v>0</x:v>
      </x:c>
      <x:c r="K14" s="37" t="n">
        <x:f>COUNTIFS('Zones'!$D$7:$D$14,"Concept abandonné")</x:f>
        <x:v>0</x:v>
      </x:c>
      <x:c r="L14" s="37" t="n">
        <x:f>COUNTIFS('Zones'!$D$7:$D$14,"Allégation écartée")</x:f>
        <x:v>0</x:v>
      </x:c>
      <x:c r="M14" s="37" t="n">
        <x:f>COUNTIFS('Zones'!$E$7:$E$14,"P0")</x:f>
        <x:v>0</x:v>
      </x:c>
    </x:row>
    <x:row r="15" ht="22" customHeight="1">
      <x:c r="A15" s="2" t="str">
        <x:v>Liaisons</x:v>
      </x:c>
      <x:c r="B15" s="38" t="n">
        <x:f>COUNTA('Liaisons'!$A$7:$A$14)</x:f>
        <x:v>8</x:v>
      </x:c>
      <x:c r="C15" s="38" t="n">
        <x:f>COUNTIFS('Liaisons'!$C$7:$C$14,"Défini")</x:f>
        <x:v>8</x:v>
      </x:c>
      <x:c r="D15" s="38" t="n">
        <x:f>COUNTIFS('Liaisons'!$C$7:$C$14,"Prototype")</x:f>
        <x:v>0</x:v>
      </x:c>
      <x:c r="E15" s="38" t="n">
        <x:f>COUNTIFS('Liaisons'!$C$7:$C$14,"Intégré")</x:f>
        <x:v>0</x:v>
      </x:c>
      <x:c r="F15" s="38" t="n">
        <x:f>COUNTIFS('Liaisons'!$C$7:$C$14,"Validé")</x:f>
        <x:v>0</x:v>
      </x:c>
      <x:c r="G15" s="38" t="n">
        <x:f>COUNTIFS('Liaisons'!$D$7:$D$14,"Établi")</x:f>
        <x:v>0</x:v>
      </x:c>
      <x:c r="H15" s="38" t="n">
        <x:f>COUNTIFS('Liaisons'!$D$7:$D$14,"À vérifier")</x:f>
        <x:v>0</x:v>
      </x:c>
      <x:c r="I15" s="38" t="n">
        <x:f>COUNTIFS('Liaisons'!$D$7:$D$14,"Extrapolation")</x:f>
        <x:v>8</x:v>
      </x:c>
      <x:c r="J15" s="38" t="n">
        <x:f>COUNTIFS('Liaisons'!$D$7:$D$14,"Coupé attesté")</x:f>
        <x:v>0</x:v>
      </x:c>
      <x:c r="K15" s="38" t="n">
        <x:f>COUNTIFS('Liaisons'!$D$7:$D$14,"Concept abandonné")</x:f>
        <x:v>0</x:v>
      </x:c>
      <x:c r="L15" s="38" t="n">
        <x:f>COUNTIFS('Liaisons'!$D$7:$D$14,"Allégation écartée")</x:f>
        <x:v>0</x:v>
      </x:c>
      <x:c r="M15" s="38" t="n">
        <x:f>COUNTIFS('Liaisons'!$E$7:$E$14,"P0")</x:f>
        <x:v>0</x:v>
      </x:c>
    </x:row>
    <x:row r="16" ht="22" customHeight="1">
      <x:c r="A16" s="33" t="str">
        <x:v>Décors</x:v>
      </x:c>
      <x:c r="B16" s="37" t="n">
        <x:f>COUNTA('Decors'!$A$7:$A$14)</x:f>
        <x:v>8</x:v>
      </x:c>
      <x:c r="C16" s="37" t="n">
        <x:f>COUNTIFS('Decors'!$C$7:$C$14,"Défini")</x:f>
        <x:v>8</x:v>
      </x:c>
      <x:c r="D16" s="37" t="n">
        <x:f>COUNTIFS('Decors'!$C$7:$C$14,"Prototype")</x:f>
        <x:v>0</x:v>
      </x:c>
      <x:c r="E16" s="37" t="n">
        <x:f>COUNTIFS('Decors'!$C$7:$C$14,"Intégré")</x:f>
        <x:v>0</x:v>
      </x:c>
      <x:c r="F16" s="37" t="n">
        <x:f>COUNTIFS('Decors'!$C$7:$C$14,"Validé")</x:f>
        <x:v>0</x:v>
      </x:c>
      <x:c r="G16" s="37" t="n">
        <x:f>COUNTIFS('Decors'!$D$7:$D$14,"Établi")</x:f>
        <x:v>0</x:v>
      </x:c>
      <x:c r="H16" s="37" t="n">
        <x:f>COUNTIFS('Decors'!$D$7:$D$14,"À vérifier")</x:f>
        <x:v>0</x:v>
      </x:c>
      <x:c r="I16" s="37" t="n">
        <x:f>COUNTIFS('Decors'!$D$7:$D$14,"Extrapolation")</x:f>
        <x:v>8</x:v>
      </x:c>
      <x:c r="J16" s="37" t="n">
        <x:f>COUNTIFS('Decors'!$D$7:$D$14,"Coupé attesté")</x:f>
        <x:v>0</x:v>
      </x:c>
      <x:c r="K16" s="37" t="n">
        <x:f>COUNTIFS('Decors'!$D$7:$D$14,"Concept abandonné")</x:f>
        <x:v>0</x:v>
      </x:c>
      <x:c r="L16" s="37" t="n">
        <x:f>COUNTIFS('Decors'!$D$7:$D$14,"Allégation écartée")</x:f>
        <x:v>0</x:v>
      </x:c>
      <x:c r="M16" s="37" t="n">
        <x:f>COUNTIFS('Decors'!$E$7:$E$14,"P0")</x:f>
        <x:v>0</x:v>
      </x:c>
    </x:row>
    <x:row r="17" ht="22" customHeight="1">
      <x:c r="A17" s="2" t="str">
        <x:v>Props</x:v>
      </x:c>
      <x:c r="B17" s="38" t="n">
        <x:f>COUNTA('Props'!$A$7:$A$8)</x:f>
        <x:v>2</x:v>
      </x:c>
      <x:c r="C17" s="38" t="n">
        <x:f>COUNTIFS('Props'!$C$7:$C$8,"Défini")</x:f>
        <x:v>2</x:v>
      </x:c>
      <x:c r="D17" s="38" t="n">
        <x:f>COUNTIFS('Props'!$C$7:$C$8,"Prototype")</x:f>
        <x:v>0</x:v>
      </x:c>
      <x:c r="E17" s="38" t="n">
        <x:f>COUNTIFS('Props'!$C$7:$C$8,"Intégré")</x:f>
        <x:v>0</x:v>
      </x:c>
      <x:c r="F17" s="38" t="n">
        <x:f>COUNTIFS('Props'!$C$7:$C$8,"Validé")</x:f>
        <x:v>0</x:v>
      </x:c>
      <x:c r="G17" s="38" t="n">
        <x:f>COUNTIFS('Props'!$D$7:$D$8,"Établi")</x:f>
        <x:v>2</x:v>
      </x:c>
      <x:c r="H17" s="38" t="n">
        <x:f>COUNTIFS('Props'!$D$7:$D$8,"À vérifier")</x:f>
        <x:v>0</x:v>
      </x:c>
      <x:c r="I17" s="38" t="n">
        <x:f>COUNTIFS('Props'!$D$7:$D$8,"Extrapolation")</x:f>
        <x:v>0</x:v>
      </x:c>
      <x:c r="J17" s="38" t="n">
        <x:f>COUNTIFS('Props'!$D$7:$D$8,"Coupé attesté")</x:f>
        <x:v>0</x:v>
      </x:c>
      <x:c r="K17" s="38" t="n">
        <x:f>COUNTIFS('Props'!$D$7:$D$8,"Concept abandonné")</x:f>
        <x:v>0</x:v>
      </x:c>
      <x:c r="L17" s="38" t="n">
        <x:f>COUNTIFS('Props'!$D$7:$D$8,"Allégation écartée")</x:f>
        <x:v>0</x:v>
      </x:c>
      <x:c r="M17" s="38" t="n">
        <x:f>COUNTIFS('Props'!$E$7:$E$8,"P0")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0</x:v>
      </x:c>
      <x:c r="I18" s="37" t="n">
        <x:f>COUNTIFS('Ennemis_boss'!$D$7:$D$10,"Extrapolation")</x:f>
        <x:v>4</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COUNTA('Dialogues'!$A$7:$A$16)</x:f>
        <x:v>10</x:v>
      </x:c>
      <x:c r="C22" s="37" t="n">
        <x:f>COUNTIFS('Dialogues'!$C$7:$C$16,"Défini")</x:f>
        <x:v>10</x:v>
      </x:c>
      <x:c r="D22" s="37" t="n">
        <x:f>COUNTIFS('Dialogues'!$C$7:$C$16,"Prototype")</x:f>
        <x:v>0</x:v>
      </x:c>
      <x:c r="E22" s="37" t="n">
        <x:f>COUNTIFS('Dialogues'!$C$7:$C$16,"Intégré")</x:f>
        <x:v>0</x:v>
      </x:c>
      <x:c r="F22" s="37" t="n">
        <x:f>COUNTIFS('Dialogues'!$C$7:$C$16,"Validé")</x:f>
        <x:v>0</x:v>
      </x:c>
      <x:c r="G22" s="37" t="n">
        <x:f>COUNTIFS('Dialogues'!$D$7:$D$16,"Établi")</x:f>
        <x:v>0</x:v>
      </x:c>
      <x:c r="H22" s="37" t="n">
        <x:f>COUNTIFS('Dialogues'!$D$7:$D$16,"À vérifier")</x:f>
        <x:v>0</x:v>
      </x:c>
      <x:c r="I22" s="37" t="n">
        <x:f>COUNTIFS('Dialogues'!$D$7:$D$16,"Extrapolation")</x:f>
        <x:v>10</x:v>
      </x:c>
      <x:c r="J22" s="37" t="n">
        <x:f>COUNTIFS('Dialogues'!$D$7:$D$16,"Coupé attesté")</x:f>
        <x:v>0</x:v>
      </x:c>
      <x:c r="K22" s="37" t="n">
        <x:f>COUNTIFS('Dialogues'!$D$7:$D$16,"Concept abandonné")</x:f>
        <x:v>0</x:v>
      </x:c>
      <x:c r="L22" s="37" t="n">
        <x:f>COUNTIFS('Dialogues'!$D$7:$D$16,"Allégation écartée")</x:f>
        <x:v>0</x:v>
      </x:c>
      <x:c r="M22" s="37" t="n">
        <x:f>COUNTIFS('Dialogues'!$E$7:$E$16,"P0")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1</x:v>
      </x:c>
      <x:c r="H24" s="37" t="n">
        <x:f>COUNTIFS('Armes'!$D$7:$D$7,"À vérifier")</x:f>
        <x:v>0</x:v>
      </x:c>
      <x:c r="I24" s="37" t="n">
        <x:f>COUNTIFS('Armes'!$D$7:$D$7,"Extrapolation")</x:f>
        <x:v>0</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1</x:v>
      </x:c>
      <x:c r="H26" s="37" t="n">
        <x:f>COUNTIFS('Pouvoirs'!$D$7:$D$7,"À vérifier")</x:f>
        <x:v>0</x:v>
      </x:c>
      <x:c r="I26" s="37" t="n">
        <x:f>COUNTIFS('Pouvoirs'!$D$7:$D$7,"Extrapolation")</x:f>
        <x:v>0</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COUNTA('Movesets_allies'!$A$7:$A$12)</x:f>
        <x:v>6</x:v>
      </x:c>
      <x:c r="C27" s="38" t="n">
        <x:f>COUNTIFS('Movesets_allies'!$C$7:$C$12,"Défini")</x:f>
        <x:v>6</x:v>
      </x:c>
      <x:c r="D27" s="38" t="n">
        <x:f>COUNTIFS('Movesets_allies'!$C$7:$C$12,"Prototype")</x:f>
        <x:v>0</x:v>
      </x:c>
      <x:c r="E27" s="38" t="n">
        <x:f>COUNTIFS('Movesets_allies'!$C$7:$C$12,"Intégré")</x:f>
        <x:v>0</x:v>
      </x:c>
      <x:c r="F27" s="38" t="n">
        <x:f>COUNTIFS('Movesets_allies'!$C$7:$C$12,"Validé")</x:f>
        <x:v>0</x:v>
      </x:c>
      <x:c r="G27" s="38" t="n">
        <x:f>COUNTIFS('Movesets_allies'!$D$7:$D$12,"Établi")</x:f>
        <x:v>0</x:v>
      </x:c>
      <x:c r="H27" s="38" t="n">
        <x:f>COUNTIFS('Movesets_allies'!$D$7:$D$12,"À vérifier")</x:f>
        <x:v>0</x:v>
      </x:c>
      <x:c r="I27" s="38" t="n">
        <x:f>COUNTIFS('Movesets_allies'!$D$7:$D$12,"Extrapolation")</x:f>
        <x:v>6</x:v>
      </x:c>
      <x:c r="J27" s="38" t="n">
        <x:f>COUNTIFS('Movesets_allies'!$D$7:$D$12,"Coupé attesté")</x:f>
        <x:v>0</x:v>
      </x:c>
      <x:c r="K27" s="38" t="n">
        <x:f>COUNTIFS('Movesets_allies'!$D$7:$D$12,"Concept abandonné")</x:f>
        <x:v>0</x:v>
      </x:c>
      <x:c r="L27" s="38" t="n">
        <x:f>COUNTIFS('Movesets_allies'!$D$7:$D$12,"Allégation écartée")</x:f>
        <x:v>0</x:v>
      </x:c>
      <x:c r="M27" s="38" t="n">
        <x:f>COUNTIFS('Movesets_allies'!$E$7:$E$12,"P0")</x:f>
        <x:v>0</x:v>
      </x:c>
    </x:row>
    <x:row r="28" ht="22" customHeight="1">
      <x:c r="A28" s="33" t="str">
        <x:v>Movesets ennemis</x:v>
      </x:c>
      <x:c r="B28" s="37" t="n">
        <x:f>COUNTA('Movesets_ennemis'!$A$7:$A$10)</x:f>
        <x:v>4</x:v>
      </x:c>
      <x:c r="C28" s="37" t="n">
        <x:f>COUNTIFS('Movesets_ennemis'!$C$7:$C$10,"Défini")</x:f>
        <x:v>4</x:v>
      </x:c>
      <x:c r="D28" s="37" t="n">
        <x:f>COUNTIFS('Movesets_ennemis'!$C$7:$C$10,"Prototype")</x:f>
        <x:v>0</x:v>
      </x:c>
      <x:c r="E28" s="37" t="n">
        <x:f>COUNTIFS('Movesets_ennemis'!$C$7:$C$10,"Intégré")</x:f>
        <x:v>0</x:v>
      </x:c>
      <x:c r="F28" s="37" t="n">
        <x:f>COUNTIFS('Movesets_ennemis'!$C$7:$C$10,"Validé")</x:f>
        <x:v>0</x:v>
      </x:c>
      <x:c r="G28" s="37" t="n">
        <x:f>COUNTIFS('Movesets_ennemis'!$D$7:$D$10,"Établi")</x:f>
        <x:v>0</x:v>
      </x:c>
      <x:c r="H28" s="37" t="n">
        <x:f>COUNTIFS('Movesets_ennemis'!$D$7:$D$10,"À vérifier")</x:f>
        <x:v>0</x:v>
      </x:c>
      <x:c r="I28" s="37" t="n">
        <x:f>COUNTIFS('Movesets_ennemis'!$D$7:$D$10,"Extrapolation")</x:f>
        <x:v>4</x:v>
      </x:c>
      <x:c r="J28" s="37" t="n">
        <x:f>COUNTIFS('Movesets_ennemis'!$D$7:$D$10,"Coupé attesté")</x:f>
        <x:v>0</x:v>
      </x:c>
      <x:c r="K28" s="37" t="n">
        <x:f>COUNTIFS('Movesets_ennemis'!$D$7:$D$10,"Concept abandonné")</x:f>
        <x:v>0</x:v>
      </x:c>
      <x:c r="L28" s="37" t="n">
        <x:f>COUNTIFS('Movesets_ennemis'!$D$7:$D$10,"Allégation écartée")</x:f>
        <x:v>0</x:v>
      </x:c>
      <x:c r="M28" s="37" t="n">
        <x:f>COUNTIFS('Movesets_ennemis'!$E$7:$E$10,"P0")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COUNTA('VFX'!$A$7:$A$10)</x:f>
        <x:v>4</x:v>
      </x:c>
      <x:c r="C31" s="38" t="n">
        <x:f>COUNTIFS('VFX'!$C$7:$C$10,"Défini")</x:f>
        <x:v>4</x:v>
      </x:c>
      <x:c r="D31" s="38" t="n">
        <x:f>COUNTIFS('VFX'!$C$7:$C$10,"Prototype")</x:f>
        <x:v>0</x:v>
      </x:c>
      <x:c r="E31" s="38" t="n">
        <x:f>COUNTIFS('VFX'!$C$7:$C$10,"Intégré")</x:f>
        <x:v>0</x:v>
      </x:c>
      <x:c r="F31" s="38" t="n">
        <x:f>COUNTIFS('VFX'!$C$7:$C$10,"Validé")</x:f>
        <x:v>0</x:v>
      </x:c>
      <x:c r="G31" s="38" t="n">
        <x:f>COUNTIFS('VFX'!$D$7:$D$10,"Établi")</x:f>
        <x:v>0</x:v>
      </x:c>
      <x:c r="H31" s="38" t="n">
        <x:f>COUNTIFS('VFX'!$D$7:$D$10,"À vérifier")</x:f>
        <x:v>0</x:v>
      </x:c>
      <x:c r="I31" s="38" t="n">
        <x:f>COUNTIFS('VFX'!$D$7:$D$10,"Extrapolation")</x:f>
        <x:v>4</x:v>
      </x:c>
      <x:c r="J31" s="38" t="n">
        <x:f>COUNTIFS('VFX'!$D$7:$D$10,"Coupé attesté")</x:f>
        <x:v>0</x:v>
      </x:c>
      <x:c r="K31" s="38" t="n">
        <x:f>COUNTIFS('VFX'!$D$7:$D$10,"Concept abandonné")</x:f>
        <x:v>0</x:v>
      </x:c>
      <x:c r="L31" s="38" t="n">
        <x:f>COUNTIFS('VFX'!$D$7:$D$10,"Allégation écartée")</x:f>
        <x:v>0</x:v>
      </x:c>
      <x:c r="M31" s="38" t="n">
        <x:f>COUNTIFS('VFX'!$E$7:$E$10,"P0")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COUNTA('UI_systemes'!$A$7:$A$14)</x:f>
        <x:v>8</x:v>
      </x:c>
      <x:c r="C33" s="38" t="n">
        <x:f>COUNTIFS('UI_systemes'!$C$7:$C$14,"Défini")</x:f>
        <x:v>8</x:v>
      </x:c>
      <x:c r="D33" s="38" t="n">
        <x:f>COUNTIFS('UI_systemes'!$C$7:$C$14,"Prototype")</x:f>
        <x:v>0</x:v>
      </x:c>
      <x:c r="E33" s="38" t="n">
        <x:f>COUNTIFS('UI_systemes'!$C$7:$C$14,"Intégré")</x:f>
        <x:v>0</x:v>
      </x:c>
      <x:c r="F33" s="38" t="n">
        <x:f>COUNTIFS('UI_systemes'!$C$7:$C$14,"Validé")</x:f>
        <x:v>0</x:v>
      </x:c>
      <x:c r="G33" s="38" t="n">
        <x:f>COUNTIFS('UI_systemes'!$D$7:$D$14,"Établi")</x:f>
        <x:v>0</x:v>
      </x:c>
      <x:c r="H33" s="38" t="n">
        <x:f>COUNTIFS('UI_systemes'!$D$7:$D$14,"À vérifier")</x:f>
        <x:v>0</x:v>
      </x:c>
      <x:c r="I33" s="38" t="n">
        <x:f>COUNTIFS('UI_systemes'!$D$7:$D$14,"Extrapolation")</x:f>
        <x:v>8</x:v>
      </x:c>
      <x:c r="J33" s="38" t="n">
        <x:f>COUNTIFS('UI_systemes'!$D$7:$D$14,"Coupé attesté")</x:f>
        <x:v>0</x:v>
      </x:c>
      <x:c r="K33" s="38" t="n">
        <x:f>COUNTIFS('UI_systemes'!$D$7:$D$14,"Concept abandonné")</x:f>
        <x:v>0</x:v>
      </x:c>
      <x:c r="L33" s="38" t="n">
        <x:f>COUNTIFS('UI_systemes'!$D$7:$D$14,"Allégation écartée")</x:f>
        <x:v>0</x:v>
      </x:c>
      <x:c r="M33" s="38" t="n">
        <x:f>COUNTIFS('UI_systemes'!$E$7:$E$14,"P0")</x:f>
        <x:v>2</x:v>
      </x:c>
    </x:row>
    <x:row r="34" ht="22" customHeight="1">
      <x:c r="A34" s="33" t="str">
        <x:v>QA</x:v>
      </x:c>
      <x:c r="B34" s="37" t="n">
        <x:f>COUNTA('QA'!$A$7:$A$18)</x:f>
        <x:v>12</x:v>
      </x:c>
      <x:c r="C34" s="37" t="n">
        <x:f>COUNTIFS('QA'!$C$7:$C$18,"Défini")</x:f>
        <x:v>12</x:v>
      </x:c>
      <x:c r="D34" s="37" t="n">
        <x:f>COUNTIFS('QA'!$C$7:$C$18,"Prototype")</x:f>
        <x:v>0</x:v>
      </x:c>
      <x:c r="E34" s="37" t="n">
        <x:f>COUNTIFS('QA'!$C$7:$C$18,"Intégré")</x:f>
        <x:v>0</x:v>
      </x:c>
      <x:c r="F34" s="37" t="n">
        <x:f>COUNTIFS('QA'!$C$7:$C$18,"Validé")</x:f>
        <x:v>0</x:v>
      </x:c>
      <x:c r="G34" s="37" t="n">
        <x:f>COUNTIFS('QA'!$D$7:$D$18,"Établi")</x:f>
        <x:v>0</x:v>
      </x:c>
      <x:c r="H34" s="37" t="n">
        <x:f>COUNTIFS('QA'!$D$7:$D$18,"À vérifier")</x:f>
        <x:v>0</x:v>
      </x:c>
      <x:c r="I34" s="37" t="n">
        <x:f>COUNTIFS('QA'!$D$7:$D$18,"Extrapolation")</x:f>
        <x:v>12</x:v>
      </x:c>
      <x:c r="J34" s="37" t="n">
        <x:f>COUNTIFS('QA'!$D$7:$D$18,"Coupé attesté")</x:f>
        <x:v>0</x:v>
      </x:c>
      <x:c r="K34" s="37" t="n">
        <x:f>COUNTIFS('QA'!$D$7:$D$18,"Concept abandonné")</x:f>
        <x:v>0</x:v>
      </x:c>
      <x:c r="L34" s="37" t="n">
        <x:f>COUNTIFS('QA'!$D$7:$D$18,"Allégation écartée")</x:f>
        <x:v>0</x:v>
      </x:c>
      <x:c r="M34" s="37" t="n">
        <x:f>COUNTIFS('QA'!$E$7:$E$18,"P0")</x:f>
        <x:v>3</x:v>
      </x:c>
    </x:row>
    <x:row r="35" ht="22" customHeight="1">
      <x:c r="A35" s="2" t="str">
        <x:v>Continuité</x:v>
      </x:c>
      <x:c r="B35" s="38" t="n">
        <x:f>COUNTA('Continuite'!$A$7:$A$13)</x:f>
        <x:v>7</x:v>
      </x:c>
      <x:c r="C35" s="38" t="n">
        <x:f>COUNTIFS('Continuite'!$C$7:$C$13,"Défini")</x:f>
        <x:v>7</x:v>
      </x:c>
      <x:c r="D35" s="38" t="n">
        <x:f>COUNTIFS('Continuite'!$C$7:$C$13,"Prototype")</x:f>
        <x:v>0</x:v>
      </x:c>
      <x:c r="E35" s="38" t="n">
        <x:f>COUNTIFS('Continuite'!$C$7:$C$13,"Intégré")</x:f>
        <x:v>0</x:v>
      </x:c>
      <x:c r="F35" s="38" t="n">
        <x:f>COUNTIFS('Continuite'!$C$7:$C$13,"Validé")</x:f>
        <x:v>0</x:v>
      </x:c>
      <x:c r="G35" s="38" t="n">
        <x:f>COUNTIFS('Continuite'!$D$7:$D$13,"Établi")</x:f>
        <x:v>5</x:v>
      </x:c>
      <x:c r="H35" s="38" t="n">
        <x:f>COUNTIFS('Continuite'!$D$7:$D$13,"À vérifier")</x:f>
        <x:v>1</x:v>
      </x:c>
      <x:c r="I35" s="38" t="n">
        <x:f>COUNTIFS('Continuite'!$D$7:$D$13,"Extrapolation")</x:f>
        <x:v>1</x:v>
      </x:c>
      <x:c r="J35" s="38" t="n">
        <x:f>COUNTIFS('Continuite'!$D$7:$D$13,"Coupé attesté")</x:f>
        <x:v>0</x:v>
      </x:c>
      <x:c r="K35" s="38" t="n">
        <x:f>COUNTIFS('Continuite'!$D$7:$D$13,"Concept abandonné")</x:f>
        <x:v>0</x:v>
      </x:c>
      <x:c r="L35" s="38" t="n">
        <x:f>COUNTIFS('Continuite'!$D$7:$D$13,"Allégation écartée")</x:f>
        <x:v>0</x:v>
      </x:c>
      <x:c r="M35" s="38" t="n">
        <x:f>COUNTIFS('Continuite'!$E$7:$E$13,"P0")</x:f>
        <x:v>7</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158</x:v>
      </x:c>
      <x:c r="C37" s="39" t="n">
        <x:f>SUM(C10:C35)</x:f>
        <x:v>153</x:v>
      </x:c>
      <x:c r="D37" s="39" t="n">
        <x:f>SUM(D10:D35)</x:f>
        <x:v>5</x:v>
      </x:c>
      <x:c r="E37" s="39" t="n">
        <x:f>SUM(E10:E35)</x:f>
        <x:v>0</x:v>
      </x:c>
      <x:c r="F37" s="39" t="n">
        <x:f>SUM(F10:F35)</x:f>
        <x:v>0</x:v>
      </x:c>
      <x:c r="G37" s="39" t="n">
        <x:f>SUM(G10:G35)</x:f>
        <x:v>27</x:v>
      </x:c>
      <x:c r="H37" s="39" t="n">
        <x:f>SUM(H10:H35)</x:f>
        <x:v>1</x:v>
      </x:c>
      <x:c r="I37" s="39" t="n">
        <x:f>SUM(I10:I35)</x:f>
        <x:v>130</x:v>
      </x:c>
      <x:c r="J37" s="39" t="n">
        <x:f>SUM(J10:J35)</x:f>
        <x:v>0</x:v>
      </x:c>
      <x:c r="K37" s="39" t="n">
        <x:f>SUM(K10:K35)</x:f>
        <x:v>0</x:v>
      </x:c>
      <x:c r="L37" s="39" t="n">
        <x:f>SUM(L10:L35)</x:f>
        <x:v>0</x:v>
      </x:c>
      <x:c r="M37" s="39" t="n">
        <x:f>SUM(M10:M35)</x:f>
        <x:v>20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Retribution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RET-CHR-GRAYSON</x:v>
      </x:c>
      <x:c r="B7" s="9" t="str">
        <x:v>Paul Grayson</x:v>
      </x:c>
      <x:c r="C7" s="15" t="str">
        <x:v>Défini</x:v>
      </x:c>
      <x:c r="D7" s="16" t="str">
        <x:v>Établi</x:v>
      </x:c>
      <x:c r="E7" s="16" t="str">
        <x:v>P1</x:v>
      </x:c>
      <x:c r="F7" s="9" t="str">
        <x:v>Ancien agent de Cerberus choisi pour une expérience utilisant une technologie des Moissonneurs.</x:v>
      </x:c>
      <x:c r="G7" s="9" t="str">
        <x:v>Référence narrative ; proposition visuelle et interaction dans les fiches liées.</x:v>
      </x:c>
      <x:c r="H7" s="9" t="str"/>
      <x:c r="I7" s="9" t="str"/>
      <x:c r="J7" s="9" t="str"/>
      <x:c r="K7" s="9" t="str"/>
      <x:c r="L7" s="9" t="str">
        <x:v>Réserver actor.ret.grayson ; rôle de référence : équipier.</x:v>
      </x:c>
      <x:c r="M7" s="9" t="str">
        <x:v>Préserver le parcours de Grayson et les états nécessaires à Deception et ME3. Les rencontres proposées n’offrent ni guérison canonique de Grayson ni élimination définitive de Kai Leng.</x:v>
      </x:c>
      <x:c r="N7" s="9" t="str">
        <x:v>Nom, rôle et présence confirmés dans la source indiquée ; aucune compétence chiffrée déduite du roman.</x:v>
      </x:c>
      <x:c r="O7" s="9" t="str"/>
      <x:c r="P7" s="9" t="str">
        <x:v>Notice de personnage ou présentation de l’œuvre ; pas de chapitre attribué.</x:v>
      </x:c>
      <x:c r="Q7" s="9" t="str">
        <x:v>RET-SRC-PUB</x:v>
      </x:c>
      <x:c r="R7" s="9" t="str">
        <x:v>https://www.penguinrandomhouse.com/books/200767/mass-effect-retribution-by-drew-karpyshyn/paperback/</x:v>
      </x:c>
      <x:c r="S7" s="9" t="str">
        <x:v>Le costume proposé dans les fiches de production n’est pas un modèle officiel.</x:v>
      </x:c>
    </x:row>
    <x:row r="8" ht="68" customHeight="1">
      <x:c r="A8" s="19" t="str">
        <x:v>RET-CHR-KAHLEE</x:v>
      </x:c>
      <x:c r="B8" s="7" t="str">
        <x:v>Kahlee Sanders</x:v>
      </x:c>
      <x:c r="C8" s="15" t="str">
        <x:v>Défini</x:v>
      </x:c>
      <x:c r="D8" s="17" t="str">
        <x:v>Établi</x:v>
      </x:c>
      <x:c r="E8" s="17" t="str">
        <x:v>P1</x:v>
      </x:c>
      <x:c r="F8" s="7" t="str">
        <x:v>Elle sollicite Anderson lorsqu’elle apprend la disparition de Grayson.</x:v>
      </x:c>
      <x:c r="G8" s="7" t="str">
        <x:v>Référence narrative ; proposition visuelle et interaction dans les fiches liées.</x:v>
      </x:c>
      <x:c r="H8" s="7" t="str"/>
      <x:c r="I8" s="7" t="str"/>
      <x:c r="J8" s="7" t="str"/>
      <x:c r="K8" s="7" t="str"/>
      <x:c r="L8" s="7" t="str">
        <x:v>Réserver actor.ret.kahlee ; rôle de référence : équipier.</x:v>
      </x:c>
      <x:c r="M8" s="7" t="str">
        <x:v>Préserver le parcours de Grayson et les états nécessaires à Deception et ME3. Les rencontres proposées n’offrent ni guérison canonique de Grayson ni élimination définitive de Kai Leng.</x:v>
      </x:c>
      <x:c r="N8" s="7" t="str">
        <x:v>Nom, rôle et présence confirmés dans la source indiquée ; aucune compétence chiffrée déduite du roman.</x:v>
      </x:c>
      <x:c r="O8" s="7" t="str"/>
      <x:c r="P8" s="7" t="str">
        <x:v>Notice de personnage ou présentation de l’œuvre ; pas de chapitre attribué.</x:v>
      </x:c>
      <x:c r="Q8" s="7" t="str">
        <x:v>RET-SRC-PUB</x:v>
      </x:c>
      <x:c r="R8" s="7" t="str">
        <x:v>https://www.penguinrandomhouse.com/books/200767/mass-effect-retribution-by-drew-karpyshyn/paperback/</x:v>
      </x:c>
      <x:c r="S8" s="7" t="str">
        <x:v>Le costume proposé dans les fiches de production n’est pas un modèle officiel.</x:v>
      </x:c>
    </x:row>
    <x:row r="9" ht="68" customHeight="1">
      <x:c r="A9" s="18" t="str">
        <x:v>RET-CHR-ANDERSON</x:v>
      </x:c>
      <x:c r="B9" s="9" t="str">
        <x:v>David Anderson</x:v>
      </x:c>
      <x:c r="C9" s="15" t="str">
        <x:v>Défini</x:v>
      </x:c>
      <x:c r="D9" s="16" t="str">
        <x:v>Établi</x:v>
      </x:c>
      <x:c r="E9" s="16" t="str">
        <x:v>P1</x:v>
      </x:c>
      <x:c r="F9" s="9" t="str">
        <x:v>Il aide Kahlee à rechercher le centre de détention de Cerberus.</x:v>
      </x:c>
      <x:c r="G9" s="9" t="str">
        <x:v>Référence narrative ; proposition visuelle et interaction dans les fiches liées.</x:v>
      </x:c>
      <x:c r="H9" s="9" t="str"/>
      <x:c r="I9" s="9" t="str"/>
      <x:c r="J9" s="9" t="str"/>
      <x:c r="K9" s="9" t="str"/>
      <x:c r="L9" s="9" t="str">
        <x:v>Réserver actor.ret.anderson ; rôle de référence : équipier.</x:v>
      </x:c>
      <x:c r="M9" s="9" t="str">
        <x:v>Préserver le parcours de Grayson et les états nécessaires à Deception et ME3. Les rencontres proposées n’offrent ni guérison canonique de Grayson ni élimination définitive de Kai Leng.</x:v>
      </x:c>
      <x:c r="N9" s="9" t="str">
        <x:v>Nom, rôle et présence confirmés dans la source indiquée ; aucune compétence chiffrée déduite du roman.</x:v>
      </x:c>
      <x:c r="O9" s="9" t="str"/>
      <x:c r="P9" s="9" t="str">
        <x:v>Notice de personnage ou présentation de l’œuvre ; pas de chapitre attribué.</x:v>
      </x:c>
      <x:c r="Q9" s="9" t="str">
        <x:v>RET-SRC-PUB</x:v>
      </x:c>
      <x:c r="R9" s="9" t="str">
        <x:v>https://www.penguinrandomhouse.com/books/200767/mass-effect-retribution-by-drew-karpyshyn/paperback/</x:v>
      </x:c>
      <x:c r="S9" s="9"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563999199e7942b3"/>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Retribution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RET-CHR-KAILENG</x:v>
      </x:c>
      <x:c r="B7" s="9" t="str">
        <x:v>Kai Leng</x:v>
      </x:c>
      <x:c r="C7" s="15" t="str">
        <x:v>Défini</x:v>
      </x:c>
      <x:c r="D7" s="16" t="str">
        <x:v>Établi</x:v>
      </x:c>
      <x:c r="E7" s="16" t="str">
        <x:v>P1</x:v>
      </x:c>
      <x:c r="F7" s="9" t="str">
        <x:v>Assassin de Cerberus chargé de capturer et surveiller Grayson.</x:v>
      </x:c>
      <x:c r="G7" s="9" t="str">
        <x:v>Référence narrative ; proposition visuelle et interaction dans les fiches liées.</x:v>
      </x:c>
      <x:c r="H7" s="9" t="str"/>
      <x:c r="I7" s="9" t="str"/>
      <x:c r="J7" s="9" t="str"/>
      <x:c r="K7" s="9" t="str"/>
      <x:c r="L7" s="9" t="str">
        <x:v>Réserver actor.ret.kaileng ; rôle de référence : adversaire.</x:v>
      </x:c>
      <x:c r="M7" s="9" t="str">
        <x:v>Préserver le parcours de Grayson et les états nécessaires à Deception et ME3. Les rencontres proposées n’offrent ni guérison canonique de Grayson ni élimination définitive de Kai Leng.</x:v>
      </x:c>
      <x:c r="N7" s="9" t="str">
        <x:v>Nom, rôle et présence confirmés dans la source indiquée ; aucune compétence chiffrée déduite du roman.</x:v>
      </x:c>
      <x:c r="O7" s="9" t="str"/>
      <x:c r="P7" s="9" t="str">
        <x:v>Notice de personnage ou présentation de l’œuvre ; pas de chapitre attribué.</x:v>
      </x:c>
      <x:c r="Q7" s="9" t="str">
        <x:v>RET-SRC-KAI</x:v>
      </x:c>
      <x:c r="R7" s="9" t="str">
        <x:v>https://masseffect.fandom.com/wiki/Kai_Leng</x:v>
      </x:c>
      <x:c r="S7" s="9" t="str">
        <x:v>Le costume proposé dans les fiches de production n’est pas un modèle officiel.</x:v>
      </x:c>
    </x:row>
    <x:row r="8" ht="68" customHeight="1">
      <x:c r="A8" s="19" t="str">
        <x:v>RET-CHR-ILLUSIVE</x:v>
      </x:c>
      <x:c r="B8" s="7" t="str">
        <x:v>Homme Trouble</x:v>
      </x:c>
      <x:c r="C8" s="15" t="str">
        <x:v>Défini</x:v>
      </x:c>
      <x:c r="D8" s="17" t="str">
        <x:v>Établi</x:v>
      </x:c>
      <x:c r="E8" s="17" t="str">
        <x:v>P1</x:v>
      </x:c>
      <x:c r="F8" s="7" t="str">
        <x:v>Il ordonne l’étude de Grayson pour comprendre les Moissonneurs.</x:v>
      </x:c>
      <x:c r="G8" s="7" t="str">
        <x:v>Référence narrative ; proposition visuelle et interaction dans les fiches liées.</x:v>
      </x:c>
      <x:c r="H8" s="7" t="str"/>
      <x:c r="I8" s="7" t="str"/>
      <x:c r="J8" s="7" t="str"/>
      <x:c r="K8" s="7" t="str"/>
      <x:c r="L8" s="7" t="str">
        <x:v>Réserver actor.ret.illusive ; rôle de référence : interlocuteur.</x:v>
      </x:c>
      <x:c r="M8" s="7" t="str">
        <x:v>Préserver le parcours de Grayson et les états nécessaires à Deception et ME3. Les rencontres proposées n’offrent ni guérison canonique de Grayson ni élimination définitive de Kai Leng.</x:v>
      </x:c>
      <x:c r="N8" s="7" t="str">
        <x:v>Nom, rôle et présence confirmés dans la source indiquée ; aucune compétence chiffrée déduite du roman.</x:v>
      </x:c>
      <x:c r="O8" s="7" t="str"/>
      <x:c r="P8" s="7" t="str">
        <x:v>Notice de personnage ou présentation de l’œuvre ; pas de chapitre attribué.</x:v>
      </x:c>
      <x:c r="Q8" s="7" t="str">
        <x:v>RET-SRC-PUB</x:v>
      </x:c>
      <x:c r="R8" s="7" t="str">
        <x:v>https://www.penguinrandomhouse.com/books/200767/mass-effect-retribution-by-drew-karpyshyn/paperback/</x:v>
      </x:c>
      <x:c r="S8" s="7" t="str">
        <x:v>Le costume proposé dans les fiches de production n’est pas un modèle officiel.</x:v>
      </x:c>
    </x:row>
    <x:row r="9" ht="68" customHeight="1">
      <x:c r="A9" s="18" t="str">
        <x:v>RET-CHR-LISELLE</x:v>
      </x:c>
      <x:c r="B9" s="9" t="str">
        <x:v>Liselle</x:v>
      </x:c>
      <x:c r="C9" s="15" t="str">
        <x:v>Défini</x:v>
      </x:c>
      <x:c r="D9" s="16" t="str">
        <x:v>Établi</x:v>
      </x:c>
      <x:c r="E9" s="16" t="str">
        <x:v>P1</x:v>
      </x:c>
      <x:c r="F9" s="9" t="str">
        <x:v>Asari, fille d’Aria et compagne de Grayson.</x:v>
      </x:c>
      <x:c r="G9" s="9" t="str">
        <x:v>Référence narrative ; proposition visuelle et interaction dans les fiches liées.</x:v>
      </x:c>
      <x:c r="H9" s="9" t="str"/>
      <x:c r="I9" s="9" t="str"/>
      <x:c r="J9" s="9" t="str"/>
      <x:c r="K9" s="9" t="str"/>
      <x:c r="L9" s="9" t="str">
        <x:v>Réserver actor.ret.liselle ; rôle de référence : interlocuteur.</x:v>
      </x:c>
      <x:c r="M9" s="9" t="str">
        <x:v>Préserver le parcours de Grayson et les états nécessaires à Deception et ME3. Les rencontres proposées n’offrent ni guérison canonique de Grayson ni élimination définitive de Kai Leng.</x:v>
      </x:c>
      <x:c r="N9" s="9" t="str">
        <x:v>Nom, rôle et présence confirmés dans la source indiquée ; aucune compétence chiffrée déduite du roman.</x:v>
      </x:c>
      <x:c r="O9" s="9" t="str"/>
      <x:c r="P9" s="9" t="str">
        <x:v>Notice de personnage ou présentation de l’œuvre ; pas de chapitre attribué.</x:v>
      </x:c>
      <x:c r="Q9" s="9" t="str">
        <x:v>RET-SRC-LIS</x:v>
      </x:c>
      <x:c r="R9" s="9" t="str">
        <x:v>https://masseffect.fandom.com/wiki/Liselle</x:v>
      </x:c>
      <x:c r="S9" s="9" t="str">
        <x:v>Le costume proposé dans les fiches de production n’est pas un modèle officiel.</x:v>
      </x:c>
    </x:row>
    <x:row r="10" ht="68" customHeight="1">
      <x:c r="A10" s="19" t="str">
        <x:v>RET-CHR-ARIA</x:v>
      </x:c>
      <x:c r="B10" s="7" t="str">
        <x:v>Aria T’Loak</x:v>
      </x:c>
      <x:c r="C10" s="15" t="str">
        <x:v>Défini</x:v>
      </x:c>
      <x:c r="D10" s="17" t="str">
        <x:v>Établi</x:v>
      </x:c>
      <x:c r="E10" s="17" t="str">
        <x:v>P1</x:v>
      </x:c>
      <x:c r="F10" s="7" t="str">
        <x:v>Autorité d’Omega impliquée dans la chasse à Grayson.</x:v>
      </x:c>
      <x:c r="G10" s="7" t="str">
        <x:v>Référence narrative ; proposition visuelle et interaction dans les fiches liées.</x:v>
      </x:c>
      <x:c r="H10" s="7" t="str"/>
      <x:c r="I10" s="7" t="str"/>
      <x:c r="J10" s="7" t="str"/>
      <x:c r="K10" s="7" t="str"/>
      <x:c r="L10" s="7" t="str">
        <x:v>Réserver actor.ret.aria ; rôle de référence : interlocuteur.</x:v>
      </x:c>
      <x:c r="M10" s="7" t="str">
        <x:v>Préserver le parcours de Grayson et les états nécessaires à Deception et ME3. Les rencontres proposées n’offrent ni guérison canonique de Grayson ni élimination définitive de Kai Leng.</x:v>
      </x:c>
      <x:c r="N10" s="7" t="str">
        <x:v>Nom, rôle et présence confirmés dans la source indiquée ; aucune compétence chiffrée déduite du roman.</x:v>
      </x:c>
      <x:c r="O10" s="7" t="str"/>
      <x:c r="P10" s="7" t="str">
        <x:v>Notice de personnage ou présentation de l’œuvre ; pas de chapitre attribué.</x:v>
      </x:c>
      <x:c r="Q10" s="7" t="str">
        <x:v>RET-SRC-OMEGA</x:v>
      </x:c>
      <x:c r="R10" s="7" t="str">
        <x:v>https://masseffect.fandom.com/wiki/Omega</x:v>
      </x:c>
      <x:c r="S10" s="7" t="str">
        <x:v>Le costume proposé dans les fiches de production n’est pas un modèle officiel.</x:v>
      </x:c>
    </x:row>
    <x:row r="11" ht="68" customHeight="1">
      <x:c r="A11" s="18" t="str">
        <x:v>RET-CHR-SANAK</x:v>
      </x:c>
      <x:c r="B11" s="9" t="str">
        <x:v>Sanak</x:v>
      </x:c>
      <x:c r="C11" s="15" t="str">
        <x:v>Défini</x:v>
      </x:c>
      <x:c r="D11" s="16" t="str">
        <x:v>Établi</x:v>
      </x:c>
      <x:c r="E11" s="16" t="str">
        <x:v>P1</x:v>
      </x:c>
      <x:c r="F11" s="9" t="str">
        <x:v>Mercenaire travaillant avec Grayson et Liselle pour Aria.</x:v>
      </x:c>
      <x:c r="G11" s="9" t="str">
        <x:v>Référence narrative ; proposition visuelle et interaction dans les fiches liées.</x:v>
      </x:c>
      <x:c r="H11" s="9" t="str"/>
      <x:c r="I11" s="9" t="str"/>
      <x:c r="J11" s="9" t="str"/>
      <x:c r="K11" s="9" t="str"/>
      <x:c r="L11" s="9" t="str">
        <x:v>Réserver actor.ret.sanak ; rôle de référence : interlocuteur.</x:v>
      </x:c>
      <x:c r="M11" s="9" t="str">
        <x:v>Préserver le parcours de Grayson et les états nécessaires à Deception et ME3. Les rencontres proposées n’offrent ni guérison canonique de Grayson ni élimination définitive de Kai Leng.</x:v>
      </x:c>
      <x:c r="N11" s="9" t="str">
        <x:v>Nom, rôle et présence confirmés dans la source indiquée ; aucune compétence chiffrée déduite du roman.</x:v>
      </x:c>
      <x:c r="O11" s="9" t="str"/>
      <x:c r="P11" s="9" t="str">
        <x:v>Notice de personnage ou présentation de l’œuvre ; pas de chapitre attribué.</x:v>
      </x:c>
      <x:c r="Q11" s="9" t="str">
        <x:v>RET-SRC-SAN</x:v>
      </x:c>
      <x:c r="R11" s="9" t="str">
        <x:v>https://masseffect.fandom.com/wiki/Sanak</x:v>
      </x:c>
      <x:c r="S11" s="9" t="str">
        <x:v>Le costume proposé dans les fiches de production n’est pas un modèle officiel.</x:v>
      </x:c>
    </x:row>
    <x:row r="12" ht="68" customHeight="1">
      <x:c r="A12" s="19" t="str">
        <x:v>RET-CHR-ORINIA</x:v>
      </x:c>
      <x:c r="B12" s="7" t="str">
        <x:v>Orinia</x:v>
      </x:c>
      <x:c r="C12" s="15" t="str">
        <x:v>Défini</x:v>
      </x:c>
      <x:c r="D12" s="17" t="str">
        <x:v>Établi</x:v>
      </x:c>
      <x:c r="E12" s="17" t="str">
        <x:v>P1</x:v>
      </x:c>
      <x:c r="F12" s="7" t="str">
        <x:v>Ambassadrice turienne sollicitée pour aider Anderson et Kahlee.</x:v>
      </x:c>
      <x:c r="G12" s="7" t="str">
        <x:v>Référence narrative ; proposition visuelle et interaction dans les fiches liées.</x:v>
      </x:c>
      <x:c r="H12" s="7" t="str"/>
      <x:c r="I12" s="7" t="str"/>
      <x:c r="J12" s="7" t="str"/>
      <x:c r="K12" s="7" t="str"/>
      <x:c r="L12" s="7" t="str">
        <x:v>Réserver actor.ret.orinia ; rôle de référence : interlocuteur.</x:v>
      </x:c>
      <x:c r="M12" s="7" t="str">
        <x:v>Préserver le parcours de Grayson et les états nécessaires à Deception et ME3. Les rencontres proposées n’offrent ni guérison canonique de Grayson ni élimination définitive de Kai Leng.</x:v>
      </x:c>
      <x:c r="N12" s="7" t="str">
        <x:v>Nom, rôle et présence confirmés dans la source indiquée ; aucune compétence chiffrée déduite du roman.</x:v>
      </x:c>
      <x:c r="O12" s="7" t="str"/>
      <x:c r="P12" s="7" t="str">
        <x:v>Notice de personnage ou présentation de l’œuvre ; pas de chapitre attribué.</x:v>
      </x:c>
      <x:c r="Q12" s="7" t="str">
        <x:v>RET-SRC-AND</x:v>
      </x:c>
      <x:c r="R12" s="7" t="str">
        <x:v>https://masseffect.fandom.com/wiki/David_Anderson</x:v>
      </x:c>
      <x:c r="S12" s="7" t="str">
        <x:v>Le costume proposé dans les fiches de production n’est pas un modèle officiel.</x:v>
      </x:c>
    </x:row>
    <x:row r="13" ht="68" customHeight="1">
      <x:c r="A13" s="18" t="str">
        <x:v>RET-CHR-NICK</x:v>
      </x:c>
      <x:c r="B13" s="9" t="str">
        <x:v>Nick Donahue</x:v>
      </x:c>
      <x:c r="C13" s="15" t="str">
        <x:v>Défini</x:v>
      </x:c>
      <x:c r="D13" s="16" t="str">
        <x:v>Établi</x:v>
      </x:c>
      <x:c r="E13" s="16" t="str">
        <x:v>P1</x:v>
      </x:c>
      <x:c r="F13" s="9" t="str">
        <x:v>Élève biotique présent lors de la crise à l’académie.</x:v>
      </x:c>
      <x:c r="G13" s="9" t="str">
        <x:v>Référence narrative ; proposition visuelle et interaction dans les fiches liées.</x:v>
      </x:c>
      <x:c r="H13" s="9" t="str"/>
      <x:c r="I13" s="9" t="str"/>
      <x:c r="J13" s="9" t="str"/>
      <x:c r="K13" s="9" t="str"/>
      <x:c r="L13" s="9" t="str">
        <x:v>Réserver actor.ret.nick ; rôle de référence : interlocuteur.</x:v>
      </x:c>
      <x:c r="M13" s="9" t="str">
        <x:v>Préserver le parcours de Grayson et les états nécessaires à Deception et ME3. Les rencontres proposées n’offrent ni guérison canonique de Grayson ni élimination définitive de Kai Leng.</x:v>
      </x:c>
      <x:c r="N13" s="9" t="str">
        <x:v>Nom, rôle et présence confirmés dans la source indiquée ; aucune compétence chiffrée déduite du roman.</x:v>
      </x:c>
      <x:c r="O13" s="9" t="str"/>
      <x:c r="P13" s="9" t="str">
        <x:v>Notice de personnage ou présentation de l’œuvre ; pas de chapitre attribué.</x:v>
      </x:c>
      <x:c r="Q13" s="9" t="str">
        <x:v>RET-SRC-NICK</x:v>
      </x:c>
      <x:c r="R13" s="9" t="str">
        <x:v>https://masseffect.fandom.com/wiki/Nick_Donahue</x:v>
      </x:c>
      <x:c r="S13" s="9"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0a7c100c11924126"/>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Retribution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RET-REF-CERBERUS</x:v>
      </x:c>
      <x:c r="B7" s="9" t="str">
        <x:v>Cerberus</x:v>
      </x:c>
      <x:c r="C7" s="15" t="str">
        <x:v>Prototype</x:v>
      </x:c>
      <x:c r="D7" s="16" t="str">
        <x:v>Établi</x:v>
      </x:c>
      <x:c r="E7" s="16" t="str">
        <x:v>P1</x:v>
      </x:c>
      <x:c r="F7" s="9" t="str">
        <x:v>L’organisation mène l’expérience sur Grayson.</x:v>
      </x:c>
      <x:c r="G7" s="9" t="str">
        <x:v>Ancrage documentaire du module ; aucune statistique officielle inférée.</x:v>
      </x:c>
      <x:c r="H7" s="9" t="str"/>
      <x:c r="I7" s="9" t="str"/>
      <x:c r="J7" s="9" t="str"/>
      <x:c r="K7" s="9" t="str"/>
      <x:c r="L7" s="9" t="str">
        <x:v>Référence documentaire RET-REF-CERBERUS consultable dans les lectures de src/chronicle-story.js, avec sources et progression séparée. Aucune scène, carte, animation ou incarnation de personnage n’est produite par cette fiche.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RET-SRC-PUB</x:v>
      </x:c>
      <x:c r="R7" s="9" t="str">
        <x:v>https://www.penguinrandomhouse.com/books/200767/mass-effect-retribution-by-drew-karpyshyn/paperback/</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RET-REF-REAPERS</x:v>
      </x:c>
      <x:c r="B8" s="7" t="str">
        <x:v>Moissonneurs</x:v>
      </x:c>
      <x:c r="C8" s="15" t="str">
        <x:v>Prototype</x:v>
      </x:c>
      <x:c r="D8" s="17" t="str">
        <x:v>Établi</x:v>
      </x:c>
      <x:c r="E8" s="17" t="str">
        <x:v>P1</x:v>
      </x:c>
      <x:c r="F8" s="7" t="str">
        <x:v>Leur technologie constitue l’objet de l’expérience.</x:v>
      </x:c>
      <x:c r="G8" s="7" t="str">
        <x:v>Ancrage documentaire du module ; aucune statistique officielle inférée.</x:v>
      </x:c>
      <x:c r="H8" s="7" t="str"/>
      <x:c r="I8" s="7" t="str"/>
      <x:c r="J8" s="7" t="str"/>
      <x:c r="K8" s="7" t="str"/>
      <x:c r="L8" s="7" t="str">
        <x:v>Référence documentaire RET-REF-REAPERS consultable dans les lectures de src/chronicle-story.js, avec sources et progression séparée. Aucune scène, carte, animation ou incarnation de personnage n’est produite par cette fiche.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RET-SRC-PUB</x:v>
      </x:c>
      <x:c r="R8" s="7" t="str">
        <x:v>https://www.penguinrandomhouse.com/books/200767/mass-effect-retribution-by-drew-karpyshyn/paperback/</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RET-REF-TURIANS</x:v>
      </x:c>
      <x:c r="B9" s="9" t="str">
        <x:v>Force d’intervention turienne</x:v>
      </x:c>
      <x:c r="C9" s="15" t="str">
        <x:v>Prototype</x:v>
      </x:c>
      <x:c r="D9" s="16" t="str">
        <x:v>Établi</x:v>
      </x:c>
      <x:c r="E9" s="16" t="str">
        <x:v>P1</x:v>
      </x:c>
      <x:c r="F9" s="9" t="str">
        <x:v>Des Turiens attaquent le centre où Grayson est détenu.</x:v>
      </x:c>
      <x:c r="G9" s="9" t="str">
        <x:v>Ancrage documentaire du module ; aucune statistique officielle inférée.</x:v>
      </x:c>
      <x:c r="H9" s="9" t="str"/>
      <x:c r="I9" s="9" t="str"/>
      <x:c r="J9" s="9" t="str"/>
      <x:c r="K9" s="9" t="str"/>
      <x:c r="L9" s="9" t="str">
        <x:v>Référence documentaire RET-REF-TURIANS consultable dans les lectures de src/chronicle-story.js, avec sources et progression séparée. Aucune scène, carte, animation ou incarnation de personnage n’est produite par cette fiche.</x:v>
      </x:c>
      <x:c r="M9" s="9" t="str">
        <x:v>Préserver le parcours de Grayson et les états nécessaires à Deception et ME3. Les rencontres proposées n’offrent ni guérison canonique de Grayson ni élimination définitive de Kai Leng.</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RET-SRC-KAI</x:v>
      </x:c>
      <x:c r="R9" s="9" t="str">
        <x:v>https://masseffect.fandom.com/wiki/Kai_Leng</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9">
    <x:cfRule type="cellIs" dxfId="8" priority="1" operator="equal">
      <x:formula>"À vérifier"</x:formula>
    </x:cfRule>
    <x:cfRule type="cellIs" dxfId="9" priority="2" operator="equal">
      <x:formula>"Extrapolation"</x:formula>
    </x:cfRule>
  </x:conditionalFormatting>
  <x:conditionalFormatting sqref="C7:C9">
    <x:cfRule type="cellIs" dxfId="10" priority="3" operator="equal">
      <x:formula>"Validé"</x:formula>
    </x:cfRule>
  </x:conditionalFormatting>
  <x:conditionalFormatting sqref="E7:E9">
    <x:cfRule type="cellIs" dxfId="1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810c8dc1b3a6453b"/>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Retribution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RET-REF-OMEGA</x:v>
      </x:c>
      <x:c r="B7" s="9" t="str">
        <x:v>Omega</x:v>
      </x:c>
      <x:c r="C7" s="15" t="str">
        <x:v>Prototype</x:v>
      </x:c>
      <x:c r="D7" s="16" t="str">
        <x:v>Établi</x:v>
      </x:c>
      <x:c r="E7" s="16" t="str">
        <x:v>P1</x:v>
      </x:c>
      <x:c r="F7" s="9" t="str">
        <x:v>Grayson y vit et y est capturé par Cerberus.</x:v>
      </x:c>
      <x:c r="G7" s="9" t="str">
        <x:v>Ancrage documentaire du module ; aucune statistique officielle inférée.</x:v>
      </x:c>
      <x:c r="H7" s="9" t="str"/>
      <x:c r="I7" s="9" t="str"/>
      <x:c r="J7" s="9" t="str"/>
      <x:c r="K7" s="9" t="str"/>
      <x:c r="L7" s="9" t="str">
        <x:v>Référence documentaire RET-REF-OMEGA consultable dans les lectures de src/chronicle-story.js, avec sources et progression séparée. Aucune scène, carte, animation ou incarnation de personnage n’est produite par cette fiche.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68" customHeight="1">
      <x:c r="A8" s="19" t="str">
        <x:v>RET-REF-CITADEL</x:v>
      </x:c>
      <x:c r="B8" s="7" t="str">
        <x:v>Citadelle</x:v>
      </x:c>
      <x:c r="C8" s="15" t="str">
        <x:v>Défini</x:v>
      </x:c>
      <x:c r="D8" s="17" t="str">
        <x:v>Établi</x:v>
      </x:c>
      <x:c r="E8" s="17" t="str">
        <x:v>P1</x:v>
      </x:c>
      <x:c r="F8" s="7" t="str">
        <x:v>Orinia y exerce son rôle diplomatique.</x:v>
      </x:c>
      <x:c r="G8" s="7" t="str">
        <x:v>Ancrage documentaire du module ; aucune statistique officielle inférée.</x:v>
      </x:c>
      <x:c r="H8" s="7" t="str"/>
      <x:c r="I8" s="7" t="str"/>
      <x:c r="J8" s="7" t="str"/>
      <x:c r="K8" s="7" t="str"/>
      <x:c r="L8" s="7" t="str">
        <x:v>Codex ref.ret.citadel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RET-SRC-AND</x:v>
      </x:c>
      <x:c r="R8" s="7" t="str">
        <x:v>https://masseffect.fandom.com/wiki/David_Anderson</x:v>
      </x:c>
      <x:c r="S8" s="7" t="str">
        <x:v>Ce relevé n’est ni un inventaire exhaustif ni un résumé scène par scène.</x:v>
      </x:c>
    </x:row>
    <x:row r="9" ht="82" customHeight="1">
      <x:c r="A9" s="18" t="str">
        <x:v>RET-REF-ACADEMY</x:v>
      </x:c>
      <x:c r="B9" s="9" t="str">
        <x:v>Académie Grissom</x:v>
      </x:c>
      <x:c r="C9" s="15" t="str">
        <x:v>Prototype</x:v>
      </x:c>
      <x:c r="D9" s="16" t="str">
        <x:v>Établi</x:v>
      </x:c>
      <x:c r="E9" s="16" t="str">
        <x:v>P1</x:v>
      </x:c>
      <x:c r="F9" s="9" t="str">
        <x:v>La crise liée à Grayson atteint l’académie.</x:v>
      </x:c>
      <x:c r="G9" s="9" t="str">
        <x:v>Ancrage documentaire du module ; aucune statistique officielle inférée.</x:v>
      </x:c>
      <x:c r="H9" s="9" t="str"/>
      <x:c r="I9" s="9" t="str"/>
      <x:c r="J9" s="9" t="str"/>
      <x:c r="K9" s="9" t="str"/>
      <x:c r="L9" s="9" t="str">
        <x:v>Référence documentaire RET-REF-ACADEMY consultable dans les lectures de src/chronicle-story.js, avec sources et progression séparée. Aucune scène, carte, animation ou incarnation de personnage n’est produite par cette fiche.</x:v>
      </x:c>
      <x:c r="M9" s="9" t="str">
        <x:v>Préserver le parcours de Grayson et les états nécessaires à Deception et ME3. Les rencontres proposées n’offrent ni guérison canonique de Grayson ni élimination définitive de Kai Leng.</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RET-SRC-KAI</x:v>
      </x:c>
      <x:c r="R9" s="9" t="str">
        <x:v>https://masseffect.fandom.com/wiki/Kai_Leng</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9">
    <x:cfRule type="cellIs" dxfId="12" priority="1" operator="equal">
      <x:formula>"À vérifier"</x:formula>
    </x:cfRule>
    <x:cfRule type="cellIs" dxfId="13" priority="2" operator="equal">
      <x:formula>"Extrapolation"</x:formula>
    </x:cfRule>
  </x:conditionalFormatting>
  <x:conditionalFormatting sqref="C7:C9">
    <x:cfRule type="cellIs" dxfId="14" priority="3" operator="equal">
      <x:formula>"Validé"</x:formula>
    </x:cfRule>
  </x:conditionalFormatting>
  <x:conditionalFormatting sqref="E7:E9">
    <x:cfRule type="cellIs" dxfId="1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f021460d76004e76"/>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Retribution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RET-MAP-OMEGA</x:v>
      </x:c>
      <x:c r="B7" s="9" t="str">
        <x:v>Dépôt de préparation sur Omega — carte proposée</x:v>
      </x:c>
      <x:c r="C7" s="15" t="str">
        <x:v>Défini</x:v>
      </x:c>
      <x:c r="D7" s="16" t="str">
        <x:v>Extrapolation</x:v>
      </x:c>
      <x:c r="E7" s="16" t="str">
        <x:v>P1</x:v>
      </x:c>
      <x:c r="F7" s="9" t="str">
        <x:v>Bloc de niveau original autour de Dépôt de préparation sur Omega. Le plan n’est pas fourni par la source.</x:v>
      </x:c>
      <x:c r="G7" s="9" t="str">
        <x:v>Décor 3D à caméra fixe et personnages sprites. Salle de contrat, réserve et issue de service.</x:v>
      </x:c>
      <x:c r="H7" s="9" t="str">
        <x:v>La surveillance d’une entrée oblige à vérifier l’autre. Les passages importants restent accessibles en mode pause tactique.</x:v>
      </x:c>
      <x:c r="I7" s="9" t="str">
        <x:v>Matériel de récupération, lumière chaude basse, écran de mission original. Séparer sol praticable, couvert et fond par valeur lumineuse.</x:v>
      </x:c>
      <x:c r="J7" s="9" t="str">
        <x:v>Occlusion douce des parois devant le groupe ; portes synchronisées avec les collisions.</x:v>
      </x:c>
      <x:c r="K7" s="9" t="str">
        <x:v>Tension retenue, ventilation clinique et sons d’accès sobres. Un signal directionnel accompagne le danger local, doublé par une icône.</x:v>
      </x:c>
      <x:c r="L7" s="9" t="str">
        <x:v>maps/ret/omega.scene ; navmesh, colliders, ancrages d’entrée et sorties nommés.</x:v>
      </x:c>
      <x:c r="M7" s="9" t="str">
        <x:v>Ne pas prolonger la présence de Liselle au-delà de sa fenêtre narrative.</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RET-MAP-APARTMENT</x:v>
      </x:c>
      <x:c r="B8" s="7" t="str">
        <x:v>Annexe résidentielle proposée — carte proposée</x:v>
      </x:c>
      <x:c r="C8" s="15" t="str">
        <x:v>Défini</x:v>
      </x:c>
      <x:c r="D8" s="17" t="str">
        <x:v>Extrapolation</x:v>
      </x:c>
      <x:c r="E8" s="17" t="str">
        <x:v>P1</x:v>
      </x:c>
      <x:c r="F8" s="7" t="str">
        <x:v>Bloc de niveau original autour de Annexe résidentielle proposée. Le plan n’est pas fourni par la source.</x:v>
      </x:c>
      <x:c r="G8" s="7" t="str">
        <x:v>Décor 3D à caméra fixe et personnages sprites. Palier, espace de vie et fenêtre de service.</x:v>
      </x:c>
      <x:c r="H8" s="7" t="str">
        <x:v>Collecter des indices sans déplacer les preuves critiques. Les passages importants restent accessibles en mode pause tactique.</x:v>
      </x:c>
      <x:c r="I8" s="7" t="str">
        <x:v>Traces de vie quotidienne sans reconstitution exhaustive du logement du livre. Séparer sol praticable, couvert et fond par valeur lumineuse.</x:v>
      </x:c>
      <x:c r="J8" s="7" t="str">
        <x:v>Occlusion douce des parois devant le groupe ; portes synchronisées avec les collisions.</x:v>
      </x:c>
      <x:c r="K8" s="7" t="str">
        <x:v>Tension retenue, ventilation clinique et sons d’accès sobres. Un signal directionnel accompagne le danger local, doublé par une icône.</x:v>
      </x:c>
      <x:c r="L8" s="7" t="str">
        <x:v>maps/ret/apartment.scene ; navmesh, colliders, ancrages d’entrée et sorties nommés.</x:v>
      </x:c>
      <x:c r="M8" s="7" t="str">
        <x:v>Une capture narrative n’est pas annulée par la fouille.</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RET-MAP-DIPLOMACY</x:v>
      </x:c>
      <x:c r="B9" s="9" t="str">
        <x:v>Bureau diplomatique proposé — carte proposée</x:v>
      </x:c>
      <x:c r="C9" s="15" t="str">
        <x:v>Défini</x:v>
      </x:c>
      <x:c r="D9" s="16" t="str">
        <x:v>Extrapolation</x:v>
      </x:c>
      <x:c r="E9" s="16" t="str">
        <x:v>P1</x:v>
      </x:c>
      <x:c r="F9" s="9" t="str">
        <x:v>Bloc de niveau original autour de Bureau diplomatique proposé. Le plan n’est pas fourni par la source.</x:v>
      </x:c>
      <x:c r="G9" s="9" t="str">
        <x:v>Décor 3D à caméra fixe et personnages sprites. Vestibule, table de dossier et retour vers le transport.</x:v>
      </x:c>
      <x:c r="H9" s="9" t="str">
        <x:v>La cohérence du dossier conditionne la discussion. Les passages importants restent accessibles en mode pause tactique.</x:v>
      </x:c>
      <x:c r="I9" s="9" t="str">
        <x:v>Volumes calmes, écran de preuves, sièges adaptés aux silhouettes. Séparer sol praticable, couvert et fond par valeur lumineuse.</x:v>
      </x:c>
      <x:c r="J9" s="9" t="str">
        <x:v>Occlusion douce des parois devant le groupe ; portes synchronisées avec les collisions.</x:v>
      </x:c>
      <x:c r="K9" s="9" t="str">
        <x:v>Tension retenue, ventilation clinique et sons d’accès sobres. Un signal directionnel accompagne le danger local, doublé par une icône.</x:v>
      </x:c>
      <x:c r="L9" s="9" t="str">
        <x:v>maps/ret/diplomacy.scene ; navmesh, colliders, ancrages d’entrée et sorties nommés.</x:v>
      </x:c>
      <x:c r="M9" s="9" t="str">
        <x:v>Le soutien politique n’équivaut pas à une alliance générale inventée.</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RET-MAP-LAB</x:v>
      </x:c>
      <x:c r="B10" s="7" t="str">
        <x:v>Périmètre du laboratoire proposé — carte proposée</x:v>
      </x:c>
      <x:c r="C10" s="15" t="str">
        <x:v>Défini</x:v>
      </x:c>
      <x:c r="D10" s="17" t="str">
        <x:v>Extrapolation</x:v>
      </x:c>
      <x:c r="E10" s="17" t="str">
        <x:v>P1</x:v>
      </x:c>
      <x:c r="F10" s="7" t="str">
        <x:v>Bloc de niveau original autour de Périmètre du laboratoire proposé. Le plan n’est pas fourni par la source.</x:v>
      </x:c>
      <x:c r="G10" s="7" t="str">
        <x:v>Décor 3D à caméra fixe et personnages sprites. Observation extérieure, accès technique et chambre de contrôle.</x:v>
      </x:c>
      <x:c r="H10" s="7" t="str">
        <x:v>Les portes de confinement découpent le terrain. Les passages importants restent accessibles en mode pause tactique.</x:v>
      </x:c>
      <x:c r="I10" s="7" t="str">
        <x:v>Blanc clinique, contrastes froids, zones opaques pour préserver la tension. Séparer sol praticable, couvert et fond par valeur lumineuse.</x:v>
      </x:c>
      <x:c r="J10" s="7" t="str">
        <x:v>Occlusion douce des parois devant le groupe ; portes synchronisées avec les collisions.</x:v>
      </x:c>
      <x:c r="K10" s="7" t="str">
        <x:v>Tension retenue, ventilation clinique et sons d’accès sobres. Un signal directionnel accompagne le danger local, doublé par une icône.</x:v>
      </x:c>
      <x:c r="L10" s="7" t="str">
        <x:v>maps/ret/lab.scene ; navmesh, colliders, ancrages d’entrée et sorties nommés.</x:v>
      </x:c>
      <x:c r="M10" s="7" t="str">
        <x:v>Aucune procédure réelle d’implantation n’est détaillée.</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RET-MAP-HOLD</x:v>
      </x:c>
      <x:c r="B11" s="9" t="str">
        <x:v>Unité de confinement proposée — carte proposée</x:v>
      </x:c>
      <x:c r="C11" s="15" t="str">
        <x:v>Défini</x:v>
      </x:c>
      <x:c r="D11" s="16" t="str">
        <x:v>Extrapolation</x:v>
      </x:c>
      <x:c r="E11" s="16" t="str">
        <x:v>P1</x:v>
      </x:c>
      <x:c r="F11" s="9" t="str">
        <x:v>Bloc de niveau original autour de Unité de confinement proposée. Le plan n’est pas fourni par la source.</x:v>
      </x:c>
      <x:c r="G11" s="9" t="str">
        <x:v>Décor 3D à caméra fixe et personnages sprites. Salle d’observation, corridor annulaire et sas de sortie.</x:v>
      </x:c>
      <x:c r="H11" s="9" t="str">
        <x:v>Une panne impose de choisir l’ordre des interventions. Les passages importants restent accessibles en mode pause tactique.</x:v>
      </x:c>
      <x:c r="I11" s="9" t="str">
        <x:v>Verre épais, câblage abstrait, signaux de diagnostic incomplets. Séparer sol praticable, couvert et fond par valeur lumineuse.</x:v>
      </x:c>
      <x:c r="J11" s="9" t="str">
        <x:v>Occlusion douce des parois devant le groupe ; portes synchronisées avec les collisions.</x:v>
      </x:c>
      <x:c r="K11" s="9" t="str">
        <x:v>Tension retenue, ventilation clinique et sons d’accès sobres. Un signal directionnel accompagne le danger local, doublé par une icône.</x:v>
      </x:c>
      <x:c r="L11" s="9" t="str">
        <x:v>maps/ret/hold.scene ; navmesh, colliders, ancrages d’entrée et sorties nommés.</x:v>
      </x:c>
      <x:c r="M11" s="9" t="str">
        <x:v>Grayson n’est pas guéri par une énigme technique.</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RET-MAP-TRANSIT</x:v>
      </x:c>
      <x:c r="B12" s="7" t="str">
        <x:v>Navette sous tension — carte proposée</x:v>
      </x:c>
      <x:c r="C12" s="15" t="str">
        <x:v>Défini</x:v>
      </x:c>
      <x:c r="D12" s="17" t="str">
        <x:v>Extrapolation</x:v>
      </x:c>
      <x:c r="E12" s="17" t="str">
        <x:v>P1</x:v>
      </x:c>
      <x:c r="F12" s="7" t="str">
        <x:v>Bloc de niveau original autour de Navette sous tension. Le plan n’est pas fourni par la source.</x:v>
      </x:c>
      <x:c r="G12" s="7" t="str">
        <x:v>Décor 3D à caméra fixe et personnages sprites. Cabine resserrée, poste de pilotage et compartiment de matériel.</x:v>
      </x:c>
      <x:c r="H12" s="7" t="str">
        <x:v>Déplacement restreint pendant une phase de communication. Les passages importants restent accessibles en mode pause tactique.</x:v>
      </x:c>
      <x:c r="I12" s="7" t="str">
        <x:v>Sangles, balises de route et éclairage de transit. Séparer sol praticable, couvert et fond par valeur lumineuse.</x:v>
      </x:c>
      <x:c r="J12" s="7" t="str">
        <x:v>Occlusion douce des parois devant le groupe ; portes synchronisées avec les collisions.</x:v>
      </x:c>
      <x:c r="K12" s="7" t="str">
        <x:v>Tension retenue, ventilation clinique et sons d’accès sobres. Un signal directionnel accompagne le danger local, doublé par une icône.</x:v>
      </x:c>
      <x:c r="L12" s="7" t="str">
        <x:v>maps/ret/transit.scene ; navmesh, colliders, ancrages d’entrée et sorties nommés.</x:v>
      </x:c>
      <x:c r="M12" s="7" t="str">
        <x:v>La présence de chaque acteur suit la continuité.</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RET-MAP-ACADEMY</x:v>
      </x:c>
      <x:c r="B13" s="9" t="str">
        <x:v>Couloir pédagogique en crise — carte proposée</x:v>
      </x:c>
      <x:c r="C13" s="15" t="str">
        <x:v>Défini</x:v>
      </x:c>
      <x:c r="D13" s="16" t="str">
        <x:v>Extrapolation</x:v>
      </x:c>
      <x:c r="E13" s="16" t="str">
        <x:v>P1</x:v>
      </x:c>
      <x:c r="F13" s="9" t="str">
        <x:v>Bloc de niveau original autour de Couloir pédagogique en crise. Le plan n’est pas fourni par la source.</x:v>
      </x:c>
      <x:c r="G13" s="9" t="str">
        <x:v>Décor 3D à caméra fixe et personnages sprites. Axe de circulation, salles refuges et point de soins.</x:v>
      </x:c>
      <x:c r="H13" s="9" t="str">
        <x:v>Évacuer vers les salles sûres avant toute poursuite. Les passages importants restent accessibles en mode pause tactique.</x:v>
      </x:c>
      <x:c r="I13" s="9" t="str">
        <x:v>Mobilier d’école et travaux d’élèves distingués des barricades. Séparer sol praticable, couvert et fond par valeur lumineuse.</x:v>
      </x:c>
      <x:c r="J13" s="9" t="str">
        <x:v>Occlusion douce des parois devant le groupe ; portes synchronisées avec les collisions.</x:v>
      </x:c>
      <x:c r="K13" s="9" t="str">
        <x:v>Tension retenue, ventilation clinique et sons d’accès sobres. Un signal directionnel accompagne le danger local, doublé par une icône.</x:v>
      </x:c>
      <x:c r="L13" s="9" t="str">
        <x:v>maps/ret/academy.scene ; navmesh, colliders, ancrages d’entrée et sorties nommés.</x:v>
      </x:c>
      <x:c r="M13" s="9" t="str">
        <x:v>Pas de massacre aléatoire utilisé comme difficulté.</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RET-MAP-ARCHIVE</x:v>
      </x:c>
      <x:c r="B14" s="7" t="str">
        <x:v>Poste de consignation proposé — carte proposée</x:v>
      </x:c>
      <x:c r="C14" s="15" t="str">
        <x:v>Défini</x:v>
      </x:c>
      <x:c r="D14" s="17" t="str">
        <x:v>Extrapolation</x:v>
      </x:c>
      <x:c r="E14" s="17" t="str">
        <x:v>P1</x:v>
      </x:c>
      <x:c r="F14" s="7" t="str">
        <x:v>Bloc de niveau original autour de Poste de consignation proposé. Le plan n’est pas fourni par la source.</x:v>
      </x:c>
      <x:c r="G14" s="7" t="str">
        <x:v>Décor 3D à caméra fixe et personnages sprites. Aire de soin, terminal de rapport et fenêtre sur la station.</x:v>
      </x:c>
      <x:c r="H14" s="7" t="str">
        <x:v>Confirmer les personnes et pièces de preuve restantes. Les passages importants restent accessibles en mode pause tactique.</x:v>
      </x:c>
      <x:c r="I14" s="7" t="str">
        <x:v>Éclairage stabilisé, matériel rangé, état de dommage persistant. Séparer sol praticable, couvert et fond par valeur lumineuse.</x:v>
      </x:c>
      <x:c r="J14" s="7" t="str">
        <x:v>Occlusion douce des parois devant le groupe ; portes synchronisées avec les collisions.</x:v>
      </x:c>
      <x:c r="K14" s="7" t="str">
        <x:v>Tension retenue, ventilation clinique et sons d’accès sobres. Un signal directionnel accompagne le danger local, doublé par une icône.</x:v>
      </x:c>
      <x:c r="L14" s="7" t="str">
        <x:v>maps/ret/archive.scene ; navmesh, colliders, ancrages d’entrée et sorties nommés.</x:v>
      </x:c>
      <x:c r="M14" s="7" t="str">
        <x:v>Aucun retour temporel dans le monde ; relecture via menu séparé.</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248c8bb55154c2d"/>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Retribution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RET-LNK-OMEGA</x:v>
      </x:c>
      <x:c r="B7" s="9" t="str">
        <x:v>Dépôt de préparation sur Omega — transition de module</x:v>
      </x:c>
      <x:c r="C7" s="15" t="str">
        <x:v>Défini</x:v>
      </x:c>
      <x:c r="D7" s="16" t="str">
        <x:v>Extrapolation</x:v>
      </x:c>
      <x:c r="E7" s="16" t="str">
        <x:v>P1</x:v>
      </x:c>
      <x:c r="F7" s="9" t="str">
        <x:v>Liaison de niveau proposée, sans prétendre établir une géographie officielle.</x:v>
      </x:c>
      <x:c r="G7" s="9" t="str">
        <x:v>Associer un point de départ dans Dépôt de préparation sur Omega au bloc Annexe résidentielle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links/ret.json : omega -&gt; apartment; sauvegarde avant transit, restauration à un ancrage sûr.</x:v>
      </x:c>
      <x:c r="M7" s="9" t="str">
        <x:v>Ne pas prolonger la présence de Liselle au-delà de sa fenêtre narrative.</x:v>
      </x:c>
      <x:c r="N7" s="9" t="str">
        <x:v>Le groupe arrive au bon ancrage après chargement ; aller-retour ne duplique ni objet ni dialogue.</x:v>
      </x:c>
      <x:c r="O7" s="9" t="str">
        <x:v>RET-MAP-OMEGA, RET-MAP-APARTMENT</x:v>
      </x:c>
      <x:c r="P7" s="9" t="str"/>
      <x:c r="Q7" s="9" t="str"/>
      <x:c r="R7" s="9" t="str"/>
      <x:c r="S7" s="9" t="str">
        <x:v>Boucle de parcours de production ; la dernière liaison sert à la consultation post-module, pas à remonter le temps.</x:v>
      </x:c>
    </x:row>
    <x:row r="8" ht="54" customHeight="1">
      <x:c r="A8" s="19" t="str">
        <x:v>RET-LNK-APARTMENT</x:v>
      </x:c>
      <x:c r="B8" s="7" t="str">
        <x:v>Annexe résidentielle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Annexe résidentielle proposée au bloc Bureau diplomatique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links/ret.json : apartment -&gt; diplomacy; sauvegarde avant transit, restauration à un ancrage sûr.</x:v>
      </x:c>
      <x:c r="M8" s="7" t="str">
        <x:v>Une capture narrative n’est pas annulée par la fouille.</x:v>
      </x:c>
      <x:c r="N8" s="7" t="str">
        <x:v>Le groupe arrive au bon ancrage après chargement ; aller-retour ne duplique ni objet ni dialogue.</x:v>
      </x:c>
      <x:c r="O8" s="7" t="str">
        <x:v>RET-MAP-APARTMENT, RET-MAP-DIPLOMACY</x:v>
      </x:c>
      <x:c r="P8" s="7" t="str"/>
      <x:c r="Q8" s="7" t="str"/>
      <x:c r="R8" s="7" t="str"/>
      <x:c r="S8" s="7" t="str">
        <x:v>Boucle de parcours de production ; la dernière liaison sert à la consultation post-module, pas à remonter le temps.</x:v>
      </x:c>
    </x:row>
    <x:row r="9" ht="54" customHeight="1">
      <x:c r="A9" s="18" t="str">
        <x:v>RET-LNK-DIPLOMACY</x:v>
      </x:c>
      <x:c r="B9" s="9" t="str">
        <x:v>Bureau diplomatique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Bureau diplomatique proposé au bloc Périmètre du laboratoire proposé;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links/ret.json : diplomacy -&gt; lab; sauvegarde avant transit, restauration à un ancrage sûr.</x:v>
      </x:c>
      <x:c r="M9" s="9" t="str">
        <x:v>Le soutien politique n’équivaut pas à une alliance générale inventée.</x:v>
      </x:c>
      <x:c r="N9" s="9" t="str">
        <x:v>Le groupe arrive au bon ancrage après chargement ; aller-retour ne duplique ni objet ni dialogue.</x:v>
      </x:c>
      <x:c r="O9" s="9" t="str">
        <x:v>RET-MAP-DIPLOMACY, RET-MAP-LAB</x:v>
      </x:c>
      <x:c r="P9" s="9" t="str"/>
      <x:c r="Q9" s="9" t="str"/>
      <x:c r="R9" s="9" t="str"/>
      <x:c r="S9" s="9" t="str">
        <x:v>Boucle de parcours de production ; la dernière liaison sert à la consultation post-module, pas à remonter le temps.</x:v>
      </x:c>
    </x:row>
    <x:row r="10" ht="68" customHeight="1">
      <x:c r="A10" s="19" t="str">
        <x:v>RET-LNK-LAB</x:v>
      </x:c>
      <x:c r="B10" s="7" t="str">
        <x:v>Périmètre du laboratoire proposé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Périmètre du laboratoire proposé au bloc Unité de confinement proposée;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links/ret.json : lab -&gt; hold; sauvegarde avant transit, restauration à un ancrage sûr.</x:v>
      </x:c>
      <x:c r="M10" s="7" t="str">
        <x:v>Aucune procédure réelle d’implantation n’est détaillée.</x:v>
      </x:c>
      <x:c r="N10" s="7" t="str">
        <x:v>Le groupe arrive au bon ancrage après chargement ; aller-retour ne duplique ni objet ni dialogue.</x:v>
      </x:c>
      <x:c r="O10" s="7" t="str">
        <x:v>RET-MAP-LAB, RET-MAP-HOLD</x:v>
      </x:c>
      <x:c r="P10" s="7" t="str"/>
      <x:c r="Q10" s="7" t="str"/>
      <x:c r="R10" s="7" t="str"/>
      <x:c r="S10" s="7" t="str">
        <x:v>Boucle de parcours de production ; la dernière liaison sert à la consultation post-module, pas à remonter le temps.</x:v>
      </x:c>
    </x:row>
    <x:row r="11" ht="54" customHeight="1">
      <x:c r="A11" s="18" t="str">
        <x:v>RET-LNK-HOLD</x:v>
      </x:c>
      <x:c r="B11" s="9" t="str">
        <x:v>Unité de confinement proposée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Unité de confinement proposée au bloc Navette sous tension;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links/ret.json : hold -&gt; transit; sauvegarde avant transit, restauration à un ancrage sûr.</x:v>
      </x:c>
      <x:c r="M11" s="9" t="str">
        <x:v>Grayson n’est pas guéri par une énigme technique.</x:v>
      </x:c>
      <x:c r="N11" s="9" t="str">
        <x:v>Le groupe arrive au bon ancrage après chargement ; aller-retour ne duplique ni objet ni dialogue.</x:v>
      </x:c>
      <x:c r="O11" s="9" t="str">
        <x:v>RET-MAP-HOLD, RET-MAP-TRANSIT</x:v>
      </x:c>
      <x:c r="P11" s="9" t="str"/>
      <x:c r="Q11" s="9" t="str"/>
      <x:c r="R11" s="9" t="str"/>
      <x:c r="S11" s="9" t="str">
        <x:v>Boucle de parcours de production ; la dernière liaison sert à la consultation post-module, pas à remonter le temps.</x:v>
      </x:c>
    </x:row>
    <x:row r="12" ht="54" customHeight="1">
      <x:c r="A12" s="19" t="str">
        <x:v>RET-LNK-TRANSIT</x:v>
      </x:c>
      <x:c r="B12" s="7" t="str">
        <x:v>Navette sous tension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Navette sous tension au bloc Couloir pédagogique en crise;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links/ret.json : transit -&gt; academy; sauvegarde avant transit, restauration à un ancrage sûr.</x:v>
      </x:c>
      <x:c r="M12" s="7" t="str">
        <x:v>La présence de chaque acteur suit la continuité.</x:v>
      </x:c>
      <x:c r="N12" s="7" t="str">
        <x:v>Le groupe arrive au bon ancrage après chargement ; aller-retour ne duplique ni objet ni dialogue.</x:v>
      </x:c>
      <x:c r="O12" s="7" t="str">
        <x:v>RET-MAP-TRANSIT, RET-MAP-ACADEMY</x:v>
      </x:c>
      <x:c r="P12" s="7" t="str"/>
      <x:c r="Q12" s="7" t="str"/>
      <x:c r="R12" s="7" t="str"/>
      <x:c r="S12" s="7" t="str">
        <x:v>Boucle de parcours de production ; la dernière liaison sert à la consultation post-module, pas à remonter le temps.</x:v>
      </x:c>
    </x:row>
    <x:row r="13" ht="54" customHeight="1">
      <x:c r="A13" s="18" t="str">
        <x:v>RET-LNK-ACADEMY</x:v>
      </x:c>
      <x:c r="B13" s="9" t="str">
        <x:v>Couloir pédagogique en crise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pédagogique en crise au bloc Poste de consignation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links/ret.json : academy -&gt; archive; sauvegarde avant transit, restauration à un ancrage sûr.</x:v>
      </x:c>
      <x:c r="M13" s="9" t="str">
        <x:v>Pas de massacre aléatoire utilisé comme difficulté.</x:v>
      </x:c>
      <x:c r="N13" s="9" t="str">
        <x:v>Le groupe arrive au bon ancrage après chargement ; aller-retour ne duplique ni objet ni dialogue.</x:v>
      </x:c>
      <x:c r="O13" s="9" t="str">
        <x:v>RET-MAP-ACADEMY, RET-MAP-ARCHIVE</x:v>
      </x:c>
      <x:c r="P13" s="9" t="str"/>
      <x:c r="Q13" s="9" t="str"/>
      <x:c r="R13" s="9" t="str"/>
      <x:c r="S13" s="9" t="str">
        <x:v>Boucle de parcours de production ; la dernière liaison sert à la consultation post-module, pas à remonter le temps.</x:v>
      </x:c>
    </x:row>
    <x:row r="14" ht="54" customHeight="1">
      <x:c r="A14" s="19" t="str">
        <x:v>RET-LNK-ARCHIVE</x:v>
      </x:c>
      <x:c r="B14" s="7" t="str">
        <x:v>Poste de consignation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Poste de consignation proposé au bloc Dépôt de préparation sur Omega;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links/ret.json : archive -&gt; omega; sauvegarde avant transit, restauration à un ancrage sûr.</x:v>
      </x:c>
      <x:c r="M14" s="7" t="str">
        <x:v>Aucun retour temporel dans le monde ; relecture via menu séparé.</x:v>
      </x:c>
      <x:c r="N14" s="7" t="str">
        <x:v>Le groupe arrive au bon ancrage après chargement ; aller-retour ne duplique ni objet ni dialogue.</x:v>
      </x:c>
      <x:c r="O14" s="7" t="str">
        <x:v>RET-MAP-ARCHIVE, RET-MAP-OMEGA</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bfeda69bd8d4a36"/>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Retribution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RET-SET-OMEGA</x:v>
      </x:c>
      <x:c r="B7" s="9" t="str">
        <x:v>Dépôt de préparation sur Omega — kit de décor</x:v>
      </x:c>
      <x:c r="C7" s="15" t="str">
        <x:v>Défini</x:v>
      </x:c>
      <x:c r="D7" s="16" t="str">
        <x:v>Extrapolation</x:v>
      </x:c>
      <x:c r="E7" s="16" t="str">
        <x:v>P1</x:v>
      </x:c>
      <x:c r="F7" s="9" t="str">
        <x:v>Production originale des éléments fixes de la carte liée.</x:v>
      </x:c>
      <x:c r="G7" s="9" t="str">
        <x:v>Matériel de récupération, lumière chaude basse, écran de mission original. Construire trois profondeurs de décor avec variantes intacte et perturbée si utiles.</x:v>
      </x:c>
      <x:c r="H7" s="9" t="str">
        <x:v>Le décor signale la règle : La surveillance d’une entrée oblige à vérifier l’autre.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assets/ret/sets/omega/ ; collider séparé du mesh et des ornements.</x:v>
      </x:c>
      <x:c r="M7" s="9" t="str">
        <x:v>Ne pas prolonger la présence de Liselle au-delà de sa fenêtre narrative.</x:v>
      </x:c>
      <x:c r="N7" s="9" t="str">
        <x:v>Aucun détail décoratif ne ressemble à tort à une porte ; vue complète vérifiée en petite résolution.</x:v>
      </x:c>
      <x:c r="O7" s="9" t="str">
        <x:v>RET-MAP-OMEGA</x:v>
      </x:c>
      <x:c r="P7" s="9" t="str"/>
      <x:c r="Q7" s="9" t="str"/>
      <x:c r="R7" s="9" t="str"/>
      <x:c r="S7" s="9" t="str"/>
    </x:row>
    <x:row r="8" ht="68" customHeight="1">
      <x:c r="A8" s="19" t="str">
        <x:v>RET-SET-APARTMENT</x:v>
      </x:c>
      <x:c r="B8" s="7" t="str">
        <x:v>Annexe résidentielle proposée — kit de décor</x:v>
      </x:c>
      <x:c r="C8" s="15" t="str">
        <x:v>Défini</x:v>
      </x:c>
      <x:c r="D8" s="17" t="str">
        <x:v>Extrapolation</x:v>
      </x:c>
      <x:c r="E8" s="17" t="str">
        <x:v>P1</x:v>
      </x:c>
      <x:c r="F8" s="7" t="str">
        <x:v>Production originale des éléments fixes de la carte liée.</x:v>
      </x:c>
      <x:c r="G8" s="7" t="str">
        <x:v>Traces de vie quotidienne sans reconstitution exhaustive du logement du livre. Construire trois profondeurs de décor avec variantes intacte et perturbée si utiles.</x:v>
      </x:c>
      <x:c r="H8" s="7" t="str">
        <x:v>Le décor signale la règle : Collecter des indices sans déplacer les preuves critiques.</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assets/ret/sets/apartment/ ; collider séparé du mesh et des ornements.</x:v>
      </x:c>
      <x:c r="M8" s="7" t="str">
        <x:v>Une capture narrative n’est pas annulée par la fouille.</x:v>
      </x:c>
      <x:c r="N8" s="7" t="str">
        <x:v>Aucun détail décoratif ne ressemble à tort à une porte ; vue complète vérifiée en petite résolution.</x:v>
      </x:c>
      <x:c r="O8" s="7" t="str">
        <x:v>RET-MAP-APARTMENT</x:v>
      </x:c>
      <x:c r="P8" s="7" t="str"/>
      <x:c r="Q8" s="7" t="str"/>
      <x:c r="R8" s="7" t="str"/>
      <x:c r="S8" s="7" t="str"/>
    </x:row>
    <x:row r="9" ht="54" customHeight="1">
      <x:c r="A9" s="18" t="str">
        <x:v>RET-SET-DIPLOMACY</x:v>
      </x:c>
      <x:c r="B9" s="9" t="str">
        <x:v>Bureau diplomatique proposé — kit de décor</x:v>
      </x:c>
      <x:c r="C9" s="15" t="str">
        <x:v>Défini</x:v>
      </x:c>
      <x:c r="D9" s="16" t="str">
        <x:v>Extrapolation</x:v>
      </x:c>
      <x:c r="E9" s="16" t="str">
        <x:v>P1</x:v>
      </x:c>
      <x:c r="F9" s="9" t="str">
        <x:v>Production originale des éléments fixes de la carte liée.</x:v>
      </x:c>
      <x:c r="G9" s="9" t="str">
        <x:v>Volumes calmes, écran de preuves, sièges adaptés aux silhouettes. Construire trois profondeurs de décor avec variantes intacte et perturbée si utiles.</x:v>
      </x:c>
      <x:c r="H9" s="9" t="str">
        <x:v>Le décor signale la règle : La cohérence du dossier conditionne la discussion.</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assets/ret/sets/diplomacy/ ; collider séparé du mesh et des ornements.</x:v>
      </x:c>
      <x:c r="M9" s="9" t="str">
        <x:v>Le soutien politique n’équivaut pas à une alliance générale inventée.</x:v>
      </x:c>
      <x:c r="N9" s="9" t="str">
        <x:v>Aucun détail décoratif ne ressemble à tort à une porte ; vue complète vérifiée en petite résolution.</x:v>
      </x:c>
      <x:c r="O9" s="9" t="str">
        <x:v>RET-MAP-DIPLOMACY</x:v>
      </x:c>
      <x:c r="P9" s="9" t="str"/>
      <x:c r="Q9" s="9" t="str"/>
      <x:c r="R9" s="9" t="str"/>
      <x:c r="S9" s="9" t="str"/>
    </x:row>
    <x:row r="10" ht="54" customHeight="1">
      <x:c r="A10" s="19" t="str">
        <x:v>RET-SET-LAB</x:v>
      </x:c>
      <x:c r="B10" s="7" t="str">
        <x:v>Périmètre du laboratoire proposé — kit de décor</x:v>
      </x:c>
      <x:c r="C10" s="15" t="str">
        <x:v>Défini</x:v>
      </x:c>
      <x:c r="D10" s="17" t="str">
        <x:v>Extrapolation</x:v>
      </x:c>
      <x:c r="E10" s="17" t="str">
        <x:v>P1</x:v>
      </x:c>
      <x:c r="F10" s="7" t="str">
        <x:v>Production originale des éléments fixes de la carte liée.</x:v>
      </x:c>
      <x:c r="G10" s="7" t="str">
        <x:v>Blanc clinique, contrastes froids, zones opaques pour préserver la tension. Construire trois profondeurs de décor avec variantes intacte et perturbée si utiles.</x:v>
      </x:c>
      <x:c r="H10" s="7" t="str">
        <x:v>Le décor signale la règle : Les portes de confinement découpent le terrain.</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assets/ret/sets/lab/ ; collider séparé du mesh et des ornements.</x:v>
      </x:c>
      <x:c r="M10" s="7" t="str">
        <x:v>Aucune procédure réelle d’implantation n’est détaillée.</x:v>
      </x:c>
      <x:c r="N10" s="7" t="str">
        <x:v>Aucun détail décoratif ne ressemble à tort à une porte ; vue complète vérifiée en petite résolution.</x:v>
      </x:c>
      <x:c r="O10" s="7" t="str">
        <x:v>RET-MAP-LAB</x:v>
      </x:c>
      <x:c r="P10" s="7" t="str"/>
      <x:c r="Q10" s="7" t="str"/>
      <x:c r="R10" s="7" t="str"/>
      <x:c r="S10" s="7" t="str"/>
    </x:row>
    <x:row r="11" ht="54" customHeight="1">
      <x:c r="A11" s="18" t="str">
        <x:v>RET-SET-HOLD</x:v>
      </x:c>
      <x:c r="B11" s="9" t="str">
        <x:v>Unité de confinement proposée — kit de décor</x:v>
      </x:c>
      <x:c r="C11" s="15" t="str">
        <x:v>Défini</x:v>
      </x:c>
      <x:c r="D11" s="16" t="str">
        <x:v>Extrapolation</x:v>
      </x:c>
      <x:c r="E11" s="16" t="str">
        <x:v>P1</x:v>
      </x:c>
      <x:c r="F11" s="9" t="str">
        <x:v>Production originale des éléments fixes de la carte liée.</x:v>
      </x:c>
      <x:c r="G11" s="9" t="str">
        <x:v>Verre épais, câblage abstrait, signaux de diagnostic incomplets. Construire trois profondeurs de décor avec variantes intacte et perturbée si utiles.</x:v>
      </x:c>
      <x:c r="H11" s="9" t="str">
        <x:v>Le décor signale la règle : Une panne impose de choisir l’ordre des interventions.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assets/ret/sets/hold/ ; collider séparé du mesh et des ornements.</x:v>
      </x:c>
      <x:c r="M11" s="9" t="str">
        <x:v>Grayson n’est pas guéri par une énigme technique.</x:v>
      </x:c>
      <x:c r="N11" s="9" t="str">
        <x:v>Aucun détail décoratif ne ressemble à tort à une porte ; vue complète vérifiée en petite résolution.</x:v>
      </x:c>
      <x:c r="O11" s="9" t="str">
        <x:v>RET-MAP-HOLD</x:v>
      </x:c>
      <x:c r="P11" s="9" t="str"/>
      <x:c r="Q11" s="9" t="str"/>
      <x:c r="R11" s="9" t="str"/>
      <x:c r="S11" s="9" t="str"/>
    </x:row>
    <x:row r="12" ht="54" customHeight="1">
      <x:c r="A12" s="19" t="str">
        <x:v>RET-SET-TRANSIT</x:v>
      </x:c>
      <x:c r="B12" s="7" t="str">
        <x:v>Navette sous tension — kit de décor</x:v>
      </x:c>
      <x:c r="C12" s="15" t="str">
        <x:v>Défini</x:v>
      </x:c>
      <x:c r="D12" s="17" t="str">
        <x:v>Extrapolation</x:v>
      </x:c>
      <x:c r="E12" s="17" t="str">
        <x:v>P1</x:v>
      </x:c>
      <x:c r="F12" s="7" t="str">
        <x:v>Production originale des éléments fixes de la carte liée.</x:v>
      </x:c>
      <x:c r="G12" s="7" t="str">
        <x:v>Sangles, balises de route et éclairage de transit. Construire trois profondeurs de décor avec variantes intacte et perturbée si utiles.</x:v>
      </x:c>
      <x:c r="H12" s="7" t="str">
        <x:v>Le décor signale la règle : Déplacement restreint pendant une phase de communication.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assets/ret/sets/transit/ ; collider séparé du mesh et des ornements.</x:v>
      </x:c>
      <x:c r="M12" s="7" t="str">
        <x:v>La présence de chaque acteur suit la continuité.</x:v>
      </x:c>
      <x:c r="N12" s="7" t="str">
        <x:v>Aucun détail décoratif ne ressemble à tort à une porte ; vue complète vérifiée en petite résolution.</x:v>
      </x:c>
      <x:c r="O12" s="7" t="str">
        <x:v>RET-MAP-TRANSIT</x:v>
      </x:c>
      <x:c r="P12" s="7" t="str"/>
      <x:c r="Q12" s="7" t="str"/>
      <x:c r="R12" s="7" t="str"/>
      <x:c r="S12" s="7" t="str"/>
    </x:row>
    <x:row r="13" ht="54" customHeight="1">
      <x:c r="A13" s="18" t="str">
        <x:v>RET-SET-ACADEMY</x:v>
      </x:c>
      <x:c r="B13" s="9" t="str">
        <x:v>Couloir pédagogique en crise — kit de décor</x:v>
      </x:c>
      <x:c r="C13" s="15" t="str">
        <x:v>Défini</x:v>
      </x:c>
      <x:c r="D13" s="16" t="str">
        <x:v>Extrapolation</x:v>
      </x:c>
      <x:c r="E13" s="16" t="str">
        <x:v>P1</x:v>
      </x:c>
      <x:c r="F13" s="9" t="str">
        <x:v>Production originale des éléments fixes de la carte liée.</x:v>
      </x:c>
      <x:c r="G13" s="9" t="str">
        <x:v>Mobilier d’école et travaux d’élèves distingués des barricades. Construire trois profondeurs de décor avec variantes intacte et perturbée si utiles.</x:v>
      </x:c>
      <x:c r="H13" s="9" t="str">
        <x:v>Le décor signale la règle : Évacuer vers les salles sûres avant toute poursuite.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assets/ret/sets/academy/ ; collider séparé du mesh et des ornements.</x:v>
      </x:c>
      <x:c r="M13" s="9" t="str">
        <x:v>Pas de massacre aléatoire utilisé comme difficulté.</x:v>
      </x:c>
      <x:c r="N13" s="9" t="str">
        <x:v>Aucun détail décoratif ne ressemble à tort à une porte ; vue complète vérifiée en petite résolution.</x:v>
      </x:c>
      <x:c r="O13" s="9" t="str">
        <x:v>RET-MAP-ACADEMY</x:v>
      </x:c>
      <x:c r="P13" s="9" t="str"/>
      <x:c r="Q13" s="9" t="str"/>
      <x:c r="R13" s="9" t="str"/>
      <x:c r="S13" s="9" t="str"/>
    </x:row>
    <x:row r="14" ht="54" customHeight="1">
      <x:c r="A14" s="19" t="str">
        <x:v>RET-SET-ARCHIVE</x:v>
      </x:c>
      <x:c r="B14" s="7" t="str">
        <x:v>Poste de consignation proposé — kit de décor</x:v>
      </x:c>
      <x:c r="C14" s="15" t="str">
        <x:v>Défini</x:v>
      </x:c>
      <x:c r="D14" s="17" t="str">
        <x:v>Extrapolation</x:v>
      </x:c>
      <x:c r="E14" s="17" t="str">
        <x:v>P1</x:v>
      </x:c>
      <x:c r="F14" s="7" t="str">
        <x:v>Production originale des éléments fixes de la carte liée.</x:v>
      </x:c>
      <x:c r="G14" s="7" t="str">
        <x:v>Éclairage stabilisé, matériel rangé, état de dommage persistant. Construire trois profondeurs de décor avec variantes intacte et perturbée si utiles.</x:v>
      </x:c>
      <x:c r="H14" s="7" t="str">
        <x:v>Le décor signale la règle : Confirmer les personnes et pièces de preuve restantes.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assets/ret/sets/archive/ ; collider séparé du mesh et des ornements.</x:v>
      </x:c>
      <x:c r="M14" s="7" t="str">
        <x:v>Aucun retour temporel dans le monde ; relecture via menu séparé.</x:v>
      </x:c>
      <x:c r="N14" s="7" t="str">
        <x:v>Aucun détail décoratif ne ressemble à tort à une porte ; vue complète vérifiée en petite résolution.</x:v>
      </x:c>
      <x:c r="O14" s="7" t="str">
        <x:v>RET-MAP-ARCHIVE</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f1558f5defa45fb"/>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Retribution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RET-REF-REDSAND</x:v>
      </x:c>
      <x:c r="B7" s="9" t="str">
        <x:v>Sable rouge</x:v>
      </x:c>
      <x:c r="C7" s="15" t="str">
        <x:v>Défini</x:v>
      </x:c>
      <x:c r="D7" s="16" t="str">
        <x:v>Établi</x:v>
      </x:c>
      <x:c r="E7" s="16" t="str">
        <x:v>P1</x:v>
      </x:c>
      <x:c r="F7" s="9" t="str">
        <x:v>Kai Leng l’utilise pour affaiblir la résistance de Grayson.</x:v>
      </x:c>
      <x:c r="G7" s="9" t="str">
        <x:v>Ancrage documentaire du module ; aucune statistique officielle inférée.</x:v>
      </x:c>
      <x:c r="H7" s="9" t="str"/>
      <x:c r="I7" s="9" t="str"/>
      <x:c r="J7" s="9" t="str"/>
      <x:c r="K7" s="9" t="str"/>
      <x:c r="L7" s="9" t="str">
        <x:v>Codex ref.ret.redsand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x:v>
      </x:c>
    </x:row>
    <x:row r="8" ht="68" customHeight="1">
      <x:c r="A8" s="19" t="str">
        <x:v>RET-REF-DOSSIER</x:v>
      </x:c>
      <x:c r="B8" s="7" t="str">
        <x:v>Preuves sur Grayson</x:v>
      </x:c>
      <x:c r="C8" s="15" t="str">
        <x:v>Défini</x:v>
      </x:c>
      <x:c r="D8" s="17" t="str">
        <x:v>Établi</x:v>
      </x:c>
      <x:c r="E8" s="17" t="str">
        <x:v>P1</x:v>
      </x:c>
      <x:c r="F8" s="7" t="str">
        <x:v>La recherche de Kahlee vise à retrouver le lieu de son expérimentation.</x:v>
      </x:c>
      <x:c r="G8" s="7" t="str">
        <x:v>Ancrage documentaire du module ; aucune statistique officielle inférée.</x:v>
      </x:c>
      <x:c r="H8" s="7" t="str"/>
      <x:c r="I8" s="7" t="str"/>
      <x:c r="J8" s="7" t="str"/>
      <x:c r="K8" s="7" t="str"/>
      <x:c r="L8" s="7" t="str">
        <x:v>Codex ref.ret.dossier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RET-SRC-PUB</x:v>
      </x:c>
      <x:c r="R8" s="7" t="str">
        <x:v>https://www.penguinrandomhouse.com/books/200767/mass-effect-retribution-by-drew-karpyshyn/paperback/</x:v>
      </x:c>
      <x:c r="S8" s="7" t="str">
        <x:v>Ce relevé n’est ni un inventaire exhaustif ni un résumé scène par scène.</x:v>
      </x:c>
    </x:row>
  </x:sheetData>
  <x:conditionalFormatting sqref="D7:D8">
    <x:cfRule type="cellIs" dxfId="28" priority="1" operator="equal">
      <x:formula>"À vérifier"</x:formula>
    </x:cfRule>
    <x:cfRule type="cellIs" dxfId="29" priority="2" operator="equal">
      <x:formula>"Extrapolation"</x:formula>
    </x:cfRule>
  </x:conditionalFormatting>
  <x:conditionalFormatting sqref="C7:C8">
    <x:cfRule type="cellIs" dxfId="30" priority="3" operator="equal">
      <x:formula>"Validé"</x:formula>
    </x:cfRule>
  </x:conditionalFormatting>
  <x:conditionalFormatting sqref="E7:E8">
    <x:cfRule type="cellIs" dxfId="3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5296e988a87242be"/>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Retribution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RET-ENC-CERB</x:v>
      </x:c>
      <x:c r="B7" s="9" t="str">
        <x:v>Équipe de capture proposée</x:v>
      </x:c>
      <x:c r="C7" s="15" t="str">
        <x:v>Défini</x:v>
      </x:c>
      <x:c r="D7" s="16" t="str">
        <x:v>Extrapolation</x:v>
      </x:c>
      <x:c r="E7" s="16" t="str">
        <x:v>P1</x:v>
      </x:c>
      <x:c r="F7" s="9" t="str">
        <x:v>Rencontre originale proposée : Opposition Cerberus originale autour d’une zone annexe.</x:v>
      </x:c>
      <x:c r="G7" s="9" t="str">
        <x:v>Opposition ou crise scénarisée pour le groupe ; ne pas attribuer au roman une barre de vie ou un rang de boss.</x:v>
      </x:c>
      <x:c r="H7" s="9" t="str">
        <x:v>Un opérateur marque la cible pendant que deux silhouettes contrôlent les sorties. Réponse du joueur : Briser la ligne de marquage et ouvrir une sortie secondaire.</x:v>
      </x:c>
      <x:c r="I7" s="9" t="str">
        <x:v>Marqueur de poursuite et mouvement vers les issues.</x:v>
      </x:c>
      <x:c r="J7" s="9" t="str">
        <x:v>Anticipation identifiable, action, récupération exploitable ; variante de sortie non létale lorsque pertinente.</x:v>
      </x:c>
      <x:c r="K7" s="9" t="str">
        <x:v>Motif de danger spécifique, sous-titre bref et avertissement visuel.</x:v>
      </x:c>
      <x:c r="L7" s="9" t="str">
        <x:v>encounters/ret/cerb.json ; activer seulement dans les zones prévues.</x:v>
      </x:c>
      <x:c r="M7" s="9" t="str">
        <x:v>Préserver le parcours de Grayson et les états nécessaires à Deception et ME3. Les rencontres proposées n’offrent ni guérison canonique de Grayson ni élimination définitive de Kai Leng.</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68" customHeight="1">
      <x:c r="A8" s="19" t="str">
        <x:v>RET-ENC-LENG</x:v>
      </x:c>
      <x:c r="B8" s="7" t="str">
        <x:v>Kai Leng — contrôle d’accès proposé</x:v>
      </x:c>
      <x:c r="C8" s="15" t="str">
        <x:v>Défini</x:v>
      </x:c>
      <x:c r="D8" s="17" t="str">
        <x:v>Extrapolation</x:v>
      </x:c>
      <x:c r="E8" s="17" t="str">
        <x:v>P1</x:v>
      </x:c>
      <x:c r="F8" s="7" t="str">
        <x:v>Rencontre originale proposée : Segment de boss sans mort définitive ajoutée.</x:v>
      </x:c>
      <x:c r="G8" s="7" t="str">
        <x:v>Opposition ou crise scénarisée pour le groupe ; ne pas attribuer au roman une barre de vie ou un rang de boss.</x:v>
      </x:c>
      <x:c r="H8" s="7" t="str">
        <x:v>Feinte de déplacement puis verrouillage d’un objectif de sortie. Réponse du joueur : Protéger l’objectif plutôt que poursuivre son ombre.</x:v>
      </x:c>
      <x:c r="I8" s="7" t="str">
        <x:v>Variation de posture et indicateur de la porte menacée.</x:v>
      </x:c>
      <x:c r="J8" s="7" t="str">
        <x:v>Anticipation identifiable, action, récupération exploitable ; variante de sortie non létale lorsque pertinente.</x:v>
      </x:c>
      <x:c r="K8" s="7" t="str">
        <x:v>Motif de danger spécifique, sous-titre bref et avertissement visuel.</x:v>
      </x:c>
      <x:c r="L8" s="7" t="str">
        <x:v>encounters/ret/leng.json ; activer seulement dans les zones prévues.</x:v>
      </x:c>
      <x:c r="M8" s="7" t="str">
        <x:v>Préserver le parcours de Grayson et les états nécessaires à Deception et ME3. Les rencontres proposées n’offrent ni guérison canonique de Grayson ni élimination définitive de Kai Leng.</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68" customHeight="1">
      <x:c r="A9" s="18" t="str">
        <x:v>RET-ENC-REAPER</x:v>
      </x:c>
      <x:c r="B9" s="9" t="str">
        <x:v>Pression du contrôle moissonneur</x:v>
      </x:c>
      <x:c r="C9" s="15" t="str">
        <x:v>Défini</x:v>
      </x:c>
      <x:c r="D9" s="16" t="str">
        <x:v>Extrapolation</x:v>
      </x:c>
      <x:c r="E9" s="16" t="str">
        <x:v>P1</x:v>
      </x:c>
      <x:c r="F9" s="9" t="str">
        <x:v>Rencontre originale proposée : Crise scénarisée proposée, pas une capacité officielle chiffrée.</x:v>
      </x:c>
      <x:c r="G9" s="9" t="str">
        <x:v>Opposition ou crise scénarisée pour le groupe ; ne pas attribuer au roman une barre de vie ou un rang de boss.</x:v>
      </x:c>
      <x:c r="H9" s="9" t="str">
        <x:v>Trouble la lecture d’un indice et pousse à confirmer par un allié. Réponse du joueur : Comparer au relevé externe et suspendre une décision irréversible.</x:v>
      </x:c>
      <x:c r="I9" s="9" t="str">
        <x:v>Double affichage explicitement identifié comme perception incertaine.</x:v>
      </x:c>
      <x:c r="J9" s="9" t="str">
        <x:v>Anticipation identifiable, action, récupération exploitable ; variante de sortie non létale lorsque pertinente.</x:v>
      </x:c>
      <x:c r="K9" s="9" t="str">
        <x:v>Motif de danger spécifique, sous-titre bref et avertissement visuel.</x:v>
      </x:c>
      <x:c r="L9" s="9" t="str">
        <x:v>encounters/ret/reaper.json ; activer seulement dans les zones prévues.</x:v>
      </x:c>
      <x:c r="M9" s="9" t="str">
        <x:v>Préserver le parcours de Grayson et les états nécessaires à Deception et ME3. Les rencontres proposées n’offrent ni guérison canonique de Grayson ni élimination définitive de Kai Leng.</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68" customHeight="1">
      <x:c r="A10" s="19" t="str">
        <x:v>RET-ENC-LOCKDOWN</x:v>
      </x:c>
      <x:c r="B10" s="7" t="str">
        <x:v>Confinement en chaîne</x:v>
      </x:c>
      <x:c r="C10" s="15" t="str">
        <x:v>Défini</x:v>
      </x:c>
      <x:c r="D10" s="17" t="str">
        <x:v>Extrapolation</x:v>
      </x:c>
      <x:c r="E10" s="17" t="str">
        <x:v>P1</x:v>
      </x:c>
      <x:c r="F10" s="7" t="str">
        <x:v>Rencontre originale proposée : Boss environnemental original dans le périmètre du laboratoire.</x:v>
      </x:c>
      <x:c r="G10" s="7" t="str">
        <x:v>Opposition ou crise scénarisée pour le groupe ; ne pas attribuer au roman une barre de vie ou un rang de boss.</x:v>
      </x:c>
      <x:c r="H10" s="7" t="str">
        <x:v>Ferme deux routes et force la redistribution d’énergie. Réponse du joueur : Conserver un chemin ouvert et basculer le circuit de secours.</x:v>
      </x:c>
      <x:c r="I10" s="7" t="str">
        <x:v>Séquence de voyants numérotés au-dessus des sas.</x:v>
      </x:c>
      <x:c r="J10" s="7" t="str">
        <x:v>Anticipation identifiable, action, récupération exploitable ; variante de sortie non létale lorsque pertinente.</x:v>
      </x:c>
      <x:c r="K10" s="7" t="str">
        <x:v>Motif de danger spécifique, sous-titre bref et avertissement visuel.</x:v>
      </x:c>
      <x:c r="L10" s="7" t="str">
        <x:v>encounters/ret/lockdown.json ; activer seulement dans les zones prévues.</x:v>
      </x:c>
      <x:c r="M10" s="7" t="str">
        <x:v>Préserver le parcours de Grayson et les états nécessaires à Deception et ME3. Les rencontres proposées n’offrent ni guérison canonique de Grayson ni élimination définitive de Kai Leng.</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7b59be9d6e3d41d8"/>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Retribution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RET-MIS-CONTRACT</x:v>
      </x:c>
      <x:c r="B7" s="9" t="str">
        <x:v>Évaluer un trajet de mission</x:v>
      </x:c>
      <x:c r="C7" s="15" t="str">
        <x:v>Défini</x:v>
      </x:c>
      <x:c r="D7" s="16" t="str">
        <x:v>Extrapolation</x:v>
      </x:c>
      <x:c r="E7" s="16" t="str">
        <x:v>P0</x:v>
      </x:c>
      <x:c r="F7" s="9" t="str">
        <x:v>Mission originale d’adaptation, inspirée d’un enjeu général de l’œuvre.</x:v>
      </x:c>
      <x:c r="G7" s="9" t="str">
        <x:v>Établir un itinéraire prudent pour une opération locale originale sur Omega.</x:v>
      </x:c>
      <x:c r="H7" s="9" t="str">
        <x:v>Comparer trois accès proposés selon visibilité, sortie et matériel disponible.</x:v>
      </x:c>
      <x:c r="I7" s="9" t="str">
        <x:v>Objectif spatial associé à Dépôt de préparation sur Omega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quests/ret/contract.json ; états offered/active/resolved ; clés de progression propres au module.</x:v>
      </x:c>
      <x:c r="M7" s="9" t="str">
        <x:v>Ne pas attribuer à Grayson un savoir qu’il n’a pas encore.</x:v>
      </x:c>
      <x:c r="N7" s="9" t="str">
        <x:v>Le joueur peut accomplir « Établir un itinéraire prudent pour une opération locale originale sur Omega. » et la sortie confirme le résultat ; Ne pas attribuer à Grayson un savoir qu’il n’a pas encore.</x:v>
      </x:c>
      <x:c r="O7" s="9" t="str">
        <x:v>RET-MAP-OMEGA</x:v>
      </x:c>
      <x:c r="P7" s="9" t="str"/>
      <x:c r="Q7" s="9" t="str"/>
      <x:c r="R7" s="9" t="str"/>
      <x:c r="S7" s="9" t="str"/>
    </x:row>
    <x:row r="8" ht="68" customHeight="1">
      <x:c r="A8" s="19" t="str">
        <x:v>RET-MIS-MISSING</x:v>
      </x:c>
      <x:c r="B8" s="7" t="str">
        <x:v>Vérifier une disparition</x:v>
      </x:c>
      <x:c r="C8" s="15" t="str">
        <x:v>Défini</x:v>
      </x:c>
      <x:c r="D8" s="17" t="str">
        <x:v>Extrapolation</x:v>
      </x:c>
      <x:c r="E8" s="17" t="str">
        <x:v>P0</x:v>
      </x:c>
      <x:c r="F8" s="7" t="str">
        <x:v>Mission originale d’adaptation, inspirée d’un enjeu général de l’œuvre.</x:v>
      </x:c>
      <x:c r="G8" s="7" t="str">
        <x:v>Assembler un dossier bref à partir d’une annexe résidentielle.</x:v>
      </x:c>
      <x:c r="H8" s="7" t="str">
        <x:v>Relier un accès forcé, une communication interrompue et un déplacement constaté.</x:v>
      </x:c>
      <x:c r="I8" s="7" t="str">
        <x:v>Objectif spatial associé à Annexe résidentielle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quests/ret/missing.json ; états offered/active/resolved ; clés de progression propres au module.</x:v>
      </x:c>
      <x:c r="M8" s="7" t="str">
        <x:v>La capture de Grayson demeure un fait du récit.</x:v>
      </x:c>
      <x:c r="N8" s="7" t="str">
        <x:v>Le joueur peut accomplir « Assembler un dossier bref à partir d’une annexe résidentielle. » et la sortie confirme le résultat ; La capture de Grayson demeure un fait du récit.</x:v>
      </x:c>
      <x:c r="O8" s="7" t="str">
        <x:v>RET-MAP-APARTMENT</x:v>
      </x:c>
      <x:c r="P8" s="7" t="str"/>
      <x:c r="Q8" s="7" t="str"/>
      <x:c r="R8" s="7" t="str"/>
      <x:c r="S8" s="7" t="str"/>
    </x:row>
    <x:row r="9" ht="68" customHeight="1">
      <x:c r="A9" s="18" t="str">
        <x:v>RET-MIS-HELP</x:v>
      </x:c>
      <x:c r="B9" s="9" t="str">
        <x:v>Obtenir une assistance motivée</x:v>
      </x:c>
      <x:c r="C9" s="15" t="str">
        <x:v>Défini</x:v>
      </x:c>
      <x:c r="D9" s="16" t="str">
        <x:v>Extrapolation</x:v>
      </x:c>
      <x:c r="E9" s="16" t="str">
        <x:v>P0</x:v>
      </x:c>
      <x:c r="F9" s="9" t="str">
        <x:v>Mission originale d’adaptation, inspirée d’un enjeu général de l’œuvre.</x:v>
      </x:c>
      <x:c r="G9" s="9" t="str">
        <x:v>Présenter à un interlocuteur les éléments utiles au sauvetage.</x:v>
      </x:c>
      <x:c r="H9" s="9" t="str">
        <x:v>Ordonner les preuves selon fiabilité, puis répondre à une objection.</x:v>
      </x:c>
      <x:c r="I9" s="9" t="str">
        <x:v>Objectif spatial associé à Bureau diplomatique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quests/ret/help.json ; états offered/active/resolved ; clés de progression propres au module.</x:v>
      </x:c>
      <x:c r="M9" s="9" t="str">
        <x:v>Le rôle d’Orinia reste limité à ce qui est attesté.</x:v>
      </x:c>
      <x:c r="N9" s="9" t="str">
        <x:v>Le joueur peut accomplir « Présenter à un interlocuteur les éléments utiles au sauvetage. » et la sortie confirme le résultat ; Le rôle d’Orinia reste limité à ce qui est attesté.</x:v>
      </x:c>
      <x:c r="O9" s="9" t="str">
        <x:v>RET-MAP-DIPLOMACY</x:v>
      </x:c>
      <x:c r="P9" s="9" t="str"/>
      <x:c r="Q9" s="9" t="str"/>
      <x:c r="R9" s="9" t="str"/>
      <x:c r="S9" s="9" t="str"/>
    </x:row>
    <x:row r="10" ht="68" customHeight="1">
      <x:c r="A10" s="19" t="str">
        <x:v>RET-MIS-ACCESS</x:v>
      </x:c>
      <x:c r="B10" s="7" t="str">
        <x:v>Ouvrir une voie d’approche</x:v>
      </x:c>
      <x:c r="C10" s="15" t="str">
        <x:v>Défini</x:v>
      </x:c>
      <x:c r="D10" s="17" t="str">
        <x:v>Extrapolation</x:v>
      </x:c>
      <x:c r="E10" s="17" t="str">
        <x:v>P0</x:v>
      </x:c>
      <x:c r="F10" s="7" t="str">
        <x:v>Mission originale d’adaptation, inspirée d’un enjeu général de l’œuvre.</x:v>
      </x:c>
      <x:c r="G10" s="7" t="str">
        <x:v>Créer un passage technique vers un périmètre proposé de Cerberus.</x:v>
      </x:c>
      <x:c r="H10" s="7" t="str">
        <x:v>Observer ronde, relayer l’alimentation puis franchir sans alerter toute l’installation.</x:v>
      </x:c>
      <x:c r="I10" s="7" t="str">
        <x:v>Objectif spatial associé à Périmètre du laboratoire proposé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quests/ret/access.json ; états offered/active/resolved ; clés de progression propres au module.</x:v>
      </x:c>
      <x:c r="M10" s="7" t="str">
        <x:v>L’organisation des salles est une création de niveau.</x:v>
      </x:c>
      <x:c r="N10" s="7" t="str">
        <x:v>Le joueur peut accomplir « Créer un passage technique vers un périmètre proposé de Cerberus. » et la sortie confirme le résultat ; L’organisation des salles est une création de niveau.</x:v>
      </x:c>
      <x:c r="O10" s="7" t="str">
        <x:v>RET-MAP-LAB</x:v>
      </x:c>
      <x:c r="P10" s="7" t="str"/>
      <x:c r="Q10" s="7" t="str"/>
      <x:c r="R10" s="7" t="str"/>
      <x:c r="S10" s="7" t="str"/>
    </x:row>
    <x:row r="11" ht="68" customHeight="1">
      <x:c r="A11" s="18" t="str">
        <x:v>RET-MIS-OBSERVE</x:v>
      </x:c>
      <x:c r="B11" s="9" t="str">
        <x:v>Distinguer signal et illusion</x:v>
      </x:c>
      <x:c r="C11" s="15" t="str">
        <x:v>Défini</x:v>
      </x:c>
      <x:c r="D11" s="16" t="str">
        <x:v>Extrapolation</x:v>
      </x:c>
      <x:c r="E11" s="16" t="str">
        <x:v>P0</x:v>
      </x:c>
      <x:c r="F11" s="9" t="str">
        <x:v>Mission originale d’adaptation, inspirée d’un enjeu général de l’œuvre.</x:v>
      </x:c>
      <x:c r="G11" s="9" t="str">
        <x:v>Lire des informations contradictoires dans une séquence subjective proposée.</x:v>
      </x:c>
      <x:c r="H11" s="9" t="str">
        <x:v>Comparer perception du personnage et mesures externes ; le journal garde les deux sans trancher trop tôt.</x:v>
      </x:c>
      <x:c r="I11" s="9" t="str">
        <x:v>Objectif spatial associé à Unité de confinement proposée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quests/ret/observe.json ; états offered/active/resolved ; clés de progression propres au module.</x:v>
      </x:c>
      <x:c r="M11" s="9" t="str">
        <x:v>Aucune option ne supprime définitivement le contrôle des Moissonneurs.</x:v>
      </x:c>
      <x:c r="N11" s="9" t="str">
        <x:v>Le joueur peut accomplir « Lire des informations contradictoires dans une séquence subjective proposée. » et la sortie confirme le résultat ; Aucune option ne supprime définitivement le contrôle des Moissonneurs.</x:v>
      </x:c>
      <x:c r="O11" s="9" t="str">
        <x:v>RET-MAP-HOLD</x:v>
      </x:c>
      <x:c r="P11" s="9" t="str"/>
      <x:c r="Q11" s="9" t="str"/>
      <x:c r="R11" s="9" t="str"/>
      <x:c r="S11" s="9" t="str"/>
    </x:row>
    <x:row r="12" ht="68" customHeight="1">
      <x:c r="A12" s="19" t="str">
        <x:v>RET-MIS-UNEASY</x:v>
      </x:c>
      <x:c r="B12" s="7" t="str">
        <x:v>Maintenir une coopération provisoire</x:v>
      </x:c>
      <x:c r="C12" s="15" t="str">
        <x:v>Défini</x:v>
      </x:c>
      <x:c r="D12" s="17" t="str">
        <x:v>Extrapolation</x:v>
      </x:c>
      <x:c r="E12" s="17" t="str">
        <x:v>P0</x:v>
      </x:c>
      <x:c r="F12" s="7" t="str">
        <x:v>Mission originale d’adaptation, inspirée d’un enjeu général de l’œuvre.</x:v>
      </x:c>
      <x:c r="G12" s="7" t="str">
        <x:v>Coordonner des acteurs dont les objectifs divergent pendant un transit.</x:v>
      </x:c>
      <x:c r="H12" s="7" t="str">
        <x:v>Définir qui surveille, qui pilote et qui vérifie la destination ; choix locaux réversibles.</x:v>
      </x:c>
      <x:c r="I12" s="7" t="str">
        <x:v>Objectif spatial associé à Navette sous tension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quests/ret/uneasy.json ; états offered/active/resolved ; clés de progression propres au module.</x:v>
      </x:c>
      <x:c r="M12" s="7" t="str">
        <x:v>Kai Leng n’est pas converti en compagnon fidèle.</x:v>
      </x:c>
      <x:c r="N12" s="7" t="str">
        <x:v>Le joueur peut accomplir « Coordonner des acteurs dont les objectifs divergent pendant un transit. » et la sortie confirme le résultat ; Kai Leng n’est pas converti en compagnon fidèle.</x:v>
      </x:c>
      <x:c r="O12" s="7" t="str">
        <x:v>RET-MAP-TRANSIT</x:v>
      </x:c>
      <x:c r="P12" s="7" t="str"/>
      <x:c r="Q12" s="7" t="str"/>
      <x:c r="R12" s="7" t="str"/>
      <x:c r="S12" s="7" t="str"/>
    </x:row>
    <x:row r="13" ht="68" customHeight="1">
      <x:c r="A13" s="18" t="str">
        <x:v>RET-MIS-SHELTER</x:v>
      </x:c>
      <x:c r="B13" s="9" t="str">
        <x:v>Garder l’académie ouverte aux secours</x:v>
      </x:c>
      <x:c r="C13" s="15" t="str">
        <x:v>Défini</x:v>
      </x:c>
      <x:c r="D13" s="16" t="str">
        <x:v>Extrapolation</x:v>
      </x:c>
      <x:c r="E13" s="16" t="str">
        <x:v>P0</x:v>
      </x:c>
      <x:c r="F13" s="9" t="str">
        <x:v>Mission originale d’adaptation, inspirée d’un enjeu général de l’œuvre.</x:v>
      </x:c>
      <x:c r="G13" s="9" t="str">
        <x:v>Créer une route de protection pour des élèves dans un secteur original.</x:v>
      </x:c>
      <x:c r="H13" s="9" t="str">
        <x:v>Couvrir les portes, guider les groupes et tenir le point de soins.</x:v>
      </x:c>
      <x:c r="I13" s="9" t="str">
        <x:v>Objectif spatial associé à Couloir pédagogique en crise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quests/ret/shelter.json ; états offered/active/resolved ; clés de progression propres au module.</x:v>
      </x:c>
      <x:c r="M13" s="9" t="str">
        <x:v>Les destins établis ne deviennent pas des récompenses de score.</x:v>
      </x:c>
      <x:c r="N13" s="9" t="str">
        <x:v>Le joueur peut accomplir « Créer une route de protection pour des élèves dans un secteur original. » et la sortie confirme le résultat ; Les destins établis ne deviennent pas des récompenses de score.</x:v>
      </x:c>
      <x:c r="O13" s="9" t="str">
        <x:v>RET-MAP-ACADEMY</x:v>
      </x:c>
      <x:c r="P13" s="9" t="str"/>
      <x:c r="Q13" s="9" t="str"/>
      <x:c r="R13" s="9" t="str"/>
      <x:c r="S13" s="9" t="str"/>
    </x:row>
    <x:row r="14" ht="68" customHeight="1">
      <x:c r="A14" s="19" t="str">
        <x:v>RET-MIS-REPORT</x:v>
      </x:c>
      <x:c r="B14" s="7" t="str">
        <x:v>Conserver le résultat de l’opération</x:v>
      </x:c>
      <x:c r="C14" s="15" t="str">
        <x:v>Défini</x:v>
      </x:c>
      <x:c r="D14" s="17" t="str">
        <x:v>Extrapolation</x:v>
      </x:c>
      <x:c r="E14" s="17" t="str">
        <x:v>P0</x:v>
      </x:c>
      <x:c r="F14" s="7" t="str">
        <x:v>Mission originale d’adaptation, inspirée d’un enjeu général de l’œuvre.</x:v>
      </x:c>
      <x:c r="G14" s="7" t="str">
        <x:v>Clore le module par un inventaire des faits utilisables.</x:v>
      </x:c>
      <x:c r="H14" s="7" t="str">
        <x:v>Séparer témoignage, mesure et hypothèse ; archiver sans divulguer les données hors contexte.</x:v>
      </x:c>
      <x:c r="I14" s="7" t="str">
        <x:v>Objectif spatial associé à Poste de consignation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quests/ret/report.json ; états offered/active/resolved ; clés de progression propres au module.</x:v>
      </x:c>
      <x:c r="M14" s="7" t="str">
        <x:v>Préserver les états de Grayson, Nick et Kai Leng nécessaires à la suite.</x:v>
      </x:c>
      <x:c r="N14" s="7" t="str">
        <x:v>Le joueur peut accomplir « Clore le module par un inventaire des faits utilisables. » et la sortie confirme le résultat ; Préserver les états de Grayson, Nick et Kai Leng nécessaires à la suite.</x:v>
      </x:c>
      <x:c r="O14" s="7" t="str">
        <x:v>RET-MAP-ARCHIVE</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eb4ddcf528f408f"/>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Retribution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RET-OPT-CONTRACT</x:v>
      </x:c>
      <x:c r="B7" s="9" t="str">
        <x:v>Évaluer un trajet de mission — tâche annexe</x:v>
      </x:c>
      <x:c r="C7" s="15" t="str">
        <x:v>Défini</x:v>
      </x:c>
      <x:c r="D7" s="16" t="str">
        <x:v>Extrapolation</x:v>
      </x:c>
      <x:c r="E7" s="16" t="str">
        <x:v>P1</x:v>
      </x:c>
      <x:c r="F7" s="9" t="str">
        <x:v>Objectif annexe créé pour l’adaptation.</x:v>
      </x:c>
      <x:c r="G7" s="9" t="str">
        <x:v>Retrouver un chargeur d’outil pour le dépôt de mission.</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optional.ret.contract ; persister done/skipped, récompenser une seule fois.</x:v>
      </x:c>
      <x:c r="M7" s="9" t="str">
        <x:v>Facultatif ; peut être ignoré sans bloquer la mission. Ne pas attribuer à Grayson un savoir qu’il n’a pas encore.</x:v>
      </x:c>
      <x:c r="N7" s="9" t="str">
        <x:v>Ignorer puis terminer la mission fonctionne ; compléter ne verse la récompense qu’une fois.</x:v>
      </x:c>
      <x:c r="O7" s="9" t="str">
        <x:v>RET-MIS-CONTRACT</x:v>
      </x:c>
      <x:c r="P7" s="9" t="str"/>
      <x:c r="Q7" s="9" t="str"/>
      <x:c r="R7" s="9" t="str"/>
      <x:c r="S7" s="9" t="str"/>
    </x:row>
    <x:row r="8" ht="54" customHeight="1">
      <x:c r="A8" s="19" t="str">
        <x:v>RET-OPT-MISSING</x:v>
      </x:c>
      <x:c r="B8" s="7" t="str">
        <x:v>Vérifier une disparition — tâche annexe</x:v>
      </x:c>
      <x:c r="C8" s="15" t="str">
        <x:v>Défini</x:v>
      </x:c>
      <x:c r="D8" s="17" t="str">
        <x:v>Extrapolation</x:v>
      </x:c>
      <x:c r="E8" s="17" t="str">
        <x:v>P1</x:v>
      </x:c>
      <x:c r="F8" s="7" t="str">
        <x:v>Objectif annexe créé pour l’adaptation.</x:v>
      </x:c>
      <x:c r="G8" s="7" t="str">
        <x:v>Récupérer un objet personnel destiné au registre de restitution.</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optional.ret.missing ; persister done/skipped, récompenser une seule fois.</x:v>
      </x:c>
      <x:c r="M8" s="7" t="str">
        <x:v>Facultatif ; peut être ignoré sans bloquer la mission. La capture de Grayson demeure un fait du récit.</x:v>
      </x:c>
      <x:c r="N8" s="7" t="str">
        <x:v>Ignorer puis terminer la mission fonctionne ; compléter ne verse la récompense qu’une fois.</x:v>
      </x:c>
      <x:c r="O8" s="7" t="str">
        <x:v>RET-MIS-MISSING</x:v>
      </x:c>
      <x:c r="P8" s="7" t="str"/>
      <x:c r="Q8" s="7" t="str"/>
      <x:c r="R8" s="7" t="str"/>
      <x:c r="S8" s="7" t="str"/>
    </x:row>
    <x:row r="9" ht="54" customHeight="1">
      <x:c r="A9" s="18" t="str">
        <x:v>RET-OPT-HELP</x:v>
      </x:c>
      <x:c r="B9" s="9" t="str">
        <x:v>Obtenir une assistance motivée — tâche annexe</x:v>
      </x:c>
      <x:c r="C9" s="15" t="str">
        <x:v>Défini</x:v>
      </x:c>
      <x:c r="D9" s="16" t="str">
        <x:v>Extrapolation</x:v>
      </x:c>
      <x:c r="E9" s="16" t="str">
        <x:v>P1</x:v>
      </x:c>
      <x:c r="F9" s="9" t="str">
        <x:v>Objectif annexe créé pour l’adaptation.</x:v>
      </x:c>
      <x:c r="G9" s="9" t="str">
        <x:v>Faire corriger une erreur d’index dans une pièce jointe fictive.</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optional.ret.help ; persister done/skipped, récompenser une seule fois.</x:v>
      </x:c>
      <x:c r="M9" s="9" t="str">
        <x:v>Facultatif ; peut être ignoré sans bloquer la mission. Le rôle d’Orinia reste limité à ce qui est attesté.</x:v>
      </x:c>
      <x:c r="N9" s="9" t="str">
        <x:v>Ignorer puis terminer la mission fonctionne ; compléter ne verse la récompense qu’une fois.</x:v>
      </x:c>
      <x:c r="O9" s="9" t="str">
        <x:v>RET-MIS-HELP</x:v>
      </x:c>
      <x:c r="P9" s="9" t="str"/>
      <x:c r="Q9" s="9" t="str"/>
      <x:c r="R9" s="9" t="str"/>
      <x:c r="S9" s="9" t="str"/>
    </x:row>
    <x:row r="10" ht="54" customHeight="1">
      <x:c r="A10" s="19" t="str">
        <x:v>RET-OPT-ACCESS</x:v>
      </x:c>
      <x:c r="B10" s="7" t="str">
        <x:v>Ouvrir une voie d’approche — tâche annexe</x:v>
      </x:c>
      <x:c r="C10" s="15" t="str">
        <x:v>Défini</x:v>
      </x:c>
      <x:c r="D10" s="17" t="str">
        <x:v>Extrapolation</x:v>
      </x:c>
      <x:c r="E10" s="17" t="str">
        <x:v>P1</x:v>
      </x:c>
      <x:c r="F10" s="7" t="str">
        <x:v>Objectif annexe créé pour l’adaptation.</x:v>
      </x:c>
      <x:c r="G10" s="7" t="str">
        <x:v>Désactiver une alarme secondaire pour faciliter le retour.</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optional.ret.access ; persister done/skipped, récompenser une seule fois.</x:v>
      </x:c>
      <x:c r="M10" s="7" t="str">
        <x:v>Facultatif ; peut être ignoré sans bloquer la mission. L’organisation des salles est une création de niveau.</x:v>
      </x:c>
      <x:c r="N10" s="7" t="str">
        <x:v>Ignorer puis terminer la mission fonctionne ; compléter ne verse la récompense qu’une fois.</x:v>
      </x:c>
      <x:c r="O10" s="7" t="str">
        <x:v>RET-MIS-ACCESS</x:v>
      </x:c>
      <x:c r="P10" s="7" t="str"/>
      <x:c r="Q10" s="7" t="str"/>
      <x:c r="R10" s="7" t="str"/>
      <x:c r="S10" s="7" t="str"/>
    </x:row>
    <x:row r="11" ht="54" customHeight="1">
      <x:c r="A11" s="18" t="str">
        <x:v>RET-OPT-OBSERVE</x:v>
      </x:c>
      <x:c r="B11" s="9" t="str">
        <x:v>Distinguer signal et illusion — tâche annexe</x:v>
      </x:c>
      <x:c r="C11" s="15" t="str">
        <x:v>Défini</x:v>
      </x:c>
      <x:c r="D11" s="16" t="str">
        <x:v>Extrapolation</x:v>
      </x:c>
      <x:c r="E11" s="16" t="str">
        <x:v>P1</x:v>
      </x:c>
      <x:c r="F11" s="9" t="str">
        <x:v>Objectif annexe créé pour l’adaptation.</x:v>
      </x:c>
      <x:c r="G11" s="9" t="str">
        <x:v>Identifier un défaut de capteur qui explique un faux signal local.</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optional.ret.observe ; persister done/skipped, récompenser une seule fois.</x:v>
      </x:c>
      <x:c r="M11" s="9" t="str">
        <x:v>Facultatif ; peut être ignoré sans bloquer la mission. Aucune option ne supprime définitivement le contrôle des Moissonneurs.</x:v>
      </x:c>
      <x:c r="N11" s="9" t="str">
        <x:v>Ignorer puis terminer la mission fonctionne ; compléter ne verse la récompense qu’une fois.</x:v>
      </x:c>
      <x:c r="O11" s="9" t="str">
        <x:v>RET-MIS-OBSERVE</x:v>
      </x:c>
      <x:c r="P11" s="9" t="str"/>
      <x:c r="Q11" s="9" t="str"/>
      <x:c r="R11" s="9" t="str"/>
      <x:c r="S11" s="9" t="str"/>
    </x:row>
    <x:row r="12" ht="54" customHeight="1">
      <x:c r="A12" s="19" t="str">
        <x:v>RET-OPT-UNEASY</x:v>
      </x:c>
      <x:c r="B12" s="7" t="str">
        <x:v>Maintenir une coopération provisoire — tâche annexe</x:v>
      </x:c>
      <x:c r="C12" s="15" t="str">
        <x:v>Défini</x:v>
      </x:c>
      <x:c r="D12" s="17" t="str">
        <x:v>Extrapolation</x:v>
      </x:c>
      <x:c r="E12" s="17" t="str">
        <x:v>P1</x:v>
      </x:c>
      <x:c r="F12" s="7" t="str">
        <x:v>Objectif annexe créé pour l’adaptation.</x:v>
      </x:c>
      <x:c r="G12" s="7" t="str">
        <x:v>Ranger le matériel pour rendre une trousse accessible.</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optional.ret.uneasy ; persister done/skipped, récompenser une seule fois.</x:v>
      </x:c>
      <x:c r="M12" s="7" t="str">
        <x:v>Facultatif ; peut être ignoré sans bloquer la mission. Kai Leng n’est pas converti en compagnon fidèle.</x:v>
      </x:c>
      <x:c r="N12" s="7" t="str">
        <x:v>Ignorer puis terminer la mission fonctionne ; compléter ne verse la récompense qu’une fois.</x:v>
      </x:c>
      <x:c r="O12" s="7" t="str">
        <x:v>RET-MIS-UNEASY</x:v>
      </x:c>
      <x:c r="P12" s="7" t="str"/>
      <x:c r="Q12" s="7" t="str"/>
      <x:c r="R12" s="7" t="str"/>
      <x:c r="S12" s="7" t="str"/>
    </x:row>
    <x:row r="13" ht="54" customHeight="1">
      <x:c r="A13" s="18" t="str">
        <x:v>RET-OPT-SHELTER</x:v>
      </x:c>
      <x:c r="B13" s="9" t="str">
        <x:v>Garder l’académie ouverte aux secours — tâche annexe</x:v>
      </x:c>
      <x:c r="C13" s="15" t="str">
        <x:v>Défini</x:v>
      </x:c>
      <x:c r="D13" s="16" t="str">
        <x:v>Extrapolation</x:v>
      </x:c>
      <x:c r="E13" s="16" t="str">
        <x:v>P1</x:v>
      </x:c>
      <x:c r="F13" s="9" t="str">
        <x:v>Objectif annexe créé pour l’adaptation.</x:v>
      </x:c>
      <x:c r="G13" s="9" t="str">
        <x:v>Récupérer le registre d’appel pour confirmer les personnes déjà à l’abri.</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optional.ret.shelter ; persister done/skipped, récompenser une seule fois.</x:v>
      </x:c>
      <x:c r="M13" s="9" t="str">
        <x:v>Facultatif ; peut être ignoré sans bloquer la mission. Les destins établis ne deviennent pas des récompenses de score.</x:v>
      </x:c>
      <x:c r="N13" s="9" t="str">
        <x:v>Ignorer puis terminer la mission fonctionne ; compléter ne verse la récompense qu’une fois.</x:v>
      </x:c>
      <x:c r="O13" s="9" t="str">
        <x:v>RET-MIS-SHELTER</x:v>
      </x:c>
      <x:c r="P13" s="9" t="str"/>
      <x:c r="Q13" s="9" t="str"/>
      <x:c r="R13" s="9" t="str"/>
      <x:c r="S13" s="9" t="str"/>
    </x:row>
    <x:row r="14" ht="54" customHeight="1">
      <x:c r="A14" s="19" t="str">
        <x:v>RET-OPT-REPORT</x:v>
      </x:c>
      <x:c r="B14" s="7" t="str">
        <x:v>Conserver le résultat de l’opération — tâche annexe</x:v>
      </x:c>
      <x:c r="C14" s="15" t="str">
        <x:v>Défini</x:v>
      </x:c>
      <x:c r="D14" s="17" t="str">
        <x:v>Extrapolation</x:v>
      </x:c>
      <x:c r="E14" s="17" t="str">
        <x:v>P1</x:v>
      </x:c>
      <x:c r="F14" s="7" t="str">
        <x:v>Objectif annexe créé pour l’adaptation.</x:v>
      </x:c>
      <x:c r="G14" s="7" t="str">
        <x:v>Restituer un objet à l’équipe pédagogique dans une scène originale.</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optional.ret.report ; persister done/skipped, récompenser une seule fois.</x:v>
      </x:c>
      <x:c r="M14" s="7" t="str">
        <x:v>Facultatif ; peut être ignoré sans bloquer la mission. Préserver les états de Grayson, Nick et Kai Leng nécessaires à la suite.</x:v>
      </x:c>
      <x:c r="N14" s="7" t="str">
        <x:v>Ignorer puis terminer la mission fonctionne ; compléter ne verse la récompense qu’une fois.</x:v>
      </x:c>
      <x:c r="O14" s="7" t="str">
        <x:v>RET-MIS-REPORT</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7135f7d9ad6443a"/>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Retribution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RET-CHO-CONTRACT</x:v>
      </x:c>
      <x:c r="B7" s="9" t="str">
        <x:v>Évaluer un trajet de mission — méthode optionnelle</x:v>
      </x:c>
      <x:c r="C7" s="15" t="str">
        <x:v>Défini</x:v>
      </x:c>
      <x:c r="D7" s="16" t="str">
        <x:v>Extrapolation</x:v>
      </x:c>
      <x:c r="E7" s="16" t="str">
        <x:v>P1</x:v>
      </x:c>
      <x:c r="F7" s="9" t="str">
        <x:v>Bifurcation locale originale ; elle ne crée pas une autre fin officielle.</x:v>
      </x:c>
      <x:c r="G7" s="9" t="str">
        <x:v>Passage couvert long ou traversée rapide avec observation préalable.</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choice.ret.contract ; stocker la méthode et le coût, jamais une réécriture d’événement source.</x:v>
      </x:c>
      <x:c r="M7" s="9" t="str">
        <x:v>Ne pas attribuer à Grayson un savoir qu’il n’a pas encore.</x:v>
      </x:c>
      <x:c r="N7" s="9" t="str">
        <x:v>Les deux branches sont atteignables ; l’état canonique final du module est identique.</x:v>
      </x:c>
      <x:c r="O7" s="9" t="str">
        <x:v>RET-MIS-CONTRACT</x:v>
      </x:c>
      <x:c r="P7" s="9" t="str"/>
      <x:c r="Q7" s="9" t="str"/>
      <x:c r="R7" s="9" t="str"/>
      <x:c r="S7" s="9" t="str"/>
    </x:row>
    <x:row r="8" ht="54" customHeight="1">
      <x:c r="A8" s="19" t="str">
        <x:v>RET-CHO-MISSING</x:v>
      </x:c>
      <x:c r="B8" s="7" t="str">
        <x:v>Vérifier une disparition — méthode optionnelle</x:v>
      </x:c>
      <x:c r="C8" s="15" t="str">
        <x:v>Défini</x:v>
      </x:c>
      <x:c r="D8" s="17" t="str">
        <x:v>Extrapolation</x:v>
      </x:c>
      <x:c r="E8" s="17" t="str">
        <x:v>P1</x:v>
      </x:c>
      <x:c r="F8" s="7" t="str">
        <x:v>Bifurcation locale originale ; elle ne crée pas une autre fin officielle.</x:v>
      </x:c>
      <x:c r="G8" s="7" t="str">
        <x:v>Interroger un témoin original ou relever les capteurs ; même conclusion locale.</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choice.ret.missing ; stocker la méthode et le coût, jamais une réécriture d’événement source.</x:v>
      </x:c>
      <x:c r="M8" s="7" t="str">
        <x:v>La capture de Grayson demeure un fait du récit.</x:v>
      </x:c>
      <x:c r="N8" s="7" t="str">
        <x:v>Les deux branches sont atteignables ; l’état canonique final du module est identique.</x:v>
      </x:c>
      <x:c r="O8" s="7" t="str">
        <x:v>RET-MIS-MISSING</x:v>
      </x:c>
      <x:c r="P8" s="7" t="str"/>
      <x:c r="Q8" s="7" t="str"/>
      <x:c r="R8" s="7" t="str"/>
      <x:c r="S8" s="7" t="str"/>
    </x:row>
    <x:row r="9" ht="54" customHeight="1">
      <x:c r="A9" s="18" t="str">
        <x:v>RET-CHO-HELP</x:v>
      </x:c>
      <x:c r="B9" s="9" t="str">
        <x:v>Obtenir une assistance motivée — méthode optionnelle</x:v>
      </x:c>
      <x:c r="C9" s="15" t="str">
        <x:v>Défini</x:v>
      </x:c>
      <x:c r="D9" s="16" t="str">
        <x:v>Extrapolation</x:v>
      </x:c>
      <x:c r="E9" s="16" t="str">
        <x:v>P1</x:v>
      </x:c>
      <x:c r="F9" s="9" t="str">
        <x:v>Bifurcation locale originale ; elle ne crée pas une autre fin officielle.</x:v>
      </x:c>
      <x:c r="G9" s="9" t="str">
        <x:v>Exposé technique ou requête humanitaire ; aucune influence universelle gagnée.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choice.ret.help ; stocker la méthode et le coût, jamais une réécriture d’événement source.</x:v>
      </x:c>
      <x:c r="M9" s="9" t="str">
        <x:v>Le rôle d’Orinia reste limité à ce qui est attesté.</x:v>
      </x:c>
      <x:c r="N9" s="9" t="str">
        <x:v>Les deux branches sont atteignables ; l’état canonique final du module est identique.</x:v>
      </x:c>
      <x:c r="O9" s="9" t="str">
        <x:v>RET-MIS-HELP</x:v>
      </x:c>
      <x:c r="P9" s="9" t="str"/>
      <x:c r="Q9" s="9" t="str"/>
      <x:c r="R9" s="9" t="str"/>
      <x:c r="S9" s="9" t="str"/>
    </x:row>
    <x:row r="10" ht="54" customHeight="1">
      <x:c r="A10" s="19" t="str">
        <x:v>RET-CHO-ACCESS</x:v>
      </x:c>
      <x:c r="B10" s="7" t="str">
        <x:v>Ouvrir une voie d’approche — méthode optionnelle</x:v>
      </x:c>
      <x:c r="C10" s="15" t="str">
        <x:v>Défini</x:v>
      </x:c>
      <x:c r="D10" s="17" t="str">
        <x:v>Extrapolation</x:v>
      </x:c>
      <x:c r="E10" s="17" t="str">
        <x:v>P1</x:v>
      </x:c>
      <x:c r="F10" s="7" t="str">
        <x:v>Bifurcation locale originale ; elle ne crée pas une autre fin officielle.</x:v>
      </x:c>
      <x:c r="G10" s="7" t="str">
        <x:v>Brouiller un capteur ou isoler la porte ; ressources différentes.</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choice.ret.access ; stocker la méthode et le coût, jamais une réécriture d’événement source.</x:v>
      </x:c>
      <x:c r="M10" s="7" t="str">
        <x:v>L’organisation des salles est une création de niveau.</x:v>
      </x:c>
      <x:c r="N10" s="7" t="str">
        <x:v>Les deux branches sont atteignables ; l’état canonique final du module est identique.</x:v>
      </x:c>
      <x:c r="O10" s="7" t="str">
        <x:v>RET-MIS-ACCESS</x:v>
      </x:c>
      <x:c r="P10" s="7" t="str"/>
      <x:c r="Q10" s="7" t="str"/>
      <x:c r="R10" s="7" t="str"/>
      <x:c r="S10" s="7" t="str"/>
    </x:row>
    <x:row r="11" ht="54" customHeight="1">
      <x:c r="A11" s="18" t="str">
        <x:v>RET-CHO-OBSERVE</x:v>
      </x:c>
      <x:c r="B11" s="9" t="str">
        <x:v>Distinguer signal et illusion — méthode optionnelle</x:v>
      </x:c>
      <x:c r="C11" s="15" t="str">
        <x:v>Défini</x:v>
      </x:c>
      <x:c r="D11" s="16" t="str">
        <x:v>Extrapolation</x:v>
      </x:c>
      <x:c r="E11" s="16" t="str">
        <x:v>P1</x:v>
      </x:c>
      <x:c r="F11" s="9" t="str">
        <x:v>Bifurcation locale originale ; elle ne crée pas une autre fin officielle.</x:v>
      </x:c>
      <x:c r="G11" s="9" t="str">
        <x:v>Inspection visuelle assistée ou demande de confirmation à distance.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choice.ret.observe ; stocker la méthode et le coût, jamais une réécriture d’événement source.</x:v>
      </x:c>
      <x:c r="M11" s="9" t="str">
        <x:v>Aucune option ne supprime définitivement le contrôle des Moissonneurs.</x:v>
      </x:c>
      <x:c r="N11" s="9" t="str">
        <x:v>Les deux branches sont atteignables ; l’état canonique final du module est identique.</x:v>
      </x:c>
      <x:c r="O11" s="9" t="str">
        <x:v>RET-MIS-OBSERVE</x:v>
      </x:c>
      <x:c r="P11" s="9" t="str"/>
      <x:c r="Q11" s="9" t="str"/>
      <x:c r="R11" s="9" t="str"/>
      <x:c r="S11" s="9" t="str"/>
    </x:row>
    <x:row r="12" ht="54" customHeight="1">
      <x:c r="A12" s="19" t="str">
        <x:v>RET-CHO-UNEASY</x:v>
      </x:c>
      <x:c r="B12" s="7" t="str">
        <x:v>Maintenir une coopération provisoire — méthode optionnelle</x:v>
      </x:c>
      <x:c r="C12" s="15" t="str">
        <x:v>Défini</x:v>
      </x:c>
      <x:c r="D12" s="17" t="str">
        <x:v>Extrapolation</x:v>
      </x:c>
      <x:c r="E12" s="17" t="str">
        <x:v>P1</x:v>
      </x:c>
      <x:c r="F12" s="7" t="str">
        <x:v>Bifurcation locale originale ; elle ne crée pas une autre fin officielle.</x:v>
      </x:c>
      <x:c r="G12" s="7" t="str">
        <x:v>Priorité à l’information ou à la sécurité immédiate.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choice.ret.uneasy ; stocker la méthode et le coût, jamais une réécriture d’événement source.</x:v>
      </x:c>
      <x:c r="M12" s="7" t="str">
        <x:v>Kai Leng n’est pas converti en compagnon fidèle.</x:v>
      </x:c>
      <x:c r="N12" s="7" t="str">
        <x:v>Les deux branches sont atteignables ; l’état canonique final du module est identique.</x:v>
      </x:c>
      <x:c r="O12" s="7" t="str">
        <x:v>RET-MIS-UNEASY</x:v>
      </x:c>
      <x:c r="P12" s="7" t="str"/>
      <x:c r="Q12" s="7" t="str"/>
      <x:c r="R12" s="7" t="str"/>
      <x:c r="S12" s="7" t="str"/>
    </x:row>
    <x:row r="13" ht="54" customHeight="1">
      <x:c r="A13" s="18" t="str">
        <x:v>RET-CHO-SHELTER</x:v>
      </x:c>
      <x:c r="B13" s="9" t="str">
        <x:v>Garder l’académie ouverte aux secours — méthode optionnelle</x:v>
      </x:c>
      <x:c r="C13" s="15" t="str">
        <x:v>Défini</x:v>
      </x:c>
      <x:c r="D13" s="16" t="str">
        <x:v>Extrapolation</x:v>
      </x:c>
      <x:c r="E13" s="16" t="str">
        <x:v>P1</x:v>
      </x:c>
      <x:c r="F13" s="9" t="str">
        <x:v>Bifurcation locale originale ; elle ne crée pas une autre fin officielle.</x:v>
      </x:c>
      <x:c r="G13" s="9" t="str">
        <x:v>Évacuation par classes ou par ailes ; même population narrative à la sortie.</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choice.ret.shelter ; stocker la méthode et le coût, jamais une réécriture d’événement source.</x:v>
      </x:c>
      <x:c r="M13" s="9" t="str">
        <x:v>Les destins établis ne deviennent pas des récompenses de score.</x:v>
      </x:c>
      <x:c r="N13" s="9" t="str">
        <x:v>Les deux branches sont atteignables ; l’état canonique final du module est identique.</x:v>
      </x:c>
      <x:c r="O13" s="9" t="str">
        <x:v>RET-MIS-SHELTER</x:v>
      </x:c>
      <x:c r="P13" s="9" t="str"/>
      <x:c r="Q13" s="9" t="str"/>
      <x:c r="R13" s="9" t="str"/>
      <x:c r="S13" s="9" t="str"/>
    </x:row>
    <x:row r="14" ht="54" customHeight="1">
      <x:c r="A14" s="19" t="str">
        <x:v>RET-CHO-REPORT</x:v>
      </x:c>
      <x:c r="B14" s="7" t="str">
        <x:v>Conserver le résultat de l’opération — méthode optionnelle</x:v>
      </x:c>
      <x:c r="C14" s="15" t="str">
        <x:v>Défini</x:v>
      </x:c>
      <x:c r="D14" s="17" t="str">
        <x:v>Extrapolation</x:v>
      </x:c>
      <x:c r="E14" s="17" t="str">
        <x:v>P1</x:v>
      </x:c>
      <x:c r="F14" s="7" t="str">
        <x:v>Bifurcation locale originale ; elle ne crée pas une autre fin officielle.</x:v>
      </x:c>
      <x:c r="G14" s="7" t="str">
        <x:v>Rapport concis ou dossier annoté ; même état de continuité.</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choice.ret.report ; stocker la méthode et le coût, jamais une réécriture d’événement source.</x:v>
      </x:c>
      <x:c r="M14" s="7" t="str">
        <x:v>Préserver les états de Grayson, Nick et Kai Leng nécessaires à la suite.</x:v>
      </x:c>
      <x:c r="N14" s="7" t="str">
        <x:v>Les deux branches sont atteignables ; l’état canonique final du module est identique.</x:v>
      </x:c>
      <x:c r="O14" s="7" t="str">
        <x:v>RET-MIS-REPORT</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91d14a571cc54668"/>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Retribution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RET-DIA-GRAYSON</x:v>
      </x:c>
      <x:c r="B7" s="9" t="str">
        <x:v>Paul Grayson — échange : identité et perte de contrôle</x:v>
      </x:c>
      <x:c r="C7" s="15" t="str">
        <x:v>Défini</x:v>
      </x:c>
      <x:c r="D7" s="16" t="str">
        <x:v>Extrapolation</x:v>
      </x:c>
      <x:c r="E7" s="16" t="str">
        <x:v>P1</x:v>
      </x:c>
      <x:c r="F7" s="9" t="str">
        <x:v>Dialogue original à écrire, sans reproduire les répliques de la publication.</x:v>
      </x:c>
      <x:c r="G7" s="9" t="str">
        <x:v>Intentions : aborder identité et perte de contrôle, poser une question de clarification, puis revenir à l’objectif local.</x:v>
      </x:c>
      <x:c r="H7" s="9" t="str">
        <x:v>Trois intentions proposées : demander un fait, exprimer une réserve, clore. Débloquer un indice local sans imposer une opinion au joueur.</x:v>
      </x:c>
      <x:c r="I7" s="9" t="str">
        <x:v>Portrait Paul Grayson,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ret.grayson.identite-et-perte-de-controle ; drapeaux de connaissance locaux.</x:v>
      </x:c>
      <x:c r="M7" s="9" t="str">
        <x:v>Préserver le parcours de Grayson et les états nécessaires à Deception et ME3. Les rencontres proposées n’offrent ni guérison canonique de Grayson ni élimination définitive de Kai Leng.</x:v>
      </x:c>
      <x:c r="N7" s="9" t="str">
        <x:v>Aucune option ne révèle un savoir futur ; quitter puis reprendre conserve les sujets déjà abordés.</x:v>
      </x:c>
      <x:c r="O7" s="9" t="str">
        <x:v>RET-CHR-GRAYSON</x:v>
      </x:c>
      <x:c r="P7" s="9" t="str"/>
      <x:c r="Q7" s="9" t="str"/>
      <x:c r="R7" s="9" t="str"/>
      <x:c r="S7" s="9" t="str">
        <x:v>Sujet et intentions sont du design original, pas une transcription.</x:v>
      </x:c>
    </x:row>
    <x:row r="8" ht="68" customHeight="1">
      <x:c r="A8" s="19" t="str">
        <x:v>RET-DIA-KAHLEE</x:v>
      </x:c>
      <x:c r="B8" s="7" t="str">
        <x:v>Kahlee Sanders — échange : urgence et responsabilité envers Grayson</x:v>
      </x:c>
      <x:c r="C8" s="15" t="str">
        <x:v>Défini</x:v>
      </x:c>
      <x:c r="D8" s="17" t="str">
        <x:v>Extrapolation</x:v>
      </x:c>
      <x:c r="E8" s="17" t="str">
        <x:v>P1</x:v>
      </x:c>
      <x:c r="F8" s="7" t="str">
        <x:v>Dialogue original à écrire, sans reproduire les répliques de la publication.</x:v>
      </x:c>
      <x:c r="G8" s="7" t="str">
        <x:v>Intentions : aborder urgence et responsabilité envers Grayson, poser une question de clarification, puis revenir à l’objectif local.</x:v>
      </x:c>
      <x:c r="H8" s="7" t="str">
        <x:v>Trois intentions proposées : demander un fait, exprimer une réserve, clore. Débloquer un indice local sans imposer une opinion au joueur.</x:v>
      </x:c>
      <x:c r="I8" s="7" t="str">
        <x:v>Portrait Kahlee Sanders,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ret.kahlee.urgence-et-responsabilite-envers-grayson ; drapeaux de connaissance locaux.</x:v>
      </x:c>
      <x:c r="M8" s="7" t="str">
        <x:v>Préserver le parcours de Grayson et les états nécessaires à Deception et ME3. Les rencontres proposées n’offrent ni guérison canonique de Grayson ni élimination définitive de Kai Leng.</x:v>
      </x:c>
      <x:c r="N8" s="7" t="str">
        <x:v>Aucune option ne révèle un savoir futur ; quitter puis reprendre conserve les sujets déjà abordés.</x:v>
      </x:c>
      <x:c r="O8" s="7" t="str">
        <x:v>RET-CHR-KAHLEE</x:v>
      </x:c>
      <x:c r="P8" s="7" t="str"/>
      <x:c r="Q8" s="7" t="str"/>
      <x:c r="R8" s="7" t="str"/>
      <x:c r="S8" s="7" t="str">
        <x:v>Sujet et intentions sont du design original, pas une transcription.</x:v>
      </x:c>
    </x:row>
    <x:row r="9" ht="68" customHeight="1">
      <x:c r="A9" s="18" t="str">
        <x:v>RET-DIA-ANDERSON</x:v>
      </x:c>
      <x:c r="B9" s="9" t="str">
        <x:v>David Anderson — échange : limites d’une opération de sauvetage</x:v>
      </x:c>
      <x:c r="C9" s="15" t="str">
        <x:v>Défini</x:v>
      </x:c>
      <x:c r="D9" s="16" t="str">
        <x:v>Extrapolation</x:v>
      </x:c>
      <x:c r="E9" s="16" t="str">
        <x:v>P1</x:v>
      </x:c>
      <x:c r="F9" s="9" t="str">
        <x:v>Dialogue original à écrire, sans reproduire les répliques de la publication.</x:v>
      </x:c>
      <x:c r="G9" s="9" t="str">
        <x:v>Intentions : aborder limites d’une opération de sauvetage, poser une question de clarification, puis revenir à l’objectif local.</x:v>
      </x:c>
      <x:c r="H9" s="9" t="str">
        <x:v>Trois intentions proposées : demander un fait, exprimer une réserve, clore. Débloquer un indice local sans imposer une opinion au joueur.</x:v>
      </x:c>
      <x:c r="I9" s="9" t="str">
        <x:v>Portrait David Anderson,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ret.anderson.limites-dune-operation-de-sauvetage ; drapeaux de connaissance locaux.</x:v>
      </x:c>
      <x:c r="M9" s="9" t="str">
        <x:v>Préserver le parcours de Grayson et les états nécessaires à Deception et ME3. Les rencontres proposées n’offrent ni guérison canonique de Grayson ni élimination définitive de Kai Leng.</x:v>
      </x:c>
      <x:c r="N9" s="9" t="str">
        <x:v>Aucune option ne révèle un savoir futur ; quitter puis reprendre conserve les sujets déjà abordés.</x:v>
      </x:c>
      <x:c r="O9" s="9" t="str">
        <x:v>RET-CHR-ANDERSON</x:v>
      </x:c>
      <x:c r="P9" s="9" t="str"/>
      <x:c r="Q9" s="9" t="str"/>
      <x:c r="R9" s="9" t="str"/>
      <x:c r="S9" s="9" t="str">
        <x:v>Sujet et intentions sont du design original, pas une transcription.</x:v>
      </x:c>
    </x:row>
    <x:row r="10" ht="68" customHeight="1">
      <x:c r="A10" s="19" t="str">
        <x:v>RET-DIA-KAILENG</x:v>
      </x:c>
      <x:c r="B10" s="7" t="str">
        <x:v>Kai Leng — échange : loyauté à Cerberus et coopération contrainte</x:v>
      </x:c>
      <x:c r="C10" s="15" t="str">
        <x:v>Défini</x:v>
      </x:c>
      <x:c r="D10" s="17" t="str">
        <x:v>Extrapolation</x:v>
      </x:c>
      <x:c r="E10" s="17" t="str">
        <x:v>P1</x:v>
      </x:c>
      <x:c r="F10" s="7" t="str">
        <x:v>Dialogue original à écrire, sans reproduire les répliques de la publication.</x:v>
      </x:c>
      <x:c r="G10" s="7" t="str">
        <x:v>Intentions : aborder loyauté à Cerberus et coopération contrainte, poser une question de clarification, puis revenir à l’objectif local.</x:v>
      </x:c>
      <x:c r="H10" s="7" t="str">
        <x:v>Trois intentions proposées : demander un fait, exprimer une réserve, clore. Débloquer un indice local sans imposer une opinion au joueur.</x:v>
      </x:c>
      <x:c r="I10" s="7" t="str">
        <x:v>Portrait Kai Leng,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ret.kaileng.loyaute-a-cerberus-et-cooperation-contrainte ; drapeaux de connaissance locaux.</x:v>
      </x:c>
      <x:c r="M10" s="7" t="str">
        <x:v>Préserver le parcours de Grayson et les états nécessaires à Deception et ME3. Les rencontres proposées n’offrent ni guérison canonique de Grayson ni élimination définitive de Kai Leng.</x:v>
      </x:c>
      <x:c r="N10" s="7" t="str">
        <x:v>Aucune option ne révèle un savoir futur ; quitter puis reprendre conserve les sujets déjà abordés.</x:v>
      </x:c>
      <x:c r="O10" s="7" t="str">
        <x:v>RET-CHR-KAILENG</x:v>
      </x:c>
      <x:c r="P10" s="7" t="str"/>
      <x:c r="Q10" s="7" t="str"/>
      <x:c r="R10" s="7" t="str"/>
      <x:c r="S10" s="7" t="str">
        <x:v>Sujet et intentions sont du design original, pas une transcription.</x:v>
      </x:c>
    </x:row>
    <x:row r="11" ht="68" customHeight="1">
      <x:c r="A11" s="18" t="str">
        <x:v>RET-DIA-ILLUSIVE</x:v>
      </x:c>
      <x:c r="B11" s="9" t="str">
        <x:v>Homme Trouble — échange : instrumentalisation de la recherche</x:v>
      </x:c>
      <x:c r="C11" s="15" t="str">
        <x:v>Défini</x:v>
      </x:c>
      <x:c r="D11" s="16" t="str">
        <x:v>Extrapolation</x:v>
      </x:c>
      <x:c r="E11" s="16" t="str">
        <x:v>P1</x:v>
      </x:c>
      <x:c r="F11" s="9" t="str">
        <x:v>Dialogue original à écrire, sans reproduire les répliques de la publication.</x:v>
      </x:c>
      <x:c r="G11" s="9" t="str">
        <x:v>Intentions : aborder instrumentalisation de la recherche, poser une question de clarification, puis revenir à l’objectif local.</x:v>
      </x:c>
      <x:c r="H11" s="9" t="str">
        <x:v>Trois intentions proposées : demander un fait, exprimer une réserve, clore. Débloquer un indice local sans imposer une opinion au joueur.</x:v>
      </x:c>
      <x:c r="I11" s="9" t="str">
        <x:v>Portrait Homme Trouble,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ret.illusive.instrumentalisation-de-la-recherche ; drapeaux de connaissance locaux.</x:v>
      </x:c>
      <x:c r="M11" s="9" t="str">
        <x:v>Préserver le parcours de Grayson et les états nécessaires à Deception et ME3. Les rencontres proposées n’offrent ni guérison canonique de Grayson ni élimination définitive de Kai Leng.</x:v>
      </x:c>
      <x:c r="N11" s="9" t="str">
        <x:v>Aucune option ne révèle un savoir futur ; quitter puis reprendre conserve les sujets déjà abordés.</x:v>
      </x:c>
      <x:c r="O11" s="9" t="str">
        <x:v>RET-CHR-ILLUSIVE</x:v>
      </x:c>
      <x:c r="P11" s="9" t="str"/>
      <x:c r="Q11" s="9" t="str"/>
      <x:c r="R11" s="9" t="str"/>
      <x:c r="S11" s="9" t="str">
        <x:v>Sujet et intentions sont du design original, pas une transcription.</x:v>
      </x:c>
    </x:row>
    <x:row r="12" ht="68" customHeight="1">
      <x:c r="A12" s="19" t="str">
        <x:v>RET-DIA-LISELLE</x:v>
      </x:c>
      <x:c r="B12" s="7" t="str">
        <x:v>Liselle — échange : confiance dans l’équipe d’Omega</x:v>
      </x:c>
      <x:c r="C12" s="15" t="str">
        <x:v>Défini</x:v>
      </x:c>
      <x:c r="D12" s="17" t="str">
        <x:v>Extrapolation</x:v>
      </x:c>
      <x:c r="E12" s="17" t="str">
        <x:v>P1</x:v>
      </x:c>
      <x:c r="F12" s="7" t="str">
        <x:v>Dialogue original à écrire, sans reproduire les répliques de la publication.</x:v>
      </x:c>
      <x:c r="G12" s="7" t="str">
        <x:v>Intentions : aborder confiance dans l’équipe d’Omega, poser une question de clarification, puis revenir à l’objectif local.</x:v>
      </x:c>
      <x:c r="H12" s="7" t="str">
        <x:v>Trois intentions proposées : demander un fait, exprimer une réserve, clore. Débloquer un indice local sans imposer une opinion au joueur.</x:v>
      </x:c>
      <x:c r="I12" s="7" t="str">
        <x:v>Portrait Liselle,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ret.liselle.confiance-dans-lequipe-domega ; drapeaux de connaissance locaux.</x:v>
      </x:c>
      <x:c r="M12" s="7" t="str">
        <x:v>Préserver le parcours de Grayson et les états nécessaires à Deception et ME3. Les rencontres proposées n’offrent ni guérison canonique de Grayson ni élimination définitive de Kai Leng.</x:v>
      </x:c>
      <x:c r="N12" s="7" t="str">
        <x:v>Aucune option ne révèle un savoir futur ; quitter puis reprendre conserve les sujets déjà abordés.</x:v>
      </x:c>
      <x:c r="O12" s="7" t="str">
        <x:v>RET-CHR-LISELLE</x:v>
      </x:c>
      <x:c r="P12" s="7" t="str"/>
      <x:c r="Q12" s="7" t="str"/>
      <x:c r="R12" s="7" t="str"/>
      <x:c r="S12" s="7" t="str">
        <x:v>Sujet et intentions sont du design original, pas une transcription.</x:v>
      </x:c>
    </x:row>
    <x:row r="13" ht="68" customHeight="1">
      <x:c r="A13" s="18" t="str">
        <x:v>RET-DIA-ARIA</x:v>
      </x:c>
      <x:c r="B13" s="9" t="str">
        <x:v>Aria T’Loak — échange : territoire et information</x:v>
      </x:c>
      <x:c r="C13" s="15" t="str">
        <x:v>Défini</x:v>
      </x:c>
      <x:c r="D13" s="16" t="str">
        <x:v>Extrapolation</x:v>
      </x:c>
      <x:c r="E13" s="16" t="str">
        <x:v>P1</x:v>
      </x:c>
      <x:c r="F13" s="9" t="str">
        <x:v>Dialogue original à écrire, sans reproduire les répliques de la publication.</x:v>
      </x:c>
      <x:c r="G13" s="9" t="str">
        <x:v>Intentions : aborder territoire et information, poser une question de clarification, puis revenir à l’objectif local.</x:v>
      </x:c>
      <x:c r="H13" s="9" t="str">
        <x:v>Trois intentions proposées : demander un fait, exprimer une réserve, clore. Débloquer un indice local sans imposer une opinion au joueur.</x:v>
      </x:c>
      <x:c r="I13" s="9" t="str">
        <x:v>Portrait Aria T’Loak,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ret.aria.territoire-et-information ; drapeaux de connaissance locaux.</x:v>
      </x:c>
      <x:c r="M13" s="9" t="str">
        <x:v>Préserver le parcours de Grayson et les états nécessaires à Deception et ME3. Les rencontres proposées n’offrent ni guérison canonique de Grayson ni élimination définitive de Kai Leng.</x:v>
      </x:c>
      <x:c r="N13" s="9" t="str">
        <x:v>Aucune option ne révèle un savoir futur ; quitter puis reprendre conserve les sujets déjà abordés.</x:v>
      </x:c>
      <x:c r="O13" s="9" t="str">
        <x:v>RET-CHR-ARIA</x:v>
      </x:c>
      <x:c r="P13" s="9" t="str"/>
      <x:c r="Q13" s="9" t="str"/>
      <x:c r="R13" s="9" t="str"/>
      <x:c r="S13" s="9" t="str">
        <x:v>Sujet et intentions sont du design original, pas une transcription.</x:v>
      </x:c>
    </x:row>
    <x:row r="14" ht="68" customHeight="1">
      <x:c r="A14" s="19" t="str">
        <x:v>RET-DIA-SANAK</x:v>
      </x:c>
      <x:c r="B14" s="7" t="str">
        <x:v>Sanak — échange : méfiance au sein d’une équipe</x:v>
      </x:c>
      <x:c r="C14" s="15" t="str">
        <x:v>Défini</x:v>
      </x:c>
      <x:c r="D14" s="17" t="str">
        <x:v>Extrapolation</x:v>
      </x:c>
      <x:c r="E14" s="17" t="str">
        <x:v>P1</x:v>
      </x:c>
      <x:c r="F14" s="7" t="str">
        <x:v>Dialogue original à écrire, sans reproduire les répliques de la publication.</x:v>
      </x:c>
      <x:c r="G14" s="7" t="str">
        <x:v>Intentions : aborder méfiance au sein d’une équipe, poser une question de clarification, puis revenir à l’objectif local.</x:v>
      </x:c>
      <x:c r="H14" s="7" t="str">
        <x:v>Trois intentions proposées : demander un fait, exprimer une réserve, clore. Débloquer un indice local sans imposer une opinion au joueur.</x:v>
      </x:c>
      <x:c r="I14" s="7" t="str">
        <x:v>Portrait Sanak,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ret.sanak.mefiance-au-sein-dune-equipe ; drapeaux de connaissance locaux.</x:v>
      </x:c>
      <x:c r="M14" s="7" t="str">
        <x:v>Préserver le parcours de Grayson et les états nécessaires à Deception et ME3. Les rencontres proposées n’offrent ni guérison canonique de Grayson ni élimination définitive de Kai Leng.</x:v>
      </x:c>
      <x:c r="N14" s="7" t="str">
        <x:v>Aucune option ne révèle un savoir futur ; quitter puis reprendre conserve les sujets déjà abordés.</x:v>
      </x:c>
      <x:c r="O14" s="7" t="str">
        <x:v>RET-CHR-SANAK</x:v>
      </x:c>
      <x:c r="P14" s="7" t="str"/>
      <x:c r="Q14" s="7" t="str"/>
      <x:c r="R14" s="7" t="str"/>
      <x:c r="S14" s="7" t="str">
        <x:v>Sujet et intentions sont du design original, pas une transcription.</x:v>
      </x:c>
    </x:row>
    <x:row r="15" ht="68" customHeight="1">
      <x:c r="A15" s="18" t="str">
        <x:v>RET-DIA-ORINIA</x:v>
      </x:c>
      <x:c r="B15" s="9" t="str">
        <x:v>Orinia — échange : conditions d’un soutien extérieur</x:v>
      </x:c>
      <x:c r="C15" s="15" t="str">
        <x:v>Défini</x:v>
      </x:c>
      <x:c r="D15" s="16" t="str">
        <x:v>Extrapolation</x:v>
      </x:c>
      <x:c r="E15" s="16" t="str">
        <x:v>P1</x:v>
      </x:c>
      <x:c r="F15" s="9" t="str">
        <x:v>Dialogue original à écrire, sans reproduire les répliques de la publication.</x:v>
      </x:c>
      <x:c r="G15" s="9" t="str">
        <x:v>Intentions : aborder conditions d’un soutien extérieur, poser une question de clarification, puis revenir à l’objectif local.</x:v>
      </x:c>
      <x:c r="H15" s="9" t="str">
        <x:v>Trois intentions proposées : demander un fait, exprimer une réserve, clore. Débloquer un indice local sans imposer une opinion au joueur.</x:v>
      </x:c>
      <x:c r="I15" s="9" t="str">
        <x:v>Portrait Orinia,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ret.orinia.conditions-dun-soutien-exterieur ; drapeaux de connaissance locaux.</x:v>
      </x:c>
      <x:c r="M15" s="9" t="str">
        <x:v>Préserver le parcours de Grayson et les états nécessaires à Deception et ME3. Les rencontres proposées n’offrent ni guérison canonique de Grayson ni élimination définitive de Kai Leng.</x:v>
      </x:c>
      <x:c r="N15" s="9" t="str">
        <x:v>Aucune option ne révèle un savoir futur ; quitter puis reprendre conserve les sujets déjà abordés.</x:v>
      </x:c>
      <x:c r="O15" s="9" t="str">
        <x:v>RET-CHR-ORINIA</x:v>
      </x:c>
      <x:c r="P15" s="9" t="str"/>
      <x:c r="Q15" s="9" t="str"/>
      <x:c r="R15" s="9" t="str"/>
      <x:c r="S15" s="9" t="str">
        <x:v>Sujet et intentions sont du design original, pas une transcription.</x:v>
      </x:c>
    </x:row>
    <x:row r="16" ht="68" customHeight="1">
      <x:c r="A16" s="19" t="str">
        <x:v>RET-DIA-NICK</x:v>
      </x:c>
      <x:c r="B16" s="7" t="str">
        <x:v>Nick Donahue — échange : confiance envers les adultes en situation de crise</x:v>
      </x:c>
      <x:c r="C16" s="15" t="str">
        <x:v>Défini</x:v>
      </x:c>
      <x:c r="D16" s="17" t="str">
        <x:v>Extrapolation</x:v>
      </x:c>
      <x:c r="E16" s="17" t="str">
        <x:v>P1</x:v>
      </x:c>
      <x:c r="F16" s="7" t="str">
        <x:v>Dialogue original à écrire, sans reproduire les répliques de la publication.</x:v>
      </x:c>
      <x:c r="G16" s="7" t="str">
        <x:v>Intentions : aborder confiance envers les adultes en situation de crise, poser une question de clarification, puis revenir à l’objectif local.</x:v>
      </x:c>
      <x:c r="H16" s="7" t="str">
        <x:v>Trois intentions proposées : demander un fait, exprimer une réserve, clore. Débloquer un indice local sans imposer une opinion au joueur.</x:v>
      </x:c>
      <x:c r="I16" s="7" t="str">
        <x:v>Portrait Nick Donahue,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ret.nick.confiance-envers-les-adultes-en-situation-de-crise ; drapeaux de connaissance locaux.</x:v>
      </x:c>
      <x:c r="M16" s="7" t="str">
        <x:v>Préserver le parcours de Grayson et les états nécessaires à Deception et ME3. Les rencontres proposées n’offrent ni guérison canonique de Grayson ni élimination définitive de Kai Leng.</x:v>
      </x:c>
      <x:c r="N16" s="7" t="str">
        <x:v>Aucune option ne révèle un savoir futur ; quitter puis reprendre conserve les sujets déjà abordés.</x:v>
      </x:c>
      <x:c r="O16" s="7" t="str">
        <x:v>RET-CHR-NICK</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69ba5d3100bb4604"/>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Retribution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RET-CIN-CONTRACT</x:v>
      </x:c>
      <x:c r="B7" s="9" t="str">
        <x:v>Évaluer un trajet de mission — transition narrative</x:v>
      </x:c>
      <x:c r="C7" s="15" t="str">
        <x:v>Défini</x:v>
      </x:c>
      <x:c r="D7" s="16" t="str">
        <x:v>Extrapolation</x:v>
      </x:c>
      <x:c r="E7" s="16" t="str">
        <x:v>P1</x:v>
      </x:c>
      <x:c r="F7" s="9" t="str">
        <x:v>Mise en scène originale compacte, sans reconstituer les dialogues de l’œuvre.</x:v>
      </x:c>
      <x:c r="G7" s="9" t="str">
        <x:v>Plan sur un itinéraire choisi puis retour à la vie du quartier.</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cinematics/ret/contract.timeline ; événements idempotents.</x:v>
      </x:c>
      <x:c r="M7" s="9" t="str">
        <x:v>Ne pas attribuer à Grayson un savoir qu’il n’a pas encore.</x:v>
      </x:c>
      <x:c r="N7" s="9" t="str">
        <x:v>Version regardée et version sautée donnent les mêmes inventaire, équipe, carte et objectifs.</x:v>
      </x:c>
      <x:c r="O7" s="9" t="str">
        <x:v>RET-MIS-CONTRACT</x:v>
      </x:c>
      <x:c r="P7" s="9" t="str"/>
      <x:c r="Q7" s="9" t="str"/>
      <x:c r="R7" s="9" t="str"/>
      <x:c r="S7" s="9" t="str"/>
    </x:row>
    <x:row r="8" ht="54" customHeight="1">
      <x:c r="A8" s="19" t="str">
        <x:v>RET-CIN-MISSING</x:v>
      </x:c>
      <x:c r="B8" s="7" t="str">
        <x:v>Vérifier une disparition — transition narrative</x:v>
      </x:c>
      <x:c r="C8" s="15" t="str">
        <x:v>Défini</x:v>
      </x:c>
      <x:c r="D8" s="17" t="str">
        <x:v>Extrapolation</x:v>
      </x:c>
      <x:c r="E8" s="17" t="str">
        <x:v>P1</x:v>
      </x:c>
      <x:c r="F8" s="7" t="str">
        <x:v>Mise en scène originale compacte, sans reconstituer les dialogues de l’œuvre.</x:v>
      </x:c>
      <x:c r="G8" s="7" t="str">
        <x:v>Le logement silencieux est montré par un unique plan sans violence détaillée.</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cinematics/ret/missing.timeline ; événements idempotents.</x:v>
      </x:c>
      <x:c r="M8" s="7" t="str">
        <x:v>La capture de Grayson demeure un fait du récit.</x:v>
      </x:c>
      <x:c r="N8" s="7" t="str">
        <x:v>Version regardée et version sautée donnent les mêmes inventaire, équipe, carte et objectifs.</x:v>
      </x:c>
      <x:c r="O8" s="7" t="str">
        <x:v>RET-MIS-MISSING</x:v>
      </x:c>
      <x:c r="P8" s="7" t="str"/>
      <x:c r="Q8" s="7" t="str"/>
      <x:c r="R8" s="7" t="str"/>
      <x:c r="S8" s="7" t="str"/>
    </x:row>
    <x:row r="9" ht="54" customHeight="1">
      <x:c r="A9" s="18" t="str">
        <x:v>RET-CIN-HELP</x:v>
      </x:c>
      <x:c r="B9" s="9" t="str">
        <x:v>Obtenir une assistance motivée — transition narrative</x:v>
      </x:c>
      <x:c r="C9" s="15" t="str">
        <x:v>Défini</x:v>
      </x:c>
      <x:c r="D9" s="16" t="str">
        <x:v>Extrapolation</x:v>
      </x:c>
      <x:c r="E9" s="16" t="str">
        <x:v>P1</x:v>
      </x:c>
      <x:c r="F9" s="9" t="str">
        <x:v>Mise en scène originale compacte, sans reconstituer les dialogues de l’œuvre.</x:v>
      </x:c>
      <x:c r="G9" s="9" t="str">
        <x:v>Un signal de soutien apparaît sans promesse de résolution totale.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cinematics/ret/help.timeline ; événements idempotents.</x:v>
      </x:c>
      <x:c r="M9" s="9" t="str">
        <x:v>Le rôle d’Orinia reste limité à ce qui est attesté.</x:v>
      </x:c>
      <x:c r="N9" s="9" t="str">
        <x:v>Version regardée et version sautée donnent les mêmes inventaire, équipe, carte et objectifs.</x:v>
      </x:c>
      <x:c r="O9" s="9" t="str">
        <x:v>RET-MIS-HELP</x:v>
      </x:c>
      <x:c r="P9" s="9" t="str"/>
      <x:c r="Q9" s="9" t="str"/>
      <x:c r="R9" s="9" t="str"/>
      <x:c r="S9" s="9" t="str"/>
    </x:row>
    <x:row r="10" ht="54" customHeight="1">
      <x:c r="A10" s="19" t="str">
        <x:v>RET-CIN-ACCESS</x:v>
      </x:c>
      <x:c r="B10" s="7" t="str">
        <x:v>Ouvrir une voie d’approche — transition narrative</x:v>
      </x:c>
      <x:c r="C10" s="15" t="str">
        <x:v>Défini</x:v>
      </x:c>
      <x:c r="D10" s="17" t="str">
        <x:v>Extrapolation</x:v>
      </x:c>
      <x:c r="E10" s="17" t="str">
        <x:v>P1</x:v>
      </x:c>
      <x:c r="F10" s="7" t="str">
        <x:v>Mise en scène originale compacte, sans reconstituer les dialogues de l’œuvre.</x:v>
      </x:c>
      <x:c r="G10" s="7" t="str">
        <x:v>Un voyant de porte révèle le passage disponible.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cinematics/ret/access.timeline ; événements idempotents.</x:v>
      </x:c>
      <x:c r="M10" s="7" t="str">
        <x:v>L’organisation des salles est une création de niveau.</x:v>
      </x:c>
      <x:c r="N10" s="7" t="str">
        <x:v>Version regardée et version sautée donnent les mêmes inventaire, équipe, carte et objectifs.</x:v>
      </x:c>
      <x:c r="O10" s="7" t="str">
        <x:v>RET-MIS-ACCESS</x:v>
      </x:c>
      <x:c r="P10" s="7" t="str"/>
      <x:c r="Q10" s="7" t="str"/>
      <x:c r="R10" s="7" t="str"/>
      <x:c r="S10" s="7" t="str"/>
    </x:row>
    <x:row r="11" ht="54" customHeight="1">
      <x:c r="A11" s="18" t="str">
        <x:v>RET-CIN-OBSERVE</x:v>
      </x:c>
      <x:c r="B11" s="9" t="str">
        <x:v>Distinguer signal et illusion — transition narrative</x:v>
      </x:c>
      <x:c r="C11" s="15" t="str">
        <x:v>Défini</x:v>
      </x:c>
      <x:c r="D11" s="16" t="str">
        <x:v>Extrapolation</x:v>
      </x:c>
      <x:c r="E11" s="16" t="str">
        <x:v>P1</x:v>
      </x:c>
      <x:c r="F11" s="9" t="str">
        <x:v>Mise en scène originale compacte, sans reconstituer les dialogues de l’œuvre.</x:v>
      </x:c>
      <x:c r="G11" s="9" t="str">
        <x:v>Superposition brève de deux lectures, désactivable en mode effets réduits.</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cinematics/ret/observe.timeline ; événements idempotents.</x:v>
      </x:c>
      <x:c r="M11" s="9" t="str">
        <x:v>Aucune option ne supprime définitivement le contrôle des Moissonneurs.</x:v>
      </x:c>
      <x:c r="N11" s="9" t="str">
        <x:v>Version regardée et version sautée donnent les mêmes inventaire, équipe, carte et objectifs.</x:v>
      </x:c>
      <x:c r="O11" s="9" t="str">
        <x:v>RET-MIS-OBSERVE</x:v>
      </x:c>
      <x:c r="P11" s="9" t="str"/>
      <x:c r="Q11" s="9" t="str"/>
      <x:c r="R11" s="9" t="str"/>
      <x:c r="S11" s="9" t="str"/>
    </x:row>
    <x:row r="12" ht="54" customHeight="1">
      <x:c r="A12" s="19" t="str">
        <x:v>RET-CIN-UNEASY</x:v>
      </x:c>
      <x:c r="B12" s="7" t="str">
        <x:v>Maintenir une coopération provisoire — transition narrative</x:v>
      </x:c>
      <x:c r="C12" s="15" t="str">
        <x:v>Défini</x:v>
      </x:c>
      <x:c r="D12" s="17" t="str">
        <x:v>Extrapolation</x:v>
      </x:c>
      <x:c r="E12" s="17" t="str">
        <x:v>P1</x:v>
      </x:c>
      <x:c r="F12" s="7" t="str">
        <x:v>Mise en scène originale compacte, sans reconstituer les dialogues de l’œuvre.</x:v>
      </x:c>
      <x:c r="G12" s="7" t="str">
        <x:v>Regards et courte phrase originale marquent l’accord limité.</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cinematics/ret/uneasy.timeline ; événements idempotents.</x:v>
      </x:c>
      <x:c r="M12" s="7" t="str">
        <x:v>Kai Leng n’est pas converti en compagnon fidèle.</x:v>
      </x:c>
      <x:c r="N12" s="7" t="str">
        <x:v>Version regardée et version sautée donnent les mêmes inventaire, équipe, carte et objectifs.</x:v>
      </x:c>
      <x:c r="O12" s="7" t="str">
        <x:v>RET-MIS-UNEASY</x:v>
      </x:c>
      <x:c r="P12" s="7" t="str"/>
      <x:c r="Q12" s="7" t="str"/>
      <x:c r="R12" s="7" t="str"/>
      <x:c r="S12" s="7" t="str"/>
    </x:row>
    <x:row r="13" ht="54" customHeight="1">
      <x:c r="A13" s="18" t="str">
        <x:v>RET-CIN-SHELTER</x:v>
      </x:c>
      <x:c r="B13" s="9" t="str">
        <x:v>Garder l’académie ouverte aux secours — transition narrative</x:v>
      </x:c>
      <x:c r="C13" s="15" t="str">
        <x:v>Défini</x:v>
      </x:c>
      <x:c r="D13" s="16" t="str">
        <x:v>Extrapolation</x:v>
      </x:c>
      <x:c r="E13" s="16" t="str">
        <x:v>P1</x:v>
      </x:c>
      <x:c r="F13" s="9" t="str">
        <x:v>Mise en scène originale compacte, sans reconstituer les dialogues de l’œuvre.</x:v>
      </x:c>
      <x:c r="G13" s="9" t="str">
        <x:v>La caméra privilégie la salle refuge et ses occupants.</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cinematics/ret/shelter.timeline ; événements idempotents.</x:v>
      </x:c>
      <x:c r="M13" s="9" t="str">
        <x:v>Les destins établis ne deviennent pas des récompenses de score.</x:v>
      </x:c>
      <x:c r="N13" s="9" t="str">
        <x:v>Version regardée et version sautée donnent les mêmes inventaire, équipe, carte et objectifs.</x:v>
      </x:c>
      <x:c r="O13" s="9" t="str">
        <x:v>RET-MIS-SHELTER</x:v>
      </x:c>
      <x:c r="P13" s="9" t="str"/>
      <x:c r="Q13" s="9" t="str"/>
      <x:c r="R13" s="9" t="str"/>
      <x:c r="S13" s="9" t="str"/>
    </x:row>
    <x:row r="14" ht="54" customHeight="1">
      <x:c r="A14" s="19" t="str">
        <x:v>RET-CIN-REPORT</x:v>
      </x:c>
      <x:c r="B14" s="7" t="str">
        <x:v>Conserver le résultat de l’opération — transition narrative</x:v>
      </x:c>
      <x:c r="C14" s="15" t="str">
        <x:v>Défini</x:v>
      </x:c>
      <x:c r="D14" s="17" t="str">
        <x:v>Extrapolation</x:v>
      </x:c>
      <x:c r="E14" s="17" t="str">
        <x:v>P1</x:v>
      </x:c>
      <x:c r="F14" s="7" t="str">
        <x:v>Mise en scène originale compacte, sans reconstituer les dialogues de l’œuvre.</x:v>
      </x:c>
      <x:c r="G14" s="7" t="str">
        <x:v>Plan calme sur les sièges vides et le rapport enregistré.</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cinematics/ret/report.timeline ; événements idempotents.</x:v>
      </x:c>
      <x:c r="M14" s="7" t="str">
        <x:v>Préserver les états de Grayson, Nick et Kai Leng nécessaires à la suite.</x:v>
      </x:c>
      <x:c r="N14" s="7" t="str">
        <x:v>Version regardée et version sautée donnent les mêmes inventaire, équipe, carte et objectifs.</x:v>
      </x:c>
      <x:c r="O14" s="7" t="str">
        <x:v>RET-MIS-REPORT</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55c92657e4284926"/>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Retribution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RET-REF-SHOTGUN</x:v>
      </x:c>
      <x:c r="B7" s="9" t="str">
        <x:v>Fusil à pompe d’Anderson</x:v>
      </x:c>
      <x:c r="C7" s="15" t="str">
        <x:v>Défini</x:v>
      </x:c>
      <x:c r="D7" s="16" t="str">
        <x:v>Établi</x:v>
      </x:c>
      <x:c r="E7" s="16" t="str">
        <x:v>P1</x:v>
      </x:c>
      <x:c r="F7" s="9" t="str">
        <x:v>Anderson emploie un fusil à pompe contre Grayson.</x:v>
      </x:c>
      <x:c r="G7" s="9" t="str">
        <x:v>Ancrage documentaire du module ; aucune statistique officielle inférée.</x:v>
      </x:c>
      <x:c r="H7" s="9" t="str"/>
      <x:c r="I7" s="9" t="str"/>
      <x:c r="J7" s="9" t="str"/>
      <x:c r="K7" s="9" t="str"/>
      <x:c r="L7" s="9" t="str">
        <x:v>Codex ref.ret.shotgun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e870af2717094c24"/>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Retribution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RET-REF-IMPLANTS</x:v>
      </x:c>
      <x:c r="B7" s="9" t="str">
        <x:v>Implants expérimentaux</x:v>
      </x:c>
      <x:c r="C7" s="15" t="str">
        <x:v>Défini</x:v>
      </x:c>
      <x:c r="D7" s="16" t="str">
        <x:v>Établi</x:v>
      </x:c>
      <x:c r="E7" s="16" t="str">
        <x:v>P1</x:v>
      </x:c>
      <x:c r="F7" s="9" t="str">
        <x:v>Grayson reçoit une technologie modifiée des Moissonneurs.</x:v>
      </x:c>
      <x:c r="G7" s="9" t="str">
        <x:v>Ancrage documentaire du module ; aucune statistique officielle inférée.</x:v>
      </x:c>
      <x:c r="H7" s="9" t="str"/>
      <x:c r="I7" s="9" t="str"/>
      <x:c r="J7" s="9" t="str"/>
      <x:c r="K7" s="9" t="str"/>
      <x:c r="L7" s="9" t="str">
        <x:v>Codex ref.ret.implants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RET-SRC-PUB</x:v>
      </x:c>
      <x:c r="R7" s="9" t="str">
        <x:v>https://www.penguinrandomhouse.com/books/200767/mass-effect-retribution-by-drew-karpyshyn/paperback/</x:v>
      </x:c>
      <x:c r="S7" s="9" t="str">
        <x:v>Ce relevé n’est ni un inventaire exhaustif ni un résumé scène par scène.</x:v>
      </x:c>
    </x:row>
    <x:row r="8" ht="68" customHeight="1">
      <x:c r="A8" s="19" t="str">
        <x:v>RET-REF-SHUTTLE</x:v>
      </x:c>
      <x:c r="B8" s="7" t="str">
        <x:v>Navette d’extraction</x:v>
      </x:c>
      <x:c r="C8" s="15" t="str">
        <x:v>Défini</x:v>
      </x:c>
      <x:c r="D8" s="17" t="str">
        <x:v>Établi</x:v>
      </x:c>
      <x:c r="E8" s="17" t="str">
        <x:v>P1</x:v>
      </x:c>
      <x:c r="F8" s="7" t="str">
        <x:v>Une navette intervient dans le déplacement vers l’académie.</x:v>
      </x:c>
      <x:c r="G8" s="7" t="str">
        <x:v>Ancrage documentaire du module ; aucune statistique officielle inférée.</x:v>
      </x:c>
      <x:c r="H8" s="7" t="str"/>
      <x:c r="I8" s="7" t="str"/>
      <x:c r="J8" s="7" t="str"/>
      <x:c r="K8" s="7" t="str"/>
      <x:c r="L8" s="7" t="str">
        <x:v>Codex ref.ret.shuttle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RET-SRC-KAI</x:v>
      </x:c>
      <x:c r="R8" s="7" t="str">
        <x:v>https://masseffect.fandom.com/wiki/Kai_Leng</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07fb8c50fc724efc"/>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Retribution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RET-REF-NICKBIO</x:v>
      </x:c>
      <x:c r="B7" s="9" t="str">
        <x:v>Biotique de Nick</x:v>
      </x:c>
      <x:c r="C7" s="15" t="str">
        <x:v>Défini</x:v>
      </x:c>
      <x:c r="D7" s="16" t="str">
        <x:v>Établi</x:v>
      </x:c>
      <x:c r="E7" s="16" t="str">
        <x:v>P1</x:v>
      </x:c>
      <x:c r="F7" s="9" t="str">
        <x:v>Kai Leng cherche à exploiter les aptitudes biotiques de Nick.</x:v>
      </x:c>
      <x:c r="G7" s="9" t="str">
        <x:v>Ancrage documentaire du module ; aucune statistique officielle inférée.</x:v>
      </x:c>
      <x:c r="H7" s="9" t="str"/>
      <x:c r="I7" s="9" t="str"/>
      <x:c r="J7" s="9" t="str"/>
      <x:c r="K7" s="9" t="str"/>
      <x:c r="L7" s="9" t="str">
        <x:v>Codex ref.ret.nickbio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fee5fe9381274a75"/>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Retribution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RET-MOV-SUPPRESS</x:v>
      </x:c>
      <x:c r="B7" s="9" t="str">
        <x:v>Appui d’extraction</x:v>
      </x:c>
      <x:c r="C7" s="15" t="str">
        <x:v>Défini</x:v>
      </x:c>
      <x:c r="D7" s="16" t="str">
        <x:v>Extrapolation</x:v>
      </x:c>
      <x:c r="E7" s="16" t="str">
        <x:v>P1</x:v>
      </x:c>
      <x:c r="F7" s="9" t="str">
        <x:v>Action de groupe originale ; elle n’est pas une compétence officielle de cette œuvre.</x:v>
      </x:c>
      <x:c r="G7" s="9" t="str">
        <x:v>Anderson : Empêcher une menace ajoutée d’interrompre un allié qui ouvre un sas.</x:v>
      </x:c>
      <x:c r="H7" s="9" t="str">
        <x:v>Empêcher une menace ajoutée d’interrompre un allié qui ouvre un sas. Coût initial proposé : une action ATB ; coût et délai restent des paramètres de prototype.</x:v>
      </x:c>
      <x:c r="I7" s="9" t="str">
        <x:v>Cône de couverture court.</x:v>
      </x:c>
      <x:c r="J7" s="9" t="str">
        <x:v>Préparation, validation de cible, engagement et récupération ; prévoir animation de refus avec motif.</x:v>
      </x:c>
      <x:c r="K7" s="9" t="str">
        <x:v>Confirmation et refus distingués ; texte d’état accessible au clavier.</x:v>
      </x:c>
      <x:c r="L7" s="9" t="str">
        <x:v>actions/ret/suppress.json ; commande, cibles autorisées, coût, effets, nettoyage.</x:v>
      </x:c>
      <x:c r="M7" s="9" t="str">
        <x:v>Préserver le parcours de Grayson et les états nécessaires à Deception et ME3. Les rencontres proposées n’offrent ni guérison canonique de Grayson ni élimination définitive de Kai Leng.</x:v>
      </x:c>
      <x:c r="N7" s="9" t="str">
        <x:v>Une cible incompatible ne consomme rien ; l’effet est réversible au rechargement du point de contrôle.</x:v>
      </x:c>
      <x:c r="O7" s="9" t="str"/>
      <x:c r="P7" s="9" t="str"/>
      <x:c r="Q7" s="9" t="str"/>
      <x:c r="R7" s="9" t="str"/>
      <x:c r="S7" s="9" t="str"/>
    </x:row>
    <x:row r="8" ht="68" customHeight="1">
      <x:c r="A8" s="19" t="str">
        <x:v>RET-MOV-CORROBORATE</x:v>
      </x:c>
      <x:c r="B8" s="7" t="str">
        <x:v>Confirmation externe</x:v>
      </x:c>
      <x:c r="C8" s="15" t="str">
        <x:v>Défini</x:v>
      </x:c>
      <x:c r="D8" s="17" t="str">
        <x:v>Extrapolation</x:v>
      </x:c>
      <x:c r="E8" s="17" t="str">
        <x:v>P1</x:v>
      </x:c>
      <x:c r="F8" s="7" t="str">
        <x:v>Action de groupe originale ; elle n’est pas une compétence officielle de cette œuvre.</x:v>
      </x:c>
      <x:c r="G8" s="7" t="str">
        <x:v>Kahlee : Valider un indice local avec une deuxième lecture ; aucune immunité à l’endoctrinement.</x:v>
      </x:c>
      <x:c r="H8" s="7" t="str">
        <x:v>Valider un indice local avec une deuxième lecture ; aucune immunité à l’endoctrinement. Coût initial proposé : une action ATB ; coût et délai restent des paramètres de prototype.</x:v>
      </x:c>
      <x:c r="I8" s="7" t="str">
        <x:v>Deux témoins de mesure séparés.</x:v>
      </x:c>
      <x:c r="J8" s="7" t="str">
        <x:v>Préparation, validation de cible, engagement et récupération ; prévoir animation de refus avec motif.</x:v>
      </x:c>
      <x:c r="K8" s="7" t="str">
        <x:v>Confirmation et refus distingués ; texte d’état accessible au clavier.</x:v>
      </x:c>
      <x:c r="L8" s="7" t="str">
        <x:v>actions/ret/corroborate.json ; commande, cibles autorisées, coût, effets, nettoyage.</x:v>
      </x:c>
      <x:c r="M8" s="7" t="str">
        <x:v>Préserver le parcours de Grayson et les états nécessaires à Deception et ME3. Les rencontres proposées n’offrent ni guérison canonique de Grayson ni élimination définitive de Kai Leng.</x:v>
      </x:c>
      <x:c r="N8" s="7" t="str">
        <x:v>Une cible incompatible ne consomme rien ; l’effet est réversible au rechargement du point de contrôle.</x:v>
      </x:c>
      <x:c r="O8" s="7" t="str"/>
      <x:c r="P8" s="7" t="str"/>
      <x:c r="Q8" s="7" t="str"/>
      <x:c r="R8" s="7" t="str"/>
      <x:c r="S8" s="7" t="str"/>
    </x:row>
    <x:row r="9" ht="68" customHeight="1">
      <x:c r="A9" s="18" t="str">
        <x:v>RET-MOV-GUIDE</x:v>
      </x:c>
      <x:c r="B9" s="9" t="str">
        <x:v>Mise à l’abri</x:v>
      </x:c>
      <x:c r="C9" s="15" t="str">
        <x:v>Défini</x:v>
      </x:c>
      <x:c r="D9" s="16" t="str">
        <x:v>Extrapolation</x:v>
      </x:c>
      <x:c r="E9" s="16" t="str">
        <x:v>P1</x:v>
      </x:c>
      <x:c r="F9" s="9" t="str">
        <x:v>Action de groupe originale ; elle n’est pas une compétence officielle de cette œuvre.</x:v>
      </x:c>
      <x:c r="G9" s="9" t="str">
        <x:v>Équipe pédagogique proposée : Guider un groupe civil jusqu’à la prochaine salle sûre.</x:v>
      </x:c>
      <x:c r="H9" s="9" t="str">
        <x:v>Guider un groupe civil jusqu’à la prochaine salle sûre. Coût initial proposé : une action ATB ; coût et délai restent des paramètres de prototype.</x:v>
      </x:c>
      <x:c r="I9" s="9" t="str">
        <x:v>Marqueurs de destination visibles pour le groupe.</x:v>
      </x:c>
      <x:c r="J9" s="9" t="str">
        <x:v>Préparation, validation de cible, engagement et récupération ; prévoir animation de refus avec motif.</x:v>
      </x:c>
      <x:c r="K9" s="9" t="str">
        <x:v>Confirmation et refus distingués ; texte d’état accessible au clavier.</x:v>
      </x:c>
      <x:c r="L9" s="9" t="str">
        <x:v>actions/ret/guide.json ; commande, cibles autorisées, coût, effets, nettoyage.</x:v>
      </x:c>
      <x:c r="M9" s="9" t="str">
        <x:v>Préserver le parcours de Grayson et les états nécessaires à Deception et ME3. Les rencontres proposées n’offrent ni guérison canonique de Grayson ni élimination définitive de Kai Leng.</x:v>
      </x:c>
      <x:c r="N9" s="9" t="str">
        <x:v>Une cible incompatible ne consomme rien ; l’effet est réversible au rechargement du point de contrôle.</x:v>
      </x:c>
      <x:c r="O9" s="9" t="str"/>
      <x:c r="P9" s="9" t="str"/>
      <x:c r="Q9" s="9" t="str"/>
      <x:c r="R9" s="9" t="str"/>
      <x:c r="S9" s="9" t="str"/>
    </x:row>
    <x:row r="10" ht="68" customHeight="1">
      <x:c r="A10" s="19" t="str">
        <x:v>RET-MOV-TRACE</x:v>
      </x:c>
      <x:c r="B10" s="7" t="str">
        <x:v>Traçage de liaison</x:v>
      </x:c>
      <x:c r="C10" s="15" t="str">
        <x:v>Défini</x:v>
      </x:c>
      <x:c r="D10" s="17" t="str">
        <x:v>Extrapolation</x:v>
      </x:c>
      <x:c r="E10" s="17" t="str">
        <x:v>P1</x:v>
      </x:c>
      <x:c r="F10" s="7" t="str">
        <x:v>Action de groupe originale ; elle n’est pas une compétence officielle de cette œuvre.</x:v>
      </x:c>
      <x:c r="G10" s="7" t="str">
        <x:v>Technicien proposé : Repérer l’origine locale d’un message sans révéler tous les secrets de Cerberus.</x:v>
      </x:c>
      <x:c r="H10" s="7" t="str">
        <x:v>Repérer l’origine locale d’un message sans révéler tous les secrets de Cerberus. Coût initial proposé : une action ATB ; coût et délai restent des paramètres de prototype.</x:v>
      </x:c>
      <x:c r="I10" s="7" t="str">
        <x:v>Ligne réseau limitée aux nœuds connus.</x:v>
      </x:c>
      <x:c r="J10" s="7" t="str">
        <x:v>Préparation, validation de cible, engagement et récupération ; prévoir animation de refus avec motif.</x:v>
      </x:c>
      <x:c r="K10" s="7" t="str">
        <x:v>Confirmation et refus distingués ; texte d’état accessible au clavier.</x:v>
      </x:c>
      <x:c r="L10" s="7" t="str">
        <x:v>actions/ret/trace.json ; commande, cibles autorisées, coût, effets, nettoyage.</x:v>
      </x:c>
      <x:c r="M10" s="7" t="str">
        <x:v>Préserver le parcours de Grayson et les états nécessaires à Deception et ME3. Les rencontres proposées n’offrent ni guérison canonique de Grayson ni élimination définitive de Kai Leng.</x:v>
      </x:c>
      <x:c r="N10" s="7" t="str">
        <x:v>Une cible incompatible ne consomme rien ; l’effet est réversible au rechargement du point de contrôle.</x:v>
      </x:c>
      <x:c r="O10" s="7" t="str"/>
      <x:c r="P10" s="7" t="str"/>
      <x:c r="Q10" s="7" t="str"/>
      <x:c r="R10" s="7" t="str"/>
      <x:c r="S10" s="7" t="str"/>
    </x:row>
    <x:row r="11" ht="68" customHeight="1">
      <x:c r="A11" s="18" t="str">
        <x:v>RET-MOV-BLOCK</x:v>
      </x:c>
      <x:c r="B11" s="9" t="str">
        <x:v>Verrou de passage</x:v>
      </x:c>
      <x:c r="C11" s="15" t="str">
        <x:v>Défini</x:v>
      </x:c>
      <x:c r="D11" s="16" t="str">
        <x:v>Extrapolation</x:v>
      </x:c>
      <x:c r="E11" s="16" t="str">
        <x:v>P1</x:v>
      </x:c>
      <x:c r="F11" s="9" t="str">
        <x:v>Action de groupe originale ; elle n’est pas une compétence officielle de cette œuvre.</x:v>
      </x:c>
      <x:c r="G11" s="9" t="str">
        <x:v>Groupe : Bloquer temporairement une porte après le passage des civils.</x:v>
      </x:c>
      <x:c r="H11" s="9" t="str">
        <x:v>Bloquer temporairement une porte après le passage des civils. Coût initial proposé : une action ATB ; coût et délai restent des paramètres de prototype.</x:v>
      </x:c>
      <x:c r="I11" s="9" t="str">
        <x:v>Verrou mécanique et compte d’occupants.</x:v>
      </x:c>
      <x:c r="J11" s="9" t="str">
        <x:v>Préparation, validation de cible, engagement et récupération ; prévoir animation de refus avec motif.</x:v>
      </x:c>
      <x:c r="K11" s="9" t="str">
        <x:v>Confirmation et refus distingués ; texte d’état accessible au clavier.</x:v>
      </x:c>
      <x:c r="L11" s="9" t="str">
        <x:v>actions/ret/block.json ; commande, cibles autorisées, coût, effets, nettoyage.</x:v>
      </x:c>
      <x:c r="M11" s="9" t="str">
        <x:v>Préserver le parcours de Grayson et les états nécessaires à Deception et ME3. Les rencontres proposées n’offrent ni guérison canonique de Grayson ni élimination définitive de Kai Leng.</x:v>
      </x:c>
      <x:c r="N11" s="9" t="str">
        <x:v>Une cible incompatible ne consomme rien ; l’effet est réversible au rechargement du point de contrôle.</x:v>
      </x:c>
      <x:c r="O11" s="9" t="str"/>
      <x:c r="P11" s="9" t="str"/>
      <x:c r="Q11" s="9" t="str"/>
      <x:c r="R11" s="9" t="str"/>
      <x:c r="S11" s="9" t="str"/>
    </x:row>
    <x:row r="12" ht="68" customHeight="1">
      <x:c r="A12" s="19" t="str">
        <x:v>RET-MOV-STABILIZE</x:v>
      </x:c>
      <x:c r="B12" s="7" t="str">
        <x:v>Assistance au blessé</x:v>
      </x:c>
      <x:c r="C12" s="15" t="str">
        <x:v>Défini</x:v>
      </x:c>
      <x:c r="D12" s="17" t="str">
        <x:v>Extrapolation</x:v>
      </x:c>
      <x:c r="E12" s="17" t="str">
        <x:v>P1</x:v>
      </x:c>
      <x:c r="F12" s="7" t="str">
        <x:v>Action de groupe originale ; elle n’est pas une compétence officielle de cette œuvre.</x:v>
      </x:c>
      <x:c r="G12" s="7" t="str">
        <x:v>Groupe : Maintenir un état de secours abstrait jusqu’à l’arrivée de l’aide.</x:v>
      </x:c>
      <x:c r="H12" s="7" t="str">
        <x:v>Maintenir un état de secours abstrait jusqu’à l’arrivée de l’aide. Coût initial proposé : une action ATB ; coût et délai restent des paramètres de prototype.</x:v>
      </x:c>
      <x:c r="I12" s="7" t="str">
        <x:v>Icône d’assistance sans détail médical réel.</x:v>
      </x:c>
      <x:c r="J12" s="7" t="str">
        <x:v>Préparation, validation de cible, engagement et récupération ; prévoir animation de refus avec motif.</x:v>
      </x:c>
      <x:c r="K12" s="7" t="str">
        <x:v>Confirmation et refus distingués ; texte d’état accessible au clavier.</x:v>
      </x:c>
      <x:c r="L12" s="7" t="str">
        <x:v>actions/ret/stabilize.json ; commande, cibles autorisées, coût, effets, nettoyage.</x:v>
      </x:c>
      <x:c r="M12" s="7" t="str">
        <x:v>Préserver le parcours de Grayson et les états nécessaires à Deception et ME3. Les rencontres proposées n’offrent ni guérison canonique de Grayson ni élimination définitive de Kai Leng.</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13ca951dfe7f4f04"/>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Retribution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RET-EMV-CERB</x:v>
      </x:c>
      <x:c r="B7" s="9" t="str">
        <x:v>Équipe de capture proposée — comportement principal</x:v>
      </x:c>
      <x:c r="C7" s="15" t="str">
        <x:v>Défini</x:v>
      </x:c>
      <x:c r="D7" s="16" t="str">
        <x:v>Extrapolation</x:v>
      </x:c>
      <x:c r="E7" s="16" t="str">
        <x:v>P1</x:v>
      </x:c>
      <x:c r="F7" s="9" t="str">
        <x:v>Comportement proposé pour la rencontre liée.</x:v>
      </x:c>
      <x:c r="G7" s="9" t="str">
        <x:v>Un opérateur marque la cible pendant que deux silhouettes contrôlent les sorties.</x:v>
      </x:c>
      <x:c r="H7" s="9" t="str">
        <x:v>Télégraphe : Marqueur de poursuite et mouvement vers les issues. Contre-mesure : Briser la ligne de marquage et ouvrir une sortie secondaire.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behaviors/ret/cerb : prepare/commit/recover ; paramètres séparés du code.</x:v>
      </x:c>
      <x:c r="M7" s="9" t="str">
        <x:v>Uniquement quand la rencontre correspondante est active.</x:v>
      </x:c>
      <x:c r="N7" s="9" t="str">
        <x:v>L’indicateur apparaît avant la conséquence ; la contre-mesure fonctionne en pause et à vitesse normale.</x:v>
      </x:c>
      <x:c r="O7" s="9" t="str">
        <x:v>RET-ENC-CERB</x:v>
      </x:c>
      <x:c r="P7" s="9" t="str"/>
      <x:c r="Q7" s="9" t="str"/>
      <x:c r="R7" s="9" t="str"/>
      <x:c r="S7" s="9" t="str"/>
    </x:row>
    <x:row r="8" ht="68" customHeight="1">
      <x:c r="A8" s="19" t="str">
        <x:v>RET-EMV-LENG</x:v>
      </x:c>
      <x:c r="B8" s="7" t="str">
        <x:v>Kai Leng — contrôle d’accès proposé — comportement principal</x:v>
      </x:c>
      <x:c r="C8" s="15" t="str">
        <x:v>Défini</x:v>
      </x:c>
      <x:c r="D8" s="17" t="str">
        <x:v>Extrapolation</x:v>
      </x:c>
      <x:c r="E8" s="17" t="str">
        <x:v>P1</x:v>
      </x:c>
      <x:c r="F8" s="7" t="str">
        <x:v>Comportement proposé pour la rencontre liée.</x:v>
      </x:c>
      <x:c r="G8" s="7" t="str">
        <x:v>Feinte de déplacement puis verrouillage d’un objectif de sortie.</x:v>
      </x:c>
      <x:c r="H8" s="7" t="str">
        <x:v>Télégraphe : Variation de posture et indicateur de la porte menacée. Contre-mesure : Protéger l’objectif plutôt que poursuivre son ombre.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behaviors/ret/leng : prepare/commit/recover ; paramètres séparés du code.</x:v>
      </x:c>
      <x:c r="M8" s="7" t="str">
        <x:v>Uniquement quand la rencontre correspondante est active.</x:v>
      </x:c>
      <x:c r="N8" s="7" t="str">
        <x:v>L’indicateur apparaît avant la conséquence ; la contre-mesure fonctionne en pause et à vitesse normale.</x:v>
      </x:c>
      <x:c r="O8" s="7" t="str">
        <x:v>RET-ENC-LENG</x:v>
      </x:c>
      <x:c r="P8" s="7" t="str"/>
      <x:c r="Q8" s="7" t="str"/>
      <x:c r="R8" s="7" t="str"/>
      <x:c r="S8" s="7" t="str"/>
    </x:row>
    <x:row r="9" ht="82" customHeight="1">
      <x:c r="A9" s="18" t="str">
        <x:v>RET-EMV-REAPER</x:v>
      </x:c>
      <x:c r="B9" s="9" t="str">
        <x:v>Pression du contrôle moissonneur — comportement principal</x:v>
      </x:c>
      <x:c r="C9" s="15" t="str">
        <x:v>Défini</x:v>
      </x:c>
      <x:c r="D9" s="16" t="str">
        <x:v>Extrapolation</x:v>
      </x:c>
      <x:c r="E9" s="16" t="str">
        <x:v>P1</x:v>
      </x:c>
      <x:c r="F9" s="9" t="str">
        <x:v>Comportement proposé pour la rencontre liée.</x:v>
      </x:c>
      <x:c r="G9" s="9" t="str">
        <x:v>Trouble la lecture d’un indice et pousse à confirmer par un allié.</x:v>
      </x:c>
      <x:c r="H9" s="9" t="str">
        <x:v>Télégraphe : Double affichage explicitement identifié comme perception incertaine. Contre-mesure : Comparer au relevé externe et suspendre une décision irréversible.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behaviors/ret/reaper : prepare/commit/recover ; paramètres séparés du code.</x:v>
      </x:c>
      <x:c r="M9" s="9" t="str">
        <x:v>Uniquement quand la rencontre correspondante est active.</x:v>
      </x:c>
      <x:c r="N9" s="9" t="str">
        <x:v>L’indicateur apparaît avant la conséquence ; la contre-mesure fonctionne en pause et à vitesse normale.</x:v>
      </x:c>
      <x:c r="O9" s="9" t="str">
        <x:v>RET-ENC-REAPER</x:v>
      </x:c>
      <x:c r="P9" s="9" t="str"/>
      <x:c r="Q9" s="9" t="str"/>
      <x:c r="R9" s="9" t="str"/>
      <x:c r="S9" s="9" t="str"/>
    </x:row>
    <x:row r="10" ht="68" customHeight="1">
      <x:c r="A10" s="19" t="str">
        <x:v>RET-EMV-LOCKDOWN</x:v>
      </x:c>
      <x:c r="B10" s="7" t="str">
        <x:v>Confinement en chaîne — comportement principal</x:v>
      </x:c>
      <x:c r="C10" s="15" t="str">
        <x:v>Défini</x:v>
      </x:c>
      <x:c r="D10" s="17" t="str">
        <x:v>Extrapolation</x:v>
      </x:c>
      <x:c r="E10" s="17" t="str">
        <x:v>P1</x:v>
      </x:c>
      <x:c r="F10" s="7" t="str">
        <x:v>Comportement proposé pour la rencontre liée.</x:v>
      </x:c>
      <x:c r="G10" s="7" t="str">
        <x:v>Ferme deux routes et force la redistribution d’énergie.</x:v>
      </x:c>
      <x:c r="H10" s="7" t="str">
        <x:v>Télégraphe : Séquence de voyants numérotés au-dessus des sas. Contre-mesure : Conserver un chemin ouvert et basculer le circuit de secours.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behaviors/ret/lockdown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RET-ENC-LOCKDOWN</x:v>
      </x:c>
      <x:c r="P10" s="7" t="str"/>
      <x:c r="Q10" s="7" t="str"/>
      <x:c r="R10" s="7" t="str"/>
      <x:c r="S10" s="7"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23465bd1c774928"/>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Retribution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RET-ANI-GRAYSON</x:v>
      </x:c>
      <x:c r="B7" s="9" t="str">
        <x:v>Paul Grayson — jeu de poses contextuelles</x:v>
      </x:c>
      <x:c r="C7" s="15" t="str">
        <x:v>Défini</x:v>
      </x:c>
      <x:c r="D7" s="16" t="str">
        <x:v>Extrapolation</x:v>
      </x:c>
      <x:c r="E7" s="16" t="str">
        <x:v>P1</x:v>
      </x:c>
      <x:c r="F7" s="9" t="str">
        <x:v>Création proposée : poses nécessaires à l’interaction « Servir de point de vue limité lors d’une séquence de perception proposée. ».</x:v>
      </x:c>
      <x:c r="G7" s="9" t="str">
        <x:v>Blocage animé de Paul Grayson : anticipation, action, récupération, retour au repos ; prévoir une interruption propre.</x:v>
      </x:c>
      <x:c r="H7" s="9" t="str">
        <x:v>Servir de point de vue limité lors d’une séquence de perception proposée. L’effet logique ne dépend jamais de la cadence du rendu.</x:v>
      </x:c>
      <x:c r="I7" s="9" t="str">
        <x:v>Conserver les repères de silhouette : Civil puis silhouette altérée ; pas de monstre générique dès sa première apparition.</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actor.ret.grayson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RET-SPR-GRAYSON</x:v>
      </x:c>
      <x:c r="P7" s="9" t="str"/>
      <x:c r="Q7" s="9" t="str"/>
      <x:c r="R7" s="9" t="str"/>
      <x:c r="S7" s="9" t="str"/>
    </x:row>
    <x:row r="8" ht="54" customHeight="1">
      <x:c r="A8" s="19" t="str">
        <x:v>RET-ANI-KAHLEE</x:v>
      </x:c>
      <x:c r="B8" s="7" t="str">
        <x:v>Kahlee Sanders — jeu de poses contextuelles</x:v>
      </x:c>
      <x:c r="C8" s="15" t="str">
        <x:v>Défini</x:v>
      </x:c>
      <x:c r="D8" s="17" t="str">
        <x:v>Extrapolation</x:v>
      </x:c>
      <x:c r="E8" s="17" t="str">
        <x:v>P1</x:v>
      </x:c>
      <x:c r="F8" s="7" t="str">
        <x:v>Création proposée : poses nécessaires à l’interaction « Assembler un dossier de localisation à partir de traces vérifiables. ».</x:v>
      </x:c>
      <x:c r="G8" s="7" t="str">
        <x:v>Blocage animé de Kahlee Sanders : anticipation, action, récupération, retour au repos ; prévoir une interruption propre.</x:v>
      </x:c>
      <x:c r="H8" s="7" t="str">
        <x:v>Assembler un dossier de localisation à partir de traces vérifiables. L’effet logique ne dépend jamais de la cadence du rendu.</x:v>
      </x:c>
      <x:c r="I8" s="7" t="str">
        <x:v>Conserver les repères de silhouette : Tenue de scientifique mobile, matériel d’analyse, posture déterminée.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actor.ret.kahlee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RET-SPR-KAHLEE</x:v>
      </x:c>
      <x:c r="P8" s="7" t="str"/>
      <x:c r="Q8" s="7" t="str"/>
      <x:c r="R8" s="7" t="str"/>
      <x:c r="S8" s="7" t="str"/>
    </x:row>
    <x:row r="9" ht="54" customHeight="1">
      <x:c r="A9" s="18" t="str">
        <x:v>RET-ANI-ANDERSON</x:v>
      </x:c>
      <x:c r="B9" s="9" t="str">
        <x:v>David Anderson — jeu de poses contextuelles</x:v>
      </x:c>
      <x:c r="C9" s="15" t="str">
        <x:v>Défini</x:v>
      </x:c>
      <x:c r="D9" s="16" t="str">
        <x:v>Extrapolation</x:v>
      </x:c>
      <x:c r="E9" s="16" t="str">
        <x:v>P1</x:v>
      </x:c>
      <x:c r="F9" s="9" t="str">
        <x:v>Création proposée : poses nécessaires à l’interaction « Coordonner protection, progression et retour des informations. ».</x:v>
      </x:c>
      <x:c r="G9" s="9" t="str">
        <x:v>Blocage animé de David Anderson : anticipation, action, récupération, retour au repos ; prévoir une interruption propre.</x:v>
      </x:c>
      <x:c r="H9" s="9" t="str">
        <x:v>Coordonner protection, progression et retour des informations. L’effet logique ne dépend jamais de la cadence du rendu.</x:v>
      </x:c>
      <x:c r="I9" s="9" t="str">
        <x:v>Conserver les repères de silhouette : Armure militaire sobre avec variante civile ; aucun équipement tardif automatique.</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actor.ret.anderson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RET-SPR-ANDERSON</x:v>
      </x:c>
      <x:c r="P9" s="9" t="str"/>
      <x:c r="Q9" s="9" t="str"/>
      <x:c r="R9" s="9" t="str"/>
      <x:c r="S9" s="9" t="str"/>
    </x:row>
    <x:row r="10" ht="54" customHeight="1">
      <x:c r="A10" s="19" t="str">
        <x:v>RET-ANI-KAILENG</x:v>
      </x:c>
      <x:c r="B10" s="7" t="str">
        <x:v>Kai Leng — jeu de poses contextuelles</x:v>
      </x:c>
      <x:c r="C10" s="15" t="str">
        <x:v>Défini</x:v>
      </x:c>
      <x:c r="D10" s="17" t="str">
        <x:v>Extrapolation</x:v>
      </x:c>
      <x:c r="E10" s="17" t="str">
        <x:v>P1</x:v>
      </x:c>
      <x:c r="F10" s="7" t="str">
        <x:v>Création proposée : poses nécessaires à l’interaction « Imposer un duel de contrôle d’objectif dont il peut sortir selon le récit. ».</x:v>
      </x:c>
      <x:c r="G10" s="7" t="str">
        <x:v>Blocage animé de Kai Leng : anticipation, action, récupération, retour au repos ; prévoir une interruption propre.</x:v>
      </x:c>
      <x:c r="H10" s="7" t="str">
        <x:v>Imposer un duel de contrôle d’objectif dont il peut sortir selon le récit. L’effet logique ne dépend jamais de la cadence du rendu.</x:v>
      </x:c>
      <x:c r="I10" s="7" t="str">
        <x:v>Conserver les repères de silhouette : Tenue d’infiltration propre à la période ; éviter une copie immédiate de ME3.</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actor.ret.kaileng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RET-SPR-KAILENG</x:v>
      </x:c>
      <x:c r="P10" s="7" t="str"/>
      <x:c r="Q10" s="7" t="str"/>
      <x:c r="R10" s="7" t="str"/>
      <x:c r="S10" s="7" t="str"/>
    </x:row>
    <x:row r="11" ht="54" customHeight="1">
      <x:c r="A11" s="18" t="str">
        <x:v>RET-ANI-ILLUSIVE</x:v>
      </x:c>
      <x:c r="B11" s="9" t="str">
        <x:v>Homme Trouble — jeu de poses contextuelles</x:v>
      </x:c>
      <x:c r="C11" s="15" t="str">
        <x:v>Défini</x:v>
      </x:c>
      <x:c r="D11" s="16" t="str">
        <x:v>Extrapolation</x:v>
      </x:c>
      <x:c r="E11" s="16" t="str">
        <x:v>P1</x:v>
      </x:c>
      <x:c r="F11" s="9" t="str">
        <x:v>Création proposée : poses nécessaires à l’interaction « Intervenir par une instruction qui ne révèle pas tous ses objectifs. ».</x:v>
      </x:c>
      <x:c r="G11" s="9" t="str">
        <x:v>Blocage animé de Homme Trouble : anticipation, action, récupération, retour au repos ; prévoir une interruption propre.</x:v>
      </x:c>
      <x:c r="H11" s="9" t="str">
        <x:v>Intervenir par une instruction qui ne révèle pas tous ses objectifs. L’effet logique ne dépend jamais de la cadence du rendu.</x:v>
      </x:c>
      <x:c r="I11" s="9" t="str">
        <x:v>Conserver les repères de silhouette : Silhouette en communication distante, cadrage contenu et décor abstrait.</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actor.ret.illusive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RET-SPR-ILLUSIVE</x:v>
      </x:c>
      <x:c r="P11" s="9" t="str"/>
      <x:c r="Q11" s="9" t="str"/>
      <x:c r="R11" s="9" t="str"/>
      <x:c r="S11" s="9" t="str"/>
    </x:row>
    <x:row r="12" ht="68" customHeight="1">
      <x:c r="A12" s="19" t="str">
        <x:v>RET-ANI-LISELLE</x:v>
      </x:c>
      <x:c r="B12" s="7" t="str">
        <x:v>Liselle — jeu de poses contextuelles</x:v>
      </x:c>
      <x:c r="C12" s="15" t="str">
        <x:v>Défini</x:v>
      </x:c>
      <x:c r="D12" s="17" t="str">
        <x:v>Extrapolation</x:v>
      </x:c>
      <x:c r="E12" s="17" t="str">
        <x:v>P1</x:v>
      </x:c>
      <x:c r="F12" s="7" t="str">
        <x:v>Création proposée : poses nécessaires à l’interaction « Participer à un échange de préparation situé avant les événements qui l’excluent. ».</x:v>
      </x:c>
      <x:c r="G12" s="7" t="str">
        <x:v>Blocage animé de Liselle : anticipation, action, récupération, retour au repos ; prévoir une interruption propre.</x:v>
      </x:c>
      <x:c r="H12" s="7" t="str">
        <x:v>Participer à un échange de préparation situé avant les événements qui l’excluent. L’effet logique ne dépend jamais de la cadence du rendu.</x:v>
      </x:c>
      <x:c r="I12" s="7" t="str">
        <x:v>Conserver les repères de silhouette : Tenue de terrain asari proposée ; portrait personnel distinct de sa mère.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actor.ret.liselle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RET-SPR-LISELLE</x:v>
      </x:c>
      <x:c r="P12" s="7" t="str"/>
      <x:c r="Q12" s="7" t="str"/>
      <x:c r="R12" s="7" t="str"/>
      <x:c r="S12" s="7" t="str"/>
    </x:row>
    <x:row r="13" ht="54" customHeight="1">
      <x:c r="A13" s="18" t="str">
        <x:v>RET-ANI-ARIA</x:v>
      </x:c>
      <x:c r="B13" s="9" t="str">
        <x:v>Aria T’Loak — jeu de poses contextuelles</x:v>
      </x:c>
      <x:c r="C13" s="15" t="str">
        <x:v>Défini</x:v>
      </x:c>
      <x:c r="D13" s="16" t="str">
        <x:v>Extrapolation</x:v>
      </x:c>
      <x:c r="E13" s="16" t="str">
        <x:v>P1</x:v>
      </x:c>
      <x:c r="F13" s="9" t="str">
        <x:v>Création proposée : poses nécessaires à l’interaction « Autoriser ou refuser un accès local sans score de moralité. ».</x:v>
      </x:c>
      <x:c r="G13" s="9" t="str">
        <x:v>Blocage animé de Aria T’Loak : anticipation, action, récupération, retour au repos ; prévoir une interruption propre.</x:v>
      </x:c>
      <x:c r="H13" s="9" t="str">
        <x:v>Autoriser ou refuser un accès local sans score de moralité. L’effet logique ne dépend jamais de la cadence du rendu.</x:v>
      </x:c>
      <x:c r="I13" s="9" t="str">
        <x:v>Conserver les repères de silhouette : Silhouette asari assurée ; cadrage fixe plutôt qu’un nouveau boss.</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actor.ret.aria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RET-SPR-ARIA</x:v>
      </x:c>
      <x:c r="P13" s="9" t="str"/>
      <x:c r="Q13" s="9" t="str"/>
      <x:c r="R13" s="9" t="str"/>
      <x:c r="S13" s="9" t="str"/>
    </x:row>
    <x:row r="14" ht="54" customHeight="1">
      <x:c r="A14" s="19" t="str">
        <x:v>RET-ANI-SANAK</x:v>
      </x:c>
      <x:c r="B14" s="7" t="str">
        <x:v>Sanak — jeu de poses contextuelles</x:v>
      </x:c>
      <x:c r="C14" s="15" t="str">
        <x:v>Défini</x:v>
      </x:c>
      <x:c r="D14" s="17" t="str">
        <x:v>Extrapolation</x:v>
      </x:c>
      <x:c r="E14" s="17" t="str">
        <x:v>P1</x:v>
      </x:c>
      <x:c r="F14" s="7" t="str">
        <x:v>Création proposée : poses nécessaires à l’interaction « Contrôler un contrat fictif et contester un risque de mission. ».</x:v>
      </x:c>
      <x:c r="G14" s="7" t="str">
        <x:v>Blocage animé de Sanak : anticipation, action, récupération, retour au repos ; prévoir une interruption propre.</x:v>
      </x:c>
      <x:c r="H14" s="7" t="str">
        <x:v>Contrôler un contrat fictif et contester un risque de mission. L’effet logique ne dépend jamais de la cadence du rendu.</x:v>
      </x:c>
      <x:c r="I14" s="7" t="str">
        <x:v>Conserver les repères de silhouette : Combattant de terrain distinct de l’escouade Cerberus ; espèce et tenue à vérifier dans l’édition.</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actor.ret.sanak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RET-SPR-SANAK</x:v>
      </x:c>
      <x:c r="P14" s="7" t="str"/>
      <x:c r="Q14" s="7" t="str"/>
      <x:c r="R14" s="7" t="str"/>
      <x:c r="S14" s="7" t="str"/>
    </x:row>
    <x:row r="15" ht="54" customHeight="1">
      <x:c r="A15" s="18" t="str">
        <x:v>RET-ANI-ORINIA</x:v>
      </x:c>
      <x:c r="B15" s="9" t="str">
        <x:v>Orinia — jeu de poses contextuelles</x:v>
      </x:c>
      <x:c r="C15" s="15" t="str">
        <x:v>Défini</x:v>
      </x:c>
      <x:c r="D15" s="16" t="str">
        <x:v>Extrapolation</x:v>
      </x:c>
      <x:c r="E15" s="16" t="str">
        <x:v>P1</x:v>
      </x:c>
      <x:c r="F15" s="9" t="str">
        <x:v>Création proposée : poses nécessaires à l’interaction « Évaluer une demande d’assistance étayée par des preuves. ».</x:v>
      </x:c>
      <x:c r="G15" s="9" t="str">
        <x:v>Blocage animé de Orinia : anticipation, action, récupération, retour au repos ; prévoir une interruption propre.</x:v>
      </x:c>
      <x:c r="H15" s="9" t="str">
        <x:v>Évaluer une demande d’assistance étayée par des preuves. L’effet logique ne dépend jamais de la cadence du rendu.</x:v>
      </x:c>
      <x:c r="I15" s="9" t="str">
        <x:v>Conserver les repères de silhouette : Tenue diplomatique turienne proposée, posture administrative distincte de Saren.</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actor.ret.orinia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RET-SPR-ORINIA</x:v>
      </x:c>
      <x:c r="P15" s="9" t="str"/>
      <x:c r="Q15" s="9" t="str"/>
      <x:c r="R15" s="9" t="str"/>
      <x:c r="S15" s="9" t="str"/>
    </x:row>
    <x:row r="16" ht="54" customHeight="1">
      <x:c r="A16" s="19" t="str">
        <x:v>RET-ANI-NICK</x:v>
      </x:c>
      <x:c r="B16" s="7" t="str">
        <x:v>Nick Donahue — jeu de poses contextuelles</x:v>
      </x:c>
      <x:c r="C16" s="15" t="str">
        <x:v>Défini</x:v>
      </x:c>
      <x:c r="D16" s="17" t="str">
        <x:v>Extrapolation</x:v>
      </x:c>
      <x:c r="E16" s="17" t="str">
        <x:v>P1</x:v>
      </x:c>
      <x:c r="F16" s="7" t="str">
        <x:v>Création proposée : poses nécessaires à l’interaction « Suivre des consignes de mise à l’abri sans recrutement permanent au combat. ».</x:v>
      </x:c>
      <x:c r="G16" s="7" t="str">
        <x:v>Blocage animé de Nick Donahue : anticipation, action, récupération, retour au repos ; prévoir une interruption propre.</x:v>
      </x:c>
      <x:c r="H16" s="7" t="str">
        <x:v>Suivre des consignes de mise à l’abri sans recrutement permanent au combat. L’effet logique ne dépend jamais de la cadence du rendu.</x:v>
      </x:c>
      <x:c r="I16" s="7" t="str">
        <x:v>Conserver les repères de silhouette : Silhouette adolescente, tenue d’élève, variante d’alerte et de soin.</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actor.ret.nick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RET-SPR-NICK</x:v>
      </x:c>
      <x:c r="P16" s="7" t="str"/>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3900cb3a81284138"/>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Retribution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RET-SPR-GRAYSON</x:v>
      </x:c>
      <x:c r="B7" s="9" t="str">
        <x:v>Paul Grayson — planche sprite</x:v>
      </x:c>
      <x:c r="C7" s="15" t="str">
        <x:v>Défini</x:v>
      </x:c>
      <x:c r="D7" s="16" t="str">
        <x:v>Extrapolation</x:v>
      </x:c>
      <x:c r="E7" s="16" t="str">
        <x:v>P1</x:v>
      </x:c>
      <x:c r="F7" s="9" t="str">
        <x:v>Création proposée : représentation 2D de Paul Grayson pour ce module.</x:v>
      </x:c>
      <x:c r="G7" s="9" t="str">
        <x:v>Civil puis silhouette altérée ; pas de monstre générique dès sa première apparition. Préparer silhouette entière, portrait de dialogue et masque de sélection.</x:v>
      </x:c>
      <x:c r="H7" s="9" t="str">
        <x:v>La zone interactive reste stable entre les poses ; la tenue ne confère aucun bonus implicite.</x:v>
      </x:c>
      <x:c r="I7" s="9" t="str">
        <x:v>Civil puis silhouette altérée ; pas de monstre générique dès sa première apparition.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assets/ret/actors/grayson/atlas.png + atlas.json, pivot aux pieds.</x:v>
      </x:c>
      <x:c r="M7" s="9" t="str">
        <x:v>Visible uniquement quand Paul Grayson est autorisé par l’état narratif.</x:v>
      </x:c>
      <x:c r="N7" s="9" t="str">
        <x:v>Silhouette reconnue sans nom ; pieds sans glissement ; portrait et sprite cohérents à échelle réelle.</x:v>
      </x:c>
      <x:c r="O7" s="9" t="str">
        <x:v>RET-CHR-GRAYSON</x:v>
      </x:c>
      <x:c r="P7" s="9" t="str"/>
      <x:c r="Q7" s="9" t="str"/>
      <x:c r="R7" s="9" t="str"/>
      <x:c r="S7" s="9" t="str"/>
    </x:row>
    <x:row r="8" ht="68" customHeight="1">
      <x:c r="A8" s="19" t="str">
        <x:v>RET-SPR-KAHLEE</x:v>
      </x:c>
      <x:c r="B8" s="7" t="str">
        <x:v>Kahlee Sanders — planche sprite</x:v>
      </x:c>
      <x:c r="C8" s="15" t="str">
        <x:v>Défini</x:v>
      </x:c>
      <x:c r="D8" s="17" t="str">
        <x:v>Extrapolation</x:v>
      </x:c>
      <x:c r="E8" s="17" t="str">
        <x:v>P1</x:v>
      </x:c>
      <x:c r="F8" s="7" t="str">
        <x:v>Création proposée : représentation 2D de Kahlee Sanders pour ce module.</x:v>
      </x:c>
      <x:c r="G8" s="7" t="str">
        <x:v>Tenue de scientifique mobile, matériel d’analyse, posture déterminée. Préparer silhouette entière, portrait de dialogue et masque de sélection.</x:v>
      </x:c>
      <x:c r="H8" s="7" t="str">
        <x:v>La zone interactive reste stable entre les poses ; la tenue ne confère aucun bonus implicite.</x:v>
      </x:c>
      <x:c r="I8" s="7" t="str">
        <x:v>Tenue de scientifique mobile, matériel d’analyse, posture déterminée.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assets/ret/actors/kahlee/atlas.png + atlas.json, pivot aux pieds.</x:v>
      </x:c>
      <x:c r="M8" s="7" t="str">
        <x:v>Visible uniquement quand Kahlee Sanders est autorisé par l’état narratif.</x:v>
      </x:c>
      <x:c r="N8" s="7" t="str">
        <x:v>Silhouette reconnue sans nom ; pieds sans glissement ; portrait et sprite cohérents à échelle réelle.</x:v>
      </x:c>
      <x:c r="O8" s="7" t="str">
        <x:v>RET-CHR-KAHLEE</x:v>
      </x:c>
      <x:c r="P8" s="7" t="str"/>
      <x:c r="Q8" s="7" t="str"/>
      <x:c r="R8" s="7" t="str"/>
      <x:c r="S8" s="7" t="str"/>
    </x:row>
    <x:row r="9" ht="68" customHeight="1">
      <x:c r="A9" s="18" t="str">
        <x:v>RET-SPR-ANDERSON</x:v>
      </x:c>
      <x:c r="B9" s="9" t="str">
        <x:v>David Anderson — planche sprite</x:v>
      </x:c>
      <x:c r="C9" s="15" t="str">
        <x:v>Défini</x:v>
      </x:c>
      <x:c r="D9" s="16" t="str">
        <x:v>Extrapolation</x:v>
      </x:c>
      <x:c r="E9" s="16" t="str">
        <x:v>P1</x:v>
      </x:c>
      <x:c r="F9" s="9" t="str">
        <x:v>Création proposée : représentation 2D de David Anderson pour ce module.</x:v>
      </x:c>
      <x:c r="G9" s="9" t="str">
        <x:v>Armure militaire sobre avec variante civile ; aucun équipement tardif automatique. Préparer silhouette entière, portrait de dialogue et masque de sélection.</x:v>
      </x:c>
      <x:c r="H9" s="9" t="str">
        <x:v>La zone interactive reste stable entre les poses ; la tenue ne confère aucun bonus implicite.</x:v>
      </x:c>
      <x:c r="I9" s="9" t="str">
        <x:v>Armure militaire sobre avec variante civile ; aucun équipement tardif automatique.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assets/ret/actors/anderson/atlas.png + atlas.json, pivot aux pieds.</x:v>
      </x:c>
      <x:c r="M9" s="9" t="str">
        <x:v>Visible uniquement quand David Anderson est autorisé par l’état narratif.</x:v>
      </x:c>
      <x:c r="N9" s="9" t="str">
        <x:v>Silhouette reconnue sans nom ; pieds sans glissement ; portrait et sprite cohérents à échelle réelle.</x:v>
      </x:c>
      <x:c r="O9" s="9" t="str">
        <x:v>RET-CHR-ANDERSON</x:v>
      </x:c>
      <x:c r="P9" s="9" t="str"/>
      <x:c r="Q9" s="9" t="str"/>
      <x:c r="R9" s="9" t="str"/>
      <x:c r="S9" s="9" t="str"/>
    </x:row>
    <x:row r="10" ht="68" customHeight="1">
      <x:c r="A10" s="19" t="str">
        <x:v>RET-SPR-KAILENG</x:v>
      </x:c>
      <x:c r="B10" s="7" t="str">
        <x:v>Kai Leng — planche sprite</x:v>
      </x:c>
      <x:c r="C10" s="15" t="str">
        <x:v>Défini</x:v>
      </x:c>
      <x:c r="D10" s="17" t="str">
        <x:v>Extrapolation</x:v>
      </x:c>
      <x:c r="E10" s="17" t="str">
        <x:v>P1</x:v>
      </x:c>
      <x:c r="F10" s="7" t="str">
        <x:v>Création proposée : représentation 2D de Kai Leng pour ce module.</x:v>
      </x:c>
      <x:c r="G10" s="7" t="str">
        <x:v>Tenue d’infiltration propre à la période ; éviter une copie immédiate de ME3. Préparer silhouette entière, portrait de dialogue et masque de sélection.</x:v>
      </x:c>
      <x:c r="H10" s="7" t="str">
        <x:v>La zone interactive reste stable entre les poses ; la tenue ne confère aucun bonus implicite.</x:v>
      </x:c>
      <x:c r="I10" s="7" t="str">
        <x:v>Tenue d’infiltration propre à la période ; éviter une copie immédiate de ME3.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assets/ret/actors/kaileng/atlas.png + atlas.json, pivot aux pieds.</x:v>
      </x:c>
      <x:c r="M10" s="7" t="str">
        <x:v>Visible uniquement quand Kai Leng est autorisé par l’état narratif.</x:v>
      </x:c>
      <x:c r="N10" s="7" t="str">
        <x:v>Silhouette reconnue sans nom ; pieds sans glissement ; portrait et sprite cohérents à échelle réelle.</x:v>
      </x:c>
      <x:c r="O10" s="7" t="str">
        <x:v>RET-CHR-KAILENG</x:v>
      </x:c>
      <x:c r="P10" s="7" t="str"/>
      <x:c r="Q10" s="7" t="str"/>
      <x:c r="R10" s="7" t="str"/>
      <x:c r="S10" s="7" t="str"/>
    </x:row>
    <x:row r="11" ht="68" customHeight="1">
      <x:c r="A11" s="18" t="str">
        <x:v>RET-SPR-ILLUSIVE</x:v>
      </x:c>
      <x:c r="B11" s="9" t="str">
        <x:v>Homme Trouble — planche sprite</x:v>
      </x:c>
      <x:c r="C11" s="15" t="str">
        <x:v>Défini</x:v>
      </x:c>
      <x:c r="D11" s="16" t="str">
        <x:v>Extrapolation</x:v>
      </x:c>
      <x:c r="E11" s="16" t="str">
        <x:v>P1</x:v>
      </x:c>
      <x:c r="F11" s="9" t="str">
        <x:v>Création proposée : représentation 2D de Homme Trouble pour ce module.</x:v>
      </x:c>
      <x:c r="G11" s="9" t="str">
        <x:v>Silhouette en communication distante, cadrage contenu et décor abstrait. Préparer silhouette entière, portrait de dialogue et masque de sélection.</x:v>
      </x:c>
      <x:c r="H11" s="9" t="str">
        <x:v>La zone interactive reste stable entre les poses ; la tenue ne confère aucun bonus implicite.</x:v>
      </x:c>
      <x:c r="I11" s="9" t="str">
        <x:v>Silhouette en communication distante, cadrage contenu et décor abstrait.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assets/ret/actors/illusive/atlas.png + atlas.json, pivot aux pieds.</x:v>
      </x:c>
      <x:c r="M11" s="9" t="str">
        <x:v>Visible uniquement quand Homme Trouble est autorisé par l’état narratif.</x:v>
      </x:c>
      <x:c r="N11" s="9" t="str">
        <x:v>Silhouette reconnue sans nom ; pieds sans glissement ; portrait et sprite cohérents à échelle réelle.</x:v>
      </x:c>
      <x:c r="O11" s="9" t="str">
        <x:v>RET-CHR-ILLUSIVE</x:v>
      </x:c>
      <x:c r="P11" s="9" t="str"/>
      <x:c r="Q11" s="9" t="str"/>
      <x:c r="R11" s="9" t="str"/>
      <x:c r="S11" s="9" t="str"/>
    </x:row>
    <x:row r="12" ht="68" customHeight="1">
      <x:c r="A12" s="19" t="str">
        <x:v>RET-SPR-LISELLE</x:v>
      </x:c>
      <x:c r="B12" s="7" t="str">
        <x:v>Liselle — planche sprite</x:v>
      </x:c>
      <x:c r="C12" s="15" t="str">
        <x:v>Défini</x:v>
      </x:c>
      <x:c r="D12" s="17" t="str">
        <x:v>Extrapolation</x:v>
      </x:c>
      <x:c r="E12" s="17" t="str">
        <x:v>P1</x:v>
      </x:c>
      <x:c r="F12" s="7" t="str">
        <x:v>Création proposée : représentation 2D de Liselle pour ce module.</x:v>
      </x:c>
      <x:c r="G12" s="7" t="str">
        <x:v>Tenue de terrain asari proposée ; portrait personnel distinct de sa mère. Préparer silhouette entière, portrait de dialogue et masque de sélection.</x:v>
      </x:c>
      <x:c r="H12" s="7" t="str">
        <x:v>La zone interactive reste stable entre les poses ; la tenue ne confère aucun bonus implicite.</x:v>
      </x:c>
      <x:c r="I12" s="7" t="str">
        <x:v>Tenue de terrain asari proposée ; portrait personnel distinct de sa mère.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assets/ret/actors/liselle/atlas.png + atlas.json, pivot aux pieds.</x:v>
      </x:c>
      <x:c r="M12" s="7" t="str">
        <x:v>Visible uniquement quand Liselle est autorisé par l’état narratif.</x:v>
      </x:c>
      <x:c r="N12" s="7" t="str">
        <x:v>Silhouette reconnue sans nom ; pieds sans glissement ; portrait et sprite cohérents à échelle réelle.</x:v>
      </x:c>
      <x:c r="O12" s="7" t="str">
        <x:v>RET-CHR-LISELLE</x:v>
      </x:c>
      <x:c r="P12" s="7" t="str"/>
      <x:c r="Q12" s="7" t="str"/>
      <x:c r="R12" s="7" t="str"/>
      <x:c r="S12" s="7" t="str"/>
    </x:row>
    <x:row r="13" ht="68" customHeight="1">
      <x:c r="A13" s="18" t="str">
        <x:v>RET-SPR-ARIA</x:v>
      </x:c>
      <x:c r="B13" s="9" t="str">
        <x:v>Aria T’Loak — planche sprite</x:v>
      </x:c>
      <x:c r="C13" s="15" t="str">
        <x:v>Défini</x:v>
      </x:c>
      <x:c r="D13" s="16" t="str">
        <x:v>Extrapolation</x:v>
      </x:c>
      <x:c r="E13" s="16" t="str">
        <x:v>P1</x:v>
      </x:c>
      <x:c r="F13" s="9" t="str">
        <x:v>Création proposée : représentation 2D de Aria T’Loak pour ce module.</x:v>
      </x:c>
      <x:c r="G13" s="9" t="str">
        <x:v>Silhouette asari assurée ; cadrage fixe plutôt qu’un nouveau boss. Préparer silhouette entière, portrait de dialogue et masque de sélection.</x:v>
      </x:c>
      <x:c r="H13" s="9" t="str">
        <x:v>La zone interactive reste stable entre les poses ; la tenue ne confère aucun bonus implicite.</x:v>
      </x:c>
      <x:c r="I13" s="9" t="str">
        <x:v>Silhouette asari assurée ; cadrage fixe plutôt qu’un nouveau boss.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assets/ret/actors/aria/atlas.png + atlas.json, pivot aux pieds.</x:v>
      </x:c>
      <x:c r="M13" s="9" t="str">
        <x:v>Visible uniquement quand Aria T’Loak est autorisé par l’état narratif.</x:v>
      </x:c>
      <x:c r="N13" s="9" t="str">
        <x:v>Silhouette reconnue sans nom ; pieds sans glissement ; portrait et sprite cohérents à échelle réelle.</x:v>
      </x:c>
      <x:c r="O13" s="9" t="str">
        <x:v>RET-CHR-ARIA</x:v>
      </x:c>
      <x:c r="P13" s="9" t="str"/>
      <x:c r="Q13" s="9" t="str"/>
      <x:c r="R13" s="9" t="str"/>
      <x:c r="S13" s="9" t="str"/>
    </x:row>
    <x:row r="14" ht="68" customHeight="1">
      <x:c r="A14" s="19" t="str">
        <x:v>RET-SPR-SANAK</x:v>
      </x:c>
      <x:c r="B14" s="7" t="str">
        <x:v>Sanak — planche sprite</x:v>
      </x:c>
      <x:c r="C14" s="15" t="str">
        <x:v>Défini</x:v>
      </x:c>
      <x:c r="D14" s="17" t="str">
        <x:v>Extrapolation</x:v>
      </x:c>
      <x:c r="E14" s="17" t="str">
        <x:v>P1</x:v>
      </x:c>
      <x:c r="F14" s="7" t="str">
        <x:v>Création proposée : représentation 2D de Sanak pour ce module.</x:v>
      </x:c>
      <x:c r="G14" s="7" t="str">
        <x:v>Combattant de terrain distinct de l’escouade Cerberus ; espèce et tenue à vérifier dans l’édition. Préparer silhouette entière, portrait de dialogue et masque de sélection.</x:v>
      </x:c>
      <x:c r="H14" s="7" t="str">
        <x:v>La zone interactive reste stable entre les poses ; la tenue ne confère aucun bonus implicite.</x:v>
      </x:c>
      <x:c r="I14" s="7" t="str">
        <x:v>Combattant de terrain distinct de l’escouade Cerberus ; espèce et tenue à vérifier dans l’édition.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assets/ret/actors/sanak/atlas.png + atlas.json, pivot aux pieds.</x:v>
      </x:c>
      <x:c r="M14" s="7" t="str">
        <x:v>Visible uniquement quand Sanak est autorisé par l’état narratif.</x:v>
      </x:c>
      <x:c r="N14" s="7" t="str">
        <x:v>Silhouette reconnue sans nom ; pieds sans glissement ; portrait et sprite cohérents à échelle réelle.</x:v>
      </x:c>
      <x:c r="O14" s="7" t="str">
        <x:v>RET-CHR-SANAK</x:v>
      </x:c>
      <x:c r="P14" s="7" t="str"/>
      <x:c r="Q14" s="7" t="str"/>
      <x:c r="R14" s="7" t="str"/>
      <x:c r="S14" s="7" t="str"/>
    </x:row>
    <x:row r="15" ht="68" customHeight="1">
      <x:c r="A15" s="18" t="str">
        <x:v>RET-SPR-ORINIA</x:v>
      </x:c>
      <x:c r="B15" s="9" t="str">
        <x:v>Orinia — planche sprite</x:v>
      </x:c>
      <x:c r="C15" s="15" t="str">
        <x:v>Défini</x:v>
      </x:c>
      <x:c r="D15" s="16" t="str">
        <x:v>Extrapolation</x:v>
      </x:c>
      <x:c r="E15" s="16" t="str">
        <x:v>P1</x:v>
      </x:c>
      <x:c r="F15" s="9" t="str">
        <x:v>Création proposée : représentation 2D de Orinia pour ce module.</x:v>
      </x:c>
      <x:c r="G15" s="9" t="str">
        <x:v>Tenue diplomatique turienne proposée, posture administrative distincte de Saren. Préparer silhouette entière, portrait de dialogue et masque de sélection.</x:v>
      </x:c>
      <x:c r="H15" s="9" t="str">
        <x:v>La zone interactive reste stable entre les poses ; la tenue ne confère aucun bonus implicite.</x:v>
      </x:c>
      <x:c r="I15" s="9" t="str">
        <x:v>Tenue diplomatique turienne proposée, posture administrative distincte de Saren.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assets/ret/actors/orinia/atlas.png + atlas.json, pivot aux pieds.</x:v>
      </x:c>
      <x:c r="M15" s="9" t="str">
        <x:v>Visible uniquement quand Orinia est autorisé par l’état narratif.</x:v>
      </x:c>
      <x:c r="N15" s="9" t="str">
        <x:v>Silhouette reconnue sans nom ; pieds sans glissement ; portrait et sprite cohérents à échelle réelle.</x:v>
      </x:c>
      <x:c r="O15" s="9" t="str">
        <x:v>RET-CHR-ORINIA</x:v>
      </x:c>
      <x:c r="P15" s="9" t="str"/>
      <x:c r="Q15" s="9" t="str"/>
      <x:c r="R15" s="9" t="str"/>
      <x:c r="S15" s="9" t="str"/>
    </x:row>
    <x:row r="16" ht="68" customHeight="1">
      <x:c r="A16" s="19" t="str">
        <x:v>RET-SPR-NICK</x:v>
      </x:c>
      <x:c r="B16" s="7" t="str">
        <x:v>Nick Donahue — planche sprite</x:v>
      </x:c>
      <x:c r="C16" s="15" t="str">
        <x:v>Défini</x:v>
      </x:c>
      <x:c r="D16" s="17" t="str">
        <x:v>Extrapolation</x:v>
      </x:c>
      <x:c r="E16" s="17" t="str">
        <x:v>P1</x:v>
      </x:c>
      <x:c r="F16" s="7" t="str">
        <x:v>Création proposée : représentation 2D de Nick Donahue pour ce module.</x:v>
      </x:c>
      <x:c r="G16" s="7" t="str">
        <x:v>Silhouette adolescente, tenue d’élève, variante d’alerte et de soin. Préparer silhouette entière, portrait de dialogue et masque de sélection.</x:v>
      </x:c>
      <x:c r="H16" s="7" t="str">
        <x:v>La zone interactive reste stable entre les poses ; la tenue ne confère aucun bonus implicite.</x:v>
      </x:c>
      <x:c r="I16" s="7" t="str">
        <x:v>Silhouette adolescente, tenue d’élève, variante d’alerte et de soin.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assets/ret/actors/nick/atlas.png + atlas.json, pivot aux pieds.</x:v>
      </x:c>
      <x:c r="M16" s="7" t="str">
        <x:v>Visible uniquement quand Nick Donahue est autorisé par l’état narratif.</x:v>
      </x:c>
      <x:c r="N16" s="7" t="str">
        <x:v>Silhouette reconnue sans nom ; pieds sans glissement ; portrait et sprite cohérents à échelle réelle.</x:v>
      </x:c>
      <x:c r="O16" s="7" t="str">
        <x:v>RET-CHR-NICK</x:v>
      </x:c>
      <x:c r="P16" s="7" t="str"/>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6aceddcaaeb74711"/>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Retribution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RET-VFX-CERB</x:v>
      </x:c>
      <x:c r="B7" s="9" t="str">
        <x:v>Équipe de capture proposée — effet lisible</x:v>
      </x:c>
      <x:c r="C7" s="15" t="str">
        <x:v>Défini</x:v>
      </x:c>
      <x:c r="D7" s="16" t="str">
        <x:v>Extrapolation</x:v>
      </x:c>
      <x:c r="E7" s="16" t="str">
        <x:v>P1</x:v>
      </x:c>
      <x:c r="F7" s="9" t="str">
        <x:v>Effet original de prévision et de résultat pour la rencontre.</x:v>
      </x:c>
      <x:c r="G7" s="9" t="str">
        <x:v>Marqueur de poursuite et mouvement vers les issues.</x:v>
      </x:c>
      <x:c r="H7" s="9" t="str">
        <x:v>Aire de prévision égale à l’aire logique ; masque de cible conservé en daltonisme.</x:v>
      </x:c>
      <x:c r="I7" s="9" t="str">
        <x:v>Marqueur de poursuite et mouvement vers les issues.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fx/ret/cerb ; pool local nettoyé au changement de scène.</x:v>
      </x:c>
      <x:c r="M7" s="9" t="str">
        <x:v>Effet lié au comportement, jamais déclenché par une animation décorative.</x:v>
      </x:c>
      <x:c r="N7" s="9" t="str">
        <x:v>Aucune cible hors aire n’est affectée ; mode réduit conserve la compréhension.</x:v>
      </x:c>
      <x:c r="O7" s="9" t="str">
        <x:v>RET-EMV-CERB</x:v>
      </x:c>
      <x:c r="P7" s="9" t="str"/>
      <x:c r="Q7" s="9" t="str"/>
      <x:c r="R7" s="9" t="str"/>
      <x:c r="S7" s="9" t="str"/>
    </x:row>
    <x:row r="8" ht="54" customHeight="1">
      <x:c r="A8" s="19" t="str">
        <x:v>RET-VFX-LENG</x:v>
      </x:c>
      <x:c r="B8" s="7" t="str">
        <x:v>Kai Leng — contrôle d’accès proposé — effet lisible</x:v>
      </x:c>
      <x:c r="C8" s="15" t="str">
        <x:v>Défini</x:v>
      </x:c>
      <x:c r="D8" s="17" t="str">
        <x:v>Extrapolation</x:v>
      </x:c>
      <x:c r="E8" s="17" t="str">
        <x:v>P1</x:v>
      </x:c>
      <x:c r="F8" s="7" t="str">
        <x:v>Effet original de prévision et de résultat pour la rencontre.</x:v>
      </x:c>
      <x:c r="G8" s="7" t="str">
        <x:v>Variation de posture et indicateur de la porte menacée.</x:v>
      </x:c>
      <x:c r="H8" s="7" t="str">
        <x:v>Aire de prévision égale à l’aire logique ; masque de cible conservé en daltonisme.</x:v>
      </x:c>
      <x:c r="I8" s="7" t="str">
        <x:v>Variation de posture et indicateur de la porte menacée.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fx/ret/leng ; pool local nettoyé au changement de scène.</x:v>
      </x:c>
      <x:c r="M8" s="7" t="str">
        <x:v>Effet lié au comportement, jamais déclenché par une animation décorative.</x:v>
      </x:c>
      <x:c r="N8" s="7" t="str">
        <x:v>Aucune cible hors aire n’est affectée ; mode réduit conserve la compréhension.</x:v>
      </x:c>
      <x:c r="O8" s="7" t="str">
        <x:v>RET-EMV-LENG</x:v>
      </x:c>
      <x:c r="P8" s="7" t="str"/>
      <x:c r="Q8" s="7" t="str"/>
      <x:c r="R8" s="7" t="str"/>
      <x:c r="S8" s="7" t="str"/>
    </x:row>
    <x:row r="9" ht="68" customHeight="1">
      <x:c r="A9" s="18" t="str">
        <x:v>RET-VFX-REAPER</x:v>
      </x:c>
      <x:c r="B9" s="9" t="str">
        <x:v>Pression du contrôle moissonneur — effet lisible</x:v>
      </x:c>
      <x:c r="C9" s="15" t="str">
        <x:v>Défini</x:v>
      </x:c>
      <x:c r="D9" s="16" t="str">
        <x:v>Extrapolation</x:v>
      </x:c>
      <x:c r="E9" s="16" t="str">
        <x:v>P1</x:v>
      </x:c>
      <x:c r="F9" s="9" t="str">
        <x:v>Effet original de prévision et de résultat pour la rencontre.</x:v>
      </x:c>
      <x:c r="G9" s="9" t="str">
        <x:v>Double affichage explicitement identifié comme perception incertaine.</x:v>
      </x:c>
      <x:c r="H9" s="9" t="str">
        <x:v>Aire de prévision égale à l’aire logique ; masque de cible conservé en daltonisme.</x:v>
      </x:c>
      <x:c r="I9" s="9" t="str">
        <x:v>Double affichage explicitement identifié comme perception incertaine.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fx/ret/reaper ; pool local nettoyé au changement de scène.</x:v>
      </x:c>
      <x:c r="M9" s="9" t="str">
        <x:v>Effet lié au comportement, jamais déclenché par une animation décorative.</x:v>
      </x:c>
      <x:c r="N9" s="9" t="str">
        <x:v>Aucune cible hors aire n’est affectée ; mode réduit conserve la compréhension.</x:v>
      </x:c>
      <x:c r="O9" s="9" t="str">
        <x:v>RET-EMV-REAPER</x:v>
      </x:c>
      <x:c r="P9" s="9" t="str"/>
      <x:c r="Q9" s="9" t="str"/>
      <x:c r="R9" s="9" t="str"/>
      <x:c r="S9" s="9" t="str"/>
    </x:row>
    <x:row r="10" ht="54" customHeight="1">
      <x:c r="A10" s="19" t="str">
        <x:v>RET-VFX-LOCKDOWN</x:v>
      </x:c>
      <x:c r="B10" s="7" t="str">
        <x:v>Confinement en chaîne — effet lisible</x:v>
      </x:c>
      <x:c r="C10" s="15" t="str">
        <x:v>Défini</x:v>
      </x:c>
      <x:c r="D10" s="17" t="str">
        <x:v>Extrapolation</x:v>
      </x:c>
      <x:c r="E10" s="17" t="str">
        <x:v>P1</x:v>
      </x:c>
      <x:c r="F10" s="7" t="str">
        <x:v>Effet original de prévision et de résultat pour la rencontre.</x:v>
      </x:c>
      <x:c r="G10" s="7" t="str">
        <x:v>Séquence de voyants numérotés au-dessus des sas.</x:v>
      </x:c>
      <x:c r="H10" s="7" t="str">
        <x:v>Aire de prévision égale à l’aire logique ; masque de cible conservé en daltonisme.</x:v>
      </x:c>
      <x:c r="I10" s="7" t="str">
        <x:v>Séquence de voyants numérotés au-dessus des sas.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fx/ret/lockdown ; pool local nettoyé au changement de scène.</x:v>
      </x:c>
      <x:c r="M10" s="7" t="str">
        <x:v>Effet lié au comportement, jamais déclenché par une animation décorative.</x:v>
      </x:c>
      <x:c r="N10" s="7" t="str">
        <x:v>Aucune cible hors aire n’est affectée ; mode réduit conserve la compréhension.</x:v>
      </x:c>
      <x:c r="O10" s="7" t="str">
        <x:v>RET-EMV-LOCKDOWN</x:v>
      </x:c>
      <x:c r="P10" s="7" t="str"/>
      <x:c r="Q10" s="7" t="str"/>
      <x:c r="R10" s="7" t="str"/>
      <x:c r="S10" s="7"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236181cdef24c60"/>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Retribution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RET-AUD-01</x:v>
      </x:c>
      <x:c r="B7" s="9" t="str">
        <x:v>Omega domestique</x:v>
      </x:c>
      <x:c r="C7" s="15" t="str">
        <x:v>Défini</x:v>
      </x:c>
      <x:c r="D7" s="16" t="str">
        <x:v>Extrapolation</x:v>
      </x:c>
      <x:c r="E7" s="16" t="str">
        <x:v>P1</x:v>
      </x:c>
      <x:c r="F7" s="9" t="str">
        <x:v>Création sonore originale pour le fan game.</x:v>
      </x:c>
      <x:c r="G7" s="9" t="str">
        <x:v>Mix séparant intimité d’un logement et rumeur industrielle lointaine.</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Mix séparant intimité d’un logement et rumeur industrielle lointaine. Musique, bruitages et éventuelles voix à produire sans extraire les enregistrements officiels.</x:v>
      </x:c>
      <x:c r="L7" s="9" t="str">
        <x:v>audio/ret/omega-domestique.ogg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68" customHeight="1">
      <x:c r="A8" s="19" t="str">
        <x:v>RET-AUD-02</x:v>
      </x:c>
      <x:c r="B8" s="7" t="str">
        <x:v>Laboratoire anxieux</x:v>
      </x:c>
      <x:c r="C8" s="15" t="str">
        <x:v>Défini</x:v>
      </x:c>
      <x:c r="D8" s="17" t="str">
        <x:v>Extrapolation</x:v>
      </x:c>
      <x:c r="E8" s="17" t="str">
        <x:v>P1</x:v>
      </x:c>
      <x:c r="F8" s="7" t="str">
        <x:v>Création sonore originale pour le fan game.</x:v>
      </x:c>
      <x:c r="G8" s="7" t="str">
        <x:v>Pulsations mécaniques sobres, alertes distinctes, aucune boucle de cris.</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Pulsations mécaniques sobres, alertes distinctes, aucune boucle de cris. Musique, bruitages et éventuelles voix à produire sans extraire les enregistrements officiels.</x:v>
      </x:c>
      <x:c r="L8" s="7" t="str">
        <x:v>audio/ret/laboratoire-anxieux.ogg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82" customHeight="1">
      <x:c r="A9" s="18" t="str">
        <x:v>RET-AUD-03</x:v>
      </x:c>
      <x:c r="B9" s="9" t="str">
        <x:v>Perception incertaine</x:v>
      </x:c>
      <x:c r="C9" s="15" t="str">
        <x:v>Défini</x:v>
      </x:c>
      <x:c r="D9" s="16" t="str">
        <x:v>Extrapolation</x:v>
      </x:c>
      <x:c r="E9" s="16" t="str">
        <x:v>P1</x:v>
      </x:c>
      <x:c r="F9" s="9" t="str">
        <x:v>Création sonore originale pour le fan game.</x:v>
      </x:c>
      <x:c r="G9" s="9" t="str">
        <x:v>Voix abstraites et textures originales à intensité réglable, toujours accompagnées d’un indicateur de perception.</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Voix abstraites et textures originales à intensité réglable, toujours accompagnées d’un indicateur de perception. Musique, bruitages et éventuelles voix à produire sans extraire les enregistrements officiels.</x:v>
      </x:c>
      <x:c r="L9" s="9" t="str">
        <x:v>audio/ret/perception-incertaine.ogg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82" customHeight="1">
      <x:c r="A10" s="19" t="str">
        <x:v>RET-AUD-04</x:v>
      </x:c>
      <x:c r="B10" s="7" t="str">
        <x:v>Académie en alerte</x:v>
      </x:c>
      <x:c r="C10" s="15" t="str">
        <x:v>Défini</x:v>
      </x:c>
      <x:c r="D10" s="17" t="str">
        <x:v>Extrapolation</x:v>
      </x:c>
      <x:c r="E10" s="17" t="str">
        <x:v>P1</x:v>
      </x:c>
      <x:c r="F10" s="7" t="str">
        <x:v>Création sonore originale pour le fan game.</x:v>
      </x:c>
      <x:c r="G10" s="7" t="str">
        <x:v>Instructions originales sobres, sonneries amorties et portes de refuge localisables.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Instructions originales sobres, sonneries amorties et portes de refuge localisables. Musique, bruitages et éventuelles voix à produire sans extraire les enregistrements officiels.</x:v>
      </x:c>
      <x:c r="L10" s="7" t="str">
        <x:v>audio/ret/academie-en-alerte.ogg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RET-AUD-05</x:v>
      </x:c>
      <x:c r="B11" s="9" t="str">
        <x:v>Après l’urgence</x:v>
      </x:c>
      <x:c r="C11" s="15" t="str">
        <x:v>Défini</x:v>
      </x:c>
      <x:c r="D11" s="16" t="str">
        <x:v>Extrapolation</x:v>
      </x:c>
      <x:c r="E11" s="16" t="str">
        <x:v>P1</x:v>
      </x:c>
      <x:c r="F11" s="9" t="str">
        <x:v>Création sonore originale pour le fan game.</x:v>
      </x:c>
      <x:c r="G11" s="9" t="str">
        <x:v>Silence et sons de soin abstraits ; pas de fanfare à la clôture.</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Silence et sons de soin abstraits ; pas de fanfare à la clôture. Musique, bruitages et éventuelles voix à produire sans extraire les enregistrements officiels.</x:v>
      </x:c>
      <x:c r="L11" s="9" t="str">
        <x:v>audio/ret/apres-lurgence.ogg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5d79820ac6494b3e"/>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Retribution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RET-SYS-01</x:v>
      </x:c>
      <x:c r="B7" s="9" t="str">
        <x:v>Connaissance et perception</x:v>
      </x:c>
      <x:c r="C7" s="15" t="str">
        <x:v>Défini</x:v>
      </x:c>
      <x:c r="D7" s="16" t="str">
        <x:v>Extrapolation</x:v>
      </x:c>
      <x:c r="E7" s="16" t="str">
        <x:v>P0</x:v>
      </x:c>
      <x:c r="F7" s="9" t="str">
        <x:v>Système original de production propre au module.</x:v>
      </x:c>
      <x:c r="G7" s="9" t="str">
        <x:v>Distinguer dans le journal constat collectif, perception subjective et hypothèse ; aucune hallucination ne s’écrit comme fait acquis.</x:v>
      </x:c>
      <x:c r="H7" s="9" t="str">
        <x:v>Distinguer dans le journal constat collectif, perception subjective et hypothèse ; aucune hallucination ne s’écrit comme fait acquis.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systems/ret/connaissance-et-perception.ts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44" customHeight="1">
      <x:c r="A8" s="19" t="str">
        <x:v>RET-SYS-02</x:v>
      </x:c>
      <x:c r="B8" s="7" t="str">
        <x:v>Priorité aux élèves</x:v>
      </x:c>
      <x:c r="C8" s="15" t="str">
        <x:v>Défini</x:v>
      </x:c>
      <x:c r="D8" s="17" t="str">
        <x:v>Extrapolation</x:v>
      </x:c>
      <x:c r="E8" s="17" t="str">
        <x:v>P0</x:v>
      </x:c>
      <x:c r="F8" s="7" t="str">
        <x:v>Système original de production propre au module.</x:v>
      </x:c>
      <x:c r="G8" s="7" t="str">
        <x:v>Les cartes de l’académie calculent la progression par salles sécurisées et secours disponibles.</x:v>
      </x:c>
      <x:c r="H8" s="7" t="str">
        <x:v>Les cartes de l’académie calculent la progression par salles sécurisées et secours disponibles.</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systems/ret/priorite-aux-eleves.ts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44" customHeight="1">
      <x:c r="A9" s="18" t="str">
        <x:v>RET-SYS-03</x:v>
      </x:c>
      <x:c r="B9" s="9" t="str">
        <x:v>Coopération limitée</x:v>
      </x:c>
      <x:c r="C9" s="15" t="str">
        <x:v>Défini</x:v>
      </x:c>
      <x:c r="D9" s="16" t="str">
        <x:v>Extrapolation</x:v>
      </x:c>
      <x:c r="E9" s="16" t="str">
        <x:v>P1</x:v>
      </x:c>
      <x:c r="F9" s="9" t="str">
        <x:v>Système original de production propre au module.</x:v>
      </x:c>
      <x:c r="G9" s="9" t="str">
        <x:v>Une aide de Kai Leng ne donne pas accès à son inventaire ou à sa loyauté permanente.</x:v>
      </x:c>
      <x:c r="H9" s="9" t="str">
        <x:v>Une aide de Kai Leng ne donne pas accès à son inventaire ou à sa loyauté permanente.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systems/ret/cooperation-limitee.ts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44" customHeight="1">
      <x:c r="A10" s="19" t="str">
        <x:v>RET-SYS-04</x:v>
      </x:c>
      <x:c r="B10" s="7" t="str">
        <x:v>Dossier d’assistance</x:v>
      </x:c>
      <x:c r="C10" s="15" t="str">
        <x:v>Défini</x:v>
      </x:c>
      <x:c r="D10" s="17" t="str">
        <x:v>Extrapolation</x:v>
      </x:c>
      <x:c r="E10" s="17" t="str">
        <x:v>P1</x:v>
      </x:c>
      <x:c r="F10" s="7" t="str">
        <x:v>Système original de production propre au module.</x:v>
      </x:c>
      <x:c r="G10" s="7" t="str">
        <x:v>Vérifier la provenance des indices avant de débloquer la demande d’appui.</x:v>
      </x:c>
      <x:c r="H10" s="7" t="str">
        <x:v>Vérifier la provenance des indices avant de débloquer la demande d’appui.</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systems/ret/dossier-dassistance.ts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44" customHeight="1">
      <x:c r="A11" s="18" t="str">
        <x:v>RET-SYS-05</x:v>
      </x:c>
      <x:c r="B11" s="9" t="str">
        <x:v>États d’intrusion</x:v>
      </x:c>
      <x:c r="C11" s="15" t="str">
        <x:v>Défini</x:v>
      </x:c>
      <x:c r="D11" s="16" t="str">
        <x:v>Extrapolation</x:v>
      </x:c>
      <x:c r="E11" s="16" t="str">
        <x:v>P1</x:v>
      </x:c>
      <x:c r="F11" s="9" t="str">
        <x:v>Système original de production propre au module.</x:v>
      </x:c>
      <x:c r="G11" s="9" t="str">
        <x:v>Séparer alarme locale et progression du récit ; une alarme ne crée pas un nouvel assaut canonique.</x:v>
      </x:c>
      <x:c r="H11" s="9" t="str">
        <x:v>Séparer alarme locale et progression du récit ; une alarme ne crée pas un nouvel assaut canonique.</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systems/ret/etats-dintrusion.ts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44" customHeight="1">
      <x:c r="A12" s="19" t="str">
        <x:v>RET-SYS-06</x:v>
      </x:c>
      <x:c r="B12" s="7" t="str">
        <x:v>Inventaire probant</x:v>
      </x:c>
      <x:c r="C12" s="15" t="str">
        <x:v>Défini</x:v>
      </x:c>
      <x:c r="D12" s="17" t="str">
        <x:v>Extrapolation</x:v>
      </x:c>
      <x:c r="E12" s="17" t="str">
        <x:v>P1</x:v>
      </x:c>
      <x:c r="F12" s="7" t="str">
        <x:v>Système original de production propre au module.</x:v>
      </x:c>
      <x:c r="G12" s="7" t="str">
        <x:v>Objets de preuve non vendables et non consommables ; copies et originaux distingués.</x:v>
      </x:c>
      <x:c r="H12" s="7" t="str">
        <x:v>Objets de preuve non vendables et non consommables ; copies et originaux distingués.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systems/ret/inventaire-probant.ts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RET-SYS-07</x:v>
      </x:c>
      <x:c r="B13" s="9" t="str">
        <x:v>Pause de lecture</x:v>
      </x:c>
      <x:c r="C13" s="15" t="str">
        <x:v>Défini</x:v>
      </x:c>
      <x:c r="D13" s="16" t="str">
        <x:v>Extrapolation</x:v>
      </x:c>
      <x:c r="E13" s="16" t="str">
        <x:v>P1</x:v>
      </x:c>
      <x:c r="F13" s="9" t="str">
        <x:v>Système original de production propre au module.</x:v>
      </x:c>
      <x:c r="G13" s="9" t="str">
        <x:v>Suspendre les menaces pendant l’examen d’un indice ou d’une contradiction perceptive.</x:v>
      </x:c>
      <x:c r="H13" s="9" t="str">
        <x:v>Suspendre les menaces pendant l’examen d’un indice ou d’une contradiction perceptive.</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systems/ret/pause-de-lecture.ts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54" customHeight="1">
      <x:c r="A14" s="19" t="str">
        <x:v>RET-SYS-08</x:v>
      </x:c>
      <x:c r="B14" s="7" t="str">
        <x:v>Fenêtres de présence</x:v>
      </x:c>
      <x:c r="C14" s="15" t="str">
        <x:v>Défini</x:v>
      </x:c>
      <x:c r="D14" s="17" t="str">
        <x:v>Extrapolation</x:v>
      </x:c>
      <x:c r="E14" s="17" t="str">
        <x:v>P1</x:v>
      </x:c>
      <x:c r="F14" s="7" t="str">
        <x:v>Système original de production propre au module.</x:v>
      </x:c>
      <x:c r="G14" s="7" t="str">
        <x:v>Activer les personnages et dialogues selon l’état narratif ; pas de retour de Liselle par chargement tardif.</x:v>
      </x:c>
      <x:c r="H14" s="7" t="str">
        <x:v>Activer les personnages et dialogues selon l’état narratif ; pas de retour de Liselle par chargement tardif.</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systems/ret/fenetres-de-presence.ts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814d77234c44252"/>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Retribution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RET-TST-CONTRACT</x:v>
      </x:c>
      <x:c r="B7" s="9" t="str">
        <x:v>Évaluer un trajet de mission — scénario d’acceptation</x:v>
      </x:c>
      <x:c r="C7" s="15" t="str">
        <x:v>Défini</x:v>
      </x:c>
      <x:c r="D7" s="16" t="str">
        <x:v>Extrapolation</x:v>
      </x:c>
      <x:c r="E7" s="16" t="str">
        <x:v>P1</x:v>
      </x:c>
      <x:c r="F7" s="9" t="str">
        <x:v>Test de comportement spécifique à la mission proposée.</x:v>
      </x:c>
      <x:c r="G7" s="9" t="str">
        <x:v>Exécuter Évaluer un trajet de mission avec la méthode la plus lente puis avec la méthode alternative.</x:v>
      </x:c>
      <x:c r="H7" s="9" t="str">
        <x:v>Contrôler les transitions de la règle suivante : Comparer trois accès proposés selon visibilité, sortie et matériel disponible.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qa/ret/contract.md : état initial, actions, attendu, résultat, capture.</x:v>
      </x:c>
      <x:c r="M7" s="9" t="str">
        <x:v>Ne pas attribuer à Grayson un savoir qu’il n’a pas encore.</x:v>
      </x:c>
      <x:c r="N7" s="9" t="str">
        <x:v>Aucun blocage, récompense multiple, information future ou divergence entre pause ATB et temps normal.</x:v>
      </x:c>
      <x:c r="O7" s="9" t="str">
        <x:v>RET-MIS-CONTRACT, RET-CHO-CONTRACT, RET-OPT-CONTRACT</x:v>
      </x:c>
      <x:c r="P7" s="9" t="str"/>
      <x:c r="Q7" s="9" t="str"/>
      <x:c r="R7" s="9" t="str"/>
      <x:c r="S7" s="9" t="str"/>
    </x:row>
    <x:row r="8" ht="54" customHeight="1">
      <x:c r="A8" s="19" t="str">
        <x:v>RET-TST-MISSING</x:v>
      </x:c>
      <x:c r="B8" s="7" t="str">
        <x:v>Vérifier une disparition — scénario d’acceptation</x:v>
      </x:c>
      <x:c r="C8" s="15" t="str">
        <x:v>Défini</x:v>
      </x:c>
      <x:c r="D8" s="17" t="str">
        <x:v>Extrapolation</x:v>
      </x:c>
      <x:c r="E8" s="17" t="str">
        <x:v>P1</x:v>
      </x:c>
      <x:c r="F8" s="7" t="str">
        <x:v>Test de comportement spécifique à la mission proposée.</x:v>
      </x:c>
      <x:c r="G8" s="7" t="str">
        <x:v>Exécuter Vérifier une disparition avec la méthode la plus lente puis avec la méthode alternative.</x:v>
      </x:c>
      <x:c r="H8" s="7" t="str">
        <x:v>Contrôler les transitions de la règle suivante : Relier un accès forcé, une communication interrompue et un déplacement constaté.</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qa/ret/missing.md : état initial, actions, attendu, résultat, capture.</x:v>
      </x:c>
      <x:c r="M8" s="7" t="str">
        <x:v>La capture de Grayson demeure un fait du récit.</x:v>
      </x:c>
      <x:c r="N8" s="7" t="str">
        <x:v>Aucun blocage, récompense multiple, information future ou divergence entre pause ATB et temps normal.</x:v>
      </x:c>
      <x:c r="O8" s="7" t="str">
        <x:v>RET-MIS-MISSING, RET-CHO-MISSING, RET-OPT-MISSING</x:v>
      </x:c>
      <x:c r="P8" s="7" t="str"/>
      <x:c r="Q8" s="7" t="str"/>
      <x:c r="R8" s="7" t="str"/>
      <x:c r="S8" s="7" t="str"/>
    </x:row>
    <x:row r="9" ht="54" customHeight="1">
      <x:c r="A9" s="18" t="str">
        <x:v>RET-TST-HELP</x:v>
      </x:c>
      <x:c r="B9" s="9" t="str">
        <x:v>Obtenir une assistance motivée — scénario d’acceptation</x:v>
      </x:c>
      <x:c r="C9" s="15" t="str">
        <x:v>Défini</x:v>
      </x:c>
      <x:c r="D9" s="16" t="str">
        <x:v>Extrapolation</x:v>
      </x:c>
      <x:c r="E9" s="16" t="str">
        <x:v>P1</x:v>
      </x:c>
      <x:c r="F9" s="9" t="str">
        <x:v>Test de comportement spécifique à la mission proposée.</x:v>
      </x:c>
      <x:c r="G9" s="9" t="str">
        <x:v>Exécuter Obtenir une assistance motivée avec la méthode la plus lente puis avec la méthode alternative.</x:v>
      </x:c>
      <x:c r="H9" s="9" t="str">
        <x:v>Contrôler les transitions de la règle suivante : Ordonner les preuves selon fiabilité, puis répondre à une objection.</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qa/ret/help.md : état initial, actions, attendu, résultat, capture.</x:v>
      </x:c>
      <x:c r="M9" s="9" t="str">
        <x:v>Le rôle d’Orinia reste limité à ce qui est attesté.</x:v>
      </x:c>
      <x:c r="N9" s="9" t="str">
        <x:v>Aucun blocage, récompense multiple, information future ou divergence entre pause ATB et temps normal.</x:v>
      </x:c>
      <x:c r="O9" s="9" t="str">
        <x:v>RET-MIS-HELP, RET-CHO-HELP, RET-OPT-HELP</x:v>
      </x:c>
      <x:c r="P9" s="9" t="str"/>
      <x:c r="Q9" s="9" t="str"/>
      <x:c r="R9" s="9" t="str"/>
      <x:c r="S9" s="9" t="str"/>
    </x:row>
    <x:row r="10" ht="54" customHeight="1">
      <x:c r="A10" s="19" t="str">
        <x:v>RET-TST-ACCESS</x:v>
      </x:c>
      <x:c r="B10" s="7" t="str">
        <x:v>Ouvrir une voie d’approche — scénario d’acceptation</x:v>
      </x:c>
      <x:c r="C10" s="15" t="str">
        <x:v>Défini</x:v>
      </x:c>
      <x:c r="D10" s="17" t="str">
        <x:v>Extrapolation</x:v>
      </x:c>
      <x:c r="E10" s="17" t="str">
        <x:v>P1</x:v>
      </x:c>
      <x:c r="F10" s="7" t="str">
        <x:v>Test de comportement spécifique à la mission proposée.</x:v>
      </x:c>
      <x:c r="G10" s="7" t="str">
        <x:v>Exécuter Ouvrir une voie d’approche avec la méthode la plus lente puis avec la méthode alternative.</x:v>
      </x:c>
      <x:c r="H10" s="7" t="str">
        <x:v>Contrôler les transitions de la règle suivante : Observer ronde, relayer l’alimentation puis franchir sans alerter toute l’installation.</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qa/ret/access.md : état initial, actions, attendu, résultat, capture.</x:v>
      </x:c>
      <x:c r="M10" s="7" t="str">
        <x:v>L’organisation des salles est une création de niveau.</x:v>
      </x:c>
      <x:c r="N10" s="7" t="str">
        <x:v>Aucun blocage, récompense multiple, information future ou divergence entre pause ATB et temps normal.</x:v>
      </x:c>
      <x:c r="O10" s="7" t="str">
        <x:v>RET-MIS-ACCESS, RET-CHO-ACCESS, RET-OPT-ACCESS</x:v>
      </x:c>
      <x:c r="P10" s="7" t="str"/>
      <x:c r="Q10" s="7" t="str"/>
      <x:c r="R10" s="7" t="str"/>
      <x:c r="S10" s="7" t="str"/>
    </x:row>
    <x:row r="11" ht="54" customHeight="1">
      <x:c r="A11" s="18" t="str">
        <x:v>RET-TST-OBSERVE</x:v>
      </x:c>
      <x:c r="B11" s="9" t="str">
        <x:v>Distinguer signal et illusion — scénario d’acceptation</x:v>
      </x:c>
      <x:c r="C11" s="15" t="str">
        <x:v>Défini</x:v>
      </x:c>
      <x:c r="D11" s="16" t="str">
        <x:v>Extrapolation</x:v>
      </x:c>
      <x:c r="E11" s="16" t="str">
        <x:v>P1</x:v>
      </x:c>
      <x:c r="F11" s="9" t="str">
        <x:v>Test de comportement spécifique à la mission proposée.</x:v>
      </x:c>
      <x:c r="G11" s="9" t="str">
        <x:v>Exécuter Distinguer signal et illusion avec la méthode la plus lente puis avec la méthode alternative.</x:v>
      </x:c>
      <x:c r="H11" s="9" t="str">
        <x:v>Contrôler les transitions de la règle suivante : Comparer perception du personnage et mesures externes ; le journal garde les deux sans trancher trop tôt.</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qa/ret/observe.md : état initial, actions, attendu, résultat, capture.</x:v>
      </x:c>
      <x:c r="M11" s="9" t="str">
        <x:v>Aucune option ne supprime définitivement le contrôle des Moissonneurs.</x:v>
      </x:c>
      <x:c r="N11" s="9" t="str">
        <x:v>Aucun blocage, récompense multiple, information future ou divergence entre pause ATB et temps normal.</x:v>
      </x:c>
      <x:c r="O11" s="9" t="str">
        <x:v>RET-MIS-OBSERVE, RET-CHO-OBSERVE, RET-OPT-OBSERVE</x:v>
      </x:c>
      <x:c r="P11" s="9" t="str"/>
      <x:c r="Q11" s="9" t="str"/>
      <x:c r="R11" s="9" t="str"/>
      <x:c r="S11" s="9" t="str"/>
    </x:row>
    <x:row r="12" ht="54" customHeight="1">
      <x:c r="A12" s="19" t="str">
        <x:v>RET-TST-UNEASY</x:v>
      </x:c>
      <x:c r="B12" s="7" t="str">
        <x:v>Maintenir une coopération provisoire — scénario d’acceptation</x:v>
      </x:c>
      <x:c r="C12" s="15" t="str">
        <x:v>Défini</x:v>
      </x:c>
      <x:c r="D12" s="17" t="str">
        <x:v>Extrapolation</x:v>
      </x:c>
      <x:c r="E12" s="17" t="str">
        <x:v>P1</x:v>
      </x:c>
      <x:c r="F12" s="7" t="str">
        <x:v>Test de comportement spécifique à la mission proposée.</x:v>
      </x:c>
      <x:c r="G12" s="7" t="str">
        <x:v>Exécuter Maintenir une coopération provisoire avec la méthode la plus lente puis avec la méthode alternative.</x:v>
      </x:c>
      <x:c r="H12" s="7" t="str">
        <x:v>Contrôler les transitions de la règle suivante : Définir qui surveille, qui pilote et qui vérifie la destination ; choix locaux réversibles.</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qa/ret/uneasy.md : état initial, actions, attendu, résultat, capture.</x:v>
      </x:c>
      <x:c r="M12" s="7" t="str">
        <x:v>Kai Leng n’est pas converti en compagnon fidèle.</x:v>
      </x:c>
      <x:c r="N12" s="7" t="str">
        <x:v>Aucun blocage, récompense multiple, information future ou divergence entre pause ATB et temps normal.</x:v>
      </x:c>
      <x:c r="O12" s="7" t="str">
        <x:v>RET-MIS-UNEASY, RET-CHO-UNEASY, RET-OPT-UNEASY</x:v>
      </x:c>
      <x:c r="P12" s="7" t="str"/>
      <x:c r="Q12" s="7" t="str"/>
      <x:c r="R12" s="7" t="str"/>
      <x:c r="S12" s="7" t="str"/>
    </x:row>
    <x:row r="13" ht="54" customHeight="1">
      <x:c r="A13" s="18" t="str">
        <x:v>RET-TST-SHELTER</x:v>
      </x:c>
      <x:c r="B13" s="9" t="str">
        <x:v>Garder l’académie ouverte aux secours — scénario d’acceptation</x:v>
      </x:c>
      <x:c r="C13" s="15" t="str">
        <x:v>Défini</x:v>
      </x:c>
      <x:c r="D13" s="16" t="str">
        <x:v>Extrapolation</x:v>
      </x:c>
      <x:c r="E13" s="16" t="str">
        <x:v>P1</x:v>
      </x:c>
      <x:c r="F13" s="9" t="str">
        <x:v>Test de comportement spécifique à la mission proposée.</x:v>
      </x:c>
      <x:c r="G13" s="9" t="str">
        <x:v>Exécuter Garder l’académie ouverte aux secours avec la méthode la plus lente puis avec la méthode alternative.</x:v>
      </x:c>
      <x:c r="H13" s="9" t="str">
        <x:v>Contrôler les transitions de la règle suivante : Couvrir les portes, guider les groupes et tenir le point de soins.</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qa/ret/shelter.md : état initial, actions, attendu, résultat, capture.</x:v>
      </x:c>
      <x:c r="M13" s="9" t="str">
        <x:v>Les destins établis ne deviennent pas des récompenses de score.</x:v>
      </x:c>
      <x:c r="N13" s="9" t="str">
        <x:v>Aucun blocage, récompense multiple, information future ou divergence entre pause ATB et temps normal.</x:v>
      </x:c>
      <x:c r="O13" s="9" t="str">
        <x:v>RET-MIS-SHELTER, RET-CHO-SHELTER, RET-OPT-SHELTER</x:v>
      </x:c>
      <x:c r="P13" s="9" t="str"/>
      <x:c r="Q13" s="9" t="str"/>
      <x:c r="R13" s="9" t="str"/>
      <x:c r="S13" s="9" t="str"/>
    </x:row>
    <x:row r="14" ht="54" customHeight="1">
      <x:c r="A14" s="19" t="str">
        <x:v>RET-TST-REPORT</x:v>
      </x:c>
      <x:c r="B14" s="7" t="str">
        <x:v>Conserver le résultat de l’opération — scénario d’acceptation</x:v>
      </x:c>
      <x:c r="C14" s="15" t="str">
        <x:v>Défini</x:v>
      </x:c>
      <x:c r="D14" s="17" t="str">
        <x:v>Extrapolation</x:v>
      </x:c>
      <x:c r="E14" s="17" t="str">
        <x:v>P1</x:v>
      </x:c>
      <x:c r="F14" s="7" t="str">
        <x:v>Test de comportement spécifique à la mission proposée.</x:v>
      </x:c>
      <x:c r="G14" s="7" t="str">
        <x:v>Exécuter Conserver le résultat de l’opération avec la méthode la plus lente puis avec la méthode alternative.</x:v>
      </x:c>
      <x:c r="H14" s="7" t="str">
        <x:v>Contrôler les transitions de la règle suivante : Séparer témoignage, mesure et hypothèse ; archiver sans divulguer les données hors contexte.</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qa/ret/report.md : état initial, actions, attendu, résultat, capture.</x:v>
      </x:c>
      <x:c r="M14" s="7" t="str">
        <x:v>Préserver les états de Grayson, Nick et Kai Leng nécessaires à la suite.</x:v>
      </x:c>
      <x:c r="N14" s="7" t="str">
        <x:v>Aucun blocage, récompense multiple, information future ou divergence entre pause ATB et temps normal.</x:v>
      </x:c>
      <x:c r="O14" s="7" t="str">
        <x:v>RET-MIS-REPORT, RET-CHO-REPORT, RET-OPT-REPORT</x:v>
      </x:c>
      <x:c r="P14" s="7" t="str"/>
      <x:c r="Q14" s="7" t="str"/>
      <x:c r="R14" s="7" t="str"/>
      <x:c r="S14" s="7" t="str"/>
    </x:row>
    <x:row r="15" ht="68" customHeight="1">
      <x:c r="A15" s="18" t="str">
        <x:v>RET-QA-SOURCES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RET par nature puis sourceIds ; revue ciblée des éléments sans source.</x:v>
      </x:c>
      <x:c r="M15" s="9" t="str">
        <x:v>Préserver le parcours de Grayson et les états nécessaires à Deception et ME3. Les rencontres proposées n’offrent ni guérison canonique de Grayson ni élimination définitive de Kai Leng.</x:v>
      </x:c>
      <x:c r="N15" s="9" t="str">
        <x:v>Sources accessibles ou limites tracées ; aucun long extrait, dialogue reproduit ou résumé continu substitutif.</x:v>
      </x:c>
      <x:c r="O15" s="9" t="str"/>
      <x:c r="P15" s="9" t="str"/>
      <x:c r="Q15" s="9" t="str"/>
      <x:c r="R15" s="9" t="str"/>
      <x:c r="S15" s="9" t="str"/>
    </x:row>
    <x:row r="16" ht="68" customHeight="1">
      <x:c r="A16" s="19" t="str">
        <x:v>RET-QA-SAVE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qa/ret/save-reload.md avec capture avant/après.</x:v>
      </x:c>
      <x:c r="M16" s="7" t="str">
        <x:v>Préserver le parcours de Grayson et les états nécessaires à Deception et ME3. Les rencontres proposées n’offrent ni guérison canonique de Grayson ni élimination définitive de Kai Leng.</x:v>
      </x:c>
      <x:c r="N16" s="7" t="str">
        <x:v>Inventaire, acteurs disponibles, indices et limites de continuité restent identiques.</x:v>
      </x:c>
      <x:c r="O16" s="7" t="str"/>
      <x:c r="P16" s="7" t="str"/>
      <x:c r="Q16" s="7" t="str"/>
      <x:c r="R16" s="7" t="str"/>
      <x:c r="S16" s="7" t="str"/>
    </x:row>
    <x:row r="17" ht="54" customHeight="1">
      <x:c r="A17" s="18" t="str">
        <x:v>RET-QA-VISUAL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qa/ret/readability/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RET-QA-ACCESS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qa/ret/accessibility.md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26f083af00ac4526"/>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Retribution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RET-CON-01</x:v>
      </x:c>
      <x:c r="B7" s="9" t="str">
        <x:v>Après Mass Effect 2</x:v>
      </x:c>
      <x:c r="C7" s="15" t="str">
        <x:v>Défini</x:v>
      </x:c>
      <x:c r="D7" s="16" t="str">
        <x:v>Établi</x:v>
      </x:c>
      <x:c r="E7" s="16" t="str">
        <x:v>P0</x:v>
      </x:c>
      <x:c r="F7" s="9" t="str">
        <x:v>La notice situe le roman après les événements de ME2.</x:v>
      </x:c>
      <x:c r="G7" s="9" t="str">
        <x:v>Contrainte éditoriale : verrouiller les dépendances avant intégration du module.</x:v>
      </x:c>
      <x:c r="H7" s="9" t="str"/>
      <x:c r="I7" s="9" t="str"/>
      <x:c r="J7" s="9" t="str"/>
      <x:c r="K7" s="9" t="str"/>
      <x:c r="L7" s="9" t="str">
        <x:v>continuity/ret.json ; règle documentée et décision de validation datée.</x:v>
      </x:c>
      <x:c r="M7" s="9" t="str">
        <x:v>Préserver le parcours de Grayson et les états nécessaires à Deception et ME3. Les rencontres proposées n’offrent ni guérison canonique de Grayson ni élimination définitive de Kai Leng.</x:v>
      </x:c>
      <x:c r="N7" s="9" t="str">
        <x:v>La règle est contrôlée dans les textes, cartes, choix et sauvegardes ; incertitude résolue ou affichée.</x:v>
      </x:c>
      <x:c r="O7" s="9" t="str"/>
      <x:c r="P7" s="9" t="str">
        <x:v>Limite de continuité / contrôle transversal</x:v>
      </x:c>
      <x:c r="Q7" s="9" t="str">
        <x:v>RET-SRC-WIKI</x:v>
      </x:c>
      <x:c r="R7" s="9" t="str">
        <x:v>https://masseffect.fandom.com/wiki/Mass_Effect:_Retribution</x:v>
      </x:c>
      <x:c r="S7" s="9" t="str">
        <x:v>Aucun numéro de chapitre ou de page n’est attribué sans exemplaire vérifié.</x:v>
      </x:c>
    </x:row>
    <x:row r="8" ht="68" customHeight="1">
      <x:c r="A8" s="19" t="str">
        <x:v>RET-CON-02</x:v>
      </x:c>
      <x:c r="B8" s="7" t="str">
        <x:v>Liselle</x:v>
      </x:c>
      <x:c r="C8" s="15" t="str">
        <x:v>Défini</x:v>
      </x:c>
      <x:c r="D8" s="17" t="str">
        <x:v>Établi</x:v>
      </x:c>
      <x:c r="E8" s="17" t="str">
        <x:v>P0</x:v>
      </x:c>
      <x:c r="F8" s="7" t="str">
        <x:v>Sa mort pendant l’opération de capture ne devient pas une issue optionnelle présentée comme officielle.</x:v>
      </x:c>
      <x:c r="G8" s="7" t="str">
        <x:v>Contrainte éditoriale : verrouiller les dépendances avant intégration du module.</x:v>
      </x:c>
      <x:c r="H8" s="7" t="str"/>
      <x:c r="I8" s="7" t="str"/>
      <x:c r="J8" s="7" t="str"/>
      <x:c r="K8" s="7" t="str"/>
      <x:c r="L8" s="7" t="str">
        <x:v>continuity/ret.json ; règle documentée et décision de validation datée.</x:v>
      </x:c>
      <x:c r="M8" s="7" t="str">
        <x:v>Préserver le parcours de Grayson et les états nécessaires à Deception et ME3. Les rencontres proposées n’offrent ni guérison canonique de Grayson ni élimination définitive de Kai Leng.</x:v>
      </x:c>
      <x:c r="N8" s="7" t="str">
        <x:v>La règle est contrôlée dans les textes, cartes, choix et sauvegardes ; incertitude résolue ou affichée.</x:v>
      </x:c>
      <x:c r="O8" s="7" t="str"/>
      <x:c r="P8" s="7" t="str">
        <x:v>Limite de continuité / contrôle transversal</x:v>
      </x:c>
      <x:c r="Q8" s="7" t="str">
        <x:v>RET-SRC-KAI</x:v>
      </x:c>
      <x:c r="R8" s="7" t="str">
        <x:v>https://masseffect.fandom.com/wiki/Kai_Leng</x:v>
      </x:c>
      <x:c r="S8" s="7" t="str">
        <x:v>Aucun numéro de chapitre ou de page n’est attribué sans exemplaire vérifié.</x:v>
      </x:c>
    </x:row>
    <x:row r="9" ht="68" customHeight="1">
      <x:c r="A9" s="18" t="str">
        <x:v>RET-CON-03</x:v>
      </x:c>
      <x:c r="B9" s="9" t="str">
        <x:v>Kai Leng</x:v>
      </x:c>
      <x:c r="C9" s="15" t="str">
        <x:v>Défini</x:v>
      </x:c>
      <x:c r="D9" s="16" t="str">
        <x:v>Établi</x:v>
      </x:c>
      <x:c r="E9" s="16" t="str">
        <x:v>P0</x:v>
      </x:c>
      <x:c r="F9" s="9" t="str">
        <x:v>Kai Leng survit aux événements ; un duel proposé ne peut le supprimer de ME3.</x:v>
      </x:c>
      <x:c r="G9" s="9" t="str">
        <x:v>Contrainte éditoriale : verrouiller les dépendances avant intégration du module.</x:v>
      </x:c>
      <x:c r="H9" s="9" t="str"/>
      <x:c r="I9" s="9" t="str"/>
      <x:c r="J9" s="9" t="str"/>
      <x:c r="K9" s="9" t="str"/>
      <x:c r="L9" s="9" t="str">
        <x:v>continuity/ret.json ; règle documentée et décision de validation datée.</x:v>
      </x:c>
      <x:c r="M9" s="9" t="str">
        <x:v>Préserver le parcours de Grayson et les états nécessaires à Deception et ME3. Les rencontres proposées n’offrent ni guérison canonique de Grayson ni élimination définitive de Kai Leng.</x:v>
      </x:c>
      <x:c r="N9" s="9" t="str">
        <x:v>La règle est contrôlée dans les textes, cartes, choix et sauvegardes ; incertitude résolue ou affichée.</x:v>
      </x:c>
      <x:c r="O9" s="9" t="str"/>
      <x:c r="P9" s="9" t="str">
        <x:v>Limite de continuité / contrôle transversal</x:v>
      </x:c>
      <x:c r="Q9" s="9" t="str">
        <x:v>RET-SRC-KAI</x:v>
      </x:c>
      <x:c r="R9" s="9" t="str">
        <x:v>https://masseffect.fandom.com/wiki/Kai_Leng</x:v>
      </x:c>
      <x:c r="S9" s="9" t="str">
        <x:v>Aucun numéro de chapitre ou de page n’est attribué sans exemplaire vérifié.</x:v>
      </x:c>
    </x:row>
    <x:row r="10" ht="68" customHeight="1">
      <x:c r="A10" s="19" t="str">
        <x:v>RET-CON-04</x:v>
      </x:c>
      <x:c r="B10" s="7" t="str">
        <x:v>Grayson</x:v>
      </x:c>
      <x:c r="C10" s="15" t="str">
        <x:v>Défini</x:v>
      </x:c>
      <x:c r="D10" s="17" t="str">
        <x:v>À vérifier</x:v>
      </x:c>
      <x:c r="E10" s="17" t="str">
        <x:v>P0</x:v>
      </x:c>
      <x:c r="F10" s="7" t="str">
        <x:v>La fin de Grayson doit rester compatible avec les preuves transportées dans Deception.</x:v>
      </x:c>
      <x:c r="G10" s="7" t="str">
        <x:v>Contrainte éditoriale : verrouiller les dépendances avant intégration du module.</x:v>
      </x:c>
      <x:c r="H10" s="7" t="str"/>
      <x:c r="I10" s="7" t="str"/>
      <x:c r="J10" s="7" t="str"/>
      <x:c r="K10" s="7" t="str"/>
      <x:c r="L10" s="7" t="str">
        <x:v>continuity/ret.json ; règle documentée et décision de validation datée.</x:v>
      </x:c>
      <x:c r="M10" s="7" t="str">
        <x:v>Préserver le parcours de Grayson et les états nécessaires à Deception et ME3. Les rencontres proposées n’offrent ni guérison canonique de Grayson ni élimination définitive de Kai Leng.</x:v>
      </x:c>
      <x:c r="N10" s="7" t="str">
        <x:v>La règle est contrôlée dans les textes, cartes, choix et sauvegardes ; incertitude résolue ou affichée.</x:v>
      </x:c>
      <x:c r="O10" s="7" t="str"/>
      <x:c r="P10" s="7" t="str">
        <x:v>Limite de continuité / contrôle transversal</x:v>
      </x:c>
      <x:c r="Q10" s="7" t="str"/>
      <x:c r="R10" s="7" t="str"/>
      <x:c r="S10" s="7" t="str">
        <x:v>Aucun numéro de chapitre ou de page n’est attribué sans exemplaire vérifié.</x:v>
      </x:c>
    </x:row>
    <x:row r="11" ht="68" customHeight="1">
      <x:c r="A11" s="18" t="str">
        <x:v>RET-CON-05</x:v>
      </x:c>
      <x:c r="B11" s="9" t="str">
        <x:v>Nick adolescent</x:v>
      </x:c>
      <x:c r="C11" s="15" t="str">
        <x:v>Défini</x:v>
      </x:c>
      <x:c r="D11" s="16" t="str">
        <x:v>Établi</x:v>
      </x:c>
      <x:c r="E11" s="16" t="str">
        <x:v>P0</x:v>
      </x:c>
      <x:c r="F11" s="9" t="str">
        <x:v>Ne pas importer l’âge problématique de Deception dans ce module.</x:v>
      </x:c>
      <x:c r="G11" s="9" t="str">
        <x:v>Contrainte éditoriale : verrouiller les dépendances avant intégration du module.</x:v>
      </x:c>
      <x:c r="H11" s="9" t="str"/>
      <x:c r="I11" s="9" t="str"/>
      <x:c r="J11" s="9" t="str"/>
      <x:c r="K11" s="9" t="str"/>
      <x:c r="L11" s="9" t="str">
        <x:v>continuity/ret.json ; règle documentée et décision de validation datée.</x:v>
      </x:c>
      <x:c r="M11" s="9" t="str">
        <x:v>Préserver le parcours de Grayson et les états nécessaires à Deception et ME3. Les rencontres proposées n’offrent ni guérison canonique de Grayson ni élimination définitive de Kai Leng.</x:v>
      </x:c>
      <x:c r="N11" s="9" t="str">
        <x:v>La règle est contrôlée dans les textes, cartes, choix et sauvegardes ; incertitude résolue ou affichée.</x:v>
      </x:c>
      <x:c r="O11" s="9" t="str"/>
      <x:c r="P11" s="9" t="str">
        <x:v>Limite de continuité / contrôle transversal</x:v>
      </x:c>
      <x:c r="Q11" s="9" t="str">
        <x:v>RET-SRC-NICK</x:v>
      </x:c>
      <x:c r="R11" s="9" t="str">
        <x:v>https://masseffect.fandom.com/wiki/Nick_Donahue</x:v>
      </x:c>
      <x:c r="S11" s="9" t="str">
        <x:v>Aucun numéro de chapitre ou de page n’est attribué sans exemplaire vérifié.</x:v>
      </x:c>
    </x:row>
    <x:row r="12" ht="68" customHeight="1">
      <x:c r="A12" s="19" t="str">
        <x:v>RET-CON-06</x:v>
      </x:c>
      <x:c r="B12" s="7" t="str">
        <x:v>Implants</x:v>
      </x:c>
      <x:c r="C12" s="15" t="str">
        <x:v>Défini</x:v>
      </x:c>
      <x:c r="D12" s="17" t="str">
        <x:v>Extrapolation</x:v>
      </x:c>
      <x:c r="E12" s="17" t="str">
        <x:v>P0</x:v>
      </x:c>
      <x:c r="F12" s="7" t="str">
        <x:v>Les effets narratifs des implants ne justifient aucune recette technique ou taux de réussite médical inventé.</x:v>
      </x:c>
      <x:c r="G12" s="7" t="str">
        <x:v>Contrainte éditoriale : verrouiller les dépendances avant intégration du module.</x:v>
      </x:c>
      <x:c r="H12" s="7" t="str"/>
      <x:c r="I12" s="7" t="str"/>
      <x:c r="J12" s="7" t="str"/>
      <x:c r="K12" s="7" t="str"/>
      <x:c r="L12" s="7" t="str">
        <x:v>continuity/ret.json ; règle documentée et décision de validation datée.</x:v>
      </x:c>
      <x:c r="M12" s="7" t="str">
        <x:v>Préserver le parcours de Grayson et les états nécessaires à Deception et ME3. Les rencontres proposées n’offrent ni guérison canonique de Grayson ni élimination définitive de Kai Leng.</x:v>
      </x:c>
      <x:c r="N12" s="7" t="str">
        <x:v>La règle est contrôlée dans les textes, cartes, choix et sauvegardes ; incertitude résolue ou affichée.</x:v>
      </x:c>
      <x:c r="O12" s="7" t="str"/>
      <x:c r="P12" s="7" t="str">
        <x:v>Limite de continuité / contrôle transversal</x:v>
      </x:c>
      <x:c r="Q12" s="7" t="str"/>
      <x:c r="R12" s="7" t="str"/>
      <x:c r="S12" s="7" t="str">
        <x:v>Aucun numéro de chapitre ou de page n’est attribué sans exemplaire vérifié.</x:v>
      </x:c>
    </x:row>
    <x:row r="13" ht="68" customHeight="1">
      <x:c r="A13" s="18" t="str">
        <x:v>RET-CON-07</x:v>
      </x:c>
      <x:c r="B13" s="9" t="str">
        <x:v>Ambassadrice Orinia</x:v>
      </x:c>
      <x:c r="C13" s="15" t="str">
        <x:v>Défini</x:v>
      </x:c>
      <x:c r="D13" s="16" t="str">
        <x:v>Établi</x:v>
      </x:c>
      <x:c r="E13" s="16" t="str">
        <x:v>P0</x:v>
      </x:c>
      <x:c r="F13" s="9" t="str">
        <x:v>La relation diplomatique permet une aide ciblée ; elle ne crée pas une guerre générale entre Turiens et Cerberus.</x:v>
      </x:c>
      <x:c r="G13" s="9" t="str">
        <x:v>Contrainte éditoriale : verrouiller les dépendances avant intégration du module.</x:v>
      </x:c>
      <x:c r="H13" s="9" t="str"/>
      <x:c r="I13" s="9" t="str"/>
      <x:c r="J13" s="9" t="str"/>
      <x:c r="K13" s="9" t="str"/>
      <x:c r="L13" s="9" t="str">
        <x:v>continuity/ret.json ; règle documentée et décision de validation datée.</x:v>
      </x:c>
      <x:c r="M13" s="9" t="str">
        <x:v>Préserver le parcours de Grayson et les états nécessaires à Deception et ME3. Les rencontres proposées n’offrent ni guérison canonique de Grayson ni élimination définitive de Kai Leng.</x:v>
      </x:c>
      <x:c r="N13" s="9" t="str">
        <x:v>La règle est contrôlée dans les textes, cartes, choix et sauvegardes ; incertitude résolue ou affichée.</x:v>
      </x:c>
      <x:c r="O13" s="9" t="str"/>
      <x:c r="P13" s="9" t="str">
        <x:v>Limite de continuité / contrôle transversal</x:v>
      </x:c>
      <x:c r="Q13" s="9" t="str">
        <x:v>RET-SRC-AND</x:v>
      </x:c>
      <x:c r="R13" s="9" t="str">
        <x:v>https://masseffect.fandom.com/wiki/David_Anderson</x:v>
      </x:c>
      <x:c r="S13" s="9" t="str">
        <x:v>Aucun numéro de chapitre ou de page n’est attribué sans exemplaire vérifié.</x:v>
      </x:c>
    </x:row>
  </x:sheetData>
  <x:conditionalFormatting sqref="D7:D13">
    <x:cfRule type="cellIs" dxfId="100" priority="1" operator="equal">
      <x:formula>"À vérifier"</x:formula>
    </x:cfRule>
    <x:cfRule type="cellIs" dxfId="101" priority="2" operator="equal">
      <x:formula>"Extrapolation"</x:formula>
    </x:cfRule>
  </x:conditionalFormatting>
  <x:conditionalFormatting sqref="C7:C13">
    <x:cfRule type="cellIs" dxfId="102" priority="3" operator="equal">
      <x:formula>"Validé"</x:formula>
    </x:cfRule>
  </x:conditionalFormatting>
  <x:conditionalFormatting sqref="E7:E13">
    <x:cfRule type="cellIs" dxfId="10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f502b3264c524e59"/>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Retribution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Retribution</x:v>
      </x:c>
      <x:c r="C7" s="2"/>
      <x:c r="D7" s="2"/>
      <x:c r="E7" s="2"/>
      <x:c r="F7" s="2"/>
    </x:row>
    <x:row r="8" ht="30" customHeight="1">
      <x:c r="A8" s="7" t="str">
        <x:v>Support</x:v>
      </x:c>
      <x:c r="B8" s="7" t="str">
        <x:v>Roman</x:v>
      </x:c>
      <x:c r="C8" s="2"/>
      <x:c r="D8" s="2"/>
      <x:c r="E8" s="2"/>
      <x:c r="F8" s="2"/>
    </x:row>
    <x:row r="9" ht="40" customHeight="1">
      <x:c r="A9" s="7" t="str">
        <x:v>Périmètre</x:v>
      </x:c>
      <x:c r="B9" s="7" t="str">
        <x:v>Roman de Drew Karpyshyn ; enquête sur Grayson, expériences de Cerberus et menace sur l’académie.</x:v>
      </x:c>
      <x:c r="C9" s="2"/>
      <x:c r="D9" s="2"/>
      <x:c r="E9" s="2"/>
      <x:c r="F9" s="2"/>
    </x:row>
    <x:row r="10" ht="54" customHeight="1">
      <x:c r="A10" s="7" t="str">
        <x:v>Projet</x:v>
      </x:c>
      <x:c r="B10" s="7" t="str">
        <x:v>158 fiches de production ; 5 fiches au stade Prototype de portée partielle. Les autres livrables restent des spécifications ; aucun achèvement intégral 1:1 revendiqué.</x:v>
      </x:c>
      <x:c r="C10" s="2"/>
      <x:c r="D10" s="2"/>
      <x:c r="E10" s="2"/>
      <x:c r="F10" s="2"/>
    </x:row>
    <x:row r="11" ht="110" customHeight="1">
      <x:c r="A11" s="7" t="str">
        <x:v>Références et limites</x:v>
      </x:c>
      <x:c r="B11" s="7" t="str">
        <x:v>Préserver le parcours de Grayson et les états nécessaires à Deception et ME3. Les rencontres proposées n’offrent ni guérison canonique de Grayson ni élimination définitive de Kai Leng.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RET-SRC-PUB</x:v>
      </x:c>
      <x:c r="B27" s="6" t="str">
        <x:v>Penguin Random House — Retribution</x:v>
      </x:c>
      <x:c r="C27" s="6" t="str">
        <x:v>source officielle</x:v>
      </x:c>
      <x:c r="D27" s="6" t="str">
        <x:v>https://www.penguinrandomhouse.com/books/200767/mass-effect-retribution-by-drew-karpyshyn/paperback/</x:v>
      </x:c>
      <x:c r="E27" s="6" t="str">
        <x:v>Publication et prémisse officielle</x:v>
      </x:c>
      <x:c r="F27" s="6" t="str">
        <x:v>Consulté le 22 octobre 2026. Faits courts uniquement ; la publication originale reste nécessaire pour contrôler les détails.</x:v>
      </x:c>
    </x:row>
    <x:row r="28" ht="54" customHeight="1">
      <x:c r="A28" s="6" t="str">
        <x:v>RET-SRC-WIKI</x:v>
      </x:c>
      <x:c r="B28" s="6" t="str">
        <x:v>Mass Effect Wiki — Retribution</x:v>
      </x:c>
      <x:c r="C28" s="6" t="str">
        <x:v>wiki</x:v>
      </x:c>
      <x:c r="D28" s="6" t="str">
        <x:v>https://masseffect.fandom.com/wiki/Mass_Effect:_Retribution</x:v>
      </x:c>
      <x:c r="E28" s="6" t="str">
        <x:v>Situation après ME2 ; page ouverte après un premier refus</x:v>
      </x:c>
      <x:c r="F28" s="6" t="str">
        <x:v>Consulté le 22 octobre 2026. Faits courts uniquement ; la publication originale reste nécessaire pour contrôler les détails.</x:v>
      </x:c>
    </x:row>
    <x:row r="29" ht="54" customHeight="1">
      <x:c r="A29" s="6" t="str">
        <x:v>RET-SRC-KAI</x:v>
      </x:c>
      <x:c r="B29" s="6" t="str">
        <x:v>Mass Effect Wiki — Kai Leng</x:v>
      </x:c>
      <x:c r="C29" s="6" t="str">
        <x:v>wiki</x:v>
      </x:c>
      <x:c r="D29" s="6" t="str">
        <x:v>https://masseffect.fandom.com/wiki/Kai_Leng</x:v>
      </x:c>
      <x:c r="E29" s="6" t="str">
        <x:v>Opération sur Omega, expérience, académie et survie de Leng</x:v>
      </x:c>
      <x:c r="F29" s="6" t="str">
        <x:v>Consulté le 22 octobre 2026. Faits courts uniquement ; la publication originale reste nécessaire pour contrôler les détails.</x:v>
      </x:c>
    </x:row>
    <x:row r="30" ht="54" customHeight="1">
      <x:c r="A30" s="6" t="str">
        <x:v>RET-SRC-LIS</x:v>
      </x:c>
      <x:c r="B30" s="6" t="str">
        <x:v>Mass Effect Wiki — Liselle</x:v>
      </x:c>
      <x:c r="C30" s="6" t="str">
        <x:v>wiki</x:v>
      </x:c>
      <x:c r="D30" s="6" t="str">
        <x:v>https://masseffect.fandom.com/wiki/Liselle</x:v>
      </x:c>
      <x:c r="E30" s="6" t="str">
        <x:v>Fille d’Aria et relation avec Grayson ; résultat indexé</x:v>
      </x:c>
      <x:c r="F30" s="6" t="str">
        <x:v>Consulté le 22 octobre 2026. Faits courts uniquement ; la publication originale reste nécessaire pour contrôler les détails.</x:v>
      </x:c>
    </x:row>
    <x:row r="31" ht="54" customHeight="1">
      <x:c r="A31" s="6" t="str">
        <x:v>RET-SRC-SAN</x:v>
      </x:c>
      <x:c r="B31" s="6" t="str">
        <x:v>Mass Effect Wiki — Sanak</x:v>
      </x:c>
      <x:c r="C31" s="6" t="str">
        <x:v>wiki</x:v>
      </x:c>
      <x:c r="D31" s="6" t="str">
        <x:v>https://masseffect.fandom.com/wiki/Sanak</x:v>
      </x:c>
      <x:c r="E31" s="6" t="str">
        <x:v>Mercenaire au service d’Aria et identification de Grayson ; résultat indexé</x:v>
      </x:c>
      <x:c r="F31" s="6" t="str">
        <x:v>Consulté le 22 octobre 2026. Faits courts uniquement ; la publication originale reste nécessaire pour contrôler les détails.</x:v>
      </x:c>
    </x:row>
    <x:row r="32" ht="54" customHeight="1">
      <x:c r="A32" s="6" t="str">
        <x:v>RET-SRC-OMEGA</x:v>
      </x:c>
      <x:c r="B32" s="6" t="str">
        <x:v>Mass Effect Wiki — Omega</x:v>
      </x:c>
      <x:c r="C32" s="6" t="str">
        <x:v>wiki</x:v>
      </x:c>
      <x:c r="D32" s="6" t="str">
        <x:v>https://masseffect.fandom.com/wiki/Omega</x:v>
      </x:c>
      <x:c r="E32" s="6" t="str">
        <x:v>Cadre de Retribution et rôle d’Aria ; résultat indexé</x:v>
      </x:c>
      <x:c r="F32" s="6" t="str">
        <x:v>Consulté le 22 octobre 2026. Faits courts uniquement ; la publication originale reste nécessaire pour contrôler les détails.</x:v>
      </x:c>
    </x:row>
    <x:row r="33" ht="54" customHeight="1">
      <x:c r="A33" s="6" t="str">
        <x:v>RET-SRC-AND</x:v>
      </x:c>
      <x:c r="B33" s="6" t="str">
        <x:v>Mass Effect Wiki — David Anderson</x:v>
      </x:c>
      <x:c r="C33" s="6" t="str">
        <x:v>wiki</x:v>
      </x:c>
      <x:c r="D33" s="6" t="str">
        <x:v>https://masseffect.fandom.com/wiki/David_Anderson</x:v>
      </x:c>
      <x:c r="E33" s="6" t="str">
        <x:v>Kahlee, Anderson et assistance d’Orinia</x:v>
      </x:c>
      <x:c r="F33" s="6" t="str">
        <x:v>Consulté le 22 octobre 2026. Faits courts uniquement ; la publication originale reste nécessaire pour contrôler les détails.</x:v>
      </x:c>
    </x:row>
    <x:row r="34" ht="54" customHeight="1">
      <x:c r="A34" s="6" t="str">
        <x:v>RET-SRC-NICK</x:v>
      </x:c>
      <x:c r="B34" s="6" t="str">
        <x:v>Mass Effect Wiki — Nick Donahue</x:v>
      </x:c>
      <x:c r="C34" s="6" t="str">
        <x:v>wiki</x:v>
      </x:c>
      <x:c r="D34" s="6" t="str">
        <x:v>https://masseffect.fandom.com/wiki/Nick_Donahue</x:v>
      </x:c>
      <x:c r="E34" s="6" t="str">
        <x:v>Présence de Nick à l’académie et chronologie</x:v>
      </x:c>
      <x:c r="F34" s="6" t="str">
        <x:v>Consulté le 22 octobre 2026. Faits courts uniquement ; la publication originale reste nécessaire pour contrôler les détails.</x:v>
      </x:c>
    </x:row>
    <x:row r="35" ht="54" customHeight="1">
      <x:c r="A35" s="6" t="str">
        <x:v>RET-SRC-EXCERPT</x:v>
      </x:c>
      <x:c r="B35" s="6" t="str">
        <x:v>EA/BioWare — extrait de Retribution</x:v>
      </x:c>
      <x:c r="C35" s="6" t="str">
        <x:v>publication originale</x:v>
      </x:c>
      <x:c r="D35" s="6" t="str">
        <x:v>https://na.llnet.bioware.cdn.ea.com/u/f/eagames/bioware/masseffect2/resources/assets/market/books/retribution-01.pdf</x:v>
      </x:c>
      <x:c r="E35" s="6" t="str">
        <x:v>Extrait indexé : Grayson, Liselle et Sanak ; pas de citation ni de pagination utilisée</x:v>
      </x:c>
      <x:c r="F35" s="6" t="str">
        <x:v>Consulté le 22 octobre 2026. Faits courts uniquement ; la publication originale reste nécessaire pour contrôler les détails.</x:v>
      </x:c>
    </x:row>
    <x:row r="36" ht="22" customHeight="1">
      <x:c r="A36" s="2"/>
      <x:c r="B36" s="2"/>
      <x:c r="C36" s="2"/>
      <x:c r="D36" s="2"/>
      <x:c r="E36" s="2"/>
      <x:c r="F36" s="2"/>
    </x:row>
    <x:row r="37" ht="22" customHeight="1">
      <x:c r="A37" s="2"/>
      <x:c r="B37" s="2"/>
      <x:c r="C37" s="2"/>
      <x:c r="D37" s="2"/>
      <x:c r="E37" s="2"/>
      <x:c r="F37" s="2"/>
    </x:row>
    <x:row r="38" ht="22" customHeight="1">
      <x:c r="A38" s="2"/>
      <x:c r="B38" s="2"/>
      <x:c r="C38" s="2"/>
      <x:c r="D38" s="2"/>
      <x:c r="E38" s="2"/>
      <x:c r="F38" s="2"/>
    </x:row>
    <x:row r="39" ht="34" customHeight="1">
      <x:c r="A39" s="28" t="str">
        <x:v>Domaine</x:v>
      </x:c>
      <x:c r="B39" s="29" t="str">
        <x:v>Couverture actuelle</x:v>
      </x:c>
      <x:c r="C39" s="30" t="str">
        <x:v>Travail restant</x:v>
      </x:c>
      <x:c r="D39" s="2"/>
      <x:c r="E39" s="2"/>
      <x:c r="F39" s="2"/>
    </x:row>
    <x:row r="40" ht="68" customHeight="1">
      <x:c r="A40" s="6" t="str">
        <x:v>Références canoniques</x:v>
      </x:c>
      <x:c r="B40" s="6" t="str">
        <x:v>Grayson, Kahlee, Anderson, Kai Leng et réseaux d’Omega ; prototypes d’investigation, extraction et protection d’élèves.</x:v>
      </x:c>
      <x:c r="C40" s="6" t="str">
        <x:v>Le roman intégral n’a pas été collationné. Emplacements détaillés, inventaires, tenue de Kai Leng à cette époque et procédures de laboratoire restent à confirmer.</x:v>
      </x:c>
      <x:c r="D40" s="2"/>
      <x:c r="E40" s="2"/>
      <x:c r="F40" s="2"/>
    </x:row>
    <x:row r="41" ht="68" customHeight="1">
      <x:c r="A41" s="6" t="str">
        <x:v>Personnages et direction artistique</x:v>
      </x:c>
      <x:c r="B41" s="6" t="str">
        <x:v>10 personnages/PNJ documentés, avec planches, poses et intentions de dialogues originales distinctes.</x:v>
      </x:c>
      <x:c r="C41" s="6" t="str">
        <x:v>Valider les costumes, accessoires et nuances de caractérisation avec un exemplaire légal de l’œuvre ; pour le film, établir une bible visuelle par visionnage.</x:v>
      </x:c>
      <x:c r="D41" s="2"/>
      <x:c r="E41" s="2"/>
      <x:c r="F41" s="2"/>
    </x:row>
    <x:row r="42" ht="54" customHeight="1">
      <x:c r="A42" s="6" t="str">
        <x:v>Cartes et progression</x:v>
      </x:c>
      <x:c r="B42" s="6" t="str">
        <x:v>8 cartes proposées, leurs kits et transitions ; 8 missions originales avec options, annexes, cinématiques et critères de test.</x:v>
      </x:c>
      <x:c r="C42" s="6" t="str">
        <x:v>Blockouts, distances, budgets mémoire et temps de parcours à mesurer ; aucune carte officielle n’est revendiquée.</x:v>
      </x:c>
      <x:c r="D42" s="2"/>
      <x:c r="E42" s="2"/>
      <x:c r="F42" s="2"/>
    </x:row>
    <x:row r="43" ht="68" customHeight="1">
      <x:c r="A43" s="6" t="str">
        <x:v>Combat, systèmes et médias</x:v>
      </x:c>
      <x:c r="B43" s="6" t="str">
        <x:v>4 rencontres proposées, movesets, VFX, actions alliées, interface, audio et sauvegarde.</x:v>
      </x:c>
      <x:c r="C43" s="6" t="str">
        <x:v>Prototype, équilibrage, réalisation des assets, doublage éventuel et tests encore à faire. Aucune ligne ne signifie que le fan game contient déjà cet élément.</x:v>
      </x:c>
      <x:c r="D43" s="2"/>
      <x:c r="E43" s="2"/>
      <x:c r="F43" s="2"/>
    </x:row>
    <x:row r="44" ht="68" customHeight="1">
      <x:c r="A44" s="6" t="str">
        <x:v>Accès aux pages demandées</x:v>
      </x:c>
      <x:c r="B44" s="6" t="str">
        <x:v>Page wiki demandée ouverte ; sources secondaires utilisées seulement pour les points visibles.</x:v>
      </x:c>
      <x:c r="C44" s="6" t="str">
        <x:v>Les extraits indexés ne remplacent pas une vérification de l’œuvre intégrale. Les traductions françaises des noms et titres restent à contrôler selon l’édition retenue.</x:v>
      </x:c>
      <x:c r="D44" s="2"/>
      <x:c r="E44" s="2"/>
      <x:c r="F44" s="2"/>
    </x:row>
    <x:row r="45" ht="96" customHeight="1">
      <x:c r="A45" s="6" t="str">
        <x:v>Complément pouvoirs, modules et lectures</x:v>
      </x:c>
      <x:c r="B45" s="6" t="str">
        <x:v>0 fiches de pouvoirs utilisées, 0 familles de modules préparables et 5 références consultables dans une lecture documentaire. Les chemins et preuves sont inscrits sur les seules lignes Prototype.</x:v>
      </x:c>
      <x:c r="C45" s="6" t="str">
        <x:v>Arbres et progression complets, modèles et rangs exacts, campagnes et dialogues intégraux, niveaux et ressources visuelles propres à l’œuvre restent à réaliser ou vérifier. Les références lues ne rendent pas leurs personnages jouables.</x:v>
      </x:c>
      <x:c r="D45" s="2"/>
      <x:c r="E45" s="2"/>
      <x:c r="F45" s="2"/>
    </x:row>
    <x:row r="46" ht="22" customHeight="1">
      <x:c r="A46" s="2"/>
      <x:c r="B46" s="2"/>
      <x:c r="C46" s="2"/>
      <x:c r="D46" s="2"/>
      <x:c r="E46" s="2"/>
      <x:c r="F46" s="2"/>
    </x:row>
    <x:row r="47" ht="22" customHeight="1">
      <x:c r="A47" s="2"/>
      <x:c r="B47" s="2"/>
      <x:c r="C47" s="2"/>
      <x:c r="D47" s="2"/>
      <x:c r="E47" s="2"/>
      <x:c r="F47" s="2"/>
    </x:row>
    <x:row r="48" ht="22" customHeight="1">
      <x:c r="A48" s="2"/>
      <x:c r="B48" s="2"/>
      <x:c r="C48" s="2"/>
      <x:c r="D48" s="2"/>
      <x:c r="E48" s="2"/>
      <x:c r="F48" s="2"/>
    </x:row>
    <x:row r="49" ht="22" customHeight="1">
      <x:c r="A49" s="2"/>
      <x:c r="B49" s="2"/>
      <x:c r="C49" s="2"/>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sheetData>
  <x:pageMargins left="0.7" right="0.7" top="0.75" bottom="0.75" header="0.3" footer="0.3"/>
</x:worksheet>
</file>