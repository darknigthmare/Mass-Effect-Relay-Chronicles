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50d18e90d74c17" /></Relationships>
</file>

<file path=xl/workbook.xml><?xml version="1.0" encoding="utf-8"?>
<x:workbook xmlns:x="http://schemas.openxmlformats.org/spreadsheetml/2006/main">
  <x:sheets>
    <x:sheet xmlns:r="http://schemas.openxmlformats.org/officeDocument/2006/relationships" name="Dashboard" sheetId="1" r:id="Rca6beac03e954368"/>
    <x:sheet xmlns:r="http://schemas.openxmlformats.org/officeDocument/2006/relationships" name="Personnages" sheetId="2" r:id="R9a5f83ff1f604481"/>
    <x:sheet xmlns:r="http://schemas.openxmlformats.org/officeDocument/2006/relationships" name="PNJ" sheetId="3" r:id="R23df76bee67046b4"/>
    <x:sheet xmlns:r="http://schemas.openxmlformats.org/officeDocument/2006/relationships" name="Especes_factions" sheetId="4" r:id="R9c490112f33c4316"/>
    <x:sheet xmlns:r="http://schemas.openxmlformats.org/officeDocument/2006/relationships" name="Mondes" sheetId="5" r:id="Rf68d7ce13cf545af"/>
    <x:sheet xmlns:r="http://schemas.openxmlformats.org/officeDocument/2006/relationships" name="Zones" sheetId="6" r:id="R665f2e646aa743b8"/>
    <x:sheet xmlns:r="http://schemas.openxmlformats.org/officeDocument/2006/relationships" name="Liaisons" sheetId="7" r:id="R9101bc19f2384039"/>
    <x:sheet xmlns:r="http://schemas.openxmlformats.org/officeDocument/2006/relationships" name="Decors" sheetId="8" r:id="Rc28c2b4112bc4c00"/>
    <x:sheet xmlns:r="http://schemas.openxmlformats.org/officeDocument/2006/relationships" name="Props" sheetId="9" r:id="R9b3d768eba1b4f6b"/>
    <x:sheet xmlns:r="http://schemas.openxmlformats.org/officeDocument/2006/relationships" name="Ennemis_boss" sheetId="10" r:id="R247f5f65195b48a2"/>
    <x:sheet xmlns:r="http://schemas.openxmlformats.org/officeDocument/2006/relationships" name="Missions" sheetId="11" r:id="R379f7a0eea3e4b02"/>
    <x:sheet xmlns:r="http://schemas.openxmlformats.org/officeDocument/2006/relationships" name="Secondaires_DLC" sheetId="12" r:id="R4c7c1c6ff71e46d3"/>
    <x:sheet xmlns:r="http://schemas.openxmlformats.org/officeDocument/2006/relationships" name="Choix_relations" sheetId="13" r:id="R9466befa05584c52"/>
    <x:sheet xmlns:r="http://schemas.openxmlformats.org/officeDocument/2006/relationships" name="Dialogues" sheetId="14" r:id="R2f018f5163044feb"/>
    <x:sheet xmlns:r="http://schemas.openxmlformats.org/officeDocument/2006/relationships" name="Cinematiques" sheetId="15" r:id="Rd897ec71175e4ccf"/>
    <x:sheet xmlns:r="http://schemas.openxmlformats.org/officeDocument/2006/relationships" name="Armes" sheetId="16" r:id="R765a912e9c4c4253"/>
    <x:sheet xmlns:r="http://schemas.openxmlformats.org/officeDocument/2006/relationships" name="Armures_equipement" sheetId="17" r:id="Rb23c383404a447b0"/>
    <x:sheet xmlns:r="http://schemas.openxmlformats.org/officeDocument/2006/relationships" name="Pouvoirs" sheetId="18" r:id="Rf0d0f149f5b34161"/>
    <x:sheet xmlns:r="http://schemas.openxmlformats.org/officeDocument/2006/relationships" name="Movesets_allies" sheetId="19" r:id="Rb7219bfb47a44614"/>
    <x:sheet xmlns:r="http://schemas.openxmlformats.org/officeDocument/2006/relationships" name="Movesets_ennemis" sheetId="20" r:id="R00a72dd1d3c44628"/>
    <x:sheet xmlns:r="http://schemas.openxmlformats.org/officeDocument/2006/relationships" name="Animations" sheetId="21" r:id="Ra15bb6c08f0a4654"/>
    <x:sheet xmlns:r="http://schemas.openxmlformats.org/officeDocument/2006/relationships" name="Sprites" sheetId="22" r:id="R53cd2c5a3b1240d9"/>
    <x:sheet xmlns:r="http://schemas.openxmlformats.org/officeDocument/2006/relationships" name="VFX" sheetId="23" r:id="Rdcbcf5d380b24816"/>
    <x:sheet xmlns:r="http://schemas.openxmlformats.org/officeDocument/2006/relationships" name="Audio" sheetId="24" r:id="R03dbbb1b1c8f4e4c"/>
    <x:sheet xmlns:r="http://schemas.openxmlformats.org/officeDocument/2006/relationships" name="UI_systemes" sheetId="25" r:id="R1a25efb6219742cc"/>
    <x:sheet xmlns:r="http://schemas.openxmlformats.org/officeDocument/2006/relationships" name="QA" sheetId="26" r:id="R02153bf8a20f43d5"/>
    <x:sheet xmlns:r="http://schemas.openxmlformats.org/officeDocument/2006/relationships" name="Continuite" sheetId="27" r:id="R1102aed2ba624790"/>
    <x:sheet xmlns:r="http://schemas.openxmlformats.org/officeDocument/2006/relationships" name="Guide" sheetId="28" r:id="Rd7e5b0d8cf7d473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0"/>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96">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a6236b76a7b743a1" /><Relationship Type="http://schemas.openxmlformats.org/officeDocument/2006/relationships/theme" Target="/xl/theme/theme1.xml" Id="Ra334e443dc2241a0" /><Relationship Type="http://schemas.openxmlformats.org/officeDocument/2006/relationships/sharedStrings" Target="/xl/sharedStrings.xml" Id="Rce1de505be4947dd" /><Relationship Type="http://schemas.openxmlformats.org/officeDocument/2006/relationships/worksheet" Target="/xl/worksheets/sheet1.xml" Id="Rca6beac03e954368" /><Relationship Type="http://schemas.openxmlformats.org/officeDocument/2006/relationships/worksheet" Target="/xl/worksheets/sheet2.xml" Id="R9a5f83ff1f604481" /><Relationship Type="http://schemas.openxmlformats.org/officeDocument/2006/relationships/worksheet" Target="/xl/worksheets/sheet3.xml" Id="R23df76bee67046b4" /><Relationship Type="http://schemas.openxmlformats.org/officeDocument/2006/relationships/worksheet" Target="/xl/worksheets/sheet4.xml" Id="R9c490112f33c4316" /><Relationship Type="http://schemas.openxmlformats.org/officeDocument/2006/relationships/worksheet" Target="/xl/worksheets/sheet5.xml" Id="Rf68d7ce13cf545af" /><Relationship Type="http://schemas.openxmlformats.org/officeDocument/2006/relationships/worksheet" Target="/xl/worksheets/sheet6.xml" Id="R665f2e646aa743b8" /><Relationship Type="http://schemas.openxmlformats.org/officeDocument/2006/relationships/worksheet" Target="/xl/worksheets/sheet7.xml" Id="R9101bc19f2384039" /><Relationship Type="http://schemas.openxmlformats.org/officeDocument/2006/relationships/worksheet" Target="/xl/worksheets/sheet8.xml" Id="Rc28c2b4112bc4c00" /><Relationship Type="http://schemas.openxmlformats.org/officeDocument/2006/relationships/worksheet" Target="/xl/worksheets/sheet9.xml" Id="R9b3d768eba1b4f6b" /><Relationship Type="http://schemas.openxmlformats.org/officeDocument/2006/relationships/worksheet" Target="/xl/worksheets/sheet10.xml" Id="R247f5f65195b48a2" /><Relationship Type="http://schemas.openxmlformats.org/officeDocument/2006/relationships/worksheet" Target="/xl/worksheets/sheet11.xml" Id="R379f7a0eea3e4b02" /><Relationship Type="http://schemas.openxmlformats.org/officeDocument/2006/relationships/worksheet" Target="/xl/worksheets/sheet12.xml" Id="R4c7c1c6ff71e46d3" /><Relationship Type="http://schemas.openxmlformats.org/officeDocument/2006/relationships/worksheet" Target="/xl/worksheets/sheet13.xml" Id="R9466befa05584c52" /><Relationship Type="http://schemas.openxmlformats.org/officeDocument/2006/relationships/worksheet" Target="/xl/worksheets/sheet14.xml" Id="R2f018f5163044feb" /><Relationship Type="http://schemas.openxmlformats.org/officeDocument/2006/relationships/worksheet" Target="/xl/worksheets/sheet15.xml" Id="Rd897ec71175e4ccf" /><Relationship Type="http://schemas.openxmlformats.org/officeDocument/2006/relationships/worksheet" Target="/xl/worksheets/sheet16.xml" Id="R765a912e9c4c4253" /><Relationship Type="http://schemas.openxmlformats.org/officeDocument/2006/relationships/worksheet" Target="/xl/worksheets/sheet17.xml" Id="Rb23c383404a447b0" /><Relationship Type="http://schemas.openxmlformats.org/officeDocument/2006/relationships/worksheet" Target="/xl/worksheets/sheet18.xml" Id="Rf0d0f149f5b34161" /><Relationship Type="http://schemas.openxmlformats.org/officeDocument/2006/relationships/worksheet" Target="/xl/worksheets/sheet19.xml" Id="Rb7219bfb47a44614" /><Relationship Type="http://schemas.openxmlformats.org/officeDocument/2006/relationships/worksheet" Target="/xl/worksheets/sheet20.xml" Id="R00a72dd1d3c44628" /><Relationship Type="http://schemas.openxmlformats.org/officeDocument/2006/relationships/worksheet" Target="/xl/worksheets/sheet21.xml" Id="Ra15bb6c08f0a4654" /><Relationship Type="http://schemas.openxmlformats.org/officeDocument/2006/relationships/worksheet" Target="/xl/worksheets/sheet22.xml" Id="R53cd2c5a3b1240d9" /><Relationship Type="http://schemas.openxmlformats.org/officeDocument/2006/relationships/worksheet" Target="/xl/worksheets/sheet23.xml" Id="Rdcbcf5d380b24816" /><Relationship Type="http://schemas.openxmlformats.org/officeDocument/2006/relationships/worksheet" Target="/xl/worksheets/sheet24.xml" Id="R03dbbb1b1c8f4e4c" /><Relationship Type="http://schemas.openxmlformats.org/officeDocument/2006/relationships/worksheet" Target="/xl/worksheets/sheet25.xml" Id="R1a25efb6219742cc" /><Relationship Type="http://schemas.openxmlformats.org/officeDocument/2006/relationships/worksheet" Target="/xl/worksheets/sheet26.xml" Id="R02153bf8a20f43d5" /><Relationship Type="http://schemas.openxmlformats.org/officeDocument/2006/relationships/worksheet" Target="/xl/worksheets/sheet27.xml" Id="R1102aed2ba624790" /><Relationship Type="http://schemas.openxmlformats.org/officeDocument/2006/relationships/worksheet" Target="/xl/worksheets/sheet28.xml" Id="Rd7e5b0d8cf7d4737" /></Relationships>
</file>

<file path=xl/tables/table1.xml><?xml version="1.0" encoding="utf-8"?>
<x:table xmlns:x="http://schemas.openxmlformats.org/spreadsheetml/2006/main" id="1" name="NEX_characters" displayName="NEX_character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NEX_npcs" displayName="NEX_npc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NEX_lore" displayName="NEX_lore"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NEX_worlds" displayName="NEX_world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NEX_zones" displayName="NEX_zon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NEX_links" displayName="NEX_link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NEX_scenery" displayName="NEX_scenery"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NEX_props" displayName="NEX_prop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NEX_enemies" displayName="NEX_enemi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NEX_main_quests" displayName="NEX_main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NEX_side_quests" displayName="NEX_side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NEX_choices" displayName="NEX_choic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NEX_dialogues" displayName="NEX_dialogu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NEX_cinematics" displayName="NEX_cinematic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NEX_equipment" displayName="NEX_equipment"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NEX_ally_moves" displayName="NEX_all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NEX_enemy_moves" displayName="NEX_enemy_mov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NEX_animations" displayName="NEX_animation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NEX_sprites" displayName="NEX_sprit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NEX_vfx" displayName="NEX_vfx"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NEX_audio" displayName="NEX_audio"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NEX_systems" displayName="NEX_system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NEX_qa" displayName="NEX_qa"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NEX_continuity" displayName="NEX_continuity"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65e79617b64179" /></Relationships>
</file>

<file path=xl/worksheets/_rels/sheet3.xml.rels>&#65279;<?xml version="1.0" encoding="utf-8"?><Relationships xmlns="http://schemas.openxmlformats.org/package/2006/relationships"><Relationship Type="http://schemas.openxmlformats.org/officeDocument/2006/relationships/table" Target="/xl/tables/table2.xml" Id="R157cba3ccc3a474c" /></Relationships>
</file>

<file path=xl/worksheets/_rels/sheet4.xml.rels>&#65279;<?xml version="1.0" encoding="utf-8"?><Relationships xmlns="http://schemas.openxmlformats.org/package/2006/relationships"><Relationship Type="http://schemas.openxmlformats.org/officeDocument/2006/relationships/table" Target="/xl/tables/table3.xml" Id="R6ed268a4e8a94f02" /></Relationships>
</file>

<file path=xl/worksheets/_rels/sheet5.xml.rels>&#65279;<?xml version="1.0" encoding="utf-8"?><Relationships xmlns="http://schemas.openxmlformats.org/package/2006/relationships"><Relationship Type="http://schemas.openxmlformats.org/officeDocument/2006/relationships/table" Target="/xl/tables/table4.xml" Id="R8809bd2041154d46" /></Relationships>
</file>

<file path=xl/worksheets/_rels/sheet6.xml.rels>&#65279;<?xml version="1.0" encoding="utf-8"?><Relationships xmlns="http://schemas.openxmlformats.org/package/2006/relationships"><Relationship Type="http://schemas.openxmlformats.org/officeDocument/2006/relationships/table" Target="/xl/tables/table5.xml" Id="R8cd016e4ee464229" /></Relationships>
</file>

<file path=xl/worksheets/_rels/sheet7.xml.rels>&#65279;<?xml version="1.0" encoding="utf-8"?><Relationships xmlns="http://schemas.openxmlformats.org/package/2006/relationships"><Relationship Type="http://schemas.openxmlformats.org/officeDocument/2006/relationships/table" Target="/xl/tables/table6.xml" Id="Ra3cebaa181f24855" /></Relationships>
</file>

<file path=xl/worksheets/_rels/sheet8.xml.rels>&#65279;<?xml version="1.0" encoding="utf-8"?><Relationships xmlns="http://schemas.openxmlformats.org/package/2006/relationships"><Relationship Type="http://schemas.openxmlformats.org/officeDocument/2006/relationships/table" Target="/xl/tables/table7.xml" Id="Rc581fb7528d94e69" /></Relationships>
</file>

<file path=xl/worksheets/_rels/sheet9.xml.rels>&#65279;<?xml version="1.0" encoding="utf-8"?><Relationships xmlns="http://schemas.openxmlformats.org/package/2006/relationships"><Relationship Type="http://schemas.openxmlformats.org/officeDocument/2006/relationships/table" Target="/xl/tables/table8.xml" Id="Rc806c678a1e74980" /></Relationships>
</file>

<file path=xl/worksheets/_rels/sheet10.xml.rels>&#65279;<?xml version="1.0" encoding="utf-8"?><Relationships xmlns="http://schemas.openxmlformats.org/package/2006/relationships"><Relationship Type="http://schemas.openxmlformats.org/officeDocument/2006/relationships/table" Target="/xl/tables/table9.xml" Id="Rd4fb8948d0c0468c" /></Relationships>
</file>

<file path=xl/worksheets/_rels/sheet11.xml.rels>&#65279;<?xml version="1.0" encoding="utf-8"?><Relationships xmlns="http://schemas.openxmlformats.org/package/2006/relationships"><Relationship Type="http://schemas.openxmlformats.org/officeDocument/2006/relationships/table" Target="/xl/tables/table10.xml" Id="Rf9056390848e48d3" /></Relationships>
</file>

<file path=xl/worksheets/_rels/sheet12.xml.rels>&#65279;<?xml version="1.0" encoding="utf-8"?><Relationships xmlns="http://schemas.openxmlformats.org/package/2006/relationships"><Relationship Type="http://schemas.openxmlformats.org/officeDocument/2006/relationships/table" Target="/xl/tables/table11.xml" Id="R93011a58687f41e2" /></Relationships>
</file>

<file path=xl/worksheets/_rels/sheet13.xml.rels>&#65279;<?xml version="1.0" encoding="utf-8"?><Relationships xmlns="http://schemas.openxmlformats.org/package/2006/relationships"><Relationship Type="http://schemas.openxmlformats.org/officeDocument/2006/relationships/table" Target="/xl/tables/table12.xml" Id="R0d3f2126d5ba492a" /></Relationships>
</file>

<file path=xl/worksheets/_rels/sheet14.xml.rels>&#65279;<?xml version="1.0" encoding="utf-8"?><Relationships xmlns="http://schemas.openxmlformats.org/package/2006/relationships"><Relationship Type="http://schemas.openxmlformats.org/officeDocument/2006/relationships/table" Target="/xl/tables/table13.xml" Id="Rcef5278f012c4ebb" /></Relationships>
</file>

<file path=xl/worksheets/_rels/sheet15.xml.rels>&#65279;<?xml version="1.0" encoding="utf-8"?><Relationships xmlns="http://schemas.openxmlformats.org/package/2006/relationships"><Relationship Type="http://schemas.openxmlformats.org/officeDocument/2006/relationships/table" Target="/xl/tables/table14.xml" Id="Rbe80b2991347417b" /></Relationships>
</file>

<file path=xl/worksheets/_rels/sheet17.xml.rels>&#65279;<?xml version="1.0" encoding="utf-8"?><Relationships xmlns="http://schemas.openxmlformats.org/package/2006/relationships"><Relationship Type="http://schemas.openxmlformats.org/officeDocument/2006/relationships/table" Target="/xl/tables/table15.xml" Id="Ra25b021c89b147de" /></Relationships>
</file>

<file path=xl/worksheets/_rels/sheet19.xml.rels>&#65279;<?xml version="1.0" encoding="utf-8"?><Relationships xmlns="http://schemas.openxmlformats.org/package/2006/relationships"><Relationship Type="http://schemas.openxmlformats.org/officeDocument/2006/relationships/table" Target="/xl/tables/table16.xml" Id="Rd3a218c6786c47ec" /></Relationships>
</file>

<file path=xl/worksheets/_rels/sheet20.xml.rels>&#65279;<?xml version="1.0" encoding="utf-8"?><Relationships xmlns="http://schemas.openxmlformats.org/package/2006/relationships"><Relationship Type="http://schemas.openxmlformats.org/officeDocument/2006/relationships/table" Target="/xl/tables/table17.xml" Id="R7452113bc561484c" /></Relationships>
</file>

<file path=xl/worksheets/_rels/sheet21.xml.rels>&#65279;<?xml version="1.0" encoding="utf-8"?><Relationships xmlns="http://schemas.openxmlformats.org/package/2006/relationships"><Relationship Type="http://schemas.openxmlformats.org/officeDocument/2006/relationships/table" Target="/xl/tables/table18.xml" Id="R845c003d47fb458c" /></Relationships>
</file>

<file path=xl/worksheets/_rels/sheet22.xml.rels>&#65279;<?xml version="1.0" encoding="utf-8"?><Relationships xmlns="http://schemas.openxmlformats.org/package/2006/relationships"><Relationship Type="http://schemas.openxmlformats.org/officeDocument/2006/relationships/table" Target="/xl/tables/table19.xml" Id="Re3a6f48a64d04ece" /></Relationships>
</file>

<file path=xl/worksheets/_rels/sheet23.xml.rels>&#65279;<?xml version="1.0" encoding="utf-8"?><Relationships xmlns="http://schemas.openxmlformats.org/package/2006/relationships"><Relationship Type="http://schemas.openxmlformats.org/officeDocument/2006/relationships/table" Target="/xl/tables/table20.xml" Id="R9d5daabd5c074a22" /></Relationships>
</file>

<file path=xl/worksheets/_rels/sheet24.xml.rels>&#65279;<?xml version="1.0" encoding="utf-8"?><Relationships xmlns="http://schemas.openxmlformats.org/package/2006/relationships"><Relationship Type="http://schemas.openxmlformats.org/officeDocument/2006/relationships/table" Target="/xl/tables/table21.xml" Id="Rd32330c6632c434e" /></Relationships>
</file>

<file path=xl/worksheets/_rels/sheet25.xml.rels>&#65279;<?xml version="1.0" encoding="utf-8"?><Relationships xmlns="http://schemas.openxmlformats.org/package/2006/relationships"><Relationship Type="http://schemas.openxmlformats.org/officeDocument/2006/relationships/table" Target="/xl/tables/table22.xml" Id="Rca7721327f534981" /></Relationships>
</file>

<file path=xl/worksheets/_rels/sheet26.xml.rels>&#65279;<?xml version="1.0" encoding="utf-8"?><Relationships xmlns="http://schemas.openxmlformats.org/package/2006/relationships"><Relationship Type="http://schemas.openxmlformats.org/officeDocument/2006/relationships/table" Target="/xl/tables/table23.xml" Id="Ra99fefa3bd334fd4" /></Relationships>
</file>

<file path=xl/worksheets/_rels/sheet27.xml.rels>&#65279;<?xml version="1.0" encoding="utf-8"?><Relationships xmlns="http://schemas.openxmlformats.org/package/2006/relationships"><Relationship Type="http://schemas.openxmlformats.org/officeDocument/2006/relationships/table" Target="/xl/tables/table24.xml" Id="Rd76011885de14d47"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Andromeda: Nexus Uprising</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2" t="n">
        <x:f>SUM(B10:B35)</x:f>
        <x:v>159</x:v>
      </x:c>
      <x:c r="C5" s="2"/>
      <x:c r="D5" s="2" t="str">
        <x:v>Intégrés</x:v>
      </x:c>
      <x:c r="E5" s="32" t="n">
        <x:f>SUM(E10:F35)</x:f>
        <x:v>0</x:v>
      </x:c>
      <x:c r="F5" s="2"/>
      <x:c r="G5" s="2" t="str">
        <x:v>À vérifier</x:v>
      </x:c>
      <x:c r="H5" s="32" t="n">
        <x:f>SUM(H10:H35)</x:f>
        <x:v>1</x:v>
      </x:c>
      <x:c r="I5" s="2"/>
      <x:c r="J5" s="2" t="str">
        <x:v>Extrapolations</x:v>
      </x:c>
      <x:c r="K5" s="32" t="n">
        <x:f>SUM(I10:I35)</x:f>
        <x:v>131</x:v>
      </x:c>
      <x:c r="L5" s="2"/>
      <x:c r="M5" s="2"/>
    </x:row>
    <x:row r="6" ht="22" customHeight="1">
      <x:c r="A6" s="2"/>
      <x:c r="B6" s="2"/>
      <x:c r="C6" s="2"/>
      <x:c r="D6" s="2"/>
      <x:c r="E6" s="2"/>
      <x:c r="F6" s="2"/>
      <x:c r="G6" s="2"/>
      <x:c r="H6" s="2"/>
      <x:c r="I6" s="2"/>
      <x:c r="J6" s="2"/>
      <x:c r="K6" s="2"/>
      <x:c r="L6" s="2"/>
      <x:c r="M6" s="2"/>
    </x:row>
    <x:row r="7" ht="22" customHeight="1">
      <x:c r="A7" s="33"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4" t="str">
        <x:v>Personnages</x:v>
      </x:c>
      <x:c r="B10" s="38" t="n">
        <x:f>COUNTA('Personnages'!$A$7:$A$9)</x:f>
        <x:v>3</x:v>
      </x:c>
      <x:c r="C10" s="38" t="n">
        <x:f>COUNTIFS('Personnages'!$C$7:$C$9,"Défini")</x:f>
        <x:v>3</x:v>
      </x:c>
      <x:c r="D10" s="38" t="n">
        <x:f>COUNTIFS('Personnages'!$C$7:$C$9,"Prototype")</x:f>
        <x:v>0</x:v>
      </x:c>
      <x:c r="E10" s="38" t="n">
        <x:f>COUNTIFS('Personnages'!$C$7:$C$9,"Intégré")</x:f>
        <x:v>0</x:v>
      </x:c>
      <x:c r="F10" s="38" t="n">
        <x:f>COUNTIFS('Personnages'!$C$7:$C$9,"Validé")</x:f>
        <x:v>0</x:v>
      </x:c>
      <x:c r="G10" s="38" t="n">
        <x:f>COUNTIFS('Personnages'!$D$7:$D$9,"Établi")</x:f>
        <x:v>3</x:v>
      </x:c>
      <x:c r="H10" s="38" t="n">
        <x:f>COUNTIFS('Personnages'!$D$7:$D$9,"À vérifier")</x:f>
        <x:v>0</x:v>
      </x:c>
      <x:c r="I10" s="38" t="n">
        <x:f>COUNTIFS('Personnages'!$D$7:$D$9,"Extrapolation")</x:f>
        <x:v>0</x:v>
      </x:c>
      <x:c r="J10" s="38" t="n">
        <x:f>COUNTIFS('Personnages'!$D$7:$D$9,"Coupé attesté")</x:f>
        <x:v>0</x:v>
      </x:c>
      <x:c r="K10" s="38" t="n">
        <x:f>COUNTIFS('Personnages'!$D$7:$D$9,"Concept abandonné")</x:f>
        <x:v>0</x:v>
      </x:c>
      <x:c r="L10" s="38" t="n">
        <x:f>COUNTIFS('Personnages'!$D$7:$D$9,"Allégation écartée")</x:f>
        <x:v>0</x:v>
      </x:c>
      <x:c r="M10" s="38" t="n">
        <x:f>COUNTIFS('Personnages'!$E$7:$E$9,"P0")</x:f>
        <x:v>0</x:v>
      </x:c>
    </x:row>
    <x:row r="11" ht="22" customHeight="1">
      <x:c r="A11" s="2" t="str">
        <x:v>PNJ</x:v>
      </x:c>
      <x:c r="B11" s="39" t="n">
        <x:f>COUNTA('PNJ'!$A$7:$A$13)</x:f>
        <x:v>7</x:v>
      </x:c>
      <x:c r="C11" s="39" t="n">
        <x:f>COUNTIFS('PNJ'!$C$7:$C$13,"Défini")</x:f>
        <x:v>7</x:v>
      </x:c>
      <x:c r="D11" s="39" t="n">
        <x:f>COUNTIFS('PNJ'!$C$7:$C$13,"Prototype")</x:f>
        <x:v>0</x:v>
      </x:c>
      <x:c r="E11" s="39" t="n">
        <x:f>COUNTIFS('PNJ'!$C$7:$C$13,"Intégré")</x:f>
        <x:v>0</x:v>
      </x:c>
      <x:c r="F11" s="39" t="n">
        <x:f>COUNTIFS('PNJ'!$C$7:$C$13,"Validé")</x:f>
        <x:v>0</x:v>
      </x:c>
      <x:c r="G11" s="39" t="n">
        <x:f>COUNTIFS('PNJ'!$D$7:$D$13,"Établi")</x:f>
        <x:v>7</x:v>
      </x:c>
      <x:c r="H11" s="39" t="n">
        <x:f>COUNTIFS('PNJ'!$D$7:$D$13,"À vérifier")</x:f>
        <x:v>0</x:v>
      </x:c>
      <x:c r="I11" s="39" t="n">
        <x:f>COUNTIFS('PNJ'!$D$7:$D$13,"Extrapolation")</x:f>
        <x:v>0</x:v>
      </x:c>
      <x:c r="J11" s="39" t="n">
        <x:f>COUNTIFS('PNJ'!$D$7:$D$13,"Coupé attesté")</x:f>
        <x:v>0</x:v>
      </x:c>
      <x:c r="K11" s="39" t="n">
        <x:f>COUNTIFS('PNJ'!$D$7:$D$13,"Concept abandonné")</x:f>
        <x:v>0</x:v>
      </x:c>
      <x:c r="L11" s="39" t="n">
        <x:f>COUNTIFS('PNJ'!$D$7:$D$13,"Allégation écartée")</x:f>
        <x:v>0</x:v>
      </x:c>
      <x:c r="M11" s="39" t="n">
        <x:f>COUNTIFS('PNJ'!$E$7:$E$13,"P0")</x:f>
        <x:v>0</x:v>
      </x:c>
    </x:row>
    <x:row r="12" ht="22" customHeight="1">
      <x:c r="A12" s="34" t="str">
        <x:v>Espèces et factions</x:v>
      </x:c>
      <x:c r="B12" s="38" t="n">
        <x:f>COUNTA('Especes_factions'!$A$7:$A$13)</x:f>
        <x:v>7</x:v>
      </x:c>
      <x:c r="C12" s="38" t="n">
        <x:f>COUNTIFS('Especes_factions'!$C$7:$C$13,"Défini")</x:f>
        <x:v>4</x:v>
      </x:c>
      <x:c r="D12" s="38" t="n">
        <x:f>COUNTIFS('Especes_factions'!$C$7:$C$13,"Prototype")</x:f>
        <x:v>3</x:v>
      </x:c>
      <x:c r="E12" s="38" t="n">
        <x:f>COUNTIFS('Especes_factions'!$C$7:$C$13,"Intégré")</x:f>
        <x:v>0</x:v>
      </x:c>
      <x:c r="F12" s="38" t="n">
        <x:f>COUNTIFS('Especes_factions'!$C$7:$C$13,"Validé")</x:f>
        <x:v>0</x:v>
      </x:c>
      <x:c r="G12" s="38" t="n">
        <x:f>COUNTIFS('Especes_factions'!$D$7:$D$13,"Établi")</x:f>
        <x:v>7</x:v>
      </x:c>
      <x:c r="H12" s="38" t="n">
        <x:f>COUNTIFS('Especes_factions'!$D$7:$D$13,"À vérifier")</x:f>
        <x:v>0</x:v>
      </x:c>
      <x:c r="I12" s="38" t="n">
        <x:f>COUNTIFS('Especes_factions'!$D$7:$D$13,"Extrapolation")</x:f>
        <x:v>0</x:v>
      </x:c>
      <x:c r="J12" s="38" t="n">
        <x:f>COUNTIFS('Especes_factions'!$D$7:$D$13,"Coupé attesté")</x:f>
        <x:v>0</x:v>
      </x:c>
      <x:c r="K12" s="38" t="n">
        <x:f>COUNTIFS('Especes_factions'!$D$7:$D$13,"Concept abandonné")</x:f>
        <x:v>0</x:v>
      </x:c>
      <x:c r="L12" s="38" t="n">
        <x:f>COUNTIFS('Especes_factions'!$D$7:$D$13,"Allégation écartée")</x:f>
        <x:v>0</x:v>
      </x:c>
      <x:c r="M12" s="38" t="n">
        <x:f>COUNTIFS('Especes_factions'!$E$7:$E$13,"P0")</x:f>
        <x:v>0</x:v>
      </x:c>
    </x:row>
    <x:row r="13" ht="22" customHeight="1">
      <x:c r="A13" s="2" t="str">
        <x:v>Mondes</x:v>
      </x:c>
      <x:c r="B13" s="39" t="n">
        <x:f>COUNTA('Mondes'!$A$7:$A$8)</x:f>
        <x:v>2</x:v>
      </x:c>
      <x:c r="C13" s="39" t="n">
        <x:f>COUNTIFS('Mondes'!$C$7:$C$8,"Défini")</x:f>
        <x:v>0</x:v>
      </x:c>
      <x:c r="D13" s="39" t="n">
        <x:f>COUNTIFS('Mondes'!$C$7:$C$8,"Prototype")</x:f>
        <x:v>2</x:v>
      </x:c>
      <x:c r="E13" s="39" t="n">
        <x:f>COUNTIFS('Mondes'!$C$7:$C$8,"Intégré")</x:f>
        <x:v>0</x:v>
      </x:c>
      <x:c r="F13" s="39" t="n">
        <x:f>COUNTIFS('Mondes'!$C$7:$C$8,"Validé")</x:f>
        <x:v>0</x:v>
      </x:c>
      <x:c r="G13" s="39" t="n">
        <x:f>COUNTIFS('Mondes'!$D$7:$D$8,"Établi")</x:f>
        <x:v>2</x:v>
      </x:c>
      <x:c r="H13" s="39" t="n">
        <x:f>COUNTIFS('Mondes'!$D$7:$D$8,"À vérifier")</x:f>
        <x:v>0</x:v>
      </x:c>
      <x:c r="I13" s="39" t="n">
        <x:f>COUNTIFS('Mondes'!$D$7:$D$8,"Extrapolation")</x:f>
        <x:v>0</x:v>
      </x:c>
      <x:c r="J13" s="39" t="n">
        <x:f>COUNTIFS('Mondes'!$D$7:$D$8,"Coupé attesté")</x:f>
        <x:v>0</x:v>
      </x:c>
      <x:c r="K13" s="39" t="n">
        <x:f>COUNTIFS('Mondes'!$D$7:$D$8,"Concept abandonné")</x:f>
        <x:v>0</x:v>
      </x:c>
      <x:c r="L13" s="39" t="n">
        <x:f>COUNTIFS('Mondes'!$D$7:$D$8,"Allégation écartée")</x:f>
        <x:v>0</x:v>
      </x:c>
      <x:c r="M13" s="39" t="n">
        <x:f>COUNTIFS('Mondes'!$E$7:$E$8,"P0")</x:f>
        <x:v>0</x:v>
      </x:c>
    </x:row>
    <x:row r="14" ht="22" customHeight="1">
      <x:c r="A14" s="34" t="str">
        <x:v>Zones</x:v>
      </x:c>
      <x:c r="B14" s="38" t="n">
        <x:f>COUNTA('Zones'!$A$7:$A$14)</x:f>
        <x:v>8</x:v>
      </x:c>
      <x:c r="C14" s="38" t="n">
        <x:f>COUNTIFS('Zones'!$C$7:$C$14,"Défini")</x:f>
        <x:v>8</x:v>
      </x:c>
      <x:c r="D14" s="38" t="n">
        <x:f>COUNTIFS('Zones'!$C$7:$C$14,"Prototype")</x:f>
        <x:v>0</x:v>
      </x:c>
      <x:c r="E14" s="38" t="n">
        <x:f>COUNTIFS('Zones'!$C$7:$C$14,"Intégré")</x:f>
        <x:v>0</x:v>
      </x:c>
      <x:c r="F14" s="38" t="n">
        <x:f>COUNTIFS('Zones'!$C$7:$C$14,"Validé")</x:f>
        <x:v>0</x:v>
      </x:c>
      <x:c r="G14" s="38" t="n">
        <x:f>COUNTIFS('Zones'!$D$7:$D$14,"Établi")</x:f>
        <x:v>0</x:v>
      </x:c>
      <x:c r="H14" s="38" t="n">
        <x:f>COUNTIFS('Zones'!$D$7:$D$14,"À vérifier")</x:f>
        <x:v>0</x:v>
      </x:c>
      <x:c r="I14" s="38" t="n">
        <x:f>COUNTIFS('Zones'!$D$7:$D$14,"Extrapolation")</x:f>
        <x:v>8</x:v>
      </x:c>
      <x:c r="J14" s="38" t="n">
        <x:f>COUNTIFS('Zones'!$D$7:$D$14,"Coupé attesté")</x:f>
        <x:v>0</x:v>
      </x:c>
      <x:c r="K14" s="38" t="n">
        <x:f>COUNTIFS('Zones'!$D$7:$D$14,"Concept abandonné")</x:f>
        <x:v>0</x:v>
      </x:c>
      <x:c r="L14" s="38" t="n">
        <x:f>COUNTIFS('Zones'!$D$7:$D$14,"Allégation écartée")</x:f>
        <x:v>0</x:v>
      </x:c>
      <x:c r="M14" s="38" t="n">
        <x:f>COUNTIFS('Zones'!$E$7:$E$14,"P0")</x:f>
        <x:v>0</x:v>
      </x:c>
    </x:row>
    <x:row r="15" ht="22" customHeight="1">
      <x:c r="A15" s="2" t="str">
        <x:v>Liaisons</x:v>
      </x:c>
      <x:c r="B15" s="39" t="n">
        <x:f>COUNTA('Liaisons'!$A$7:$A$14)</x:f>
        <x:v>8</x:v>
      </x:c>
      <x:c r="C15" s="39" t="n">
        <x:f>COUNTIFS('Liaisons'!$C$7:$C$14,"Défini")</x:f>
        <x:v>8</x:v>
      </x:c>
      <x:c r="D15" s="39" t="n">
        <x:f>COUNTIFS('Liaisons'!$C$7:$C$14,"Prototype")</x:f>
        <x:v>0</x:v>
      </x:c>
      <x:c r="E15" s="39" t="n">
        <x:f>COUNTIFS('Liaisons'!$C$7:$C$14,"Intégré")</x:f>
        <x:v>0</x:v>
      </x:c>
      <x:c r="F15" s="39" t="n">
        <x:f>COUNTIFS('Liaisons'!$C$7:$C$14,"Validé")</x:f>
        <x:v>0</x:v>
      </x:c>
      <x:c r="G15" s="39" t="n">
        <x:f>COUNTIFS('Liaisons'!$D$7:$D$14,"Établi")</x:f>
        <x:v>0</x:v>
      </x:c>
      <x:c r="H15" s="39" t="n">
        <x:f>COUNTIFS('Liaisons'!$D$7:$D$14,"À vérifier")</x:f>
        <x:v>0</x:v>
      </x:c>
      <x:c r="I15" s="39" t="n">
        <x:f>COUNTIFS('Liaisons'!$D$7:$D$14,"Extrapolation")</x:f>
        <x:v>8</x:v>
      </x:c>
      <x:c r="J15" s="39" t="n">
        <x:f>COUNTIFS('Liaisons'!$D$7:$D$14,"Coupé attesté")</x:f>
        <x:v>0</x:v>
      </x:c>
      <x:c r="K15" s="39" t="n">
        <x:f>COUNTIFS('Liaisons'!$D$7:$D$14,"Concept abandonné")</x:f>
        <x:v>0</x:v>
      </x:c>
      <x:c r="L15" s="39" t="n">
        <x:f>COUNTIFS('Liaisons'!$D$7:$D$14,"Allégation écartée")</x:f>
        <x:v>0</x:v>
      </x:c>
      <x:c r="M15" s="39" t="n">
        <x:f>COUNTIFS('Liaisons'!$E$7:$E$14,"P0")</x:f>
        <x:v>0</x:v>
      </x:c>
    </x:row>
    <x:row r="16" ht="22" customHeight="1">
      <x:c r="A16" s="34" t="str">
        <x:v>Décors</x:v>
      </x:c>
      <x:c r="B16" s="38" t="n">
        <x:f>COUNTA('Decors'!$A$7:$A$14)</x:f>
        <x:v>8</x:v>
      </x:c>
      <x:c r="C16" s="38" t="n">
        <x:f>COUNTIFS('Decors'!$C$7:$C$14,"Défini")</x:f>
        <x:v>8</x:v>
      </x:c>
      <x:c r="D16" s="38" t="n">
        <x:f>COUNTIFS('Decors'!$C$7:$C$14,"Prototype")</x:f>
        <x:v>0</x:v>
      </x:c>
      <x:c r="E16" s="38" t="n">
        <x:f>COUNTIFS('Decors'!$C$7:$C$14,"Intégré")</x:f>
        <x:v>0</x:v>
      </x:c>
      <x:c r="F16" s="38" t="n">
        <x:f>COUNTIFS('Decors'!$C$7:$C$14,"Validé")</x:f>
        <x:v>0</x:v>
      </x:c>
      <x:c r="G16" s="38" t="n">
        <x:f>COUNTIFS('Decors'!$D$7:$D$14,"Établi")</x:f>
        <x:v>0</x:v>
      </x:c>
      <x:c r="H16" s="38" t="n">
        <x:f>COUNTIFS('Decors'!$D$7:$D$14,"À vérifier")</x:f>
        <x:v>0</x:v>
      </x:c>
      <x:c r="I16" s="38" t="n">
        <x:f>COUNTIFS('Decors'!$D$7:$D$14,"Extrapolation")</x:f>
        <x:v>8</x:v>
      </x:c>
      <x:c r="J16" s="38" t="n">
        <x:f>COUNTIFS('Decors'!$D$7:$D$14,"Coupé attesté")</x:f>
        <x:v>0</x:v>
      </x:c>
      <x:c r="K16" s="38" t="n">
        <x:f>COUNTIFS('Decors'!$D$7:$D$14,"Concept abandonné")</x:f>
        <x:v>0</x:v>
      </x:c>
      <x:c r="L16" s="38" t="n">
        <x:f>COUNTIFS('Decors'!$D$7:$D$14,"Allégation écartée")</x:f>
        <x:v>0</x:v>
      </x:c>
      <x:c r="M16" s="38" t="n">
        <x:f>COUNTIFS('Decors'!$E$7:$E$14,"P0")</x:f>
        <x:v>0</x:v>
      </x:c>
    </x:row>
    <x:row r="17" ht="22" customHeight="1">
      <x:c r="A17" s="2" t="str">
        <x:v>Props</x:v>
      </x:c>
      <x:c r="B17" s="39" t="n">
        <x:f>COUNTA('Props'!$A$7:$A$8)</x:f>
        <x:v>2</x:v>
      </x:c>
      <x:c r="C17" s="39" t="n">
        <x:f>COUNTIFS('Props'!$C$7:$C$8,"Défini")</x:f>
        <x:v>2</x:v>
      </x:c>
      <x:c r="D17" s="39" t="n">
        <x:f>COUNTIFS('Props'!$C$7:$C$8,"Prototype")</x:f>
        <x:v>0</x:v>
      </x:c>
      <x:c r="E17" s="39" t="n">
        <x:f>COUNTIFS('Props'!$C$7:$C$8,"Intégré")</x:f>
        <x:v>0</x:v>
      </x:c>
      <x:c r="F17" s="39" t="n">
        <x:f>COUNTIFS('Props'!$C$7:$C$8,"Validé")</x:f>
        <x:v>0</x:v>
      </x:c>
      <x:c r="G17" s="39" t="n">
        <x:f>COUNTIFS('Props'!$D$7:$D$8,"Établi")</x:f>
        <x:v>2</x:v>
      </x:c>
      <x:c r="H17" s="39" t="n">
        <x:f>COUNTIFS('Props'!$D$7:$D$8,"À vérifier")</x:f>
        <x:v>0</x:v>
      </x:c>
      <x:c r="I17" s="39" t="n">
        <x:f>COUNTIFS('Props'!$D$7:$D$8,"Extrapolation")</x:f>
        <x:v>0</x:v>
      </x:c>
      <x:c r="J17" s="39" t="n">
        <x:f>COUNTIFS('Props'!$D$7:$D$8,"Coupé attesté")</x:f>
        <x:v>0</x:v>
      </x:c>
      <x:c r="K17" s="39" t="n">
        <x:f>COUNTIFS('Props'!$D$7:$D$8,"Concept abandonné")</x:f>
        <x:v>0</x:v>
      </x:c>
      <x:c r="L17" s="39" t="n">
        <x:f>COUNTIFS('Props'!$D$7:$D$8,"Allégation écartée")</x:f>
        <x:v>0</x:v>
      </x:c>
      <x:c r="M17" s="39" t="n">
        <x:f>COUNTIFS('Props'!$E$7:$E$8,"P0")</x:f>
        <x:v>0</x:v>
      </x:c>
    </x:row>
    <x:row r="18" ht="22" customHeight="1">
      <x:c r="A18" s="34" t="str">
        <x:v>Ennemis et boss</x:v>
      </x:c>
      <x:c r="B18" s="38" t="n">
        <x:f>COUNTA('Ennemis_boss'!$A$7:$A$10)</x:f>
        <x:v>4</x:v>
      </x:c>
      <x:c r="C18" s="38" t="n">
        <x:f>COUNTIFS('Ennemis_boss'!$C$7:$C$10,"Défini")</x:f>
        <x:v>4</x:v>
      </x:c>
      <x:c r="D18" s="38" t="n">
        <x:f>COUNTIFS('Ennemis_boss'!$C$7:$C$10,"Prototype")</x:f>
        <x:v>0</x:v>
      </x:c>
      <x:c r="E18" s="38" t="n">
        <x:f>COUNTIFS('Ennemis_boss'!$C$7:$C$10,"Intégré")</x:f>
        <x:v>0</x:v>
      </x:c>
      <x:c r="F18" s="38" t="n">
        <x:f>COUNTIFS('Ennemis_boss'!$C$7:$C$10,"Validé")</x:f>
        <x:v>0</x:v>
      </x:c>
      <x:c r="G18" s="38" t="n">
        <x:f>COUNTIFS('Ennemis_boss'!$D$7:$D$10,"Établi")</x:f>
        <x:v>0</x:v>
      </x:c>
      <x:c r="H18" s="38" t="n">
        <x:f>COUNTIFS('Ennemis_boss'!$D$7:$D$10,"À vérifier")</x:f>
        <x:v>0</x:v>
      </x:c>
      <x:c r="I18" s="38" t="n">
        <x:f>COUNTIFS('Ennemis_boss'!$D$7:$D$10,"Extrapolation")</x:f>
        <x:v>4</x:v>
      </x:c>
      <x:c r="J18" s="38" t="n">
        <x:f>COUNTIFS('Ennemis_boss'!$D$7:$D$10,"Coupé attesté")</x:f>
        <x:v>0</x:v>
      </x:c>
      <x:c r="K18" s="38" t="n">
        <x:f>COUNTIFS('Ennemis_boss'!$D$7:$D$10,"Concept abandonné")</x:f>
        <x:v>0</x:v>
      </x:c>
      <x:c r="L18" s="38" t="n">
        <x:f>COUNTIFS('Ennemis_boss'!$D$7:$D$10,"Allégation écartée")</x:f>
        <x:v>0</x:v>
      </x:c>
      <x:c r="M18" s="38" t="n">
        <x:f>COUNTIFS('Ennemis_boss'!$E$7:$E$10,"P0")</x:f>
        <x:v>0</x:v>
      </x:c>
    </x:row>
    <x:row r="19" ht="22" customHeight="1">
      <x:c r="A19" s="2" t="str">
        <x:v>Missions</x:v>
      </x:c>
      <x:c r="B19" s="39" t="n">
        <x:f>COUNTA('Missions'!$A$7:$A$14)</x:f>
        <x:v>8</x:v>
      </x:c>
      <x:c r="C19" s="39" t="n">
        <x:f>COUNTIFS('Missions'!$C$7:$C$14,"Défini")</x:f>
        <x:v>8</x:v>
      </x:c>
      <x:c r="D19" s="39" t="n">
        <x:f>COUNTIFS('Missions'!$C$7:$C$14,"Prototype")</x:f>
        <x:v>0</x:v>
      </x:c>
      <x:c r="E19" s="39" t="n">
        <x:f>COUNTIFS('Missions'!$C$7:$C$14,"Intégré")</x:f>
        <x:v>0</x:v>
      </x:c>
      <x:c r="F19" s="39" t="n">
        <x:f>COUNTIFS('Missions'!$C$7:$C$14,"Validé")</x:f>
        <x:v>0</x:v>
      </x:c>
      <x:c r="G19" s="39" t="n">
        <x:f>COUNTIFS('Missions'!$D$7:$D$14,"Établi")</x:f>
        <x:v>0</x:v>
      </x:c>
      <x:c r="H19" s="39" t="n">
        <x:f>COUNTIFS('Missions'!$D$7:$D$14,"À vérifier")</x:f>
        <x:v>0</x:v>
      </x:c>
      <x:c r="I19" s="39" t="n">
        <x:f>COUNTIFS('Missions'!$D$7:$D$14,"Extrapolation")</x:f>
        <x:v>8</x:v>
      </x:c>
      <x:c r="J19" s="39" t="n">
        <x:f>COUNTIFS('Missions'!$D$7:$D$14,"Coupé attesté")</x:f>
        <x:v>0</x:v>
      </x:c>
      <x:c r="K19" s="39" t="n">
        <x:f>COUNTIFS('Missions'!$D$7:$D$14,"Concept abandonné")</x:f>
        <x:v>0</x:v>
      </x:c>
      <x:c r="L19" s="39" t="n">
        <x:f>COUNTIFS('Missions'!$D$7:$D$14,"Allégation écartée")</x:f>
        <x:v>0</x:v>
      </x:c>
      <x:c r="M19" s="39" t="n">
        <x:f>COUNTIFS('Missions'!$E$7:$E$14,"P0")</x:f>
        <x:v>8</x:v>
      </x:c>
    </x:row>
    <x:row r="20" ht="22" customHeight="1">
      <x:c r="A20" s="34" t="str">
        <x:v>Secondaires et DLC</x:v>
      </x:c>
      <x:c r="B20" s="38" t="n">
        <x:f>COUNTA('Secondaires_DLC'!$A$7:$A$14)</x:f>
        <x:v>8</x:v>
      </x:c>
      <x:c r="C20" s="38" t="n">
        <x:f>COUNTIFS('Secondaires_DLC'!$C$7:$C$14,"Défini")</x:f>
        <x:v>8</x:v>
      </x:c>
      <x:c r="D20" s="38" t="n">
        <x:f>COUNTIFS('Secondaires_DLC'!$C$7:$C$14,"Prototype")</x:f>
        <x:v>0</x:v>
      </x:c>
      <x:c r="E20" s="38" t="n">
        <x:f>COUNTIFS('Secondaires_DLC'!$C$7:$C$14,"Intégré")</x:f>
        <x:v>0</x:v>
      </x:c>
      <x:c r="F20" s="38" t="n">
        <x:f>COUNTIFS('Secondaires_DLC'!$C$7:$C$14,"Validé")</x:f>
        <x:v>0</x:v>
      </x:c>
      <x:c r="G20" s="38" t="n">
        <x:f>COUNTIFS('Secondaires_DLC'!$D$7:$D$14,"Établi")</x:f>
        <x:v>0</x:v>
      </x:c>
      <x:c r="H20" s="38" t="n">
        <x:f>COUNTIFS('Secondaires_DLC'!$D$7:$D$14,"À vérifier")</x:f>
        <x:v>0</x:v>
      </x:c>
      <x:c r="I20" s="38" t="n">
        <x:f>COUNTIFS('Secondaires_DLC'!$D$7:$D$14,"Extrapolation")</x:f>
        <x:v>8</x:v>
      </x:c>
      <x:c r="J20" s="38" t="n">
        <x:f>COUNTIFS('Secondaires_DLC'!$D$7:$D$14,"Coupé attesté")</x:f>
        <x:v>0</x:v>
      </x:c>
      <x:c r="K20" s="38" t="n">
        <x:f>COUNTIFS('Secondaires_DLC'!$D$7:$D$14,"Concept abandonné")</x:f>
        <x:v>0</x:v>
      </x:c>
      <x:c r="L20" s="38" t="n">
        <x:f>COUNTIFS('Secondaires_DLC'!$D$7:$D$14,"Allégation écartée")</x:f>
        <x:v>0</x:v>
      </x:c>
      <x:c r="M20" s="38" t="n">
        <x:f>COUNTIFS('Secondaires_DLC'!$E$7:$E$14,"P0")</x:f>
        <x:v>0</x:v>
      </x:c>
    </x:row>
    <x:row r="21" ht="22" customHeight="1">
      <x:c r="A21" s="2" t="str">
        <x:v>Choix et relations</x:v>
      </x:c>
      <x:c r="B21" s="39" t="n">
        <x:f>COUNTA('Choix_relations'!$A$7:$A$14)</x:f>
        <x:v>8</x:v>
      </x:c>
      <x:c r="C21" s="39" t="n">
        <x:f>COUNTIFS('Choix_relations'!$C$7:$C$14,"Défini")</x:f>
        <x:v>8</x:v>
      </x:c>
      <x:c r="D21" s="39" t="n">
        <x:f>COUNTIFS('Choix_relations'!$C$7:$C$14,"Prototype")</x:f>
        <x:v>0</x:v>
      </x:c>
      <x:c r="E21" s="39" t="n">
        <x:f>COUNTIFS('Choix_relations'!$C$7:$C$14,"Intégré")</x:f>
        <x:v>0</x:v>
      </x:c>
      <x:c r="F21" s="39" t="n">
        <x:f>COUNTIFS('Choix_relations'!$C$7:$C$14,"Validé")</x:f>
        <x:v>0</x:v>
      </x:c>
      <x:c r="G21" s="39" t="n">
        <x:f>COUNTIFS('Choix_relations'!$D$7:$D$14,"Établi")</x:f>
        <x:v>0</x:v>
      </x:c>
      <x:c r="H21" s="39" t="n">
        <x:f>COUNTIFS('Choix_relations'!$D$7:$D$14,"À vérifier")</x:f>
        <x:v>0</x:v>
      </x:c>
      <x:c r="I21" s="39" t="n">
        <x:f>COUNTIFS('Choix_relations'!$D$7:$D$14,"Extrapolation")</x:f>
        <x:v>8</x:v>
      </x:c>
      <x:c r="J21" s="39" t="n">
        <x:f>COUNTIFS('Choix_relations'!$D$7:$D$14,"Coupé attesté")</x:f>
        <x:v>0</x:v>
      </x:c>
      <x:c r="K21" s="39" t="n">
        <x:f>COUNTIFS('Choix_relations'!$D$7:$D$14,"Concept abandonné")</x:f>
        <x:v>0</x:v>
      </x:c>
      <x:c r="L21" s="39" t="n">
        <x:f>COUNTIFS('Choix_relations'!$D$7:$D$14,"Allégation écartée")</x:f>
        <x:v>0</x:v>
      </x:c>
      <x:c r="M21" s="39" t="n">
        <x:f>COUNTIFS('Choix_relations'!$E$7:$E$14,"P0")</x:f>
        <x:v>0</x:v>
      </x:c>
    </x:row>
    <x:row r="22" ht="22" customHeight="1">
      <x:c r="A22" s="34" t="str">
        <x:v>Dialogues</x:v>
      </x:c>
      <x:c r="B22" s="38" t="n">
        <x:f>COUNTA('Dialogues'!$A$7:$A$16)</x:f>
        <x:v>10</x:v>
      </x:c>
      <x:c r="C22" s="38" t="n">
        <x:f>COUNTIFS('Dialogues'!$C$7:$C$16,"Défini")</x:f>
        <x:v>10</x:v>
      </x:c>
      <x:c r="D22" s="38" t="n">
        <x:f>COUNTIFS('Dialogues'!$C$7:$C$16,"Prototype")</x:f>
        <x:v>0</x:v>
      </x:c>
      <x:c r="E22" s="38" t="n">
        <x:f>COUNTIFS('Dialogues'!$C$7:$C$16,"Intégré")</x:f>
        <x:v>0</x:v>
      </x:c>
      <x:c r="F22" s="38" t="n">
        <x:f>COUNTIFS('Dialogues'!$C$7:$C$16,"Validé")</x:f>
        <x:v>0</x:v>
      </x:c>
      <x:c r="G22" s="38" t="n">
        <x:f>COUNTIFS('Dialogues'!$D$7:$D$16,"Établi")</x:f>
        <x:v>0</x:v>
      </x:c>
      <x:c r="H22" s="38" t="n">
        <x:f>COUNTIFS('Dialogues'!$D$7:$D$16,"À vérifier")</x:f>
        <x:v>0</x:v>
      </x:c>
      <x:c r="I22" s="38" t="n">
        <x:f>COUNTIFS('Dialogues'!$D$7:$D$16,"Extrapolation")</x:f>
        <x:v>10</x:v>
      </x:c>
      <x:c r="J22" s="38" t="n">
        <x:f>COUNTIFS('Dialogues'!$D$7:$D$16,"Coupé attesté")</x:f>
        <x:v>0</x:v>
      </x:c>
      <x:c r="K22" s="38" t="n">
        <x:f>COUNTIFS('Dialogues'!$D$7:$D$16,"Concept abandonné")</x:f>
        <x:v>0</x:v>
      </x:c>
      <x:c r="L22" s="38" t="n">
        <x:f>COUNTIFS('Dialogues'!$D$7:$D$16,"Allégation écartée")</x:f>
        <x:v>0</x:v>
      </x:c>
      <x:c r="M22" s="38" t="n">
        <x:f>COUNTIFS('Dialogues'!$E$7:$E$16,"P0")</x:f>
        <x:v>0</x:v>
      </x:c>
    </x:row>
    <x:row r="23" ht="22" customHeight="1">
      <x:c r="A23" s="2" t="str">
        <x:v>Cinématiques</x:v>
      </x:c>
      <x:c r="B23" s="39" t="n">
        <x:f>COUNTA('Cinematiques'!$A$7:$A$14)</x:f>
        <x:v>8</x:v>
      </x:c>
      <x:c r="C23" s="39" t="n">
        <x:f>COUNTIFS('Cinematiques'!$C$7:$C$14,"Défini")</x:f>
        <x:v>8</x:v>
      </x:c>
      <x:c r="D23" s="39" t="n">
        <x:f>COUNTIFS('Cinematiques'!$C$7:$C$14,"Prototype")</x:f>
        <x:v>0</x:v>
      </x:c>
      <x:c r="E23" s="39" t="n">
        <x:f>COUNTIFS('Cinematiques'!$C$7:$C$14,"Intégré")</x:f>
        <x:v>0</x:v>
      </x:c>
      <x:c r="F23" s="39" t="n">
        <x:f>COUNTIFS('Cinematiques'!$C$7:$C$14,"Validé")</x:f>
        <x:v>0</x:v>
      </x:c>
      <x:c r="G23" s="39" t="n">
        <x:f>COUNTIFS('Cinematiques'!$D$7:$D$14,"Établi")</x:f>
        <x:v>0</x:v>
      </x:c>
      <x:c r="H23" s="39" t="n">
        <x:f>COUNTIFS('Cinematiques'!$D$7:$D$14,"À vérifier")</x:f>
        <x:v>0</x:v>
      </x:c>
      <x:c r="I23" s="39" t="n">
        <x:f>COUNTIFS('Cinematiques'!$D$7:$D$14,"Extrapolation")</x:f>
        <x:v>8</x:v>
      </x:c>
      <x:c r="J23" s="39" t="n">
        <x:f>COUNTIFS('Cinematiques'!$D$7:$D$14,"Coupé attesté")</x:f>
        <x:v>0</x:v>
      </x:c>
      <x:c r="K23" s="39" t="n">
        <x:f>COUNTIFS('Cinematiques'!$D$7:$D$14,"Concept abandonné")</x:f>
        <x:v>0</x:v>
      </x:c>
      <x:c r="L23" s="39" t="n">
        <x:f>COUNTIFS('Cinematiques'!$D$7:$D$14,"Allégation écartée")</x:f>
        <x:v>0</x:v>
      </x:c>
      <x:c r="M23" s="39" t="n">
        <x:f>COUNTIFS('Cinematiques'!$E$7:$E$14,"P0")</x:f>
        <x:v>0</x:v>
      </x:c>
    </x:row>
    <x:row r="24" ht="22" customHeight="1">
      <x:c r="A24" s="34" t="str">
        <x:v>Armes</x:v>
      </x:c>
      <x:c r="B24" s="38" t="n">
        <x:f>COUNTA('Armes'!$A$7:$A$7)</x:f>
        <x:v>0</x:v>
      </x:c>
      <x:c r="C24" s="38" t="n">
        <x:f>COUNTIFS('Armes'!$C$7:$C$7,"Défini")</x:f>
        <x:v>0</x:v>
      </x:c>
      <x:c r="D24" s="38" t="n">
        <x:f>COUNTIFS('Armes'!$C$7:$C$7,"Prototype")</x:f>
        <x:v>0</x:v>
      </x:c>
      <x:c r="E24" s="38" t="n">
        <x:f>COUNTIFS('Armes'!$C$7:$C$7,"Intégré")</x:f>
        <x:v>0</x:v>
      </x:c>
      <x:c r="F24" s="38" t="n">
        <x:f>COUNTIFS('Armes'!$C$7:$C$7,"Validé")</x:f>
        <x:v>0</x:v>
      </x:c>
      <x:c r="G24" s="38" t="n">
        <x:f>COUNTIFS('Armes'!$D$7:$D$7,"Établi")</x:f>
        <x:v>0</x:v>
      </x:c>
      <x:c r="H24" s="38" t="n">
        <x:f>COUNTIFS('Armes'!$D$7:$D$7,"À vérifier")</x:f>
        <x:v>0</x:v>
      </x:c>
      <x:c r="I24" s="38" t="n">
        <x:f>COUNTIFS('Armes'!$D$7:$D$7,"Extrapolation")</x:f>
        <x:v>0</x:v>
      </x:c>
      <x:c r="J24" s="38" t="n">
        <x:f>COUNTIFS('Armes'!$D$7:$D$7,"Coupé attesté")</x:f>
        <x:v>0</x:v>
      </x:c>
      <x:c r="K24" s="38" t="n">
        <x:f>COUNTIFS('Armes'!$D$7:$D$7,"Concept abandonné")</x:f>
        <x:v>0</x:v>
      </x:c>
      <x:c r="L24" s="38" t="n">
        <x:f>COUNTIFS('Armes'!$D$7:$D$7,"Allégation écartée")</x:f>
        <x:v>0</x:v>
      </x:c>
      <x:c r="M24" s="38" t="n">
        <x:f>COUNTIFS('Armes'!$E$7:$E$7,"P0")</x:f>
        <x:v>0</x:v>
      </x:c>
    </x:row>
    <x:row r="25" ht="22" customHeight="1">
      <x:c r="A25" s="2" t="str">
        <x:v>Armures et équipement</x:v>
      </x:c>
      <x:c r="B25" s="39" t="n">
        <x:f>COUNTA('Armures_equipement'!$A$7:$A$7)</x:f>
        <x:v>1</x:v>
      </x:c>
      <x:c r="C25" s="39" t="n">
        <x:f>COUNTIFS('Armures_equipement'!$C$7:$C$7,"Défini")</x:f>
        <x:v>1</x:v>
      </x:c>
      <x:c r="D25" s="39" t="n">
        <x:f>COUNTIFS('Armures_equipement'!$C$7:$C$7,"Prototype")</x:f>
        <x:v>0</x:v>
      </x:c>
      <x:c r="E25" s="39" t="n">
        <x:f>COUNTIFS('Armures_equipement'!$C$7:$C$7,"Intégré")</x:f>
        <x:v>0</x:v>
      </x:c>
      <x:c r="F25" s="39" t="n">
        <x:f>COUNTIFS('Armures_equipement'!$C$7:$C$7,"Validé")</x:f>
        <x:v>0</x:v>
      </x:c>
      <x:c r="G25" s="39" t="n">
        <x:f>COUNTIFS('Armures_equipement'!$D$7:$D$7,"Établi")</x:f>
        <x:v>1</x:v>
      </x:c>
      <x:c r="H25" s="39" t="n">
        <x:f>COUNTIFS('Armures_equipement'!$D$7:$D$7,"À vérifier")</x:f>
        <x:v>0</x:v>
      </x:c>
      <x:c r="I25" s="39" t="n">
        <x:f>COUNTIFS('Armures_equipement'!$D$7:$D$7,"Extrapolation")</x:f>
        <x:v>0</x:v>
      </x:c>
      <x:c r="J25" s="39" t="n">
        <x:f>COUNTIFS('Armures_equipement'!$D$7:$D$7,"Coupé attesté")</x:f>
        <x:v>0</x:v>
      </x:c>
      <x:c r="K25" s="39" t="n">
        <x:f>COUNTIFS('Armures_equipement'!$D$7:$D$7,"Concept abandonné")</x:f>
        <x:v>0</x:v>
      </x:c>
      <x:c r="L25" s="39" t="n">
        <x:f>COUNTIFS('Armures_equipement'!$D$7:$D$7,"Allégation écartée")</x:f>
        <x:v>0</x:v>
      </x:c>
      <x:c r="M25" s="39" t="n">
        <x:f>COUNTIFS('Armures_equipement'!$E$7:$E$7,"P0")</x:f>
        <x:v>0</x:v>
      </x:c>
    </x:row>
    <x:row r="26" ht="22" customHeight="1">
      <x:c r="A26" s="34" t="str">
        <x:v>Pouvoirs</x:v>
      </x:c>
      <x:c r="B26" s="38" t="n">
        <x:f>COUNTA('Pouvoirs'!$A$7:$A$7)</x:f>
        <x:v>0</x:v>
      </x:c>
      <x:c r="C26" s="38" t="n">
        <x:f>COUNTIFS('Pouvoirs'!$C$7:$C$7,"Défini")</x:f>
        <x:v>0</x:v>
      </x:c>
      <x:c r="D26" s="38" t="n">
        <x:f>COUNTIFS('Pouvoirs'!$C$7:$C$7,"Prototype")</x:f>
        <x:v>0</x:v>
      </x:c>
      <x:c r="E26" s="38" t="n">
        <x:f>COUNTIFS('Pouvoirs'!$C$7:$C$7,"Intégré")</x:f>
        <x:v>0</x:v>
      </x:c>
      <x:c r="F26" s="38" t="n">
        <x:f>COUNTIFS('Pouvoirs'!$C$7:$C$7,"Validé")</x:f>
        <x:v>0</x:v>
      </x:c>
      <x:c r="G26" s="38" t="n">
        <x:f>COUNTIFS('Pouvoirs'!$D$7:$D$7,"Établi")</x:f>
        <x:v>0</x:v>
      </x:c>
      <x:c r="H26" s="38" t="n">
        <x:f>COUNTIFS('Pouvoirs'!$D$7:$D$7,"À vérifier")</x:f>
        <x:v>0</x:v>
      </x:c>
      <x:c r="I26" s="38" t="n">
        <x:f>COUNTIFS('Pouvoirs'!$D$7:$D$7,"Extrapolation")</x:f>
        <x:v>0</x:v>
      </x:c>
      <x:c r="J26" s="38" t="n">
        <x:f>COUNTIFS('Pouvoirs'!$D$7:$D$7,"Coupé attesté")</x:f>
        <x:v>0</x:v>
      </x:c>
      <x:c r="K26" s="38" t="n">
        <x:f>COUNTIFS('Pouvoirs'!$D$7:$D$7,"Concept abandonné")</x:f>
        <x:v>0</x:v>
      </x:c>
      <x:c r="L26" s="38" t="n">
        <x:f>COUNTIFS('Pouvoirs'!$D$7:$D$7,"Allégation écartée")</x:f>
        <x:v>0</x:v>
      </x:c>
      <x:c r="M26" s="38" t="n">
        <x:f>COUNTIFS('Pouvoirs'!$E$7:$E$7,"P0")</x:f>
        <x:v>0</x:v>
      </x:c>
    </x:row>
    <x:row r="27" ht="22" customHeight="1">
      <x:c r="A27" s="2" t="str">
        <x:v>Movesets alliés</x:v>
      </x:c>
      <x:c r="B27" s="39" t="n">
        <x:f>COUNTA('Movesets_allies'!$A$7:$A$12)</x:f>
        <x:v>6</x:v>
      </x:c>
      <x:c r="C27" s="39" t="n">
        <x:f>COUNTIFS('Movesets_allies'!$C$7:$C$12,"Défini")</x:f>
        <x:v>6</x:v>
      </x:c>
      <x:c r="D27" s="39" t="n">
        <x:f>COUNTIFS('Movesets_allies'!$C$7:$C$12,"Prototype")</x:f>
        <x:v>0</x:v>
      </x:c>
      <x:c r="E27" s="39" t="n">
        <x:f>COUNTIFS('Movesets_allies'!$C$7:$C$12,"Intégré")</x:f>
        <x:v>0</x:v>
      </x:c>
      <x:c r="F27" s="39" t="n">
        <x:f>COUNTIFS('Movesets_allies'!$C$7:$C$12,"Validé")</x:f>
        <x:v>0</x:v>
      </x:c>
      <x:c r="G27" s="39" t="n">
        <x:f>COUNTIFS('Movesets_allies'!$D$7:$D$12,"Établi")</x:f>
        <x:v>0</x:v>
      </x:c>
      <x:c r="H27" s="39" t="n">
        <x:f>COUNTIFS('Movesets_allies'!$D$7:$D$12,"À vérifier")</x:f>
        <x:v>0</x:v>
      </x:c>
      <x:c r="I27" s="39" t="n">
        <x:f>COUNTIFS('Movesets_allies'!$D$7:$D$12,"Extrapolation")</x:f>
        <x:v>6</x:v>
      </x:c>
      <x:c r="J27" s="39" t="n">
        <x:f>COUNTIFS('Movesets_allies'!$D$7:$D$12,"Coupé attesté")</x:f>
        <x:v>0</x:v>
      </x:c>
      <x:c r="K27" s="39" t="n">
        <x:f>COUNTIFS('Movesets_allies'!$D$7:$D$12,"Concept abandonné")</x:f>
        <x:v>0</x:v>
      </x:c>
      <x:c r="L27" s="39" t="n">
        <x:f>COUNTIFS('Movesets_allies'!$D$7:$D$12,"Allégation écartée")</x:f>
        <x:v>0</x:v>
      </x:c>
      <x:c r="M27" s="39" t="n">
        <x:f>COUNTIFS('Movesets_allies'!$E$7:$E$12,"P0")</x:f>
        <x:v>0</x:v>
      </x:c>
    </x:row>
    <x:row r="28" ht="22" customHeight="1">
      <x:c r="A28" s="34" t="str">
        <x:v>Movesets ennemis</x:v>
      </x:c>
      <x:c r="B28" s="38" t="n">
        <x:f>COUNTA('Movesets_ennemis'!$A$7:$A$10)</x:f>
        <x:v>4</x:v>
      </x:c>
      <x:c r="C28" s="38" t="n">
        <x:f>COUNTIFS('Movesets_ennemis'!$C$7:$C$10,"Défini")</x:f>
        <x:v>4</x:v>
      </x:c>
      <x:c r="D28" s="38" t="n">
        <x:f>COUNTIFS('Movesets_ennemis'!$C$7:$C$10,"Prototype")</x:f>
        <x:v>0</x:v>
      </x:c>
      <x:c r="E28" s="38" t="n">
        <x:f>COUNTIFS('Movesets_ennemis'!$C$7:$C$10,"Intégré")</x:f>
        <x:v>0</x:v>
      </x:c>
      <x:c r="F28" s="38" t="n">
        <x:f>COUNTIFS('Movesets_ennemis'!$C$7:$C$10,"Validé")</x:f>
        <x:v>0</x:v>
      </x:c>
      <x:c r="G28" s="38" t="n">
        <x:f>COUNTIFS('Movesets_ennemis'!$D$7:$D$10,"Établi")</x:f>
        <x:v>0</x:v>
      </x:c>
      <x:c r="H28" s="38" t="n">
        <x:f>COUNTIFS('Movesets_ennemis'!$D$7:$D$10,"À vérifier")</x:f>
        <x:v>0</x:v>
      </x:c>
      <x:c r="I28" s="38" t="n">
        <x:f>COUNTIFS('Movesets_ennemis'!$D$7:$D$10,"Extrapolation")</x:f>
        <x:v>4</x:v>
      </x:c>
      <x:c r="J28" s="38" t="n">
        <x:f>COUNTIFS('Movesets_ennemis'!$D$7:$D$10,"Coupé attesté")</x:f>
        <x:v>0</x:v>
      </x:c>
      <x:c r="K28" s="38" t="n">
        <x:f>COUNTIFS('Movesets_ennemis'!$D$7:$D$10,"Concept abandonné")</x:f>
        <x:v>0</x:v>
      </x:c>
      <x:c r="L28" s="38" t="n">
        <x:f>COUNTIFS('Movesets_ennemis'!$D$7:$D$10,"Allégation écartée")</x:f>
        <x:v>0</x:v>
      </x:c>
      <x:c r="M28" s="38" t="n">
        <x:f>COUNTIFS('Movesets_ennemis'!$E$7:$E$10,"P0")</x:f>
        <x:v>0</x:v>
      </x:c>
    </x:row>
    <x:row r="29" ht="22" customHeight="1">
      <x:c r="A29" s="2" t="str">
        <x:v>Animations</x:v>
      </x:c>
      <x:c r="B29" s="39" t="n">
        <x:f>COUNTA('Animations'!$A$7:$A$16)</x:f>
        <x:v>10</x:v>
      </x:c>
      <x:c r="C29" s="39" t="n">
        <x:f>COUNTIFS('Animations'!$C$7:$C$16,"Défini")</x:f>
        <x:v>10</x:v>
      </x:c>
      <x:c r="D29" s="39" t="n">
        <x:f>COUNTIFS('Animations'!$C$7:$C$16,"Prototype")</x:f>
        <x:v>0</x:v>
      </x:c>
      <x:c r="E29" s="39" t="n">
        <x:f>COUNTIFS('Animations'!$C$7:$C$16,"Intégré")</x:f>
        <x:v>0</x:v>
      </x:c>
      <x:c r="F29" s="39" t="n">
        <x:f>COUNTIFS('Animations'!$C$7:$C$16,"Validé")</x:f>
        <x:v>0</x:v>
      </x:c>
      <x:c r="G29" s="39" t="n">
        <x:f>COUNTIFS('Animations'!$D$7:$D$16,"Établi")</x:f>
        <x:v>0</x:v>
      </x:c>
      <x:c r="H29" s="39" t="n">
        <x:f>COUNTIFS('Animations'!$D$7:$D$16,"À vérifier")</x:f>
        <x:v>0</x:v>
      </x:c>
      <x:c r="I29" s="39" t="n">
        <x:f>COUNTIFS('Animations'!$D$7:$D$16,"Extrapolation")</x:f>
        <x:v>10</x:v>
      </x:c>
      <x:c r="J29" s="39" t="n">
        <x:f>COUNTIFS('Animations'!$D$7:$D$16,"Coupé attesté")</x:f>
        <x:v>0</x:v>
      </x:c>
      <x:c r="K29" s="39" t="n">
        <x:f>COUNTIFS('Animations'!$D$7:$D$16,"Concept abandonné")</x:f>
        <x:v>0</x:v>
      </x:c>
      <x:c r="L29" s="39" t="n">
        <x:f>COUNTIFS('Animations'!$D$7:$D$16,"Allégation écartée")</x:f>
        <x:v>0</x:v>
      </x:c>
      <x:c r="M29" s="39" t="n">
        <x:f>COUNTIFS('Animations'!$E$7:$E$16,"P0")</x:f>
        <x:v>0</x:v>
      </x:c>
    </x:row>
    <x:row r="30" ht="22" customHeight="1">
      <x:c r="A30" s="34" t="str">
        <x:v>Sprites</x:v>
      </x:c>
      <x:c r="B30" s="38" t="n">
        <x:f>COUNTA('Sprites'!$A$7:$A$16)</x:f>
        <x:v>10</x:v>
      </x:c>
      <x:c r="C30" s="38" t="n">
        <x:f>COUNTIFS('Sprites'!$C$7:$C$16,"Défini")</x:f>
        <x:v>10</x:v>
      </x:c>
      <x:c r="D30" s="38" t="n">
        <x:f>COUNTIFS('Sprites'!$C$7:$C$16,"Prototype")</x:f>
        <x:v>0</x:v>
      </x:c>
      <x:c r="E30" s="38" t="n">
        <x:f>COUNTIFS('Sprites'!$C$7:$C$16,"Intégré")</x:f>
        <x:v>0</x:v>
      </x:c>
      <x:c r="F30" s="38" t="n">
        <x:f>COUNTIFS('Sprites'!$C$7:$C$16,"Validé")</x:f>
        <x:v>0</x:v>
      </x:c>
      <x:c r="G30" s="38" t="n">
        <x:f>COUNTIFS('Sprites'!$D$7:$D$16,"Établi")</x:f>
        <x:v>0</x:v>
      </x:c>
      <x:c r="H30" s="38" t="n">
        <x:f>COUNTIFS('Sprites'!$D$7:$D$16,"À vérifier")</x:f>
        <x:v>0</x:v>
      </x:c>
      <x:c r="I30" s="38" t="n">
        <x:f>COUNTIFS('Sprites'!$D$7:$D$16,"Extrapolation")</x:f>
        <x:v>10</x:v>
      </x:c>
      <x:c r="J30" s="38" t="n">
        <x:f>COUNTIFS('Sprites'!$D$7:$D$16,"Coupé attesté")</x:f>
        <x:v>0</x:v>
      </x:c>
      <x:c r="K30" s="38" t="n">
        <x:f>COUNTIFS('Sprites'!$D$7:$D$16,"Concept abandonné")</x:f>
        <x:v>0</x:v>
      </x:c>
      <x:c r="L30" s="38" t="n">
        <x:f>COUNTIFS('Sprites'!$D$7:$D$16,"Allégation écartée")</x:f>
        <x:v>0</x:v>
      </x:c>
      <x:c r="M30" s="38" t="n">
        <x:f>COUNTIFS('Sprites'!$E$7:$E$16,"P0")</x:f>
        <x:v>0</x:v>
      </x:c>
    </x:row>
    <x:row r="31" ht="22" customHeight="1">
      <x:c r="A31" s="2" t="str">
        <x:v>VFX</x:v>
      </x:c>
      <x:c r="B31" s="39" t="n">
        <x:f>COUNTA('VFX'!$A$7:$A$10)</x:f>
        <x:v>4</x:v>
      </x:c>
      <x:c r="C31" s="39" t="n">
        <x:f>COUNTIFS('VFX'!$C$7:$C$10,"Défini")</x:f>
        <x:v>4</x:v>
      </x:c>
      <x:c r="D31" s="39" t="n">
        <x:f>COUNTIFS('VFX'!$C$7:$C$10,"Prototype")</x:f>
        <x:v>0</x:v>
      </x:c>
      <x:c r="E31" s="39" t="n">
        <x:f>COUNTIFS('VFX'!$C$7:$C$10,"Intégré")</x:f>
        <x:v>0</x:v>
      </x:c>
      <x:c r="F31" s="39" t="n">
        <x:f>COUNTIFS('VFX'!$C$7:$C$10,"Validé")</x:f>
        <x:v>0</x:v>
      </x:c>
      <x:c r="G31" s="39" t="n">
        <x:f>COUNTIFS('VFX'!$D$7:$D$10,"Établi")</x:f>
        <x:v>0</x:v>
      </x:c>
      <x:c r="H31" s="39" t="n">
        <x:f>COUNTIFS('VFX'!$D$7:$D$10,"À vérifier")</x:f>
        <x:v>0</x:v>
      </x:c>
      <x:c r="I31" s="39" t="n">
        <x:f>COUNTIFS('VFX'!$D$7:$D$10,"Extrapolation")</x:f>
        <x:v>4</x:v>
      </x:c>
      <x:c r="J31" s="39" t="n">
        <x:f>COUNTIFS('VFX'!$D$7:$D$10,"Coupé attesté")</x:f>
        <x:v>0</x:v>
      </x:c>
      <x:c r="K31" s="39" t="n">
        <x:f>COUNTIFS('VFX'!$D$7:$D$10,"Concept abandonné")</x:f>
        <x:v>0</x:v>
      </x:c>
      <x:c r="L31" s="39" t="n">
        <x:f>COUNTIFS('VFX'!$D$7:$D$10,"Allégation écartée")</x:f>
        <x:v>0</x:v>
      </x:c>
      <x:c r="M31" s="39" t="n">
        <x:f>COUNTIFS('VFX'!$E$7:$E$10,"P0")</x:f>
        <x:v>0</x:v>
      </x:c>
    </x:row>
    <x:row r="32" ht="22" customHeight="1">
      <x:c r="A32" s="34" t="str">
        <x:v>Audio</x:v>
      </x:c>
      <x:c r="B32" s="38" t="n">
        <x:f>COUNTA('Audio'!$A$7:$A$11)</x:f>
        <x:v>5</x:v>
      </x:c>
      <x:c r="C32" s="38" t="n">
        <x:f>COUNTIFS('Audio'!$C$7:$C$11,"Défini")</x:f>
        <x:v>5</x:v>
      </x:c>
      <x:c r="D32" s="38" t="n">
        <x:f>COUNTIFS('Audio'!$C$7:$C$11,"Prototype")</x:f>
        <x:v>0</x:v>
      </x:c>
      <x:c r="E32" s="38" t="n">
        <x:f>COUNTIFS('Audio'!$C$7:$C$11,"Intégré")</x:f>
        <x:v>0</x:v>
      </x:c>
      <x:c r="F32" s="38" t="n">
        <x:f>COUNTIFS('Audio'!$C$7:$C$11,"Validé")</x:f>
        <x:v>0</x:v>
      </x:c>
      <x:c r="G32" s="38" t="n">
        <x:f>COUNTIFS('Audio'!$D$7:$D$11,"Établi")</x:f>
        <x:v>0</x:v>
      </x:c>
      <x:c r="H32" s="38" t="n">
        <x:f>COUNTIFS('Audio'!$D$7:$D$11,"À vérifier")</x:f>
        <x:v>0</x:v>
      </x:c>
      <x:c r="I32" s="38" t="n">
        <x:f>COUNTIFS('Audio'!$D$7:$D$11,"Extrapolation")</x:f>
        <x:v>5</x:v>
      </x:c>
      <x:c r="J32" s="38" t="n">
        <x:f>COUNTIFS('Audio'!$D$7:$D$11,"Coupé attesté")</x:f>
        <x:v>0</x:v>
      </x:c>
      <x:c r="K32" s="38" t="n">
        <x:f>COUNTIFS('Audio'!$D$7:$D$11,"Concept abandonné")</x:f>
        <x:v>0</x:v>
      </x:c>
      <x:c r="L32" s="38" t="n">
        <x:f>COUNTIFS('Audio'!$D$7:$D$11,"Allégation écartée")</x:f>
        <x:v>0</x:v>
      </x:c>
      <x:c r="M32" s="38" t="n">
        <x:f>COUNTIFS('Audio'!$E$7:$E$11,"P0")</x:f>
        <x:v>0</x:v>
      </x:c>
    </x:row>
    <x:row r="33" ht="22" customHeight="1">
      <x:c r="A33" s="2" t="str">
        <x:v>Systèmes et UI</x:v>
      </x:c>
      <x:c r="B33" s="39" t="n">
        <x:f>COUNTA('UI_systemes'!$A$7:$A$14)</x:f>
        <x:v>8</x:v>
      </x:c>
      <x:c r="C33" s="39" t="n">
        <x:f>COUNTIFS('UI_systemes'!$C$7:$C$14,"Défini")</x:f>
        <x:v>8</x:v>
      </x:c>
      <x:c r="D33" s="39" t="n">
        <x:f>COUNTIFS('UI_systemes'!$C$7:$C$14,"Prototype")</x:f>
        <x:v>0</x:v>
      </x:c>
      <x:c r="E33" s="39" t="n">
        <x:f>COUNTIFS('UI_systemes'!$C$7:$C$14,"Intégré")</x:f>
        <x:v>0</x:v>
      </x:c>
      <x:c r="F33" s="39" t="n">
        <x:f>COUNTIFS('UI_systemes'!$C$7:$C$14,"Validé")</x:f>
        <x:v>0</x:v>
      </x:c>
      <x:c r="G33" s="39" t="n">
        <x:f>COUNTIFS('UI_systemes'!$D$7:$D$14,"Établi")</x:f>
        <x:v>0</x:v>
      </x:c>
      <x:c r="H33" s="39" t="n">
        <x:f>COUNTIFS('UI_systemes'!$D$7:$D$14,"À vérifier")</x:f>
        <x:v>0</x:v>
      </x:c>
      <x:c r="I33" s="39" t="n">
        <x:f>COUNTIFS('UI_systemes'!$D$7:$D$14,"Extrapolation")</x:f>
        <x:v>8</x:v>
      </x:c>
      <x:c r="J33" s="39" t="n">
        <x:f>COUNTIFS('UI_systemes'!$D$7:$D$14,"Coupé attesté")</x:f>
        <x:v>0</x:v>
      </x:c>
      <x:c r="K33" s="39" t="n">
        <x:f>COUNTIFS('UI_systemes'!$D$7:$D$14,"Concept abandonné")</x:f>
        <x:v>0</x:v>
      </x:c>
      <x:c r="L33" s="39" t="n">
        <x:f>COUNTIFS('UI_systemes'!$D$7:$D$14,"Allégation écartée")</x:f>
        <x:v>0</x:v>
      </x:c>
      <x:c r="M33" s="39" t="n">
        <x:f>COUNTIFS('UI_systemes'!$E$7:$E$14,"P0")</x:f>
        <x:v>2</x:v>
      </x:c>
    </x:row>
    <x:row r="34" ht="22" customHeight="1">
      <x:c r="A34" s="34" t="str">
        <x:v>QA</x:v>
      </x:c>
      <x:c r="B34" s="38" t="n">
        <x:f>COUNTA('QA'!$A$7:$A$18)</x:f>
        <x:v>12</x:v>
      </x:c>
      <x:c r="C34" s="38" t="n">
        <x:f>COUNTIFS('QA'!$C$7:$C$18,"Défini")</x:f>
        <x:v>12</x:v>
      </x:c>
      <x:c r="D34" s="38" t="n">
        <x:f>COUNTIFS('QA'!$C$7:$C$18,"Prototype")</x:f>
        <x:v>0</x:v>
      </x:c>
      <x:c r="E34" s="38" t="n">
        <x:f>COUNTIFS('QA'!$C$7:$C$18,"Intégré")</x:f>
        <x:v>0</x:v>
      </x:c>
      <x:c r="F34" s="38" t="n">
        <x:f>COUNTIFS('QA'!$C$7:$C$18,"Validé")</x:f>
        <x:v>0</x:v>
      </x:c>
      <x:c r="G34" s="38" t="n">
        <x:f>COUNTIFS('QA'!$D$7:$D$18,"Établi")</x:f>
        <x:v>0</x:v>
      </x:c>
      <x:c r="H34" s="38" t="n">
        <x:f>COUNTIFS('QA'!$D$7:$D$18,"À vérifier")</x:f>
        <x:v>0</x:v>
      </x:c>
      <x:c r="I34" s="38" t="n">
        <x:f>COUNTIFS('QA'!$D$7:$D$18,"Extrapolation")</x:f>
        <x:v>12</x:v>
      </x:c>
      <x:c r="J34" s="38" t="n">
        <x:f>COUNTIFS('QA'!$D$7:$D$18,"Coupé attesté")</x:f>
        <x:v>0</x:v>
      </x:c>
      <x:c r="K34" s="38" t="n">
        <x:f>COUNTIFS('QA'!$D$7:$D$18,"Concept abandonné")</x:f>
        <x:v>0</x:v>
      </x:c>
      <x:c r="L34" s="38" t="n">
        <x:f>COUNTIFS('QA'!$D$7:$D$18,"Allégation écartée")</x:f>
        <x:v>0</x:v>
      </x:c>
      <x:c r="M34" s="38" t="n">
        <x:f>COUNTIFS('QA'!$E$7:$E$18,"P0")</x:f>
        <x:v>3</x:v>
      </x:c>
    </x:row>
    <x:row r="35" ht="22" customHeight="1">
      <x:c r="A35" s="2" t="str">
        <x:v>Continuité</x:v>
      </x:c>
      <x:c r="B35" s="39" t="n">
        <x:f>COUNTA('Continuite'!$A$7:$A$14)</x:f>
        <x:v>8</x:v>
      </x:c>
      <x:c r="C35" s="39" t="n">
        <x:f>COUNTIFS('Continuite'!$C$7:$C$14,"Défini")</x:f>
        <x:v>8</x:v>
      </x:c>
      <x:c r="D35" s="39" t="n">
        <x:f>COUNTIFS('Continuite'!$C$7:$C$14,"Prototype")</x:f>
        <x:v>0</x:v>
      </x:c>
      <x:c r="E35" s="39" t="n">
        <x:f>COUNTIFS('Continuite'!$C$7:$C$14,"Intégré")</x:f>
        <x:v>0</x:v>
      </x:c>
      <x:c r="F35" s="39" t="n">
        <x:f>COUNTIFS('Continuite'!$C$7:$C$14,"Validé")</x:f>
        <x:v>0</x:v>
      </x:c>
      <x:c r="G35" s="39" t="n">
        <x:f>COUNTIFS('Continuite'!$D$7:$D$14,"Établi")</x:f>
        <x:v>5</x:v>
      </x:c>
      <x:c r="H35" s="39" t="n">
        <x:f>COUNTIFS('Continuite'!$D$7:$D$14,"À vérifier")</x:f>
        <x:v>1</x:v>
      </x:c>
      <x:c r="I35" s="39" t="n">
        <x:f>COUNTIFS('Continuite'!$D$7:$D$14,"Extrapolation")</x:f>
        <x:v>2</x:v>
      </x:c>
      <x:c r="J35" s="39" t="n">
        <x:f>COUNTIFS('Continuite'!$D$7:$D$14,"Coupé attesté")</x:f>
        <x:v>0</x:v>
      </x:c>
      <x:c r="K35" s="39" t="n">
        <x:f>COUNTIFS('Continuite'!$D$7:$D$14,"Concept abandonné")</x:f>
        <x:v>0</x:v>
      </x:c>
      <x:c r="L35" s="39" t="n">
        <x:f>COUNTIFS('Continuite'!$D$7:$D$14,"Allégation écartée")</x:f>
        <x:v>0</x:v>
      </x:c>
      <x:c r="M35" s="39" t="n">
        <x:f>COUNTIFS('Continuite'!$E$7:$E$14,"P0")</x:f>
        <x:v>8</x:v>
      </x:c>
    </x:row>
    <x:row r="36" ht="22" customHeight="1">
      <x:c r="A36" s="2"/>
      <x:c r="B36" s="39"/>
      <x:c r="C36" s="39"/>
      <x:c r="D36" s="39"/>
      <x:c r="E36" s="39"/>
      <x:c r="F36" s="39"/>
      <x:c r="G36" s="39"/>
      <x:c r="H36" s="39"/>
      <x:c r="I36" s="39"/>
      <x:c r="J36" s="39"/>
      <x:c r="K36" s="39"/>
      <x:c r="L36" s="39"/>
      <x:c r="M36" s="39"/>
    </x:row>
    <x:row r="37" ht="28" customHeight="1">
      <x:c r="A37" s="21" t="str">
        <x:v>TOTAL</x:v>
      </x:c>
      <x:c r="B37" s="40" t="n">
        <x:f>SUM(B10:B35)</x:f>
        <x:v>159</x:v>
      </x:c>
      <x:c r="C37" s="40" t="n">
        <x:f>SUM(C10:C35)</x:f>
        <x:v>154</x:v>
      </x:c>
      <x:c r="D37" s="40" t="n">
        <x:f>SUM(D10:D35)</x:f>
        <x:v>5</x:v>
      </x:c>
      <x:c r="E37" s="40" t="n">
        <x:f>SUM(E10:E35)</x:f>
        <x:v>0</x:v>
      </x:c>
      <x:c r="F37" s="40" t="n">
        <x:f>SUM(F10:F35)</x:f>
        <x:v>0</x:v>
      </x:c>
      <x:c r="G37" s="40" t="n">
        <x:f>SUM(G10:G35)</x:f>
        <x:v>27</x:v>
      </x:c>
      <x:c r="H37" s="40" t="n">
        <x:f>SUM(H10:H35)</x:f>
        <x:v>1</x:v>
      </x:c>
      <x:c r="I37" s="40" t="n">
        <x:f>SUM(I10:I35)</x:f>
        <x:v>131</x:v>
      </x:c>
      <x:c r="J37" s="40" t="n">
        <x:f>SUM(J10:J35)</x:f>
        <x:v>0</x:v>
      </x:c>
      <x:c r="K37" s="40" t="n">
        <x:f>SUM(K10:K35)</x:f>
        <x:v>0</x:v>
      </x:c>
      <x:c r="L37" s="40" t="n">
        <x:f>SUM(L10:L35)</x:f>
        <x:v>0</x:v>
      </x:c>
      <x:c r="M37" s="40" t="n">
        <x:f>SUM(M10:M35)</x:f>
        <x:v>21</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Andromeda: Nexus Uprising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NEX-CHR-SLOANE</x:v>
      </x:c>
      <x:c r="B7" s="9" t="str">
        <x:v>Sloane Kelly</x:v>
      </x:c>
      <x:c r="C7" s="15" t="str">
        <x:v>Défini</x:v>
      </x:c>
      <x:c r="D7" s="16" t="str">
        <x:v>Établi</x:v>
      </x:c>
      <x:c r="E7" s="16" t="str">
        <x:v>P1</x:v>
      </x:c>
      <x:c r="F7" s="9" t="str">
        <x:v>Directrice de la sécurité chargée de rétablir l’ordre après la crise du Nexus.</x:v>
      </x:c>
      <x:c r="G7" s="9" t="str">
        <x:v>Référence narrative ; proposition visuelle et interaction dans les fiches liées.</x:v>
      </x:c>
      <x:c r="H7" s="9" t="str"/>
      <x:c r="I7" s="9" t="str"/>
      <x:c r="J7" s="9" t="str"/>
      <x:c r="K7" s="9" t="str"/>
      <x:c r="L7" s="9" t="str">
        <x:v>Réserver actor.nex.sloane ; rôle de référence : équipier.</x:v>
      </x:c>
      <x:c r="M7" s="9" t="str">
        <x:v>Préserver la crise précédant Mass Effect Andromeda : les choix locaux ne suppriment ni la révolte ni l’exil de Sloane et des autres personnes concernées. Ne pas résoudre dans ce module les mystères révélés plus tard par Ryder.</x:v>
      </x:c>
      <x:c r="N7" s="9" t="str">
        <x:v>Nom, rôle et présence confirmés dans la source indiquée ; aucune compétence chiffrée déduite du roman.</x:v>
      </x:c>
      <x:c r="O7" s="9" t="str"/>
      <x:c r="P7" s="9" t="str">
        <x:v>Notice de personnage ou présentation de l’œuvre ; pas de chapitre attribué.</x:v>
      </x:c>
      <x:c r="Q7" s="9" t="str">
        <x:v>NEX-SRC-AUTHOR</x:v>
      </x:c>
      <x:c r="R7" s="9" t="str">
        <x:v>https://www.jasonhough.com/book/mass-effect</x:v>
      </x:c>
      <x:c r="S7" s="9" t="str">
        <x:v>Le costume proposé dans les fiches de production n’est pas un modèle officiel.</x:v>
      </x:c>
    </x:row>
    <x:row r="8" ht="82" customHeight="1">
      <x:c r="A8" s="19" t="str">
        <x:v>NEX-CHR-KESH</x:v>
      </x:c>
      <x:c r="B8" s="7" t="str">
        <x:v>Nakmor Kesh</x:v>
      </x:c>
      <x:c r="C8" s="15" t="str">
        <x:v>Défini</x:v>
      </x:c>
      <x:c r="D8" s="17" t="str">
        <x:v>Établi</x:v>
      </x:c>
      <x:c r="E8" s="17" t="str">
        <x:v>P1</x:v>
      </x:c>
      <x:c r="F8" s="7" t="str">
        <x:v>Surintendante du Nexus et membre du clan Nakmor.</x:v>
      </x:c>
      <x:c r="G8" s="7" t="str">
        <x:v>Référence narrative ; proposition visuelle et interaction dans les fiches liées.</x:v>
      </x:c>
      <x:c r="H8" s="7" t="str"/>
      <x:c r="I8" s="7" t="str"/>
      <x:c r="J8" s="7" t="str"/>
      <x:c r="K8" s="7" t="str"/>
      <x:c r="L8" s="7" t="str">
        <x:v>Réserver actor.nex.kesh ; rôle de référence : équipier.</x:v>
      </x:c>
      <x:c r="M8" s="7" t="str">
        <x:v>Préserver la crise précédant Mass Effect Andromeda : les choix locaux ne suppriment ni la révolte ni l’exil de Sloane et des autres personnes concernées. Ne pas résoudre dans ce module les mystères révélés plus tard par Ryder.</x:v>
      </x:c>
      <x:c r="N8" s="7" t="str">
        <x:v>Nom, rôle et présence confirmés dans la source indiquée ; aucune compétence chiffrée déduite du roman.</x:v>
      </x:c>
      <x:c r="O8" s="7" t="str"/>
      <x:c r="P8" s="7" t="str">
        <x:v>Notice de personnage ou présentation de l’œuvre ; pas de chapitre attribué.</x:v>
      </x:c>
      <x:c r="Q8" s="7" t="str">
        <x:v>NEX-SRC-KESH</x:v>
      </x:c>
      <x:c r="R8" s="7" t="str">
        <x:v>https://masseffect.fandom.com/wiki/Nakmor_Kesh</x:v>
      </x:c>
      <x:c r="S8" s="7" t="str">
        <x:v>Le costume proposé dans les fiches de production n’est pas un modèle officiel.</x:v>
      </x:c>
    </x:row>
    <x:row r="9" ht="82" customHeight="1">
      <x:c r="A9" s="18" t="str">
        <x:v>NEX-CHR-KANDROS</x:v>
      </x:c>
      <x:c r="B9" s="9" t="str">
        <x:v>Tiran Kandros</x:v>
      </x:c>
      <x:c r="C9" s="15" t="str">
        <x:v>Défini</x:v>
      </x:c>
      <x:c r="D9" s="16" t="str">
        <x:v>Établi</x:v>
      </x:c>
      <x:c r="E9" s="16" t="str">
        <x:v>P1</x:v>
      </x:c>
      <x:c r="F9" s="9" t="str">
        <x:v>Turien engagé dans l’Initiative, présent dans le roman.</x:v>
      </x:c>
      <x:c r="G9" s="9" t="str">
        <x:v>Référence narrative ; proposition visuelle et interaction dans les fiches liées.</x:v>
      </x:c>
      <x:c r="H9" s="9" t="str"/>
      <x:c r="I9" s="9" t="str"/>
      <x:c r="J9" s="9" t="str"/>
      <x:c r="K9" s="9" t="str"/>
      <x:c r="L9" s="9" t="str">
        <x:v>Réserver actor.nex.kandros ; rôle de référence : équipier.</x:v>
      </x:c>
      <x:c r="M9" s="9" t="str">
        <x:v>Préserver la crise précédant Mass Effect Andromeda : les choix locaux ne suppriment ni la révolte ni l’exil de Sloane et des autres personnes concernées. Ne pas résoudre dans ce module les mystères révélés plus tard par Ryder.</x:v>
      </x:c>
      <x:c r="N9" s="9" t="str">
        <x:v>Nom, rôle et présence confirmés dans la source indiquée ; aucune compétence chiffrée déduite du roman.</x:v>
      </x:c>
      <x:c r="O9" s="9" t="str"/>
      <x:c r="P9" s="9" t="str">
        <x:v>Notice de personnage ou présentation de l’œuvre ; pas de chapitre attribué.</x:v>
      </x:c>
      <x:c r="Q9" s="9" t="str">
        <x:v>NEX-SRC-KANDROS</x:v>
      </x:c>
      <x:c r="R9" s="9" t="str">
        <x:v>https://masseffect.fandom.com/wiki/Tiran_Kandros</x:v>
      </x:c>
      <x:c r="S9" s="9" t="str">
        <x:v>Le costume proposé dans les fiches de production n’est pas un modèle officiel.</x:v>
      </x:c>
    </x:row>
  </x:sheetData>
  <x:conditionalFormatting sqref="D7:D9">
    <x:cfRule type="cellIs" dxfId="0" priority="1" operator="equal">
      <x:formula>"À vérifier"</x:formula>
    </x:cfRule>
    <x:cfRule type="cellIs" dxfId="1" priority="2" operator="equal">
      <x:formula>"Extrapolation"</x:formula>
    </x:cfRule>
  </x:conditionalFormatting>
  <x:conditionalFormatting sqref="C7:C9">
    <x:cfRule type="cellIs" dxfId="2" priority="3" operator="equal">
      <x:formula>"Validé"</x:formula>
    </x:cfRule>
  </x:conditionalFormatting>
  <x:conditionalFormatting sqref="E7:E9">
    <x:cfRule type="cellIs" dxfId="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7d65e79617b64179"/>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Andromeda: Nexus Uprising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NEX-CHR-TANN</x:v>
      </x:c>
      <x:c r="B7" s="9" t="str">
        <x:v>Jarun Tann</x:v>
      </x:c>
      <x:c r="C7" s="15" t="str">
        <x:v>Défini</x:v>
      </x:c>
      <x:c r="D7" s="16" t="str">
        <x:v>Établi</x:v>
      </x:c>
      <x:c r="E7" s="16" t="str">
        <x:v>P1</x:v>
      </x:c>
      <x:c r="F7" s="9" t="str">
        <x:v>Il devient directeur après la disparition des responsables qui le précèdent.</x:v>
      </x:c>
      <x:c r="G7" s="9" t="str">
        <x:v>Référence narrative ; proposition visuelle et interaction dans les fiches liées.</x:v>
      </x:c>
      <x:c r="H7" s="9" t="str"/>
      <x:c r="I7" s="9" t="str"/>
      <x:c r="J7" s="9" t="str"/>
      <x:c r="K7" s="9" t="str"/>
      <x:c r="L7" s="9" t="str">
        <x:v>Réserver actor.nex.tann ; rôle de référence : interlocuteur.</x:v>
      </x:c>
      <x:c r="M7" s="9" t="str">
        <x:v>Préserver la crise précédant Mass Effect Andromeda : les choix locaux ne suppriment ni la révolte ni l’exil de Sloane et des autres personnes concernées. Ne pas résoudre dans ce module les mystères révélés plus tard par Ryder.</x:v>
      </x:c>
      <x:c r="N7" s="9" t="str">
        <x:v>Nom, rôle et présence confirmés dans la source indiquée ; aucune compétence chiffrée déduite du roman.</x:v>
      </x:c>
      <x:c r="O7" s="9" t="str"/>
      <x:c r="P7" s="9" t="str">
        <x:v>Notice de personnage ou présentation de l’œuvre ; pas de chapitre attribué.</x:v>
      </x:c>
      <x:c r="Q7" s="9" t="str">
        <x:v>NEX-SRC-TANN</x:v>
      </x:c>
      <x:c r="R7" s="9" t="str">
        <x:v>https://masseffect.fandom.com/wiki/Jarun_Tann</x:v>
      </x:c>
      <x:c r="S7" s="9" t="str">
        <x:v>Le costume proposé dans les fiches de production n’est pas un modèle officiel.</x:v>
      </x:c>
    </x:row>
    <x:row r="8" ht="82" customHeight="1">
      <x:c r="A8" s="19" t="str">
        <x:v>NEX-CHR-ADDISON</x:v>
      </x:c>
      <x:c r="B8" s="7" t="str">
        <x:v>Foster Addison</x:v>
      </x:c>
      <x:c r="C8" s="15" t="str">
        <x:v>Défini</x:v>
      </x:c>
      <x:c r="D8" s="17" t="str">
        <x:v>Établi</x:v>
      </x:c>
      <x:c r="E8" s="17" t="str">
        <x:v>P1</x:v>
      </x:c>
      <x:c r="F8" s="7" t="str">
        <x:v>Responsable coloniale participant aux efforts de restauration du Nexus.</x:v>
      </x:c>
      <x:c r="G8" s="7" t="str">
        <x:v>Référence narrative ; proposition visuelle et interaction dans les fiches liées.</x:v>
      </x:c>
      <x:c r="H8" s="7" t="str"/>
      <x:c r="I8" s="7" t="str"/>
      <x:c r="J8" s="7" t="str"/>
      <x:c r="K8" s="7" t="str"/>
      <x:c r="L8" s="7" t="str">
        <x:v>Réserver actor.nex.addison ; rôle de référence : interlocuteur.</x:v>
      </x:c>
      <x:c r="M8" s="7" t="str">
        <x:v>Préserver la crise précédant Mass Effect Andromeda : les choix locaux ne suppriment ni la révolte ni l’exil de Sloane et des autres personnes concernées. Ne pas résoudre dans ce module les mystères révélés plus tard par Ryder.</x:v>
      </x:c>
      <x:c r="N8" s="7" t="str">
        <x:v>Nom, rôle et présence confirmés dans la source indiquée ; aucune compétence chiffrée déduite du roman.</x:v>
      </x:c>
      <x:c r="O8" s="7" t="str"/>
      <x:c r="P8" s="7" t="str">
        <x:v>Notice de personnage ou présentation de l’œuvre ; pas de chapitre attribué.</x:v>
      </x:c>
      <x:c r="Q8" s="7" t="str">
        <x:v>NEX-SRC-EXILES</x:v>
      </x:c>
      <x:c r="R8" s="7" t="str">
        <x:v>https://masseffect.fandom.com/wiki/Exiles</x:v>
      </x:c>
      <x:c r="S8" s="7" t="str">
        <x:v>Le costume proposé dans les fiches de production n’est pas un modèle officiel.</x:v>
      </x:c>
    </x:row>
    <x:row r="9" ht="82" customHeight="1">
      <x:c r="A9" s="18" t="str">
        <x:v>NEX-CHR-CALIX</x:v>
      </x:c>
      <x:c r="B9" s="9" t="str">
        <x:v>Calix Corvannis</x:v>
      </x:c>
      <x:c r="C9" s="15" t="str">
        <x:v>Défini</x:v>
      </x:c>
      <x:c r="D9" s="16" t="str">
        <x:v>Établi</x:v>
      </x:c>
      <x:c r="E9" s="16" t="str">
        <x:v>P1</x:v>
      </x:c>
      <x:c r="F9" s="9" t="str">
        <x:v>Technicien turien dont le rôle devient central dans la révolte.</x:v>
      </x:c>
      <x:c r="G9" s="9" t="str">
        <x:v>Référence narrative ; proposition visuelle et interaction dans les fiches liées.</x:v>
      </x:c>
      <x:c r="H9" s="9" t="str"/>
      <x:c r="I9" s="9" t="str"/>
      <x:c r="J9" s="9" t="str"/>
      <x:c r="K9" s="9" t="str"/>
      <x:c r="L9" s="9" t="str">
        <x:v>Réserver actor.nex.calix ; rôle de référence : interlocuteur.</x:v>
      </x:c>
      <x:c r="M9" s="9" t="str">
        <x:v>Préserver la crise précédant Mass Effect Andromeda : les choix locaux ne suppriment ni la révolte ni l’exil de Sloane et des autres personnes concernées. Ne pas résoudre dans ce module les mystères révélés plus tard par Ryder.</x:v>
      </x:c>
      <x:c r="N9" s="9" t="str">
        <x:v>Nom, rôle et présence confirmés dans la source indiquée ; aucune compétence chiffrée déduite du roman.</x:v>
      </x:c>
      <x:c r="O9" s="9" t="str"/>
      <x:c r="P9" s="9" t="str">
        <x:v>Notice de personnage ou présentation de l’œuvre ; pas de chapitre attribué.</x:v>
      </x:c>
      <x:c r="Q9" s="9" t="str">
        <x:v>NEX-SRC-CALIX</x:v>
      </x:c>
      <x:c r="R9" s="9" t="str">
        <x:v>https://masseffect.fandom.com/wiki/Calix_Corvannis</x:v>
      </x:c>
      <x:c r="S9" s="9" t="str">
        <x:v>Le costume proposé dans les fiches de production n’est pas un modèle officiel.</x:v>
      </x:c>
    </x:row>
    <x:row r="10" ht="82" customHeight="1">
      <x:c r="A10" s="19" t="str">
        <x:v>NEX-CHR-IRIDA</x:v>
      </x:c>
      <x:c r="B10" s="7" t="str">
        <x:v>Irida Fadeer</x:v>
      </x:c>
      <x:c r="C10" s="15" t="str">
        <x:v>Défini</x:v>
      </x:c>
      <x:c r="D10" s="17" t="str">
        <x:v>Établi</x:v>
      </x:c>
      <x:c r="E10" s="17" t="str">
        <x:v>P1</x:v>
      </x:c>
      <x:c r="F10" s="7" t="str">
        <x:v>Son vol de données et sabotage touchent les serveurs du Nexus.</x:v>
      </x:c>
      <x:c r="G10" s="7" t="str">
        <x:v>Référence narrative ; proposition visuelle et interaction dans les fiches liées.</x:v>
      </x:c>
      <x:c r="H10" s="7" t="str"/>
      <x:c r="I10" s="7" t="str"/>
      <x:c r="J10" s="7" t="str"/>
      <x:c r="K10" s="7" t="str"/>
      <x:c r="L10" s="7" t="str">
        <x:v>Réserver actor.nex.irida ; rôle de référence : interlocuteur.</x:v>
      </x:c>
      <x:c r="M10" s="7" t="str">
        <x:v>Préserver la crise précédant Mass Effect Andromeda : les choix locaux ne suppriment ni la révolte ni l’exil de Sloane et des autres personnes concernées. Ne pas résoudre dans ce module les mystères révélés plus tard par Ryder.</x:v>
      </x:c>
      <x:c r="N10" s="7" t="str">
        <x:v>Nom, rôle et présence confirmés dans la source indiquée ; aucune compétence chiffrée déduite du roman.</x:v>
      </x:c>
      <x:c r="O10" s="7" t="str"/>
      <x:c r="P10" s="7" t="str">
        <x:v>Notice de personnage ou présentation de l’œuvre ; pas de chapitre attribué.</x:v>
      </x:c>
      <x:c r="Q10" s="7" t="str">
        <x:v>NEX-SRC-IRIDA</x:v>
      </x:c>
      <x:c r="R10" s="7" t="str">
        <x:v>https://masseffect.fandom.com/wiki/Irida_Fadeer</x:v>
      </x:c>
      <x:c r="S10" s="7" t="str">
        <x:v>Le costume proposé dans les fiches de production n’est pas un modèle officiel.</x:v>
      </x:c>
    </x:row>
    <x:row r="11" ht="82" customHeight="1">
      <x:c r="A11" s="18" t="str">
        <x:v>NEX-CHR-MORDA</x:v>
      </x:c>
      <x:c r="B11" s="9" t="str">
        <x:v>Nakmor Morda</x:v>
      </x:c>
      <x:c r="C11" s="15" t="str">
        <x:v>Défini</x:v>
      </x:c>
      <x:c r="D11" s="16" t="str">
        <x:v>Établi</x:v>
      </x:c>
      <x:c r="E11" s="16" t="str">
        <x:v>P1</x:v>
      </x:c>
      <x:c r="F11" s="9" t="str">
        <x:v>Chef du clan Nakmor réveillée pendant la crise de révolte.</x:v>
      </x:c>
      <x:c r="G11" s="9" t="str">
        <x:v>Référence narrative ; proposition visuelle et interaction dans les fiches liées.</x:v>
      </x:c>
      <x:c r="H11" s="9" t="str"/>
      <x:c r="I11" s="9" t="str"/>
      <x:c r="J11" s="9" t="str"/>
      <x:c r="K11" s="9" t="str"/>
      <x:c r="L11" s="9" t="str">
        <x:v>Réserver actor.nex.morda ; rôle de référence : interlocuteur.</x:v>
      </x:c>
      <x:c r="M11" s="9" t="str">
        <x:v>Préserver la crise précédant Mass Effect Andromeda : les choix locaux ne suppriment ni la révolte ni l’exil de Sloane et des autres personnes concernées. Ne pas résoudre dans ce module les mystères révélés plus tard par Ryder.</x:v>
      </x:c>
      <x:c r="N11" s="9" t="str">
        <x:v>Nom, rôle et présence confirmés dans la source indiquée ; aucune compétence chiffrée déduite du roman.</x:v>
      </x:c>
      <x:c r="O11" s="9" t="str"/>
      <x:c r="P11" s="9" t="str">
        <x:v>Notice de personnage ou présentation de l’œuvre ; pas de chapitre attribué.</x:v>
      </x:c>
      <x:c r="Q11" s="9" t="str">
        <x:v>NEX-SRC-MORDA</x:v>
      </x:c>
      <x:c r="R11" s="9" t="str">
        <x:v>https://masseffect.fandom.com/wiki/Nakmor_Morda</x:v>
      </x:c>
      <x:c r="S11" s="9" t="str">
        <x:v>Le costume proposé dans les fiches de production n’est pas un modèle officiel.</x:v>
      </x:c>
    </x:row>
    <x:row r="12" ht="82" customHeight="1">
      <x:c r="A12" s="19" t="str">
        <x:v>NEX-CHR-SPENDER</x:v>
      </x:c>
      <x:c r="B12" s="7" t="str">
        <x:v>William Spender</x:v>
      </x:c>
      <x:c r="C12" s="15" t="str">
        <x:v>Défini</x:v>
      </x:c>
      <x:c r="D12" s="17" t="str">
        <x:v>Établi</x:v>
      </x:c>
      <x:c r="E12" s="17" t="str">
        <x:v>P1</x:v>
      </x:c>
      <x:c r="F12" s="7" t="str">
        <x:v>Il négocie avec Morda le soutien krogan.</x:v>
      </x:c>
      <x:c r="G12" s="7" t="str">
        <x:v>Référence narrative ; proposition visuelle et interaction dans les fiches liées.</x:v>
      </x:c>
      <x:c r="H12" s="7" t="str"/>
      <x:c r="I12" s="7" t="str"/>
      <x:c r="J12" s="7" t="str"/>
      <x:c r="K12" s="7" t="str"/>
      <x:c r="L12" s="7" t="str">
        <x:v>Réserver actor.nex.spender ; rôle de référence : interlocuteur.</x:v>
      </x:c>
      <x:c r="M12" s="7" t="str">
        <x:v>Préserver la crise précédant Mass Effect Andromeda : les choix locaux ne suppriment ni la révolte ni l’exil de Sloane et des autres personnes concernées. Ne pas résoudre dans ce module les mystères révélés plus tard par Ryder.</x:v>
      </x:c>
      <x:c r="N12" s="7" t="str">
        <x:v>Nom, rôle et présence confirmés dans la source indiquée ; aucune compétence chiffrée déduite du roman.</x:v>
      </x:c>
      <x:c r="O12" s="7" t="str"/>
      <x:c r="P12" s="7" t="str">
        <x:v>Notice de personnage ou présentation de l’œuvre ; pas de chapitre attribué.</x:v>
      </x:c>
      <x:c r="Q12" s="7" t="str">
        <x:v>NEX-SRC-MORDA</x:v>
      </x:c>
      <x:c r="R12" s="7" t="str">
        <x:v>https://masseffect.fandom.com/wiki/Nakmor_Morda</x:v>
      </x:c>
      <x:c r="S12" s="7" t="str">
        <x:v>Le costume proposé dans les fiches de production n’est pas un modèle officiel.</x:v>
      </x:c>
    </x:row>
    <x:row r="13" ht="82" customHeight="1">
      <x:c r="A13" s="18" t="str">
        <x:v>NEX-CHR-GARSON</x:v>
      </x:c>
      <x:c r="B13" s="9" t="str">
        <x:v>Jien Garson</x:v>
      </x:c>
      <x:c r="C13" s="15" t="str">
        <x:v>Défini</x:v>
      </x:c>
      <x:c r="D13" s="16" t="str">
        <x:v>Établi</x:v>
      </x:c>
      <x:c r="E13" s="16" t="str">
        <x:v>P1</x:v>
      </x:c>
      <x:c r="F13" s="9" t="str">
        <x:v>Fondatrice de l’Initiative évoquée dans le contexte du Nexus.</x:v>
      </x:c>
      <x:c r="G13" s="9" t="str">
        <x:v>Référence narrative ; proposition visuelle et interaction dans les fiches liées.</x:v>
      </x:c>
      <x:c r="H13" s="9" t="str"/>
      <x:c r="I13" s="9" t="str"/>
      <x:c r="J13" s="9" t="str"/>
      <x:c r="K13" s="9" t="str"/>
      <x:c r="L13" s="9" t="str">
        <x:v>Réserver actor.nex.garson ; rôle de référence : référence.</x:v>
      </x:c>
      <x:c r="M13" s="9" t="str">
        <x:v>Préserver la crise précédant Mass Effect Andromeda : les choix locaux ne suppriment ni la révolte ni l’exil de Sloane et des autres personnes concernées. Ne pas résoudre dans ce module les mystères révélés plus tard par Ryder.</x:v>
      </x:c>
      <x:c r="N13" s="9" t="str">
        <x:v>Nom, rôle et présence confirmés dans la source indiquée ; aucune compétence chiffrée déduite du roman.</x:v>
      </x:c>
      <x:c r="O13" s="9" t="str"/>
      <x:c r="P13" s="9" t="str">
        <x:v>Notice de personnage ou présentation de l’œuvre ; pas de chapitre attribué.</x:v>
      </x:c>
      <x:c r="Q13" s="9" t="str">
        <x:v>NEX-SRC-GARSON</x:v>
      </x:c>
      <x:c r="R13" s="9" t="str">
        <x:v>https://masseffect.fandom.com/wiki/Jien_Garson</x:v>
      </x:c>
      <x:c r="S13" s="9" t="str">
        <x:v>Le costume proposé dans les fiches de production n’est pas un modèle officiel.</x:v>
      </x:c>
    </x:row>
  </x:sheetData>
  <x:conditionalFormatting sqref="D7:D13">
    <x:cfRule type="cellIs" dxfId="4" priority="1" operator="equal">
      <x:formula>"À vérifier"</x:formula>
    </x:cfRule>
    <x:cfRule type="cellIs" dxfId="5" priority="2" operator="equal">
      <x:formula>"Extrapolation"</x:formula>
    </x:cfRule>
  </x:conditionalFormatting>
  <x:conditionalFormatting sqref="C7:C13">
    <x:cfRule type="cellIs" dxfId="6" priority="3" operator="equal">
      <x:formula>"Validé"</x:formula>
    </x:cfRule>
  </x:conditionalFormatting>
  <x:conditionalFormatting sqref="E7:E13">
    <x:cfRule type="cellIs" dxfId="7"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157cba3ccc3a474c"/>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8"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Andromeda: Nexus Uprising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NEX-REF-INITIATIVE</x:v>
      </x:c>
      <x:c r="B7" s="9" t="str">
        <x:v>Initiative Andromède</x:v>
      </x:c>
      <x:c r="C7" s="15" t="str">
        <x:v>Prototype</x:v>
      </x:c>
      <x:c r="D7" s="16" t="str">
        <x:v>Établi</x:v>
      </x:c>
      <x:c r="E7" s="16" t="str">
        <x:v>P1</x:v>
      </x:c>
      <x:c r="F7" s="9" t="str">
        <x:v>Projet collectif de colonisation au cœur du roman.</x:v>
      </x:c>
      <x:c r="G7" s="9" t="str">
        <x:v>Ancrage documentaire du module ; aucune statistique officielle inférée.</x:v>
      </x:c>
      <x:c r="H7" s="9" t="str"/>
      <x:c r="I7" s="9" t="str"/>
      <x:c r="J7" s="9" t="str"/>
      <x:c r="K7" s="9" t="str"/>
      <x:c r="L7" s="9" t="str">
        <x:v>Référence documentaire NEX-REF-INITIATIVE consultable dans les lectures de src/chronicle-story.js, avec sources et progression séparée. Aucune scène, carte, animation ou incarnation de personnage n’est produite par cette fiche.</x:v>
      </x:c>
      <x:c r="M7" s="9" t="str">
        <x:v>Préserver la crise précédant Mass Effect Andromeda : les choix locaux ne suppriment ni la révolte ni l’exil de Sloane et des autres personnes concernées. Ne pas résoudre dans ce module les mystères révélés plus tard par Ryder.</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NEX-SRC-PUB</x:v>
      </x:c>
      <x:c r="R7" s="9" t="str">
        <x:v>https://titanbooks.com/8747-mass-effect-nexus-uprising/</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NEX-REF-HUMANS</x:v>
      </x:c>
      <x:c r="B8" s="7" t="str">
        <x:v>Humains</x:v>
      </x:c>
      <x:c r="C8" s="15" t="str">
        <x:v>Défini</x:v>
      </x:c>
      <x:c r="D8" s="17" t="str">
        <x:v>Établi</x:v>
      </x:c>
      <x:c r="E8" s="17" t="str">
        <x:v>P1</x:v>
      </x:c>
      <x:c r="F8" s="7" t="str">
        <x:v>Ils font partie des colons évoqués dans le synopsis.</x:v>
      </x:c>
      <x:c r="G8" s="7" t="str">
        <x:v>Ancrage documentaire du module ; aucune statistique officielle inférée.</x:v>
      </x:c>
      <x:c r="H8" s="7" t="str"/>
      <x:c r="I8" s="7" t="str"/>
      <x:c r="J8" s="7" t="str"/>
      <x:c r="K8" s="7" t="str"/>
      <x:c r="L8" s="7" t="str">
        <x:v>Codex ref.nex.humans ; affichage bref avec source.</x:v>
      </x:c>
      <x:c r="M8" s="7" t="str">
        <x:v>Préserver la crise précédant Mass Effect Andromeda : les choix locaux ne suppriment ni la révolte ni l’exil de Sloane et des autres personnes concernées. Ne pas résoudre dans ce module les mystères révélés plus tard par Ryder.</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NEX-SRC-AUTHOR</x:v>
      </x:c>
      <x:c r="R8" s="7" t="str">
        <x:v>https://www.jasonhough.com/book/mass-effect</x:v>
      </x:c>
      <x:c r="S8" s="7" t="str">
        <x:v>Ce relevé n’est ni un inventaire exhaustif ni un résumé scène par scène.</x:v>
      </x:c>
    </x:row>
    <x:row r="9" ht="82" customHeight="1">
      <x:c r="A9" s="18" t="str">
        <x:v>NEX-REF-TURIANS</x:v>
      </x:c>
      <x:c r="B9" s="9" t="str">
        <x:v>Turiens</x:v>
      </x:c>
      <x:c r="C9" s="15" t="str">
        <x:v>Défini</x:v>
      </x:c>
      <x:c r="D9" s="16" t="str">
        <x:v>Établi</x:v>
      </x:c>
      <x:c r="E9" s="16" t="str">
        <x:v>P1</x:v>
      </x:c>
      <x:c r="F9" s="9" t="str">
        <x:v>Ils font partie des populations du Nexus.</x:v>
      </x:c>
      <x:c r="G9" s="9" t="str">
        <x:v>Ancrage documentaire du module ; aucune statistique officielle inférée.</x:v>
      </x:c>
      <x:c r="H9" s="9" t="str"/>
      <x:c r="I9" s="9" t="str"/>
      <x:c r="J9" s="9" t="str"/>
      <x:c r="K9" s="9" t="str"/>
      <x:c r="L9" s="9" t="str">
        <x:v>Codex ref.nex.turians ; affichage bref avec source.</x:v>
      </x:c>
      <x:c r="M9" s="9" t="str">
        <x:v>Préserver la crise précédant Mass Effect Andromeda : les choix locaux ne suppriment ni la révolte ni l’exil de Sloane et des autres personnes concernées. Ne pas résoudre dans ce module les mystères révélés plus tard par Ryder.</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NEX-SRC-AUTHOR</x:v>
      </x:c>
      <x:c r="R9" s="9" t="str">
        <x:v>https://www.jasonhough.com/book/mass-effect</x:v>
      </x:c>
      <x:c r="S9" s="9" t="str">
        <x:v>Ce relevé n’est ni un inventaire exhaustif ni un résumé scène par scène.</x:v>
      </x:c>
    </x:row>
    <x:row r="10" ht="82" customHeight="1">
      <x:c r="A10" s="19" t="str">
        <x:v>NEX-REF-SALARIANS</x:v>
      </x:c>
      <x:c r="B10" s="7" t="str">
        <x:v>Galariens</x:v>
      </x:c>
      <x:c r="C10" s="15" t="str">
        <x:v>Défini</x:v>
      </x:c>
      <x:c r="D10" s="17" t="str">
        <x:v>Établi</x:v>
      </x:c>
      <x:c r="E10" s="17" t="str">
        <x:v>P1</x:v>
      </x:c>
      <x:c r="F10" s="7" t="str">
        <x:v>Le synopsis inclut des colons galariens.</x:v>
      </x:c>
      <x:c r="G10" s="7" t="str">
        <x:v>Ancrage documentaire du module ; aucune statistique officielle inférée.</x:v>
      </x:c>
      <x:c r="H10" s="7" t="str"/>
      <x:c r="I10" s="7" t="str"/>
      <x:c r="J10" s="7" t="str"/>
      <x:c r="K10" s="7" t="str"/>
      <x:c r="L10" s="7" t="str">
        <x:v>Codex ref.nex.salarians ; affichage bref avec source.</x:v>
      </x:c>
      <x:c r="M10" s="7" t="str">
        <x:v>Préserver la crise précédant Mass Effect Andromeda : les choix locaux ne suppriment ni la révolte ni l’exil de Sloane et des autres personnes concernées. Ne pas résoudre dans ce module les mystères révélés plus tard par Ryder.</x:v>
      </x:c>
      <x:c r="N10" s="7" t="str">
        <x:v>La source citée atteste précisément cet élément ; modèle, plan détaillé et valeur de combat restent séparés.</x:v>
      </x:c>
      <x:c r="O10" s="7" t="str"/>
      <x:c r="P10" s="7" t="str">
        <x:v>Rubrique consultée ou synopsis éditorial ; localisation précise dans l’œuvre à relever.</x:v>
      </x:c>
      <x:c r="Q10" s="7" t="str">
        <x:v>NEX-SRC-AUTHOR</x:v>
      </x:c>
      <x:c r="R10" s="7" t="str">
        <x:v>https://www.jasonhough.com/book/mass-effect</x:v>
      </x:c>
      <x:c r="S10" s="7" t="str">
        <x:v>Ce relevé n’est ni un inventaire exhaustif ni un résumé scène par scène.</x:v>
      </x:c>
    </x:row>
    <x:row r="11" ht="82" customHeight="1">
      <x:c r="A11" s="18" t="str">
        <x:v>NEX-REF-ASARI</x:v>
      </x:c>
      <x:c r="B11" s="9" t="str">
        <x:v>Asari</x:v>
      </x:c>
      <x:c r="C11" s="15" t="str">
        <x:v>Défini</x:v>
      </x:c>
      <x:c r="D11" s="16" t="str">
        <x:v>Établi</x:v>
      </x:c>
      <x:c r="E11" s="16" t="str">
        <x:v>P1</x:v>
      </x:c>
      <x:c r="F11" s="9" t="str">
        <x:v>Le synopsis inclut des colons asari.</x:v>
      </x:c>
      <x:c r="G11" s="9" t="str">
        <x:v>Ancrage documentaire du module ; aucune statistique officielle inférée.</x:v>
      </x:c>
      <x:c r="H11" s="9" t="str"/>
      <x:c r="I11" s="9" t="str"/>
      <x:c r="J11" s="9" t="str"/>
      <x:c r="K11" s="9" t="str"/>
      <x:c r="L11" s="9" t="str">
        <x:v>Codex ref.nex.asari ; affichage bref avec source.</x:v>
      </x:c>
      <x:c r="M11" s="9" t="str">
        <x:v>Préserver la crise précédant Mass Effect Andromeda : les choix locaux ne suppriment ni la révolte ni l’exil de Sloane et des autres personnes concernées. Ne pas résoudre dans ce module les mystères révélés plus tard par Ryder.</x:v>
      </x:c>
      <x:c r="N11" s="9" t="str">
        <x:v>La source citée atteste précisément cet élément ; modèle, plan détaillé et valeur de combat restent séparés.</x:v>
      </x:c>
      <x:c r="O11" s="9" t="str"/>
      <x:c r="P11" s="9" t="str">
        <x:v>Rubrique consultée ou synopsis éditorial ; localisation précise dans l’œuvre à relever.</x:v>
      </x:c>
      <x:c r="Q11" s="9" t="str">
        <x:v>NEX-SRC-AUTHOR</x:v>
      </x:c>
      <x:c r="R11" s="9" t="str">
        <x:v>https://www.jasonhough.com/book/mass-effect</x:v>
      </x:c>
      <x:c r="S11" s="9" t="str">
        <x:v>Ce relevé n’est ni un inventaire exhaustif ni un résumé scène par scène.</x:v>
      </x:c>
    </x:row>
    <x:row r="12" ht="82" customHeight="1">
      <x:c r="A12" s="19" t="str">
        <x:v>NEX-REF-NAKMOR</x:v>
      </x:c>
      <x:c r="B12" s="7" t="str">
        <x:v>Clan Nakmor</x:v>
      </x:c>
      <x:c r="C12" s="15" t="str">
        <x:v>Prototype</x:v>
      </x:c>
      <x:c r="D12" s="17" t="str">
        <x:v>Établi</x:v>
      </x:c>
      <x:c r="E12" s="17" t="str">
        <x:v>P1</x:v>
      </x:c>
      <x:c r="F12" s="7" t="str">
        <x:v>Le clan krogan intervient dans la crise.</x:v>
      </x:c>
      <x:c r="G12" s="7" t="str">
        <x:v>Ancrage documentaire du module ; aucune statistique officielle inférée.</x:v>
      </x:c>
      <x:c r="H12" s="7" t="str"/>
      <x:c r="I12" s="7" t="str"/>
      <x:c r="J12" s="7" t="str"/>
      <x:c r="K12" s="7" t="str"/>
      <x:c r="L12" s="7" t="str">
        <x:v>Référence documentaire NEX-REF-NAKMOR consultable dans les lectures de src/chronicle-story.js, avec sources et progression séparée. Aucune scène, carte, animation ou incarnation de personnage n’est produite par cette fiche.</x:v>
      </x:c>
      <x:c r="M12" s="7" t="str">
        <x:v>Préserver la crise précédant Mass Effect Andromeda : les choix locaux ne suppriment ni la révolte ni l’exil de Sloane et des autres personnes concernées. Ne pas résoudre dans ce module les mystères révélés plus tard par Ryder.</x:v>
      </x:c>
      <x:c r="N12" s="7" t="str">
        <x:v>La source citée atteste précisément cet élément ; modèle, plan détaillé et valeur de combat restent séparés.</x:v>
      </x:c>
      <x:c r="O12" s="7" t="str"/>
      <x:c r="P12" s="7" t="str">
        <x:v>Rubrique consultée ou synopsis éditorial ; localisation précise dans l’œuvre à relever.</x:v>
      </x:c>
      <x:c r="Q12" s="7" t="str">
        <x:v>NEX-SRC-MORDA</x:v>
      </x:c>
      <x:c r="R12" s="7" t="str">
        <x:v>https://masseffect.fandom.com/wiki/Nakmor_Morda</x:v>
      </x:c>
      <x:c r="S12"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13" ht="82" customHeight="1">
      <x:c r="A13" s="18" t="str">
        <x:v>NEX-REF-SCOURGE</x:v>
      </x:c>
      <x:c r="B13" s="9" t="str">
        <x:v>Fléau</x:v>
      </x:c>
      <x:c r="C13" s="15" t="str">
        <x:v>Prototype</x:v>
      </x:c>
      <x:c r="D13" s="16" t="str">
        <x:v>Établi</x:v>
      </x:c>
      <x:c r="E13" s="16" t="str">
        <x:v>P1</x:v>
      </x:c>
      <x:c r="F13" s="9" t="str">
        <x:v>Le Nexus subit les dégâts du Fléau à son arrivée.</x:v>
      </x:c>
      <x:c r="G13" s="9" t="str">
        <x:v>Ancrage documentaire du module ; aucune statistique officielle inférée.</x:v>
      </x:c>
      <x:c r="H13" s="9" t="str"/>
      <x:c r="I13" s="9" t="str"/>
      <x:c r="J13" s="9" t="str"/>
      <x:c r="K13" s="9" t="str"/>
      <x:c r="L13" s="9" t="str">
        <x:v>Référence documentaire NEX-REF-SCOURGE consultable dans les lectures de src/chronicle-story.js, avec sources et progression séparée. Aucune scène, carte, animation ou incarnation de personnage n’est produite par cette fiche.</x:v>
      </x:c>
      <x:c r="M13" s="9" t="str">
        <x:v>Préserver la crise précédant Mass Effect Andromeda : les choix locaux ne suppriment ni la révolte ni l’exil de Sloane et des autres personnes concernées. Ne pas résoudre dans ce module les mystères révélés plus tard par Ryder.</x:v>
      </x:c>
      <x:c r="N13" s="9" t="str">
        <x:v>La source citée atteste précisément cet élément ; modèle, plan détaillé et valeur de combat restent séparés.</x:v>
      </x:c>
      <x:c r="O13" s="9" t="str"/>
      <x:c r="P13" s="9" t="str">
        <x:v>Rubrique consultée ou synopsis éditorial ; localisation précise dans l’œuvre à relever.</x:v>
      </x:c>
      <x:c r="Q13" s="9" t="str">
        <x:v>NEX-SRC-CODEX</x:v>
      </x:c>
      <x:c r="R13" s="9" t="str">
        <x:v>https://masseffect.fandom.com/wiki/Codex_%28Mass_Effect%3A_Andromeda%29/The_Andromeda_Initiative</x:v>
      </x:c>
      <x:c r="S13"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13">
    <x:cfRule type="cellIs" dxfId="8" priority="1" operator="equal">
      <x:formula>"À vérifier"</x:formula>
    </x:cfRule>
    <x:cfRule type="cellIs" dxfId="9" priority="2" operator="equal">
      <x:formula>"Extrapolation"</x:formula>
    </x:cfRule>
  </x:conditionalFormatting>
  <x:conditionalFormatting sqref="C7:C13">
    <x:cfRule type="cellIs" dxfId="10" priority="3" operator="equal">
      <x:formula>"Validé"</x:formula>
    </x:cfRule>
  </x:conditionalFormatting>
  <x:conditionalFormatting sqref="E7:E13">
    <x:cfRule type="cellIs" dxfId="11"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6ed268a4e8a94f02"/>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Andromeda: Nexus Uprising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NEX-REF-NEXUS</x:v>
      </x:c>
      <x:c r="B7" s="9" t="str">
        <x:v>Nexus</x:v>
      </x:c>
      <x:c r="C7" s="15" t="str">
        <x:v>Prototype</x:v>
      </x:c>
      <x:c r="D7" s="16" t="str">
        <x:v>Établi</x:v>
      </x:c>
      <x:c r="E7" s="16" t="str">
        <x:v>P1</x:v>
      </x:c>
      <x:c r="F7" s="9" t="str">
        <x:v>Station centrale de l’Initiative, gravement endommagée avant l’arrivée des autres arches.</x:v>
      </x:c>
      <x:c r="G7" s="9" t="str">
        <x:v>Ancrage documentaire du module ; aucune statistique officielle inférée.</x:v>
      </x:c>
      <x:c r="H7" s="9" t="str"/>
      <x:c r="I7" s="9" t="str"/>
      <x:c r="J7" s="9" t="str"/>
      <x:c r="K7" s="9" t="str"/>
      <x:c r="L7" s="9" t="str">
        <x:v>Référence documentaire NEX-REF-NEXUS consultable dans les lectures de src/chronicle-story.js, avec sources et progression séparée. Aucune scène, carte, animation ou incarnation de personnage n’est produite par cette fiche.</x:v>
      </x:c>
      <x:c r="M7" s="9" t="str">
        <x:v>Préserver la crise précédant Mass Effect Andromeda : les choix locaux ne suppriment ni la révolte ni l’exil de Sloane et des autres personnes concernées. Ne pas résoudre dans ce module les mystères révélés plus tard par Ryder.</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NEX-SRC-WIKI</x:v>
      </x:c>
      <x:c r="R7" s="9" t="str">
        <x:v>https://masseffect.fandom.com/wiki/Mass_Effect_Andromeda:_Nexus_Uprising</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NEX-REF-HELEUS</x:v>
      </x:c>
      <x:c r="B8" s="7" t="str">
        <x:v>Amas Héléus</x:v>
      </x:c>
      <x:c r="C8" s="15" t="str">
        <x:v>Prototype</x:v>
      </x:c>
      <x:c r="D8" s="17" t="str">
        <x:v>Établi</x:v>
      </x:c>
      <x:c r="E8" s="17" t="str">
        <x:v>P1</x:v>
      </x:c>
      <x:c r="F8" s="7" t="str">
        <x:v>Le Nexus atteint Héléus et y subit la crise initiale.</x:v>
      </x:c>
      <x:c r="G8" s="7" t="str">
        <x:v>Ancrage documentaire du module ; aucune statistique officielle inférée.</x:v>
      </x:c>
      <x:c r="H8" s="7" t="str"/>
      <x:c r="I8" s="7" t="str"/>
      <x:c r="J8" s="7" t="str"/>
      <x:c r="K8" s="7" t="str"/>
      <x:c r="L8" s="7" t="str">
        <x:v>Référence documentaire NEX-REF-HELEUS consultable dans les lectures de src/chronicle-story.js, avec sources et progression séparée. Aucune scène, carte, animation ou incarnation de personnage n’est produite par cette fiche.</x:v>
      </x:c>
      <x:c r="M8" s="7" t="str">
        <x:v>Préserver la crise précédant Mass Effect Andromeda : les choix locaux ne suppriment ni la révolte ni l’exil de Sloane et des autres personnes concernées. Ne pas résoudre dans ce module les mystères révélés plus tard par Ryder.</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NEX-SRC-TANN</x:v>
      </x:c>
      <x:c r="R8" s="7" t="str">
        <x:v>https://masseffect.fandom.com/wiki/Jarun_Tann</x:v>
      </x:c>
      <x:c r="S8"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8">
    <x:cfRule type="cellIs" dxfId="12" priority="1" operator="equal">
      <x:formula>"À vérifier"</x:formula>
    </x:cfRule>
    <x:cfRule type="cellIs" dxfId="13" priority="2" operator="equal">
      <x:formula>"Extrapolation"</x:formula>
    </x:cfRule>
  </x:conditionalFormatting>
  <x:conditionalFormatting sqref="C7:C8">
    <x:cfRule type="cellIs" dxfId="14" priority="3" operator="equal">
      <x:formula>"Validé"</x:formula>
    </x:cfRule>
  </x:conditionalFormatting>
  <x:conditionalFormatting sqref="E7:E8">
    <x:cfRule type="cellIs" dxfId="15"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8809bd2041154d4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Andromeda: Nexus Uprising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NEX-MAP-WAKE</x:v>
      </x:c>
      <x:c r="B7" s="9" t="str">
        <x:v>Section de réveil proposée — carte proposée</x:v>
      </x:c>
      <x:c r="C7" s="15" t="str">
        <x:v>Défini</x:v>
      </x:c>
      <x:c r="D7" s="16" t="str">
        <x:v>Extrapolation</x:v>
      </x:c>
      <x:c r="E7" s="16" t="str">
        <x:v>P1</x:v>
      </x:c>
      <x:c r="F7" s="9" t="str">
        <x:v>Bloc de niveau original autour de Section de réveil proposée. Le plan n’est pas fourni par la source.</x:v>
      </x:c>
      <x:c r="G7" s="9" t="str">
        <x:v>Décor 3D à caméra fixe et personnages sprites. Capsules, poste de contrôle et dégagement de secours.</x:v>
      </x:c>
      <x:c r="H7" s="9" t="str">
        <x:v>Prioriser les portes sûres avant d’autoriser des déplacements. Les passages importants restent accessibles en mode pause tactique.</x:v>
      </x:c>
      <x:c r="I7" s="9" t="str">
        <x:v>Éclairage de reprise, givre abstrait, espace de circulation préservé. Séparer sol praticable, couvert et fond par valeur lumineuse.</x:v>
      </x:c>
      <x:c r="J7" s="9" t="str">
        <x:v>Occlusion douce des parois devant le groupe ; portes synchronisées avec les collisions.</x:v>
      </x:c>
      <x:c r="K7" s="9" t="str">
        <x:v>Machines abîmées, activité civile et annonces de station originales. Un signal directionnel accompagne le danger local, doublé par une icône.</x:v>
      </x:c>
      <x:c r="L7" s="9" t="str">
        <x:v>maps/nex/wake.scene ; navmesh, colliders, ancrages d’entrée et sorties nommés.</x:v>
      </x:c>
      <x:c r="M7" s="9" t="str">
        <x:v>La liste des réveils ne change pas l’ensemble de la population canonique.</x:v>
      </x:c>
      <x:c r="N7" s="9" t="str">
        <x:v>Entrée, objectif et sortie sont reliés sans traverser une collision ; lisibilité des sprites aux carrefours.</x:v>
      </x:c>
      <x:c r="O7" s="9" t="str"/>
      <x:c r="P7" s="9" t="str"/>
      <x:c r="Q7" s="9" t="str"/>
      <x:c r="R7" s="9" t="str"/>
      <x:c r="S7" s="9" t="str">
        <x:v>Dimensions, connexions et accessoires de cette carte sont des propositions originales.</x:v>
      </x:c>
    </x:row>
    <x:row r="8" ht="68" customHeight="1">
      <x:c r="A8" s="19" t="str">
        <x:v>NEX-MAP-OPS</x:v>
      </x:c>
      <x:c r="B8" s="7" t="str">
        <x:v>Bureau d’opérations provisoire — carte proposée</x:v>
      </x:c>
      <x:c r="C8" s="15" t="str">
        <x:v>Défini</x:v>
      </x:c>
      <x:c r="D8" s="17" t="str">
        <x:v>Extrapolation</x:v>
      </x:c>
      <x:c r="E8" s="17" t="str">
        <x:v>P1</x:v>
      </x:c>
      <x:c r="F8" s="7" t="str">
        <x:v>Bloc de niveau original autour de Bureau d’opérations provisoire. Le plan n’est pas fourni par la source.</x:v>
      </x:c>
      <x:c r="G8" s="7" t="str">
        <x:v>Décor 3D à caméra fixe et personnages sprites. Table de décision, zone de communication et corridor d’attente.</x:v>
      </x:c>
      <x:c r="H8" s="7" t="str">
        <x:v>Un problème non documenté ne reçoit pas d’affectation automatique. Les passages importants restent accessibles en mode pause tactique.</x:v>
      </x:c>
      <x:c r="I8" s="7" t="str">
        <x:v>Mobilier incomplet, écrans de ressources, travaux interrompus. Séparer sol praticable, couvert et fond par valeur lumineuse.</x:v>
      </x:c>
      <x:c r="J8" s="7" t="str">
        <x:v>Occlusion douce des parois devant le groupe ; portes synchronisées avec les collisions.</x:v>
      </x:c>
      <x:c r="K8" s="7" t="str">
        <x:v>Machines abîmées, activité civile et annonces de station originales. Un signal directionnel accompagne le danger local, doublé par une icône.</x:v>
      </x:c>
      <x:c r="L8" s="7" t="str">
        <x:v>maps/nex/ops.scene ; navmesh, colliders, ancrages d’entrée et sorties nommés.</x:v>
      </x:c>
      <x:c r="M8" s="7" t="str">
        <x:v>Les décisions locales ne suppriment pas la pénurie du récit.</x:v>
      </x:c>
      <x:c r="N8" s="7" t="str">
        <x:v>Entrée, objectif et sortie sont reliés sans traverser une collision ; lisibilité des sprites aux carrefours.</x:v>
      </x:c>
      <x:c r="O8" s="7" t="str"/>
      <x:c r="P8" s="7" t="str"/>
      <x:c r="Q8" s="7" t="str"/>
      <x:c r="R8" s="7" t="str"/>
      <x:c r="S8" s="7" t="str">
        <x:v>Dimensions, connexions et accessoires de cette carte sont des propositions originales.</x:v>
      </x:c>
    </x:row>
    <x:row r="9" ht="68" customHeight="1">
      <x:c r="A9" s="18" t="str">
        <x:v>NEX-MAP-HYDRO</x:v>
      </x:c>
      <x:c r="B9" s="9" t="str">
        <x:v>Module hydroponique proposé — carte proposée</x:v>
      </x:c>
      <x:c r="C9" s="15" t="str">
        <x:v>Défini</x:v>
      </x:c>
      <x:c r="D9" s="16" t="str">
        <x:v>Extrapolation</x:v>
      </x:c>
      <x:c r="E9" s="16" t="str">
        <x:v>P1</x:v>
      </x:c>
      <x:c r="F9" s="9" t="str">
        <x:v>Bloc de niveau original autour de Module hydroponique proposé. Le plan n’est pas fourni par la source.</x:v>
      </x:c>
      <x:c r="G9" s="9" t="str">
        <x:v>Décor 3D à caméra fixe et personnages sprites. Bacs, conduites et poste de pompage.</x:v>
      </x:c>
      <x:c r="H9" s="9" t="str">
        <x:v>Énergie et circulation des fluides ne peuvent être maximisées simultanément. Les passages importants restent accessibles en mode pause tactique.</x:v>
      </x:c>
      <x:c r="I9" s="9" t="str">
        <x:v>Végétation flétrie mesurée, eau stylisée, surfaces humides lisibles. Séparer sol praticable, couvert et fond par valeur lumineuse.</x:v>
      </x:c>
      <x:c r="J9" s="9" t="str">
        <x:v>Occlusion douce des parois devant le groupe ; portes synchronisées avec les collisions.</x:v>
      </x:c>
      <x:c r="K9" s="9" t="str">
        <x:v>Machines abîmées, activité civile et annonces de station originales. Un signal directionnel accompagne le danger local, doublé par une icône.</x:v>
      </x:c>
      <x:c r="L9" s="9" t="str">
        <x:v>maps/nex/hydro.scene ; navmesh, colliders, ancrages d’entrée et sorties nommés.</x:v>
      </x:c>
      <x:c r="M9" s="9" t="str">
        <x:v>Les règles d’horticulture sont abstraites.</x:v>
      </x:c>
      <x:c r="N9" s="9" t="str">
        <x:v>Entrée, objectif et sortie sont reliés sans traverser une collision ; lisibilité des sprites aux carrefours.</x:v>
      </x:c>
      <x:c r="O9" s="9" t="str"/>
      <x:c r="P9" s="9" t="str"/>
      <x:c r="Q9" s="9" t="str"/>
      <x:c r="R9" s="9" t="str"/>
      <x:c r="S9" s="9" t="str">
        <x:v>Dimensions, connexions et accessoires de cette carte sont des propositions originales.</x:v>
      </x:c>
    </x:row>
    <x:row r="10" ht="68" customHeight="1">
      <x:c r="A10" s="19" t="str">
        <x:v>NEX-MAP-LIFE</x:v>
      </x:c>
      <x:c r="B10" s="7" t="str">
        <x:v>Atelier de maintien en vie proposé — carte proposée</x:v>
      </x:c>
      <x:c r="C10" s="15" t="str">
        <x:v>Défini</x:v>
      </x:c>
      <x:c r="D10" s="17" t="str">
        <x:v>Extrapolation</x:v>
      </x:c>
      <x:c r="E10" s="17" t="str">
        <x:v>P1</x:v>
      </x:c>
      <x:c r="F10" s="7" t="str">
        <x:v>Bloc de niveau original autour de Atelier de maintien en vie proposé. Le plan n’est pas fourni par la source.</x:v>
      </x:c>
      <x:c r="G10" s="7" t="str">
        <x:v>Décor 3D à caméra fixe et personnages sprites. Compresseur, réserve et galerie étroite.</x:v>
      </x:c>
      <x:c r="H10" s="7" t="str">
        <x:v>Trois pannes imposent un ordre de traitement. Les passages importants restent accessibles en mode pause tactique.</x:v>
      </x:c>
      <x:c r="I10" s="7" t="str">
        <x:v>Filtres, gros conduits et repères d’intervention. Séparer sol praticable, couvert et fond par valeur lumineuse.</x:v>
      </x:c>
      <x:c r="J10" s="7" t="str">
        <x:v>Occlusion douce des parois devant le groupe ; portes synchronisées avec les collisions.</x:v>
      </x:c>
      <x:c r="K10" s="7" t="str">
        <x:v>Machines abîmées, activité civile et annonces de station originales. Un signal directionnel accompagne le danger local, doublé par une icône.</x:v>
      </x:c>
      <x:c r="L10" s="7" t="str">
        <x:v>maps/nex/life.scene ; navmesh, colliders, ancrages d’entrée et sorties nommés.</x:v>
      </x:c>
      <x:c r="M10" s="7" t="str">
        <x:v>Ne pas simuler de procédure réelle de support vital.</x:v>
      </x:c>
      <x:c r="N10" s="7" t="str">
        <x:v>Entrée, objectif et sortie sont reliés sans traverser une collision ; lisibilité des sprites aux carrefours.</x:v>
      </x:c>
      <x:c r="O10" s="7" t="str"/>
      <x:c r="P10" s="7" t="str"/>
      <x:c r="Q10" s="7" t="str"/>
      <x:c r="R10" s="7" t="str"/>
      <x:c r="S10" s="7" t="str">
        <x:v>Dimensions, connexions et accessoires de cette carte sont des propositions originales.</x:v>
      </x:c>
    </x:row>
    <x:row r="11" ht="68" customHeight="1">
      <x:c r="A11" s="18" t="str">
        <x:v>NEX-MAP-DOCK</x:v>
      </x:c>
      <x:c r="B11" s="9" t="str">
        <x:v>Quai de distribution proposé — carte proposée</x:v>
      </x:c>
      <x:c r="C11" s="15" t="str">
        <x:v>Défini</x:v>
      </x:c>
      <x:c r="D11" s="16" t="str">
        <x:v>Extrapolation</x:v>
      </x:c>
      <x:c r="E11" s="16" t="str">
        <x:v>P1</x:v>
      </x:c>
      <x:c r="F11" s="9" t="str">
        <x:v>Bloc de niveau original autour de Quai de distribution proposé. Le plan n’est pas fourni par la source.</x:v>
      </x:c>
      <x:c r="G11" s="9" t="str">
        <x:v>Décor 3D à caméra fixe et personnages sprites. Zone de déchargement, file d’attente et sortie des services.</x:v>
      </x:c>
      <x:c r="H11" s="9" t="str">
        <x:v>Maintenir la circulation tout en vérifiant les priorités. Les passages importants restent accessibles en mode pause tactique.</x:v>
      </x:c>
      <x:c r="I11" s="9" t="str">
        <x:v>Caisses numérotées, panneaux de rationnement et espace d’accessibilité. Séparer sol praticable, couvert et fond par valeur lumineuse.</x:v>
      </x:c>
      <x:c r="J11" s="9" t="str">
        <x:v>Occlusion douce des parois devant le groupe ; portes synchronisées avec les collisions.</x:v>
      </x:c>
      <x:c r="K11" s="9" t="str">
        <x:v>Machines abîmées, activité civile et annonces de station originales. Un signal directionnel accompagne le danger local, doublé par une icône.</x:v>
      </x:c>
      <x:c r="L11" s="9" t="str">
        <x:v>maps/nex/dock.scene ; navmesh, colliders, ancrages d’entrée et sorties nommés.</x:v>
      </x:c>
      <x:c r="M11" s="9" t="str">
        <x:v>Aucun camp n’est représenté comme foule indistincte de cibles.</x:v>
      </x:c>
      <x:c r="N11" s="9" t="str">
        <x:v>Entrée, objectif et sortie sont reliés sans traverser une collision ; lisibilité des sprites aux carrefours.</x:v>
      </x:c>
      <x:c r="O11" s="9" t="str"/>
      <x:c r="P11" s="9" t="str"/>
      <x:c r="Q11" s="9" t="str"/>
      <x:c r="R11" s="9" t="str"/>
      <x:c r="S11" s="9" t="str">
        <x:v>Dimensions, connexions et accessoires de cette carte sont des propositions originales.</x:v>
      </x:c>
    </x:row>
    <x:row r="12" ht="68" customHeight="1">
      <x:c r="A12" s="19" t="str">
        <x:v>NEX-MAP-FAB</x:v>
      </x:c>
      <x:c r="B12" s="7" t="str">
        <x:v>Atelier de fabrication proposé — carte proposée</x:v>
      </x:c>
      <x:c r="C12" s="15" t="str">
        <x:v>Défini</x:v>
      </x:c>
      <x:c r="D12" s="17" t="str">
        <x:v>Extrapolation</x:v>
      </x:c>
      <x:c r="E12" s="17" t="str">
        <x:v>P1</x:v>
      </x:c>
      <x:c r="F12" s="7" t="str">
        <x:v>Bloc de niveau original autour de Atelier de fabrication proposé. Le plan n’est pas fourni par la source.</x:v>
      </x:c>
      <x:c r="G12" s="7" t="str">
        <x:v>Décor 3D à caméra fixe et personnages sprites. Établis, mezzanine et accès aux hangars.</x:v>
      </x:c>
      <x:c r="H12" s="7" t="str">
        <x:v>Un registre d’accès devient enjeu de confrontation. Les passages importants restent accessibles en mode pause tactique.</x:v>
      </x:c>
      <x:c r="I12" s="7" t="str">
        <x:v>Pièces inachevées, tables improvisées, panneaux déplacés. Séparer sol praticable, couvert et fond par valeur lumineuse.</x:v>
      </x:c>
      <x:c r="J12" s="7" t="str">
        <x:v>Occlusion douce des parois devant le groupe ; portes synchronisées avec les collisions.</x:v>
      </x:c>
      <x:c r="K12" s="7" t="str">
        <x:v>Machines abîmées, activité civile et annonces de station originales. Un signal directionnel accompagne le danger local, doublé par une icône.</x:v>
      </x:c>
      <x:c r="L12" s="7" t="str">
        <x:v>maps/nex/fab.scene ; navmesh, colliders, ancrages d’entrée et sorties nommés.</x:v>
      </x:c>
      <x:c r="M12" s="7" t="str">
        <x:v>La présence de Calix suit la phase narrative autorisée.</x:v>
      </x:c>
      <x:c r="N12" s="7" t="str">
        <x:v>Entrée, objectif et sortie sont reliés sans traverser une collision ; lisibilité des sprites aux carrefours.</x:v>
      </x:c>
      <x:c r="O12" s="7" t="str"/>
      <x:c r="P12" s="7" t="str"/>
      <x:c r="Q12" s="7" t="str"/>
      <x:c r="R12" s="7" t="str"/>
      <x:c r="S12" s="7" t="str">
        <x:v>Dimensions, connexions et accessoires de cette carte sont des propositions originales.</x:v>
      </x:c>
    </x:row>
    <x:row r="13" ht="68" customHeight="1">
      <x:c r="A13" s="18" t="str">
        <x:v>NEX-MAP-BARRIER</x:v>
      </x:c>
      <x:c r="B13" s="9" t="str">
        <x:v>Couloir de séparation proposé — carte proposée</x:v>
      </x:c>
      <x:c r="C13" s="15" t="str">
        <x:v>Défini</x:v>
      </x:c>
      <x:c r="D13" s="16" t="str">
        <x:v>Extrapolation</x:v>
      </x:c>
      <x:c r="E13" s="16" t="str">
        <x:v>P1</x:v>
      </x:c>
      <x:c r="F13" s="9" t="str">
        <x:v>Bloc de niveau original autour de Couloir de séparation proposé. Le plan n’est pas fourni par la source.</x:v>
      </x:c>
      <x:c r="G13" s="9" t="str">
        <x:v>Décor 3D à caméra fixe et personnages sprites. Deux secteurs occupés reliés à une infirmerie neutre.</x:v>
      </x:c>
      <x:c r="H13" s="9" t="str">
        <x:v>Ouvrir un passage humanitaire sans provoquer de charge. Les passages importants restent accessibles en mode pause tactique.</x:v>
      </x:c>
      <x:c r="I13" s="9" t="str">
        <x:v>Barrières improvisées, lumières d’alarme et portes civiles signalées. Séparer sol praticable, couvert et fond par valeur lumineuse.</x:v>
      </x:c>
      <x:c r="J13" s="9" t="str">
        <x:v>Occlusion douce des parois devant le groupe ; portes synchronisées avec les collisions.</x:v>
      </x:c>
      <x:c r="K13" s="9" t="str">
        <x:v>Machines abîmées, activité civile et annonces de station originales. Un signal directionnel accompagne le danger local, doublé par une icône.</x:v>
      </x:c>
      <x:c r="L13" s="9" t="str">
        <x:v>maps/nex/barrier.scene ; navmesh, colliders, ancrages d’entrée et sorties nommés.</x:v>
      </x:c>
      <x:c r="M13" s="9" t="str">
        <x:v>L’issue générale de la révolte demeure verrouillée.</x:v>
      </x:c>
      <x:c r="N13" s="9" t="str">
        <x:v>Entrée, objectif et sortie sont reliés sans traverser une collision ; lisibilité des sprites aux carrefours.</x:v>
      </x:c>
      <x:c r="O13" s="9" t="str"/>
      <x:c r="P13" s="9" t="str"/>
      <x:c r="Q13" s="9" t="str"/>
      <x:c r="R13" s="9" t="str"/>
      <x:c r="S13" s="9" t="str">
        <x:v>Dimensions, connexions et accessoires de cette carte sont des propositions originales.</x:v>
      </x:c>
    </x:row>
    <x:row r="14" ht="68" customHeight="1">
      <x:c r="A14" s="19" t="str">
        <x:v>NEX-MAP-DEPART</x:v>
      </x:c>
      <x:c r="B14" s="7" t="str">
        <x:v>Zone de départ proposée — carte proposée</x:v>
      </x:c>
      <x:c r="C14" s="15" t="str">
        <x:v>Défini</x:v>
      </x:c>
      <x:c r="D14" s="17" t="str">
        <x:v>Extrapolation</x:v>
      </x:c>
      <x:c r="E14" s="17" t="str">
        <x:v>P1</x:v>
      </x:c>
      <x:c r="F14" s="7" t="str">
        <x:v>Bloc de niveau original autour de Zone de départ proposée. Le plan n’est pas fourni par la source.</x:v>
      </x:c>
      <x:c r="G14" s="7" t="str">
        <x:v>Décor 3D à caméra fixe et personnages sprites. Contrôle des listes, quai et espace de rassemblement.</x:v>
      </x:c>
      <x:c r="H14" s="7" t="str">
        <x:v>Vérifier la cohérence d’un départ sans confisquer les objets personnels. Les passages importants restent accessibles en mode pause tactique.</x:v>
      </x:c>
      <x:c r="I14" s="7" t="str">
        <x:v>Bagages limités, cloisons de fret et vue extérieure sobre. Séparer sol praticable, couvert et fond par valeur lumineuse.</x:v>
      </x:c>
      <x:c r="J14" s="7" t="str">
        <x:v>Occlusion douce des parois devant le groupe ; portes synchronisées avec les collisions.</x:v>
      </x:c>
      <x:c r="K14" s="7" t="str">
        <x:v>Machines abîmées, activité civile et annonces de station originales. Un signal directionnel accompagne le danger local, doublé par une icône.</x:v>
      </x:c>
      <x:c r="L14" s="7" t="str">
        <x:v>maps/nex/depart.scene ; navmesh, colliders, ancrages d’entrée et sorties nommés.</x:v>
      </x:c>
      <x:c r="M14" s="7" t="str">
        <x:v>Les exils nécessaires à Andromeda sont maintenus.</x:v>
      </x:c>
      <x:c r="N14" s="7" t="str">
        <x:v>Entrée, objectif et sortie sont reliés sans traverser une collision ; lisibilité des sprites aux carrefours.</x:v>
      </x:c>
      <x:c r="O14" s="7" t="str"/>
      <x:c r="P14" s="7" t="str"/>
      <x:c r="Q14" s="7" t="str"/>
      <x:c r="R14" s="7" t="str"/>
      <x:c r="S14" s="7" t="str">
        <x:v>Dimensions, connexions et accessoires de cette carte sont des propositions originales.</x:v>
      </x:c>
    </x:row>
  </x:sheetData>
  <x:conditionalFormatting sqref="D7:D14">
    <x:cfRule type="cellIs" dxfId="16" priority="1" operator="equal">
      <x:formula>"À vérifier"</x:formula>
    </x:cfRule>
    <x:cfRule type="cellIs" dxfId="17" priority="2" operator="equal">
      <x:formula>"Extrapolation"</x:formula>
    </x:cfRule>
  </x:conditionalFormatting>
  <x:conditionalFormatting sqref="C7:C14">
    <x:cfRule type="cellIs" dxfId="18" priority="3" operator="equal">
      <x:formula>"Validé"</x:formula>
    </x:cfRule>
  </x:conditionalFormatting>
  <x:conditionalFormatting sqref="E7:E14">
    <x:cfRule type="cellIs" dxfId="1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8cd016e4ee464229"/>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0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Andromeda: Nexus Uprising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NEX-LNK-WAKE</x:v>
      </x:c>
      <x:c r="B7" s="9" t="str">
        <x:v>Section de réveil proposée — transition de module</x:v>
      </x:c>
      <x:c r="C7" s="15" t="str">
        <x:v>Défini</x:v>
      </x:c>
      <x:c r="D7" s="16" t="str">
        <x:v>Extrapolation</x:v>
      </x:c>
      <x:c r="E7" s="16" t="str">
        <x:v>P1</x:v>
      </x:c>
      <x:c r="F7" s="9" t="str">
        <x:v>Liaison de niveau proposée, sans prétendre établir une géographie officielle.</x:v>
      </x:c>
      <x:c r="G7" s="9" t="str">
        <x:v>Associer un point de départ dans Section de réveil proposée au bloc Bureau d’opérations provisoire; transit masqué lorsque les lieux sont éloignés.</x:v>
      </x:c>
      <x:c r="H7" s="9" t="str">
        <x:v>Sortie inactive pendant une interaction critique ; confirmation uniquement si le retour est temporairement fermé.</x:v>
      </x:c>
      <x:c r="I7" s="9" t="str">
        <x:v>Flèche de sortie et nom du lieu cible ; distinguer voyage spatial et porte adjacente.</x:v>
      </x:c>
      <x:c r="J7" s="9" t="str">
        <x:v>Regroupement des sprites avant fondu ; aucun personnage laissé derrière hors cadre.</x:v>
      </x:c>
      <x:c r="K7" s="9" t="str">
        <x:v>Transition d’ambiance progressive ; sous-titre de lieu affiché après chargement.</x:v>
      </x:c>
      <x:c r="L7" s="9" t="str">
        <x:v>links/nex.json : wake -&gt; ops; sauvegarde avant transit, restauration à un ancrage sûr.</x:v>
      </x:c>
      <x:c r="M7" s="9" t="str">
        <x:v>La liste des réveils ne change pas l’ensemble de la population canonique.</x:v>
      </x:c>
      <x:c r="N7" s="9" t="str">
        <x:v>Le groupe arrive au bon ancrage après chargement ; aller-retour ne duplique ni objet ni dialogue.</x:v>
      </x:c>
      <x:c r="O7" s="9" t="str">
        <x:v>NEX-MAP-WAKE, NEX-MAP-OPS</x:v>
      </x:c>
      <x:c r="P7" s="9" t="str"/>
      <x:c r="Q7" s="9" t="str"/>
      <x:c r="R7" s="9" t="str"/>
      <x:c r="S7" s="9" t="str">
        <x:v>Boucle de parcours de production ; la dernière liaison sert à la consultation post-module, pas à remonter le temps.</x:v>
      </x:c>
    </x:row>
    <x:row r="8" ht="54" customHeight="1">
      <x:c r="A8" s="19" t="str">
        <x:v>NEX-LNK-OPS</x:v>
      </x:c>
      <x:c r="B8" s="7" t="str">
        <x:v>Bureau d’opérations provisoire — transition de module</x:v>
      </x:c>
      <x:c r="C8" s="15" t="str">
        <x:v>Défini</x:v>
      </x:c>
      <x:c r="D8" s="17" t="str">
        <x:v>Extrapolation</x:v>
      </x:c>
      <x:c r="E8" s="17" t="str">
        <x:v>P1</x:v>
      </x:c>
      <x:c r="F8" s="7" t="str">
        <x:v>Liaison de niveau proposée, sans prétendre établir une géographie officielle.</x:v>
      </x:c>
      <x:c r="G8" s="7" t="str">
        <x:v>Associer un point de départ dans Bureau d’opérations provisoire au bloc Module hydroponique proposé; transit masqué lorsque les lieux sont éloignés.</x:v>
      </x:c>
      <x:c r="H8" s="7" t="str">
        <x:v>Sortie inactive pendant une interaction critique ; confirmation uniquement si le retour est temporairement fermé.</x:v>
      </x:c>
      <x:c r="I8" s="7" t="str">
        <x:v>Flèche de sortie et nom du lieu cible ; distinguer voyage spatial et porte adjacente.</x:v>
      </x:c>
      <x:c r="J8" s="7" t="str">
        <x:v>Regroupement des sprites avant fondu ; aucun personnage laissé derrière hors cadre.</x:v>
      </x:c>
      <x:c r="K8" s="7" t="str">
        <x:v>Transition d’ambiance progressive ; sous-titre de lieu affiché après chargement.</x:v>
      </x:c>
      <x:c r="L8" s="7" t="str">
        <x:v>links/nex.json : ops -&gt; hydro; sauvegarde avant transit, restauration à un ancrage sûr.</x:v>
      </x:c>
      <x:c r="M8" s="7" t="str">
        <x:v>Les décisions locales ne suppriment pas la pénurie du récit.</x:v>
      </x:c>
      <x:c r="N8" s="7" t="str">
        <x:v>Le groupe arrive au bon ancrage après chargement ; aller-retour ne duplique ni objet ni dialogue.</x:v>
      </x:c>
      <x:c r="O8" s="7" t="str">
        <x:v>NEX-MAP-OPS, NEX-MAP-HYDRO</x:v>
      </x:c>
      <x:c r="P8" s="7" t="str"/>
      <x:c r="Q8" s="7" t="str"/>
      <x:c r="R8" s="7" t="str"/>
      <x:c r="S8" s="7" t="str">
        <x:v>Boucle de parcours de production ; la dernière liaison sert à la consultation post-module, pas à remonter le temps.</x:v>
      </x:c>
    </x:row>
    <x:row r="9" ht="54" customHeight="1">
      <x:c r="A9" s="18" t="str">
        <x:v>NEX-LNK-HYDRO</x:v>
      </x:c>
      <x:c r="B9" s="9" t="str">
        <x:v>Module hydroponique proposé — transition de module</x:v>
      </x:c>
      <x:c r="C9" s="15" t="str">
        <x:v>Défini</x:v>
      </x:c>
      <x:c r="D9" s="16" t="str">
        <x:v>Extrapolation</x:v>
      </x:c>
      <x:c r="E9" s="16" t="str">
        <x:v>P1</x:v>
      </x:c>
      <x:c r="F9" s="9" t="str">
        <x:v>Liaison de niveau proposée, sans prétendre établir une géographie officielle.</x:v>
      </x:c>
      <x:c r="G9" s="9" t="str">
        <x:v>Associer un point de départ dans Module hydroponique proposé au bloc Atelier de maintien en vie proposé; transit masqué lorsque les lieux sont éloignés.</x:v>
      </x:c>
      <x:c r="H9" s="9" t="str">
        <x:v>Sortie inactive pendant une interaction critique ; confirmation uniquement si le retour est temporairement fermé.</x:v>
      </x:c>
      <x:c r="I9" s="9" t="str">
        <x:v>Flèche de sortie et nom du lieu cible ; distinguer voyage spatial et porte adjacente.</x:v>
      </x:c>
      <x:c r="J9" s="9" t="str">
        <x:v>Regroupement des sprites avant fondu ; aucun personnage laissé derrière hors cadre.</x:v>
      </x:c>
      <x:c r="K9" s="9" t="str">
        <x:v>Transition d’ambiance progressive ; sous-titre de lieu affiché après chargement.</x:v>
      </x:c>
      <x:c r="L9" s="9" t="str">
        <x:v>links/nex.json : hydro -&gt; life; sauvegarde avant transit, restauration à un ancrage sûr.</x:v>
      </x:c>
      <x:c r="M9" s="9" t="str">
        <x:v>Les règles d’horticulture sont abstraites.</x:v>
      </x:c>
      <x:c r="N9" s="9" t="str">
        <x:v>Le groupe arrive au bon ancrage après chargement ; aller-retour ne duplique ni objet ni dialogue.</x:v>
      </x:c>
      <x:c r="O9" s="9" t="str">
        <x:v>NEX-MAP-HYDRO, NEX-MAP-LIFE</x:v>
      </x:c>
      <x:c r="P9" s="9" t="str"/>
      <x:c r="Q9" s="9" t="str"/>
      <x:c r="R9" s="9" t="str"/>
      <x:c r="S9" s="9" t="str">
        <x:v>Boucle de parcours de production ; la dernière liaison sert à la consultation post-module, pas à remonter le temps.</x:v>
      </x:c>
    </x:row>
    <x:row r="10" ht="54" customHeight="1">
      <x:c r="A10" s="19" t="str">
        <x:v>NEX-LNK-LIFE</x:v>
      </x:c>
      <x:c r="B10" s="7" t="str">
        <x:v>Atelier de maintien en vie proposé — transition de module</x:v>
      </x:c>
      <x:c r="C10" s="15" t="str">
        <x:v>Défini</x:v>
      </x:c>
      <x:c r="D10" s="17" t="str">
        <x:v>Extrapolation</x:v>
      </x:c>
      <x:c r="E10" s="17" t="str">
        <x:v>P1</x:v>
      </x:c>
      <x:c r="F10" s="7" t="str">
        <x:v>Liaison de niveau proposée, sans prétendre établir une géographie officielle.</x:v>
      </x:c>
      <x:c r="G10" s="7" t="str">
        <x:v>Associer un point de départ dans Atelier de maintien en vie proposé au bloc Quai de distribution proposé; transit masqué lorsque les lieux sont éloignés.</x:v>
      </x:c>
      <x:c r="H10" s="7" t="str">
        <x:v>Sortie inactive pendant une interaction critique ; confirmation uniquement si le retour est temporairement fermé.</x:v>
      </x:c>
      <x:c r="I10" s="7" t="str">
        <x:v>Flèche de sortie et nom du lieu cible ; distinguer voyage spatial et porte adjacente.</x:v>
      </x:c>
      <x:c r="J10" s="7" t="str">
        <x:v>Regroupement des sprites avant fondu ; aucun personnage laissé derrière hors cadre.</x:v>
      </x:c>
      <x:c r="K10" s="7" t="str">
        <x:v>Transition d’ambiance progressive ; sous-titre de lieu affiché après chargement.</x:v>
      </x:c>
      <x:c r="L10" s="7" t="str">
        <x:v>links/nex.json : life -&gt; dock; sauvegarde avant transit, restauration à un ancrage sûr.</x:v>
      </x:c>
      <x:c r="M10" s="7" t="str">
        <x:v>Ne pas simuler de procédure réelle de support vital.</x:v>
      </x:c>
      <x:c r="N10" s="7" t="str">
        <x:v>Le groupe arrive au bon ancrage après chargement ; aller-retour ne duplique ni objet ni dialogue.</x:v>
      </x:c>
      <x:c r="O10" s="7" t="str">
        <x:v>NEX-MAP-LIFE, NEX-MAP-DOCK</x:v>
      </x:c>
      <x:c r="P10" s="7" t="str"/>
      <x:c r="Q10" s="7" t="str"/>
      <x:c r="R10" s="7" t="str"/>
      <x:c r="S10" s="7" t="str">
        <x:v>Boucle de parcours de production ; la dernière liaison sert à la consultation post-module, pas à remonter le temps.</x:v>
      </x:c>
    </x:row>
    <x:row r="11" ht="54" customHeight="1">
      <x:c r="A11" s="18" t="str">
        <x:v>NEX-LNK-DOCK</x:v>
      </x:c>
      <x:c r="B11" s="9" t="str">
        <x:v>Quai de distribution proposé — transition de module</x:v>
      </x:c>
      <x:c r="C11" s="15" t="str">
        <x:v>Défini</x:v>
      </x:c>
      <x:c r="D11" s="16" t="str">
        <x:v>Extrapolation</x:v>
      </x:c>
      <x:c r="E11" s="16" t="str">
        <x:v>P1</x:v>
      </x:c>
      <x:c r="F11" s="9" t="str">
        <x:v>Liaison de niveau proposée, sans prétendre établir une géographie officielle.</x:v>
      </x:c>
      <x:c r="G11" s="9" t="str">
        <x:v>Associer un point de départ dans Quai de distribution proposé au bloc Atelier de fabrication proposé; transit masqué lorsque les lieux sont éloignés.</x:v>
      </x:c>
      <x:c r="H11" s="9" t="str">
        <x:v>Sortie inactive pendant une interaction critique ; confirmation uniquement si le retour est temporairement fermé.</x:v>
      </x:c>
      <x:c r="I11" s="9" t="str">
        <x:v>Flèche de sortie et nom du lieu cible ; distinguer voyage spatial et porte adjacente.</x:v>
      </x:c>
      <x:c r="J11" s="9" t="str">
        <x:v>Regroupement des sprites avant fondu ; aucun personnage laissé derrière hors cadre.</x:v>
      </x:c>
      <x:c r="K11" s="9" t="str">
        <x:v>Transition d’ambiance progressive ; sous-titre de lieu affiché après chargement.</x:v>
      </x:c>
      <x:c r="L11" s="9" t="str">
        <x:v>links/nex.json : dock -&gt; fab; sauvegarde avant transit, restauration à un ancrage sûr.</x:v>
      </x:c>
      <x:c r="M11" s="9" t="str">
        <x:v>Aucun camp n’est représenté comme foule indistincte de cibles.</x:v>
      </x:c>
      <x:c r="N11" s="9" t="str">
        <x:v>Le groupe arrive au bon ancrage après chargement ; aller-retour ne duplique ni objet ni dialogue.</x:v>
      </x:c>
      <x:c r="O11" s="9" t="str">
        <x:v>NEX-MAP-DOCK, NEX-MAP-FAB</x:v>
      </x:c>
      <x:c r="P11" s="9" t="str"/>
      <x:c r="Q11" s="9" t="str"/>
      <x:c r="R11" s="9" t="str"/>
      <x:c r="S11" s="9" t="str">
        <x:v>Boucle de parcours de production ; la dernière liaison sert à la consultation post-module, pas à remonter le temps.</x:v>
      </x:c>
    </x:row>
    <x:row r="12" ht="68" customHeight="1">
      <x:c r="A12" s="19" t="str">
        <x:v>NEX-LNK-FAB</x:v>
      </x:c>
      <x:c r="B12" s="7" t="str">
        <x:v>Atelier de fabrication proposé — transition de module</x:v>
      </x:c>
      <x:c r="C12" s="15" t="str">
        <x:v>Défini</x:v>
      </x:c>
      <x:c r="D12" s="17" t="str">
        <x:v>Extrapolation</x:v>
      </x:c>
      <x:c r="E12" s="17" t="str">
        <x:v>P1</x:v>
      </x:c>
      <x:c r="F12" s="7" t="str">
        <x:v>Liaison de niveau proposée, sans prétendre établir une géographie officielle.</x:v>
      </x:c>
      <x:c r="G12" s="7" t="str">
        <x:v>Associer un point de départ dans Atelier de fabrication proposé au bloc Couloir de séparation proposé; transit masqué lorsque les lieux sont éloignés.</x:v>
      </x:c>
      <x:c r="H12" s="7" t="str">
        <x:v>Sortie inactive pendant une interaction critique ; confirmation uniquement si le retour est temporairement fermé.</x:v>
      </x:c>
      <x:c r="I12" s="7" t="str">
        <x:v>Flèche de sortie et nom du lieu cible ; distinguer voyage spatial et porte adjacente.</x:v>
      </x:c>
      <x:c r="J12" s="7" t="str">
        <x:v>Regroupement des sprites avant fondu ; aucun personnage laissé derrière hors cadre.</x:v>
      </x:c>
      <x:c r="K12" s="7" t="str">
        <x:v>Transition d’ambiance progressive ; sous-titre de lieu affiché après chargement.</x:v>
      </x:c>
      <x:c r="L12" s="7" t="str">
        <x:v>links/nex.json : fab -&gt; barrier; sauvegarde avant transit, restauration à un ancrage sûr.</x:v>
      </x:c>
      <x:c r="M12" s="7" t="str">
        <x:v>La présence de Calix suit la phase narrative autorisée.</x:v>
      </x:c>
      <x:c r="N12" s="7" t="str">
        <x:v>Le groupe arrive au bon ancrage après chargement ; aller-retour ne duplique ni objet ni dialogue.</x:v>
      </x:c>
      <x:c r="O12" s="7" t="str">
        <x:v>NEX-MAP-FAB, NEX-MAP-BARRIER</x:v>
      </x:c>
      <x:c r="P12" s="7" t="str"/>
      <x:c r="Q12" s="7" t="str"/>
      <x:c r="R12" s="7" t="str"/>
      <x:c r="S12" s="7" t="str">
        <x:v>Boucle de parcours de production ; la dernière liaison sert à la consultation post-module, pas à remonter le temps.</x:v>
      </x:c>
    </x:row>
    <x:row r="13" ht="54" customHeight="1">
      <x:c r="A13" s="18" t="str">
        <x:v>NEX-LNK-BARRIER</x:v>
      </x:c>
      <x:c r="B13" s="9" t="str">
        <x:v>Couloir de séparation proposé — transition de module</x:v>
      </x:c>
      <x:c r="C13" s="15" t="str">
        <x:v>Défini</x:v>
      </x:c>
      <x:c r="D13" s="16" t="str">
        <x:v>Extrapolation</x:v>
      </x:c>
      <x:c r="E13" s="16" t="str">
        <x:v>P1</x:v>
      </x:c>
      <x:c r="F13" s="9" t="str">
        <x:v>Liaison de niveau proposée, sans prétendre établir une géographie officielle.</x:v>
      </x:c>
      <x:c r="G13" s="9" t="str">
        <x:v>Associer un point de départ dans Couloir de séparation proposé au bloc Zone de départ proposée; transit masqué lorsque les lieux sont éloignés.</x:v>
      </x:c>
      <x:c r="H13" s="9" t="str">
        <x:v>Sortie inactive pendant une interaction critique ; confirmation uniquement si le retour est temporairement fermé.</x:v>
      </x:c>
      <x:c r="I13" s="9" t="str">
        <x:v>Flèche de sortie et nom du lieu cible ; distinguer voyage spatial et porte adjacente.</x:v>
      </x:c>
      <x:c r="J13" s="9" t="str">
        <x:v>Regroupement des sprites avant fondu ; aucun personnage laissé derrière hors cadre.</x:v>
      </x:c>
      <x:c r="K13" s="9" t="str">
        <x:v>Transition d’ambiance progressive ; sous-titre de lieu affiché après chargement.</x:v>
      </x:c>
      <x:c r="L13" s="9" t="str">
        <x:v>links/nex.json : barrier -&gt; depart; sauvegarde avant transit, restauration à un ancrage sûr.</x:v>
      </x:c>
      <x:c r="M13" s="9" t="str">
        <x:v>L’issue générale de la révolte demeure verrouillée.</x:v>
      </x:c>
      <x:c r="N13" s="9" t="str">
        <x:v>Le groupe arrive au bon ancrage après chargement ; aller-retour ne duplique ni objet ni dialogue.</x:v>
      </x:c>
      <x:c r="O13" s="9" t="str">
        <x:v>NEX-MAP-BARRIER, NEX-MAP-DEPART</x:v>
      </x:c>
      <x:c r="P13" s="9" t="str"/>
      <x:c r="Q13" s="9" t="str"/>
      <x:c r="R13" s="9" t="str"/>
      <x:c r="S13" s="9" t="str">
        <x:v>Boucle de parcours de production ; la dernière liaison sert à la consultation post-module, pas à remonter le temps.</x:v>
      </x:c>
    </x:row>
    <x:row r="14" ht="54" customHeight="1">
      <x:c r="A14" s="19" t="str">
        <x:v>NEX-LNK-DEPART</x:v>
      </x:c>
      <x:c r="B14" s="7" t="str">
        <x:v>Zone de départ proposée — transition de module</x:v>
      </x:c>
      <x:c r="C14" s="15" t="str">
        <x:v>Défini</x:v>
      </x:c>
      <x:c r="D14" s="17" t="str">
        <x:v>Extrapolation</x:v>
      </x:c>
      <x:c r="E14" s="17" t="str">
        <x:v>P1</x:v>
      </x:c>
      <x:c r="F14" s="7" t="str">
        <x:v>Liaison de niveau proposée, sans prétendre établir une géographie officielle.</x:v>
      </x:c>
      <x:c r="G14" s="7" t="str">
        <x:v>Associer un point de départ dans Zone de départ proposée au bloc Section de réveil proposée; transit masqué lorsque les lieux sont éloignés.</x:v>
      </x:c>
      <x:c r="H14" s="7" t="str">
        <x:v>Sortie inactive pendant une interaction critique ; confirmation uniquement si le retour est temporairement fermé.</x:v>
      </x:c>
      <x:c r="I14" s="7" t="str">
        <x:v>Flèche de sortie et nom du lieu cible ; distinguer voyage spatial et porte adjacente.</x:v>
      </x:c>
      <x:c r="J14" s="7" t="str">
        <x:v>Regroupement des sprites avant fondu ; aucun personnage laissé derrière hors cadre.</x:v>
      </x:c>
      <x:c r="K14" s="7" t="str">
        <x:v>Transition d’ambiance progressive ; sous-titre de lieu affiché après chargement.</x:v>
      </x:c>
      <x:c r="L14" s="7" t="str">
        <x:v>links/nex.json : depart -&gt; wake; sauvegarde avant transit, restauration à un ancrage sûr.</x:v>
      </x:c>
      <x:c r="M14" s="7" t="str">
        <x:v>Les exils nécessaires à Andromeda sont maintenus.</x:v>
      </x:c>
      <x:c r="N14" s="7" t="str">
        <x:v>Le groupe arrive au bon ancrage après chargement ; aller-retour ne duplique ni objet ni dialogue.</x:v>
      </x:c>
      <x:c r="O14" s="7" t="str">
        <x:v>NEX-MAP-DEPART, NEX-MAP-WAKE</x:v>
      </x:c>
      <x:c r="P14" s="7" t="str"/>
      <x:c r="Q14" s="7" t="str"/>
      <x:c r="R14" s="7" t="str"/>
      <x:c r="S14" s="7" t="str">
        <x:v>Boucle de parcours de production ; la dernière liaison sert à la consultation post-module, pas à remonter le temps.</x:v>
      </x:c>
    </x:row>
  </x:sheetData>
  <x:conditionalFormatting sqref="D7:D14">
    <x:cfRule type="cellIs" dxfId="20" priority="1" operator="equal">
      <x:formula>"À vérifier"</x:formula>
    </x:cfRule>
    <x:cfRule type="cellIs" dxfId="21" priority="2" operator="equal">
      <x:formula>"Extrapolation"</x:formula>
    </x:cfRule>
  </x:conditionalFormatting>
  <x:conditionalFormatting sqref="C7:C14">
    <x:cfRule type="cellIs" dxfId="22" priority="3" operator="equal">
      <x:formula>"Validé"</x:formula>
    </x:cfRule>
  </x:conditionalFormatting>
  <x:conditionalFormatting sqref="E7:E14">
    <x:cfRule type="cellIs" dxfId="2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a3cebaa181f24855"/>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Andromeda: Nexus Uprising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NEX-SET-WAKE</x:v>
      </x:c>
      <x:c r="B7" s="9" t="str">
        <x:v>Section de réveil proposée — kit de décor</x:v>
      </x:c>
      <x:c r="C7" s="15" t="str">
        <x:v>Défini</x:v>
      </x:c>
      <x:c r="D7" s="16" t="str">
        <x:v>Extrapolation</x:v>
      </x:c>
      <x:c r="E7" s="16" t="str">
        <x:v>P1</x:v>
      </x:c>
      <x:c r="F7" s="9" t="str">
        <x:v>Production originale des éléments fixes de la carte liée.</x:v>
      </x:c>
      <x:c r="G7" s="9" t="str">
        <x:v>Éclairage de reprise, givre abstrait, espace de circulation préservé. Construire trois profondeurs de décor avec variantes intacte et perturbée si utiles.</x:v>
      </x:c>
      <x:c r="H7" s="9" t="str">
        <x:v>Le décor signale la règle : Prioriser les portes sûres avant d’autoriser des déplacements.</x:v>
      </x:c>
      <x:c r="I7" s="9" t="str">
        <x:v>Volumes sans microdétails illisibles ; surfaces dangereuses reconnues également en niveaux de gris.</x:v>
      </x:c>
      <x:c r="J7" s="9" t="str">
        <x:v>Animer seulement les repères actifs ; ne pas déplacer un obstacle statique après le calcul du chemin.</x:v>
      </x:c>
      <x:c r="K7" s="9" t="str">
        <x:v>Boucles très courtes évitées ; matériaux sonores propres aux interactions de cette zone.</x:v>
      </x:c>
      <x:c r="L7" s="9" t="str">
        <x:v>assets/nex/sets/wake/ ; collider séparé du mesh et des ornements.</x:v>
      </x:c>
      <x:c r="M7" s="9" t="str">
        <x:v>La liste des réveils ne change pas l’ensemble de la population canonique.</x:v>
      </x:c>
      <x:c r="N7" s="9" t="str">
        <x:v>Aucun détail décoratif ne ressemble à tort à une porte ; vue complète vérifiée en petite résolution.</x:v>
      </x:c>
      <x:c r="O7" s="9" t="str">
        <x:v>NEX-MAP-WAKE</x:v>
      </x:c>
      <x:c r="P7" s="9" t="str"/>
      <x:c r="Q7" s="9" t="str"/>
      <x:c r="R7" s="9" t="str"/>
      <x:c r="S7" s="9" t="str"/>
    </x:row>
    <x:row r="8" ht="54" customHeight="1">
      <x:c r="A8" s="19" t="str">
        <x:v>NEX-SET-OPS</x:v>
      </x:c>
      <x:c r="B8" s="7" t="str">
        <x:v>Bureau d’opérations provisoire — kit de décor</x:v>
      </x:c>
      <x:c r="C8" s="15" t="str">
        <x:v>Défini</x:v>
      </x:c>
      <x:c r="D8" s="17" t="str">
        <x:v>Extrapolation</x:v>
      </x:c>
      <x:c r="E8" s="17" t="str">
        <x:v>P1</x:v>
      </x:c>
      <x:c r="F8" s="7" t="str">
        <x:v>Production originale des éléments fixes de la carte liée.</x:v>
      </x:c>
      <x:c r="G8" s="7" t="str">
        <x:v>Mobilier incomplet, écrans de ressources, travaux interrompus. Construire trois profondeurs de décor avec variantes intacte et perturbée si utiles.</x:v>
      </x:c>
      <x:c r="H8" s="7" t="str">
        <x:v>Le décor signale la règle : Un problème non documenté ne reçoit pas d’affectation automatique.</x:v>
      </x:c>
      <x:c r="I8" s="7" t="str">
        <x:v>Volumes sans microdétails illisibles ; surfaces dangereuses reconnues également en niveaux de gris.</x:v>
      </x:c>
      <x:c r="J8" s="7" t="str">
        <x:v>Animer seulement les repères actifs ; ne pas déplacer un obstacle statique après le calcul du chemin.</x:v>
      </x:c>
      <x:c r="K8" s="7" t="str">
        <x:v>Boucles très courtes évitées ; matériaux sonores propres aux interactions de cette zone.</x:v>
      </x:c>
      <x:c r="L8" s="7" t="str">
        <x:v>assets/nex/sets/ops/ ; collider séparé du mesh et des ornements.</x:v>
      </x:c>
      <x:c r="M8" s="7" t="str">
        <x:v>Les décisions locales ne suppriment pas la pénurie du récit.</x:v>
      </x:c>
      <x:c r="N8" s="7" t="str">
        <x:v>Aucun détail décoratif ne ressemble à tort à une porte ; vue complète vérifiée en petite résolution.</x:v>
      </x:c>
      <x:c r="O8" s="7" t="str">
        <x:v>NEX-MAP-OPS</x:v>
      </x:c>
      <x:c r="P8" s="7" t="str"/>
      <x:c r="Q8" s="7" t="str"/>
      <x:c r="R8" s="7" t="str"/>
      <x:c r="S8" s="7" t="str"/>
    </x:row>
    <x:row r="9" ht="54" customHeight="1">
      <x:c r="A9" s="18" t="str">
        <x:v>NEX-SET-HYDRO</x:v>
      </x:c>
      <x:c r="B9" s="9" t="str">
        <x:v>Module hydroponique proposé — kit de décor</x:v>
      </x:c>
      <x:c r="C9" s="15" t="str">
        <x:v>Défini</x:v>
      </x:c>
      <x:c r="D9" s="16" t="str">
        <x:v>Extrapolation</x:v>
      </x:c>
      <x:c r="E9" s="16" t="str">
        <x:v>P1</x:v>
      </x:c>
      <x:c r="F9" s="9" t="str">
        <x:v>Production originale des éléments fixes de la carte liée.</x:v>
      </x:c>
      <x:c r="G9" s="9" t="str">
        <x:v>Végétation flétrie mesurée, eau stylisée, surfaces humides lisibles. Construire trois profondeurs de décor avec variantes intacte et perturbée si utiles.</x:v>
      </x:c>
      <x:c r="H9" s="9" t="str">
        <x:v>Le décor signale la règle : Énergie et circulation des fluides ne peuvent être maximisées simultanément.</x:v>
      </x:c>
      <x:c r="I9" s="9" t="str">
        <x:v>Volumes sans microdétails illisibles ; surfaces dangereuses reconnues également en niveaux de gris.</x:v>
      </x:c>
      <x:c r="J9" s="9" t="str">
        <x:v>Animer seulement les repères actifs ; ne pas déplacer un obstacle statique après le calcul du chemin.</x:v>
      </x:c>
      <x:c r="K9" s="9" t="str">
        <x:v>Boucles très courtes évitées ; matériaux sonores propres aux interactions de cette zone.</x:v>
      </x:c>
      <x:c r="L9" s="9" t="str">
        <x:v>assets/nex/sets/hydro/ ; collider séparé du mesh et des ornements.</x:v>
      </x:c>
      <x:c r="M9" s="9" t="str">
        <x:v>Les règles d’horticulture sont abstraites.</x:v>
      </x:c>
      <x:c r="N9" s="9" t="str">
        <x:v>Aucun détail décoratif ne ressemble à tort à une porte ; vue complète vérifiée en petite résolution.</x:v>
      </x:c>
      <x:c r="O9" s="9" t="str">
        <x:v>NEX-MAP-HYDRO</x:v>
      </x:c>
      <x:c r="P9" s="9" t="str"/>
      <x:c r="Q9" s="9" t="str"/>
      <x:c r="R9" s="9" t="str"/>
      <x:c r="S9" s="9" t="str"/>
    </x:row>
    <x:row r="10" ht="54" customHeight="1">
      <x:c r="A10" s="19" t="str">
        <x:v>NEX-SET-LIFE</x:v>
      </x:c>
      <x:c r="B10" s="7" t="str">
        <x:v>Atelier de maintien en vie proposé — kit de décor</x:v>
      </x:c>
      <x:c r="C10" s="15" t="str">
        <x:v>Défini</x:v>
      </x:c>
      <x:c r="D10" s="17" t="str">
        <x:v>Extrapolation</x:v>
      </x:c>
      <x:c r="E10" s="17" t="str">
        <x:v>P1</x:v>
      </x:c>
      <x:c r="F10" s="7" t="str">
        <x:v>Production originale des éléments fixes de la carte liée.</x:v>
      </x:c>
      <x:c r="G10" s="7" t="str">
        <x:v>Filtres, gros conduits et repères d’intervention. Construire trois profondeurs de décor avec variantes intacte et perturbée si utiles.</x:v>
      </x:c>
      <x:c r="H10" s="7" t="str">
        <x:v>Le décor signale la règle : Trois pannes imposent un ordre de traitement.</x:v>
      </x:c>
      <x:c r="I10" s="7" t="str">
        <x:v>Volumes sans microdétails illisibles ; surfaces dangereuses reconnues également en niveaux de gris.</x:v>
      </x:c>
      <x:c r="J10" s="7" t="str">
        <x:v>Animer seulement les repères actifs ; ne pas déplacer un obstacle statique après le calcul du chemin.</x:v>
      </x:c>
      <x:c r="K10" s="7" t="str">
        <x:v>Boucles très courtes évitées ; matériaux sonores propres aux interactions de cette zone.</x:v>
      </x:c>
      <x:c r="L10" s="7" t="str">
        <x:v>assets/nex/sets/life/ ; collider séparé du mesh et des ornements.</x:v>
      </x:c>
      <x:c r="M10" s="7" t="str">
        <x:v>Ne pas simuler de procédure réelle de support vital.</x:v>
      </x:c>
      <x:c r="N10" s="7" t="str">
        <x:v>Aucun détail décoratif ne ressemble à tort à une porte ; vue complète vérifiée en petite résolution.</x:v>
      </x:c>
      <x:c r="O10" s="7" t="str">
        <x:v>NEX-MAP-LIFE</x:v>
      </x:c>
      <x:c r="P10" s="7" t="str"/>
      <x:c r="Q10" s="7" t="str"/>
      <x:c r="R10" s="7" t="str"/>
      <x:c r="S10" s="7" t="str"/>
    </x:row>
    <x:row r="11" ht="54" customHeight="1">
      <x:c r="A11" s="18" t="str">
        <x:v>NEX-SET-DOCK</x:v>
      </x:c>
      <x:c r="B11" s="9" t="str">
        <x:v>Quai de distribution proposé — kit de décor</x:v>
      </x:c>
      <x:c r="C11" s="15" t="str">
        <x:v>Défini</x:v>
      </x:c>
      <x:c r="D11" s="16" t="str">
        <x:v>Extrapolation</x:v>
      </x:c>
      <x:c r="E11" s="16" t="str">
        <x:v>P1</x:v>
      </x:c>
      <x:c r="F11" s="9" t="str">
        <x:v>Production originale des éléments fixes de la carte liée.</x:v>
      </x:c>
      <x:c r="G11" s="9" t="str">
        <x:v>Caisses numérotées, panneaux de rationnement et espace d’accessibilité. Construire trois profondeurs de décor avec variantes intacte et perturbée si utiles.</x:v>
      </x:c>
      <x:c r="H11" s="9" t="str">
        <x:v>Le décor signale la règle : Maintenir la circulation tout en vérifiant les priorités.</x:v>
      </x:c>
      <x:c r="I11" s="9" t="str">
        <x:v>Volumes sans microdétails illisibles ; surfaces dangereuses reconnues également en niveaux de gris.</x:v>
      </x:c>
      <x:c r="J11" s="9" t="str">
        <x:v>Animer seulement les repères actifs ; ne pas déplacer un obstacle statique après le calcul du chemin.</x:v>
      </x:c>
      <x:c r="K11" s="9" t="str">
        <x:v>Boucles très courtes évitées ; matériaux sonores propres aux interactions de cette zone.</x:v>
      </x:c>
      <x:c r="L11" s="9" t="str">
        <x:v>assets/nex/sets/dock/ ; collider séparé du mesh et des ornements.</x:v>
      </x:c>
      <x:c r="M11" s="9" t="str">
        <x:v>Aucun camp n’est représenté comme foule indistincte de cibles.</x:v>
      </x:c>
      <x:c r="N11" s="9" t="str">
        <x:v>Aucun détail décoratif ne ressemble à tort à une porte ; vue complète vérifiée en petite résolution.</x:v>
      </x:c>
      <x:c r="O11" s="9" t="str">
        <x:v>NEX-MAP-DOCK</x:v>
      </x:c>
      <x:c r="P11" s="9" t="str"/>
      <x:c r="Q11" s="9" t="str"/>
      <x:c r="R11" s="9" t="str"/>
      <x:c r="S11" s="9" t="str"/>
    </x:row>
    <x:row r="12" ht="54" customHeight="1">
      <x:c r="A12" s="19" t="str">
        <x:v>NEX-SET-FAB</x:v>
      </x:c>
      <x:c r="B12" s="7" t="str">
        <x:v>Atelier de fabrication proposé — kit de décor</x:v>
      </x:c>
      <x:c r="C12" s="15" t="str">
        <x:v>Défini</x:v>
      </x:c>
      <x:c r="D12" s="17" t="str">
        <x:v>Extrapolation</x:v>
      </x:c>
      <x:c r="E12" s="17" t="str">
        <x:v>P1</x:v>
      </x:c>
      <x:c r="F12" s="7" t="str">
        <x:v>Production originale des éléments fixes de la carte liée.</x:v>
      </x:c>
      <x:c r="G12" s="7" t="str">
        <x:v>Pièces inachevées, tables improvisées, panneaux déplacés. Construire trois profondeurs de décor avec variantes intacte et perturbée si utiles.</x:v>
      </x:c>
      <x:c r="H12" s="7" t="str">
        <x:v>Le décor signale la règle : Un registre d’accès devient enjeu de confrontation.</x:v>
      </x:c>
      <x:c r="I12" s="7" t="str">
        <x:v>Volumes sans microdétails illisibles ; surfaces dangereuses reconnues également en niveaux de gris.</x:v>
      </x:c>
      <x:c r="J12" s="7" t="str">
        <x:v>Animer seulement les repères actifs ; ne pas déplacer un obstacle statique après le calcul du chemin.</x:v>
      </x:c>
      <x:c r="K12" s="7" t="str">
        <x:v>Boucles très courtes évitées ; matériaux sonores propres aux interactions de cette zone.</x:v>
      </x:c>
      <x:c r="L12" s="7" t="str">
        <x:v>assets/nex/sets/fab/ ; collider séparé du mesh et des ornements.</x:v>
      </x:c>
      <x:c r="M12" s="7" t="str">
        <x:v>La présence de Calix suit la phase narrative autorisée.</x:v>
      </x:c>
      <x:c r="N12" s="7" t="str">
        <x:v>Aucun détail décoratif ne ressemble à tort à une porte ; vue complète vérifiée en petite résolution.</x:v>
      </x:c>
      <x:c r="O12" s="7" t="str">
        <x:v>NEX-MAP-FAB</x:v>
      </x:c>
      <x:c r="P12" s="7" t="str"/>
      <x:c r="Q12" s="7" t="str"/>
      <x:c r="R12" s="7" t="str"/>
      <x:c r="S12" s="7" t="str"/>
    </x:row>
    <x:row r="13" ht="54" customHeight="1">
      <x:c r="A13" s="18" t="str">
        <x:v>NEX-SET-BARRIER</x:v>
      </x:c>
      <x:c r="B13" s="9" t="str">
        <x:v>Couloir de séparation proposé — kit de décor</x:v>
      </x:c>
      <x:c r="C13" s="15" t="str">
        <x:v>Défini</x:v>
      </x:c>
      <x:c r="D13" s="16" t="str">
        <x:v>Extrapolation</x:v>
      </x:c>
      <x:c r="E13" s="16" t="str">
        <x:v>P1</x:v>
      </x:c>
      <x:c r="F13" s="9" t="str">
        <x:v>Production originale des éléments fixes de la carte liée.</x:v>
      </x:c>
      <x:c r="G13" s="9" t="str">
        <x:v>Barrières improvisées, lumières d’alarme et portes civiles signalées. Construire trois profondeurs de décor avec variantes intacte et perturbée si utiles.</x:v>
      </x:c>
      <x:c r="H13" s="9" t="str">
        <x:v>Le décor signale la règle : Ouvrir un passage humanitaire sans provoquer de charge.</x:v>
      </x:c>
      <x:c r="I13" s="9" t="str">
        <x:v>Volumes sans microdétails illisibles ; surfaces dangereuses reconnues également en niveaux de gris.</x:v>
      </x:c>
      <x:c r="J13" s="9" t="str">
        <x:v>Animer seulement les repères actifs ; ne pas déplacer un obstacle statique après le calcul du chemin.</x:v>
      </x:c>
      <x:c r="K13" s="9" t="str">
        <x:v>Boucles très courtes évitées ; matériaux sonores propres aux interactions de cette zone.</x:v>
      </x:c>
      <x:c r="L13" s="9" t="str">
        <x:v>assets/nex/sets/barrier/ ; collider séparé du mesh et des ornements.</x:v>
      </x:c>
      <x:c r="M13" s="9" t="str">
        <x:v>L’issue générale de la révolte demeure verrouillée.</x:v>
      </x:c>
      <x:c r="N13" s="9" t="str">
        <x:v>Aucun détail décoratif ne ressemble à tort à une porte ; vue complète vérifiée en petite résolution.</x:v>
      </x:c>
      <x:c r="O13" s="9" t="str">
        <x:v>NEX-MAP-BARRIER</x:v>
      </x:c>
      <x:c r="P13" s="9" t="str"/>
      <x:c r="Q13" s="9" t="str"/>
      <x:c r="R13" s="9" t="str"/>
      <x:c r="S13" s="9" t="str"/>
    </x:row>
    <x:row r="14" ht="54" customHeight="1">
      <x:c r="A14" s="19" t="str">
        <x:v>NEX-SET-DEPART</x:v>
      </x:c>
      <x:c r="B14" s="7" t="str">
        <x:v>Zone de départ proposée — kit de décor</x:v>
      </x:c>
      <x:c r="C14" s="15" t="str">
        <x:v>Défini</x:v>
      </x:c>
      <x:c r="D14" s="17" t="str">
        <x:v>Extrapolation</x:v>
      </x:c>
      <x:c r="E14" s="17" t="str">
        <x:v>P1</x:v>
      </x:c>
      <x:c r="F14" s="7" t="str">
        <x:v>Production originale des éléments fixes de la carte liée.</x:v>
      </x:c>
      <x:c r="G14" s="7" t="str">
        <x:v>Bagages limités, cloisons de fret et vue extérieure sobre. Construire trois profondeurs de décor avec variantes intacte et perturbée si utiles.</x:v>
      </x:c>
      <x:c r="H14" s="7" t="str">
        <x:v>Le décor signale la règle : Vérifier la cohérence d’un départ sans confisquer les objets personnels.</x:v>
      </x:c>
      <x:c r="I14" s="7" t="str">
        <x:v>Volumes sans microdétails illisibles ; surfaces dangereuses reconnues également en niveaux de gris.</x:v>
      </x:c>
      <x:c r="J14" s="7" t="str">
        <x:v>Animer seulement les repères actifs ; ne pas déplacer un obstacle statique après le calcul du chemin.</x:v>
      </x:c>
      <x:c r="K14" s="7" t="str">
        <x:v>Boucles très courtes évitées ; matériaux sonores propres aux interactions de cette zone.</x:v>
      </x:c>
      <x:c r="L14" s="7" t="str">
        <x:v>assets/nex/sets/depart/ ; collider séparé du mesh et des ornements.</x:v>
      </x:c>
      <x:c r="M14" s="7" t="str">
        <x:v>Les exils nécessaires à Andromeda sont maintenus.</x:v>
      </x:c>
      <x:c r="N14" s="7" t="str">
        <x:v>Aucun détail décoratif ne ressemble à tort à une porte ; vue complète vérifiée en petite résolution.</x:v>
      </x:c>
      <x:c r="O14" s="7" t="str">
        <x:v>NEX-MAP-DEPART</x:v>
      </x:c>
      <x:c r="P14" s="7" t="str"/>
      <x:c r="Q14" s="7" t="str"/>
      <x:c r="R14" s="7" t="str"/>
      <x:c r="S14" s="7" t="str"/>
    </x:row>
  </x:sheetData>
  <x:conditionalFormatting sqref="D7:D14">
    <x:cfRule type="cellIs" dxfId="24" priority="1" operator="equal">
      <x:formula>"À vérifier"</x:formula>
    </x:cfRule>
    <x:cfRule type="cellIs" dxfId="25" priority="2" operator="equal">
      <x:formula>"Extrapolation"</x:formula>
    </x:cfRule>
  </x:conditionalFormatting>
  <x:conditionalFormatting sqref="C7:C14">
    <x:cfRule type="cellIs" dxfId="26" priority="3" operator="equal">
      <x:formula>"Validé"</x:formula>
    </x:cfRule>
  </x:conditionalFormatting>
  <x:conditionalFormatting sqref="E7:E14">
    <x:cfRule type="cellIs" dxfId="2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c581fb7528d94e69"/>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8"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Andromeda: Nexus Uprising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NEX-REF-HYDRO</x:v>
      </x:c>
      <x:c r="B7" s="9" t="str">
        <x:v>Hydroponie endommagée</x:v>
      </x:c>
      <x:c r="C7" s="15" t="str">
        <x:v>Défini</x:v>
      </x:c>
      <x:c r="D7" s="16" t="str">
        <x:v>Établi</x:v>
      </x:c>
      <x:c r="E7" s="16" t="str">
        <x:v>P1</x:v>
      </x:c>
      <x:c r="F7" s="9" t="str">
        <x:v>Le codex relie la pénurie aux installations hydroponiques endommagées.</x:v>
      </x:c>
      <x:c r="G7" s="9" t="str">
        <x:v>Ancrage documentaire du module ; aucune statistique officielle inférée.</x:v>
      </x:c>
      <x:c r="H7" s="9" t="str"/>
      <x:c r="I7" s="9" t="str"/>
      <x:c r="J7" s="9" t="str"/>
      <x:c r="K7" s="9" t="str"/>
      <x:c r="L7" s="9" t="str">
        <x:v>Codex ref.nex.hydro ; affichage bref avec source.</x:v>
      </x:c>
      <x:c r="M7" s="9" t="str">
        <x:v>Préserver la crise précédant Mass Effect Andromeda : les choix locaux ne suppriment ni la révolte ni l’exil de Sloane et des autres personnes concernées. Ne pas résoudre dans ce module les mystères révélés plus tard par Ryder.</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NEX-SRC-CODEX</x:v>
      </x:c>
      <x:c r="R7" s="9" t="str">
        <x:v>https://masseffect.fandom.com/wiki/Codex_%28Mass_Effect%3A_Andromeda%29/The_Andromeda_Initiative</x:v>
      </x:c>
      <x:c r="S7" s="9" t="str">
        <x:v>Ce relevé n’est ni un inventaire exhaustif ni un résumé scène par scène.</x:v>
      </x:c>
    </x:row>
    <x:row r="8" ht="82" customHeight="1">
      <x:c r="A8" s="19" t="str">
        <x:v>NEX-REF-SERVERS</x:v>
      </x:c>
      <x:c r="B8" s="7" t="str">
        <x:v>Serveurs et données de bord</x:v>
      </x:c>
      <x:c r="C8" s="15" t="str">
        <x:v>Défini</x:v>
      </x:c>
      <x:c r="D8" s="17" t="str">
        <x:v>Établi</x:v>
      </x:c>
      <x:c r="E8" s="17" t="str">
        <x:v>P1</x:v>
      </x:c>
      <x:c r="F8" s="7" t="str">
        <x:v>Le dossier d’Irida implique vol de données et sabotage.</x:v>
      </x:c>
      <x:c r="G8" s="7" t="str">
        <x:v>Ancrage documentaire du module ; aucune statistique officielle inférée.</x:v>
      </x:c>
      <x:c r="H8" s="7" t="str"/>
      <x:c r="I8" s="7" t="str"/>
      <x:c r="J8" s="7" t="str"/>
      <x:c r="K8" s="7" t="str"/>
      <x:c r="L8" s="7" t="str">
        <x:v>Codex ref.nex.servers ; affichage bref avec source.</x:v>
      </x:c>
      <x:c r="M8" s="7" t="str">
        <x:v>Préserver la crise précédant Mass Effect Andromeda : les choix locaux ne suppriment ni la révolte ni l’exil de Sloane et des autres personnes concernées. Ne pas résoudre dans ce module les mystères révélés plus tard par Ryder.</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NEX-SRC-IRIDA</x:v>
      </x:c>
      <x:c r="R8" s="7" t="str">
        <x:v>https://masseffect.fandom.com/wiki/Irida_Fadeer</x:v>
      </x:c>
      <x:c r="S8" s="7" t="str">
        <x:v>Ce relevé n’est ni un inventaire exhaustif ni un résumé scène par scène.</x:v>
      </x:c>
    </x:row>
  </x:sheetData>
  <x:conditionalFormatting sqref="D7:D8">
    <x:cfRule type="cellIs" dxfId="28" priority="1" operator="equal">
      <x:formula>"À vérifier"</x:formula>
    </x:cfRule>
    <x:cfRule type="cellIs" dxfId="29" priority="2" operator="equal">
      <x:formula>"Extrapolation"</x:formula>
    </x:cfRule>
  </x:conditionalFormatting>
  <x:conditionalFormatting sqref="C7:C8">
    <x:cfRule type="cellIs" dxfId="30" priority="3" operator="equal">
      <x:formula>"Validé"</x:formula>
    </x:cfRule>
  </x:conditionalFormatting>
  <x:conditionalFormatting sqref="E7:E8">
    <x:cfRule type="cellIs" dxfId="31"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c806c678a1e74980"/>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Andromeda: Nexus Uprising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NEX-ENC-POWER</x:v>
      </x:c>
      <x:c r="B7" s="9" t="str">
        <x:v>Cascade électrique</x:v>
      </x:c>
      <x:c r="C7" s="15" t="str">
        <x:v>Défini</x:v>
      </x:c>
      <x:c r="D7" s="16" t="str">
        <x:v>Extrapolation</x:v>
      </x:c>
      <x:c r="E7" s="16" t="str">
        <x:v>P1</x:v>
      </x:c>
      <x:c r="F7" s="9" t="str">
        <x:v>Rencontre originale proposée : Boss environnemental original de station endommagée.</x:v>
      </x:c>
      <x:c r="G7" s="9" t="str">
        <x:v>Opposition ou crise scénarisée pour le groupe ; ne pas attribuer au roman une barre de vie ou un rang de boss.</x:v>
      </x:c>
      <x:c r="H7" s="9" t="str">
        <x:v>Déplace une coupure entre secteurs selon les circuits non isolés. Réponse du joueur : Isoler la branche puis reconnecter le poste sûr.</x:v>
      </x:c>
      <x:c r="I7" s="9" t="str">
        <x:v>Voyants de circuit et zone assombrie avant fermeture.</x:v>
      </x:c>
      <x:c r="J7" s="9" t="str">
        <x:v>Anticipation identifiable, action, récupération exploitable ; variante de sortie non létale lorsque pertinente.</x:v>
      </x:c>
      <x:c r="K7" s="9" t="str">
        <x:v>Motif de danger spécifique, sous-titre bref et avertissement visuel.</x:v>
      </x:c>
      <x:c r="L7" s="9" t="str">
        <x:v>encounters/nex/power.json ; activer seulement dans les zones prévues.</x:v>
      </x:c>
      <x:c r="M7" s="9" t="str">
        <x:v>Préserver la crise précédant Mass Effect Andromeda : les choix locaux ne suppriment ni la révolte ni l’exil de Sloane et des autres personnes concernées. Ne pas résoudre dans ce module les mystères révélés plus tard par Ryder.</x:v>
      </x:c>
      <x:c r="N7" s="9" t="str">
        <x:v>Un joueur découvre la contre-mesure par le télégraphe ; la résolution ne modifie aucun destin établi.</x:v>
      </x:c>
      <x:c r="O7" s="9" t="str"/>
      <x:c r="P7" s="9" t="str"/>
      <x:c r="Q7" s="9" t="str"/>
      <x:c r="R7" s="9" t="str"/>
      <x:c r="S7" s="9" t="str">
        <x:v>Tous comportements et réglages de combat sont du design original.</x:v>
      </x:c>
    </x:row>
    <x:row r="8" ht="82" customHeight="1">
      <x:c r="A8" s="19" t="str">
        <x:v>NEX-ENC-CROWD</x:v>
      </x:c>
      <x:c r="B8" s="7" t="str">
        <x:v>Blocage de distribution</x:v>
      </x:c>
      <x:c r="C8" s="15" t="str">
        <x:v>Défini</x:v>
      </x:c>
      <x:c r="D8" s="17" t="str">
        <x:v>Extrapolation</x:v>
      </x:c>
      <x:c r="E8" s="17" t="str">
        <x:v>P1</x:v>
      </x:c>
      <x:c r="F8" s="7" t="str">
        <x:v>Rencontre originale proposée : Rencontre sociale originale, sans foule ennemie.</x:v>
      </x:c>
      <x:c r="G8" s="7" t="str">
        <x:v>Opposition ou crise scénarisée pour le groupe ; ne pas attribuer au roman une barre de vie ou un rang de boss.</x:v>
      </x:c>
      <x:c r="H8" s="7" t="str">
        <x:v>La circulation se bloque lorsqu’une information de ration est ambiguë. Réponse du joueur : Clarifier le tableau et ouvrir un second chemin.</x:v>
      </x:c>
      <x:c r="I8" s="7" t="str">
        <x:v>Icônes de questions et passages qui se resserrent.</x:v>
      </x:c>
      <x:c r="J8" s="7" t="str">
        <x:v>Anticipation identifiable, action, récupération exploitable ; variante de sortie non létale lorsque pertinente.</x:v>
      </x:c>
      <x:c r="K8" s="7" t="str">
        <x:v>Motif de danger spécifique, sous-titre bref et avertissement visuel.</x:v>
      </x:c>
      <x:c r="L8" s="7" t="str">
        <x:v>encounters/nex/crowd.json ; activer seulement dans les zones prévues.</x:v>
      </x:c>
      <x:c r="M8" s="7" t="str">
        <x:v>Préserver la crise précédant Mass Effect Andromeda : les choix locaux ne suppriment ni la révolte ni l’exil de Sloane et des autres personnes concernées. Ne pas résoudre dans ce module les mystères révélés plus tard par Ryder.</x:v>
      </x:c>
      <x:c r="N8" s="7" t="str">
        <x:v>Un joueur découvre la contre-mesure par le télégraphe ; la résolution ne modifie aucun destin établi.</x:v>
      </x:c>
      <x:c r="O8" s="7" t="str"/>
      <x:c r="P8" s="7" t="str"/>
      <x:c r="Q8" s="7" t="str"/>
      <x:c r="R8" s="7" t="str"/>
      <x:c r="S8" s="7" t="str">
        <x:v>Tous comportements et réglages de combat sont du design original.</x:v>
      </x:c>
    </x:row>
    <x:row r="9" ht="82" customHeight="1">
      <x:c r="A9" s="18" t="str">
        <x:v>NEX-ENC-SABOTAGE</x:v>
      </x:c>
      <x:c r="B9" s="9" t="str">
        <x:v>Verrou d’accès altéré</x:v>
      </x:c>
      <x:c r="C9" s="15" t="str">
        <x:v>Défini</x:v>
      </x:c>
      <x:c r="D9" s="16" t="str">
        <x:v>Extrapolation</x:v>
      </x:c>
      <x:c r="E9" s="16" t="str">
        <x:v>P1</x:v>
      </x:c>
      <x:c r="F9" s="9" t="str">
        <x:v>Rencontre originale proposée : Obstacle technique ajouté pour l’enquête.</x:v>
      </x:c>
      <x:c r="G9" s="9" t="str">
        <x:v>Opposition ou crise scénarisée pour le groupe ; ne pas attribuer au roman une barre de vie ou un rang de boss.</x:v>
      </x:c>
      <x:c r="H9" s="9" t="str">
        <x:v>Un panneau affiche une autorisation incompatible avec la porte. Réponse du joueur : Vérifier localement et conserver la trace avant réparation.</x:v>
      </x:c>
      <x:c r="I9" s="9" t="str">
        <x:v>Deux statuts contradictoires simultanément visibles.</x:v>
      </x:c>
      <x:c r="J9" s="9" t="str">
        <x:v>Anticipation identifiable, action, récupération exploitable ; variante de sortie non létale lorsque pertinente.</x:v>
      </x:c>
      <x:c r="K9" s="9" t="str">
        <x:v>Motif de danger spécifique, sous-titre bref et avertissement visuel.</x:v>
      </x:c>
      <x:c r="L9" s="9" t="str">
        <x:v>encounters/nex/sabotage.json ; activer seulement dans les zones prévues.</x:v>
      </x:c>
      <x:c r="M9" s="9" t="str">
        <x:v>Préserver la crise précédant Mass Effect Andromeda : les choix locaux ne suppriment ni la révolte ni l’exil de Sloane et des autres personnes concernées. Ne pas résoudre dans ce module les mystères révélés plus tard par Ryder.</x:v>
      </x:c>
      <x:c r="N9" s="9" t="str">
        <x:v>Un joueur découvre la contre-mesure par le télégraphe ; la résolution ne modifie aucun destin établi.</x:v>
      </x:c>
      <x:c r="O9" s="9" t="str"/>
      <x:c r="P9" s="9" t="str"/>
      <x:c r="Q9" s="9" t="str"/>
      <x:c r="R9" s="9" t="str"/>
      <x:c r="S9" s="9" t="str">
        <x:v>Tous comportements et réglages de combat sont du design original.</x:v>
      </x:c>
    </x:row>
    <x:row r="10" ht="82" customHeight="1">
      <x:c r="A10" s="19" t="str">
        <x:v>NEX-ENC-CLASH</x:v>
      </x:c>
      <x:c r="B10" s="7" t="str">
        <x:v>Confrontation de couloir</x:v>
      </x:c>
      <x:c r="C10" s="15" t="str">
        <x:v>Défini</x:v>
      </x:c>
      <x:c r="D10" s="17" t="str">
        <x:v>Extrapolation</x:v>
      </x:c>
      <x:c r="E10" s="17" t="str">
        <x:v>P1</x:v>
      </x:c>
      <x:c r="F10" s="7" t="str">
        <x:v>Rencontre originale proposée : Rencontre de crise proposée sous contrainte non létale.</x:v>
      </x:c>
      <x:c r="G10" s="7" t="str">
        <x:v>Opposition ou crise scénarisée pour le groupe ; ne pas attribuer au roman une barre de vie ou un rang de boss.</x:v>
      </x:c>
      <x:c r="H10" s="7" t="str">
        <x:v>Deux lignes avancent vers une porte civile tant que le passage neutre est fermé. Réponse du joueur : Ouvrir le passage et retirer les civils du trajet.</x:v>
      </x:c>
      <x:c r="I10" s="7" t="str">
        <x:v>Marques de recul, signes de tension et cible de porte.</x:v>
      </x:c>
      <x:c r="J10" s="7" t="str">
        <x:v>Anticipation identifiable, action, récupération exploitable ; variante de sortie non létale lorsque pertinente.</x:v>
      </x:c>
      <x:c r="K10" s="7" t="str">
        <x:v>Motif de danger spécifique, sous-titre bref et avertissement visuel.</x:v>
      </x:c>
      <x:c r="L10" s="7" t="str">
        <x:v>encounters/nex/clash.json ; activer seulement dans les zones prévues.</x:v>
      </x:c>
      <x:c r="M10" s="7" t="str">
        <x:v>Préserver la crise précédant Mass Effect Andromeda : les choix locaux ne suppriment ni la révolte ni l’exil de Sloane et des autres personnes concernées. Ne pas résoudre dans ce module les mystères révélés plus tard par Ryder.</x:v>
      </x:c>
      <x:c r="N10" s="7" t="str">
        <x:v>Un joueur découvre la contre-mesure par le télégraphe ; la résolution ne modifie aucun destin établi.</x:v>
      </x:c>
      <x:c r="O10" s="7" t="str"/>
      <x:c r="P10" s="7" t="str"/>
      <x:c r="Q10" s="7" t="str"/>
      <x:c r="R10" s="7" t="str"/>
      <x:c r="S10" s="7" t="str">
        <x:v>Tous comportements et réglages de combat sont du design original.</x:v>
      </x:c>
    </x:row>
  </x:sheetData>
  <x:conditionalFormatting sqref="D7:D10">
    <x:cfRule type="cellIs" dxfId="32" priority="1" operator="equal">
      <x:formula>"À vérifier"</x:formula>
    </x:cfRule>
    <x:cfRule type="cellIs" dxfId="33" priority="2" operator="equal">
      <x:formula>"Extrapolation"</x:formula>
    </x:cfRule>
  </x:conditionalFormatting>
  <x:conditionalFormatting sqref="C7:C10">
    <x:cfRule type="cellIs" dxfId="34" priority="3" operator="equal">
      <x:formula>"Validé"</x:formula>
    </x:cfRule>
  </x:conditionalFormatting>
  <x:conditionalFormatting sqref="E7:E10">
    <x:cfRule type="cellIs" dxfId="3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d4fb8948d0c0468c"/>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Andromeda: Nexus Uprising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NEX-MIS-RESTORE</x:v>
      </x:c>
      <x:c r="B7" s="9" t="str">
        <x:v>Remettre une section en service</x:v>
      </x:c>
      <x:c r="C7" s="15" t="str">
        <x:v>Défini</x:v>
      </x:c>
      <x:c r="D7" s="16" t="str">
        <x:v>Extrapolation</x:v>
      </x:c>
      <x:c r="E7" s="16" t="str">
        <x:v>P0</x:v>
      </x:c>
      <x:c r="F7" s="9" t="str">
        <x:v>Mission originale d’adaptation, inspirée d’un enjeu général de l’œuvre.</x:v>
      </x:c>
      <x:c r="G7" s="9" t="str">
        <x:v>Rétablir une route de secours dans un secteur nouvellement accessible.</x:v>
      </x:c>
      <x:c r="H7" s="9" t="str">
        <x:v>Diagnostiquer énergie, porte et communication ; un acteur répare, les autres sécurisent.</x:v>
      </x:c>
      <x:c r="I7" s="9" t="str">
        <x:v>Objectif spatial associé à Section de réveil proposée ; états non commencé/en cours/résolu distingués.</x:v>
      </x:c>
      <x:c r="J7" s="9" t="str">
        <x:v>Entrée contrôlée, actions de groupe et fin interruptible avant sauvegarde ; aucune animation ne décide seule du résultat.</x:v>
      </x:c>
      <x:c r="K7" s="9" t="str">
        <x:v>Briefing original concis ; changement de musique à la résolution d’objectif, pas après un délai arbitraire.</x:v>
      </x:c>
      <x:c r="L7" s="9" t="str">
        <x:v>quests/nex/restore.json ; états offered/active/resolved ; clés de progression propres au module.</x:v>
      </x:c>
      <x:c r="M7" s="9" t="str">
        <x:v>La station reste endommagée et isolée.</x:v>
      </x:c>
      <x:c r="N7" s="9" t="str">
        <x:v>Le joueur peut accomplir « Rétablir une route de secours dans un secteur nouvellement accessible. » et la sortie confirme le résultat ; La station reste endommagée et isolée.</x:v>
      </x:c>
      <x:c r="O7" s="9" t="str">
        <x:v>NEX-MAP-WAKE</x:v>
      </x:c>
      <x:c r="P7" s="9" t="str"/>
      <x:c r="Q7" s="9" t="str"/>
      <x:c r="R7" s="9" t="str"/>
      <x:c r="S7" s="9" t="str"/>
    </x:row>
    <x:row r="8" ht="68" customHeight="1">
      <x:c r="A8" s="19" t="str">
        <x:v>NEX-MIS-PRIORITY</x:v>
      </x:c>
      <x:c r="B8" s="7" t="str">
        <x:v>Rendre les priorités compréhensibles</x:v>
      </x:c>
      <x:c r="C8" s="15" t="str">
        <x:v>Défini</x:v>
      </x:c>
      <x:c r="D8" s="17" t="str">
        <x:v>Extrapolation</x:v>
      </x:c>
      <x:c r="E8" s="17" t="str">
        <x:v>P0</x:v>
      </x:c>
      <x:c r="F8" s="7" t="str">
        <x:v>Mission originale d’adaptation, inspirée d’un enjeu général de l’œuvre.</x:v>
      </x:c>
      <x:c r="G8" s="7" t="str">
        <x:v>Présenter des demandes concurrentes dans un tableau public proposé.</x:v>
      </x:c>
      <x:c r="H8" s="7" t="str">
        <x:v>Relier chaque demande à besoin, coût et dépendance ; afficher ce qui reste impossible.</x:v>
      </x:c>
      <x:c r="I8" s="7" t="str">
        <x:v>Objectif spatial associé à Bureau d’opérations provisoire ; états non commencé/en cours/résolu distingués.</x:v>
      </x:c>
      <x:c r="J8" s="7" t="str">
        <x:v>Entrée contrôlée, actions de groupe et fin interruptible avant sauvegarde ; aucune animation ne décide seule du résultat.</x:v>
      </x:c>
      <x:c r="K8" s="7" t="str">
        <x:v>Briefing original concis ; changement de musique à la résolution d’objectif, pas après un délai arbitraire.</x:v>
      </x:c>
      <x:c r="L8" s="7" t="str">
        <x:v>quests/nex/priority.json ; états offered/active/resolved ; clés de progression propres au module.</x:v>
      </x:c>
      <x:c r="M8" s="7" t="str">
        <x:v>Le joueur n’annule pas la crise politique par un score optimal.</x:v>
      </x:c>
      <x:c r="N8" s="7" t="str">
        <x:v>Le joueur peut accomplir « Présenter des demandes concurrentes dans un tableau public proposé. » et la sortie confirme le résultat ; Le joueur n’annule pas la crise politique par un score optimal.</x:v>
      </x:c>
      <x:c r="O8" s="7" t="str">
        <x:v>NEX-MAP-OPS</x:v>
      </x:c>
      <x:c r="P8" s="7" t="str"/>
      <x:c r="Q8" s="7" t="str"/>
      <x:c r="R8" s="7" t="str"/>
      <x:c r="S8" s="7" t="str"/>
    </x:row>
    <x:row r="9" ht="68" customHeight="1">
      <x:c r="A9" s="18" t="str">
        <x:v>NEX-MIS-GROW</x:v>
      </x:c>
      <x:c r="B9" s="9" t="str">
        <x:v>Sauver une capacité de production locale</x:v>
      </x:c>
      <x:c r="C9" s="15" t="str">
        <x:v>Défini</x:v>
      </x:c>
      <x:c r="D9" s="16" t="str">
        <x:v>Extrapolation</x:v>
      </x:c>
      <x:c r="E9" s="16" t="str">
        <x:v>P0</x:v>
      </x:c>
      <x:c r="F9" s="9" t="str">
        <x:v>Mission originale d’adaptation, inspirée d’un enjeu général de l’œuvre.</x:v>
      </x:c>
      <x:c r="G9" s="9" t="str">
        <x:v>Stabiliser un petit module hydroponique ajouté au niveau.</x:v>
      </x:c>
      <x:c r="H9" s="9" t="str">
        <x:v>Isoler un circuit, réparer une vanne abstraite et protéger la distribution électrique.</x:v>
      </x:c>
      <x:c r="I9" s="9" t="str">
        <x:v>Objectif spatial associé à Module hydroponique proposé ; états non commencé/en cours/résolu distingués.</x:v>
      </x:c>
      <x:c r="J9" s="9" t="str">
        <x:v>Entrée contrôlée, actions de groupe et fin interruptible avant sauvegarde ; aucune animation ne décide seule du résultat.</x:v>
      </x:c>
      <x:c r="K9" s="9" t="str">
        <x:v>Briefing original concis ; changement de musique à la résolution d’objectif, pas après un délai arbitraire.</x:v>
      </x:c>
      <x:c r="L9" s="9" t="str">
        <x:v>quests/nex/grow.json ; états offered/active/resolved ; clés de progression propres au module.</x:v>
      </x:c>
      <x:c r="M9" s="9" t="str">
        <x:v>Le module ne résout pas la pénurie globale du roman.</x:v>
      </x:c>
      <x:c r="N9" s="9" t="str">
        <x:v>Le joueur peut accomplir « Stabiliser un petit module hydroponique ajouté au niveau. » et la sortie confirme le résultat ; Le module ne résout pas la pénurie globale du roman.</x:v>
      </x:c>
      <x:c r="O9" s="9" t="str">
        <x:v>NEX-MAP-HYDRO</x:v>
      </x:c>
      <x:c r="P9" s="9" t="str"/>
      <x:c r="Q9" s="9" t="str"/>
      <x:c r="R9" s="9" t="str"/>
      <x:c r="S9" s="9" t="str"/>
    </x:row>
    <x:row r="10" ht="68" customHeight="1">
      <x:c r="A10" s="19" t="str">
        <x:v>NEX-MIS-AIR</x:v>
      </x:c>
      <x:c r="B10" s="7" t="str">
        <x:v>Garder l’atelier accessible</x:v>
      </x:c>
      <x:c r="C10" s="15" t="str">
        <x:v>Défini</x:v>
      </x:c>
      <x:c r="D10" s="17" t="str">
        <x:v>Extrapolation</x:v>
      </x:c>
      <x:c r="E10" s="17" t="str">
        <x:v>P0</x:v>
      </x:c>
      <x:c r="F10" s="7" t="str">
        <x:v>Mission originale d’adaptation, inspirée d’un enjeu général de l’œuvre.</x:v>
      </x:c>
      <x:c r="G10" s="7" t="str">
        <x:v>Aider les techniciens à achever une réparation sans nouvelle victime.</x:v>
      </x:c>
      <x:c r="H10" s="7" t="str">
        <x:v>Répartir présence, outil et énergie entre trois postes ; pause pendant la lecture.</x:v>
      </x:c>
      <x:c r="I10" s="7" t="str">
        <x:v>Objectif spatial associé à Atelier de maintien en vie proposé ; états non commencé/en cours/résolu distingués.</x:v>
      </x:c>
      <x:c r="J10" s="7" t="str">
        <x:v>Entrée contrôlée, actions de groupe et fin interruptible avant sauvegarde ; aucune animation ne décide seule du résultat.</x:v>
      </x:c>
      <x:c r="K10" s="7" t="str">
        <x:v>Briefing original concis ; changement de musique à la résolution d’objectif, pas après un délai arbitraire.</x:v>
      </x:c>
      <x:c r="L10" s="7" t="str">
        <x:v>quests/nex/air.json ; états offered/active/resolved ; clés de progression propres au module.</x:v>
      </x:c>
      <x:c r="M10" s="7" t="str">
        <x:v>Les relations entre Sloane et Calix restent nuancées.</x:v>
      </x:c>
      <x:c r="N10" s="7" t="str">
        <x:v>Le joueur peut accomplir « Aider les techniciens à achever une réparation sans nouvelle victime. » et la sortie confirme le résultat ; Les relations entre Sloane et Calix restent nuancées.</x:v>
      </x:c>
      <x:c r="O10" s="7" t="str">
        <x:v>NEX-MAP-LIFE</x:v>
      </x:c>
      <x:c r="P10" s="7" t="str"/>
      <x:c r="Q10" s="7" t="str"/>
      <x:c r="R10" s="7" t="str"/>
      <x:c r="S10" s="7" t="str"/>
    </x:row>
    <x:row r="11" ht="54" customHeight="1">
      <x:c r="A11" s="18" t="str">
        <x:v>NEX-MIS-RATION</x:v>
      </x:c>
      <x:c r="B11" s="9" t="str">
        <x:v>Protéger une distribution</x:v>
      </x:c>
      <x:c r="C11" s="15" t="str">
        <x:v>Défini</x:v>
      </x:c>
      <x:c r="D11" s="16" t="str">
        <x:v>Extrapolation</x:v>
      </x:c>
      <x:c r="E11" s="16" t="str">
        <x:v>P0</x:v>
      </x:c>
      <x:c r="F11" s="9" t="str">
        <x:v>Mission originale d’adaptation, inspirée d’un enjeu général de l’œuvre.</x:v>
      </x:c>
      <x:c r="G11" s="9" t="str">
        <x:v>Acheminer un lot local vers les personnes déjà autorisées.</x:v>
      </x:c>
      <x:c r="H11" s="9" t="str">
        <x:v>Vérifier la liste et ouvrir une circulation ; entendre une contestation avant de clôturer.</x:v>
      </x:c>
      <x:c r="I11" s="9" t="str">
        <x:v>Objectif spatial associé à Quai de distribution proposé ; états non commencé/en cours/résolu distingués.</x:v>
      </x:c>
      <x:c r="J11" s="9" t="str">
        <x:v>Entrée contrôlée, actions de groupe et fin interruptible avant sauvegarde ; aucune animation ne décide seule du résultat.</x:v>
      </x:c>
      <x:c r="K11" s="9" t="str">
        <x:v>Briefing original concis ; changement de musique à la résolution d’objectif, pas après un délai arbitraire.</x:v>
      </x:c>
      <x:c r="L11" s="9" t="str">
        <x:v>quests/nex/ration.json ; états offered/active/resolved ; clés de progression propres au module.</x:v>
      </x:c>
      <x:c r="M11" s="9" t="str">
        <x:v>Pas de bonus de ressources fondé sur l’espèce.</x:v>
      </x:c>
      <x:c r="N11" s="9" t="str">
        <x:v>Le joueur peut accomplir « Acheminer un lot local vers les personnes déjà autorisées. » et la sortie confirme le résultat ; Pas de bonus de ressources fondé sur l’espèce.</x:v>
      </x:c>
      <x:c r="O11" s="9" t="str">
        <x:v>NEX-MAP-DOCK</x:v>
      </x:c>
      <x:c r="P11" s="9" t="str"/>
      <x:c r="Q11" s="9" t="str"/>
      <x:c r="R11" s="9" t="str"/>
      <x:c r="S11" s="9" t="str"/>
    </x:row>
    <x:row r="12" ht="68" customHeight="1">
      <x:c r="A12" s="19" t="str">
        <x:v>NEX-MIS-DATA</x:v>
      </x:c>
      <x:c r="B12" s="7" t="str">
        <x:v>Comprendre un accès compromis</x:v>
      </x:c>
      <x:c r="C12" s="15" t="str">
        <x:v>Défini</x:v>
      </x:c>
      <x:c r="D12" s="17" t="str">
        <x:v>Extrapolation</x:v>
      </x:c>
      <x:c r="E12" s="17" t="str">
        <x:v>P0</x:v>
      </x:c>
      <x:c r="F12" s="7" t="str">
        <x:v>Mission originale d’adaptation, inspirée d’un enjeu général de l’œuvre.</x:v>
      </x:c>
      <x:c r="G12" s="7" t="str">
        <x:v>Distinguer une panne, un acte volontaire et une rumeur dans des logs fictifs.</x:v>
      </x:c>
      <x:c r="H12" s="7" t="str">
        <x:v>Comparer horodatage, habilitation et effet ; laisser les cas incomplets ouverts.</x:v>
      </x:c>
      <x:c r="I12" s="7" t="str">
        <x:v>Objectif spatial associé à Atelier de fabrication proposé ; états non commencé/en cours/résolu distingués.</x:v>
      </x:c>
      <x:c r="J12" s="7" t="str">
        <x:v>Entrée contrôlée, actions de groupe et fin interruptible avant sauvegarde ; aucune animation ne décide seule du résultat.</x:v>
      </x:c>
      <x:c r="K12" s="7" t="str">
        <x:v>Briefing original concis ; changement de musique à la résolution d’objectif, pas après un délai arbitraire.</x:v>
      </x:c>
      <x:c r="L12" s="7" t="str">
        <x:v>quests/nex/data.json ; états offered/active/resolved ; clés de progression propres au module.</x:v>
      </x:c>
      <x:c r="M12" s="7" t="str">
        <x:v>Aucun coupable secondaire ajouté présenté comme canon.</x:v>
      </x:c>
      <x:c r="N12" s="7" t="str">
        <x:v>Le joueur peut accomplir « Distinguer une panne, un acte volontaire et une rumeur dans des logs fictifs. » et la sortie confirme le résultat ; Aucun coupable secondaire ajouté présenté comme canon.</x:v>
      </x:c>
      <x:c r="O12" s="7" t="str">
        <x:v>NEX-MAP-FAB</x:v>
      </x:c>
      <x:c r="P12" s="7" t="str"/>
      <x:c r="Q12" s="7" t="str"/>
      <x:c r="R12" s="7" t="str"/>
      <x:c r="S12" s="7" t="str"/>
    </x:row>
    <x:row r="13" ht="68" customHeight="1">
      <x:c r="A13" s="18" t="str">
        <x:v>NEX-MIS-CORRIDOR</x:v>
      </x:c>
      <x:c r="B13" s="9" t="str">
        <x:v>Ouvrir un passage de secours</x:v>
      </x:c>
      <x:c r="C13" s="15" t="str">
        <x:v>Défini</x:v>
      </x:c>
      <x:c r="D13" s="16" t="str">
        <x:v>Extrapolation</x:v>
      </x:c>
      <x:c r="E13" s="16" t="str">
        <x:v>P0</x:v>
      </x:c>
      <x:c r="F13" s="9" t="str">
        <x:v>Mission originale d’adaptation, inspirée d’un enjeu général de l’œuvre.</x:v>
      </x:c>
      <x:c r="G13" s="9" t="str">
        <x:v>Permettre aux civils de circuler entre deux secteurs tendus.</x:v>
      </x:c>
      <x:c r="H13" s="9" t="str">
        <x:v>Marquer la zone neutre, négocier le passage et retirer un obstacle.</x:v>
      </x:c>
      <x:c r="I13" s="9" t="str">
        <x:v>Objectif spatial associé à Couloir de séparation proposé ; états non commencé/en cours/résolu distingués.</x:v>
      </x:c>
      <x:c r="J13" s="9" t="str">
        <x:v>Entrée contrôlée, actions de groupe et fin interruptible avant sauvegarde ; aucune animation ne décide seule du résultat.</x:v>
      </x:c>
      <x:c r="K13" s="9" t="str">
        <x:v>Briefing original concis ; changement de musique à la résolution d’objectif, pas après un délai arbitraire.</x:v>
      </x:c>
      <x:c r="L13" s="9" t="str">
        <x:v>quests/nex/corridor.json ; états offered/active/resolved ; clés de progression propres au module.</x:v>
      </x:c>
      <x:c r="M13" s="9" t="str">
        <x:v>Les décisions locales n’empêchent pas l’exil ultérieur.</x:v>
      </x:c>
      <x:c r="N13" s="9" t="str">
        <x:v>Le joueur peut accomplir « Permettre aux civils de circuler entre deux secteurs tendus. » et la sortie confirme le résultat ; Les décisions locales n’empêchent pas l’exil ultérieur.</x:v>
      </x:c>
      <x:c r="O13" s="9" t="str">
        <x:v>NEX-MAP-BARRIER</x:v>
      </x:c>
      <x:c r="P13" s="9" t="str"/>
      <x:c r="Q13" s="9" t="str"/>
      <x:c r="R13" s="9" t="str"/>
      <x:c r="S13" s="9" t="str"/>
    </x:row>
    <x:row r="14" ht="68" customHeight="1">
      <x:c r="A14" s="19" t="str">
        <x:v>NEX-MIS-DEPARTURE</x:v>
      </x:c>
      <x:c r="B14" s="7" t="str">
        <x:v>Vérifier les conditions de départ</x:v>
      </x:c>
      <x:c r="C14" s="15" t="str">
        <x:v>Défini</x:v>
      </x:c>
      <x:c r="D14" s="17" t="str">
        <x:v>Extrapolation</x:v>
      </x:c>
      <x:c r="E14" s="17" t="str">
        <x:v>P0</x:v>
      </x:c>
      <x:c r="F14" s="7" t="str">
        <x:v>Mission originale d’adaptation, inspirée d’un enjeu général de l’œuvre.</x:v>
      </x:c>
      <x:c r="G14" s="7" t="str">
        <x:v>Clore une séquence d’exil en conservant noms, ressources et responsabilités.</x:v>
      </x:c>
      <x:c r="H14" s="7" t="str">
        <x:v>Comparer manifeste, groupe présent et matériel effectivement chargé.</x:v>
      </x:c>
      <x:c r="I14" s="7" t="str">
        <x:v>Objectif spatial associé à Zone de départ proposée ; états non commencé/en cours/résolu distingués.</x:v>
      </x:c>
      <x:c r="J14" s="7" t="str">
        <x:v>Entrée contrôlée, actions de groupe et fin interruptible avant sauvegarde ; aucune animation ne décide seule du résultat.</x:v>
      </x:c>
      <x:c r="K14" s="7" t="str">
        <x:v>Briefing original concis ; changement de musique à la résolution d’objectif, pas après un délai arbitraire.</x:v>
      </x:c>
      <x:c r="L14" s="7" t="str">
        <x:v>quests/nex/departure.json ; états offered/active/resolved ; clés de progression propres au module.</x:v>
      </x:c>
      <x:c r="M14" s="7" t="str">
        <x:v>L’avenir de Kadara n’est pas joué à l’avance.</x:v>
      </x:c>
      <x:c r="N14" s="7" t="str">
        <x:v>Le joueur peut accomplir « Clore une séquence d’exil en conservant noms, ressources et responsabilités. » et la sortie confirme le résultat ; L’avenir de Kadara n’est pas joué à l’avance.</x:v>
      </x:c>
      <x:c r="O14" s="7" t="str">
        <x:v>NEX-MAP-DEPART</x:v>
      </x:c>
      <x:c r="P14" s="7" t="str"/>
      <x:c r="Q14" s="7" t="str"/>
      <x:c r="R14" s="7" t="str"/>
      <x:c r="S14" s="7" t="str"/>
    </x:row>
  </x:sheetData>
  <x:conditionalFormatting sqref="D7:D14">
    <x:cfRule type="cellIs" dxfId="36" priority="1" operator="equal">
      <x:formula>"À vérifier"</x:formula>
    </x:cfRule>
    <x:cfRule type="cellIs" dxfId="37" priority="2" operator="equal">
      <x:formula>"Extrapolation"</x:formula>
    </x:cfRule>
  </x:conditionalFormatting>
  <x:conditionalFormatting sqref="C7:C14">
    <x:cfRule type="cellIs" dxfId="38" priority="3" operator="equal">
      <x:formula>"Validé"</x:formula>
    </x:cfRule>
  </x:conditionalFormatting>
  <x:conditionalFormatting sqref="E7:E14">
    <x:cfRule type="cellIs" dxfId="3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f9056390848e48d3"/>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Andromeda: Nexus Uprising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NEX-OPT-RESTORE</x:v>
      </x:c>
      <x:c r="B7" s="9" t="str">
        <x:v>Remettre une section en service — tâche annexe</x:v>
      </x:c>
      <x:c r="C7" s="15" t="str">
        <x:v>Défini</x:v>
      </x:c>
      <x:c r="D7" s="16" t="str">
        <x:v>Extrapolation</x:v>
      </x:c>
      <x:c r="E7" s="16" t="str">
        <x:v>P1</x:v>
      </x:c>
      <x:c r="F7" s="9" t="str">
        <x:v>Objectif annexe créé pour l’adaptation.</x:v>
      </x:c>
      <x:c r="G7" s="9" t="str">
        <x:v>Repérer un casier médical de bord pour les intervenants.</x:v>
      </x:c>
      <x:c r="H7" s="9" t="str">
        <x:v>Récompense proposée : renseignement de terrain, raccourci ou consommable local. Ne débloque aucun savoir anticipé sur la saga.</x:v>
      </x:c>
      <x:c r="I7" s="9" t="str">
        <x:v>Marqueur secondaire distinct du chemin critique et objet d’intérêt cadré lisiblement.</x:v>
      </x:c>
      <x:c r="J7" s="9" t="str">
        <x:v>Interaction brève réutilisant les poses du métier concerné, avec interruption possible.</x:v>
      </x:c>
      <x:c r="K7" s="9" t="str">
        <x:v>Petit signal de découverte ; résultat textuel consultable sans audio.</x:v>
      </x:c>
      <x:c r="L7" s="9" t="str">
        <x:v>optional.nex.restore ; persister done/skipped, récompenser une seule fois.</x:v>
      </x:c>
      <x:c r="M7" s="9" t="str">
        <x:v>Facultatif ; peut être ignoré sans bloquer la mission. La station reste endommagée et isolée.</x:v>
      </x:c>
      <x:c r="N7" s="9" t="str">
        <x:v>Ignorer puis terminer la mission fonctionne ; compléter ne verse la récompense qu’une fois.</x:v>
      </x:c>
      <x:c r="O7" s="9" t="str">
        <x:v>NEX-MIS-RESTORE</x:v>
      </x:c>
      <x:c r="P7" s="9" t="str"/>
      <x:c r="Q7" s="9" t="str"/>
      <x:c r="R7" s="9" t="str"/>
      <x:c r="S7" s="9" t="str"/>
    </x:row>
    <x:row r="8" ht="54" customHeight="1">
      <x:c r="A8" s="19" t="str">
        <x:v>NEX-OPT-PRIORITY</x:v>
      </x:c>
      <x:c r="B8" s="7" t="str">
        <x:v>Rendre les priorités compréhensibles — tâche annexe</x:v>
      </x:c>
      <x:c r="C8" s="15" t="str">
        <x:v>Défini</x:v>
      </x:c>
      <x:c r="D8" s="17" t="str">
        <x:v>Extrapolation</x:v>
      </x:c>
      <x:c r="E8" s="17" t="str">
        <x:v>P1</x:v>
      </x:c>
      <x:c r="F8" s="7" t="str">
        <x:v>Objectif annexe créé pour l’adaptation.</x:v>
      </x:c>
      <x:c r="G8" s="7" t="str">
        <x:v>Corriger une demande mal attribuée pour éviter un déplacement inutile.</x:v>
      </x:c>
      <x:c r="H8" s="7" t="str">
        <x:v>Récompense proposée : renseignement de terrain, raccourci ou consommable local. Ne débloque aucun savoir anticipé sur la saga.</x:v>
      </x:c>
      <x:c r="I8" s="7" t="str">
        <x:v>Marqueur secondaire distinct du chemin critique et objet d’intérêt cadré lisiblement.</x:v>
      </x:c>
      <x:c r="J8" s="7" t="str">
        <x:v>Interaction brève réutilisant les poses du métier concerné, avec interruption possible.</x:v>
      </x:c>
      <x:c r="K8" s="7" t="str">
        <x:v>Petit signal de découverte ; résultat textuel consultable sans audio.</x:v>
      </x:c>
      <x:c r="L8" s="7" t="str">
        <x:v>optional.nex.priority ; persister done/skipped, récompenser une seule fois.</x:v>
      </x:c>
      <x:c r="M8" s="7" t="str">
        <x:v>Facultatif ; peut être ignoré sans bloquer la mission. Le joueur n’annule pas la crise politique par un score optimal.</x:v>
      </x:c>
      <x:c r="N8" s="7" t="str">
        <x:v>Ignorer puis terminer la mission fonctionne ; compléter ne verse la récompense qu’une fois.</x:v>
      </x:c>
      <x:c r="O8" s="7" t="str">
        <x:v>NEX-MIS-PRIORITY</x:v>
      </x:c>
      <x:c r="P8" s="7" t="str"/>
      <x:c r="Q8" s="7" t="str"/>
      <x:c r="R8" s="7" t="str"/>
      <x:c r="S8" s="7" t="str"/>
    </x:row>
    <x:row r="9" ht="54" customHeight="1">
      <x:c r="A9" s="18" t="str">
        <x:v>NEX-OPT-GROW</x:v>
      </x:c>
      <x:c r="B9" s="9" t="str">
        <x:v>Sauver une capacité de production locale — tâche annexe</x:v>
      </x:c>
      <x:c r="C9" s="15" t="str">
        <x:v>Défini</x:v>
      </x:c>
      <x:c r="D9" s="16" t="str">
        <x:v>Extrapolation</x:v>
      </x:c>
      <x:c r="E9" s="16" t="str">
        <x:v>P1</x:v>
      </x:c>
      <x:c r="F9" s="9" t="str">
        <x:v>Objectif annexe créé pour l’adaptation.</x:v>
      </x:c>
      <x:c r="G9" s="9" t="str">
        <x:v>Retrouver une pièce de rechange identifiée par forme et numéro fictifs.</x:v>
      </x:c>
      <x:c r="H9" s="9" t="str">
        <x:v>Récompense proposée : renseignement de terrain, raccourci ou consommable local. Ne débloque aucun savoir anticipé sur la saga.</x:v>
      </x:c>
      <x:c r="I9" s="9" t="str">
        <x:v>Marqueur secondaire distinct du chemin critique et objet d’intérêt cadré lisiblement.</x:v>
      </x:c>
      <x:c r="J9" s="9" t="str">
        <x:v>Interaction brève réutilisant les poses du métier concerné, avec interruption possible.</x:v>
      </x:c>
      <x:c r="K9" s="9" t="str">
        <x:v>Petit signal de découverte ; résultat textuel consultable sans audio.</x:v>
      </x:c>
      <x:c r="L9" s="9" t="str">
        <x:v>optional.nex.grow ; persister done/skipped, récompenser une seule fois.</x:v>
      </x:c>
      <x:c r="M9" s="9" t="str">
        <x:v>Facultatif ; peut être ignoré sans bloquer la mission. Le module ne résout pas la pénurie globale du roman.</x:v>
      </x:c>
      <x:c r="N9" s="9" t="str">
        <x:v>Ignorer puis terminer la mission fonctionne ; compléter ne verse la récompense qu’une fois.</x:v>
      </x:c>
      <x:c r="O9" s="9" t="str">
        <x:v>NEX-MIS-GROW</x:v>
      </x:c>
      <x:c r="P9" s="9" t="str"/>
      <x:c r="Q9" s="9" t="str"/>
      <x:c r="R9" s="9" t="str"/>
      <x:c r="S9" s="9" t="str"/>
    </x:row>
    <x:row r="10" ht="54" customHeight="1">
      <x:c r="A10" s="19" t="str">
        <x:v>NEX-OPT-AIR</x:v>
      </x:c>
      <x:c r="B10" s="7" t="str">
        <x:v>Garder l’atelier accessible — tâche annexe</x:v>
      </x:c>
      <x:c r="C10" s="15" t="str">
        <x:v>Défini</x:v>
      </x:c>
      <x:c r="D10" s="17" t="str">
        <x:v>Extrapolation</x:v>
      </x:c>
      <x:c r="E10" s="17" t="str">
        <x:v>P1</x:v>
      </x:c>
      <x:c r="F10" s="7" t="str">
        <x:v>Objectif annexe créé pour l’adaptation.</x:v>
      </x:c>
      <x:c r="G10" s="7" t="str">
        <x:v>Créer une signalétique temporaire compréhensible sans langue commune.</x:v>
      </x:c>
      <x:c r="H10" s="7" t="str">
        <x:v>Récompense proposée : renseignement de terrain, raccourci ou consommable local. Ne débloque aucun savoir anticipé sur la saga.</x:v>
      </x:c>
      <x:c r="I10" s="7" t="str">
        <x:v>Marqueur secondaire distinct du chemin critique et objet d’intérêt cadré lisiblement.</x:v>
      </x:c>
      <x:c r="J10" s="7" t="str">
        <x:v>Interaction brève réutilisant les poses du métier concerné, avec interruption possible.</x:v>
      </x:c>
      <x:c r="K10" s="7" t="str">
        <x:v>Petit signal de découverte ; résultat textuel consultable sans audio.</x:v>
      </x:c>
      <x:c r="L10" s="7" t="str">
        <x:v>optional.nex.air ; persister done/skipped, récompenser une seule fois.</x:v>
      </x:c>
      <x:c r="M10" s="7" t="str">
        <x:v>Facultatif ; peut être ignoré sans bloquer la mission. Les relations entre Sloane et Calix restent nuancées.</x:v>
      </x:c>
      <x:c r="N10" s="7" t="str">
        <x:v>Ignorer puis terminer la mission fonctionne ; compléter ne verse la récompense qu’une fois.</x:v>
      </x:c>
      <x:c r="O10" s="7" t="str">
        <x:v>NEX-MIS-AIR</x:v>
      </x:c>
      <x:c r="P10" s="7" t="str"/>
      <x:c r="Q10" s="7" t="str"/>
      <x:c r="R10" s="7" t="str"/>
      <x:c r="S10" s="7" t="str"/>
    </x:row>
    <x:row r="11" ht="54" customHeight="1">
      <x:c r="A11" s="18" t="str">
        <x:v>NEX-OPT-RATION</x:v>
      </x:c>
      <x:c r="B11" s="9" t="str">
        <x:v>Protéger une distribution — tâche annexe</x:v>
      </x:c>
      <x:c r="C11" s="15" t="str">
        <x:v>Défini</x:v>
      </x:c>
      <x:c r="D11" s="16" t="str">
        <x:v>Extrapolation</x:v>
      </x:c>
      <x:c r="E11" s="16" t="str">
        <x:v>P1</x:v>
      </x:c>
      <x:c r="F11" s="9" t="str">
        <x:v>Objectif annexe créé pour l’adaptation.</x:v>
      </x:c>
      <x:c r="G11" s="9" t="str">
        <x:v>Rendre un colis personnel oublié à son destinataire original.</x:v>
      </x:c>
      <x:c r="H11" s="9" t="str">
        <x:v>Récompense proposée : renseignement de terrain, raccourci ou consommable local. Ne débloque aucun savoir anticipé sur la saga.</x:v>
      </x:c>
      <x:c r="I11" s="9" t="str">
        <x:v>Marqueur secondaire distinct du chemin critique et objet d’intérêt cadré lisiblement.</x:v>
      </x:c>
      <x:c r="J11" s="9" t="str">
        <x:v>Interaction brève réutilisant les poses du métier concerné, avec interruption possible.</x:v>
      </x:c>
      <x:c r="K11" s="9" t="str">
        <x:v>Petit signal de découverte ; résultat textuel consultable sans audio.</x:v>
      </x:c>
      <x:c r="L11" s="9" t="str">
        <x:v>optional.nex.ration ; persister done/skipped, récompenser une seule fois.</x:v>
      </x:c>
      <x:c r="M11" s="9" t="str">
        <x:v>Facultatif ; peut être ignoré sans bloquer la mission. Pas de bonus de ressources fondé sur l’espèce.</x:v>
      </x:c>
      <x:c r="N11" s="9" t="str">
        <x:v>Ignorer puis terminer la mission fonctionne ; compléter ne verse la récompense qu’une fois.</x:v>
      </x:c>
      <x:c r="O11" s="9" t="str">
        <x:v>NEX-MIS-RATION</x:v>
      </x:c>
      <x:c r="P11" s="9" t="str"/>
      <x:c r="Q11" s="9" t="str"/>
      <x:c r="R11" s="9" t="str"/>
      <x:c r="S11" s="9" t="str"/>
    </x:row>
    <x:row r="12" ht="54" customHeight="1">
      <x:c r="A12" s="19" t="str">
        <x:v>NEX-OPT-DATA</x:v>
      </x:c>
      <x:c r="B12" s="7" t="str">
        <x:v>Comprendre un accès compromis — tâche annexe</x:v>
      </x:c>
      <x:c r="C12" s="15" t="str">
        <x:v>Défini</x:v>
      </x:c>
      <x:c r="D12" s="17" t="str">
        <x:v>Extrapolation</x:v>
      </x:c>
      <x:c r="E12" s="17" t="str">
        <x:v>P1</x:v>
      </x:c>
      <x:c r="F12" s="7" t="str">
        <x:v>Objectif annexe créé pour l’adaptation.</x:v>
      </x:c>
      <x:c r="G12" s="7" t="str">
        <x:v>Restaurer une sauvegarde d’atelier sans effacer les traces.</x:v>
      </x:c>
      <x:c r="H12" s="7" t="str">
        <x:v>Récompense proposée : renseignement de terrain, raccourci ou consommable local. Ne débloque aucun savoir anticipé sur la saga.</x:v>
      </x:c>
      <x:c r="I12" s="7" t="str">
        <x:v>Marqueur secondaire distinct du chemin critique et objet d’intérêt cadré lisiblement.</x:v>
      </x:c>
      <x:c r="J12" s="7" t="str">
        <x:v>Interaction brève réutilisant les poses du métier concerné, avec interruption possible.</x:v>
      </x:c>
      <x:c r="K12" s="7" t="str">
        <x:v>Petit signal de découverte ; résultat textuel consultable sans audio.</x:v>
      </x:c>
      <x:c r="L12" s="7" t="str">
        <x:v>optional.nex.data ; persister done/skipped, récompenser une seule fois.</x:v>
      </x:c>
      <x:c r="M12" s="7" t="str">
        <x:v>Facultatif ; peut être ignoré sans bloquer la mission. Aucun coupable secondaire ajouté présenté comme canon.</x:v>
      </x:c>
      <x:c r="N12" s="7" t="str">
        <x:v>Ignorer puis terminer la mission fonctionne ; compléter ne verse la récompense qu’une fois.</x:v>
      </x:c>
      <x:c r="O12" s="7" t="str">
        <x:v>NEX-MIS-DATA</x:v>
      </x:c>
      <x:c r="P12" s="7" t="str"/>
      <x:c r="Q12" s="7" t="str"/>
      <x:c r="R12" s="7" t="str"/>
      <x:c r="S12" s="7" t="str"/>
    </x:row>
    <x:row r="13" ht="54" customHeight="1">
      <x:c r="A13" s="18" t="str">
        <x:v>NEX-OPT-CORRIDOR</x:v>
      </x:c>
      <x:c r="B13" s="9" t="str">
        <x:v>Ouvrir un passage de secours — tâche annexe</x:v>
      </x:c>
      <x:c r="C13" s="15" t="str">
        <x:v>Défini</x:v>
      </x:c>
      <x:c r="D13" s="16" t="str">
        <x:v>Extrapolation</x:v>
      </x:c>
      <x:c r="E13" s="16" t="str">
        <x:v>P1</x:v>
      </x:c>
      <x:c r="F13" s="9" t="str">
        <x:v>Objectif annexe créé pour l’adaptation.</x:v>
      </x:c>
      <x:c r="G13" s="9" t="str">
        <x:v>Accompagner un blessé jusqu’à un point neutre dans une tâche facultative.</x:v>
      </x:c>
      <x:c r="H13" s="9" t="str">
        <x:v>Récompense proposée : renseignement de terrain, raccourci ou consommable local. Ne débloque aucun savoir anticipé sur la saga.</x:v>
      </x:c>
      <x:c r="I13" s="9" t="str">
        <x:v>Marqueur secondaire distinct du chemin critique et objet d’intérêt cadré lisiblement.</x:v>
      </x:c>
      <x:c r="J13" s="9" t="str">
        <x:v>Interaction brève réutilisant les poses du métier concerné, avec interruption possible.</x:v>
      </x:c>
      <x:c r="K13" s="9" t="str">
        <x:v>Petit signal de découverte ; résultat textuel consultable sans audio.</x:v>
      </x:c>
      <x:c r="L13" s="9" t="str">
        <x:v>optional.nex.corridor ; persister done/skipped, récompenser une seule fois.</x:v>
      </x:c>
      <x:c r="M13" s="9" t="str">
        <x:v>Facultatif ; peut être ignoré sans bloquer la mission. Les décisions locales n’empêchent pas l’exil ultérieur.</x:v>
      </x:c>
      <x:c r="N13" s="9" t="str">
        <x:v>Ignorer puis terminer la mission fonctionne ; compléter ne verse la récompense qu’une fois.</x:v>
      </x:c>
      <x:c r="O13" s="9" t="str">
        <x:v>NEX-MIS-CORRIDOR</x:v>
      </x:c>
      <x:c r="P13" s="9" t="str"/>
      <x:c r="Q13" s="9" t="str"/>
      <x:c r="R13" s="9" t="str"/>
      <x:c r="S13" s="9" t="str"/>
    </x:row>
    <x:row r="14" ht="54" customHeight="1">
      <x:c r="A14" s="19" t="str">
        <x:v>NEX-OPT-DEPARTURE</x:v>
      </x:c>
      <x:c r="B14" s="7" t="str">
        <x:v>Vérifier les conditions de départ — tâche annexe</x:v>
      </x:c>
      <x:c r="C14" s="15" t="str">
        <x:v>Défini</x:v>
      </x:c>
      <x:c r="D14" s="17" t="str">
        <x:v>Extrapolation</x:v>
      </x:c>
      <x:c r="E14" s="17" t="str">
        <x:v>P1</x:v>
      </x:c>
      <x:c r="F14" s="7" t="str">
        <x:v>Objectif annexe créé pour l’adaptation.</x:v>
      </x:c>
      <x:c r="G14" s="7" t="str">
        <x:v>Retrouver un souvenir personnel parmi les bagages déplacés.</x:v>
      </x:c>
      <x:c r="H14" s="7" t="str">
        <x:v>Récompense proposée : renseignement de terrain, raccourci ou consommable local. Ne débloque aucun savoir anticipé sur la saga.</x:v>
      </x:c>
      <x:c r="I14" s="7" t="str">
        <x:v>Marqueur secondaire distinct du chemin critique et objet d’intérêt cadré lisiblement.</x:v>
      </x:c>
      <x:c r="J14" s="7" t="str">
        <x:v>Interaction brève réutilisant les poses du métier concerné, avec interruption possible.</x:v>
      </x:c>
      <x:c r="K14" s="7" t="str">
        <x:v>Petit signal de découverte ; résultat textuel consultable sans audio.</x:v>
      </x:c>
      <x:c r="L14" s="7" t="str">
        <x:v>optional.nex.departure ; persister done/skipped, récompenser une seule fois.</x:v>
      </x:c>
      <x:c r="M14" s="7" t="str">
        <x:v>Facultatif ; peut être ignoré sans bloquer la mission. L’avenir de Kadara n’est pas joué à l’avance.</x:v>
      </x:c>
      <x:c r="N14" s="7" t="str">
        <x:v>Ignorer puis terminer la mission fonctionne ; compléter ne verse la récompense qu’une fois.</x:v>
      </x:c>
      <x:c r="O14" s="7" t="str">
        <x:v>NEX-MIS-DEPARTURE</x:v>
      </x:c>
      <x:c r="P14" s="7" t="str"/>
      <x:c r="Q14" s="7" t="str"/>
      <x:c r="R14" s="7" t="str"/>
      <x:c r="S14" s="7" t="str"/>
    </x:row>
  </x:sheetData>
  <x:conditionalFormatting sqref="D7:D14">
    <x:cfRule type="cellIs" dxfId="40" priority="1" operator="equal">
      <x:formula>"À vérifier"</x:formula>
    </x:cfRule>
    <x:cfRule type="cellIs" dxfId="41" priority="2" operator="equal">
      <x:formula>"Extrapolation"</x:formula>
    </x:cfRule>
  </x:conditionalFormatting>
  <x:conditionalFormatting sqref="C7:C14">
    <x:cfRule type="cellIs" dxfId="42" priority="3" operator="equal">
      <x:formula>"Validé"</x:formula>
    </x:cfRule>
  </x:conditionalFormatting>
  <x:conditionalFormatting sqref="E7:E14">
    <x:cfRule type="cellIs" dxfId="4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93011a58687f41e2"/>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Andromeda: Nexus Uprising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NEX-CHO-RESTORE</x:v>
      </x:c>
      <x:c r="B7" s="9" t="str">
        <x:v>Remettre une section en service — méthode optionnelle</x:v>
      </x:c>
      <x:c r="C7" s="15" t="str">
        <x:v>Défini</x:v>
      </x:c>
      <x:c r="D7" s="16" t="str">
        <x:v>Extrapolation</x:v>
      </x:c>
      <x:c r="E7" s="16" t="str">
        <x:v>P1</x:v>
      </x:c>
      <x:c r="F7" s="9" t="str">
        <x:v>Bifurcation locale originale ; elle ne crée pas une autre fin officielle.</x:v>
      </x:c>
      <x:c r="G7" s="9" t="str">
        <x:v>Rallumer toute la zone ou préserver une réserve ; mêmes personnes autorisées.</x:v>
      </x:c>
      <x:c r="H7" s="9" t="str">
        <x:v>Afficher coût, bénéfice local et condition de retour avant validation ; deux méthodes rejoignent le même verrou de continuité.</x:v>
      </x:c>
      <x:c r="I7" s="9" t="str">
        <x:v>Libellés d’action concrets ; symbole d’effet local ; aucune option désactivée sans motif.</x:v>
      </x:c>
      <x:c r="J7" s="9" t="str">
        <x:v>Réaction courte du groupe ; reprise immédiate des contrôles après résultat.</x:v>
      </x:c>
      <x:c r="K7" s="9" t="str">
        <x:v>Confirmation discrète ; lecture du résultat disponible dans le journal.</x:v>
      </x:c>
      <x:c r="L7" s="9" t="str">
        <x:v>choice.nex.restore ; stocker la méthode et le coût, jamais une réécriture d’événement source.</x:v>
      </x:c>
      <x:c r="M7" s="9" t="str">
        <x:v>La station reste endommagée et isolée.</x:v>
      </x:c>
      <x:c r="N7" s="9" t="str">
        <x:v>Les deux branches sont atteignables ; l’état canonique final du module est identique.</x:v>
      </x:c>
      <x:c r="O7" s="9" t="str">
        <x:v>NEX-MIS-RESTORE</x:v>
      </x:c>
      <x:c r="P7" s="9" t="str"/>
      <x:c r="Q7" s="9" t="str"/>
      <x:c r="R7" s="9" t="str"/>
      <x:c r="S7" s="9" t="str"/>
    </x:row>
    <x:row r="8" ht="54" customHeight="1">
      <x:c r="A8" s="19" t="str">
        <x:v>NEX-CHO-PRIORITY</x:v>
      </x:c>
      <x:c r="B8" s="7" t="str">
        <x:v>Rendre les priorités compréhensibles — méthode optionnelle</x:v>
      </x:c>
      <x:c r="C8" s="15" t="str">
        <x:v>Défini</x:v>
      </x:c>
      <x:c r="D8" s="17" t="str">
        <x:v>Extrapolation</x:v>
      </x:c>
      <x:c r="E8" s="17" t="str">
        <x:v>P1</x:v>
      </x:c>
      <x:c r="F8" s="7" t="str">
        <x:v>Bifurcation locale originale ; elle ne crée pas une autre fin officielle.</x:v>
      </x:c>
      <x:c r="G8" s="7" t="str">
        <x:v>Publier une note concise ou organiser une brève consultation.</x:v>
      </x:c>
      <x:c r="H8" s="7" t="str">
        <x:v>Afficher coût, bénéfice local et condition de retour avant validation ; deux méthodes rejoignent le même verrou de continuité.</x:v>
      </x:c>
      <x:c r="I8" s="7" t="str">
        <x:v>Libellés d’action concrets ; symbole d’effet local ; aucune option désactivée sans motif.</x:v>
      </x:c>
      <x:c r="J8" s="7" t="str">
        <x:v>Réaction courte du groupe ; reprise immédiate des contrôles après résultat.</x:v>
      </x:c>
      <x:c r="K8" s="7" t="str">
        <x:v>Confirmation discrète ; lecture du résultat disponible dans le journal.</x:v>
      </x:c>
      <x:c r="L8" s="7" t="str">
        <x:v>choice.nex.priority ; stocker la méthode et le coût, jamais une réécriture d’événement source.</x:v>
      </x:c>
      <x:c r="M8" s="7" t="str">
        <x:v>Le joueur n’annule pas la crise politique par un score optimal.</x:v>
      </x:c>
      <x:c r="N8" s="7" t="str">
        <x:v>Les deux branches sont atteignables ; l’état canonique final du module est identique.</x:v>
      </x:c>
      <x:c r="O8" s="7" t="str">
        <x:v>NEX-MIS-PRIORITY</x:v>
      </x:c>
      <x:c r="P8" s="7" t="str"/>
      <x:c r="Q8" s="7" t="str"/>
      <x:c r="R8" s="7" t="str"/>
      <x:c r="S8" s="7" t="str"/>
    </x:row>
    <x:row r="9" ht="54" customHeight="1">
      <x:c r="A9" s="18" t="str">
        <x:v>NEX-CHO-GROW</x:v>
      </x:c>
      <x:c r="B9" s="9" t="str">
        <x:v>Sauver une capacité de production locale — méthode optionnelle</x:v>
      </x:c>
      <x:c r="C9" s="15" t="str">
        <x:v>Défini</x:v>
      </x:c>
      <x:c r="D9" s="16" t="str">
        <x:v>Extrapolation</x:v>
      </x:c>
      <x:c r="E9" s="16" t="str">
        <x:v>P1</x:v>
      </x:c>
      <x:c r="F9" s="9" t="str">
        <x:v>Bifurcation locale originale ; elle ne crée pas une autre fin officielle.</x:v>
      </x:c>
      <x:c r="G9" s="9" t="str">
        <x:v>Conserver une récolte immédiate ou du matériel pour la suivante.</x:v>
      </x:c>
      <x:c r="H9" s="9" t="str">
        <x:v>Afficher coût, bénéfice local et condition de retour avant validation ; deux méthodes rejoignent le même verrou de continuité.</x:v>
      </x:c>
      <x:c r="I9" s="9" t="str">
        <x:v>Libellés d’action concrets ; symbole d’effet local ; aucune option désactivée sans motif.</x:v>
      </x:c>
      <x:c r="J9" s="9" t="str">
        <x:v>Réaction courte du groupe ; reprise immédiate des contrôles après résultat.</x:v>
      </x:c>
      <x:c r="K9" s="9" t="str">
        <x:v>Confirmation discrète ; lecture du résultat disponible dans le journal.</x:v>
      </x:c>
      <x:c r="L9" s="9" t="str">
        <x:v>choice.nex.grow ; stocker la méthode et le coût, jamais une réécriture d’événement source.</x:v>
      </x:c>
      <x:c r="M9" s="9" t="str">
        <x:v>Le module ne résout pas la pénurie globale du roman.</x:v>
      </x:c>
      <x:c r="N9" s="9" t="str">
        <x:v>Les deux branches sont atteignables ; l’état canonique final du module est identique.</x:v>
      </x:c>
      <x:c r="O9" s="9" t="str">
        <x:v>NEX-MIS-GROW</x:v>
      </x:c>
      <x:c r="P9" s="9" t="str"/>
      <x:c r="Q9" s="9" t="str"/>
      <x:c r="R9" s="9" t="str"/>
      <x:c r="S9" s="9" t="str"/>
    </x:row>
    <x:row r="10" ht="54" customHeight="1">
      <x:c r="A10" s="19" t="str">
        <x:v>NEX-CHO-AIR</x:v>
      </x:c>
      <x:c r="B10" s="7" t="str">
        <x:v>Garder l’atelier accessible — méthode optionnelle</x:v>
      </x:c>
      <x:c r="C10" s="15" t="str">
        <x:v>Défini</x:v>
      </x:c>
      <x:c r="D10" s="17" t="str">
        <x:v>Extrapolation</x:v>
      </x:c>
      <x:c r="E10" s="17" t="str">
        <x:v>P1</x:v>
      </x:c>
      <x:c r="F10" s="7" t="str">
        <x:v>Bifurcation locale originale ; elle ne crée pas une autre fin officielle.</x:v>
      </x:c>
      <x:c r="G10" s="7" t="str">
        <x:v>Travail séquentiel sûr ou tandem plus rapide.</x:v>
      </x:c>
      <x:c r="H10" s="7" t="str">
        <x:v>Afficher coût, bénéfice local et condition de retour avant validation ; deux méthodes rejoignent le même verrou de continuité.</x:v>
      </x:c>
      <x:c r="I10" s="7" t="str">
        <x:v>Libellés d’action concrets ; symbole d’effet local ; aucune option désactivée sans motif.</x:v>
      </x:c>
      <x:c r="J10" s="7" t="str">
        <x:v>Réaction courte du groupe ; reprise immédiate des contrôles après résultat.</x:v>
      </x:c>
      <x:c r="K10" s="7" t="str">
        <x:v>Confirmation discrète ; lecture du résultat disponible dans le journal.</x:v>
      </x:c>
      <x:c r="L10" s="7" t="str">
        <x:v>choice.nex.air ; stocker la méthode et le coût, jamais une réécriture d’événement source.</x:v>
      </x:c>
      <x:c r="M10" s="7" t="str">
        <x:v>Les relations entre Sloane et Calix restent nuancées.</x:v>
      </x:c>
      <x:c r="N10" s="7" t="str">
        <x:v>Les deux branches sont atteignables ; l’état canonique final du module est identique.</x:v>
      </x:c>
      <x:c r="O10" s="7" t="str">
        <x:v>NEX-MIS-AIR</x:v>
      </x:c>
      <x:c r="P10" s="7" t="str"/>
      <x:c r="Q10" s="7" t="str"/>
      <x:c r="R10" s="7" t="str"/>
      <x:c r="S10" s="7" t="str"/>
    </x:row>
    <x:row r="11" ht="54" customHeight="1">
      <x:c r="A11" s="18" t="str">
        <x:v>NEX-CHO-RATION</x:v>
      </x:c>
      <x:c r="B11" s="9" t="str">
        <x:v>Protéger une distribution — méthode optionnelle</x:v>
      </x:c>
      <x:c r="C11" s="15" t="str">
        <x:v>Défini</x:v>
      </x:c>
      <x:c r="D11" s="16" t="str">
        <x:v>Extrapolation</x:v>
      </x:c>
      <x:c r="E11" s="16" t="str">
        <x:v>P1</x:v>
      </x:c>
      <x:c r="F11" s="9" t="str">
        <x:v>Bifurcation locale originale ; elle ne crée pas une autre fin officielle.</x:v>
      </x:c>
      <x:c r="G11" s="9" t="str">
        <x:v>Distribuer par zone ou par créneau ; même quantité disponible.</x:v>
      </x:c>
      <x:c r="H11" s="9" t="str">
        <x:v>Afficher coût, bénéfice local et condition de retour avant validation ; deux méthodes rejoignent le même verrou de continuité.</x:v>
      </x:c>
      <x:c r="I11" s="9" t="str">
        <x:v>Libellés d’action concrets ; symbole d’effet local ; aucune option désactivée sans motif.</x:v>
      </x:c>
      <x:c r="J11" s="9" t="str">
        <x:v>Réaction courte du groupe ; reprise immédiate des contrôles après résultat.</x:v>
      </x:c>
      <x:c r="K11" s="9" t="str">
        <x:v>Confirmation discrète ; lecture du résultat disponible dans le journal.</x:v>
      </x:c>
      <x:c r="L11" s="9" t="str">
        <x:v>choice.nex.ration ; stocker la méthode et le coût, jamais une réécriture d’événement source.</x:v>
      </x:c>
      <x:c r="M11" s="9" t="str">
        <x:v>Pas de bonus de ressources fondé sur l’espèce.</x:v>
      </x:c>
      <x:c r="N11" s="9" t="str">
        <x:v>Les deux branches sont atteignables ; l’état canonique final du module est identique.</x:v>
      </x:c>
      <x:c r="O11" s="9" t="str">
        <x:v>NEX-MIS-RATION</x:v>
      </x:c>
      <x:c r="P11" s="9" t="str"/>
      <x:c r="Q11" s="9" t="str"/>
      <x:c r="R11" s="9" t="str"/>
      <x:c r="S11" s="9" t="str"/>
    </x:row>
    <x:row r="12" ht="54" customHeight="1">
      <x:c r="A12" s="19" t="str">
        <x:v>NEX-CHO-DATA</x:v>
      </x:c>
      <x:c r="B12" s="7" t="str">
        <x:v>Comprendre un accès compromis — méthode optionnelle</x:v>
      </x:c>
      <x:c r="C12" s="15" t="str">
        <x:v>Défini</x:v>
      </x:c>
      <x:c r="D12" s="17" t="str">
        <x:v>Extrapolation</x:v>
      </x:c>
      <x:c r="E12" s="17" t="str">
        <x:v>P1</x:v>
      </x:c>
      <x:c r="F12" s="7" t="str">
        <x:v>Bifurcation locale originale ; elle ne crée pas une autre fin officielle.</x:v>
      </x:c>
      <x:c r="G12" s="7" t="str">
        <x:v>Examiner les serveurs ou recueillir une déposition technique.</x:v>
      </x:c>
      <x:c r="H12" s="7" t="str">
        <x:v>Afficher coût, bénéfice local et condition de retour avant validation ; deux méthodes rejoignent le même verrou de continuité.</x:v>
      </x:c>
      <x:c r="I12" s="7" t="str">
        <x:v>Libellés d’action concrets ; symbole d’effet local ; aucune option désactivée sans motif.</x:v>
      </x:c>
      <x:c r="J12" s="7" t="str">
        <x:v>Réaction courte du groupe ; reprise immédiate des contrôles après résultat.</x:v>
      </x:c>
      <x:c r="K12" s="7" t="str">
        <x:v>Confirmation discrète ; lecture du résultat disponible dans le journal.</x:v>
      </x:c>
      <x:c r="L12" s="7" t="str">
        <x:v>choice.nex.data ; stocker la méthode et le coût, jamais une réécriture d’événement source.</x:v>
      </x:c>
      <x:c r="M12" s="7" t="str">
        <x:v>Aucun coupable secondaire ajouté présenté comme canon.</x:v>
      </x:c>
      <x:c r="N12" s="7" t="str">
        <x:v>Les deux branches sont atteignables ; l’état canonique final du module est identique.</x:v>
      </x:c>
      <x:c r="O12" s="7" t="str">
        <x:v>NEX-MIS-DATA</x:v>
      </x:c>
      <x:c r="P12" s="7" t="str"/>
      <x:c r="Q12" s="7" t="str"/>
      <x:c r="R12" s="7" t="str"/>
      <x:c r="S12" s="7" t="str"/>
    </x:row>
    <x:row r="13" ht="54" customHeight="1">
      <x:c r="A13" s="18" t="str">
        <x:v>NEX-CHO-CORRIDOR</x:v>
      </x:c>
      <x:c r="B13" s="9" t="str">
        <x:v>Ouvrir un passage de secours — méthode optionnelle</x:v>
      </x:c>
      <x:c r="C13" s="15" t="str">
        <x:v>Défini</x:v>
      </x:c>
      <x:c r="D13" s="16" t="str">
        <x:v>Extrapolation</x:v>
      </x:c>
      <x:c r="E13" s="16" t="str">
        <x:v>P1</x:v>
      </x:c>
      <x:c r="F13" s="9" t="str">
        <x:v>Bifurcation locale originale ; elle ne crée pas une autre fin officielle.</x:v>
      </x:c>
      <x:c r="G13" s="9" t="str">
        <x:v>Médiation verbale ou intervention technique sur une porte.</x:v>
      </x:c>
      <x:c r="H13" s="9" t="str">
        <x:v>Afficher coût, bénéfice local et condition de retour avant validation ; deux méthodes rejoignent le même verrou de continuité.</x:v>
      </x:c>
      <x:c r="I13" s="9" t="str">
        <x:v>Libellés d’action concrets ; symbole d’effet local ; aucune option désactivée sans motif.</x:v>
      </x:c>
      <x:c r="J13" s="9" t="str">
        <x:v>Réaction courte du groupe ; reprise immédiate des contrôles après résultat.</x:v>
      </x:c>
      <x:c r="K13" s="9" t="str">
        <x:v>Confirmation discrète ; lecture du résultat disponible dans le journal.</x:v>
      </x:c>
      <x:c r="L13" s="9" t="str">
        <x:v>choice.nex.corridor ; stocker la méthode et le coût, jamais une réécriture d’événement source.</x:v>
      </x:c>
      <x:c r="M13" s="9" t="str">
        <x:v>Les décisions locales n’empêchent pas l’exil ultérieur.</x:v>
      </x:c>
      <x:c r="N13" s="9" t="str">
        <x:v>Les deux branches sont atteignables ; l’état canonique final du module est identique.</x:v>
      </x:c>
      <x:c r="O13" s="9" t="str">
        <x:v>NEX-MIS-CORRIDOR</x:v>
      </x:c>
      <x:c r="P13" s="9" t="str"/>
      <x:c r="Q13" s="9" t="str"/>
      <x:c r="R13" s="9" t="str"/>
      <x:c r="S13" s="9" t="str"/>
    </x:row>
    <x:row r="14" ht="54" customHeight="1">
      <x:c r="A14" s="19" t="str">
        <x:v>NEX-CHO-DEPARTURE</x:v>
      </x:c>
      <x:c r="B14" s="7" t="str">
        <x:v>Vérifier les conditions de départ — méthode optionnelle</x:v>
      </x:c>
      <x:c r="C14" s="15" t="str">
        <x:v>Défini</x:v>
      </x:c>
      <x:c r="D14" s="17" t="str">
        <x:v>Extrapolation</x:v>
      </x:c>
      <x:c r="E14" s="17" t="str">
        <x:v>P1</x:v>
      </x:c>
      <x:c r="F14" s="7" t="str">
        <x:v>Bifurcation locale originale ; elle ne crée pas une autre fin officielle.</x:v>
      </x:c>
      <x:c r="G14" s="7" t="str">
        <x:v>Vérification par équipe ou par conteneur ; aucune sélection arbitraire de survie.</x:v>
      </x:c>
      <x:c r="H14" s="7" t="str">
        <x:v>Afficher coût, bénéfice local et condition de retour avant validation ; deux méthodes rejoignent le même verrou de continuité.</x:v>
      </x:c>
      <x:c r="I14" s="7" t="str">
        <x:v>Libellés d’action concrets ; symbole d’effet local ; aucune option désactivée sans motif.</x:v>
      </x:c>
      <x:c r="J14" s="7" t="str">
        <x:v>Réaction courte du groupe ; reprise immédiate des contrôles après résultat.</x:v>
      </x:c>
      <x:c r="K14" s="7" t="str">
        <x:v>Confirmation discrète ; lecture du résultat disponible dans le journal.</x:v>
      </x:c>
      <x:c r="L14" s="7" t="str">
        <x:v>choice.nex.departure ; stocker la méthode et le coût, jamais une réécriture d’événement source.</x:v>
      </x:c>
      <x:c r="M14" s="7" t="str">
        <x:v>L’avenir de Kadara n’est pas joué à l’avance.</x:v>
      </x:c>
      <x:c r="N14" s="7" t="str">
        <x:v>Les deux branches sont atteignables ; l’état canonique final du module est identique.</x:v>
      </x:c>
      <x:c r="O14" s="7" t="str">
        <x:v>NEX-MIS-DEPARTURE</x:v>
      </x:c>
      <x:c r="P14" s="7" t="str"/>
      <x:c r="Q14" s="7" t="str"/>
      <x:c r="R14" s="7" t="str"/>
      <x:c r="S14" s="7" t="str"/>
    </x:row>
  </x:sheetData>
  <x:conditionalFormatting sqref="D7:D14">
    <x:cfRule type="cellIs" dxfId="44" priority="1" operator="equal">
      <x:formula>"À vérifier"</x:formula>
    </x:cfRule>
    <x:cfRule type="cellIs" dxfId="45" priority="2" operator="equal">
      <x:formula>"Extrapolation"</x:formula>
    </x:cfRule>
  </x:conditionalFormatting>
  <x:conditionalFormatting sqref="C7:C14">
    <x:cfRule type="cellIs" dxfId="46" priority="3" operator="equal">
      <x:formula>"Validé"</x:formula>
    </x:cfRule>
  </x:conditionalFormatting>
  <x:conditionalFormatting sqref="E7:E14">
    <x:cfRule type="cellIs" dxfId="4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0d3f2126d5ba492a"/>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Andromeda: Nexus Uprising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NEX-DIA-SLOANE</x:v>
      </x:c>
      <x:c r="B7" s="9" t="str">
        <x:v>Sloane Kelly — échange : devoir de sécurité et confiance dans la direction</x:v>
      </x:c>
      <x:c r="C7" s="15" t="str">
        <x:v>Défini</x:v>
      </x:c>
      <x:c r="D7" s="16" t="str">
        <x:v>Extrapolation</x:v>
      </x:c>
      <x:c r="E7" s="16" t="str">
        <x:v>P1</x:v>
      </x:c>
      <x:c r="F7" s="9" t="str">
        <x:v>Dialogue original à écrire, sans reproduire les répliques de la publication.</x:v>
      </x:c>
      <x:c r="G7" s="9" t="str">
        <x:v>Intentions : aborder devoir de sécurité et confiance dans la direction, poser une question de clarification, puis revenir à l’objectif local.</x:v>
      </x:c>
      <x:c r="H7" s="9" t="str">
        <x:v>Trois intentions proposées : demander un fait, exprimer une réserve, clore. Débloquer un indice local sans imposer une opinion au joueur.</x:v>
      </x:c>
      <x:c r="I7" s="9" t="str">
        <x:v>Portrait Sloane Kelly, interlocuteur actif et indication de la personne qui connaît le fait.</x:v>
      </x:c>
      <x:c r="J7" s="9" t="str">
        <x:v>Pose d’écoute puis réaction sobre ; ne pas boucler une émotion pendant une pause de lecture.</x:v>
      </x:c>
      <x:c r="K7" s="9" t="str">
        <x:v>Texte intégral affiché ; éventuelle voix originale avec débit réglable, sans imitation du casting.</x:v>
      </x:c>
      <x:c r="L7" s="9" t="str">
        <x:v>Dialogue graph nex.sloane.devoir-de-securite-et-confiance-dans-la-direction ; drapeaux de connaissance locaux.</x:v>
      </x:c>
      <x:c r="M7" s="9" t="str">
        <x:v>Préserver la crise précédant Mass Effect Andromeda : les choix locaux ne suppriment ni la révolte ni l’exil de Sloane et des autres personnes concernées. Ne pas résoudre dans ce module les mystères révélés plus tard par Ryder.</x:v>
      </x:c>
      <x:c r="N7" s="9" t="str">
        <x:v>Aucune option ne révèle un savoir futur ; quitter puis reprendre conserve les sujets déjà abordés.</x:v>
      </x:c>
      <x:c r="O7" s="9" t="str">
        <x:v>NEX-CHR-SLOANE</x:v>
      </x:c>
      <x:c r="P7" s="9" t="str"/>
      <x:c r="Q7" s="9" t="str"/>
      <x:c r="R7" s="9" t="str"/>
      <x:c r="S7" s="9" t="str">
        <x:v>Sujet et intentions sont du design original, pas une transcription.</x:v>
      </x:c>
    </x:row>
    <x:row r="8" ht="82" customHeight="1">
      <x:c r="A8" s="19" t="str">
        <x:v>NEX-DIA-TANN</x:v>
      </x:c>
      <x:c r="B8" s="7" t="str">
        <x:v>Jarun Tann — échange : légitimité et responsabilité d’urgence</x:v>
      </x:c>
      <x:c r="C8" s="15" t="str">
        <x:v>Défini</x:v>
      </x:c>
      <x:c r="D8" s="17" t="str">
        <x:v>Extrapolation</x:v>
      </x:c>
      <x:c r="E8" s="17" t="str">
        <x:v>P1</x:v>
      </x:c>
      <x:c r="F8" s="7" t="str">
        <x:v>Dialogue original à écrire, sans reproduire les répliques de la publication.</x:v>
      </x:c>
      <x:c r="G8" s="7" t="str">
        <x:v>Intentions : aborder légitimité et responsabilité d’urgence, poser une question de clarification, puis revenir à l’objectif local.</x:v>
      </x:c>
      <x:c r="H8" s="7" t="str">
        <x:v>Trois intentions proposées : demander un fait, exprimer une réserve, clore. Débloquer un indice local sans imposer une opinion au joueur.</x:v>
      </x:c>
      <x:c r="I8" s="7" t="str">
        <x:v>Portrait Jarun Tann, interlocuteur actif et indication de la personne qui connaît le fait.</x:v>
      </x:c>
      <x:c r="J8" s="7" t="str">
        <x:v>Pose d’écoute puis réaction sobre ; ne pas boucler une émotion pendant une pause de lecture.</x:v>
      </x:c>
      <x:c r="K8" s="7" t="str">
        <x:v>Texte intégral affiché ; éventuelle voix originale avec débit réglable, sans imitation du casting.</x:v>
      </x:c>
      <x:c r="L8" s="7" t="str">
        <x:v>Dialogue graph nex.tann.legitimite-et-responsabilite-durgence ; drapeaux de connaissance locaux.</x:v>
      </x:c>
      <x:c r="M8" s="7" t="str">
        <x:v>Préserver la crise précédant Mass Effect Andromeda : les choix locaux ne suppriment ni la révolte ni l’exil de Sloane et des autres personnes concernées. Ne pas résoudre dans ce module les mystères révélés plus tard par Ryder.</x:v>
      </x:c>
      <x:c r="N8" s="7" t="str">
        <x:v>Aucune option ne révèle un savoir futur ; quitter puis reprendre conserve les sujets déjà abordés.</x:v>
      </x:c>
      <x:c r="O8" s="7" t="str">
        <x:v>NEX-CHR-TANN</x:v>
      </x:c>
      <x:c r="P8" s="7" t="str"/>
      <x:c r="Q8" s="7" t="str"/>
      <x:c r="R8" s="7" t="str"/>
      <x:c r="S8" s="7" t="str">
        <x:v>Sujet et intentions sont du design original, pas une transcription.</x:v>
      </x:c>
    </x:row>
    <x:row r="9" ht="82" customHeight="1">
      <x:c r="A9" s="18" t="str">
        <x:v>NEX-DIA-KESH</x:v>
      </x:c>
      <x:c r="B9" s="9" t="str">
        <x:v>Nakmor Kesh — échange : travail technique et reconnaissance</x:v>
      </x:c>
      <x:c r="C9" s="15" t="str">
        <x:v>Défini</x:v>
      </x:c>
      <x:c r="D9" s="16" t="str">
        <x:v>Extrapolation</x:v>
      </x:c>
      <x:c r="E9" s="16" t="str">
        <x:v>P1</x:v>
      </x:c>
      <x:c r="F9" s="9" t="str">
        <x:v>Dialogue original à écrire, sans reproduire les répliques de la publication.</x:v>
      </x:c>
      <x:c r="G9" s="9" t="str">
        <x:v>Intentions : aborder travail technique et reconnaissance, poser une question de clarification, puis revenir à l’objectif local.</x:v>
      </x:c>
      <x:c r="H9" s="9" t="str">
        <x:v>Trois intentions proposées : demander un fait, exprimer une réserve, clore. Débloquer un indice local sans imposer une opinion au joueur.</x:v>
      </x:c>
      <x:c r="I9" s="9" t="str">
        <x:v>Portrait Nakmor Kesh, interlocuteur actif et indication de la personne qui connaît le fait.</x:v>
      </x:c>
      <x:c r="J9" s="9" t="str">
        <x:v>Pose d’écoute puis réaction sobre ; ne pas boucler une émotion pendant une pause de lecture.</x:v>
      </x:c>
      <x:c r="K9" s="9" t="str">
        <x:v>Texte intégral affiché ; éventuelle voix originale avec débit réglable, sans imitation du casting.</x:v>
      </x:c>
      <x:c r="L9" s="9" t="str">
        <x:v>Dialogue graph nex.kesh.travail-technique-et-reconnaissance ; drapeaux de connaissance locaux.</x:v>
      </x:c>
      <x:c r="M9" s="9" t="str">
        <x:v>Préserver la crise précédant Mass Effect Andromeda : les choix locaux ne suppriment ni la révolte ni l’exil de Sloane et des autres personnes concernées. Ne pas résoudre dans ce module les mystères révélés plus tard par Ryder.</x:v>
      </x:c>
      <x:c r="N9" s="9" t="str">
        <x:v>Aucune option ne révèle un savoir futur ; quitter puis reprendre conserve les sujets déjà abordés.</x:v>
      </x:c>
      <x:c r="O9" s="9" t="str">
        <x:v>NEX-CHR-KESH</x:v>
      </x:c>
      <x:c r="P9" s="9" t="str"/>
      <x:c r="Q9" s="9" t="str"/>
      <x:c r="R9" s="9" t="str"/>
      <x:c r="S9" s="9" t="str">
        <x:v>Sujet et intentions sont du design original, pas une transcription.</x:v>
      </x:c>
    </x:row>
    <x:row r="10" ht="82" customHeight="1">
      <x:c r="A10" s="19" t="str">
        <x:v>NEX-DIA-ADDISON</x:v>
      </x:c>
      <x:c r="B10" s="7" t="str">
        <x:v>Foster Addison — échange : installation et avenir des colons</x:v>
      </x:c>
      <x:c r="C10" s="15" t="str">
        <x:v>Défini</x:v>
      </x:c>
      <x:c r="D10" s="17" t="str">
        <x:v>Extrapolation</x:v>
      </x:c>
      <x:c r="E10" s="17" t="str">
        <x:v>P1</x:v>
      </x:c>
      <x:c r="F10" s="7" t="str">
        <x:v>Dialogue original à écrire, sans reproduire les répliques de la publication.</x:v>
      </x:c>
      <x:c r="G10" s="7" t="str">
        <x:v>Intentions : aborder installation et avenir des colons, poser une question de clarification, puis revenir à l’objectif local.</x:v>
      </x:c>
      <x:c r="H10" s="7" t="str">
        <x:v>Trois intentions proposées : demander un fait, exprimer une réserve, clore. Débloquer un indice local sans imposer une opinion au joueur.</x:v>
      </x:c>
      <x:c r="I10" s="7" t="str">
        <x:v>Portrait Foster Addison, interlocuteur actif et indication de la personne qui connaît le fait.</x:v>
      </x:c>
      <x:c r="J10" s="7" t="str">
        <x:v>Pose d’écoute puis réaction sobre ; ne pas boucler une émotion pendant une pause de lecture.</x:v>
      </x:c>
      <x:c r="K10" s="7" t="str">
        <x:v>Texte intégral affiché ; éventuelle voix originale avec débit réglable, sans imitation du casting.</x:v>
      </x:c>
      <x:c r="L10" s="7" t="str">
        <x:v>Dialogue graph nex.addison.installation-et-avenir-des-colons ; drapeaux de connaissance locaux.</x:v>
      </x:c>
      <x:c r="M10" s="7" t="str">
        <x:v>Préserver la crise précédant Mass Effect Andromeda : les choix locaux ne suppriment ni la révolte ni l’exil de Sloane et des autres personnes concernées. Ne pas résoudre dans ce module les mystères révélés plus tard par Ryder.</x:v>
      </x:c>
      <x:c r="N10" s="7" t="str">
        <x:v>Aucune option ne révèle un savoir futur ; quitter puis reprendre conserve les sujets déjà abordés.</x:v>
      </x:c>
      <x:c r="O10" s="7" t="str">
        <x:v>NEX-CHR-ADDISON</x:v>
      </x:c>
      <x:c r="P10" s="7" t="str"/>
      <x:c r="Q10" s="7" t="str"/>
      <x:c r="R10" s="7" t="str"/>
      <x:c r="S10" s="7" t="str">
        <x:v>Sujet et intentions sont du design original, pas une transcription.</x:v>
      </x:c>
    </x:row>
    <x:row r="11" ht="82" customHeight="1">
      <x:c r="A11" s="18" t="str">
        <x:v>NEX-DIA-CALIX</x:v>
      </x:c>
      <x:c r="B11" s="9" t="str">
        <x:v>Calix Corvannis — échange : charge de travail et confiance</x:v>
      </x:c>
      <x:c r="C11" s="15" t="str">
        <x:v>Défini</x:v>
      </x:c>
      <x:c r="D11" s="16" t="str">
        <x:v>Extrapolation</x:v>
      </x:c>
      <x:c r="E11" s="16" t="str">
        <x:v>P1</x:v>
      </x:c>
      <x:c r="F11" s="9" t="str">
        <x:v>Dialogue original à écrire, sans reproduire les répliques de la publication.</x:v>
      </x:c>
      <x:c r="G11" s="9" t="str">
        <x:v>Intentions : aborder charge de travail et confiance, poser une question de clarification, puis revenir à l’objectif local.</x:v>
      </x:c>
      <x:c r="H11" s="9" t="str">
        <x:v>Trois intentions proposées : demander un fait, exprimer une réserve, clore. Débloquer un indice local sans imposer une opinion au joueur.</x:v>
      </x:c>
      <x:c r="I11" s="9" t="str">
        <x:v>Portrait Calix Corvannis, interlocuteur actif et indication de la personne qui connaît le fait.</x:v>
      </x:c>
      <x:c r="J11" s="9" t="str">
        <x:v>Pose d’écoute puis réaction sobre ; ne pas boucler une émotion pendant une pause de lecture.</x:v>
      </x:c>
      <x:c r="K11" s="9" t="str">
        <x:v>Texte intégral affiché ; éventuelle voix originale avec débit réglable, sans imitation du casting.</x:v>
      </x:c>
      <x:c r="L11" s="9" t="str">
        <x:v>Dialogue graph nex.calix.charge-de-travail-et-confiance ; drapeaux de connaissance locaux.</x:v>
      </x:c>
      <x:c r="M11" s="9" t="str">
        <x:v>Préserver la crise précédant Mass Effect Andromeda : les choix locaux ne suppriment ni la révolte ni l’exil de Sloane et des autres personnes concernées. Ne pas résoudre dans ce module les mystères révélés plus tard par Ryder.</x:v>
      </x:c>
      <x:c r="N11" s="9" t="str">
        <x:v>Aucune option ne révèle un savoir futur ; quitter puis reprendre conserve les sujets déjà abordés.</x:v>
      </x:c>
      <x:c r="O11" s="9" t="str">
        <x:v>NEX-CHR-CALIX</x:v>
      </x:c>
      <x:c r="P11" s="9" t="str"/>
      <x:c r="Q11" s="9" t="str"/>
      <x:c r="R11" s="9" t="str"/>
      <x:c r="S11" s="9" t="str">
        <x:v>Sujet et intentions sont du design original, pas une transcription.</x:v>
      </x:c>
    </x:row>
    <x:row r="12" ht="82" customHeight="1">
      <x:c r="A12" s="19" t="str">
        <x:v>NEX-DIA-IRIDA</x:v>
      </x:c>
      <x:c r="B12" s="7" t="str">
        <x:v>Irida Fadeer — échange : données et responsabilité</x:v>
      </x:c>
      <x:c r="C12" s="15" t="str">
        <x:v>Défini</x:v>
      </x:c>
      <x:c r="D12" s="17" t="str">
        <x:v>Extrapolation</x:v>
      </x:c>
      <x:c r="E12" s="17" t="str">
        <x:v>P1</x:v>
      </x:c>
      <x:c r="F12" s="7" t="str">
        <x:v>Dialogue original à écrire, sans reproduire les répliques de la publication.</x:v>
      </x:c>
      <x:c r="G12" s="7" t="str">
        <x:v>Intentions : aborder données et responsabilité, poser une question de clarification, puis revenir à l’objectif local.</x:v>
      </x:c>
      <x:c r="H12" s="7" t="str">
        <x:v>Trois intentions proposées : demander un fait, exprimer une réserve, clore. Débloquer un indice local sans imposer une opinion au joueur.</x:v>
      </x:c>
      <x:c r="I12" s="7" t="str">
        <x:v>Portrait Irida Fadeer, interlocuteur actif et indication de la personne qui connaît le fait.</x:v>
      </x:c>
      <x:c r="J12" s="7" t="str">
        <x:v>Pose d’écoute puis réaction sobre ; ne pas boucler une émotion pendant une pause de lecture.</x:v>
      </x:c>
      <x:c r="K12" s="7" t="str">
        <x:v>Texte intégral affiché ; éventuelle voix originale avec débit réglable, sans imitation du casting.</x:v>
      </x:c>
      <x:c r="L12" s="7" t="str">
        <x:v>Dialogue graph nex.irida.donnees-et-responsabilite ; drapeaux de connaissance locaux.</x:v>
      </x:c>
      <x:c r="M12" s="7" t="str">
        <x:v>Préserver la crise précédant Mass Effect Andromeda : les choix locaux ne suppriment ni la révolte ni l’exil de Sloane et des autres personnes concernées. Ne pas résoudre dans ce module les mystères révélés plus tard par Ryder.</x:v>
      </x:c>
      <x:c r="N12" s="7" t="str">
        <x:v>Aucune option ne révèle un savoir futur ; quitter puis reprendre conserve les sujets déjà abordés.</x:v>
      </x:c>
      <x:c r="O12" s="7" t="str">
        <x:v>NEX-CHR-IRIDA</x:v>
      </x:c>
      <x:c r="P12" s="7" t="str"/>
      <x:c r="Q12" s="7" t="str"/>
      <x:c r="R12" s="7" t="str"/>
      <x:c r="S12" s="7" t="str">
        <x:v>Sujet et intentions sont du design original, pas une transcription.</x:v>
      </x:c>
    </x:row>
    <x:row r="13" ht="82" customHeight="1">
      <x:c r="A13" s="18" t="str">
        <x:v>NEX-DIA-KANDROS</x:v>
      </x:c>
      <x:c r="B13" s="9" t="str">
        <x:v>Tiran Kandros — échange : protection du personnel et mission commune</x:v>
      </x:c>
      <x:c r="C13" s="15" t="str">
        <x:v>Défini</x:v>
      </x:c>
      <x:c r="D13" s="16" t="str">
        <x:v>Extrapolation</x:v>
      </x:c>
      <x:c r="E13" s="16" t="str">
        <x:v>P1</x:v>
      </x:c>
      <x:c r="F13" s="9" t="str">
        <x:v>Dialogue original à écrire, sans reproduire les répliques de la publication.</x:v>
      </x:c>
      <x:c r="G13" s="9" t="str">
        <x:v>Intentions : aborder protection du personnel et mission commune, poser une question de clarification, puis revenir à l’objectif local.</x:v>
      </x:c>
      <x:c r="H13" s="9" t="str">
        <x:v>Trois intentions proposées : demander un fait, exprimer une réserve, clore. Débloquer un indice local sans imposer une opinion au joueur.</x:v>
      </x:c>
      <x:c r="I13" s="9" t="str">
        <x:v>Portrait Tiran Kandros, interlocuteur actif et indication de la personne qui connaît le fait.</x:v>
      </x:c>
      <x:c r="J13" s="9" t="str">
        <x:v>Pose d’écoute puis réaction sobre ; ne pas boucler une émotion pendant une pause de lecture.</x:v>
      </x:c>
      <x:c r="K13" s="9" t="str">
        <x:v>Texte intégral affiché ; éventuelle voix originale avec débit réglable, sans imitation du casting.</x:v>
      </x:c>
      <x:c r="L13" s="9" t="str">
        <x:v>Dialogue graph nex.kandros.protection-du-personnel-et-mission-commune ; drapeaux de connaissance locaux.</x:v>
      </x:c>
      <x:c r="M13" s="9" t="str">
        <x:v>Préserver la crise précédant Mass Effect Andromeda : les choix locaux ne suppriment ni la révolte ni l’exil de Sloane et des autres personnes concernées. Ne pas résoudre dans ce module les mystères révélés plus tard par Ryder.</x:v>
      </x:c>
      <x:c r="N13" s="9" t="str">
        <x:v>Aucune option ne révèle un savoir futur ; quitter puis reprendre conserve les sujets déjà abordés.</x:v>
      </x:c>
      <x:c r="O13" s="9" t="str">
        <x:v>NEX-CHR-KANDROS</x:v>
      </x:c>
      <x:c r="P13" s="9" t="str"/>
      <x:c r="Q13" s="9" t="str"/>
      <x:c r="R13" s="9" t="str"/>
      <x:c r="S13" s="9" t="str">
        <x:v>Sujet et intentions sont du design original, pas une transcription.</x:v>
      </x:c>
    </x:row>
    <x:row r="14" ht="82" customHeight="1">
      <x:c r="A14" s="19" t="str">
        <x:v>NEX-DIA-MORDA</x:v>
      </x:c>
      <x:c r="B14" s="7" t="str">
        <x:v>Nakmor Morda — échange : représentation politique et mémoire collective</x:v>
      </x:c>
      <x:c r="C14" s="15" t="str">
        <x:v>Défini</x:v>
      </x:c>
      <x:c r="D14" s="17" t="str">
        <x:v>Extrapolation</x:v>
      </x:c>
      <x:c r="E14" s="17" t="str">
        <x:v>P1</x:v>
      </x:c>
      <x:c r="F14" s="7" t="str">
        <x:v>Dialogue original à écrire, sans reproduire les répliques de la publication.</x:v>
      </x:c>
      <x:c r="G14" s="7" t="str">
        <x:v>Intentions : aborder représentation politique et mémoire collective, poser une question de clarification, puis revenir à l’objectif local.</x:v>
      </x:c>
      <x:c r="H14" s="7" t="str">
        <x:v>Trois intentions proposées : demander un fait, exprimer une réserve, clore. Débloquer un indice local sans imposer une opinion au joueur.</x:v>
      </x:c>
      <x:c r="I14" s="7" t="str">
        <x:v>Portrait Nakmor Morda, interlocuteur actif et indication de la personne qui connaît le fait.</x:v>
      </x:c>
      <x:c r="J14" s="7" t="str">
        <x:v>Pose d’écoute puis réaction sobre ; ne pas boucler une émotion pendant une pause de lecture.</x:v>
      </x:c>
      <x:c r="K14" s="7" t="str">
        <x:v>Texte intégral affiché ; éventuelle voix originale avec débit réglable, sans imitation du casting.</x:v>
      </x:c>
      <x:c r="L14" s="7" t="str">
        <x:v>Dialogue graph nex.morda.representation-politique-et-memoire-collective ; drapeaux de connaissance locaux.</x:v>
      </x:c>
      <x:c r="M14" s="7" t="str">
        <x:v>Préserver la crise précédant Mass Effect Andromeda : les choix locaux ne suppriment ni la révolte ni l’exil de Sloane et des autres personnes concernées. Ne pas résoudre dans ce module les mystères révélés plus tard par Ryder.</x:v>
      </x:c>
      <x:c r="N14" s="7" t="str">
        <x:v>Aucune option ne révèle un savoir futur ; quitter puis reprendre conserve les sujets déjà abordés.</x:v>
      </x:c>
      <x:c r="O14" s="7" t="str">
        <x:v>NEX-CHR-MORDA</x:v>
      </x:c>
      <x:c r="P14" s="7" t="str"/>
      <x:c r="Q14" s="7" t="str"/>
      <x:c r="R14" s="7" t="str"/>
      <x:c r="S14" s="7" t="str">
        <x:v>Sujet et intentions sont du design original, pas une transcription.</x:v>
      </x:c>
    </x:row>
    <x:row r="15" ht="82" customHeight="1">
      <x:c r="A15" s="18" t="str">
        <x:v>NEX-DIA-SPENDER</x:v>
      </x:c>
      <x:c r="B15" s="9" t="str">
        <x:v>William Spender — échange : promesse, mandat et responsabilité</x:v>
      </x:c>
      <x:c r="C15" s="15" t="str">
        <x:v>Défini</x:v>
      </x:c>
      <x:c r="D15" s="16" t="str">
        <x:v>Extrapolation</x:v>
      </x:c>
      <x:c r="E15" s="16" t="str">
        <x:v>P1</x:v>
      </x:c>
      <x:c r="F15" s="9" t="str">
        <x:v>Dialogue original à écrire, sans reproduire les répliques de la publication.</x:v>
      </x:c>
      <x:c r="G15" s="9" t="str">
        <x:v>Intentions : aborder promesse, mandat et responsabilité, poser une question de clarification, puis revenir à l’objectif local.</x:v>
      </x:c>
      <x:c r="H15" s="9" t="str">
        <x:v>Trois intentions proposées : demander un fait, exprimer une réserve, clore. Débloquer un indice local sans imposer une opinion au joueur.</x:v>
      </x:c>
      <x:c r="I15" s="9" t="str">
        <x:v>Portrait William Spender, interlocuteur actif et indication de la personne qui connaît le fait.</x:v>
      </x:c>
      <x:c r="J15" s="9" t="str">
        <x:v>Pose d’écoute puis réaction sobre ; ne pas boucler une émotion pendant une pause de lecture.</x:v>
      </x:c>
      <x:c r="K15" s="9" t="str">
        <x:v>Texte intégral affiché ; éventuelle voix originale avec débit réglable, sans imitation du casting.</x:v>
      </x:c>
      <x:c r="L15" s="9" t="str">
        <x:v>Dialogue graph nex.spender.promesse-mandat-et-responsabilite ; drapeaux de connaissance locaux.</x:v>
      </x:c>
      <x:c r="M15" s="9" t="str">
        <x:v>Préserver la crise précédant Mass Effect Andromeda : les choix locaux ne suppriment ni la révolte ni l’exil de Sloane et des autres personnes concernées. Ne pas résoudre dans ce module les mystères révélés plus tard par Ryder.</x:v>
      </x:c>
      <x:c r="N15" s="9" t="str">
        <x:v>Aucune option ne révèle un savoir futur ; quitter puis reprendre conserve les sujets déjà abordés.</x:v>
      </x:c>
      <x:c r="O15" s="9" t="str">
        <x:v>NEX-CHR-SPENDER</x:v>
      </x:c>
      <x:c r="P15" s="9" t="str"/>
      <x:c r="Q15" s="9" t="str"/>
      <x:c r="R15" s="9" t="str"/>
      <x:c r="S15" s="9" t="str">
        <x:v>Sujet et intentions sont du design original, pas une transcription.</x:v>
      </x:c>
    </x:row>
    <x:row r="16" ht="82" customHeight="1">
      <x:c r="A16" s="19" t="str">
        <x:v>NEX-DIA-GARSON</x:v>
      </x:c>
      <x:c r="B16" s="7" t="str">
        <x:v>Jien Garson — consultation d’archive</x:v>
      </x:c>
      <x:c r="C16" s="15" t="str">
        <x:v>Défini</x:v>
      </x:c>
      <x:c r="D16" s="17" t="str">
        <x:v>Extrapolation</x:v>
      </x:c>
      <x:c r="E16" s="17" t="str">
        <x:v>P1</x:v>
      </x:c>
      <x:c r="F16" s="7" t="str">
        <x:v>Interaction originale de consultation et annotation d’un dossier, sans conversation physique ajoutée.</x:v>
      </x:c>
      <x:c r="G16" s="7" t="str">
        <x:v>Lire une notice originale brève, demander sa provenance dans l’interface, puis revenir à l’objectif. Aucune parole nouvelle attribuée à la personne archivée.</x:v>
      </x:c>
      <x:c r="H16" s="7" t="str">
        <x:v>Trois commandes proposées : consulter, afficher la source, fermer. Un doute peut être ajouté au journal sans créer de témoignage.</x:v>
      </x:c>
      <x:c r="I16" s="7" t="str">
        <x:v>Portrait Jien Garson, interlocuteur actif et indication de la personne qui connaît le fait.</x:v>
      </x:c>
      <x:c r="J16" s="7" t="str">
        <x:v>Portrait d’archive fixe ; surlignage facultatif de la pièce consultée.</x:v>
      </x:c>
      <x:c r="K16" s="7" t="str">
        <x:v>Aucune voix enregistrée fictivement attribuée au personnage ; signal UI discret et texte intégral.</x:v>
      </x:c>
      <x:c r="L16" s="7" t="str">
        <x:v>archive.nex.garson ; entrée de dossier et provenance, sans graphe de conversation avec un acteur présent.</x:v>
      </x:c>
      <x:c r="M16" s="7" t="str">
        <x:v>Préserver la crise précédant Mass Effect Andromeda : les choix locaux ne suppriment ni la révolte ni l’exil de Sloane et des autres personnes concernées. Ne pas résoudre dans ce module les mystères révélés plus tard par Ryder.</x:v>
      </x:c>
      <x:c r="N16" s="7" t="str">
        <x:v>La personne reste absente du groupe physique ; aucun nouveau savoir n’est débloqué sans source ou annotation Extrapolation.</x:v>
      </x:c>
      <x:c r="O16" s="7" t="str">
        <x:v>NEX-CHR-GARSON</x:v>
      </x:c>
      <x:c r="P16" s="7" t="str"/>
      <x:c r="Q16" s="7" t="str"/>
      <x:c r="R16" s="7" t="str"/>
      <x:c r="S16" s="7" t="str">
        <x:v>Sujet et intentions sont du design original, pas une transcription.</x:v>
      </x:c>
    </x:row>
  </x:sheetData>
  <x:conditionalFormatting sqref="D7:D16">
    <x:cfRule type="cellIs" dxfId="48" priority="1" operator="equal">
      <x:formula>"À vérifier"</x:formula>
    </x:cfRule>
    <x:cfRule type="cellIs" dxfId="49" priority="2" operator="equal">
      <x:formula>"Extrapolation"</x:formula>
    </x:cfRule>
  </x:conditionalFormatting>
  <x:conditionalFormatting sqref="C7:C16">
    <x:cfRule type="cellIs" dxfId="50" priority="3" operator="equal">
      <x:formula>"Validé"</x:formula>
    </x:cfRule>
  </x:conditionalFormatting>
  <x:conditionalFormatting sqref="E7:E16">
    <x:cfRule type="cellIs" dxfId="5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cef5278f012c4ebb"/>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Andromeda: Nexus Uprising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NEX-CIN-RESTORE</x:v>
      </x:c>
      <x:c r="B7" s="9" t="str">
        <x:v>Remettre une section en service — transition narrative</x:v>
      </x:c>
      <x:c r="C7" s="15" t="str">
        <x:v>Défini</x:v>
      </x:c>
      <x:c r="D7" s="16" t="str">
        <x:v>Extrapolation</x:v>
      </x:c>
      <x:c r="E7" s="16" t="str">
        <x:v>P1</x:v>
      </x:c>
      <x:c r="F7" s="9" t="str">
        <x:v>Mise en scène originale compacte, sans reconstituer les dialogues de l’œuvre.</x:v>
      </x:c>
      <x:c r="G7" s="9" t="str">
        <x:v>Plan sur la lumière qui revient partiellement.</x:v>
      </x:c>
      <x:c r="H7" s="9" t="str">
        <x:v>Caméra et texte uniquement ; aucune commande de combat pendant la transition ; reprise au même état en cas de saut.</x:v>
      </x:c>
      <x:c r="I7" s="9" t="str">
        <x:v>Composition 3D sobre, silhouettes 2D au premier plan ; contrôler l’échelle des personnages.</x:v>
      </x:c>
      <x:c r="J7" s="9" t="str">
        <x:v>Deux ou trois plans courts proposés ; sortie anticipée applique les mêmes drapeaux que lecture complète.</x:v>
      </x:c>
      <x:c r="K7" s="9" t="str">
        <x:v>Musique originale sous les sous-titres ; aucun extrait de bande sonore officielle.</x:v>
      </x:c>
      <x:c r="L7" s="9" t="str">
        <x:v>cinematics/nex/restore.timeline ; événements idempotents.</x:v>
      </x:c>
      <x:c r="M7" s="9" t="str">
        <x:v>La station reste endommagée et isolée.</x:v>
      </x:c>
      <x:c r="N7" s="9" t="str">
        <x:v>Version regardée et version sautée donnent les mêmes inventaire, équipe, carte et objectifs.</x:v>
      </x:c>
      <x:c r="O7" s="9" t="str">
        <x:v>NEX-MIS-RESTORE</x:v>
      </x:c>
      <x:c r="P7" s="9" t="str"/>
      <x:c r="Q7" s="9" t="str"/>
      <x:c r="R7" s="9" t="str"/>
      <x:c r="S7" s="9" t="str"/>
    </x:row>
    <x:row r="8" ht="54" customHeight="1">
      <x:c r="A8" s="19" t="str">
        <x:v>NEX-CIN-PRIORITY</x:v>
      </x:c>
      <x:c r="B8" s="7" t="str">
        <x:v>Rendre les priorités compréhensibles — transition narrative</x:v>
      </x:c>
      <x:c r="C8" s="15" t="str">
        <x:v>Défini</x:v>
      </x:c>
      <x:c r="D8" s="17" t="str">
        <x:v>Extrapolation</x:v>
      </x:c>
      <x:c r="E8" s="17" t="str">
        <x:v>P1</x:v>
      </x:c>
      <x:c r="F8" s="7" t="str">
        <x:v>Mise en scène originale compacte, sans reconstituer les dialogues de l’œuvre.</x:v>
      </x:c>
      <x:c r="G8" s="7" t="str">
        <x:v>Une file d’attente voit le tableau mis à jour.</x:v>
      </x:c>
      <x:c r="H8" s="7" t="str">
        <x:v>Caméra et texte uniquement ; aucune commande de combat pendant la transition ; reprise au même état en cas de saut.</x:v>
      </x:c>
      <x:c r="I8" s="7" t="str">
        <x:v>Composition 3D sobre, silhouettes 2D au premier plan ; contrôler l’échelle des personnages.</x:v>
      </x:c>
      <x:c r="J8" s="7" t="str">
        <x:v>Deux ou trois plans courts proposés ; sortie anticipée applique les mêmes drapeaux que lecture complète.</x:v>
      </x:c>
      <x:c r="K8" s="7" t="str">
        <x:v>Musique originale sous les sous-titres ; aucun extrait de bande sonore officielle.</x:v>
      </x:c>
      <x:c r="L8" s="7" t="str">
        <x:v>cinematics/nex/priority.timeline ; événements idempotents.</x:v>
      </x:c>
      <x:c r="M8" s="7" t="str">
        <x:v>Le joueur n’annule pas la crise politique par un score optimal.</x:v>
      </x:c>
      <x:c r="N8" s="7" t="str">
        <x:v>Version regardée et version sautée donnent les mêmes inventaire, équipe, carte et objectifs.</x:v>
      </x:c>
      <x:c r="O8" s="7" t="str">
        <x:v>NEX-MIS-PRIORITY</x:v>
      </x:c>
      <x:c r="P8" s="7" t="str"/>
      <x:c r="Q8" s="7" t="str"/>
      <x:c r="R8" s="7" t="str"/>
      <x:c r="S8" s="7" t="str"/>
    </x:row>
    <x:row r="9" ht="54" customHeight="1">
      <x:c r="A9" s="18" t="str">
        <x:v>NEX-CIN-GROW</x:v>
      </x:c>
      <x:c r="B9" s="9" t="str">
        <x:v>Sauver une capacité de production locale — transition narrative</x:v>
      </x:c>
      <x:c r="C9" s="15" t="str">
        <x:v>Défini</x:v>
      </x:c>
      <x:c r="D9" s="16" t="str">
        <x:v>Extrapolation</x:v>
      </x:c>
      <x:c r="E9" s="16" t="str">
        <x:v>P1</x:v>
      </x:c>
      <x:c r="F9" s="9" t="str">
        <x:v>Mise en scène originale compacte, sans reconstituer les dialogues de l’œuvre.</x:v>
      </x:c>
      <x:c r="G9" s="9" t="str">
        <x:v>Les plants restants reçoivent de la lumière.</x:v>
      </x:c>
      <x:c r="H9" s="9" t="str">
        <x:v>Caméra et texte uniquement ; aucune commande de combat pendant la transition ; reprise au même état en cas de saut.</x:v>
      </x:c>
      <x:c r="I9" s="9" t="str">
        <x:v>Composition 3D sobre, silhouettes 2D au premier plan ; contrôler l’échelle des personnages.</x:v>
      </x:c>
      <x:c r="J9" s="9" t="str">
        <x:v>Deux ou trois plans courts proposés ; sortie anticipée applique les mêmes drapeaux que lecture complète.</x:v>
      </x:c>
      <x:c r="K9" s="9" t="str">
        <x:v>Musique originale sous les sous-titres ; aucun extrait de bande sonore officielle.</x:v>
      </x:c>
      <x:c r="L9" s="9" t="str">
        <x:v>cinematics/nex/grow.timeline ; événements idempotents.</x:v>
      </x:c>
      <x:c r="M9" s="9" t="str">
        <x:v>Le module ne résout pas la pénurie globale du roman.</x:v>
      </x:c>
      <x:c r="N9" s="9" t="str">
        <x:v>Version regardée et version sautée donnent les mêmes inventaire, équipe, carte et objectifs.</x:v>
      </x:c>
      <x:c r="O9" s="9" t="str">
        <x:v>NEX-MIS-GROW</x:v>
      </x:c>
      <x:c r="P9" s="9" t="str"/>
      <x:c r="Q9" s="9" t="str"/>
      <x:c r="R9" s="9" t="str"/>
      <x:c r="S9" s="9" t="str"/>
    </x:row>
    <x:row r="10" ht="54" customHeight="1">
      <x:c r="A10" s="19" t="str">
        <x:v>NEX-CIN-AIR</x:v>
      </x:c>
      <x:c r="B10" s="7" t="str">
        <x:v>Garder l’atelier accessible — transition narrative</x:v>
      </x:c>
      <x:c r="C10" s="15" t="str">
        <x:v>Défini</x:v>
      </x:c>
      <x:c r="D10" s="17" t="str">
        <x:v>Extrapolation</x:v>
      </x:c>
      <x:c r="E10" s="17" t="str">
        <x:v>P1</x:v>
      </x:c>
      <x:c r="F10" s="7" t="str">
        <x:v>Mise en scène originale compacte, sans reconstituer les dialogues de l’œuvre.</x:v>
      </x:c>
      <x:c r="G10" s="7" t="str">
        <x:v>Les techniciens quittent un poste désormais stable.</x:v>
      </x:c>
      <x:c r="H10" s="7" t="str">
        <x:v>Caméra et texte uniquement ; aucune commande de combat pendant la transition ; reprise au même état en cas de saut.</x:v>
      </x:c>
      <x:c r="I10" s="7" t="str">
        <x:v>Composition 3D sobre, silhouettes 2D au premier plan ; contrôler l’échelle des personnages.</x:v>
      </x:c>
      <x:c r="J10" s="7" t="str">
        <x:v>Deux ou trois plans courts proposés ; sortie anticipée applique les mêmes drapeaux que lecture complète.</x:v>
      </x:c>
      <x:c r="K10" s="7" t="str">
        <x:v>Musique originale sous les sous-titres ; aucun extrait de bande sonore officielle.</x:v>
      </x:c>
      <x:c r="L10" s="7" t="str">
        <x:v>cinematics/nex/air.timeline ; événements idempotents.</x:v>
      </x:c>
      <x:c r="M10" s="7" t="str">
        <x:v>Les relations entre Sloane et Calix restent nuancées.</x:v>
      </x:c>
      <x:c r="N10" s="7" t="str">
        <x:v>Version regardée et version sautée donnent les mêmes inventaire, équipe, carte et objectifs.</x:v>
      </x:c>
      <x:c r="O10" s="7" t="str">
        <x:v>NEX-MIS-AIR</x:v>
      </x:c>
      <x:c r="P10" s="7" t="str"/>
      <x:c r="Q10" s="7" t="str"/>
      <x:c r="R10" s="7" t="str"/>
      <x:c r="S10" s="7" t="str"/>
    </x:row>
    <x:row r="11" ht="54" customHeight="1">
      <x:c r="A11" s="18" t="str">
        <x:v>NEX-CIN-RATION</x:v>
      </x:c>
      <x:c r="B11" s="9" t="str">
        <x:v>Protéger une distribution — transition narrative</x:v>
      </x:c>
      <x:c r="C11" s="15" t="str">
        <x:v>Défini</x:v>
      </x:c>
      <x:c r="D11" s="16" t="str">
        <x:v>Extrapolation</x:v>
      </x:c>
      <x:c r="E11" s="16" t="str">
        <x:v>P1</x:v>
      </x:c>
      <x:c r="F11" s="9" t="str">
        <x:v>Mise en scène originale compacte, sans reconstituer les dialogues de l’œuvre.</x:v>
      </x:c>
      <x:c r="G11" s="9" t="str">
        <x:v>Plan sur les mains qui emportent les rations, sans discours du livre.</x:v>
      </x:c>
      <x:c r="H11" s="9" t="str">
        <x:v>Caméra et texte uniquement ; aucune commande de combat pendant la transition ; reprise au même état en cas de saut.</x:v>
      </x:c>
      <x:c r="I11" s="9" t="str">
        <x:v>Composition 3D sobre, silhouettes 2D au premier plan ; contrôler l’échelle des personnages.</x:v>
      </x:c>
      <x:c r="J11" s="9" t="str">
        <x:v>Deux ou trois plans courts proposés ; sortie anticipée applique les mêmes drapeaux que lecture complète.</x:v>
      </x:c>
      <x:c r="K11" s="9" t="str">
        <x:v>Musique originale sous les sous-titres ; aucun extrait de bande sonore officielle.</x:v>
      </x:c>
      <x:c r="L11" s="9" t="str">
        <x:v>cinematics/nex/ration.timeline ; événements idempotents.</x:v>
      </x:c>
      <x:c r="M11" s="9" t="str">
        <x:v>Pas de bonus de ressources fondé sur l’espèce.</x:v>
      </x:c>
      <x:c r="N11" s="9" t="str">
        <x:v>Version regardée et version sautée donnent les mêmes inventaire, équipe, carte et objectifs.</x:v>
      </x:c>
      <x:c r="O11" s="9" t="str">
        <x:v>NEX-MIS-RATION</x:v>
      </x:c>
      <x:c r="P11" s="9" t="str"/>
      <x:c r="Q11" s="9" t="str"/>
      <x:c r="R11" s="9" t="str"/>
      <x:c r="S11" s="9" t="str"/>
    </x:row>
    <x:row r="12" ht="54" customHeight="1">
      <x:c r="A12" s="19" t="str">
        <x:v>NEX-CIN-DATA</x:v>
      </x:c>
      <x:c r="B12" s="7" t="str">
        <x:v>Comprendre un accès compromis — transition narrative</x:v>
      </x:c>
      <x:c r="C12" s="15" t="str">
        <x:v>Défini</x:v>
      </x:c>
      <x:c r="D12" s="17" t="str">
        <x:v>Extrapolation</x:v>
      </x:c>
      <x:c r="E12" s="17" t="str">
        <x:v>P1</x:v>
      </x:c>
      <x:c r="F12" s="7" t="str">
        <x:v>Mise en scène originale compacte, sans reconstituer les dialogues de l’œuvre.</x:v>
      </x:c>
      <x:c r="G12" s="7" t="str">
        <x:v>L’interface montre deux faits et une question encore ouverte.</x:v>
      </x:c>
      <x:c r="H12" s="7" t="str">
        <x:v>Caméra et texte uniquement ; aucune commande de combat pendant la transition ; reprise au même état en cas de saut.</x:v>
      </x:c>
      <x:c r="I12" s="7" t="str">
        <x:v>Composition 3D sobre, silhouettes 2D au premier plan ; contrôler l’échelle des personnages.</x:v>
      </x:c>
      <x:c r="J12" s="7" t="str">
        <x:v>Deux ou trois plans courts proposés ; sortie anticipée applique les mêmes drapeaux que lecture complète.</x:v>
      </x:c>
      <x:c r="K12" s="7" t="str">
        <x:v>Musique originale sous les sous-titres ; aucun extrait de bande sonore officielle.</x:v>
      </x:c>
      <x:c r="L12" s="7" t="str">
        <x:v>cinematics/nex/data.timeline ; événements idempotents.</x:v>
      </x:c>
      <x:c r="M12" s="7" t="str">
        <x:v>Aucun coupable secondaire ajouté présenté comme canon.</x:v>
      </x:c>
      <x:c r="N12" s="7" t="str">
        <x:v>Version regardée et version sautée donnent les mêmes inventaire, équipe, carte et objectifs.</x:v>
      </x:c>
      <x:c r="O12" s="7" t="str">
        <x:v>NEX-MIS-DATA</x:v>
      </x:c>
      <x:c r="P12" s="7" t="str"/>
      <x:c r="Q12" s="7" t="str"/>
      <x:c r="R12" s="7" t="str"/>
      <x:c r="S12" s="7" t="str"/>
    </x:row>
    <x:row r="13" ht="54" customHeight="1">
      <x:c r="A13" s="18" t="str">
        <x:v>NEX-CIN-CORRIDOR</x:v>
      </x:c>
      <x:c r="B13" s="9" t="str">
        <x:v>Ouvrir un passage de secours — transition narrative</x:v>
      </x:c>
      <x:c r="C13" s="15" t="str">
        <x:v>Défini</x:v>
      </x:c>
      <x:c r="D13" s="16" t="str">
        <x:v>Extrapolation</x:v>
      </x:c>
      <x:c r="E13" s="16" t="str">
        <x:v>P1</x:v>
      </x:c>
      <x:c r="F13" s="9" t="str">
        <x:v>Mise en scène originale compacte, sans reconstituer les dialogues de l’œuvre.</x:v>
      </x:c>
      <x:c r="G13" s="9" t="str">
        <x:v>Caméra au niveau des civils, pas au centre d’une bataille spectaculaire.</x:v>
      </x:c>
      <x:c r="H13" s="9" t="str">
        <x:v>Caméra et texte uniquement ; aucune commande de combat pendant la transition ; reprise au même état en cas de saut.</x:v>
      </x:c>
      <x:c r="I13" s="9" t="str">
        <x:v>Composition 3D sobre, silhouettes 2D au premier plan ; contrôler l’échelle des personnages.</x:v>
      </x:c>
      <x:c r="J13" s="9" t="str">
        <x:v>Deux ou trois plans courts proposés ; sortie anticipée applique les mêmes drapeaux que lecture complète.</x:v>
      </x:c>
      <x:c r="K13" s="9" t="str">
        <x:v>Musique originale sous les sous-titres ; aucun extrait de bande sonore officielle.</x:v>
      </x:c>
      <x:c r="L13" s="9" t="str">
        <x:v>cinematics/nex/corridor.timeline ; événements idempotents.</x:v>
      </x:c>
      <x:c r="M13" s="9" t="str">
        <x:v>Les décisions locales n’empêchent pas l’exil ultérieur.</x:v>
      </x:c>
      <x:c r="N13" s="9" t="str">
        <x:v>Version regardée et version sautée donnent les mêmes inventaire, équipe, carte et objectifs.</x:v>
      </x:c>
      <x:c r="O13" s="9" t="str">
        <x:v>NEX-MIS-CORRIDOR</x:v>
      </x:c>
      <x:c r="P13" s="9" t="str"/>
      <x:c r="Q13" s="9" t="str"/>
      <x:c r="R13" s="9" t="str"/>
      <x:c r="S13" s="9" t="str"/>
    </x:row>
    <x:row r="14" ht="54" customHeight="1">
      <x:c r="A14" s="19" t="str">
        <x:v>NEX-CIN-DEPARTURE</x:v>
      </x:c>
      <x:c r="B14" s="7" t="str">
        <x:v>Vérifier les conditions de départ — transition narrative</x:v>
      </x:c>
      <x:c r="C14" s="15" t="str">
        <x:v>Défini</x:v>
      </x:c>
      <x:c r="D14" s="17" t="str">
        <x:v>Extrapolation</x:v>
      </x:c>
      <x:c r="E14" s="17" t="str">
        <x:v>P1</x:v>
      </x:c>
      <x:c r="F14" s="7" t="str">
        <x:v>Mise en scène originale compacte, sans reconstituer les dialogues de l’œuvre.</x:v>
      </x:c>
      <x:c r="G14" s="7" t="str">
        <x:v>Un plan long sur le quai vidé marque la fracture.</x:v>
      </x:c>
      <x:c r="H14" s="7" t="str">
        <x:v>Caméra et texte uniquement ; aucune commande de combat pendant la transition ; reprise au même état en cas de saut.</x:v>
      </x:c>
      <x:c r="I14" s="7" t="str">
        <x:v>Composition 3D sobre, silhouettes 2D au premier plan ; contrôler l’échelle des personnages.</x:v>
      </x:c>
      <x:c r="J14" s="7" t="str">
        <x:v>Deux ou trois plans courts proposés ; sortie anticipée applique les mêmes drapeaux que lecture complète.</x:v>
      </x:c>
      <x:c r="K14" s="7" t="str">
        <x:v>Musique originale sous les sous-titres ; aucun extrait de bande sonore officielle.</x:v>
      </x:c>
      <x:c r="L14" s="7" t="str">
        <x:v>cinematics/nex/departure.timeline ; événements idempotents.</x:v>
      </x:c>
      <x:c r="M14" s="7" t="str">
        <x:v>L’avenir de Kadara n’est pas joué à l’avance.</x:v>
      </x:c>
      <x:c r="N14" s="7" t="str">
        <x:v>Version regardée et version sautée donnent les mêmes inventaire, équipe, carte et objectifs.</x:v>
      </x:c>
      <x:c r="O14" s="7" t="str">
        <x:v>NEX-MIS-DEPARTURE</x:v>
      </x:c>
      <x:c r="P14" s="7" t="str"/>
      <x:c r="Q14" s="7" t="str"/>
      <x:c r="R14" s="7" t="str"/>
      <x:c r="S14" s="7" t="str"/>
    </x:row>
  </x:sheetData>
  <x:conditionalFormatting sqref="D7:D14">
    <x:cfRule type="cellIs" dxfId="52" priority="1" operator="equal">
      <x:formula>"À vérifier"</x:formula>
    </x:cfRule>
    <x:cfRule type="cellIs" dxfId="53" priority="2" operator="equal">
      <x:formula>"Extrapolation"</x:formula>
    </x:cfRule>
  </x:conditionalFormatting>
  <x:conditionalFormatting sqref="C7:C14">
    <x:cfRule type="cellIs" dxfId="54" priority="3" operator="equal">
      <x:formula>"Validé"</x:formula>
    </x:cfRule>
  </x:conditionalFormatting>
  <x:conditionalFormatting sqref="E7:E14">
    <x:cfRule type="cellIs" dxfId="5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be80b2991347417b"/>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8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Andromeda: Nexus Uprising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22" customHeight="1">
      <x:c r="A7" s="2"/>
      <x:c r="B7" s="31" t="str">
        <x:v>Aucun élément inventorié. Voir les limites dans Guide.</x:v>
      </x:c>
      <x:c r="C7" s="31"/>
      <x:c r="D7" s="31"/>
      <x:c r="E7" s="31"/>
      <x:c r="F7" s="31"/>
      <x:c r="G7" s="31"/>
      <x:c r="H7" s="2"/>
      <x:c r="I7" s="2"/>
      <x:c r="J7" s="2"/>
      <x:c r="K7" s="2"/>
      <x:c r="L7" s="2"/>
      <x:c r="M7" s="2"/>
      <x:c r="N7" s="2"/>
      <x:c r="O7" s="2"/>
      <x:c r="P7" s="2"/>
      <x:c r="Q7" s="2"/>
      <x:c r="R7" s="2"/>
      <x:c r="S7" s="2"/>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Andromeda: Nexus Uprising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NEX-REF-CRYO</x:v>
      </x:c>
      <x:c r="B7" s="9" t="str">
        <x:v>Capsules cryogéniques</x:v>
      </x:c>
      <x:c r="C7" s="15" t="str">
        <x:v>Défini</x:v>
      </x:c>
      <x:c r="D7" s="16" t="str">
        <x:v>Établi</x:v>
      </x:c>
      <x:c r="E7" s="16" t="str">
        <x:v>P1</x:v>
      </x:c>
      <x:c r="F7" s="9" t="str">
        <x:v>Morda est réveillée de cryostase pendant la crise.</x:v>
      </x:c>
      <x:c r="G7" s="9" t="str">
        <x:v>Ancrage documentaire du module ; aucune statistique officielle inférée.</x:v>
      </x:c>
      <x:c r="H7" s="9" t="str"/>
      <x:c r="I7" s="9" t="str"/>
      <x:c r="J7" s="9" t="str"/>
      <x:c r="K7" s="9" t="str"/>
      <x:c r="L7" s="9" t="str">
        <x:v>Codex ref.nex.cryo ; affichage bref avec source.</x:v>
      </x:c>
      <x:c r="M7" s="9" t="str">
        <x:v>Préserver la crise précédant Mass Effect Andromeda : les choix locaux ne suppriment ni la révolte ni l’exil de Sloane et des autres personnes concernées. Ne pas résoudre dans ce module les mystères révélés plus tard par Ryder.</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NEX-SRC-MORDA</x:v>
      </x:c>
      <x:c r="R7" s="9" t="str">
        <x:v>https://masseffect.fandom.com/wiki/Nakmor_Morda</x:v>
      </x:c>
      <x:c r="S7" s="9" t="str">
        <x:v>Ce relevé n’est ni un inventaire exhaustif ni un résumé scène par scène.</x:v>
      </x:c>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a25b021c89b147de"/>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5" hidden="0" customWidth="1"/>
    <x:col min="19" max="19" width="8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Andromeda: Nexus Uprising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22" customHeight="1">
      <x:c r="A7" s="2"/>
      <x:c r="B7" s="31" t="str">
        <x:v>Aucun élément inventorié. Voir les limites dans Guide.</x:v>
      </x:c>
      <x:c r="C7" s="31"/>
      <x:c r="D7" s="31"/>
      <x:c r="E7" s="31"/>
      <x:c r="F7" s="31"/>
      <x:c r="G7" s="31"/>
      <x:c r="H7" s="2"/>
      <x:c r="I7" s="2"/>
      <x:c r="J7" s="2"/>
      <x:c r="K7" s="2"/>
      <x:c r="L7" s="2"/>
      <x:c r="M7" s="2"/>
      <x:c r="N7" s="2"/>
      <x:c r="O7" s="2"/>
      <x:c r="P7" s="2"/>
      <x:c r="Q7" s="2"/>
      <x:c r="R7" s="2"/>
      <x:c r="S7" s="2"/>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Andromeda: Nexus Uprising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NEX-MOV-ORDER</x:v>
      </x:c>
      <x:c r="B7" s="9" t="str">
        <x:v>Consigne de retenue</x:v>
      </x:c>
      <x:c r="C7" s="15" t="str">
        <x:v>Défini</x:v>
      </x:c>
      <x:c r="D7" s="16" t="str">
        <x:v>Extrapolation</x:v>
      </x:c>
      <x:c r="E7" s="16" t="str">
        <x:v>P1</x:v>
      </x:c>
      <x:c r="F7" s="9" t="str">
        <x:v>Action de groupe originale ; elle n’est pas une compétence officielle de cette œuvre.</x:v>
      </x:c>
      <x:c r="G7" s="9" t="str">
        <x:v>Sloane : Suspendre une avance d’un groupe allié le temps d’une médiation ; effet uniquement local.</x:v>
      </x:c>
      <x:c r="H7" s="9" t="str">
        <x:v>Suspendre une avance d’un groupe allié le temps d’une médiation ; effet uniquement local. Coût initial proposé : une action ATB ; coût et délai restent des paramètres de prototype.</x:v>
      </x:c>
      <x:c r="I7" s="9" t="str">
        <x:v>Main levée et symbole attente sur le groupe.</x:v>
      </x:c>
      <x:c r="J7" s="9" t="str">
        <x:v>Préparation, validation de cible, engagement et récupération ; prévoir animation de refus avec motif.</x:v>
      </x:c>
      <x:c r="K7" s="9" t="str">
        <x:v>Confirmation et refus distingués ; texte d’état accessible au clavier.</x:v>
      </x:c>
      <x:c r="L7" s="9" t="str">
        <x:v>actions/nex/order.json ; commande, cibles autorisées, coût, effets, nettoyage.</x:v>
      </x:c>
      <x:c r="M7" s="9" t="str">
        <x:v>Préserver la crise précédant Mass Effect Andromeda : les choix locaux ne suppriment ni la révolte ni l’exil de Sloane et des autres personnes concernées. Ne pas résoudre dans ce module les mystères révélés plus tard par Ryder.</x:v>
      </x:c>
      <x:c r="N7" s="9" t="str">
        <x:v>Une cible incompatible ne consomme rien ; l’effet est réversible au rechargement du point de contrôle.</x:v>
      </x:c>
      <x:c r="O7" s="9" t="str"/>
      <x:c r="P7" s="9" t="str"/>
      <x:c r="Q7" s="9" t="str"/>
      <x:c r="R7" s="9" t="str"/>
      <x:c r="S7" s="9" t="str"/>
    </x:row>
    <x:row r="8" ht="82" customHeight="1">
      <x:c r="A8" s="19" t="str">
        <x:v>NEX-MOV-REPAIR</x:v>
      </x:c>
      <x:c r="B8" s="7" t="str">
        <x:v>Réparation soutenue</x:v>
      </x:c>
      <x:c r="C8" s="15" t="str">
        <x:v>Défini</x:v>
      </x:c>
      <x:c r="D8" s="17" t="str">
        <x:v>Extrapolation</x:v>
      </x:c>
      <x:c r="E8" s="17" t="str">
        <x:v>P1</x:v>
      </x:c>
      <x:c r="F8" s="7" t="str">
        <x:v>Action de groupe originale ; elle n’est pas une compétence officielle de cette œuvre.</x:v>
      </x:c>
      <x:c r="G8" s="7" t="str">
        <x:v>Kesh : Maintenir un poste en état pendant qu’un autre circuit est isolé.</x:v>
      </x:c>
      <x:c r="H8" s="7" t="str">
        <x:v>Maintenir un poste en état pendant qu’un autre circuit est isolé. Coût initial proposé : une action ATB ; coût et délai restent des paramètres de prototype.</x:v>
      </x:c>
      <x:c r="I8" s="7" t="str">
        <x:v>Outil et contour de la machine concernée.</x:v>
      </x:c>
      <x:c r="J8" s="7" t="str">
        <x:v>Préparation, validation de cible, engagement et récupération ; prévoir animation de refus avec motif.</x:v>
      </x:c>
      <x:c r="K8" s="7" t="str">
        <x:v>Confirmation et refus distingués ; texte d’état accessible au clavier.</x:v>
      </x:c>
      <x:c r="L8" s="7" t="str">
        <x:v>actions/nex/repair.json ; commande, cibles autorisées, coût, effets, nettoyage.</x:v>
      </x:c>
      <x:c r="M8" s="7" t="str">
        <x:v>Préserver la crise précédant Mass Effect Andromeda : les choix locaux ne suppriment ni la révolte ni l’exil de Sloane et des autres personnes concernées. Ne pas résoudre dans ce module les mystères révélés plus tard par Ryder.</x:v>
      </x:c>
      <x:c r="N8" s="7" t="str">
        <x:v>Une cible incompatible ne consomme rien ; l’effet est réversible au rechargement du point de contrôle.</x:v>
      </x:c>
      <x:c r="O8" s="7" t="str"/>
      <x:c r="P8" s="7" t="str"/>
      <x:c r="Q8" s="7" t="str"/>
      <x:c r="R8" s="7" t="str"/>
      <x:c r="S8" s="7" t="str"/>
    </x:row>
    <x:row r="9" ht="82" customHeight="1">
      <x:c r="A9" s="18" t="str">
        <x:v>NEX-MOV-RECON</x:v>
      </x:c>
      <x:c r="B9" s="9" t="str">
        <x:v>Reconnaissance de service</x:v>
      </x:c>
      <x:c r="C9" s="15" t="str">
        <x:v>Défini</x:v>
      </x:c>
      <x:c r="D9" s="16" t="str">
        <x:v>Extrapolation</x:v>
      </x:c>
      <x:c r="E9" s="16" t="str">
        <x:v>P1</x:v>
      </x:c>
      <x:c r="F9" s="9" t="str">
        <x:v>Action de groupe originale ; elle n’est pas une compétence officielle de cette œuvre.</x:v>
      </x:c>
      <x:c r="G9" s="9" t="str">
        <x:v>Kandros : Révéler une sortie sûre sur la carte locale sans découvrir un nouvel habitat canonique.</x:v>
      </x:c>
      <x:c r="H9" s="9" t="str">
        <x:v>Révéler une sortie sûre sur la carte locale sans découvrir un nouvel habitat canonique. Coût initial proposé : une action ATB ; coût et délai restent des paramètres de prototype.</x:v>
      </x:c>
      <x:c r="I9" s="9" t="str">
        <x:v>Cône court de reconnaissance.</x:v>
      </x:c>
      <x:c r="J9" s="9" t="str">
        <x:v>Préparation, validation de cible, engagement et récupération ; prévoir animation de refus avec motif.</x:v>
      </x:c>
      <x:c r="K9" s="9" t="str">
        <x:v>Confirmation et refus distingués ; texte d’état accessible au clavier.</x:v>
      </x:c>
      <x:c r="L9" s="9" t="str">
        <x:v>actions/nex/recon.json ; commande, cibles autorisées, coût, effets, nettoyage.</x:v>
      </x:c>
      <x:c r="M9" s="9" t="str">
        <x:v>Préserver la crise précédant Mass Effect Andromeda : les choix locaux ne suppriment ni la révolte ni l’exil de Sloane et des autres personnes concernées. Ne pas résoudre dans ce module les mystères révélés plus tard par Ryder.</x:v>
      </x:c>
      <x:c r="N9" s="9" t="str">
        <x:v>Une cible incompatible ne consomme rien ; l’effet est réversible au rechargement du point de contrôle.</x:v>
      </x:c>
      <x:c r="O9" s="9" t="str"/>
      <x:c r="P9" s="9" t="str"/>
      <x:c r="Q9" s="9" t="str"/>
      <x:c r="R9" s="9" t="str"/>
      <x:c r="S9" s="9" t="str"/>
    </x:row>
    <x:row r="10" ht="82" customHeight="1">
      <x:c r="A10" s="19" t="str">
        <x:v>NEX-MOV-BRIEF</x:v>
      </x:c>
      <x:c r="B10" s="7" t="str">
        <x:v>Compte rendu contradictoire</x:v>
      </x:c>
      <x:c r="C10" s="15" t="str">
        <x:v>Défini</x:v>
      </x:c>
      <x:c r="D10" s="17" t="str">
        <x:v>Extrapolation</x:v>
      </x:c>
      <x:c r="E10" s="17" t="str">
        <x:v>P1</x:v>
      </x:c>
      <x:c r="F10" s="7" t="str">
        <x:v>Action de groupe originale ; elle n’est pas une compétence officielle de cette œuvre.</x:v>
      </x:c>
      <x:c r="G10" s="7" t="str">
        <x:v>Groupe : Mettre côte à côte deux versions d’un problème avant une décision.</x:v>
      </x:c>
      <x:c r="H10" s="7" t="str">
        <x:v>Mettre côte à côte deux versions d’un problème avant une décision. Coût initial proposé : une action ATB ; coût et délai restent des paramètres de prototype.</x:v>
      </x:c>
      <x:c r="I10" s="7" t="str">
        <x:v>Deux cartes de témoignage séparées.</x:v>
      </x:c>
      <x:c r="J10" s="7" t="str">
        <x:v>Préparation, validation de cible, engagement et récupération ; prévoir animation de refus avec motif.</x:v>
      </x:c>
      <x:c r="K10" s="7" t="str">
        <x:v>Confirmation et refus distingués ; texte d’état accessible au clavier.</x:v>
      </x:c>
      <x:c r="L10" s="7" t="str">
        <x:v>actions/nex/brief.json ; commande, cibles autorisées, coût, effets, nettoyage.</x:v>
      </x:c>
      <x:c r="M10" s="7" t="str">
        <x:v>Préserver la crise précédant Mass Effect Andromeda : les choix locaux ne suppriment ni la révolte ni l’exil de Sloane et des autres personnes concernées. Ne pas résoudre dans ce module les mystères révélés plus tard par Ryder.</x:v>
      </x:c>
      <x:c r="N10" s="7" t="str">
        <x:v>Une cible incompatible ne consomme rien ; l’effet est réversible au rechargement du point de contrôle.</x:v>
      </x:c>
      <x:c r="O10" s="7" t="str"/>
      <x:c r="P10" s="7" t="str"/>
      <x:c r="Q10" s="7" t="str"/>
      <x:c r="R10" s="7" t="str"/>
      <x:c r="S10" s="7" t="str"/>
    </x:row>
    <x:row r="11" ht="82" customHeight="1">
      <x:c r="A11" s="18" t="str">
        <x:v>NEX-MOV-HAUL</x:v>
      </x:c>
      <x:c r="B11" s="9" t="str">
        <x:v>Transport de pièce</x:v>
      </x:c>
      <x:c r="C11" s="15" t="str">
        <x:v>Défini</x:v>
      </x:c>
      <x:c r="D11" s="16" t="str">
        <x:v>Extrapolation</x:v>
      </x:c>
      <x:c r="E11" s="16" t="str">
        <x:v>P1</x:v>
      </x:c>
      <x:c r="F11" s="9" t="str">
        <x:v>Action de groupe originale ; elle n’est pas une compétence officielle de cette œuvre.</x:v>
      </x:c>
      <x:c r="G11" s="9" t="str">
        <x:v>Équipe de maintenance proposée : Deux acteurs portent un module lourd et n’attaquent pas pendant le déplacement.</x:v>
      </x:c>
      <x:c r="H11" s="9" t="str">
        <x:v>Deux acteurs portent un module lourd et n’attaquent pas pendant le déplacement. Coût initial proposé : une action ATB ; coût et délai restent des paramètres de prototype.</x:v>
      </x:c>
      <x:c r="I11" s="9" t="str">
        <x:v>Sprite partagé et chemin élargi.</x:v>
      </x:c>
      <x:c r="J11" s="9" t="str">
        <x:v>Préparation, validation de cible, engagement et récupération ; prévoir animation de refus avec motif.</x:v>
      </x:c>
      <x:c r="K11" s="9" t="str">
        <x:v>Confirmation et refus distingués ; texte d’état accessible au clavier.</x:v>
      </x:c>
      <x:c r="L11" s="9" t="str">
        <x:v>actions/nex/haul.json ; commande, cibles autorisées, coût, effets, nettoyage.</x:v>
      </x:c>
      <x:c r="M11" s="9" t="str">
        <x:v>Préserver la crise précédant Mass Effect Andromeda : les choix locaux ne suppriment ni la révolte ni l’exil de Sloane et des autres personnes concernées. Ne pas résoudre dans ce module les mystères révélés plus tard par Ryder.</x:v>
      </x:c>
      <x:c r="N11" s="9" t="str">
        <x:v>Une cible incompatible ne consomme rien ; l’effet est réversible au rechargement du point de contrôle.</x:v>
      </x:c>
      <x:c r="O11" s="9" t="str"/>
      <x:c r="P11" s="9" t="str"/>
      <x:c r="Q11" s="9" t="str"/>
      <x:c r="R11" s="9" t="str"/>
      <x:c r="S11" s="9" t="str"/>
    </x:row>
    <x:row r="12" ht="82" customHeight="1">
      <x:c r="A12" s="19" t="str">
        <x:v>NEX-MOV-MEDIATE</x:v>
      </x:c>
      <x:c r="B12" s="7" t="str">
        <x:v>Passage neutre</x:v>
      </x:c>
      <x:c r="C12" s="15" t="str">
        <x:v>Défini</x:v>
      </x:c>
      <x:c r="D12" s="17" t="str">
        <x:v>Extrapolation</x:v>
      </x:c>
      <x:c r="E12" s="17" t="str">
        <x:v>P1</x:v>
      </x:c>
      <x:c r="F12" s="7" t="str">
        <x:v>Action de groupe originale ; elle n’est pas une compétence officielle de cette œuvre.</x:v>
      </x:c>
      <x:c r="G12" s="7" t="str">
        <x:v>Groupe : Ouvrir une fenêtre de déplacement civil après accord local des deux côtés.</x:v>
      </x:c>
      <x:c r="H12" s="7" t="str">
        <x:v>Ouvrir une fenêtre de déplacement civil après accord local des deux côtés. Coût initial proposé : une action ATB ; coût et délai restent des paramètres de prototype.</x:v>
      </x:c>
      <x:c r="I12" s="7" t="str">
        <x:v>Balisage sobre d’un itinéraire neutre.</x:v>
      </x:c>
      <x:c r="J12" s="7" t="str">
        <x:v>Préparation, validation de cible, engagement et récupération ; prévoir animation de refus avec motif.</x:v>
      </x:c>
      <x:c r="K12" s="7" t="str">
        <x:v>Confirmation et refus distingués ; texte d’état accessible au clavier.</x:v>
      </x:c>
      <x:c r="L12" s="7" t="str">
        <x:v>actions/nex/mediate.json ; commande, cibles autorisées, coût, effets, nettoyage.</x:v>
      </x:c>
      <x:c r="M12" s="7" t="str">
        <x:v>Préserver la crise précédant Mass Effect Andromeda : les choix locaux ne suppriment ni la révolte ni l’exil de Sloane et des autres personnes concernées. Ne pas résoudre dans ce module les mystères révélés plus tard par Ryder.</x:v>
      </x:c>
      <x:c r="N12" s="7" t="str">
        <x:v>Une cible incompatible ne consomme rien ; l’effet est réversible au rechargement du point de contrôle.</x:v>
      </x:c>
      <x:c r="O12" s="7" t="str"/>
      <x:c r="P12" s="7" t="str"/>
      <x:c r="Q12" s="7" t="str"/>
      <x:c r="R12" s="7" t="str"/>
      <x:c r="S12" s="7" t="str"/>
    </x:row>
  </x:sheetData>
  <x:conditionalFormatting sqref="D7:D12">
    <x:cfRule type="cellIs" dxfId="60" priority="1" operator="equal">
      <x:formula>"À vérifier"</x:formula>
    </x:cfRule>
    <x:cfRule type="cellIs" dxfId="61" priority="2" operator="equal">
      <x:formula>"Extrapolation"</x:formula>
    </x:cfRule>
  </x:conditionalFormatting>
  <x:conditionalFormatting sqref="C7:C12">
    <x:cfRule type="cellIs" dxfId="62" priority="3" operator="equal">
      <x:formula>"Validé"</x:formula>
    </x:cfRule>
  </x:conditionalFormatting>
  <x:conditionalFormatting sqref="E7:E12">
    <x:cfRule type="cellIs" dxfId="63"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d3a218c6786c47ec"/>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Andromeda: Nexus Uprising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NEX-EMV-POWER</x:v>
      </x:c>
      <x:c r="B7" s="9" t="str">
        <x:v>Cascade électrique — comportement principal</x:v>
      </x:c>
      <x:c r="C7" s="15" t="str">
        <x:v>Défini</x:v>
      </x:c>
      <x:c r="D7" s="16" t="str">
        <x:v>Extrapolation</x:v>
      </x:c>
      <x:c r="E7" s="16" t="str">
        <x:v>P1</x:v>
      </x:c>
      <x:c r="F7" s="9" t="str">
        <x:v>Comportement proposé pour la rencontre liée.</x:v>
      </x:c>
      <x:c r="G7" s="9" t="str">
        <x:v>Déplace une coupure entre secteurs selon les circuits non isolés.</x:v>
      </x:c>
      <x:c r="H7" s="9" t="str">
        <x:v>Télégraphe : Voyants de circuit et zone assombrie avant fermeture. Contre-mesure : Isoler la branche puis reconnecter le poste sûr. Consommer une action ATB à l’engagement ; équilibrage à mesurer au prototype.</x:v>
      </x:c>
      <x:c r="I7" s="9" t="str">
        <x:v>Rendre l’aire touchée lisible au sol et sur le HUD ; ne jamais dépendre seulement de la couleur.</x:v>
      </x:c>
      <x:c r="J7" s="9" t="str">
        <x:v>Bloquer la cible au début de l’engagement ; annuler proprement si les préconditions disparaissent.</x:v>
      </x:c>
      <x:c r="K7" s="9" t="str">
        <x:v>Signal préalable distinct du son d’impact ; option pour réduire les sons agressifs.</x:v>
      </x:c>
      <x:c r="L7" s="9" t="str">
        <x:v>behaviors/nex/power : prepare/commit/recover ; paramètres séparés du code.</x:v>
      </x:c>
      <x:c r="M7" s="9" t="str">
        <x:v>Uniquement quand la rencontre correspondante est active.</x:v>
      </x:c>
      <x:c r="N7" s="9" t="str">
        <x:v>L’indicateur apparaît avant la conséquence ; la contre-mesure fonctionne en pause et à vitesse normale.</x:v>
      </x:c>
      <x:c r="O7" s="9" t="str">
        <x:v>NEX-ENC-POWER</x:v>
      </x:c>
      <x:c r="P7" s="9" t="str"/>
      <x:c r="Q7" s="9" t="str"/>
      <x:c r="R7" s="9" t="str"/>
      <x:c r="S7" s="9" t="str"/>
    </x:row>
    <x:row r="8" ht="68" customHeight="1">
      <x:c r="A8" s="19" t="str">
        <x:v>NEX-EMV-CROWD</x:v>
      </x:c>
      <x:c r="B8" s="7" t="str">
        <x:v>Blocage de distribution — comportement principal</x:v>
      </x:c>
      <x:c r="C8" s="15" t="str">
        <x:v>Défini</x:v>
      </x:c>
      <x:c r="D8" s="17" t="str">
        <x:v>Extrapolation</x:v>
      </x:c>
      <x:c r="E8" s="17" t="str">
        <x:v>P1</x:v>
      </x:c>
      <x:c r="F8" s="7" t="str">
        <x:v>Comportement proposé pour la rencontre liée.</x:v>
      </x:c>
      <x:c r="G8" s="7" t="str">
        <x:v>La circulation se bloque lorsqu’une information de ration est ambiguë.</x:v>
      </x:c>
      <x:c r="H8" s="7" t="str">
        <x:v>Télégraphe : Icônes de questions et passages qui se resserrent. Contre-mesure : Clarifier le tableau et ouvrir un second chemin. Consommer une action ATB à l’engagement ; équilibrage à mesurer au prototype.</x:v>
      </x:c>
      <x:c r="I8" s="7" t="str">
        <x:v>Rendre l’aire touchée lisible au sol et sur le HUD ; ne jamais dépendre seulement de la couleur.</x:v>
      </x:c>
      <x:c r="J8" s="7" t="str">
        <x:v>Bloquer la cible au début de l’engagement ; annuler proprement si les préconditions disparaissent.</x:v>
      </x:c>
      <x:c r="K8" s="7" t="str">
        <x:v>Signal préalable distinct du son d’impact ; option pour réduire les sons agressifs.</x:v>
      </x:c>
      <x:c r="L8" s="7" t="str">
        <x:v>behaviors/nex/crowd : prepare/commit/recover ; paramètres séparés du code.</x:v>
      </x:c>
      <x:c r="M8" s="7" t="str">
        <x:v>Uniquement quand la rencontre correspondante est active.</x:v>
      </x:c>
      <x:c r="N8" s="7" t="str">
        <x:v>L’indicateur apparaît avant la conséquence ; la contre-mesure fonctionne en pause et à vitesse normale.</x:v>
      </x:c>
      <x:c r="O8" s="7" t="str">
        <x:v>NEX-ENC-CROWD</x:v>
      </x:c>
      <x:c r="P8" s="7" t="str"/>
      <x:c r="Q8" s="7" t="str"/>
      <x:c r="R8" s="7" t="str"/>
      <x:c r="S8" s="7" t="str"/>
    </x:row>
    <x:row r="9" ht="68" customHeight="1">
      <x:c r="A9" s="18" t="str">
        <x:v>NEX-EMV-SABOTAGE</x:v>
      </x:c>
      <x:c r="B9" s="9" t="str">
        <x:v>Verrou d’accès altéré — comportement principal</x:v>
      </x:c>
      <x:c r="C9" s="15" t="str">
        <x:v>Défini</x:v>
      </x:c>
      <x:c r="D9" s="16" t="str">
        <x:v>Extrapolation</x:v>
      </x:c>
      <x:c r="E9" s="16" t="str">
        <x:v>P1</x:v>
      </x:c>
      <x:c r="F9" s="9" t="str">
        <x:v>Comportement proposé pour la rencontre liée.</x:v>
      </x:c>
      <x:c r="G9" s="9" t="str">
        <x:v>Un panneau affiche une autorisation incompatible avec la porte.</x:v>
      </x:c>
      <x:c r="H9" s="9" t="str">
        <x:v>Télégraphe : Deux statuts contradictoires simultanément visibles. Contre-mesure : Vérifier localement et conserver la trace avant réparation. Consommer une action ATB à l’engagement ; équilibrage à mesurer au prototype.</x:v>
      </x:c>
      <x:c r="I9" s="9" t="str">
        <x:v>Rendre l’aire touchée lisible au sol et sur le HUD ; ne jamais dépendre seulement de la couleur.</x:v>
      </x:c>
      <x:c r="J9" s="9" t="str">
        <x:v>Bloquer la cible au début de l’engagement ; annuler proprement si les préconditions disparaissent.</x:v>
      </x:c>
      <x:c r="K9" s="9" t="str">
        <x:v>Signal préalable distinct du son d’impact ; option pour réduire les sons agressifs.</x:v>
      </x:c>
      <x:c r="L9" s="9" t="str">
        <x:v>behaviors/nex/sabotage : prepare/commit/recover ; paramètres séparés du code.</x:v>
      </x:c>
      <x:c r="M9" s="9" t="str">
        <x:v>Uniquement quand la rencontre correspondante est active.</x:v>
      </x:c>
      <x:c r="N9" s="9" t="str">
        <x:v>L’indicateur apparaît avant la conséquence ; la contre-mesure fonctionne en pause et à vitesse normale.</x:v>
      </x:c>
      <x:c r="O9" s="9" t="str">
        <x:v>NEX-ENC-SABOTAGE</x:v>
      </x:c>
      <x:c r="P9" s="9" t="str"/>
      <x:c r="Q9" s="9" t="str"/>
      <x:c r="R9" s="9" t="str"/>
      <x:c r="S9" s="9" t="str"/>
    </x:row>
    <x:row r="10" ht="68" customHeight="1">
      <x:c r="A10" s="19" t="str">
        <x:v>NEX-EMV-CLASH</x:v>
      </x:c>
      <x:c r="B10" s="7" t="str">
        <x:v>Confrontation de couloir — comportement principal</x:v>
      </x:c>
      <x:c r="C10" s="15" t="str">
        <x:v>Défini</x:v>
      </x:c>
      <x:c r="D10" s="17" t="str">
        <x:v>Extrapolation</x:v>
      </x:c>
      <x:c r="E10" s="17" t="str">
        <x:v>P1</x:v>
      </x:c>
      <x:c r="F10" s="7" t="str">
        <x:v>Comportement proposé pour la rencontre liée.</x:v>
      </x:c>
      <x:c r="G10" s="7" t="str">
        <x:v>Deux lignes avancent vers une porte civile tant que le passage neutre est fermé.</x:v>
      </x:c>
      <x:c r="H10" s="7" t="str">
        <x:v>Télégraphe : Marques de recul, signes de tension et cible de porte. Contre-mesure : Ouvrir le passage et retirer les civils du trajet. Consommer une action ATB à l’engagement ; équilibrage à mesurer au prototype.</x:v>
      </x:c>
      <x:c r="I10" s="7" t="str">
        <x:v>Rendre l’aire touchée lisible au sol et sur le HUD ; ne jamais dépendre seulement de la couleur.</x:v>
      </x:c>
      <x:c r="J10" s="7" t="str">
        <x:v>Bloquer la cible au début de l’engagement ; annuler proprement si les préconditions disparaissent.</x:v>
      </x:c>
      <x:c r="K10" s="7" t="str">
        <x:v>Signal préalable distinct du son d’impact ; option pour réduire les sons agressifs.</x:v>
      </x:c>
      <x:c r="L10" s="7" t="str">
        <x:v>behaviors/nex/clash : prepare/commit/recover ; paramètres séparés du code.</x:v>
      </x:c>
      <x:c r="M10" s="7" t="str">
        <x:v>Uniquement quand la rencontre correspondante est active.</x:v>
      </x:c>
      <x:c r="N10" s="7" t="str">
        <x:v>L’indicateur apparaît avant la conséquence ; la contre-mesure fonctionne en pause et à vitesse normale.</x:v>
      </x:c>
      <x:c r="O10" s="7" t="str">
        <x:v>NEX-ENC-CLASH</x:v>
      </x:c>
      <x:c r="P10" s="7" t="str"/>
      <x:c r="Q10" s="7" t="str"/>
      <x:c r="R10" s="7" t="str"/>
      <x:c r="S10" s="7" t="str"/>
    </x:row>
  </x:sheetData>
  <x:conditionalFormatting sqref="D7:D10">
    <x:cfRule type="cellIs" dxfId="64" priority="1" operator="equal">
      <x:formula>"À vérifier"</x:formula>
    </x:cfRule>
    <x:cfRule type="cellIs" dxfId="65" priority="2" operator="equal">
      <x:formula>"Extrapolation"</x:formula>
    </x:cfRule>
  </x:conditionalFormatting>
  <x:conditionalFormatting sqref="C7:C10">
    <x:cfRule type="cellIs" dxfId="66" priority="3" operator="equal">
      <x:formula>"Validé"</x:formula>
    </x:cfRule>
  </x:conditionalFormatting>
  <x:conditionalFormatting sqref="E7:E10">
    <x:cfRule type="cellIs" dxfId="6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7452113bc561484c"/>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Andromeda: Nexus Uprising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NEX-ANI-SLOANE</x:v>
      </x:c>
      <x:c r="B7" s="9" t="str">
        <x:v>Sloane Kelly — jeu de poses contextuelles</x:v>
      </x:c>
      <x:c r="C7" s="15" t="str">
        <x:v>Défini</x:v>
      </x:c>
      <x:c r="D7" s="16" t="str">
        <x:v>Extrapolation</x:v>
      </x:c>
      <x:c r="E7" s="16" t="str">
        <x:v>P1</x:v>
      </x:c>
      <x:c r="F7" s="9" t="str">
        <x:v>Création proposée : poses nécessaires à l’interaction « Coordonner une intervention de protection avec ordre de retenue. ».</x:v>
      </x:c>
      <x:c r="G7" s="9" t="str">
        <x:v>Blocage animé de Sloane Kelly : anticipation, action, récupération, retour au repos ; prévoir une interruption propre.</x:v>
      </x:c>
      <x:c r="H7" s="9" t="str">
        <x:v>Coordonner une intervention de protection avec ordre de retenue. L’effet logique ne dépend jamais de la cadence du rendu.</x:v>
      </x:c>
      <x:c r="I7" s="9" t="str">
        <x:v>Conserver les repères de silhouette : Tenue de sécurité avant son apparence de dirigeante de Kadara ; posture alerte.</x:v>
      </x:c>
      <x:c r="J7" s="9" t="str">
        <x:v>Repos, déplacement, interaction et réaction ; nombre d’images ajusté après essai sur écran ; ne pas ajouter une attaque aux personnages civils.</x:v>
      </x:c>
      <x:c r="K7" s="9" t="str">
        <x:v>Marqueurs animation distincts du fichier audio ; sous-titre court si l’action porte une information.</x:v>
      </x:c>
      <x:c r="L7" s="9" t="str">
        <x:v>Animator actor.nex.sloane ; événements start/commit/recover ; annulation avant commit sans effet.</x:v>
      </x:c>
      <x:c r="M7" s="9" t="str">
        <x:v>Animation de blessure ou de décès uniquement si le contexte la justifie ; pas de mort libre d’un personnage établi.</x:v>
      </x:c>
      <x:c r="N7" s="9" t="str">
        <x:v>Une interruption avant commit ne dépense pas la ressource ; aucune pose résiduelle après changement de carte.</x:v>
      </x:c>
      <x:c r="O7" s="9" t="str">
        <x:v>NEX-SPR-SLOANE</x:v>
      </x:c>
      <x:c r="P7" s="9" t="str"/>
      <x:c r="Q7" s="9" t="str"/>
      <x:c r="R7" s="9" t="str"/>
      <x:c r="S7" s="9" t="str"/>
    </x:row>
    <x:row r="8" ht="54" customHeight="1">
      <x:c r="A8" s="19" t="str">
        <x:v>NEX-ANI-TANN</x:v>
      </x:c>
      <x:c r="B8" s="7" t="str">
        <x:v>Jarun Tann — jeu de poses contextuelles</x:v>
      </x:c>
      <x:c r="C8" s="15" t="str">
        <x:v>Défini</x:v>
      </x:c>
      <x:c r="D8" s="17" t="str">
        <x:v>Extrapolation</x:v>
      </x:c>
      <x:c r="E8" s="17" t="str">
        <x:v>P1</x:v>
      </x:c>
      <x:c r="F8" s="7" t="str">
        <x:v>Création proposée : poses nécessaires à l’interaction « Arbitrer des demandes de ressources dans un dialogue original. ».</x:v>
      </x:c>
      <x:c r="G8" s="7" t="str">
        <x:v>Blocage animé de Jarun Tann : anticipation, action, récupération, retour au repos ; prévoir une interruption propre.</x:v>
      </x:c>
      <x:c r="H8" s="7" t="str">
        <x:v>Arbitrer des demandes de ressources dans un dialogue original. L’effet logique ne dépend jamais de la cadence du rendu.</x:v>
      </x:c>
      <x:c r="I8" s="7" t="str">
        <x:v>Conserver les repères de silhouette : Silhouette salarienne mince, tenue administrative, tablette de priorités.</x:v>
      </x:c>
      <x:c r="J8" s="7" t="str">
        <x:v>Repos, déplacement, interaction et réaction ; nombre d’images ajusté après essai sur écran ; ne pas ajouter une attaque aux personnages civils.</x:v>
      </x:c>
      <x:c r="K8" s="7" t="str">
        <x:v>Marqueurs animation distincts du fichier audio ; sous-titre court si l’action porte une information.</x:v>
      </x:c>
      <x:c r="L8" s="7" t="str">
        <x:v>Animator actor.nex.tann ; événements start/commit/recover ; annulation avant commit sans effet.</x:v>
      </x:c>
      <x:c r="M8" s="7" t="str">
        <x:v>Animation de blessure ou de décès uniquement si le contexte la justifie ; pas de mort libre d’un personnage établi.</x:v>
      </x:c>
      <x:c r="N8" s="7" t="str">
        <x:v>Une interruption avant commit ne dépense pas la ressource ; aucune pose résiduelle après changement de carte.</x:v>
      </x:c>
      <x:c r="O8" s="7" t="str">
        <x:v>NEX-SPR-TANN</x:v>
      </x:c>
      <x:c r="P8" s="7" t="str"/>
      <x:c r="Q8" s="7" t="str"/>
      <x:c r="R8" s="7" t="str"/>
      <x:c r="S8" s="7" t="str"/>
    </x:row>
    <x:row r="9" ht="54" customHeight="1">
      <x:c r="A9" s="18" t="str">
        <x:v>NEX-ANI-KESH</x:v>
      </x:c>
      <x:c r="B9" s="9" t="str">
        <x:v>Nakmor Kesh — jeu de poses contextuelles</x:v>
      </x:c>
      <x:c r="C9" s="15" t="str">
        <x:v>Défini</x:v>
      </x:c>
      <x:c r="D9" s="16" t="str">
        <x:v>Extrapolation</x:v>
      </x:c>
      <x:c r="E9" s="16" t="str">
        <x:v>P1</x:v>
      </x:c>
      <x:c r="F9" s="9" t="str">
        <x:v>Création proposée : poses nécessaires à l’interaction « Tenir une réparation pendant qu’un allié protège l’accès. ».</x:v>
      </x:c>
      <x:c r="G9" s="9" t="str">
        <x:v>Blocage animé de Nakmor Kesh : anticipation, action, récupération, retour au repos ; prévoir une interruption propre.</x:v>
      </x:c>
      <x:c r="H9" s="9" t="str">
        <x:v>Tenir une réparation pendant qu’un allié protège l’accès. L’effet logique ne dépend jamais de la cadence du rendu.</x:v>
      </x:c>
      <x:c r="I9" s="9" t="str">
        <x:v>Conserver les repères de silhouette : Krogan en tenue de chantier, gros outils et silhouette stable.</x:v>
      </x:c>
      <x:c r="J9" s="9" t="str">
        <x:v>Repos, déplacement, interaction et réaction ; nombre d’images ajusté après essai sur écran ; ne pas ajouter une attaque aux personnages civils.</x:v>
      </x:c>
      <x:c r="K9" s="9" t="str">
        <x:v>Marqueurs animation distincts du fichier audio ; sous-titre court si l’action porte une information.</x:v>
      </x:c>
      <x:c r="L9" s="9" t="str">
        <x:v>Animator actor.nex.kesh ; événements start/commit/recover ; annulation avant commit sans effet.</x:v>
      </x:c>
      <x:c r="M9" s="9" t="str">
        <x:v>Animation de blessure ou de décès uniquement si le contexte la justifie ; pas de mort libre d’un personnage établi.</x:v>
      </x:c>
      <x:c r="N9" s="9" t="str">
        <x:v>Une interruption avant commit ne dépense pas la ressource ; aucune pose résiduelle après changement de carte.</x:v>
      </x:c>
      <x:c r="O9" s="9" t="str">
        <x:v>NEX-SPR-KESH</x:v>
      </x:c>
      <x:c r="P9" s="9" t="str"/>
      <x:c r="Q9" s="9" t="str"/>
      <x:c r="R9" s="9" t="str"/>
      <x:c r="S9" s="9" t="str"/>
    </x:row>
    <x:row r="10" ht="54" customHeight="1">
      <x:c r="A10" s="19" t="str">
        <x:v>NEX-ANI-ADDISON</x:v>
      </x:c>
      <x:c r="B10" s="7" t="str">
        <x:v>Foster Addison — jeu de poses contextuelles</x:v>
      </x:c>
      <x:c r="C10" s="15" t="str">
        <x:v>Défini</x:v>
      </x:c>
      <x:c r="D10" s="17" t="str">
        <x:v>Extrapolation</x:v>
      </x:c>
      <x:c r="E10" s="17" t="str">
        <x:v>P1</x:v>
      </x:c>
      <x:c r="F10" s="7" t="str">
        <x:v>Création proposée : poses nécessaires à l’interaction « Comparer besoins des habitants et capacité d’accueil. ».</x:v>
      </x:c>
      <x:c r="G10" s="7" t="str">
        <x:v>Blocage animé de Foster Addison : anticipation, action, récupération, retour au repos ; prévoir une interruption propre.</x:v>
      </x:c>
      <x:c r="H10" s="7" t="str">
        <x:v>Comparer besoins des habitants et capacité d’accueil. L’effet logique ne dépend jamais de la cadence du rendu.</x:v>
      </x:c>
      <x:c r="I10" s="7" t="str">
        <x:v>Conserver les repères de silhouette : Tenue administrative de travail, écrans d’habitats et dossier de provisions.</x:v>
      </x:c>
      <x:c r="J10" s="7" t="str">
        <x:v>Repos, déplacement, interaction et réaction ; nombre d’images ajusté après essai sur écran ; ne pas ajouter une attaque aux personnages civils.</x:v>
      </x:c>
      <x:c r="K10" s="7" t="str">
        <x:v>Marqueurs animation distincts du fichier audio ; sous-titre court si l’action porte une information.</x:v>
      </x:c>
      <x:c r="L10" s="7" t="str">
        <x:v>Animator actor.nex.addison ; événements start/commit/recover ; annulation avant commit sans effet.</x:v>
      </x:c>
      <x:c r="M10" s="7" t="str">
        <x:v>Animation de blessure ou de décès uniquement si le contexte la justifie ; pas de mort libre d’un personnage établi.</x:v>
      </x:c>
      <x:c r="N10" s="7" t="str">
        <x:v>Une interruption avant commit ne dépense pas la ressource ; aucune pose résiduelle après changement de carte.</x:v>
      </x:c>
      <x:c r="O10" s="7" t="str">
        <x:v>NEX-SPR-ADDISON</x:v>
      </x:c>
      <x:c r="P10" s="7" t="str"/>
      <x:c r="Q10" s="7" t="str"/>
      <x:c r="R10" s="7" t="str"/>
      <x:c r="S10" s="7" t="str"/>
    </x:row>
    <x:row r="11" ht="54" customHeight="1">
      <x:c r="A11" s="18" t="str">
        <x:v>NEX-ANI-CALIX</x:v>
      </x:c>
      <x:c r="B11" s="9" t="str">
        <x:v>Calix Corvannis — jeu de poses contextuelles</x:v>
      </x:c>
      <x:c r="C11" s="15" t="str">
        <x:v>Défini</x:v>
      </x:c>
      <x:c r="D11" s="16" t="str">
        <x:v>Extrapolation</x:v>
      </x:c>
      <x:c r="E11" s="16" t="str">
        <x:v>P1</x:v>
      </x:c>
      <x:c r="F11" s="9" t="str">
        <x:v>Création proposée : poses nécessaires à l’interaction « Signaler une urgence technique tout en discutant des conditions de vie. ».</x:v>
      </x:c>
      <x:c r="G11" s="9" t="str">
        <x:v>Blocage animé de Calix Corvannis : anticipation, action, récupération, retour au repos ; prévoir une interruption propre.</x:v>
      </x:c>
      <x:c r="H11" s="9" t="str">
        <x:v>Signaler une urgence technique tout en discutant des conditions de vie. L’effet logique ne dépend jamais de la cadence du rendu.</x:v>
      </x:c>
      <x:c r="I11" s="9" t="str">
        <x:v>Conserver les repères de silhouette : Tenue de maintenance turienne, ceinture d’outils et posture de travail.</x:v>
      </x:c>
      <x:c r="J11" s="9" t="str">
        <x:v>Repos, déplacement, interaction et réaction ; nombre d’images ajusté après essai sur écran ; ne pas ajouter une attaque aux personnages civils.</x:v>
      </x:c>
      <x:c r="K11" s="9" t="str">
        <x:v>Marqueurs animation distincts du fichier audio ; sous-titre court si l’action porte une information.</x:v>
      </x:c>
      <x:c r="L11" s="9" t="str">
        <x:v>Animator actor.nex.calix ; événements start/commit/recover ; annulation avant commit sans effet.</x:v>
      </x:c>
      <x:c r="M11" s="9" t="str">
        <x:v>Animation de blessure ou de décès uniquement si le contexte la justifie ; pas de mort libre d’un personnage établi.</x:v>
      </x:c>
      <x:c r="N11" s="9" t="str">
        <x:v>Une interruption avant commit ne dépense pas la ressource ; aucune pose résiduelle après changement de carte.</x:v>
      </x:c>
      <x:c r="O11" s="9" t="str">
        <x:v>NEX-SPR-CALIX</x:v>
      </x:c>
      <x:c r="P11" s="9" t="str"/>
      <x:c r="Q11" s="9" t="str"/>
      <x:c r="R11" s="9" t="str"/>
      <x:c r="S11" s="9" t="str"/>
    </x:row>
    <x:row r="12" ht="68" customHeight="1">
      <x:c r="A12" s="19" t="str">
        <x:v>NEX-ANI-IRIDA</x:v>
      </x:c>
      <x:c r="B12" s="7" t="str">
        <x:v>Irida Fadeer — jeu de poses contextuelles</x:v>
      </x:c>
      <x:c r="C12" s="15" t="str">
        <x:v>Défini</x:v>
      </x:c>
      <x:c r="D12" s="17" t="str">
        <x:v>Extrapolation</x:v>
      </x:c>
      <x:c r="E12" s="17" t="str">
        <x:v>P1</x:v>
      </x:c>
      <x:c r="F12" s="7" t="str">
        <x:v>Création proposée : poses nécessaires à l’interaction « Être au centre d’une recherche de traces sans culpabilisation automatique d’un groupe. ».</x:v>
      </x:c>
      <x:c r="G12" s="7" t="str">
        <x:v>Blocage animé de Irida Fadeer : anticipation, action, récupération, retour au repos ; prévoir une interruption propre.</x:v>
      </x:c>
      <x:c r="H12" s="7" t="str">
        <x:v>Être au centre d’une recherche de traces sans culpabilisation automatique d’un groupe. L’effet logique ne dépend jamais de la cadence du rendu.</x:v>
      </x:c>
      <x:c r="I12" s="7" t="str">
        <x:v>Conserver les repères de silhouette : Tenue de technicienne à confirmer ; différencier fonction et faction.</x:v>
      </x:c>
      <x:c r="J12" s="7" t="str">
        <x:v>Repos, déplacement, interaction et réaction ; nombre d’images ajusté après essai sur écran ; ne pas ajouter une attaque aux personnages civils.</x:v>
      </x:c>
      <x:c r="K12" s="7" t="str">
        <x:v>Marqueurs animation distincts du fichier audio ; sous-titre court si l’action porte une information.</x:v>
      </x:c>
      <x:c r="L12" s="7" t="str">
        <x:v>Animator actor.nex.irida ; événements start/commit/recover ; annulation avant commit sans effet.</x:v>
      </x:c>
      <x:c r="M12" s="7" t="str">
        <x:v>Animation de blessure ou de décès uniquement si le contexte la justifie ; pas de mort libre d’un personnage établi.</x:v>
      </x:c>
      <x:c r="N12" s="7" t="str">
        <x:v>Une interruption avant commit ne dépense pas la ressource ; aucune pose résiduelle après changement de carte.</x:v>
      </x:c>
      <x:c r="O12" s="7" t="str">
        <x:v>NEX-SPR-IRIDA</x:v>
      </x:c>
      <x:c r="P12" s="7" t="str"/>
      <x:c r="Q12" s="7" t="str"/>
      <x:c r="R12" s="7" t="str"/>
      <x:c r="S12" s="7" t="str"/>
    </x:row>
    <x:row r="13" ht="54" customHeight="1">
      <x:c r="A13" s="18" t="str">
        <x:v>NEX-ANI-KANDROS</x:v>
      </x:c>
      <x:c r="B13" s="9" t="str">
        <x:v>Tiran Kandros — jeu de poses contextuelles</x:v>
      </x:c>
      <x:c r="C13" s="15" t="str">
        <x:v>Défini</x:v>
      </x:c>
      <x:c r="D13" s="16" t="str">
        <x:v>Extrapolation</x:v>
      </x:c>
      <x:c r="E13" s="16" t="str">
        <x:v>P1</x:v>
      </x:c>
      <x:c r="F13" s="9" t="str">
        <x:v>Création proposée : poses nécessaires à l’interaction « Organiser une reconnaissance limitée à une zone de service. ».</x:v>
      </x:c>
      <x:c r="G13" s="9" t="str">
        <x:v>Blocage animé de Tiran Kandros : anticipation, action, récupération, retour au repos ; prévoir une interruption propre.</x:v>
      </x:c>
      <x:c r="H13" s="9" t="str">
        <x:v>Organiser une reconnaissance limitée à une zone de service. L’effet logique ne dépend jamais de la cadence du rendu.</x:v>
      </x:c>
      <x:c r="I13" s="9" t="str">
        <x:v>Conserver les repères de silhouette : Silhouette de sécurité turienne distincte de Calix.</x:v>
      </x:c>
      <x:c r="J13" s="9" t="str">
        <x:v>Repos, déplacement, interaction et réaction ; nombre d’images ajusté après essai sur écran ; ne pas ajouter une attaque aux personnages civils.</x:v>
      </x:c>
      <x:c r="K13" s="9" t="str">
        <x:v>Marqueurs animation distincts du fichier audio ; sous-titre court si l’action porte une information.</x:v>
      </x:c>
      <x:c r="L13" s="9" t="str">
        <x:v>Animator actor.nex.kandros ; événements start/commit/recover ; annulation avant commit sans effet.</x:v>
      </x:c>
      <x:c r="M13" s="9" t="str">
        <x:v>Animation de blessure ou de décès uniquement si le contexte la justifie ; pas de mort libre d’un personnage établi.</x:v>
      </x:c>
      <x:c r="N13" s="9" t="str">
        <x:v>Une interruption avant commit ne dépense pas la ressource ; aucune pose résiduelle après changement de carte.</x:v>
      </x:c>
      <x:c r="O13" s="9" t="str">
        <x:v>NEX-SPR-KANDROS</x:v>
      </x:c>
      <x:c r="P13" s="9" t="str"/>
      <x:c r="Q13" s="9" t="str"/>
      <x:c r="R13" s="9" t="str"/>
      <x:c r="S13" s="9" t="str"/>
    </x:row>
    <x:row r="14" ht="54" customHeight="1">
      <x:c r="A14" s="19" t="str">
        <x:v>NEX-ANI-MORDA</x:v>
      </x:c>
      <x:c r="B14" s="7" t="str">
        <x:v>Nakmor Morda — jeu de poses contextuelles</x:v>
      </x:c>
      <x:c r="C14" s="15" t="str">
        <x:v>Défini</x:v>
      </x:c>
      <x:c r="D14" s="17" t="str">
        <x:v>Extrapolation</x:v>
      </x:c>
      <x:c r="E14" s="17" t="str">
        <x:v>P1</x:v>
      </x:c>
      <x:c r="F14" s="7" t="str">
        <x:v>Création proposée : poses nécessaires à l’interaction « Négocier une intervention sans transformer le clan en unité achetable. ».</x:v>
      </x:c>
      <x:c r="G14" s="7" t="str">
        <x:v>Blocage animé de Nakmor Morda : anticipation, action, récupération, retour au repos ; prévoir une interruption propre.</x:v>
      </x:c>
      <x:c r="H14" s="7" t="str">
        <x:v>Négocier une intervention sans transformer le clan en unité achetable. L’effet logique ne dépend jamais de la cadence du rendu.</x:v>
      </x:c>
      <x:c r="I14" s="7" t="str">
        <x:v>Conserver les repères de silhouette : Krogan imposante, tenue de commandement, présence ferme.</x:v>
      </x:c>
      <x:c r="J14" s="7" t="str">
        <x:v>Repos, déplacement, interaction et réaction ; nombre d’images ajusté après essai sur écran ; ne pas ajouter une attaque aux personnages civils.</x:v>
      </x:c>
      <x:c r="K14" s="7" t="str">
        <x:v>Marqueurs animation distincts du fichier audio ; sous-titre court si l’action porte une information.</x:v>
      </x:c>
      <x:c r="L14" s="7" t="str">
        <x:v>Animator actor.nex.morda ; événements start/commit/recover ; annulation avant commit sans effet.</x:v>
      </x:c>
      <x:c r="M14" s="7" t="str">
        <x:v>Animation de blessure ou de décès uniquement si le contexte la justifie ; pas de mort libre d’un personnage établi.</x:v>
      </x:c>
      <x:c r="N14" s="7" t="str">
        <x:v>Une interruption avant commit ne dépense pas la ressource ; aucune pose résiduelle après changement de carte.</x:v>
      </x:c>
      <x:c r="O14" s="7" t="str">
        <x:v>NEX-SPR-MORDA</x:v>
      </x:c>
      <x:c r="P14" s="7" t="str"/>
      <x:c r="Q14" s="7" t="str"/>
      <x:c r="R14" s="7" t="str"/>
      <x:c r="S14" s="7" t="str"/>
    </x:row>
    <x:row r="15" ht="54" customHeight="1">
      <x:c r="A15" s="18" t="str">
        <x:v>NEX-ANI-SPENDER</x:v>
      </x:c>
      <x:c r="B15" s="9" t="str">
        <x:v>William Spender — jeu de poses contextuelles</x:v>
      </x:c>
      <x:c r="C15" s="15" t="str">
        <x:v>Défini</x:v>
      </x:c>
      <x:c r="D15" s="16" t="str">
        <x:v>Extrapolation</x:v>
      </x:c>
      <x:c r="E15" s="16" t="str">
        <x:v>P1</x:v>
      </x:c>
      <x:c r="F15" s="9" t="str">
        <x:v>Création proposée : poses nécessaires à l’interaction « Transmettre une promesse dont le statut doit rester explicite. ».</x:v>
      </x:c>
      <x:c r="G15" s="9" t="str">
        <x:v>Blocage animé de William Spender : anticipation, action, récupération, retour au repos ; prévoir une interruption propre.</x:v>
      </x:c>
      <x:c r="H15" s="9" t="str">
        <x:v>Transmettre une promesse dont le statut doit rester explicite. L’effet logique ne dépend jamais de la cadence du rendu.</x:v>
      </x:c>
      <x:c r="I15" s="9" t="str">
        <x:v>Conserver les repères de silhouette : Tenue administrative, petit terminal et posture contrôlée.</x:v>
      </x:c>
      <x:c r="J15" s="9" t="str">
        <x:v>Repos, déplacement, interaction et réaction ; nombre d’images ajusté après essai sur écran ; ne pas ajouter une attaque aux personnages civils.</x:v>
      </x:c>
      <x:c r="K15" s="9" t="str">
        <x:v>Marqueurs animation distincts du fichier audio ; sous-titre court si l’action porte une information.</x:v>
      </x:c>
      <x:c r="L15" s="9" t="str">
        <x:v>Animator actor.nex.spender ; événements start/commit/recover ; annulation avant commit sans effet.</x:v>
      </x:c>
      <x:c r="M15" s="9" t="str">
        <x:v>Animation de blessure ou de décès uniquement si le contexte la justifie ; pas de mort libre d’un personnage établi.</x:v>
      </x:c>
      <x:c r="N15" s="9" t="str">
        <x:v>Une interruption avant commit ne dépense pas la ressource ; aucune pose résiduelle après changement de carte.</x:v>
      </x:c>
      <x:c r="O15" s="9" t="str">
        <x:v>NEX-SPR-SPENDER</x:v>
      </x:c>
      <x:c r="P15" s="9" t="str"/>
      <x:c r="Q15" s="9" t="str"/>
      <x:c r="R15" s="9" t="str"/>
      <x:c r="S15" s="9" t="str"/>
    </x:row>
    <x:row r="16" ht="68" customHeight="1">
      <x:c r="A16" s="19" t="str">
        <x:v>NEX-ANI-GARSON</x:v>
      </x:c>
      <x:c r="B16" s="7" t="str">
        <x:v>Jien Garson — jeu de poses contextuelles</x:v>
      </x:c>
      <x:c r="C16" s="15" t="str">
        <x:v>Défini</x:v>
      </x:c>
      <x:c r="D16" s="17" t="str">
        <x:v>Extrapolation</x:v>
      </x:c>
      <x:c r="E16" s="17" t="str">
        <x:v>P1</x:v>
      </x:c>
      <x:c r="F16" s="7" t="str">
        <x:v>Création proposée : poses nécessaires à l’interaction « Être présente par une archive originale résumant un idéal sans réplique copiée. ».</x:v>
      </x:c>
      <x:c r="G16" s="7" t="str">
        <x:v>Préparer les transitions du dossier ou du portrait d’archive uniquement.</x:v>
      </x:c>
      <x:c r="H16" s="7" t="str">
        <x:v>Consulter ou fermer une archive ; aucune action physique ou nouvelle scène de vie ajoutée.</x:v>
      </x:c>
      <x:c r="I16" s="7" t="str">
        <x:v>Conserver les repères de silhouette : Portrait d’archive distinct des personnages vivants dans les scènes de crise.</x:v>
      </x:c>
      <x:c r="J16" s="7" t="str">
        <x:v>Apparition, mise en avant de la pièce de dossier, fermeture ; mode fixe équivalent.</x:v>
      </x:c>
      <x:c r="K16" s="7" t="str">
        <x:v>Marqueurs animation distincts du fichier audio ; sous-titre court si l’action porte une information.</x:v>
      </x:c>
      <x:c r="L16" s="7" t="str">
        <x:v>UI d’archives ; aucune entité mobile en scène.</x:v>
      </x:c>
      <x:c r="M16" s="7" t="str">
        <x:v>Animation de blessure ou de décès uniquement si le contexte la justifie ; pas de mort libre d’un personnage établi.</x:v>
      </x:c>
      <x:c r="N16" s="7" t="str">
        <x:v>Une interruption avant commit ne dépense pas la ressource ; aucune pose résiduelle après changement de carte.</x:v>
      </x:c>
      <x:c r="O16" s="7" t="str">
        <x:v>NEX-SPR-GARSON</x:v>
      </x:c>
      <x:c r="P16" s="7" t="str"/>
      <x:c r="Q16" s="7" t="str"/>
      <x:c r="R16" s="7" t="str"/>
      <x:c r="S16" s="7" t="str"/>
    </x:row>
  </x:sheetData>
  <x:conditionalFormatting sqref="D7:D16">
    <x:cfRule type="cellIs" dxfId="68" priority="1" operator="equal">
      <x:formula>"À vérifier"</x:formula>
    </x:cfRule>
    <x:cfRule type="cellIs" dxfId="69" priority="2" operator="equal">
      <x:formula>"Extrapolation"</x:formula>
    </x:cfRule>
  </x:conditionalFormatting>
  <x:conditionalFormatting sqref="C7:C16">
    <x:cfRule type="cellIs" dxfId="70" priority="3" operator="equal">
      <x:formula>"Validé"</x:formula>
    </x:cfRule>
  </x:conditionalFormatting>
  <x:conditionalFormatting sqref="E7:E16">
    <x:cfRule type="cellIs" dxfId="7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845c003d47fb458c"/>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Andromeda: Nexus Uprising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NEX-SPR-SLOANE</x:v>
      </x:c>
      <x:c r="B7" s="9" t="str">
        <x:v>Sloane Kelly — planche sprite</x:v>
      </x:c>
      <x:c r="C7" s="15" t="str">
        <x:v>Défini</x:v>
      </x:c>
      <x:c r="D7" s="16" t="str">
        <x:v>Extrapolation</x:v>
      </x:c>
      <x:c r="E7" s="16" t="str">
        <x:v>P1</x:v>
      </x:c>
      <x:c r="F7" s="9" t="str">
        <x:v>Création proposée : représentation 2D de Sloane Kelly pour ce module.</x:v>
      </x:c>
      <x:c r="G7" s="9" t="str">
        <x:v>Tenue de sécurité avant son apparence de dirigeante de Kadara ; posture alerte. Préparer silhouette entière, portrait de dialogue et masque de sélection.</x:v>
      </x:c>
      <x:c r="H7" s="9" t="str">
        <x:v>La zone interactive reste stable entre les poses ; la tenue ne confère aucun bonus implicite.</x:v>
      </x:c>
      <x:c r="I7" s="9" t="str">
        <x:v>Tenue de sécurité avant son apparence de dirigeante de Kadara ; posture alerte. Palette proposée à valider ; comparaison en miniature et sur le décor le plus sombre.</x:v>
      </x:c>
      <x:c r="J7" s="9" t="str">
        <x:v>Vue de trois quarts ; pivots dans huit directions proposées ; symétrie interdite si elle inverse un accessoire identifiable.</x:v>
      </x:c>
      <x:c r="K7" s="9" t="str">
        <x:v>Aucun échantillon du jeu ou du film ; le changement de sélection utilise le son UI du module.</x:v>
      </x:c>
      <x:c r="L7" s="9" t="str">
        <x:v>Prévoir assets/nex/actors/sloane/atlas.png + atlas.json, pivot aux pieds.</x:v>
      </x:c>
      <x:c r="M7" s="9" t="str">
        <x:v>Visible uniquement quand Sloane Kelly est autorisé par l’état narratif.</x:v>
      </x:c>
      <x:c r="N7" s="9" t="str">
        <x:v>Silhouette reconnue sans nom ; pieds sans glissement ; portrait et sprite cohérents à échelle réelle.</x:v>
      </x:c>
      <x:c r="O7" s="9" t="str">
        <x:v>NEX-CHR-SLOANE</x:v>
      </x:c>
      <x:c r="P7" s="9" t="str"/>
      <x:c r="Q7" s="9" t="str"/>
      <x:c r="R7" s="9" t="str"/>
      <x:c r="S7" s="9" t="str"/>
    </x:row>
    <x:row r="8" ht="68" customHeight="1">
      <x:c r="A8" s="19" t="str">
        <x:v>NEX-SPR-TANN</x:v>
      </x:c>
      <x:c r="B8" s="7" t="str">
        <x:v>Jarun Tann — planche sprite</x:v>
      </x:c>
      <x:c r="C8" s="15" t="str">
        <x:v>Défini</x:v>
      </x:c>
      <x:c r="D8" s="17" t="str">
        <x:v>Extrapolation</x:v>
      </x:c>
      <x:c r="E8" s="17" t="str">
        <x:v>P1</x:v>
      </x:c>
      <x:c r="F8" s="7" t="str">
        <x:v>Création proposée : représentation 2D de Jarun Tann pour ce module.</x:v>
      </x:c>
      <x:c r="G8" s="7" t="str">
        <x:v>Silhouette salarienne mince, tenue administrative, tablette de priorités. Préparer silhouette entière, portrait de dialogue et masque de sélection.</x:v>
      </x:c>
      <x:c r="H8" s="7" t="str">
        <x:v>La zone interactive reste stable entre les poses ; la tenue ne confère aucun bonus implicite.</x:v>
      </x:c>
      <x:c r="I8" s="7" t="str">
        <x:v>Silhouette salarienne mince, tenue administrative, tablette de priorités. Palette proposée à valider ; comparaison en miniature et sur le décor le plus sombre.</x:v>
      </x:c>
      <x:c r="J8" s="7" t="str">
        <x:v>Vue de trois quarts ; pivots dans huit directions proposées ; symétrie interdite si elle inverse un accessoire identifiable.</x:v>
      </x:c>
      <x:c r="K8" s="7" t="str">
        <x:v>Aucun échantillon du jeu ou du film ; le changement de sélection utilise le son UI du module.</x:v>
      </x:c>
      <x:c r="L8" s="7" t="str">
        <x:v>Prévoir assets/nex/actors/tann/atlas.png + atlas.json, pivot aux pieds.</x:v>
      </x:c>
      <x:c r="M8" s="7" t="str">
        <x:v>Visible uniquement quand Jarun Tann est autorisé par l’état narratif.</x:v>
      </x:c>
      <x:c r="N8" s="7" t="str">
        <x:v>Silhouette reconnue sans nom ; pieds sans glissement ; portrait et sprite cohérents à échelle réelle.</x:v>
      </x:c>
      <x:c r="O8" s="7" t="str">
        <x:v>NEX-CHR-TANN</x:v>
      </x:c>
      <x:c r="P8" s="7" t="str"/>
      <x:c r="Q8" s="7" t="str"/>
      <x:c r="R8" s="7" t="str"/>
      <x:c r="S8" s="7" t="str"/>
    </x:row>
    <x:row r="9" ht="68" customHeight="1">
      <x:c r="A9" s="18" t="str">
        <x:v>NEX-SPR-KESH</x:v>
      </x:c>
      <x:c r="B9" s="9" t="str">
        <x:v>Nakmor Kesh — planche sprite</x:v>
      </x:c>
      <x:c r="C9" s="15" t="str">
        <x:v>Défini</x:v>
      </x:c>
      <x:c r="D9" s="16" t="str">
        <x:v>Extrapolation</x:v>
      </x:c>
      <x:c r="E9" s="16" t="str">
        <x:v>P1</x:v>
      </x:c>
      <x:c r="F9" s="9" t="str">
        <x:v>Création proposée : représentation 2D de Nakmor Kesh pour ce module.</x:v>
      </x:c>
      <x:c r="G9" s="9" t="str">
        <x:v>Krogan en tenue de chantier, gros outils et silhouette stable. Préparer silhouette entière, portrait de dialogue et masque de sélection.</x:v>
      </x:c>
      <x:c r="H9" s="9" t="str">
        <x:v>La zone interactive reste stable entre les poses ; la tenue ne confère aucun bonus implicite.</x:v>
      </x:c>
      <x:c r="I9" s="9" t="str">
        <x:v>Krogan en tenue de chantier, gros outils et silhouette stable. Palette proposée à valider ; comparaison en miniature et sur le décor le plus sombre.</x:v>
      </x:c>
      <x:c r="J9" s="9" t="str">
        <x:v>Vue de trois quarts ; pivots dans huit directions proposées ; symétrie interdite si elle inverse un accessoire identifiable.</x:v>
      </x:c>
      <x:c r="K9" s="9" t="str">
        <x:v>Aucun échantillon du jeu ou du film ; le changement de sélection utilise le son UI du module.</x:v>
      </x:c>
      <x:c r="L9" s="9" t="str">
        <x:v>Prévoir assets/nex/actors/kesh/atlas.png + atlas.json, pivot aux pieds.</x:v>
      </x:c>
      <x:c r="M9" s="9" t="str">
        <x:v>Visible uniquement quand Nakmor Kesh est autorisé par l’état narratif.</x:v>
      </x:c>
      <x:c r="N9" s="9" t="str">
        <x:v>Silhouette reconnue sans nom ; pieds sans glissement ; portrait et sprite cohérents à échelle réelle.</x:v>
      </x:c>
      <x:c r="O9" s="9" t="str">
        <x:v>NEX-CHR-KESH</x:v>
      </x:c>
      <x:c r="P9" s="9" t="str"/>
      <x:c r="Q9" s="9" t="str"/>
      <x:c r="R9" s="9" t="str"/>
      <x:c r="S9" s="9" t="str"/>
    </x:row>
    <x:row r="10" ht="68" customHeight="1">
      <x:c r="A10" s="19" t="str">
        <x:v>NEX-SPR-ADDISON</x:v>
      </x:c>
      <x:c r="B10" s="7" t="str">
        <x:v>Foster Addison — planche sprite</x:v>
      </x:c>
      <x:c r="C10" s="15" t="str">
        <x:v>Défini</x:v>
      </x:c>
      <x:c r="D10" s="17" t="str">
        <x:v>Extrapolation</x:v>
      </x:c>
      <x:c r="E10" s="17" t="str">
        <x:v>P1</x:v>
      </x:c>
      <x:c r="F10" s="7" t="str">
        <x:v>Création proposée : représentation 2D de Foster Addison pour ce module.</x:v>
      </x:c>
      <x:c r="G10" s="7" t="str">
        <x:v>Tenue administrative de travail, écrans d’habitats et dossier de provisions. Préparer silhouette entière, portrait de dialogue et masque de sélection.</x:v>
      </x:c>
      <x:c r="H10" s="7" t="str">
        <x:v>La zone interactive reste stable entre les poses ; la tenue ne confère aucun bonus implicite.</x:v>
      </x:c>
      <x:c r="I10" s="7" t="str">
        <x:v>Tenue administrative de travail, écrans d’habitats et dossier de provisions. Palette proposée à valider ; comparaison en miniature et sur le décor le plus sombre.</x:v>
      </x:c>
      <x:c r="J10" s="7" t="str">
        <x:v>Vue de trois quarts ; pivots dans huit directions proposées ; symétrie interdite si elle inverse un accessoire identifiable.</x:v>
      </x:c>
      <x:c r="K10" s="7" t="str">
        <x:v>Aucun échantillon du jeu ou du film ; le changement de sélection utilise le son UI du module.</x:v>
      </x:c>
      <x:c r="L10" s="7" t="str">
        <x:v>Prévoir assets/nex/actors/addison/atlas.png + atlas.json, pivot aux pieds.</x:v>
      </x:c>
      <x:c r="M10" s="7" t="str">
        <x:v>Visible uniquement quand Foster Addison est autorisé par l’état narratif.</x:v>
      </x:c>
      <x:c r="N10" s="7" t="str">
        <x:v>Silhouette reconnue sans nom ; pieds sans glissement ; portrait et sprite cohérents à échelle réelle.</x:v>
      </x:c>
      <x:c r="O10" s="7" t="str">
        <x:v>NEX-CHR-ADDISON</x:v>
      </x:c>
      <x:c r="P10" s="7" t="str"/>
      <x:c r="Q10" s="7" t="str"/>
      <x:c r="R10" s="7" t="str"/>
      <x:c r="S10" s="7" t="str"/>
    </x:row>
    <x:row r="11" ht="68" customHeight="1">
      <x:c r="A11" s="18" t="str">
        <x:v>NEX-SPR-CALIX</x:v>
      </x:c>
      <x:c r="B11" s="9" t="str">
        <x:v>Calix Corvannis — planche sprite</x:v>
      </x:c>
      <x:c r="C11" s="15" t="str">
        <x:v>Défini</x:v>
      </x:c>
      <x:c r="D11" s="16" t="str">
        <x:v>Extrapolation</x:v>
      </x:c>
      <x:c r="E11" s="16" t="str">
        <x:v>P1</x:v>
      </x:c>
      <x:c r="F11" s="9" t="str">
        <x:v>Création proposée : représentation 2D de Calix Corvannis pour ce module.</x:v>
      </x:c>
      <x:c r="G11" s="9" t="str">
        <x:v>Tenue de maintenance turienne, ceinture d’outils et posture de travail. Préparer silhouette entière, portrait de dialogue et masque de sélection.</x:v>
      </x:c>
      <x:c r="H11" s="9" t="str">
        <x:v>La zone interactive reste stable entre les poses ; la tenue ne confère aucun bonus implicite.</x:v>
      </x:c>
      <x:c r="I11" s="9" t="str">
        <x:v>Tenue de maintenance turienne, ceinture d’outils et posture de travail. Palette proposée à valider ; comparaison en miniature et sur le décor le plus sombre.</x:v>
      </x:c>
      <x:c r="J11" s="9" t="str">
        <x:v>Vue de trois quarts ; pivots dans huit directions proposées ; symétrie interdite si elle inverse un accessoire identifiable.</x:v>
      </x:c>
      <x:c r="K11" s="9" t="str">
        <x:v>Aucun échantillon du jeu ou du film ; le changement de sélection utilise le son UI du module.</x:v>
      </x:c>
      <x:c r="L11" s="9" t="str">
        <x:v>Prévoir assets/nex/actors/calix/atlas.png + atlas.json, pivot aux pieds.</x:v>
      </x:c>
      <x:c r="M11" s="9" t="str">
        <x:v>Visible uniquement quand Calix Corvannis est autorisé par l’état narratif.</x:v>
      </x:c>
      <x:c r="N11" s="9" t="str">
        <x:v>Silhouette reconnue sans nom ; pieds sans glissement ; portrait et sprite cohérents à échelle réelle.</x:v>
      </x:c>
      <x:c r="O11" s="9" t="str">
        <x:v>NEX-CHR-CALIX</x:v>
      </x:c>
      <x:c r="P11" s="9" t="str"/>
      <x:c r="Q11" s="9" t="str"/>
      <x:c r="R11" s="9" t="str"/>
      <x:c r="S11" s="9" t="str"/>
    </x:row>
    <x:row r="12" ht="68" customHeight="1">
      <x:c r="A12" s="19" t="str">
        <x:v>NEX-SPR-IRIDA</x:v>
      </x:c>
      <x:c r="B12" s="7" t="str">
        <x:v>Irida Fadeer — planche sprite</x:v>
      </x:c>
      <x:c r="C12" s="15" t="str">
        <x:v>Défini</x:v>
      </x:c>
      <x:c r="D12" s="17" t="str">
        <x:v>Extrapolation</x:v>
      </x:c>
      <x:c r="E12" s="17" t="str">
        <x:v>P1</x:v>
      </x:c>
      <x:c r="F12" s="7" t="str">
        <x:v>Création proposée : représentation 2D de Irida Fadeer pour ce module.</x:v>
      </x:c>
      <x:c r="G12" s="7" t="str">
        <x:v>Tenue de technicienne à confirmer ; différencier fonction et faction. Préparer silhouette entière, portrait de dialogue et masque de sélection.</x:v>
      </x:c>
      <x:c r="H12" s="7" t="str">
        <x:v>La zone interactive reste stable entre les poses ; la tenue ne confère aucun bonus implicite.</x:v>
      </x:c>
      <x:c r="I12" s="7" t="str">
        <x:v>Tenue de technicienne à confirmer ; différencier fonction et faction. Palette proposée à valider ; comparaison en miniature et sur le décor le plus sombre.</x:v>
      </x:c>
      <x:c r="J12" s="7" t="str">
        <x:v>Vue de trois quarts ; pivots dans huit directions proposées ; symétrie interdite si elle inverse un accessoire identifiable.</x:v>
      </x:c>
      <x:c r="K12" s="7" t="str">
        <x:v>Aucun échantillon du jeu ou du film ; le changement de sélection utilise le son UI du module.</x:v>
      </x:c>
      <x:c r="L12" s="7" t="str">
        <x:v>Prévoir assets/nex/actors/irida/atlas.png + atlas.json, pivot aux pieds.</x:v>
      </x:c>
      <x:c r="M12" s="7" t="str">
        <x:v>Visible uniquement quand Irida Fadeer est autorisé par l’état narratif.</x:v>
      </x:c>
      <x:c r="N12" s="7" t="str">
        <x:v>Silhouette reconnue sans nom ; pieds sans glissement ; portrait et sprite cohérents à échelle réelle.</x:v>
      </x:c>
      <x:c r="O12" s="7" t="str">
        <x:v>NEX-CHR-IRIDA</x:v>
      </x:c>
      <x:c r="P12" s="7" t="str"/>
      <x:c r="Q12" s="7" t="str"/>
      <x:c r="R12" s="7" t="str"/>
      <x:c r="S12" s="7" t="str"/>
    </x:row>
    <x:row r="13" ht="54" customHeight="1">
      <x:c r="A13" s="18" t="str">
        <x:v>NEX-SPR-KANDROS</x:v>
      </x:c>
      <x:c r="B13" s="9" t="str">
        <x:v>Tiran Kandros — planche sprite</x:v>
      </x:c>
      <x:c r="C13" s="15" t="str">
        <x:v>Défini</x:v>
      </x:c>
      <x:c r="D13" s="16" t="str">
        <x:v>Extrapolation</x:v>
      </x:c>
      <x:c r="E13" s="16" t="str">
        <x:v>P1</x:v>
      </x:c>
      <x:c r="F13" s="9" t="str">
        <x:v>Création proposée : représentation 2D de Tiran Kandros pour ce module.</x:v>
      </x:c>
      <x:c r="G13" s="9" t="str">
        <x:v>Silhouette de sécurité turienne distincte de Calix. Préparer silhouette entière, portrait de dialogue et masque de sélection.</x:v>
      </x:c>
      <x:c r="H13" s="9" t="str">
        <x:v>La zone interactive reste stable entre les poses ; la tenue ne confère aucun bonus implicite.</x:v>
      </x:c>
      <x:c r="I13" s="9" t="str">
        <x:v>Silhouette de sécurité turienne distincte de Calix. Palette proposée à valider ; comparaison en miniature et sur le décor le plus sombre.</x:v>
      </x:c>
      <x:c r="J13" s="9" t="str">
        <x:v>Vue de trois quarts ; pivots dans huit directions proposées ; symétrie interdite si elle inverse un accessoire identifiable.</x:v>
      </x:c>
      <x:c r="K13" s="9" t="str">
        <x:v>Aucun échantillon du jeu ou du film ; le changement de sélection utilise le son UI du module.</x:v>
      </x:c>
      <x:c r="L13" s="9" t="str">
        <x:v>Prévoir assets/nex/actors/kandros/atlas.png + atlas.json, pivot aux pieds.</x:v>
      </x:c>
      <x:c r="M13" s="9" t="str">
        <x:v>Visible uniquement quand Tiran Kandros est autorisé par l’état narratif.</x:v>
      </x:c>
      <x:c r="N13" s="9" t="str">
        <x:v>Silhouette reconnue sans nom ; pieds sans glissement ; portrait et sprite cohérents à échelle réelle.</x:v>
      </x:c>
      <x:c r="O13" s="9" t="str">
        <x:v>NEX-CHR-KANDROS</x:v>
      </x:c>
      <x:c r="P13" s="9" t="str"/>
      <x:c r="Q13" s="9" t="str"/>
      <x:c r="R13" s="9" t="str"/>
      <x:c r="S13" s="9" t="str"/>
    </x:row>
    <x:row r="14" ht="54" customHeight="1">
      <x:c r="A14" s="19" t="str">
        <x:v>NEX-SPR-MORDA</x:v>
      </x:c>
      <x:c r="B14" s="7" t="str">
        <x:v>Nakmor Morda — planche sprite</x:v>
      </x:c>
      <x:c r="C14" s="15" t="str">
        <x:v>Défini</x:v>
      </x:c>
      <x:c r="D14" s="17" t="str">
        <x:v>Extrapolation</x:v>
      </x:c>
      <x:c r="E14" s="17" t="str">
        <x:v>P1</x:v>
      </x:c>
      <x:c r="F14" s="7" t="str">
        <x:v>Création proposée : représentation 2D de Nakmor Morda pour ce module.</x:v>
      </x:c>
      <x:c r="G14" s="7" t="str">
        <x:v>Krogan imposante, tenue de commandement, présence ferme. Préparer silhouette entière, portrait de dialogue et masque de sélection.</x:v>
      </x:c>
      <x:c r="H14" s="7" t="str">
        <x:v>La zone interactive reste stable entre les poses ; la tenue ne confère aucun bonus implicite.</x:v>
      </x:c>
      <x:c r="I14" s="7" t="str">
        <x:v>Krogan imposante, tenue de commandement, présence ferme. Palette proposée à valider ; comparaison en miniature et sur le décor le plus sombre.</x:v>
      </x:c>
      <x:c r="J14" s="7" t="str">
        <x:v>Vue de trois quarts ; pivots dans huit directions proposées ; symétrie interdite si elle inverse un accessoire identifiable.</x:v>
      </x:c>
      <x:c r="K14" s="7" t="str">
        <x:v>Aucun échantillon du jeu ou du film ; le changement de sélection utilise le son UI du module.</x:v>
      </x:c>
      <x:c r="L14" s="7" t="str">
        <x:v>Prévoir assets/nex/actors/morda/atlas.png + atlas.json, pivot aux pieds.</x:v>
      </x:c>
      <x:c r="M14" s="7" t="str">
        <x:v>Visible uniquement quand Nakmor Morda est autorisé par l’état narratif.</x:v>
      </x:c>
      <x:c r="N14" s="7" t="str">
        <x:v>Silhouette reconnue sans nom ; pieds sans glissement ; portrait et sprite cohérents à échelle réelle.</x:v>
      </x:c>
      <x:c r="O14" s="7" t="str">
        <x:v>NEX-CHR-MORDA</x:v>
      </x:c>
      <x:c r="P14" s="7" t="str"/>
      <x:c r="Q14" s="7" t="str"/>
      <x:c r="R14" s="7" t="str"/>
      <x:c r="S14" s="7" t="str"/>
    </x:row>
    <x:row r="15" ht="54" customHeight="1">
      <x:c r="A15" s="18" t="str">
        <x:v>NEX-SPR-SPENDER</x:v>
      </x:c>
      <x:c r="B15" s="9" t="str">
        <x:v>William Spender — planche sprite</x:v>
      </x:c>
      <x:c r="C15" s="15" t="str">
        <x:v>Défini</x:v>
      </x:c>
      <x:c r="D15" s="16" t="str">
        <x:v>Extrapolation</x:v>
      </x:c>
      <x:c r="E15" s="16" t="str">
        <x:v>P1</x:v>
      </x:c>
      <x:c r="F15" s="9" t="str">
        <x:v>Création proposée : représentation 2D de William Spender pour ce module.</x:v>
      </x:c>
      <x:c r="G15" s="9" t="str">
        <x:v>Tenue administrative, petit terminal et posture contrôlée. Préparer silhouette entière, portrait de dialogue et masque de sélection.</x:v>
      </x:c>
      <x:c r="H15" s="9" t="str">
        <x:v>La zone interactive reste stable entre les poses ; la tenue ne confère aucun bonus implicite.</x:v>
      </x:c>
      <x:c r="I15" s="9" t="str">
        <x:v>Tenue administrative, petit terminal et posture contrôlée. Palette proposée à valider ; comparaison en miniature et sur le décor le plus sombre.</x:v>
      </x:c>
      <x:c r="J15" s="9" t="str">
        <x:v>Vue de trois quarts ; pivots dans huit directions proposées ; symétrie interdite si elle inverse un accessoire identifiable.</x:v>
      </x:c>
      <x:c r="K15" s="9" t="str">
        <x:v>Aucun échantillon du jeu ou du film ; le changement de sélection utilise le son UI du module.</x:v>
      </x:c>
      <x:c r="L15" s="9" t="str">
        <x:v>Prévoir assets/nex/actors/spender/atlas.png + atlas.json, pivot aux pieds.</x:v>
      </x:c>
      <x:c r="M15" s="9" t="str">
        <x:v>Visible uniquement quand William Spender est autorisé par l’état narratif.</x:v>
      </x:c>
      <x:c r="N15" s="9" t="str">
        <x:v>Silhouette reconnue sans nom ; pieds sans glissement ; portrait et sprite cohérents à échelle réelle.</x:v>
      </x:c>
      <x:c r="O15" s="9" t="str">
        <x:v>NEX-CHR-SPENDER</x:v>
      </x:c>
      <x:c r="P15" s="9" t="str"/>
      <x:c r="Q15" s="9" t="str"/>
      <x:c r="R15" s="9" t="str"/>
      <x:c r="S15" s="9" t="str"/>
    </x:row>
    <x:row r="16" ht="68" customHeight="1">
      <x:c r="A16" s="19" t="str">
        <x:v>NEX-SPR-GARSON</x:v>
      </x:c>
      <x:c r="B16" s="7" t="str">
        <x:v>Jien Garson — planche sprite</x:v>
      </x:c>
      <x:c r="C16" s="15" t="str">
        <x:v>Défini</x:v>
      </x:c>
      <x:c r="D16" s="17" t="str">
        <x:v>Extrapolation</x:v>
      </x:c>
      <x:c r="E16" s="17" t="str">
        <x:v>P1</x:v>
      </x:c>
      <x:c r="F16" s="7" t="str">
        <x:v>Création proposée : représentation 2D de Jien Garson pour ce module.</x:v>
      </x:c>
      <x:c r="G16" s="7" t="str">
        <x:v>Créer un portrait d’archive, une vignette de dossier et un identifiant textuel ; aucune présence physique nouvelle dans les scènes de crise.</x:v>
      </x:c>
      <x:c r="H16" s="7" t="str">
        <x:v>La zone interactive reste stable entre les poses ; la tenue ne confère aucun bonus implicite.</x:v>
      </x:c>
      <x:c r="I16" s="7" t="str">
        <x:v>Portrait d’archive distinct des personnages vivants dans les scènes de crise. Palette proposée à valider ; comparaison en miniature et sur le décor le plus sombre.</x:v>
      </x:c>
      <x:c r="J16" s="7" t="str">
        <x:v>Portrait fixe ; fondu facultatif uniquement ; aucune locomotion.</x:v>
      </x:c>
      <x:c r="K16" s="7" t="str">
        <x:v>Aucun échantillon du jeu ou du film ; le changement de sélection utilise le son UI du module.</x:v>
      </x:c>
      <x:c r="L16" s="7" t="str">
        <x:v>assets/nex/archives/ ; portrait original et référence de dossier.</x:v>
      </x:c>
      <x:c r="M16" s="7" t="str">
        <x:v>Visible uniquement quand Jien Garson est autorisé par l’état narratif.</x:v>
      </x:c>
      <x:c r="N16" s="7" t="str">
        <x:v>L’interface identifie clairement une archive ; le personnage ne reçoit ni déplacement ni commande de groupe.</x:v>
      </x:c>
      <x:c r="O16" s="7" t="str">
        <x:v>NEX-CHR-GARSON</x:v>
      </x:c>
      <x:c r="P16" s="7" t="str"/>
      <x:c r="Q16" s="7" t="str"/>
      <x:c r="R16" s="7" t="str"/>
      <x:c r="S16" s="7" t="str"/>
    </x:row>
  </x:sheetData>
  <x:conditionalFormatting sqref="D7:D16">
    <x:cfRule type="cellIs" dxfId="72" priority="1" operator="equal">
      <x:formula>"À vérifier"</x:formula>
    </x:cfRule>
    <x:cfRule type="cellIs" dxfId="73" priority="2" operator="equal">
      <x:formula>"Extrapolation"</x:formula>
    </x:cfRule>
  </x:conditionalFormatting>
  <x:conditionalFormatting sqref="C7:C16">
    <x:cfRule type="cellIs" dxfId="74" priority="3" operator="equal">
      <x:formula>"Validé"</x:formula>
    </x:cfRule>
  </x:conditionalFormatting>
  <x:conditionalFormatting sqref="E7:E16">
    <x:cfRule type="cellIs" dxfId="75"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e3a6f48a64d04ece"/>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Andromeda: Nexus Uprising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NEX-VFX-POWER</x:v>
      </x:c>
      <x:c r="B7" s="9" t="str">
        <x:v>Cascade électrique — effet lisible</x:v>
      </x:c>
      <x:c r="C7" s="15" t="str">
        <x:v>Défini</x:v>
      </x:c>
      <x:c r="D7" s="16" t="str">
        <x:v>Extrapolation</x:v>
      </x:c>
      <x:c r="E7" s="16" t="str">
        <x:v>P1</x:v>
      </x:c>
      <x:c r="F7" s="9" t="str">
        <x:v>Effet original de prévision et de résultat pour la rencontre.</x:v>
      </x:c>
      <x:c r="G7" s="9" t="str">
        <x:v>Voyants de circuit et zone assombrie avant fermeture.</x:v>
      </x:c>
      <x:c r="H7" s="9" t="str">
        <x:v>Aire de prévision égale à l’aire logique ; masque de cible conservé en daltonisme.</x:v>
      </x:c>
      <x:c r="I7" s="9" t="str">
        <x:v>Voyants de circuit et zone assombrie avant fermeture. Limiter les flashes ; option intensité réduite conservant contours et pictogrammes.</x:v>
      </x:c>
      <x:c r="J7" s="9" t="str">
        <x:v>Apparition, maintien, résolution et extinction distinctes ; pas de particule persistante après sortie de carte.</x:v>
      </x:c>
      <x:c r="K7" s="9" t="str">
        <x:v>Un son par engagement ; pas d’empilement de boucles sur recharge de sauvegarde.</x:v>
      </x:c>
      <x:c r="L7" s="9" t="str">
        <x:v>fx/nex/power ; pool local nettoyé au changement de scène.</x:v>
      </x:c>
      <x:c r="M7" s="9" t="str">
        <x:v>Effet lié au comportement, jamais déclenché par une animation décorative.</x:v>
      </x:c>
      <x:c r="N7" s="9" t="str">
        <x:v>Aucune cible hors aire n’est affectée ; mode réduit conserve la compréhension.</x:v>
      </x:c>
      <x:c r="O7" s="9" t="str">
        <x:v>NEX-EMV-POWER</x:v>
      </x:c>
      <x:c r="P7" s="9" t="str"/>
      <x:c r="Q7" s="9" t="str"/>
      <x:c r="R7" s="9" t="str"/>
      <x:c r="S7" s="9" t="str"/>
    </x:row>
    <x:row r="8" ht="54" customHeight="1">
      <x:c r="A8" s="19" t="str">
        <x:v>NEX-VFX-CROWD</x:v>
      </x:c>
      <x:c r="B8" s="7" t="str">
        <x:v>Blocage de distribution — effet lisible</x:v>
      </x:c>
      <x:c r="C8" s="15" t="str">
        <x:v>Défini</x:v>
      </x:c>
      <x:c r="D8" s="17" t="str">
        <x:v>Extrapolation</x:v>
      </x:c>
      <x:c r="E8" s="17" t="str">
        <x:v>P1</x:v>
      </x:c>
      <x:c r="F8" s="7" t="str">
        <x:v>Effet original de prévision et de résultat pour la rencontre.</x:v>
      </x:c>
      <x:c r="G8" s="7" t="str">
        <x:v>Icônes de questions et passages qui se resserrent.</x:v>
      </x:c>
      <x:c r="H8" s="7" t="str">
        <x:v>Aire de prévision égale à l’aire logique ; masque de cible conservé en daltonisme.</x:v>
      </x:c>
      <x:c r="I8" s="7" t="str">
        <x:v>Icônes de questions et passages qui se resserrent. Limiter les flashes ; option intensité réduite conservant contours et pictogrammes.</x:v>
      </x:c>
      <x:c r="J8" s="7" t="str">
        <x:v>Apparition, maintien, résolution et extinction distinctes ; pas de particule persistante après sortie de carte.</x:v>
      </x:c>
      <x:c r="K8" s="7" t="str">
        <x:v>Un son par engagement ; pas d’empilement de boucles sur recharge de sauvegarde.</x:v>
      </x:c>
      <x:c r="L8" s="7" t="str">
        <x:v>fx/nex/crowd ; pool local nettoyé au changement de scène.</x:v>
      </x:c>
      <x:c r="M8" s="7" t="str">
        <x:v>Effet lié au comportement, jamais déclenché par une animation décorative.</x:v>
      </x:c>
      <x:c r="N8" s="7" t="str">
        <x:v>Aucune cible hors aire n’est affectée ; mode réduit conserve la compréhension.</x:v>
      </x:c>
      <x:c r="O8" s="7" t="str">
        <x:v>NEX-EMV-CROWD</x:v>
      </x:c>
      <x:c r="P8" s="7" t="str"/>
      <x:c r="Q8" s="7" t="str"/>
      <x:c r="R8" s="7" t="str"/>
      <x:c r="S8" s="7" t="str"/>
    </x:row>
    <x:row r="9" ht="54" customHeight="1">
      <x:c r="A9" s="18" t="str">
        <x:v>NEX-VFX-SABOTAGE</x:v>
      </x:c>
      <x:c r="B9" s="9" t="str">
        <x:v>Verrou d’accès altéré — effet lisible</x:v>
      </x:c>
      <x:c r="C9" s="15" t="str">
        <x:v>Défini</x:v>
      </x:c>
      <x:c r="D9" s="16" t="str">
        <x:v>Extrapolation</x:v>
      </x:c>
      <x:c r="E9" s="16" t="str">
        <x:v>P1</x:v>
      </x:c>
      <x:c r="F9" s="9" t="str">
        <x:v>Effet original de prévision et de résultat pour la rencontre.</x:v>
      </x:c>
      <x:c r="G9" s="9" t="str">
        <x:v>Deux statuts contradictoires simultanément visibles.</x:v>
      </x:c>
      <x:c r="H9" s="9" t="str">
        <x:v>Aire de prévision égale à l’aire logique ; masque de cible conservé en daltonisme.</x:v>
      </x:c>
      <x:c r="I9" s="9" t="str">
        <x:v>Deux statuts contradictoires simultanément visibles. Limiter les flashes ; option intensité réduite conservant contours et pictogrammes.</x:v>
      </x:c>
      <x:c r="J9" s="9" t="str">
        <x:v>Apparition, maintien, résolution et extinction distinctes ; pas de particule persistante après sortie de carte.</x:v>
      </x:c>
      <x:c r="K9" s="9" t="str">
        <x:v>Un son par engagement ; pas d’empilement de boucles sur recharge de sauvegarde.</x:v>
      </x:c>
      <x:c r="L9" s="9" t="str">
        <x:v>fx/nex/sabotage ; pool local nettoyé au changement de scène.</x:v>
      </x:c>
      <x:c r="M9" s="9" t="str">
        <x:v>Effet lié au comportement, jamais déclenché par une animation décorative.</x:v>
      </x:c>
      <x:c r="N9" s="9" t="str">
        <x:v>Aucune cible hors aire n’est affectée ; mode réduit conserve la compréhension.</x:v>
      </x:c>
      <x:c r="O9" s="9" t="str">
        <x:v>NEX-EMV-SABOTAGE</x:v>
      </x:c>
      <x:c r="P9" s="9" t="str"/>
      <x:c r="Q9" s="9" t="str"/>
      <x:c r="R9" s="9" t="str"/>
      <x:c r="S9" s="9" t="str"/>
    </x:row>
    <x:row r="10" ht="54" customHeight="1">
      <x:c r="A10" s="19" t="str">
        <x:v>NEX-VFX-CLASH</x:v>
      </x:c>
      <x:c r="B10" s="7" t="str">
        <x:v>Confrontation de couloir — effet lisible</x:v>
      </x:c>
      <x:c r="C10" s="15" t="str">
        <x:v>Défini</x:v>
      </x:c>
      <x:c r="D10" s="17" t="str">
        <x:v>Extrapolation</x:v>
      </x:c>
      <x:c r="E10" s="17" t="str">
        <x:v>P1</x:v>
      </x:c>
      <x:c r="F10" s="7" t="str">
        <x:v>Effet original de prévision et de résultat pour la rencontre.</x:v>
      </x:c>
      <x:c r="G10" s="7" t="str">
        <x:v>Marques de recul, signes de tension et cible de porte.</x:v>
      </x:c>
      <x:c r="H10" s="7" t="str">
        <x:v>Aire de prévision égale à l’aire logique ; masque de cible conservé en daltonisme.</x:v>
      </x:c>
      <x:c r="I10" s="7" t="str">
        <x:v>Marques de recul, signes de tension et cible de porte. Limiter les flashes ; option intensité réduite conservant contours et pictogrammes.</x:v>
      </x:c>
      <x:c r="J10" s="7" t="str">
        <x:v>Apparition, maintien, résolution et extinction distinctes ; pas de particule persistante après sortie de carte.</x:v>
      </x:c>
      <x:c r="K10" s="7" t="str">
        <x:v>Un son par engagement ; pas d’empilement de boucles sur recharge de sauvegarde.</x:v>
      </x:c>
      <x:c r="L10" s="7" t="str">
        <x:v>fx/nex/clash ; pool local nettoyé au changement de scène.</x:v>
      </x:c>
      <x:c r="M10" s="7" t="str">
        <x:v>Effet lié au comportement, jamais déclenché par une animation décorative.</x:v>
      </x:c>
      <x:c r="N10" s="7" t="str">
        <x:v>Aucune cible hors aire n’est affectée ; mode réduit conserve la compréhension.</x:v>
      </x:c>
      <x:c r="O10" s="7" t="str">
        <x:v>NEX-EMV-CLASH</x:v>
      </x:c>
      <x:c r="P10" s="7" t="str"/>
      <x:c r="Q10" s="7" t="str"/>
      <x:c r="R10" s="7" t="str"/>
      <x:c r="S10" s="7" t="str"/>
    </x:row>
  </x:sheetData>
  <x:conditionalFormatting sqref="D7:D10">
    <x:cfRule type="cellIs" dxfId="76" priority="1" operator="equal">
      <x:formula>"À vérifier"</x:formula>
    </x:cfRule>
    <x:cfRule type="cellIs" dxfId="77" priority="2" operator="equal">
      <x:formula>"Extrapolation"</x:formula>
    </x:cfRule>
  </x:conditionalFormatting>
  <x:conditionalFormatting sqref="C7:C10">
    <x:cfRule type="cellIs" dxfId="78" priority="3" operator="equal">
      <x:formula>"Validé"</x:formula>
    </x:cfRule>
  </x:conditionalFormatting>
  <x:conditionalFormatting sqref="E7:E10">
    <x:cfRule type="cellIs" dxfId="79"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9d5daabd5c074a22"/>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Andromeda: Nexus Uprising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NEX-AUD-01</x:v>
      </x:c>
      <x:c r="B7" s="9" t="str">
        <x:v>Réveil incomplet</x:v>
      </x:c>
      <x:c r="C7" s="15" t="str">
        <x:v>Défini</x:v>
      </x:c>
      <x:c r="D7" s="16" t="str">
        <x:v>Extrapolation</x:v>
      </x:c>
      <x:c r="E7" s="16" t="str">
        <x:v>P1</x:v>
      </x:c>
      <x:c r="F7" s="9" t="str">
        <x:v>Création sonore originale pour le fan game.</x:v>
      </x:c>
      <x:c r="G7" s="9" t="str">
        <x:v>Ventilation irrégulière, portes lentes et consoles qui reprennent en plusieurs étapes.</x:v>
      </x:c>
      <x:c r="H7" s="9" t="str">
        <x:v>Déclenchement à l’événement logique ; priorité à la compréhension des commandes du groupe.</x:v>
      </x:c>
      <x:c r="I7" s="9" t="str">
        <x:v>Sous-titre d’ambiance facultatif ; pictogramme si le son fournit une alerte.</x:v>
      </x:c>
      <x:c r="J7" s="9" t="str">
        <x:v>Points de synchro notés dans la fiche animation concernée ; aucune dépendance à la vitesse de lecture.</x:v>
      </x:c>
      <x:c r="K7" s="9" t="str">
        <x:v>Ventilation irrégulière, portes lentes et consoles qui reprennent en plusieurs étapes. Musique, bruitages et éventuelles voix à produire sans extraire les enregistrements officiels.</x:v>
      </x:c>
      <x:c r="L7" s="9" t="str">
        <x:v>audio/nex/reveil-incomplet.ogg ; bus ambiance/musique/interface séparés.</x:v>
      </x:c>
      <x:c r="M7" s="9" t="str">
        <x:v>La source narrative inspire l’intention, pas une mélodie ou un enregistrement à copier.</x:v>
      </x:c>
      <x:c r="N7" s="9" t="str">
        <x:v>Boucle sans clic ; transitions propres ; information compréhensible volume coupé.</x:v>
      </x:c>
      <x:c r="O7" s="9" t="str"/>
      <x:c r="P7" s="9" t="str"/>
      <x:c r="Q7" s="9" t="str"/>
      <x:c r="R7" s="9" t="str"/>
      <x:c r="S7" s="9" t="str"/>
    </x:row>
    <x:row r="8" ht="82" customHeight="1">
      <x:c r="A8" s="19" t="str">
        <x:v>NEX-AUD-02</x:v>
      </x:c>
      <x:c r="B8" s="7" t="str">
        <x:v>Atelier habité</x:v>
      </x:c>
      <x:c r="C8" s="15" t="str">
        <x:v>Défini</x:v>
      </x:c>
      <x:c r="D8" s="17" t="str">
        <x:v>Extrapolation</x:v>
      </x:c>
      <x:c r="E8" s="17" t="str">
        <x:v>P1</x:v>
      </x:c>
      <x:c r="F8" s="7" t="str">
        <x:v>Création sonore originale pour le fan game.</x:v>
      </x:c>
      <x:c r="G8" s="7" t="str">
        <x:v>Outils lourds et paroles originales de travail ; pas de combat permanent sous les scènes de maintenance.</x:v>
      </x:c>
      <x:c r="H8" s="7" t="str">
        <x:v>Déclenchement à l’événement logique ; priorité à la compréhension des commandes du groupe.</x:v>
      </x:c>
      <x:c r="I8" s="7" t="str">
        <x:v>Sous-titre d’ambiance facultatif ; pictogramme si le son fournit une alerte.</x:v>
      </x:c>
      <x:c r="J8" s="7" t="str">
        <x:v>Points de synchro notés dans la fiche animation concernée ; aucune dépendance à la vitesse de lecture.</x:v>
      </x:c>
      <x:c r="K8" s="7" t="str">
        <x:v>Outils lourds et paroles originales de travail ; pas de combat permanent sous les scènes de maintenance. Musique, bruitages et éventuelles voix à produire sans extraire les enregistrements officiels.</x:v>
      </x:c>
      <x:c r="L8" s="7" t="str">
        <x:v>audio/nex/atelier-habite.ogg ; bus ambiance/musique/interface séparés.</x:v>
      </x:c>
      <x:c r="M8" s="7" t="str">
        <x:v>La source narrative inspire l’intention, pas une mélodie ou un enregistrement à copier.</x:v>
      </x:c>
      <x:c r="N8" s="7" t="str">
        <x:v>Boucle sans clic ; transitions propres ; information compréhensible volume coupé.</x:v>
      </x:c>
      <x:c r="O8" s="7" t="str"/>
      <x:c r="P8" s="7" t="str"/>
      <x:c r="Q8" s="7" t="str"/>
      <x:c r="R8" s="7" t="str"/>
      <x:c r="S8" s="7" t="str"/>
    </x:row>
    <x:row r="9" ht="68" customHeight="1">
      <x:c r="A9" s="18" t="str">
        <x:v>NEX-AUD-03</x:v>
      </x:c>
      <x:c r="B9" s="9" t="str">
        <x:v>Pénurie visible</x:v>
      </x:c>
      <x:c r="C9" s="15" t="str">
        <x:v>Défini</x:v>
      </x:c>
      <x:c r="D9" s="16" t="str">
        <x:v>Extrapolation</x:v>
      </x:c>
      <x:c r="E9" s="16" t="str">
        <x:v>P1</x:v>
      </x:c>
      <x:c r="F9" s="9" t="str">
        <x:v>Création sonore originale pour le fan game.</x:v>
      </x:c>
      <x:c r="G9" s="9" t="str">
        <x:v>Silence des machines arrêtées opposé aux files d’attente en sourdine.</x:v>
      </x:c>
      <x:c r="H9" s="9" t="str">
        <x:v>Déclenchement à l’événement logique ; priorité à la compréhension des commandes du groupe.</x:v>
      </x:c>
      <x:c r="I9" s="9" t="str">
        <x:v>Sous-titre d’ambiance facultatif ; pictogramme si le son fournit une alerte.</x:v>
      </x:c>
      <x:c r="J9" s="9" t="str">
        <x:v>Points de synchro notés dans la fiche animation concernée ; aucune dépendance à la vitesse de lecture.</x:v>
      </x:c>
      <x:c r="K9" s="9" t="str">
        <x:v>Silence des machines arrêtées opposé aux files d’attente en sourdine. Musique, bruitages et éventuelles voix à produire sans extraire les enregistrements officiels.</x:v>
      </x:c>
      <x:c r="L9" s="9" t="str">
        <x:v>audio/nex/penurie-visible.ogg ; bus ambiance/musique/interface séparés.</x:v>
      </x:c>
      <x:c r="M9" s="9" t="str">
        <x:v>La source narrative inspire l’intention, pas une mélodie ou un enregistrement à copier.</x:v>
      </x:c>
      <x:c r="N9" s="9" t="str">
        <x:v>Boucle sans clic ; transitions propres ; information compréhensible volume coupé.</x:v>
      </x:c>
      <x:c r="O9" s="9" t="str"/>
      <x:c r="P9" s="9" t="str"/>
      <x:c r="Q9" s="9" t="str"/>
      <x:c r="R9" s="9" t="str"/>
      <x:c r="S9" s="9" t="str"/>
    </x:row>
    <x:row r="10" ht="68" customHeight="1">
      <x:c r="A10" s="19" t="str">
        <x:v>NEX-AUD-04</x:v>
      </x:c>
      <x:c r="B10" s="7" t="str">
        <x:v>Confrontation contenue</x:v>
      </x:c>
      <x:c r="C10" s="15" t="str">
        <x:v>Défini</x:v>
      </x:c>
      <x:c r="D10" s="17" t="str">
        <x:v>Extrapolation</x:v>
      </x:c>
      <x:c r="E10" s="17" t="str">
        <x:v>P1</x:v>
      </x:c>
      <x:c r="F10" s="7" t="str">
        <x:v>Création sonore originale pour le fan game.</x:v>
      </x:c>
      <x:c r="G10" s="7" t="str">
        <x:v>Ambiance tendue à volume modéré ; avertissements distincts et sous-titrés.</x:v>
      </x:c>
      <x:c r="H10" s="7" t="str">
        <x:v>Déclenchement à l’événement logique ; priorité à la compréhension des commandes du groupe.</x:v>
      </x:c>
      <x:c r="I10" s="7" t="str">
        <x:v>Sous-titre d’ambiance facultatif ; pictogramme si le son fournit une alerte.</x:v>
      </x:c>
      <x:c r="J10" s="7" t="str">
        <x:v>Points de synchro notés dans la fiche animation concernée ; aucune dépendance à la vitesse de lecture.</x:v>
      </x:c>
      <x:c r="K10" s="7" t="str">
        <x:v>Ambiance tendue à volume modéré ; avertissements distincts et sous-titrés. Musique, bruitages et éventuelles voix à produire sans extraire les enregistrements officiels.</x:v>
      </x:c>
      <x:c r="L10" s="7" t="str">
        <x:v>audio/nex/confrontation-contenue.ogg ; bus ambiance/musique/interface séparés.</x:v>
      </x:c>
      <x:c r="M10" s="7" t="str">
        <x:v>La source narrative inspire l’intention, pas une mélodie ou un enregistrement à copier.</x:v>
      </x:c>
      <x:c r="N10" s="7" t="str">
        <x:v>Boucle sans clic ; transitions propres ; information compréhensible volume coupé.</x:v>
      </x:c>
      <x:c r="O10" s="7" t="str"/>
      <x:c r="P10" s="7" t="str"/>
      <x:c r="Q10" s="7" t="str"/>
      <x:c r="R10" s="7" t="str"/>
      <x:c r="S10" s="7" t="str"/>
    </x:row>
    <x:row r="11" ht="68" customHeight="1">
      <x:c r="A11" s="18" t="str">
        <x:v>NEX-AUD-05</x:v>
      </x:c>
      <x:c r="B11" s="9" t="str">
        <x:v>Départ</x:v>
      </x:c>
      <x:c r="C11" s="15" t="str">
        <x:v>Défini</x:v>
      </x:c>
      <x:c r="D11" s="16" t="str">
        <x:v>Extrapolation</x:v>
      </x:c>
      <x:c r="E11" s="16" t="str">
        <x:v>P1</x:v>
      </x:c>
      <x:c r="F11" s="9" t="str">
        <x:v>Création sonore originale pour le fan game.</x:v>
      </x:c>
      <x:c r="G11" s="9" t="str">
        <x:v>Moteurs, pas éloignés et motif musical original inachevé.</x:v>
      </x:c>
      <x:c r="H11" s="9" t="str">
        <x:v>Déclenchement à l’événement logique ; priorité à la compréhension des commandes du groupe.</x:v>
      </x:c>
      <x:c r="I11" s="9" t="str">
        <x:v>Sous-titre d’ambiance facultatif ; pictogramme si le son fournit une alerte.</x:v>
      </x:c>
      <x:c r="J11" s="9" t="str">
        <x:v>Points de synchro notés dans la fiche animation concernée ; aucune dépendance à la vitesse de lecture.</x:v>
      </x:c>
      <x:c r="K11" s="9" t="str">
        <x:v>Moteurs, pas éloignés et motif musical original inachevé. Musique, bruitages et éventuelles voix à produire sans extraire les enregistrements officiels.</x:v>
      </x:c>
      <x:c r="L11" s="9" t="str">
        <x:v>audio/nex/depart.ogg ; bus ambiance/musique/interface séparés.</x:v>
      </x:c>
      <x:c r="M11" s="9" t="str">
        <x:v>La source narrative inspire l’intention, pas une mélodie ou un enregistrement à copier.</x:v>
      </x:c>
      <x:c r="N11" s="9" t="str">
        <x:v>Boucle sans clic ; transitions propres ; information compréhensible volume coupé.</x:v>
      </x:c>
      <x:c r="O11" s="9" t="str"/>
      <x:c r="P11" s="9" t="str"/>
      <x:c r="Q11" s="9" t="str"/>
      <x:c r="R11" s="9" t="str"/>
      <x:c r="S11" s="9" t="str"/>
    </x:row>
  </x:sheetData>
  <x:conditionalFormatting sqref="D7:D11">
    <x:cfRule type="cellIs" dxfId="80" priority="1" operator="equal">
      <x:formula>"À vérifier"</x:formula>
    </x:cfRule>
    <x:cfRule type="cellIs" dxfId="81" priority="2" operator="equal">
      <x:formula>"Extrapolation"</x:formula>
    </x:cfRule>
  </x:conditionalFormatting>
  <x:conditionalFormatting sqref="C7:C11">
    <x:cfRule type="cellIs" dxfId="82" priority="3" operator="equal">
      <x:formula>"Validé"</x:formula>
    </x:cfRule>
  </x:conditionalFormatting>
  <x:conditionalFormatting sqref="E7:E11">
    <x:cfRule type="cellIs" dxfId="83"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d32330c6632c434e"/>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Andromeda: Nexus Uprising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NEX-SYS-01</x:v>
      </x:c>
      <x:c r="B7" s="9" t="str">
        <x:v>Ressources locales</x:v>
      </x:c>
      <x:c r="C7" s="15" t="str">
        <x:v>Défini</x:v>
      </x:c>
      <x:c r="D7" s="16" t="str">
        <x:v>Extrapolation</x:v>
      </x:c>
      <x:c r="E7" s="16" t="str">
        <x:v>P0</x:v>
      </x:c>
      <x:c r="F7" s="9" t="str">
        <x:v>Système original de production propre au module.</x:v>
      </x:c>
      <x:c r="G7" s="9" t="str">
        <x:v>Énergie, outils et rations de mission sont des paramètres d’adaptation ; ils n’inventent pas les stocks totaux du Nexus.</x:v>
      </x:c>
      <x:c r="H7" s="9" t="str">
        <x:v>Énergie, outils et rations de mission sont des paramètres d’adaptation ; ils n’inventent pas les stocks totaux du Nexus.</x:v>
      </x:c>
      <x:c r="I7" s="9" t="str">
        <x:v>État visible dans le HUD et le journal ; libellés complets, icônes non exclusives.</x:v>
      </x:c>
      <x:c r="J7" s="9" t="str">
        <x:v>Transitions rapides et possibilité de réduire les mouvements UI.</x:v>
      </x:c>
      <x:c r="K7" s="9" t="str">
        <x:v>Chaque changement critique possède un équivalent textuel ; pas de message sonore seul.</x:v>
      </x:c>
      <x:c r="L7" s="9" t="str">
        <x:v>systems/nex/ressources-locales.ts prévu ; sauvegarde versionnée avec valeurs par défaut.</x:v>
      </x:c>
      <x:c r="M7" s="9" t="str">
        <x:v>Activé seulement dans ce module ; ne modifie pas les sauvegardes des jeux officiels.</x:v>
      </x:c>
      <x:c r="N7" s="9" t="str">
        <x:v>Chargement et reprise conservent l’état ; clavier et pointeur donnent le même résultat.</x:v>
      </x:c>
      <x:c r="O7" s="9" t="str"/>
      <x:c r="P7" s="9" t="str"/>
      <x:c r="Q7" s="9" t="str"/>
      <x:c r="R7" s="9" t="str"/>
      <x:c r="S7" s="9" t="str"/>
    </x:row>
    <x:row r="8" ht="54" customHeight="1">
      <x:c r="A8" s="19" t="str">
        <x:v>NEX-SYS-02</x:v>
      </x:c>
      <x:c r="B8" s="7" t="str">
        <x:v>Décision traçable</x:v>
      </x:c>
      <x:c r="C8" s="15" t="str">
        <x:v>Défini</x:v>
      </x:c>
      <x:c r="D8" s="17" t="str">
        <x:v>Extrapolation</x:v>
      </x:c>
      <x:c r="E8" s="17" t="str">
        <x:v>P0</x:v>
      </x:c>
      <x:c r="F8" s="7" t="str">
        <x:v>Système original de production propre au module.</x:v>
      </x:c>
      <x:c r="G8" s="7" t="str">
        <x:v>Chaque ordre garde auteur, motif, coût et personnes consultées ; le joueur peut retrouver pourquoi une voie a été fermée.</x:v>
      </x:c>
      <x:c r="H8" s="7" t="str">
        <x:v>Chaque ordre garde auteur, motif, coût et personnes consultées ; le joueur peut retrouver pourquoi une voie a été fermée.</x:v>
      </x:c>
      <x:c r="I8" s="7" t="str">
        <x:v>État visible dans le HUD et le journal ; libellés complets, icônes non exclusives.</x:v>
      </x:c>
      <x:c r="J8" s="7" t="str">
        <x:v>Transitions rapides et possibilité de réduire les mouvements UI.</x:v>
      </x:c>
      <x:c r="K8" s="7" t="str">
        <x:v>Chaque changement critique possède un équivalent textuel ; pas de message sonore seul.</x:v>
      </x:c>
      <x:c r="L8" s="7" t="str">
        <x:v>systems/nex/decision-tracable.ts prévu ; sauvegarde versionnée avec valeurs par défaut.</x:v>
      </x:c>
      <x:c r="M8" s="7" t="str">
        <x:v>Activé seulement dans ce module ; ne modifie pas les sauvegardes des jeux officiels.</x:v>
      </x:c>
      <x:c r="N8" s="7" t="str">
        <x:v>Chargement et reprise conservent l’état ; clavier et pointeur donnent le même résultat.</x:v>
      </x:c>
      <x:c r="O8" s="7" t="str"/>
      <x:c r="P8" s="7" t="str"/>
      <x:c r="Q8" s="7" t="str"/>
      <x:c r="R8" s="7" t="str"/>
      <x:c r="S8" s="7" t="str"/>
    </x:row>
    <x:row r="9" ht="54" customHeight="1">
      <x:c r="A9" s="18" t="str">
        <x:v>NEX-SYS-03</x:v>
      </x:c>
      <x:c r="B9" s="9" t="str">
        <x:v>Version des témoignages</x:v>
      </x:c>
      <x:c r="C9" s="15" t="str">
        <x:v>Défini</x:v>
      </x:c>
      <x:c r="D9" s="16" t="str">
        <x:v>Extrapolation</x:v>
      </x:c>
      <x:c r="E9" s="16" t="str">
        <x:v>P1</x:v>
      </x:c>
      <x:c r="F9" s="9" t="str">
        <x:v>Système original de production propre au module.</x:v>
      </x:c>
      <x:c r="G9" s="9" t="str">
        <x:v>Conserver les voix des responsables et des travailleurs sans réduire le récit à un indicateur bon/mauvais.</x:v>
      </x:c>
      <x:c r="H9" s="9" t="str">
        <x:v>Conserver les voix des responsables et des travailleurs sans réduire le récit à un indicateur bon/mauvais.</x:v>
      </x:c>
      <x:c r="I9" s="9" t="str">
        <x:v>État visible dans le HUD et le journal ; libellés complets, icônes non exclusives.</x:v>
      </x:c>
      <x:c r="J9" s="9" t="str">
        <x:v>Transitions rapides et possibilité de réduire les mouvements UI.</x:v>
      </x:c>
      <x:c r="K9" s="9" t="str">
        <x:v>Chaque changement critique possède un équivalent textuel ; pas de message sonore seul.</x:v>
      </x:c>
      <x:c r="L9" s="9" t="str">
        <x:v>systems/nex/version-des-temoignages.ts prévu ; sauvegarde versionnée avec valeurs par défaut.</x:v>
      </x:c>
      <x:c r="M9" s="9" t="str">
        <x:v>Activé seulement dans ce module ; ne modifie pas les sauvegardes des jeux officiels.</x:v>
      </x:c>
      <x:c r="N9" s="9" t="str">
        <x:v>Chargement et reprise conservent l’état ; clavier et pointeur donnent le même résultat.</x:v>
      </x:c>
      <x:c r="O9" s="9" t="str"/>
      <x:c r="P9" s="9" t="str"/>
      <x:c r="Q9" s="9" t="str"/>
      <x:c r="R9" s="9" t="str"/>
      <x:c r="S9" s="9" t="str"/>
    </x:row>
    <x:row r="10" ht="44" customHeight="1">
      <x:c r="A10" s="19" t="str">
        <x:v>NEX-SYS-04</x:v>
      </x:c>
      <x:c r="B10" s="7" t="str">
        <x:v>Crise persistante</x:v>
      </x:c>
      <x:c r="C10" s="15" t="str">
        <x:v>Défini</x:v>
      </x:c>
      <x:c r="D10" s="17" t="str">
        <x:v>Extrapolation</x:v>
      </x:c>
      <x:c r="E10" s="17" t="str">
        <x:v>P1</x:v>
      </x:c>
      <x:c r="F10" s="7" t="str">
        <x:v>Système original de production propre au module.</x:v>
      </x:c>
      <x:c r="G10" s="7" t="str">
        <x:v>Une réussite améliore une section mais ne guérit pas les causes globales de la révolte.</x:v>
      </x:c>
      <x:c r="H10" s="7" t="str">
        <x:v>Une réussite améliore une section mais ne guérit pas les causes globales de la révolte.</x:v>
      </x:c>
      <x:c r="I10" s="7" t="str">
        <x:v>État visible dans le HUD et le journal ; libellés complets, icônes non exclusives.</x:v>
      </x:c>
      <x:c r="J10" s="7" t="str">
        <x:v>Transitions rapides et possibilité de réduire les mouvements UI.</x:v>
      </x:c>
      <x:c r="K10" s="7" t="str">
        <x:v>Chaque changement critique possède un équivalent textuel ; pas de message sonore seul.</x:v>
      </x:c>
      <x:c r="L10" s="7" t="str">
        <x:v>systems/nex/crise-persistante.ts prévu ; sauvegarde versionnée avec valeurs par défaut.</x:v>
      </x:c>
      <x:c r="M10" s="7" t="str">
        <x:v>Activé seulement dans ce module ; ne modifie pas les sauvegardes des jeux officiels.</x:v>
      </x:c>
      <x:c r="N10" s="7" t="str">
        <x:v>Chargement et reprise conservent l’état ; clavier et pointeur donnent le même résultat.</x:v>
      </x:c>
      <x:c r="O10" s="7" t="str"/>
      <x:c r="P10" s="7" t="str"/>
      <x:c r="Q10" s="7" t="str"/>
      <x:c r="R10" s="7" t="str"/>
      <x:c r="S10" s="7" t="str"/>
    </x:row>
    <x:row r="11" ht="44" customHeight="1">
      <x:c r="A11" s="18" t="str">
        <x:v>NEX-SYS-05</x:v>
      </x:c>
      <x:c r="B11" s="9" t="str">
        <x:v>Circulation civile</x:v>
      </x:c>
      <x:c r="C11" s="15" t="str">
        <x:v>Défini</x:v>
      </x:c>
      <x:c r="D11" s="16" t="str">
        <x:v>Extrapolation</x:v>
      </x:c>
      <x:c r="E11" s="16" t="str">
        <x:v>P1</x:v>
      </x:c>
      <x:c r="F11" s="9" t="str">
        <x:v>Système original de production propre au module.</x:v>
      </x:c>
      <x:c r="G11" s="9" t="str">
        <x:v>Les habitants ont des zones sûres et des trajectoires protégées ; ils ne servent pas de cibles à points.</x:v>
      </x:c>
      <x:c r="H11" s="9" t="str">
        <x:v>Les habitants ont des zones sûres et des trajectoires protégées ; ils ne servent pas de cibles à points.</x:v>
      </x:c>
      <x:c r="I11" s="9" t="str">
        <x:v>État visible dans le HUD et le journal ; libellés complets, icônes non exclusives.</x:v>
      </x:c>
      <x:c r="J11" s="9" t="str">
        <x:v>Transitions rapides et possibilité de réduire les mouvements UI.</x:v>
      </x:c>
      <x:c r="K11" s="9" t="str">
        <x:v>Chaque changement critique possède un équivalent textuel ; pas de message sonore seul.</x:v>
      </x:c>
      <x:c r="L11" s="9" t="str">
        <x:v>systems/nex/circulation-civile.ts prévu ; sauvegarde versionnée avec valeurs par défaut.</x:v>
      </x:c>
      <x:c r="M11" s="9" t="str">
        <x:v>Activé seulement dans ce module ; ne modifie pas les sauvegardes des jeux officiels.</x:v>
      </x:c>
      <x:c r="N11" s="9" t="str">
        <x:v>Chargement et reprise conservent l’état ; clavier et pointeur donnent le même résultat.</x:v>
      </x:c>
      <x:c r="O11" s="9" t="str"/>
      <x:c r="P11" s="9" t="str"/>
      <x:c r="Q11" s="9" t="str"/>
      <x:c r="R11" s="9" t="str"/>
      <x:c r="S11" s="9" t="str"/>
    </x:row>
    <x:row r="12" ht="44" customHeight="1">
      <x:c r="A12" s="19" t="str">
        <x:v>NEX-SYS-06</x:v>
      </x:c>
      <x:c r="B12" s="7" t="str">
        <x:v>Fenêtres de réveil</x:v>
      </x:c>
      <x:c r="C12" s="15" t="str">
        <x:v>Défini</x:v>
      </x:c>
      <x:c r="D12" s="17" t="str">
        <x:v>Extrapolation</x:v>
      </x:c>
      <x:c r="E12" s="17" t="str">
        <x:v>P1</x:v>
      </x:c>
      <x:c r="F12" s="7" t="str">
        <x:v>Système original de production propre au module.</x:v>
      </x:c>
      <x:c r="G12" s="7" t="str">
        <x:v>Le réveil d’un personnage dépend du scénario documenté ; le menu ne permet pas de réveiller tous les colons.</x:v>
      </x:c>
      <x:c r="H12" s="7" t="str">
        <x:v>Le réveil d’un personnage dépend du scénario documenté ; le menu ne permet pas de réveiller tous les colons.</x:v>
      </x:c>
      <x:c r="I12" s="7" t="str">
        <x:v>État visible dans le HUD et le journal ; libellés complets, icônes non exclusives.</x:v>
      </x:c>
      <x:c r="J12" s="7" t="str">
        <x:v>Transitions rapides et possibilité de réduire les mouvements UI.</x:v>
      </x:c>
      <x:c r="K12" s="7" t="str">
        <x:v>Chaque changement critique possède un équivalent textuel ; pas de message sonore seul.</x:v>
      </x:c>
      <x:c r="L12" s="7" t="str">
        <x:v>systems/nex/fenetres-de-reveil.ts prévu ; sauvegarde versionnée avec valeurs par défaut.</x:v>
      </x:c>
      <x:c r="M12" s="7" t="str">
        <x:v>Activé seulement dans ce module ; ne modifie pas les sauvegardes des jeux officiels.</x:v>
      </x:c>
      <x:c r="N12" s="7" t="str">
        <x:v>Chargement et reprise conservent l’état ; clavier et pointeur donnent le même résultat.</x:v>
      </x:c>
      <x:c r="O12" s="7" t="str"/>
      <x:c r="P12" s="7" t="str"/>
      <x:c r="Q12" s="7" t="str"/>
      <x:c r="R12" s="7" t="str"/>
      <x:c r="S12" s="7" t="str"/>
    </x:row>
    <x:row r="13" ht="54" customHeight="1">
      <x:c r="A13" s="18" t="str">
        <x:v>NEX-SYS-07</x:v>
      </x:c>
      <x:c r="B13" s="9" t="str">
        <x:v>Promesses et mandats</x:v>
      </x:c>
      <x:c r="C13" s="15" t="str">
        <x:v>Défini</x:v>
      </x:c>
      <x:c r="D13" s="16" t="str">
        <x:v>Extrapolation</x:v>
      </x:c>
      <x:c r="E13" s="16" t="str">
        <x:v>P1</x:v>
      </x:c>
      <x:c r="F13" s="9" t="str">
        <x:v>Système original de production propre au module.</x:v>
      </x:c>
      <x:c r="G13" s="9" t="str">
        <x:v>Afficher une promesse comme promesse tant que son statut n’est pas confirmé ; ne pas confondre parole de Spender et engagement réalisé.</x:v>
      </x:c>
      <x:c r="H13" s="9" t="str">
        <x:v>Afficher une promesse comme promesse tant que son statut n’est pas confirmé ; ne pas confondre parole de Spender et engagement réalisé.</x:v>
      </x:c>
      <x:c r="I13" s="9" t="str">
        <x:v>État visible dans le HUD et le journal ; libellés complets, icônes non exclusives.</x:v>
      </x:c>
      <x:c r="J13" s="9" t="str">
        <x:v>Transitions rapides et possibilité de réduire les mouvements UI.</x:v>
      </x:c>
      <x:c r="K13" s="9" t="str">
        <x:v>Chaque changement critique possède un équivalent textuel ; pas de message sonore seul.</x:v>
      </x:c>
      <x:c r="L13" s="9" t="str">
        <x:v>systems/nex/promesses-et-mandats.ts prévu ; sauvegarde versionnée avec valeurs par défaut.</x:v>
      </x:c>
      <x:c r="M13" s="9" t="str">
        <x:v>Activé seulement dans ce module ; ne modifie pas les sauvegardes des jeux officiels.</x:v>
      </x:c>
      <x:c r="N13" s="9" t="str">
        <x:v>Chargement et reprise conservent l’état ; clavier et pointeur donnent le même résultat.</x:v>
      </x:c>
      <x:c r="O13" s="9" t="str"/>
      <x:c r="P13" s="9" t="str"/>
      <x:c r="Q13" s="9" t="str"/>
      <x:c r="R13" s="9" t="str"/>
      <x:c r="S13" s="9" t="str"/>
    </x:row>
    <x:row r="14" ht="54" customHeight="1">
      <x:c r="A14" s="19" t="str">
        <x:v>NEX-SYS-08</x:v>
      </x:c>
      <x:c r="B14" s="7" t="str">
        <x:v>Transition vers les exils</x:v>
      </x:c>
      <x:c r="C14" s="15" t="str">
        <x:v>Défini</x:v>
      </x:c>
      <x:c r="D14" s="17" t="str">
        <x:v>Extrapolation</x:v>
      </x:c>
      <x:c r="E14" s="17" t="str">
        <x:v>P1</x:v>
      </x:c>
      <x:c r="F14" s="7" t="str">
        <x:v>Système original de production propre au module.</x:v>
      </x:c>
      <x:c r="G14" s="7" t="str">
        <x:v>Sauvegarder les groupes présents au départ ; aucune partie parfaite ne supprime l’état initial d’Andromeda.</x:v>
      </x:c>
      <x:c r="H14" s="7" t="str">
        <x:v>Sauvegarder les groupes présents au départ ; aucune partie parfaite ne supprime l’état initial d’Andromeda.</x:v>
      </x:c>
      <x:c r="I14" s="7" t="str">
        <x:v>État visible dans le HUD et le journal ; libellés complets, icônes non exclusives.</x:v>
      </x:c>
      <x:c r="J14" s="7" t="str">
        <x:v>Transitions rapides et possibilité de réduire les mouvements UI.</x:v>
      </x:c>
      <x:c r="K14" s="7" t="str">
        <x:v>Chaque changement critique possède un équivalent textuel ; pas de message sonore seul.</x:v>
      </x:c>
      <x:c r="L14" s="7" t="str">
        <x:v>systems/nex/transition-vers-les-exils.ts prévu ; sauvegarde versionnée avec valeurs par défaut.</x:v>
      </x:c>
      <x:c r="M14" s="7" t="str">
        <x:v>Activé seulement dans ce module ; ne modifie pas les sauvegardes des jeux officiels.</x:v>
      </x:c>
      <x:c r="N14" s="7" t="str">
        <x:v>Chargement et reprise conservent l’état ; clavier et pointeur donnent le même résultat.</x:v>
      </x:c>
      <x:c r="O14" s="7" t="str"/>
      <x:c r="P14" s="7" t="str"/>
      <x:c r="Q14" s="7" t="str"/>
      <x:c r="R14" s="7" t="str"/>
      <x:c r="S14" s="7" t="str"/>
    </x:row>
  </x:sheetData>
  <x:conditionalFormatting sqref="D7:D14">
    <x:cfRule type="cellIs" dxfId="84" priority="1" operator="equal">
      <x:formula>"À vérifier"</x:formula>
    </x:cfRule>
    <x:cfRule type="cellIs" dxfId="85" priority="2" operator="equal">
      <x:formula>"Extrapolation"</x:formula>
    </x:cfRule>
  </x:conditionalFormatting>
  <x:conditionalFormatting sqref="C7:C14">
    <x:cfRule type="cellIs" dxfId="86" priority="3" operator="equal">
      <x:formula>"Validé"</x:formula>
    </x:cfRule>
  </x:conditionalFormatting>
  <x:conditionalFormatting sqref="E7:E14">
    <x:cfRule type="cellIs" dxfId="8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ca7721327f534981"/>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Andromeda: Nexus Uprising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NEX-TST-RESTORE</x:v>
      </x:c>
      <x:c r="B7" s="9" t="str">
        <x:v>Remettre une section en service — scénario d’acceptation</x:v>
      </x:c>
      <x:c r="C7" s="15" t="str">
        <x:v>Défini</x:v>
      </x:c>
      <x:c r="D7" s="16" t="str">
        <x:v>Extrapolation</x:v>
      </x:c>
      <x:c r="E7" s="16" t="str">
        <x:v>P1</x:v>
      </x:c>
      <x:c r="F7" s="9" t="str">
        <x:v>Test de comportement spécifique à la mission proposée.</x:v>
      </x:c>
      <x:c r="G7" s="9" t="str">
        <x:v>Exécuter Remettre une section en service avec la méthode la plus lente puis avec la méthode alternative.</x:v>
      </x:c>
      <x:c r="H7" s="9" t="str">
        <x:v>Contrôler les transitions de la règle suivante : Diagnostiquer énergie, porte et communication ; un acteur répare, les autres sécurisent.</x:v>
      </x:c>
      <x:c r="I7" s="9" t="str">
        <x:v>Capturer le moment où la sortie devient valide et celui où le choix devient indisponible.</x:v>
      </x:c>
      <x:c r="J7" s="9" t="str">
        <x:v>Interrompre une action à son anticipation et une autre après son engagement.</x:v>
      </x:c>
      <x:c r="K7" s="9" t="str">
        <x:v>Rejouer sans son pour vérifier les informations essentielles.</x:v>
      </x:c>
      <x:c r="L7" s="9" t="str">
        <x:v>qa/nex/restore.md : état initial, actions, attendu, résultat, capture.</x:v>
      </x:c>
      <x:c r="M7" s="9" t="str">
        <x:v>La station reste endommagée et isolée.</x:v>
      </x:c>
      <x:c r="N7" s="9" t="str">
        <x:v>Aucun blocage, récompense multiple, information future ou divergence entre pause ATB et temps normal.</x:v>
      </x:c>
      <x:c r="O7" s="9" t="str">
        <x:v>NEX-MIS-RESTORE, NEX-CHO-RESTORE, NEX-OPT-RESTORE</x:v>
      </x:c>
      <x:c r="P7" s="9" t="str"/>
      <x:c r="Q7" s="9" t="str"/>
      <x:c r="R7" s="9" t="str"/>
      <x:c r="S7" s="9" t="str"/>
    </x:row>
    <x:row r="8" ht="54" customHeight="1">
      <x:c r="A8" s="19" t="str">
        <x:v>NEX-TST-PRIORITY</x:v>
      </x:c>
      <x:c r="B8" s="7" t="str">
        <x:v>Rendre les priorités compréhensibles — scénario d’acceptation</x:v>
      </x:c>
      <x:c r="C8" s="15" t="str">
        <x:v>Défini</x:v>
      </x:c>
      <x:c r="D8" s="17" t="str">
        <x:v>Extrapolation</x:v>
      </x:c>
      <x:c r="E8" s="17" t="str">
        <x:v>P1</x:v>
      </x:c>
      <x:c r="F8" s="7" t="str">
        <x:v>Test de comportement spécifique à la mission proposée.</x:v>
      </x:c>
      <x:c r="G8" s="7" t="str">
        <x:v>Exécuter Rendre les priorités compréhensibles avec la méthode la plus lente puis avec la méthode alternative.</x:v>
      </x:c>
      <x:c r="H8" s="7" t="str">
        <x:v>Contrôler les transitions de la règle suivante : Relier chaque demande à besoin, coût et dépendance ; afficher ce qui reste impossible.</x:v>
      </x:c>
      <x:c r="I8" s="7" t="str">
        <x:v>Capturer le moment où la sortie devient valide et celui où le choix devient indisponible.</x:v>
      </x:c>
      <x:c r="J8" s="7" t="str">
        <x:v>Interrompre une action à son anticipation et une autre après son engagement.</x:v>
      </x:c>
      <x:c r="K8" s="7" t="str">
        <x:v>Rejouer sans son pour vérifier les informations essentielles.</x:v>
      </x:c>
      <x:c r="L8" s="7" t="str">
        <x:v>qa/nex/priority.md : état initial, actions, attendu, résultat, capture.</x:v>
      </x:c>
      <x:c r="M8" s="7" t="str">
        <x:v>Le joueur n’annule pas la crise politique par un score optimal.</x:v>
      </x:c>
      <x:c r="N8" s="7" t="str">
        <x:v>Aucun blocage, récompense multiple, information future ou divergence entre pause ATB et temps normal.</x:v>
      </x:c>
      <x:c r="O8" s="7" t="str">
        <x:v>NEX-MIS-PRIORITY, NEX-CHO-PRIORITY, NEX-OPT-PRIORITY</x:v>
      </x:c>
      <x:c r="P8" s="7" t="str"/>
      <x:c r="Q8" s="7" t="str"/>
      <x:c r="R8" s="7" t="str"/>
      <x:c r="S8" s="7" t="str"/>
    </x:row>
    <x:row r="9" ht="54" customHeight="1">
      <x:c r="A9" s="18" t="str">
        <x:v>NEX-TST-GROW</x:v>
      </x:c>
      <x:c r="B9" s="9" t="str">
        <x:v>Sauver une capacité de production locale — scénario d’acceptation</x:v>
      </x:c>
      <x:c r="C9" s="15" t="str">
        <x:v>Défini</x:v>
      </x:c>
      <x:c r="D9" s="16" t="str">
        <x:v>Extrapolation</x:v>
      </x:c>
      <x:c r="E9" s="16" t="str">
        <x:v>P1</x:v>
      </x:c>
      <x:c r="F9" s="9" t="str">
        <x:v>Test de comportement spécifique à la mission proposée.</x:v>
      </x:c>
      <x:c r="G9" s="9" t="str">
        <x:v>Exécuter Sauver une capacité de production locale avec la méthode la plus lente puis avec la méthode alternative.</x:v>
      </x:c>
      <x:c r="H9" s="9" t="str">
        <x:v>Contrôler les transitions de la règle suivante : Isoler un circuit, réparer une vanne abstraite et protéger la distribution électrique.</x:v>
      </x:c>
      <x:c r="I9" s="9" t="str">
        <x:v>Capturer le moment où la sortie devient valide et celui où le choix devient indisponible.</x:v>
      </x:c>
      <x:c r="J9" s="9" t="str">
        <x:v>Interrompre une action à son anticipation et une autre après son engagement.</x:v>
      </x:c>
      <x:c r="K9" s="9" t="str">
        <x:v>Rejouer sans son pour vérifier les informations essentielles.</x:v>
      </x:c>
      <x:c r="L9" s="9" t="str">
        <x:v>qa/nex/grow.md : état initial, actions, attendu, résultat, capture.</x:v>
      </x:c>
      <x:c r="M9" s="9" t="str">
        <x:v>Le module ne résout pas la pénurie globale du roman.</x:v>
      </x:c>
      <x:c r="N9" s="9" t="str">
        <x:v>Aucun blocage, récompense multiple, information future ou divergence entre pause ATB et temps normal.</x:v>
      </x:c>
      <x:c r="O9" s="9" t="str">
        <x:v>NEX-MIS-GROW, NEX-CHO-GROW, NEX-OPT-GROW</x:v>
      </x:c>
      <x:c r="P9" s="9" t="str"/>
      <x:c r="Q9" s="9" t="str"/>
      <x:c r="R9" s="9" t="str"/>
      <x:c r="S9" s="9" t="str"/>
    </x:row>
    <x:row r="10" ht="54" customHeight="1">
      <x:c r="A10" s="19" t="str">
        <x:v>NEX-TST-AIR</x:v>
      </x:c>
      <x:c r="B10" s="7" t="str">
        <x:v>Garder l’atelier accessible — scénario d’acceptation</x:v>
      </x:c>
      <x:c r="C10" s="15" t="str">
        <x:v>Défini</x:v>
      </x:c>
      <x:c r="D10" s="17" t="str">
        <x:v>Extrapolation</x:v>
      </x:c>
      <x:c r="E10" s="17" t="str">
        <x:v>P1</x:v>
      </x:c>
      <x:c r="F10" s="7" t="str">
        <x:v>Test de comportement spécifique à la mission proposée.</x:v>
      </x:c>
      <x:c r="G10" s="7" t="str">
        <x:v>Exécuter Garder l’atelier accessible avec la méthode la plus lente puis avec la méthode alternative.</x:v>
      </x:c>
      <x:c r="H10" s="7" t="str">
        <x:v>Contrôler les transitions de la règle suivante : Répartir présence, outil et énergie entre trois postes ; pause pendant la lecture.</x:v>
      </x:c>
      <x:c r="I10" s="7" t="str">
        <x:v>Capturer le moment où la sortie devient valide et celui où le choix devient indisponible.</x:v>
      </x:c>
      <x:c r="J10" s="7" t="str">
        <x:v>Interrompre une action à son anticipation et une autre après son engagement.</x:v>
      </x:c>
      <x:c r="K10" s="7" t="str">
        <x:v>Rejouer sans son pour vérifier les informations essentielles.</x:v>
      </x:c>
      <x:c r="L10" s="7" t="str">
        <x:v>qa/nex/air.md : état initial, actions, attendu, résultat, capture.</x:v>
      </x:c>
      <x:c r="M10" s="7" t="str">
        <x:v>Les relations entre Sloane et Calix restent nuancées.</x:v>
      </x:c>
      <x:c r="N10" s="7" t="str">
        <x:v>Aucun blocage, récompense multiple, information future ou divergence entre pause ATB et temps normal.</x:v>
      </x:c>
      <x:c r="O10" s="7" t="str">
        <x:v>NEX-MIS-AIR, NEX-CHO-AIR, NEX-OPT-AIR</x:v>
      </x:c>
      <x:c r="P10" s="7" t="str"/>
      <x:c r="Q10" s="7" t="str"/>
      <x:c r="R10" s="7" t="str"/>
      <x:c r="S10" s="7" t="str"/>
    </x:row>
    <x:row r="11" ht="54" customHeight="1">
      <x:c r="A11" s="18" t="str">
        <x:v>NEX-TST-RATION</x:v>
      </x:c>
      <x:c r="B11" s="9" t="str">
        <x:v>Protéger une distribution — scénario d’acceptation</x:v>
      </x:c>
      <x:c r="C11" s="15" t="str">
        <x:v>Défini</x:v>
      </x:c>
      <x:c r="D11" s="16" t="str">
        <x:v>Extrapolation</x:v>
      </x:c>
      <x:c r="E11" s="16" t="str">
        <x:v>P1</x:v>
      </x:c>
      <x:c r="F11" s="9" t="str">
        <x:v>Test de comportement spécifique à la mission proposée.</x:v>
      </x:c>
      <x:c r="G11" s="9" t="str">
        <x:v>Exécuter Protéger une distribution avec la méthode la plus lente puis avec la méthode alternative.</x:v>
      </x:c>
      <x:c r="H11" s="9" t="str">
        <x:v>Contrôler les transitions de la règle suivante : Vérifier la liste et ouvrir une circulation ; entendre une contestation avant de clôturer.</x:v>
      </x:c>
      <x:c r="I11" s="9" t="str">
        <x:v>Capturer le moment où la sortie devient valide et celui où le choix devient indisponible.</x:v>
      </x:c>
      <x:c r="J11" s="9" t="str">
        <x:v>Interrompre une action à son anticipation et une autre après son engagement.</x:v>
      </x:c>
      <x:c r="K11" s="9" t="str">
        <x:v>Rejouer sans son pour vérifier les informations essentielles.</x:v>
      </x:c>
      <x:c r="L11" s="9" t="str">
        <x:v>qa/nex/ration.md : état initial, actions, attendu, résultat, capture.</x:v>
      </x:c>
      <x:c r="M11" s="9" t="str">
        <x:v>Pas de bonus de ressources fondé sur l’espèce.</x:v>
      </x:c>
      <x:c r="N11" s="9" t="str">
        <x:v>Aucun blocage, récompense multiple, information future ou divergence entre pause ATB et temps normal.</x:v>
      </x:c>
      <x:c r="O11" s="9" t="str">
        <x:v>NEX-MIS-RATION, NEX-CHO-RATION, NEX-OPT-RATION</x:v>
      </x:c>
      <x:c r="P11" s="9" t="str"/>
      <x:c r="Q11" s="9" t="str"/>
      <x:c r="R11" s="9" t="str"/>
      <x:c r="S11" s="9" t="str"/>
    </x:row>
    <x:row r="12" ht="54" customHeight="1">
      <x:c r="A12" s="19" t="str">
        <x:v>NEX-TST-DATA</x:v>
      </x:c>
      <x:c r="B12" s="7" t="str">
        <x:v>Comprendre un accès compromis — scénario d’acceptation</x:v>
      </x:c>
      <x:c r="C12" s="15" t="str">
        <x:v>Défini</x:v>
      </x:c>
      <x:c r="D12" s="17" t="str">
        <x:v>Extrapolation</x:v>
      </x:c>
      <x:c r="E12" s="17" t="str">
        <x:v>P1</x:v>
      </x:c>
      <x:c r="F12" s="7" t="str">
        <x:v>Test de comportement spécifique à la mission proposée.</x:v>
      </x:c>
      <x:c r="G12" s="7" t="str">
        <x:v>Exécuter Comprendre un accès compromis avec la méthode la plus lente puis avec la méthode alternative.</x:v>
      </x:c>
      <x:c r="H12" s="7" t="str">
        <x:v>Contrôler les transitions de la règle suivante : Comparer horodatage, habilitation et effet ; laisser les cas incomplets ouverts.</x:v>
      </x:c>
      <x:c r="I12" s="7" t="str">
        <x:v>Capturer le moment où la sortie devient valide et celui où le choix devient indisponible.</x:v>
      </x:c>
      <x:c r="J12" s="7" t="str">
        <x:v>Interrompre une action à son anticipation et une autre après son engagement.</x:v>
      </x:c>
      <x:c r="K12" s="7" t="str">
        <x:v>Rejouer sans son pour vérifier les informations essentielles.</x:v>
      </x:c>
      <x:c r="L12" s="7" t="str">
        <x:v>qa/nex/data.md : état initial, actions, attendu, résultat, capture.</x:v>
      </x:c>
      <x:c r="M12" s="7" t="str">
        <x:v>Aucun coupable secondaire ajouté présenté comme canon.</x:v>
      </x:c>
      <x:c r="N12" s="7" t="str">
        <x:v>Aucun blocage, récompense multiple, information future ou divergence entre pause ATB et temps normal.</x:v>
      </x:c>
      <x:c r="O12" s="7" t="str">
        <x:v>NEX-MIS-DATA, NEX-CHO-DATA, NEX-OPT-DATA</x:v>
      </x:c>
      <x:c r="P12" s="7" t="str"/>
      <x:c r="Q12" s="7" t="str"/>
      <x:c r="R12" s="7" t="str"/>
      <x:c r="S12" s="7" t="str"/>
    </x:row>
    <x:row r="13" ht="54" customHeight="1">
      <x:c r="A13" s="18" t="str">
        <x:v>NEX-TST-CORRIDOR</x:v>
      </x:c>
      <x:c r="B13" s="9" t="str">
        <x:v>Ouvrir un passage de secours — scénario d’acceptation</x:v>
      </x:c>
      <x:c r="C13" s="15" t="str">
        <x:v>Défini</x:v>
      </x:c>
      <x:c r="D13" s="16" t="str">
        <x:v>Extrapolation</x:v>
      </x:c>
      <x:c r="E13" s="16" t="str">
        <x:v>P1</x:v>
      </x:c>
      <x:c r="F13" s="9" t="str">
        <x:v>Test de comportement spécifique à la mission proposée.</x:v>
      </x:c>
      <x:c r="G13" s="9" t="str">
        <x:v>Exécuter Ouvrir un passage de secours avec la méthode la plus lente puis avec la méthode alternative.</x:v>
      </x:c>
      <x:c r="H13" s="9" t="str">
        <x:v>Contrôler les transitions de la règle suivante : Marquer la zone neutre, négocier le passage et retirer un obstacle.</x:v>
      </x:c>
      <x:c r="I13" s="9" t="str">
        <x:v>Capturer le moment où la sortie devient valide et celui où le choix devient indisponible.</x:v>
      </x:c>
      <x:c r="J13" s="9" t="str">
        <x:v>Interrompre une action à son anticipation et une autre après son engagement.</x:v>
      </x:c>
      <x:c r="K13" s="9" t="str">
        <x:v>Rejouer sans son pour vérifier les informations essentielles.</x:v>
      </x:c>
      <x:c r="L13" s="9" t="str">
        <x:v>qa/nex/corridor.md : état initial, actions, attendu, résultat, capture.</x:v>
      </x:c>
      <x:c r="M13" s="9" t="str">
        <x:v>Les décisions locales n’empêchent pas l’exil ultérieur.</x:v>
      </x:c>
      <x:c r="N13" s="9" t="str">
        <x:v>Aucun blocage, récompense multiple, information future ou divergence entre pause ATB et temps normal.</x:v>
      </x:c>
      <x:c r="O13" s="9" t="str">
        <x:v>NEX-MIS-CORRIDOR, NEX-CHO-CORRIDOR, NEX-OPT-CORRIDOR</x:v>
      </x:c>
      <x:c r="P13" s="9" t="str"/>
      <x:c r="Q13" s="9" t="str"/>
      <x:c r="R13" s="9" t="str"/>
      <x:c r="S13" s="9" t="str"/>
    </x:row>
    <x:row r="14" ht="54" customHeight="1">
      <x:c r="A14" s="19" t="str">
        <x:v>NEX-TST-DEPARTURE</x:v>
      </x:c>
      <x:c r="B14" s="7" t="str">
        <x:v>Vérifier les conditions de départ — scénario d’acceptation</x:v>
      </x:c>
      <x:c r="C14" s="15" t="str">
        <x:v>Défini</x:v>
      </x:c>
      <x:c r="D14" s="17" t="str">
        <x:v>Extrapolation</x:v>
      </x:c>
      <x:c r="E14" s="17" t="str">
        <x:v>P1</x:v>
      </x:c>
      <x:c r="F14" s="7" t="str">
        <x:v>Test de comportement spécifique à la mission proposée.</x:v>
      </x:c>
      <x:c r="G14" s="7" t="str">
        <x:v>Exécuter Vérifier les conditions de départ avec la méthode la plus lente puis avec la méthode alternative.</x:v>
      </x:c>
      <x:c r="H14" s="7" t="str">
        <x:v>Contrôler les transitions de la règle suivante : Comparer manifeste, groupe présent et matériel effectivement chargé.</x:v>
      </x:c>
      <x:c r="I14" s="7" t="str">
        <x:v>Capturer le moment où la sortie devient valide et celui où le choix devient indisponible.</x:v>
      </x:c>
      <x:c r="J14" s="7" t="str">
        <x:v>Interrompre une action à son anticipation et une autre après son engagement.</x:v>
      </x:c>
      <x:c r="K14" s="7" t="str">
        <x:v>Rejouer sans son pour vérifier les informations essentielles.</x:v>
      </x:c>
      <x:c r="L14" s="7" t="str">
        <x:v>qa/nex/departure.md : état initial, actions, attendu, résultat, capture.</x:v>
      </x:c>
      <x:c r="M14" s="7" t="str">
        <x:v>L’avenir de Kadara n’est pas joué à l’avance.</x:v>
      </x:c>
      <x:c r="N14" s="7" t="str">
        <x:v>Aucun blocage, récompense multiple, information future ou divergence entre pause ATB et temps normal.</x:v>
      </x:c>
      <x:c r="O14" s="7" t="str">
        <x:v>NEX-MIS-DEPARTURE, NEX-CHO-DEPARTURE, NEX-OPT-DEPARTURE</x:v>
      </x:c>
      <x:c r="P14" s="7" t="str"/>
      <x:c r="Q14" s="7" t="str"/>
      <x:c r="R14" s="7" t="str"/>
      <x:c r="S14" s="7" t="str"/>
    </x:row>
    <x:row r="15" ht="82" customHeight="1">
      <x:c r="A15" s="18" t="str">
        <x:v>NEX-QA-SOURCES</x:v>
      </x:c>
      <x:c r="B15" s="9" t="str">
        <x:v>Provenance et non-substitution</x:v>
      </x:c>
      <x:c r="C15" s="15" t="str">
        <x:v>Défini</x:v>
      </x:c>
      <x:c r="D15" s="16" t="str">
        <x:v>Extrapolation</x:v>
      </x:c>
      <x:c r="E15" s="16" t="str">
        <x:v>P0</x:v>
      </x:c>
      <x:c r="F15" s="9" t="str">
        <x:v>Contrôle éditorial du catalogue de production.</x:v>
      </x:c>
      <x:c r="G15" s="9" t="str">
        <x:v>Comparer les seuls faits de référence avec les pages citées ; conserver toutes les mécaniques ajoutées comme Extrapolation.</x:v>
      </x:c>
      <x:c r="H15" s="9" t="str">
        <x:v>Vérifier qu’aucune fiche ne présente une statistique ATB comme une valeur du roman ou du film.</x:v>
      </x:c>
      <x:c r="I15" s="9" t="str"/>
      <x:c r="J15" s="9" t="str"/>
      <x:c r="K15" s="9" t="str"/>
      <x:c r="L15" s="9" t="str">
        <x:v>Filtrer NEX par nature puis sourceIds ; revue ciblée des éléments sans source.</x:v>
      </x:c>
      <x:c r="M15" s="9" t="str">
        <x:v>Préserver la crise précédant Mass Effect Andromeda : les choix locaux ne suppriment ni la révolte ni l’exil de Sloane et des autres personnes concernées. Ne pas résoudre dans ce module les mystères révélés plus tard par Ryder.</x:v>
      </x:c>
      <x:c r="N15" s="9" t="str">
        <x:v>Sources accessibles ou limites tracées ; aucun long extrait, dialogue reproduit ou résumé continu substitutif.</x:v>
      </x:c>
      <x:c r="O15" s="9" t="str"/>
      <x:c r="P15" s="9" t="str"/>
      <x:c r="Q15" s="9" t="str"/>
      <x:c r="R15" s="9" t="str"/>
      <x:c r="S15" s="9" t="str"/>
    </x:row>
    <x:row r="16" ht="82" customHeight="1">
      <x:c r="A16" s="19" t="str">
        <x:v>NEX-QA-SAVE</x:v>
      </x:c>
      <x:c r="B16" s="7" t="str">
        <x:v>Reprise des états et du groupe</x:v>
      </x:c>
      <x:c r="C16" s="15" t="str">
        <x:v>Défini</x:v>
      </x:c>
      <x:c r="D16" s="17" t="str">
        <x:v>Extrapolation</x:v>
      </x:c>
      <x:c r="E16" s="17" t="str">
        <x:v>P0</x:v>
      </x:c>
      <x:c r="F16" s="7" t="str">
        <x:v>Contrôle de sauvegarde du module proposé.</x:v>
      </x:c>
      <x:c r="G16" s="7" t="str">
        <x:v>Sauver avant une transition, une option et une crise ; charger puis comparer les états de progression et de présence.</x:v>
      </x:c>
      <x:c r="H16" s="7" t="str">
        <x:v>Le coût d’action est appliqué exactement une fois ; les acteurs absents ne réapparaissent pas au chargement.</x:v>
      </x:c>
      <x:c r="I16" s="7" t="str"/>
      <x:c r="J16" s="7" t="str"/>
      <x:c r="K16" s="7" t="str"/>
      <x:c r="L16" s="7" t="str">
        <x:v>qa/nex/save-reload.md avec capture avant/après.</x:v>
      </x:c>
      <x:c r="M16" s="7" t="str">
        <x:v>Préserver la crise précédant Mass Effect Andromeda : les choix locaux ne suppriment ni la révolte ni l’exil de Sloane et des autres personnes concernées. Ne pas résoudre dans ce module les mystères révélés plus tard par Ryder.</x:v>
      </x:c>
      <x:c r="N16" s="7" t="str">
        <x:v>Inventaire, acteurs disponibles, indices et limites de continuité restent identiques.</x:v>
      </x:c>
      <x:c r="O16" s="7" t="str"/>
      <x:c r="P16" s="7" t="str"/>
      <x:c r="Q16" s="7" t="str"/>
      <x:c r="R16" s="7" t="str"/>
      <x:c r="S16" s="7" t="str"/>
    </x:row>
    <x:row r="17" ht="54" customHeight="1">
      <x:c r="A17" s="18" t="str">
        <x:v>NEX-QA-VISUAL</x:v>
      </x:c>
      <x:c r="B17" s="9" t="str">
        <x:v>Lisibilité sprites 2D sur volumes 3D</x:v>
      </x:c>
      <x:c r="C17" s="15" t="str">
        <x:v>Défini</x:v>
      </x:c>
      <x:c r="D17" s="16" t="str">
        <x:v>Extrapolation</x:v>
      </x:c>
      <x:c r="E17" s="16" t="str">
        <x:v>P0</x:v>
      </x:c>
      <x:c r="F17" s="9" t="str">
        <x:v>Contrôle visuel de production du module.</x:v>
      </x:c>
      <x:c r="G17" s="9" t="str">
        <x:v>Photographier chaque carrefour et engagement avec effets actifs, puis répéter à petite résolution et sans couleur.</x:v>
      </x:c>
      <x:c r="H17" s="9" t="str">
        <x:v>La zone cliquable correspond aux pieds des sprites, jamais au sommet d’un décor.</x:v>
      </x:c>
      <x:c r="I17" s="9" t="str"/>
      <x:c r="J17" s="9" t="str"/>
      <x:c r="K17" s="9" t="str"/>
      <x:c r="L17" s="9" t="str">
        <x:v>qa/nex/readability/ : captures scènes et grille de comparaison.</x:v>
      </x:c>
      <x:c r="M17" s="9" t="str">
        <x:v>Validation sur les cartes de ce catalogue uniquement.</x:v>
      </x:c>
      <x:c r="N17" s="9" t="str">
        <x:v>Aucune occlusion totale du personnage actif ; les sorties et télégraphes restent compréhensibles.</x:v>
      </x:c>
      <x:c r="O17" s="9" t="str"/>
      <x:c r="P17" s="9" t="str"/>
      <x:c r="Q17" s="9" t="str"/>
      <x:c r="R17" s="9" t="str"/>
      <x:c r="S17" s="9" t="str"/>
    </x:row>
    <x:row r="18" ht="54" customHeight="1">
      <x:c r="A18" s="19" t="str">
        <x:v>NEX-QA-ACCESS</x:v>
      </x:c>
      <x:c r="B18" s="7" t="str">
        <x:v>Commandes, texte et effets accessibles</x:v>
      </x:c>
      <x:c r="C18" s="15" t="str">
        <x:v>Défini</x:v>
      </x:c>
      <x:c r="D18" s="17" t="str">
        <x:v>Extrapolation</x:v>
      </x:c>
      <x:c r="E18" s="17" t="str">
        <x:v>P1</x:v>
      </x:c>
      <x:c r="F18" s="7" t="str">
        <x:v>Contrôle fonctionnel des options proposées.</x:v>
      </x:c>
      <x:c r="G18" s="7" t="str">
        <x:v>Parcourir le module au clavier, avec sous-titres et effets réduits ; désactiver l’audio et tester les avertissements.</x:v>
      </x:c>
      <x:c r="H18" s="7" t="str">
        <x:v>La pause ATB permet de lire un choix ou un indice sans pénalité de temps.</x:v>
      </x:c>
      <x:c r="I18" s="7" t="str"/>
      <x:c r="J18" s="7" t="str"/>
      <x:c r="K18" s="7" t="str"/>
      <x:c r="L18" s="7" t="str">
        <x:v>qa/nex/accessibility.md ; cas de navigation, focus, contraste et interruption.</x:v>
      </x:c>
      <x:c r="M18" s="7" t="str">
        <x:v>Conserver les règles de présence narrative pendant tous les essais.</x:v>
      </x:c>
      <x:c r="N18" s="7" t="str">
        <x:v>Toute action essentielle est réalisable ; aucune information indispensable ne dépend du son ou de la seule couleur.</x:v>
      </x:c>
      <x:c r="O18" s="7" t="str"/>
      <x:c r="P18" s="7" t="str"/>
      <x:c r="Q18" s="7" t="str"/>
      <x:c r="R18" s="7" t="str"/>
      <x:c r="S18" s="7" t="str"/>
    </x:row>
  </x:sheetData>
  <x:conditionalFormatting sqref="D7:D18">
    <x:cfRule type="cellIs" dxfId="88" priority="1" operator="equal">
      <x:formula>"À vérifier"</x:formula>
    </x:cfRule>
    <x:cfRule type="cellIs" dxfId="89" priority="2" operator="equal">
      <x:formula>"Extrapolation"</x:formula>
    </x:cfRule>
  </x:conditionalFormatting>
  <x:conditionalFormatting sqref="C7:C18">
    <x:cfRule type="cellIs" dxfId="90" priority="3" operator="equal">
      <x:formula>"Validé"</x:formula>
    </x:cfRule>
  </x:conditionalFormatting>
  <x:conditionalFormatting sqref="E7:E18">
    <x:cfRule type="cellIs" dxfId="91"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a99fefa3bd334fd4"/>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88"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Andromeda: Nexus Uprising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NEX-CON-01</x:v>
      </x:c>
      <x:c r="B7" s="9" t="str">
        <x:v>Avant les arches</x:v>
      </x:c>
      <x:c r="C7" s="15" t="str">
        <x:v>Défini</x:v>
      </x:c>
      <x:c r="D7" s="16" t="str">
        <x:v>Établi</x:v>
      </x:c>
      <x:c r="E7" s="16" t="str">
        <x:v>P0</x:v>
      </x:c>
      <x:c r="F7" s="9" t="str">
        <x:v>Le roman traite la crise du Nexus avant l’arrivée des autres arches.</x:v>
      </x:c>
      <x:c r="G7" s="9" t="str">
        <x:v>Contrainte éditoriale : verrouiller les dépendances avant intégration du module.</x:v>
      </x:c>
      <x:c r="H7" s="9" t="str"/>
      <x:c r="I7" s="9" t="str"/>
      <x:c r="J7" s="9" t="str"/>
      <x:c r="K7" s="9" t="str"/>
      <x:c r="L7" s="9" t="str">
        <x:v>continuity/nex.json ; règle documentée et décision de validation datée.</x:v>
      </x:c>
      <x:c r="M7" s="9" t="str">
        <x:v>Préserver la crise précédant Mass Effect Andromeda : les choix locaux ne suppriment ni la révolte ni l’exil de Sloane et des autres personnes concernées. Ne pas résoudre dans ce module les mystères révélés plus tard par Ryder.</x:v>
      </x:c>
      <x:c r="N7" s="9" t="str">
        <x:v>La règle est contrôlée dans les textes, cartes, choix et sauvegardes ; incertitude résolue ou affichée.</x:v>
      </x:c>
      <x:c r="O7" s="9" t="str"/>
      <x:c r="P7" s="9" t="str">
        <x:v>Limite de continuité / contrôle transversal</x:v>
      </x:c>
      <x:c r="Q7" s="9" t="str">
        <x:v>NEX-SRC-WIKI</x:v>
      </x:c>
      <x:c r="R7" s="9" t="str">
        <x:v>https://masseffect.fandom.com/wiki/Mass_Effect_Andromeda:_Nexus_Uprising</x:v>
      </x:c>
      <x:c r="S7" s="9" t="str">
        <x:v>Aucun numéro de chapitre ou de page n’est attribué sans exemplaire vérifié.</x:v>
      </x:c>
    </x:row>
    <x:row r="8" ht="82" customHeight="1">
      <x:c r="A8" s="19" t="str">
        <x:v>NEX-CON-02</x:v>
      </x:c>
      <x:c r="B8" s="7" t="str">
        <x:v>Cause des morts</x:v>
      </x:c>
      <x:c r="C8" s="15" t="str">
        <x:v>Défini</x:v>
      </x:c>
      <x:c r="D8" s="17" t="str">
        <x:v>À vérifier</x:v>
      </x:c>
      <x:c r="E8" s="17" t="str">
        <x:v>P0</x:v>
      </x:c>
      <x:c r="F8" s="7" t="str">
        <x:v>Ne pas attribuer sans contrôle toutes les morts du commandement au seul impact ; le jeu contient des informations ultérieures.</x:v>
      </x:c>
      <x:c r="G8" s="7" t="str">
        <x:v>Contrainte éditoriale : verrouiller les dépendances avant intégration du module.</x:v>
      </x:c>
      <x:c r="H8" s="7" t="str"/>
      <x:c r="I8" s="7" t="str"/>
      <x:c r="J8" s="7" t="str"/>
      <x:c r="K8" s="7" t="str"/>
      <x:c r="L8" s="7" t="str">
        <x:v>continuity/nex.json ; règle documentée et décision de validation datée.</x:v>
      </x:c>
      <x:c r="M8" s="7" t="str">
        <x:v>Préserver la crise précédant Mass Effect Andromeda : les choix locaux ne suppriment ni la révolte ni l’exil de Sloane et des autres personnes concernées. Ne pas résoudre dans ce module les mystères révélés plus tard par Ryder.</x:v>
      </x:c>
      <x:c r="N8" s="7" t="str">
        <x:v>La règle est contrôlée dans les textes, cartes, choix et sauvegardes ; incertitude résolue ou affichée.</x:v>
      </x:c>
      <x:c r="O8" s="7" t="str"/>
      <x:c r="P8" s="7" t="str">
        <x:v>Limite de continuité / contrôle transversal</x:v>
      </x:c>
      <x:c r="Q8" s="7" t="str"/>
      <x:c r="R8" s="7" t="str"/>
      <x:c r="S8" s="7" t="str">
        <x:v>Aucun numéro de chapitre ou de page n’est attribué sans exemplaire vérifié.</x:v>
      </x:c>
    </x:row>
    <x:row r="9" ht="82" customHeight="1">
      <x:c r="A9" s="18" t="str">
        <x:v>NEX-CON-03</x:v>
      </x:c>
      <x:c r="B9" s="9" t="str">
        <x:v>Point de vue du codex</x:v>
      </x:c>
      <x:c r="C9" s="15" t="str">
        <x:v>Défini</x:v>
      </x:c>
      <x:c r="D9" s="16" t="str">
        <x:v>Établi</x:v>
      </x:c>
      <x:c r="E9" s="16" t="str">
        <x:v>P0</x:v>
      </x:c>
      <x:c r="F9" s="9" t="str">
        <x:v>La version administrative du codex comporte des lacunes reconnues ; ne pas l’imposer à chaque voix du roman.</x:v>
      </x:c>
      <x:c r="G9" s="9" t="str">
        <x:v>Contrainte éditoriale : verrouiller les dépendances avant intégration du module.</x:v>
      </x:c>
      <x:c r="H9" s="9" t="str"/>
      <x:c r="I9" s="9" t="str"/>
      <x:c r="J9" s="9" t="str"/>
      <x:c r="K9" s="9" t="str"/>
      <x:c r="L9" s="9" t="str">
        <x:v>continuity/nex.json ; règle documentée et décision de validation datée.</x:v>
      </x:c>
      <x:c r="M9" s="9" t="str">
        <x:v>Préserver la crise précédant Mass Effect Andromeda : les choix locaux ne suppriment ni la révolte ni l’exil de Sloane et des autres personnes concernées. Ne pas résoudre dans ce module les mystères révélés plus tard par Ryder.</x:v>
      </x:c>
      <x:c r="N9" s="9" t="str">
        <x:v>La règle est contrôlée dans les textes, cartes, choix et sauvegardes ; incertitude résolue ou affichée.</x:v>
      </x:c>
      <x:c r="O9" s="9" t="str"/>
      <x:c r="P9" s="9" t="str">
        <x:v>Limite de continuité / contrôle transversal</x:v>
      </x:c>
      <x:c r="Q9" s="9" t="str">
        <x:v>NEX-SRC-CODEX</x:v>
      </x:c>
      <x:c r="R9" s="9" t="str">
        <x:v>https://masseffect.fandom.com/wiki/Codex_%28Mass_Effect%3A_Andromeda%29/The_Andromeda_Initiative</x:v>
      </x:c>
      <x:c r="S9" s="9" t="str">
        <x:v>Aucun numéro de chapitre ou de page n’est attribué sans exemplaire vérifié.</x:v>
      </x:c>
    </x:row>
    <x:row r="10" ht="82" customHeight="1">
      <x:c r="A10" s="19" t="str">
        <x:v>NEX-CON-04</x:v>
      </x:c>
      <x:c r="B10" s="7" t="str">
        <x:v>Sloane</x:v>
      </x:c>
      <x:c r="C10" s="15" t="str">
        <x:v>Défini</x:v>
      </x:c>
      <x:c r="D10" s="17" t="str">
        <x:v>Établi</x:v>
      </x:c>
      <x:c r="E10" s="17" t="str">
        <x:v>P0</x:v>
      </x:c>
      <x:c r="F10" s="7" t="str">
        <x:v>Sa relation à la révolte évolue ; ne pas la présenter comme chef omniscient dès le réveil.</x:v>
      </x:c>
      <x:c r="G10" s="7" t="str">
        <x:v>Contrainte éditoriale : verrouiller les dépendances avant intégration du module.</x:v>
      </x:c>
      <x:c r="H10" s="7" t="str"/>
      <x:c r="I10" s="7" t="str"/>
      <x:c r="J10" s="7" t="str"/>
      <x:c r="K10" s="7" t="str"/>
      <x:c r="L10" s="7" t="str">
        <x:v>continuity/nex.json ; règle documentée et décision de validation datée.</x:v>
      </x:c>
      <x:c r="M10" s="7" t="str">
        <x:v>Préserver la crise précédant Mass Effect Andromeda : les choix locaux ne suppriment ni la révolte ni l’exil de Sloane et des autres personnes concernées. Ne pas résoudre dans ce module les mystères révélés plus tard par Ryder.</x:v>
      </x:c>
      <x:c r="N10" s="7" t="str">
        <x:v>La règle est contrôlée dans les textes, cartes, choix et sauvegardes ; incertitude résolue ou affichée.</x:v>
      </x:c>
      <x:c r="O10" s="7" t="str"/>
      <x:c r="P10" s="7" t="str">
        <x:v>Limite de continuité / contrôle transversal</x:v>
      </x:c>
      <x:c r="Q10" s="7" t="str">
        <x:v>NEX-SRC-SLOANE</x:v>
      </x:c>
      <x:c r="R10" s="7" t="str">
        <x:v>https://masseffect.fandom.com/wiki/Sloane_Kelly</x:v>
      </x:c>
      <x:c r="S10" s="7" t="str">
        <x:v>Aucun numéro de chapitre ou de page n’est attribué sans exemplaire vérifié.</x:v>
      </x:c>
    </x:row>
    <x:row r="11" ht="82" customHeight="1">
      <x:c r="A11" s="18" t="str">
        <x:v>NEX-CON-05</x:v>
      </x:c>
      <x:c r="B11" s="9" t="str">
        <x:v>Promesse krogan</x:v>
      </x:c>
      <x:c r="C11" s="15" t="str">
        <x:v>Défini</x:v>
      </x:c>
      <x:c r="D11" s="16" t="str">
        <x:v>Établi</x:v>
      </x:c>
      <x:c r="E11" s="16" t="str">
        <x:v>P0</x:v>
      </x:c>
      <x:c r="F11" s="9" t="str">
        <x:v>La négociation avec Morda porte sur une représentation politique ; contrôler la formulation avant adaptation.</x:v>
      </x:c>
      <x:c r="G11" s="9" t="str">
        <x:v>Contrainte éditoriale : verrouiller les dépendances avant intégration du module.</x:v>
      </x:c>
      <x:c r="H11" s="9" t="str"/>
      <x:c r="I11" s="9" t="str"/>
      <x:c r="J11" s="9" t="str"/>
      <x:c r="K11" s="9" t="str"/>
      <x:c r="L11" s="9" t="str">
        <x:v>continuity/nex.json ; règle documentée et décision de validation datée.</x:v>
      </x:c>
      <x:c r="M11" s="9" t="str">
        <x:v>Préserver la crise précédant Mass Effect Andromeda : les choix locaux ne suppriment ni la révolte ni l’exil de Sloane et des autres personnes concernées. Ne pas résoudre dans ce module les mystères révélés plus tard par Ryder.</x:v>
      </x:c>
      <x:c r="N11" s="9" t="str">
        <x:v>La règle est contrôlée dans les textes, cartes, choix et sauvegardes ; incertitude résolue ou affichée.</x:v>
      </x:c>
      <x:c r="O11" s="9" t="str"/>
      <x:c r="P11" s="9" t="str">
        <x:v>Limite de continuité / contrôle transversal</x:v>
      </x:c>
      <x:c r="Q11" s="9" t="str">
        <x:v>NEX-SRC-MORDA</x:v>
      </x:c>
      <x:c r="R11" s="9" t="str">
        <x:v>https://masseffect.fandom.com/wiki/Nakmor_Morda</x:v>
      </x:c>
      <x:c r="S11" s="9" t="str">
        <x:v>Aucun numéro de chapitre ou de page n’est attribué sans exemplaire vérifié.</x:v>
      </x:c>
    </x:row>
    <x:row r="12" ht="82" customHeight="1">
      <x:c r="A12" s="19" t="str">
        <x:v>NEX-CON-06</x:v>
      </x:c>
      <x:c r="B12" s="7" t="str">
        <x:v>Kesh</x:v>
      </x:c>
      <x:c r="C12" s="15" t="str">
        <x:v>Défini</x:v>
      </x:c>
      <x:c r="D12" s="17" t="str">
        <x:v>Établi</x:v>
      </x:c>
      <x:c r="E12" s="17" t="str">
        <x:v>P0</x:v>
      </x:c>
      <x:c r="F12" s="7" t="str">
        <x:v>Distinguer son rôle de maintenance et son appartenance au clan, sans faire d’elle la porte-parole de tous les Krogans.</x:v>
      </x:c>
      <x:c r="G12" s="7" t="str">
        <x:v>Contrainte éditoriale : verrouiller les dépendances avant intégration du module.</x:v>
      </x:c>
      <x:c r="H12" s="7" t="str"/>
      <x:c r="I12" s="7" t="str"/>
      <x:c r="J12" s="7" t="str"/>
      <x:c r="K12" s="7" t="str"/>
      <x:c r="L12" s="7" t="str">
        <x:v>continuity/nex.json ; règle documentée et décision de validation datée.</x:v>
      </x:c>
      <x:c r="M12" s="7" t="str">
        <x:v>Préserver la crise précédant Mass Effect Andromeda : les choix locaux ne suppriment ni la révolte ni l’exil de Sloane et des autres personnes concernées. Ne pas résoudre dans ce module les mystères révélés plus tard par Ryder.</x:v>
      </x:c>
      <x:c r="N12" s="7" t="str">
        <x:v>La règle est contrôlée dans les textes, cartes, choix et sauvegardes ; incertitude résolue ou affichée.</x:v>
      </x:c>
      <x:c r="O12" s="7" t="str"/>
      <x:c r="P12" s="7" t="str">
        <x:v>Limite de continuité / contrôle transversal</x:v>
      </x:c>
      <x:c r="Q12" s="7" t="str">
        <x:v>NEX-SRC-KESH</x:v>
      </x:c>
      <x:c r="R12" s="7" t="str">
        <x:v>https://masseffect.fandom.com/wiki/Nakmor_Kesh</x:v>
      </x:c>
      <x:c r="S12" s="7" t="str">
        <x:v>Aucun numéro de chapitre ou de page n’est attribué sans exemplaire vérifié.</x:v>
      </x:c>
    </x:row>
    <x:row r="13" ht="82" customHeight="1">
      <x:c r="A13" s="18" t="str">
        <x:v>NEX-CON-07</x:v>
      </x:c>
      <x:c r="B13" s="9" t="str">
        <x:v>Absence de Ryder</x:v>
      </x:c>
      <x:c r="C13" s="15" t="str">
        <x:v>Défini</x:v>
      </x:c>
      <x:c r="D13" s="16" t="str">
        <x:v>Extrapolation</x:v>
      </x:c>
      <x:c r="E13" s="16" t="str">
        <x:v>P0</x:v>
      </x:c>
      <x:c r="F13" s="9" t="str">
        <x:v>Ne pas faire intervenir le Pathfinder de MEA pour résoudre ces événements antérieurs.</x:v>
      </x:c>
      <x:c r="G13" s="9" t="str">
        <x:v>Contrainte éditoriale : verrouiller les dépendances avant intégration du module.</x:v>
      </x:c>
      <x:c r="H13" s="9" t="str"/>
      <x:c r="I13" s="9" t="str"/>
      <x:c r="J13" s="9" t="str"/>
      <x:c r="K13" s="9" t="str"/>
      <x:c r="L13" s="9" t="str">
        <x:v>continuity/nex.json ; règle documentée et décision de validation datée.</x:v>
      </x:c>
      <x:c r="M13" s="9" t="str">
        <x:v>Préserver la crise précédant Mass Effect Andromeda : les choix locaux ne suppriment ni la révolte ni l’exil de Sloane et des autres personnes concernées. Ne pas résoudre dans ce module les mystères révélés plus tard par Ryder.</x:v>
      </x:c>
      <x:c r="N13" s="9" t="str">
        <x:v>La règle est contrôlée dans les textes, cartes, choix et sauvegardes ; incertitude résolue ou affichée.</x:v>
      </x:c>
      <x:c r="O13" s="9" t="str"/>
      <x:c r="P13" s="9" t="str">
        <x:v>Limite de continuité / contrôle transversal</x:v>
      </x:c>
      <x:c r="Q13" s="9" t="str"/>
      <x:c r="R13" s="9" t="str"/>
      <x:c r="S13" s="9" t="str">
        <x:v>Aucun numéro de chapitre ou de page n’est attribué sans exemplaire vérifié.</x:v>
      </x:c>
    </x:row>
    <x:row r="14" ht="82" customHeight="1">
      <x:c r="A14" s="19" t="str">
        <x:v>NEX-CON-08</x:v>
      </x:c>
      <x:c r="B14" s="7" t="str">
        <x:v>Exil maintenu</x:v>
      </x:c>
      <x:c r="C14" s="15" t="str">
        <x:v>Défini</x:v>
      </x:c>
      <x:c r="D14" s="17" t="str">
        <x:v>Extrapolation</x:v>
      </x:c>
      <x:c r="E14" s="17" t="str">
        <x:v>P0</x:v>
      </x:c>
      <x:c r="F14" s="7" t="str">
        <x:v>Les variantes locales se rejoignent avant les départs nécessaires à l’état du Nexus dans le jeu.</x:v>
      </x:c>
      <x:c r="G14" s="7" t="str">
        <x:v>Contrainte éditoriale : verrouiller les dépendances avant intégration du module.</x:v>
      </x:c>
      <x:c r="H14" s="7" t="str"/>
      <x:c r="I14" s="7" t="str"/>
      <x:c r="J14" s="7" t="str"/>
      <x:c r="K14" s="7" t="str"/>
      <x:c r="L14" s="7" t="str">
        <x:v>continuity/nex.json ; règle documentée et décision de validation datée.</x:v>
      </x:c>
      <x:c r="M14" s="7" t="str">
        <x:v>Préserver la crise précédant Mass Effect Andromeda : les choix locaux ne suppriment ni la révolte ni l’exil de Sloane et des autres personnes concernées. Ne pas résoudre dans ce module les mystères révélés plus tard par Ryder.</x:v>
      </x:c>
      <x:c r="N14" s="7" t="str">
        <x:v>La règle est contrôlée dans les textes, cartes, choix et sauvegardes ; incertitude résolue ou affichée.</x:v>
      </x:c>
      <x:c r="O14" s="7" t="str"/>
      <x:c r="P14" s="7" t="str">
        <x:v>Limite de continuité / contrôle transversal</x:v>
      </x:c>
      <x:c r="Q14" s="7" t="str"/>
      <x:c r="R14" s="7" t="str"/>
      <x:c r="S14" s="7" t="str">
        <x:v>Aucun numéro de chapitre ou de page n’est attribué sans exemplaire vérifié.</x:v>
      </x:c>
    </x:row>
  </x:sheetData>
  <x:conditionalFormatting sqref="D7:D14">
    <x:cfRule type="cellIs" dxfId="92" priority="1" operator="equal">
      <x:formula>"À vérifier"</x:formula>
    </x:cfRule>
    <x:cfRule type="cellIs" dxfId="93" priority="2" operator="equal">
      <x:formula>"Extrapolation"</x:formula>
    </x:cfRule>
  </x:conditionalFormatting>
  <x:conditionalFormatting sqref="C7:C14">
    <x:cfRule type="cellIs" dxfId="94" priority="3" operator="equal">
      <x:formula>"Validé"</x:formula>
    </x:cfRule>
  </x:conditionalFormatting>
  <x:conditionalFormatting sqref="E7:E14">
    <x:cfRule type="cellIs" dxfId="9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d76011885de14d47"/>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Andromeda: Nexus Uprising</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Andromeda: Nexus Uprising</x:v>
      </x:c>
      <x:c r="C7" s="2"/>
      <x:c r="D7" s="2"/>
      <x:c r="E7" s="2"/>
      <x:c r="F7" s="2"/>
    </x:row>
    <x:row r="8" ht="30" customHeight="1">
      <x:c r="A8" s="7" t="str">
        <x:v>Support</x:v>
      </x:c>
      <x:c r="B8" s="7" t="str">
        <x:v>Roman</x:v>
      </x:c>
      <x:c r="C8" s="2"/>
      <x:c r="D8" s="2"/>
      <x:c r="E8" s="2"/>
      <x:c r="F8" s="2"/>
    </x:row>
    <x:row r="9" ht="40" customHeight="1">
      <x:c r="A9" s="7" t="str">
        <x:v>Périmètre</x:v>
      </x:c>
      <x:c r="B9" s="7" t="str">
        <x:v>Roman de Jason M. Hough et K. C. Alexander ; crise du Nexus avant l’arrivée des autres arches.</x:v>
      </x:c>
      <x:c r="C9" s="2"/>
      <x:c r="D9" s="2"/>
      <x:c r="E9" s="2"/>
      <x:c r="F9" s="2"/>
    </x:row>
    <x:row r="10" ht="54" customHeight="1">
      <x:c r="A10" s="7" t="str">
        <x:v>Projet</x:v>
      </x:c>
      <x:c r="B10" s="7" t="str">
        <x:v>159 fiches de production ; 5 fiches au stade Prototype de portée partielle. Les autres livrables restent des spécifications ; aucun achèvement intégral 1:1 revendiqué.</x:v>
      </x:c>
      <x:c r="C10" s="2"/>
      <x:c r="D10" s="2"/>
      <x:c r="E10" s="2"/>
      <x:c r="F10" s="2"/>
    </x:row>
    <x:row r="11" ht="110" customHeight="1">
      <x:c r="A11" s="7" t="str">
        <x:v>Références et limites</x:v>
      </x:c>
      <x:c r="B11" s="7" t="str">
        <x:v>Préserver la crise précédant Mass Effect Andromeda : les choix locaux ne suppriment ni la révolte ni l’exil de Sloane et des autres personnes concernées. Ne pas résoudre dans ce module les mystères révélés plus tard par Ryder. Les données de gameplay, plans, choix, statistiques, sprites et sons sont des créations d’adaptation ; tous les ajouts jouables sont marqués Extrapolation. Sources consultées le 22 octobre 2026.</x:v>
      </x:c>
      <x:c r="C11" s="2"/>
      <x:c r="D11" s="2"/>
      <x:c r="E11" s="2"/>
      <x:c r="F11" s="2"/>
    </x:row>
    <x:row r="12" ht="30" customHeight="1">
      <x:c r="A12" s="7" t="str">
        <x:v>Date de référence</x:v>
      </x:c>
      <x:c r="B12" s="43"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NEX-SRC-PUB</x:v>
      </x:c>
      <x:c r="B27" s="6" t="str">
        <x:v>Titan Books — Nexus Uprising</x:v>
      </x:c>
      <x:c r="C27" s="6" t="str">
        <x:v>source officielle</x:v>
      </x:c>
      <x:c r="D27" s="6" t="str">
        <x:v>https://titanbooks.com/8747-mass-effect-nexus-uprising/</x:v>
      </x:c>
      <x:c r="E27" s="6" t="str">
        <x:v>Auteurs, publication et lien officiel</x:v>
      </x:c>
      <x:c r="F27" s="6" t="str">
        <x:v>Consulté le 22 octobre 2026. Faits courts uniquement ; la publication originale reste nécessaire pour contrôler les détails.</x:v>
      </x:c>
    </x:row>
    <x:row r="28" ht="54" customHeight="1">
      <x:c r="A28" s="6" t="str">
        <x:v>NEX-SRC-AUTHOR</x:v>
      </x:c>
      <x:c r="B28" s="6" t="str">
        <x:v>Jason M. Hough — Nexus Uprising</x:v>
      </x:c>
      <x:c r="C28" s="6" t="str">
        <x:v>source officielle</x:v>
      </x:c>
      <x:c r="D28" s="6" t="str">
        <x:v>https://www.jasonhough.com/book/mass-effect</x:v>
      </x:c>
      <x:c r="E28" s="6" t="str">
        <x:v>Présentation de la crise initiale et de Sloane</x:v>
      </x:c>
      <x:c r="F28" s="6" t="str">
        <x:v>Consulté le 22 octobre 2026. Faits courts uniquement ; la publication originale reste nécessaire pour contrôler les détails.</x:v>
      </x:c>
    </x:row>
    <x:row r="29" ht="54" customHeight="1">
      <x:c r="A29" s="6" t="str">
        <x:v>NEX-SRC-WIKI</x:v>
      </x:c>
      <x:c r="B29" s="6" t="str">
        <x:v>Mass Effect Wiki — Nexus Uprising</x:v>
      </x:c>
      <x:c r="C29" s="6" t="str">
        <x:v>wiki</x:v>
      </x:c>
      <x:c r="D29" s="6" t="str">
        <x:v>https://masseffect.fandom.com/wiki/Mass_Effect_Andromeda:_Nexus_Uprising</x:v>
      </x:c>
      <x:c r="E29" s="6" t="str">
        <x:v>Cadre du Nexus avant les arches</x:v>
      </x:c>
      <x:c r="F29" s="6" t="str">
        <x:v>Consulté le 22 octobre 2026. Faits courts uniquement ; la publication originale reste nécessaire pour contrôler les détails.</x:v>
      </x:c>
    </x:row>
    <x:row r="30" ht="54" customHeight="1">
      <x:c r="A30" s="6" t="str">
        <x:v>NEX-SRC-SLOANE</x:v>
      </x:c>
      <x:c r="B30" s="6" t="str">
        <x:v>Mass Effect Wiki — Sloane Kelly</x:v>
      </x:c>
      <x:c r="C30" s="6" t="str">
        <x:v>wiki</x:v>
      </x:c>
      <x:c r="D30" s="6" t="str">
        <x:v>https://masseffect.fandom.com/wiki/Sloane_Kelly</x:v>
      </x:c>
      <x:c r="E30" s="6" t="str">
        <x:v>Rupture avec la direction et position dans la révolte</x:v>
      </x:c>
      <x:c r="F30" s="6" t="str">
        <x:v>Consulté le 22 octobre 2026. Faits courts uniquement ; la publication originale reste nécessaire pour contrôler les détails.</x:v>
      </x:c>
    </x:row>
    <x:row r="31" ht="54" customHeight="1">
      <x:c r="A31" s="6" t="str">
        <x:v>NEX-SRC-CALIX</x:v>
      </x:c>
      <x:c r="B31" s="6" t="str">
        <x:v>Mass Effect Wiki — Calix Corvannis</x:v>
      </x:c>
      <x:c r="C31" s="6" t="str">
        <x:v>wiki</x:v>
      </x:c>
      <x:c r="D31" s="6" t="str">
        <x:v>https://masseffect.fandom.com/wiki/Calix_Corvannis</x:v>
      </x:c>
      <x:c r="E31" s="6" t="str">
        <x:v>Technicien et atelier de fabrication</x:v>
      </x:c>
      <x:c r="F31" s="6" t="str">
        <x:v>Consulté le 22 octobre 2026. Faits courts uniquement ; la publication originale reste nécessaire pour contrôler les détails.</x:v>
      </x:c>
    </x:row>
    <x:row r="32" ht="54" customHeight="1">
      <x:c r="A32" s="6" t="str">
        <x:v>NEX-SRC-IRIDA</x:v>
      </x:c>
      <x:c r="B32" s="6" t="str">
        <x:v>Mass Effect Wiki — Irida Fadeer</x:v>
      </x:c>
      <x:c r="C32" s="6" t="str">
        <x:v>wiki</x:v>
      </x:c>
      <x:c r="D32" s="6" t="str">
        <x:v>https://masseffect.fandom.com/wiki/Irida_Fadeer</x:v>
      </x:c>
      <x:c r="E32" s="6" t="str">
        <x:v>Vol de données, serveurs et mutinerie</x:v>
      </x:c>
      <x:c r="F32" s="6" t="str">
        <x:v>Consulté le 22 octobre 2026. Faits courts uniquement ; la publication originale reste nécessaire pour contrôler les détails.</x:v>
      </x:c>
    </x:row>
    <x:row r="33" ht="54" customHeight="1">
      <x:c r="A33" s="6" t="str">
        <x:v>NEX-SRC-CODEX</x:v>
      </x:c>
      <x:c r="B33" s="6" t="str">
        <x:v>Mass Effect Wiki — Codex Initiative</x:v>
      </x:c>
      <x:c r="C33" s="6" t="str">
        <x:v>wiki</x:v>
      </x:c>
      <x:c r="D33" s="6" t="str">
        <x:v>https://masseffect.fandom.com/wiki/Codex_%28Mass_Effect%3A_Andromeda%29/The_Andromeda_Initiative</x:v>
      </x:c>
      <x:c r="E33" s="6" t="str">
        <x:v>Version administrative des événements ; précaution de point de vue</x:v>
      </x:c>
      <x:c r="F33" s="6" t="str">
        <x:v>Consulté le 22 octobre 2026. Faits courts uniquement ; la publication originale reste nécessaire pour contrôler les détails.</x:v>
      </x:c>
    </x:row>
    <x:row r="34" ht="54" customHeight="1">
      <x:c r="A34" s="6" t="str">
        <x:v>NEX-SRC-MORDA</x:v>
      </x:c>
      <x:c r="B34" s="6" t="str">
        <x:v>Mass Effect Wiki — Nakmor Morda</x:v>
      </x:c>
      <x:c r="C34" s="6" t="str">
        <x:v>wiki</x:v>
      </x:c>
      <x:c r="D34" s="6" t="str">
        <x:v>https://masseffect.fandom.com/wiki/Nakmor_Morda</x:v>
      </x:c>
      <x:c r="E34" s="6" t="str">
        <x:v>Réveil, clan et négociation avec Spender</x:v>
      </x:c>
      <x:c r="F34" s="6" t="str">
        <x:v>Consulté le 22 octobre 2026. Faits courts uniquement ; la publication originale reste nécessaire pour contrôler les détails.</x:v>
      </x:c>
    </x:row>
    <x:row r="35" ht="54" customHeight="1">
      <x:c r="A35" s="6" t="str">
        <x:v>NEX-SRC-KESH</x:v>
      </x:c>
      <x:c r="B35" s="6" t="str">
        <x:v>Mass Effect Wiki — Nakmor Kesh</x:v>
      </x:c>
      <x:c r="C35" s="6" t="str">
        <x:v>wiki</x:v>
      </x:c>
      <x:c r="D35" s="6" t="str">
        <x:v>https://masseffect.fandom.com/wiki/Nakmor_Kesh</x:v>
      </x:c>
      <x:c r="E35" s="6" t="str">
        <x:v>Surintendante et rôle auprès du clan</x:v>
      </x:c>
      <x:c r="F35" s="6" t="str">
        <x:v>Consulté le 22 octobre 2026. Faits courts uniquement ; la publication originale reste nécessaire pour contrôler les détails.</x:v>
      </x:c>
    </x:row>
    <x:row r="36" ht="54" customHeight="1">
      <x:c r="A36" s="6" t="str">
        <x:v>NEX-SRC-TANN</x:v>
      </x:c>
      <x:c r="B36" s="6" t="str">
        <x:v>Mass Effect Wiki — Jarun Tann</x:v>
      </x:c>
      <x:c r="C36" s="6" t="str">
        <x:v>wiki</x:v>
      </x:c>
      <x:c r="D36" s="6" t="str">
        <x:v>https://masseffect.fandom.com/wiki/Jarun_Tann</x:v>
      </x:c>
      <x:c r="E36" s="6" t="str">
        <x:v>Succession à la direction</x:v>
      </x:c>
      <x:c r="F36" s="6" t="str">
        <x:v>Consulté le 22 octobre 2026. Faits courts uniquement ; la publication originale reste nécessaire pour contrôler les détails.</x:v>
      </x:c>
    </x:row>
    <x:row r="37" ht="54" customHeight="1">
      <x:c r="A37" s="6" t="str">
        <x:v>NEX-SRC-EXILES</x:v>
      </x:c>
      <x:c r="B37" s="6" t="str">
        <x:v>Mass Effect Wiki — Exiles</x:v>
      </x:c>
      <x:c r="C37" s="6" t="str">
        <x:v>wiki</x:v>
      </x:c>
      <x:c r="D37" s="6" t="str">
        <x:v>https://masseffect.fandom.com/wiki/Exiles</x:v>
      </x:c>
      <x:c r="E37" s="6" t="str">
        <x:v>Pénuries, Addison, réparations et issue collective</x:v>
      </x:c>
      <x:c r="F37" s="6" t="str">
        <x:v>Consulté le 22 octobre 2026. Faits courts uniquement ; la publication originale reste nécessaire pour contrôler les détails.</x:v>
      </x:c>
    </x:row>
    <x:row r="38" ht="54" customHeight="1">
      <x:c r="A38" s="6" t="str">
        <x:v>NEX-SRC-KANDROS</x:v>
      </x:c>
      <x:c r="B38" s="6" t="str">
        <x:v>Mass Effect Wiki — Tiran Kandros</x:v>
      </x:c>
      <x:c r="C38" s="6" t="str">
        <x:v>wiki</x:v>
      </x:c>
      <x:c r="D38" s="6" t="str">
        <x:v>https://masseffect.fandom.com/wiki/Tiran_Kandros</x:v>
      </x:c>
      <x:c r="E38" s="6" t="str">
        <x:v>Adhésion à l’Initiative et rôle dans Nexus Uprising</x:v>
      </x:c>
      <x:c r="F38" s="6" t="str">
        <x:v>Consulté le 22 octobre 2026. Faits courts uniquement ; la publication originale reste nécessaire pour contrôler les détails.</x:v>
      </x:c>
    </x:row>
    <x:row r="39" ht="54" customHeight="1">
      <x:c r="A39" s="6" t="str">
        <x:v>NEX-SRC-GARSON</x:v>
      </x:c>
      <x:c r="B39" s="6" t="str">
        <x:v>Mass Effect Wiki — Jien Garson</x:v>
      </x:c>
      <x:c r="C39" s="6" t="str">
        <x:v>wiki</x:v>
      </x:c>
      <x:c r="D39" s="6" t="str">
        <x:v>https://masseffect.fandom.com/wiki/Jien_Garson</x:v>
      </x:c>
      <x:c r="E39" s="6" t="str">
        <x:v>Fondatrice et présence dans le contexte du roman</x:v>
      </x:c>
      <x:c r="F39" s="6" t="str">
        <x:v>Consulté le 22 octobre 2026. Faits courts uniquement ; la publication originale reste nécessaire pour contrôler les détails.</x:v>
      </x:c>
    </x:row>
    <x:row r="40" ht="22" customHeight="1">
      <x:c r="A40" s="2"/>
      <x:c r="B40" s="2"/>
      <x:c r="C40" s="2"/>
      <x:c r="D40" s="2"/>
      <x:c r="E40" s="2"/>
      <x:c r="F40" s="2"/>
    </x:row>
    <x:row r="41" ht="22" customHeight="1">
      <x:c r="A41" s="2"/>
      <x:c r="B41" s="2"/>
      <x:c r="C41" s="2"/>
      <x:c r="D41" s="2"/>
      <x:c r="E41" s="2"/>
      <x:c r="F41" s="2"/>
    </x:row>
    <x:row r="42" ht="22" customHeight="1">
      <x:c r="A42" s="2"/>
      <x:c r="B42" s="2"/>
      <x:c r="C42" s="2"/>
      <x:c r="D42" s="2"/>
      <x:c r="E42" s="2"/>
      <x:c r="F42" s="2"/>
    </x:row>
    <x:row r="43" ht="34" customHeight="1">
      <x:c r="A43" s="28" t="str">
        <x:v>Domaine</x:v>
      </x:c>
      <x:c r="B43" s="29" t="str">
        <x:v>Couverture actuelle</x:v>
      </x:c>
      <x:c r="C43" s="30" t="str">
        <x:v>Travail restant</x:v>
      </x:c>
      <x:c r="D43" s="2"/>
      <x:c r="E43" s="2"/>
      <x:c r="F43" s="2"/>
    </x:row>
    <x:row r="44" ht="96" customHeight="1">
      <x:c r="A44" s="6" t="str">
        <x:v>Références canoniques</x:v>
      </x:c>
      <x:c r="B44" s="6" t="str">
        <x:v>Direction du Nexus, ingénieurs, personnel réveillé et mutinerie ; adaptation originale centrée sur maintien des services, circulation de l’information et protection civile.</x:v>
      </x:c>
      <x:c r="C44" s="6" t="str">
        <x:v>Collation intégrale du roman nécessaire pour les détails d’autorité, le calendrier exact, les promesses politiques et la présence des PNJ. La version administrative du codex n’est pas traitée comme narration omnisciente.</x:v>
      </x:c>
      <x:c r="D44" s="2"/>
      <x:c r="E44" s="2"/>
      <x:c r="F44" s="2"/>
    </x:row>
    <x:row r="45" ht="68" customHeight="1">
      <x:c r="A45" s="6" t="str">
        <x:v>Personnages et direction artistique</x:v>
      </x:c>
      <x:c r="B45" s="6" t="str">
        <x:v>10 personnages/PNJ documentés, avec planches, poses et intentions de dialogues originales distinctes.</x:v>
      </x:c>
      <x:c r="C45" s="6" t="str">
        <x:v>Valider les costumes, accessoires et nuances de caractérisation avec un exemplaire légal de l’œuvre ; pour le film, établir une bible visuelle par visionnage.</x:v>
      </x:c>
      <x:c r="D45" s="2"/>
      <x:c r="E45" s="2"/>
      <x:c r="F45" s="2"/>
    </x:row>
    <x:row r="46" ht="54" customHeight="1">
      <x:c r="A46" s="6" t="str">
        <x:v>Cartes et progression</x:v>
      </x:c>
      <x:c r="B46" s="6" t="str">
        <x:v>8 cartes proposées, leurs kits et transitions ; 8 missions originales avec options, annexes, cinématiques et critères de test.</x:v>
      </x:c>
      <x:c r="C46" s="6" t="str">
        <x:v>Blockouts, distances, budgets mémoire et temps de parcours à mesurer ; aucune carte officielle n’est revendiquée.</x:v>
      </x:c>
      <x:c r="D46" s="2"/>
      <x:c r="E46" s="2"/>
      <x:c r="F46" s="2"/>
    </x:row>
    <x:row r="47" ht="68" customHeight="1">
      <x:c r="A47" s="6" t="str">
        <x:v>Combat, systèmes et médias</x:v>
      </x:c>
      <x:c r="B47" s="6" t="str">
        <x:v>4 rencontres proposées, movesets, VFX, actions alliées, interface, audio et sauvegarde.</x:v>
      </x:c>
      <x:c r="C47" s="6" t="str">
        <x:v>Prototype, équilibrage, réalisation des assets, doublage éventuel et tests encore à faire. Aucune ligne ne signifie que le fan game contient déjà cet élément.</x:v>
      </x:c>
      <x:c r="D47" s="2"/>
      <x:c r="E47" s="2"/>
      <x:c r="F47" s="2"/>
    </x:row>
    <x:row r="48" ht="68" customHeight="1">
      <x:c r="A48" s="6" t="str">
        <x:v>Accès aux pages demandées</x:v>
      </x:c>
      <x:c r="B48" s="6" t="str">
        <x:v>Page wiki demandée ouverte ; sources secondaires utilisées seulement pour les points visibles.</x:v>
      </x:c>
      <x:c r="C48" s="6" t="str">
        <x:v>Les extraits indexés ne remplacent pas une vérification de l’œuvre intégrale. Les traductions françaises des noms et titres restent à contrôler selon l’édition retenue.</x:v>
      </x:c>
      <x:c r="D48" s="2"/>
      <x:c r="E48" s="2"/>
      <x:c r="F48" s="2"/>
    </x:row>
    <x:row r="49" ht="82" customHeight="1">
      <x:c r="A49" s="6" t="str">
        <x:v>Armes et pouvoirs : catégories non ouvertes</x:v>
      </x:c>
      <x:c r="B49" s="6" t="str">
        <x:v>Aucun modèle d’arme ni pouvoir nommé spécifique au roman n’est affirmé sur la base des pages consultées. Les actions de coordination, maintenance, protection et médiation sont décrites comme créations d’adaptation dans ally_moves.</x:v>
      </x:c>
      <x:c r="C49" s="6" t="str">
        <x:v>Relever les usages effectivement décrits dans l’édition originale avant de créer des fiches weapons ou powers ; ne pas importer automatiquement les armes, profils ou capacités de MEA.</x:v>
      </x:c>
      <x:c r="D49" s="2"/>
      <x:c r="E49" s="2"/>
      <x:c r="F49" s="2"/>
    </x:row>
    <x:row r="50" ht="96" customHeight="1">
      <x:c r="A50" s="6" t="str">
        <x:v>Complément pouvoirs, modules et lectures</x:v>
      </x:c>
      <x:c r="B50" s="6" t="str">
        <x:v>0 fiches de pouvoirs utilisées, 0 familles de modules préparables et 5 références consultables dans une lecture documentaire. Les chemins et preuves sont inscrits sur les seules lignes Prototype.</x:v>
      </x:c>
      <x:c r="C50" s="6" t="str">
        <x:v>Arbres et progression complets, modèles et rangs exacts, campagnes et dialogues intégraux, niveaux et ressources visuelles propres à l’œuvre restent à réaliser ou vérifier. Les références lues ne rendent pas leurs personnages jouables.</x:v>
      </x:c>
      <x:c r="D50" s="2"/>
      <x:c r="E50" s="2"/>
      <x:c r="F50" s="2"/>
    </x:row>
    <x:row r="51" ht="22" customHeight="1">
      <x:c r="A51" s="2"/>
      <x:c r="B51" s="2"/>
      <x:c r="C51" s="2"/>
      <x:c r="D51" s="2"/>
      <x:c r="E51" s="2"/>
      <x:c r="F51" s="2"/>
    </x:row>
    <x:row r="52" ht="22" customHeight="1">
      <x:c r="A52" s="2"/>
      <x:c r="B52" s="2"/>
      <x:c r="C52" s="2"/>
      <x:c r="D52" s="2"/>
      <x:c r="E52" s="2"/>
      <x:c r="F52" s="2"/>
    </x:row>
    <x:row r="53" ht="22" customHeight="1">
      <x:c r="A53" s="2"/>
      <x:c r="B53" s="2"/>
      <x:c r="C53" s="2"/>
      <x:c r="D53" s="2"/>
      <x:c r="E53" s="2"/>
      <x:c r="F53" s="2"/>
    </x:row>
    <x:row r="54" ht="22" customHeight="1">
      <x:c r="A54" s="2"/>
      <x:c r="B54" s="2"/>
      <x:c r="C54" s="2"/>
      <x:c r="D54" s="2"/>
      <x:c r="E54" s="2"/>
      <x:c r="F54" s="2"/>
    </x:row>
    <x:row r="55" ht="22" customHeight="1">
      <x:c r="A55" s="2"/>
      <x:c r="B55" s="2"/>
      <x:c r="C55" s="2"/>
      <x:c r="D55" s="2"/>
      <x:c r="E55" s="2"/>
      <x:c r="F55" s="2"/>
    </x:row>
    <x:row r="56" ht="22" customHeight="1">
      <x:c r="A56" s="2"/>
      <x:c r="B56" s="2"/>
      <x:c r="C56" s="2"/>
      <x:c r="D56" s="2"/>
      <x:c r="E56" s="2"/>
      <x:c r="F56" s="2"/>
    </x:row>
    <x:row r="57" ht="22" customHeight="1">
      <x:c r="A57" s="2"/>
      <x:c r="B57" s="2"/>
      <x:c r="C57" s="2"/>
      <x:c r="D57" s="2"/>
      <x:c r="E57" s="2"/>
      <x:c r="F57" s="2"/>
    </x:row>
    <x:row r="58" ht="22" customHeight="1">
      <x:c r="A58" s="2"/>
      <x:c r="B58" s="2"/>
      <x:c r="C58" s="2"/>
      <x:c r="D58" s="2"/>
      <x:c r="E58" s="2"/>
      <x:c r="F58" s="2"/>
    </x:row>
    <x:row r="59" ht="22" customHeight="1">
      <x:c r="A59" s="2"/>
      <x:c r="B59" s="2"/>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sheetData>
  <x:pageMargins left="0.7" right="0.7" top="0.75" bottom="0.75" header="0.3" footer="0.3"/>
</x:worksheet>
</file>