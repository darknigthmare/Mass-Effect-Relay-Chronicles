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tables/table26.xml" ContentType="application/vnd.openxmlformats-officedocument.spreadsheetml.table+xml"/>
  <Override PartName="/xl/worksheets/sheet2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1c03292f917496b" /></Relationships>
</file>

<file path=xl/workbook.xml><?xml version="1.0" encoding="utf-8"?>
<x:workbook xmlns:x="http://schemas.openxmlformats.org/spreadsheetml/2006/main">
  <x:sheets>
    <x:sheet xmlns:r="http://schemas.openxmlformats.org/officeDocument/2006/relationships" name="Dashboard" sheetId="1" r:id="Re010776be6b8420d"/>
    <x:sheet xmlns:r="http://schemas.openxmlformats.org/officeDocument/2006/relationships" name="Personnages" sheetId="2" r:id="R0af04b37007849a1"/>
    <x:sheet xmlns:r="http://schemas.openxmlformats.org/officeDocument/2006/relationships" name="PNJ" sheetId="3" r:id="Rce414bd579c946eb"/>
    <x:sheet xmlns:r="http://schemas.openxmlformats.org/officeDocument/2006/relationships" name="Especes_factions" sheetId="4" r:id="Rcf0d0abd3c6b4c0a"/>
    <x:sheet xmlns:r="http://schemas.openxmlformats.org/officeDocument/2006/relationships" name="Mondes" sheetId="5" r:id="R57527daa68774ed3"/>
    <x:sheet xmlns:r="http://schemas.openxmlformats.org/officeDocument/2006/relationships" name="Zones" sheetId="6" r:id="Red5d104693db4597"/>
    <x:sheet xmlns:r="http://schemas.openxmlformats.org/officeDocument/2006/relationships" name="Liaisons" sheetId="7" r:id="Rea6d1dfecf1d4912"/>
    <x:sheet xmlns:r="http://schemas.openxmlformats.org/officeDocument/2006/relationships" name="Decors" sheetId="8" r:id="R3a0cf94bda374279"/>
    <x:sheet xmlns:r="http://schemas.openxmlformats.org/officeDocument/2006/relationships" name="Props" sheetId="9" r:id="Re8f7f75422de4fbf"/>
    <x:sheet xmlns:r="http://schemas.openxmlformats.org/officeDocument/2006/relationships" name="Ennemis_boss" sheetId="10" r:id="Rc20552f60deb4f9a"/>
    <x:sheet xmlns:r="http://schemas.openxmlformats.org/officeDocument/2006/relationships" name="Missions" sheetId="11" r:id="Rc66e6559e5b6495a"/>
    <x:sheet xmlns:r="http://schemas.openxmlformats.org/officeDocument/2006/relationships" name="Secondaires_DLC" sheetId="12" r:id="R841bb200b0634c9f"/>
    <x:sheet xmlns:r="http://schemas.openxmlformats.org/officeDocument/2006/relationships" name="Choix_relations" sheetId="13" r:id="R7066af673022493f"/>
    <x:sheet xmlns:r="http://schemas.openxmlformats.org/officeDocument/2006/relationships" name="Dialogues" sheetId="14" r:id="Rb26d8ab7af76471c"/>
    <x:sheet xmlns:r="http://schemas.openxmlformats.org/officeDocument/2006/relationships" name="Cinematiques" sheetId="15" r:id="R36f7aebb129b472a"/>
    <x:sheet xmlns:r="http://schemas.openxmlformats.org/officeDocument/2006/relationships" name="Armes" sheetId="16" r:id="R112f89536dc6445e"/>
    <x:sheet xmlns:r="http://schemas.openxmlformats.org/officeDocument/2006/relationships" name="Armures_equipement" sheetId="17" r:id="R6860e16a4e974f20"/>
    <x:sheet xmlns:r="http://schemas.openxmlformats.org/officeDocument/2006/relationships" name="Pouvoirs" sheetId="18" r:id="Rf9caab1d98d341b9"/>
    <x:sheet xmlns:r="http://schemas.openxmlformats.org/officeDocument/2006/relationships" name="Movesets_allies" sheetId="19" r:id="Rff7383f17e8a44b9"/>
    <x:sheet xmlns:r="http://schemas.openxmlformats.org/officeDocument/2006/relationships" name="Movesets_ennemis" sheetId="20" r:id="R8e6f1a840b224bea"/>
    <x:sheet xmlns:r="http://schemas.openxmlformats.org/officeDocument/2006/relationships" name="Animations" sheetId="21" r:id="R1208d1fd53994feb"/>
    <x:sheet xmlns:r="http://schemas.openxmlformats.org/officeDocument/2006/relationships" name="Sprites" sheetId="22" r:id="R09fda8b525eb4084"/>
    <x:sheet xmlns:r="http://schemas.openxmlformats.org/officeDocument/2006/relationships" name="VFX" sheetId="23" r:id="R412640a0278f4b39"/>
    <x:sheet xmlns:r="http://schemas.openxmlformats.org/officeDocument/2006/relationships" name="Audio" sheetId="24" r:id="R310a9e4b06a8401d"/>
    <x:sheet xmlns:r="http://schemas.openxmlformats.org/officeDocument/2006/relationships" name="UI_systemes" sheetId="25" r:id="R6ead3751ff5f41ae"/>
    <x:sheet xmlns:r="http://schemas.openxmlformats.org/officeDocument/2006/relationships" name="QA" sheetId="26" r:id="Rbca9847241294702"/>
    <x:sheet xmlns:r="http://schemas.openxmlformats.org/officeDocument/2006/relationships" name="Continuite" sheetId="27" r:id="R69b59e779ee54b87"/>
    <x:sheet xmlns:r="http://schemas.openxmlformats.org/officeDocument/2006/relationships" name="Guide" sheetId="28" r:id="R08a1fba987944029"/>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dd/mm/yyyy"/>
  </x:numFmts>
  <x:fonts count="8">
    <x:font>
      <x:sz val="11"/>
      <x:name val="Carlito"/>
    </x:font>
    <x:font>
      <x:sz val="10"/>
      <x:color rgb="FF183044"/>
      <x:name val="Arial"/>
    </x:font>
    <x:font>
      <x:b/>
      <x:sz val="14"/>
      <x:color rgb="FF102438"/>
      <x:name val="Arial"/>
    </x:font>
    <x:font>
      <x:i/>
      <x:sz val="10"/>
      <x:color rgb="FF4A6374"/>
      <x:name val="Arial"/>
    </x:font>
    <x:font>
      <x:sz val="10"/>
      <x:color rgb="FF557283"/>
      <x:name val="Arial"/>
    </x:font>
    <x:font>
      <x:b/>
      <x:sz val="10"/>
      <x:color rgb="FFFFFFFF"/>
      <x:name val="Arial"/>
    </x:font>
    <x:font>
      <x:b/>
      <x:sz val="14"/>
      <x:color rgb="FF087F8C"/>
      <x:name val="Arial"/>
    </x:font>
    <x:font>
      <x:i/>
      <x:sz val="10"/>
      <x:color rgb="FF183044"/>
      <x:name val="Arial"/>
    </x:font>
  </x:fonts>
  <x:fills count="6">
    <x:fill>
      <x:patternFill patternType="none"/>
    </x:fill>
    <x:fill>
      <x:patternFill patternType="gray125"/>
    </x:fill>
    <x:fill>
      <x:patternFill patternType="solid">
        <x:fgColor rgb="FFF8FBFC"/>
      </x:patternFill>
    </x:fill>
    <x:fill>
      <x:patternFill patternType="solid">
        <x:fgColor rgb="FFFFF0C7"/>
      </x:patternFill>
    </x:fill>
    <x:fill>
      <x:patternFill patternType="solid">
        <x:fgColor rgb="FF102438"/>
      </x:patternFill>
    </x:fill>
    <x:fill>
      <x:patternFill patternType="solid">
        <x:fgColor rgb="FFEDF5F7"/>
      </x:patternFill>
    </x:fill>
  </x:fills>
  <x:borders count="5">
    <x:border>
      <x:left/>
      <x:right/>
      <x:top/>
      <x:bottom/>
      <x:diagonal/>
    </x:border>
    <x:border>
      <x:left/>
      <x:right/>
      <x:top/>
      <x:bottom style="thin">
        <x:color rgb="FF087F8C"/>
      </x:bottom>
      <x:diagonal/>
    </x:border>
    <x:border>
      <x:left/>
      <x:right style="thin">
        <x:color rgb="FFFFFFFF"/>
      </x:right>
      <x:top/>
      <x:bottom style="thin">
        <x:color rgb="FF087F8C"/>
      </x:bottom>
      <x:diagonal/>
    </x:border>
    <x:border>
      <x:left style="thin">
        <x:color rgb="FFFFFFFF"/>
      </x:left>
      <x:right style="thin">
        <x:color rgb="FFFFFFFF"/>
      </x:right>
      <x:top/>
      <x:bottom style="thin">
        <x:color rgb="FF087F8C"/>
      </x:bottom>
      <x:diagonal/>
    </x:border>
    <x:border>
      <x:left style="thin">
        <x:color rgb="FFFFFFFF"/>
      </x:left>
      <x:right/>
      <x:top/>
      <x:bottom style="thin">
        <x:color rgb="FF087F8C"/>
      </x:bottom>
      <x:diagonal/>
    </x:border>
  </x:borders>
  <x:cellStyleXfs count="1">
    <x:xf numFmtId="0" fontId="0" fillId="0" borderId="0"/>
  </x:cellStyleXfs>
  <x:cellXfs count="43">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horizontal="center" vertical="top" wrapText="1"/>
    </x:xf>
    <x:xf numFmtId="0" fontId="1" fillId="2"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top" wrapText="1"/>
    </x:xf>
    <x:xf numFmtId="0" fontId="1" fillId="3" borderId="0"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center" wrapText="1"/>
    </x:xf>
    <x:xf numFmtId="0" fontId="1" fillId="0" borderId="0" xfId="0" applyNumberFormat="1" applyFont="1" applyFill="1" applyBorder="1" applyAlignment="1">
      <x:alignment horizontal="center" vertical="center" wrapText="1"/>
    </x:xf>
    <x:xf numFmtId="0" fontId="4" fillId="2" borderId="0" xfId="0" applyNumberFormat="1" applyFont="1" applyFill="1" applyBorder="1" applyAlignment="1">
      <x:alignment vertical="top" wrapText="1"/>
    </x:xf>
    <x:xf numFmtId="0" fontId="4" fillId="0" borderId="0" xfId="0" applyNumberFormat="1" applyFont="1" applyFill="1" applyBorder="1" applyAlignment="1">
      <x:alignment vertical="top" wrapText="1"/>
    </x:xf>
    <x:xf numFmtId="0" fontId="1" fillId="4" borderId="0" xfId="0" applyNumberFormat="1" applyFont="1" applyFill="1" applyBorder="1" applyAlignment="1">
      <x:alignment vertical="center"/>
    </x:xf>
    <x:xf numFmtId="0" fontId="5" fillId="4" borderId="0" xfId="0" applyNumberFormat="1" applyFont="1" applyFill="1" applyBorder="1" applyAlignment="1">
      <x:alignment vertical="center"/>
    </x:xf>
    <x:xf numFmtId="0" fontId="5" fillId="4" borderId="2" xfId="0" applyNumberFormat="1" applyFont="1" applyFill="1" applyBorder="1" applyAlignment="1">
      <x:alignment vertical="center"/>
    </x:xf>
    <x:xf numFmtId="0" fontId="5" fillId="4" borderId="3" xfId="0" applyNumberFormat="1" applyFont="1" applyFill="1" applyBorder="1" applyAlignment="1">
      <x:alignment vertical="center"/>
    </x:xf>
    <x:xf numFmtId="0" fontId="5" fillId="4" borderId="4" xfId="0" applyNumberFormat="1" applyFont="1" applyFill="1" applyBorder="1" applyAlignment="1">
      <x:alignment vertical="center"/>
    </x:xf>
    <x:xf numFmtId="0" fontId="5" fillId="4" borderId="2" xfId="0" applyNumberFormat="1" applyFont="1" applyFill="1" applyBorder="1" applyAlignment="1">
      <x:alignment vertical="center" wrapText="1"/>
    </x:xf>
    <x:xf numFmtId="0" fontId="5" fillId="4" borderId="3" xfId="0" applyNumberFormat="1" applyFont="1" applyFill="1" applyBorder="1" applyAlignment="1">
      <x:alignment vertical="center" wrapText="1"/>
    </x:xf>
    <x:xf numFmtId="0" fontId="5" fillId="4" borderId="4" xfId="0" applyNumberFormat="1" applyFont="1" applyFill="1" applyBorder="1" applyAlignment="1">
      <x:alignment vertical="center" wrapText="1"/>
    </x:xf>
    <x:xf numFmtId="0" fontId="5" fillId="4" borderId="2" xfId="0" applyNumberFormat="1" applyFont="1" applyFill="1" applyBorder="1" applyAlignment="1">
      <x:alignment horizontal="center" vertical="center" wrapText="1"/>
    </x:xf>
    <x:xf numFmtId="0" fontId="5" fillId="4" borderId="3" xfId="0" applyNumberFormat="1" applyFont="1" applyFill="1" applyBorder="1" applyAlignment="1">
      <x:alignment horizontal="center" vertical="center" wrapText="1"/>
    </x:xf>
    <x:xf numFmtId="0" fontId="5" fillId="4" borderId="4" xfId="0" applyNumberFormat="1" applyFont="1" applyFill="1" applyBorder="1" applyAlignment="1">
      <x:alignment horizontal="center" vertical="center" wrapText="1"/>
    </x:xf>
    <x:xf numFmtId="0" fontId="6" fillId="0" borderId="0" xfId="0" applyNumberFormat="1" applyFont="1" applyFill="1" applyBorder="1" applyAlignment="1">
      <x:alignment vertical="center"/>
    </x:xf>
    <x:xf numFmtId="0" fontId="7" fillId="0" borderId="0" xfId="0" applyNumberFormat="1" applyFont="1" applyFill="1" applyBorder="1" applyAlignment="1">
      <x:alignment vertical="center"/>
    </x:xf>
    <x:xf numFmtId="0" fontId="1" fillId="5" borderId="0" xfId="0" applyNumberFormat="1" applyFont="1" applyFill="1" applyBorder="1" applyAlignment="1">
      <x:alignment vertical="center"/>
    </x:xf>
    <x:xf numFmtId="200" fontId="1" fillId="5" borderId="0" xfId="0" applyNumberFormat="1" applyFont="1" applyFill="1" applyBorder="1" applyAlignment="1">
      <x:alignment vertical="center"/>
    </x:xf>
    <x:xf numFmtId="200" fontId="1" fillId="0" borderId="0" xfId="0" applyNumberFormat="1" applyFont="1" applyFill="1" applyBorder="1" applyAlignment="1">
      <x:alignment vertical="center"/>
    </x:xf>
    <x:xf numFmtId="200" fontId="5" fillId="4" borderId="0" xfId="0" applyNumberFormat="1" applyFont="1" applyFill="1" applyBorder="1" applyAlignment="1">
      <x:alignment vertical="center"/>
    </x:xf>
    <x:xf numFmtId="200" fontId="1" fillId="5" borderId="0" xfId="0" applyNumberFormat="1" applyFont="1" applyFill="1" applyBorder="1" applyAlignment="1">
      <x:alignment horizontal="right" vertical="center"/>
    </x:xf>
    <x:xf numFmtId="200" fontId="1" fillId="0" borderId="0" xfId="0" applyNumberFormat="1" applyFont="1" applyFill="1" applyBorder="1" applyAlignment="1">
      <x:alignment horizontal="right" vertical="center"/>
    </x:xf>
    <x:xf numFmtId="200" fontId="5" fillId="4" borderId="0" xfId="0" applyNumberFormat="1" applyFont="1" applyFill="1" applyBorder="1" applyAlignment="1">
      <x:alignment horizontal="right" vertical="center"/>
    </x:xf>
    <x:xf numFmtId="201" fontId="1" fillId="0" borderId="0" xfId="0" applyNumberFormat="1" applyFont="1" applyFill="1" applyBorder="1" applyAlignment="1">
      <x:alignment vertical="center"/>
    </x:xf>
    <x:xf numFmtId="201"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top" wrapText="1"/>
    </x:xf>
  </x:cellXfs>
  <x:cellStyles count="1">
    <x:cellStyle name="Normal" xfId="0"/>
  </x:cellStyles>
  <x:dxfs count="104">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s>
</x:styleSheet>
</file>

<file path=xl/_rels/workbook.xml.rels>&#65279;<?xml version="1.0" encoding="utf-8"?><Relationships xmlns="http://schemas.openxmlformats.org/package/2006/relationships"><Relationship Type="http://schemas.openxmlformats.org/officeDocument/2006/relationships/styles" Target="/xl/styles.xml" Id="R210ea4d3c6674ebd" /><Relationship Type="http://schemas.openxmlformats.org/officeDocument/2006/relationships/theme" Target="/xl/theme/theme1.xml" Id="R7221948f8b5b4b35" /><Relationship Type="http://schemas.openxmlformats.org/officeDocument/2006/relationships/sharedStrings" Target="/xl/sharedStrings.xml" Id="R53c8acd7d2e745d2" /><Relationship Type="http://schemas.openxmlformats.org/officeDocument/2006/relationships/worksheet" Target="/xl/worksheets/sheet1.xml" Id="Re010776be6b8420d" /><Relationship Type="http://schemas.openxmlformats.org/officeDocument/2006/relationships/worksheet" Target="/xl/worksheets/sheet2.xml" Id="R0af04b37007849a1" /><Relationship Type="http://schemas.openxmlformats.org/officeDocument/2006/relationships/worksheet" Target="/xl/worksheets/sheet3.xml" Id="Rce414bd579c946eb" /><Relationship Type="http://schemas.openxmlformats.org/officeDocument/2006/relationships/worksheet" Target="/xl/worksheets/sheet4.xml" Id="Rcf0d0abd3c6b4c0a" /><Relationship Type="http://schemas.openxmlformats.org/officeDocument/2006/relationships/worksheet" Target="/xl/worksheets/sheet5.xml" Id="R57527daa68774ed3" /><Relationship Type="http://schemas.openxmlformats.org/officeDocument/2006/relationships/worksheet" Target="/xl/worksheets/sheet6.xml" Id="Red5d104693db4597" /><Relationship Type="http://schemas.openxmlformats.org/officeDocument/2006/relationships/worksheet" Target="/xl/worksheets/sheet7.xml" Id="Rea6d1dfecf1d4912" /><Relationship Type="http://schemas.openxmlformats.org/officeDocument/2006/relationships/worksheet" Target="/xl/worksheets/sheet8.xml" Id="R3a0cf94bda374279" /><Relationship Type="http://schemas.openxmlformats.org/officeDocument/2006/relationships/worksheet" Target="/xl/worksheets/sheet9.xml" Id="Re8f7f75422de4fbf" /><Relationship Type="http://schemas.openxmlformats.org/officeDocument/2006/relationships/worksheet" Target="/xl/worksheets/sheet10.xml" Id="Rc20552f60deb4f9a" /><Relationship Type="http://schemas.openxmlformats.org/officeDocument/2006/relationships/worksheet" Target="/xl/worksheets/sheet11.xml" Id="Rc66e6559e5b6495a" /><Relationship Type="http://schemas.openxmlformats.org/officeDocument/2006/relationships/worksheet" Target="/xl/worksheets/sheet12.xml" Id="R841bb200b0634c9f" /><Relationship Type="http://schemas.openxmlformats.org/officeDocument/2006/relationships/worksheet" Target="/xl/worksheets/sheet13.xml" Id="R7066af673022493f" /><Relationship Type="http://schemas.openxmlformats.org/officeDocument/2006/relationships/worksheet" Target="/xl/worksheets/sheet14.xml" Id="Rb26d8ab7af76471c" /><Relationship Type="http://schemas.openxmlformats.org/officeDocument/2006/relationships/worksheet" Target="/xl/worksheets/sheet15.xml" Id="R36f7aebb129b472a" /><Relationship Type="http://schemas.openxmlformats.org/officeDocument/2006/relationships/worksheet" Target="/xl/worksheets/sheet16.xml" Id="R112f89536dc6445e" /><Relationship Type="http://schemas.openxmlformats.org/officeDocument/2006/relationships/worksheet" Target="/xl/worksheets/sheet17.xml" Id="R6860e16a4e974f20" /><Relationship Type="http://schemas.openxmlformats.org/officeDocument/2006/relationships/worksheet" Target="/xl/worksheets/sheet18.xml" Id="Rf9caab1d98d341b9" /><Relationship Type="http://schemas.openxmlformats.org/officeDocument/2006/relationships/worksheet" Target="/xl/worksheets/sheet19.xml" Id="Rff7383f17e8a44b9" /><Relationship Type="http://schemas.openxmlformats.org/officeDocument/2006/relationships/worksheet" Target="/xl/worksheets/sheet20.xml" Id="R8e6f1a840b224bea" /><Relationship Type="http://schemas.openxmlformats.org/officeDocument/2006/relationships/worksheet" Target="/xl/worksheets/sheet21.xml" Id="R1208d1fd53994feb" /><Relationship Type="http://schemas.openxmlformats.org/officeDocument/2006/relationships/worksheet" Target="/xl/worksheets/sheet22.xml" Id="R09fda8b525eb4084" /><Relationship Type="http://schemas.openxmlformats.org/officeDocument/2006/relationships/worksheet" Target="/xl/worksheets/sheet23.xml" Id="R412640a0278f4b39" /><Relationship Type="http://schemas.openxmlformats.org/officeDocument/2006/relationships/worksheet" Target="/xl/worksheets/sheet24.xml" Id="R310a9e4b06a8401d" /><Relationship Type="http://schemas.openxmlformats.org/officeDocument/2006/relationships/worksheet" Target="/xl/worksheets/sheet25.xml" Id="R6ead3751ff5f41ae" /><Relationship Type="http://schemas.openxmlformats.org/officeDocument/2006/relationships/worksheet" Target="/xl/worksheets/sheet26.xml" Id="Rbca9847241294702" /><Relationship Type="http://schemas.openxmlformats.org/officeDocument/2006/relationships/worksheet" Target="/xl/worksheets/sheet27.xml" Id="R69b59e779ee54b87" /><Relationship Type="http://schemas.openxmlformats.org/officeDocument/2006/relationships/worksheet" Target="/xl/worksheets/sheet28.xml" Id="R08a1fba987944029" /></Relationships>
</file>

<file path=xl/tables/table1.xml><?xml version="1.0" encoding="utf-8"?>
<x:table xmlns:x="http://schemas.openxmlformats.org/spreadsheetml/2006/main" id="1" name="EVO_characters" displayName="EVO_characters" ref="A6:S10" headerRowCount="1" totalsRowCount="0" totalsRowShown="0">
  <x:autoFilter ref="A6:S1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xml><?xml version="1.0" encoding="utf-8"?>
<x:table xmlns:x="http://schemas.openxmlformats.org/spreadsheetml/2006/main" id="2" name="EVO_npcs" displayName="EVO_npcs" ref="A6:S9" headerRowCount="1" totalsRowCount="0" totalsRowShown="0">
  <x:autoFilter ref="A6:S9"/>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3.xml><?xml version="1.0" encoding="utf-8"?>
<x:table xmlns:x="http://schemas.openxmlformats.org/spreadsheetml/2006/main" id="3" name="EVO_lore" displayName="EVO_lore" ref="A6:S16" headerRowCount="1" totalsRowCount="0" totalsRowShown="0">
  <x:autoFilter ref="A6:S16"/>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4.xml><?xml version="1.0" encoding="utf-8"?>
<x:table xmlns:x="http://schemas.openxmlformats.org/spreadsheetml/2006/main" id="4" name="EVO_worlds" displayName="EVO_worlds" ref="A6:S10" headerRowCount="1" totalsRowCount="0" totalsRowShown="0">
  <x:autoFilter ref="A6:S1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5.xml><?xml version="1.0" encoding="utf-8"?>
<x:table xmlns:x="http://schemas.openxmlformats.org/spreadsheetml/2006/main" id="5" name="EVO_zones" displayName="EVO_zones" ref="A6:S10" headerRowCount="1" totalsRowCount="0" totalsRowShown="0">
  <x:autoFilter ref="A6:S1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6.xml><?xml version="1.0" encoding="utf-8"?>
<x:table xmlns:x="http://schemas.openxmlformats.org/spreadsheetml/2006/main" id="6" name="EVO_links" displayName="EVO_links" ref="A6:S10" headerRowCount="1" totalsRowCount="0" totalsRowShown="0">
  <x:autoFilter ref="A6:S1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7.xml><?xml version="1.0" encoding="utf-8"?>
<x:table xmlns:x="http://schemas.openxmlformats.org/spreadsheetml/2006/main" id="7" name="EVO_scenery" displayName="EVO_scenery" ref="A6:S10" headerRowCount="1" totalsRowCount="0" totalsRowShown="0">
  <x:autoFilter ref="A6:S1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8.xml><?xml version="1.0" encoding="utf-8"?>
<x:table xmlns:x="http://schemas.openxmlformats.org/spreadsheetml/2006/main" id="8" name="EVO_props" displayName="EVO_props" ref="A6:S12" headerRowCount="1" totalsRowCount="0" totalsRowShown="0">
  <x:autoFilter ref="A6:S1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9.xml><?xml version="1.0" encoding="utf-8"?>
<x:table xmlns:x="http://schemas.openxmlformats.org/spreadsheetml/2006/main" id="9" name="EVO_enemies" displayName="EVO_enemies" ref="A6:S9" headerRowCount="1" totalsRowCount="0" totalsRowShown="0">
  <x:autoFilter ref="A6:S9"/>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0.xml><?xml version="1.0" encoding="utf-8"?>
<x:table xmlns:x="http://schemas.openxmlformats.org/spreadsheetml/2006/main" id="10" name="EVO_main_quests" displayName="EVO_main_quests" ref="A6:S12" headerRowCount="1" totalsRowCount="0" totalsRowShown="0">
  <x:autoFilter ref="A6:S1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1.xml><?xml version="1.0" encoding="utf-8"?>
<x:table xmlns:x="http://schemas.openxmlformats.org/spreadsheetml/2006/main" id="11" name="EVO_side_quests" displayName="EVO_side_quests" ref="A6:S12" headerRowCount="1" totalsRowCount="0" totalsRowShown="0">
  <x:autoFilter ref="A6:S1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2.xml><?xml version="1.0" encoding="utf-8"?>
<x:table xmlns:x="http://schemas.openxmlformats.org/spreadsheetml/2006/main" id="12" name="EVO_choices" displayName="EVO_choices" ref="A6:S12" headerRowCount="1" totalsRowCount="0" totalsRowShown="0">
  <x:autoFilter ref="A6:S1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3.xml><?xml version="1.0" encoding="utf-8"?>
<x:table xmlns:x="http://schemas.openxmlformats.org/spreadsheetml/2006/main" id="13" name="EVO_dialogues" displayName="EVO_dialogues" ref="A6:S12" headerRowCount="1" totalsRowCount="0" totalsRowShown="0">
  <x:autoFilter ref="A6:S1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4.xml><?xml version="1.0" encoding="utf-8"?>
<x:table xmlns:x="http://schemas.openxmlformats.org/spreadsheetml/2006/main" id="14" name="EVO_cinematics" displayName="EVO_cinematics" ref="A6:S12" headerRowCount="1" totalsRowCount="0" totalsRowShown="0">
  <x:autoFilter ref="A6:S1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5.xml><?xml version="1.0" encoding="utf-8"?>
<x:table xmlns:x="http://schemas.openxmlformats.org/spreadsheetml/2006/main" id="15" name="EVO_weapons" displayName="EVO_weapon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6.xml><?xml version="1.0" encoding="utf-8"?>
<x:table xmlns:x="http://schemas.openxmlformats.org/spreadsheetml/2006/main" id="16" name="EVO_equipment" displayName="EVO_equipment"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7.xml><?xml version="1.0" encoding="utf-8"?>
<x:table xmlns:x="http://schemas.openxmlformats.org/spreadsheetml/2006/main" id="17" name="EVO_powers" displayName="EVO_power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8.xml><?xml version="1.0" encoding="utf-8"?>
<x:table xmlns:x="http://schemas.openxmlformats.org/spreadsheetml/2006/main" id="18" name="EVO_ally_moves" displayName="EVO_ally_moves" ref="A6:S8" headerRowCount="1" totalsRowCount="0" totalsRowShown="0">
  <x:autoFilter ref="A6:S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9.xml><?xml version="1.0" encoding="utf-8"?>
<x:table xmlns:x="http://schemas.openxmlformats.org/spreadsheetml/2006/main" id="19" name="EVO_enemy_moves" displayName="EVO_enemy_moves" ref="A6:S12" headerRowCount="1" totalsRowCount="0" totalsRowShown="0">
  <x:autoFilter ref="A6:S1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0.xml><?xml version="1.0" encoding="utf-8"?>
<x:table xmlns:x="http://schemas.openxmlformats.org/spreadsheetml/2006/main" id="20" name="EVO_animations" displayName="EVO_animations" ref="A6:S13" headerRowCount="1" totalsRowCount="0" totalsRowShown="0">
  <x:autoFilter ref="A6:S13"/>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1.xml><?xml version="1.0" encoding="utf-8"?>
<x:table xmlns:x="http://schemas.openxmlformats.org/spreadsheetml/2006/main" id="21" name="EVO_sprites" displayName="EVO_sprites" ref="A6:S13" headerRowCount="1" totalsRowCount="0" totalsRowShown="0">
  <x:autoFilter ref="A6:S13"/>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2.xml><?xml version="1.0" encoding="utf-8"?>
<x:table xmlns:x="http://schemas.openxmlformats.org/spreadsheetml/2006/main" id="22" name="EVO_vfx" displayName="EVO_vfx" ref="A6:S12" headerRowCount="1" totalsRowCount="0" totalsRowShown="0">
  <x:autoFilter ref="A6:S1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3.xml><?xml version="1.0" encoding="utf-8"?>
<x:table xmlns:x="http://schemas.openxmlformats.org/spreadsheetml/2006/main" id="23" name="EVO_audio" displayName="EVO_audio" ref="A6:S10" headerRowCount="1" totalsRowCount="0" totalsRowShown="0">
  <x:autoFilter ref="A6:S1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4.xml><?xml version="1.0" encoding="utf-8"?>
<x:table xmlns:x="http://schemas.openxmlformats.org/spreadsheetml/2006/main" id="24" name="EVO_systems" displayName="EVO_systems" ref="A6:S10" headerRowCount="1" totalsRowCount="0" totalsRowShown="0">
  <x:autoFilter ref="A6:S1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5.xml><?xml version="1.0" encoding="utf-8"?>
<x:table xmlns:x="http://schemas.openxmlformats.org/spreadsheetml/2006/main" id="25" name="EVO_qa" displayName="EVO_qa" ref="A6:S15" headerRowCount="1" totalsRowCount="0" totalsRowShown="0">
  <x:autoFilter ref="A6:S15"/>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6.xml><?xml version="1.0" encoding="utf-8"?>
<x:table xmlns:x="http://schemas.openxmlformats.org/spreadsheetml/2006/main" id="26" name="EVO_continuity" displayName="EVO_continuity" ref="A6:S8" headerRowCount="1" totalsRowCount="0" totalsRowShown="0">
  <x:autoFilter ref="A6:S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3c00a3de9014f5d" /></Relationships>
</file>

<file path=xl/worksheets/_rels/sheet3.xml.rels>&#65279;<?xml version="1.0" encoding="utf-8"?><Relationships xmlns="http://schemas.openxmlformats.org/package/2006/relationships"><Relationship Type="http://schemas.openxmlformats.org/officeDocument/2006/relationships/table" Target="/xl/tables/table2.xml" Id="R7fd103d9a7854d96" /></Relationships>
</file>

<file path=xl/worksheets/_rels/sheet4.xml.rels>&#65279;<?xml version="1.0" encoding="utf-8"?><Relationships xmlns="http://schemas.openxmlformats.org/package/2006/relationships"><Relationship Type="http://schemas.openxmlformats.org/officeDocument/2006/relationships/table" Target="/xl/tables/table3.xml" Id="Rc067d0920f9b4253" /></Relationships>
</file>

<file path=xl/worksheets/_rels/sheet5.xml.rels>&#65279;<?xml version="1.0" encoding="utf-8"?><Relationships xmlns="http://schemas.openxmlformats.org/package/2006/relationships"><Relationship Type="http://schemas.openxmlformats.org/officeDocument/2006/relationships/table" Target="/xl/tables/table4.xml" Id="Ra5ce699e80a344b4" /></Relationships>
</file>

<file path=xl/worksheets/_rels/sheet6.xml.rels>&#65279;<?xml version="1.0" encoding="utf-8"?><Relationships xmlns="http://schemas.openxmlformats.org/package/2006/relationships"><Relationship Type="http://schemas.openxmlformats.org/officeDocument/2006/relationships/table" Target="/xl/tables/table5.xml" Id="R080cf6885f5b45ec" /></Relationships>
</file>

<file path=xl/worksheets/_rels/sheet7.xml.rels>&#65279;<?xml version="1.0" encoding="utf-8"?><Relationships xmlns="http://schemas.openxmlformats.org/package/2006/relationships"><Relationship Type="http://schemas.openxmlformats.org/officeDocument/2006/relationships/table" Target="/xl/tables/table6.xml" Id="Rf6f86f94cc1d4b16" /></Relationships>
</file>

<file path=xl/worksheets/_rels/sheet8.xml.rels>&#65279;<?xml version="1.0" encoding="utf-8"?><Relationships xmlns="http://schemas.openxmlformats.org/package/2006/relationships"><Relationship Type="http://schemas.openxmlformats.org/officeDocument/2006/relationships/table" Target="/xl/tables/table7.xml" Id="R22711e96ded94661" /></Relationships>
</file>

<file path=xl/worksheets/_rels/sheet9.xml.rels>&#65279;<?xml version="1.0" encoding="utf-8"?><Relationships xmlns="http://schemas.openxmlformats.org/package/2006/relationships"><Relationship Type="http://schemas.openxmlformats.org/officeDocument/2006/relationships/table" Target="/xl/tables/table8.xml" Id="R8040fdc2a0ad421a" /></Relationships>
</file>

<file path=xl/worksheets/_rels/sheet10.xml.rels>&#65279;<?xml version="1.0" encoding="utf-8"?><Relationships xmlns="http://schemas.openxmlformats.org/package/2006/relationships"><Relationship Type="http://schemas.openxmlformats.org/officeDocument/2006/relationships/table" Target="/xl/tables/table9.xml" Id="R673b1d9d93c94254" /></Relationships>
</file>

<file path=xl/worksheets/_rels/sheet11.xml.rels>&#65279;<?xml version="1.0" encoding="utf-8"?><Relationships xmlns="http://schemas.openxmlformats.org/package/2006/relationships"><Relationship Type="http://schemas.openxmlformats.org/officeDocument/2006/relationships/table" Target="/xl/tables/table10.xml" Id="R1d4ba5913d9d47af" /></Relationships>
</file>

<file path=xl/worksheets/_rels/sheet12.xml.rels>&#65279;<?xml version="1.0" encoding="utf-8"?><Relationships xmlns="http://schemas.openxmlformats.org/package/2006/relationships"><Relationship Type="http://schemas.openxmlformats.org/officeDocument/2006/relationships/table" Target="/xl/tables/table11.xml" Id="R36a1af8ea0a54162" /></Relationships>
</file>

<file path=xl/worksheets/_rels/sheet13.xml.rels>&#65279;<?xml version="1.0" encoding="utf-8"?><Relationships xmlns="http://schemas.openxmlformats.org/package/2006/relationships"><Relationship Type="http://schemas.openxmlformats.org/officeDocument/2006/relationships/table" Target="/xl/tables/table12.xml" Id="Rd044dabeb0334f8a" /></Relationships>
</file>

<file path=xl/worksheets/_rels/sheet14.xml.rels>&#65279;<?xml version="1.0" encoding="utf-8"?><Relationships xmlns="http://schemas.openxmlformats.org/package/2006/relationships"><Relationship Type="http://schemas.openxmlformats.org/officeDocument/2006/relationships/table" Target="/xl/tables/table13.xml" Id="Rf2fb04a874244f35" /></Relationships>
</file>

<file path=xl/worksheets/_rels/sheet15.xml.rels>&#65279;<?xml version="1.0" encoding="utf-8"?><Relationships xmlns="http://schemas.openxmlformats.org/package/2006/relationships"><Relationship Type="http://schemas.openxmlformats.org/officeDocument/2006/relationships/table" Target="/xl/tables/table14.xml" Id="R42bb11c13ff140b0" /></Relationships>
</file>

<file path=xl/worksheets/_rels/sheet16.xml.rels>&#65279;<?xml version="1.0" encoding="utf-8"?><Relationships xmlns="http://schemas.openxmlformats.org/package/2006/relationships"><Relationship Type="http://schemas.openxmlformats.org/officeDocument/2006/relationships/table" Target="/xl/tables/table15.xml" Id="R8614ecec995a46fa" /></Relationships>
</file>

<file path=xl/worksheets/_rels/sheet17.xml.rels>&#65279;<?xml version="1.0" encoding="utf-8"?><Relationships xmlns="http://schemas.openxmlformats.org/package/2006/relationships"><Relationship Type="http://schemas.openxmlformats.org/officeDocument/2006/relationships/table" Target="/xl/tables/table16.xml" Id="R453b528e5b4f4adb" /></Relationships>
</file>

<file path=xl/worksheets/_rels/sheet18.xml.rels>&#65279;<?xml version="1.0" encoding="utf-8"?><Relationships xmlns="http://schemas.openxmlformats.org/package/2006/relationships"><Relationship Type="http://schemas.openxmlformats.org/officeDocument/2006/relationships/table" Target="/xl/tables/table17.xml" Id="R8142a2ea71f34851" /></Relationships>
</file>

<file path=xl/worksheets/_rels/sheet19.xml.rels>&#65279;<?xml version="1.0" encoding="utf-8"?><Relationships xmlns="http://schemas.openxmlformats.org/package/2006/relationships"><Relationship Type="http://schemas.openxmlformats.org/officeDocument/2006/relationships/table" Target="/xl/tables/table18.xml" Id="R787eeef4fc7f4b7b" /></Relationships>
</file>

<file path=xl/worksheets/_rels/sheet20.xml.rels>&#65279;<?xml version="1.0" encoding="utf-8"?><Relationships xmlns="http://schemas.openxmlformats.org/package/2006/relationships"><Relationship Type="http://schemas.openxmlformats.org/officeDocument/2006/relationships/table" Target="/xl/tables/table19.xml" Id="Re99500f6231b4615" /></Relationships>
</file>

<file path=xl/worksheets/_rels/sheet21.xml.rels>&#65279;<?xml version="1.0" encoding="utf-8"?><Relationships xmlns="http://schemas.openxmlformats.org/package/2006/relationships"><Relationship Type="http://schemas.openxmlformats.org/officeDocument/2006/relationships/table" Target="/xl/tables/table20.xml" Id="Rd537d679d9e5469d" /></Relationships>
</file>

<file path=xl/worksheets/_rels/sheet22.xml.rels>&#65279;<?xml version="1.0" encoding="utf-8"?><Relationships xmlns="http://schemas.openxmlformats.org/package/2006/relationships"><Relationship Type="http://schemas.openxmlformats.org/officeDocument/2006/relationships/table" Target="/xl/tables/table21.xml" Id="R52ed6008c896426e" /></Relationships>
</file>

<file path=xl/worksheets/_rels/sheet23.xml.rels>&#65279;<?xml version="1.0" encoding="utf-8"?><Relationships xmlns="http://schemas.openxmlformats.org/package/2006/relationships"><Relationship Type="http://schemas.openxmlformats.org/officeDocument/2006/relationships/table" Target="/xl/tables/table22.xml" Id="R31b4f3b94e4843fd" /></Relationships>
</file>

<file path=xl/worksheets/_rels/sheet24.xml.rels>&#65279;<?xml version="1.0" encoding="utf-8"?><Relationships xmlns="http://schemas.openxmlformats.org/package/2006/relationships"><Relationship Type="http://schemas.openxmlformats.org/officeDocument/2006/relationships/table" Target="/xl/tables/table23.xml" Id="R0652850a1f1d4d78" /></Relationships>
</file>

<file path=xl/worksheets/_rels/sheet25.xml.rels>&#65279;<?xml version="1.0" encoding="utf-8"?><Relationships xmlns="http://schemas.openxmlformats.org/package/2006/relationships"><Relationship Type="http://schemas.openxmlformats.org/officeDocument/2006/relationships/table" Target="/xl/tables/table24.xml" Id="Rdfe7be23eb35405c" /></Relationships>
</file>

<file path=xl/worksheets/_rels/sheet26.xml.rels>&#65279;<?xml version="1.0" encoding="utf-8"?><Relationships xmlns="http://schemas.openxmlformats.org/package/2006/relationships"><Relationship Type="http://schemas.openxmlformats.org/officeDocument/2006/relationships/table" Target="/xl/tables/table25.xml" Id="Rcab991e7992842d0" /></Relationships>
</file>

<file path=xl/worksheets/_rels/sheet27.xml.rels>&#65279;<?xml version="1.0" encoding="utf-8"?><Relationships xmlns="http://schemas.openxmlformats.org/package/2006/relationships"><Relationship Type="http://schemas.openxmlformats.org/officeDocument/2006/relationships/table" Target="/xl/tables/table26.xml" Id="Rfb7f5d44834c49ca" /></Relationships>
</file>

<file path=xl/worksheets/sheet1.xml><?xml version="1.0" encoding="utf-8"?>
<x:worksheet xmlns:x="http://schemas.openxmlformats.org/spreadsheetml/2006/main">
  <x:sheetPr>
    <x:tabColor rgb="FF102438"/>
  </x:sheetPr>
  <x:sheetViews>
    <x:sheetView showGridLines="0" workbookViewId="0"/>
  </x:sheetViews>
  <x:sheetFormatPr defaultRowHeight="15"/>
  <x:cols>
    <x:col min="1" max="1" width="28" hidden="0" customWidth="1"/>
    <x:col min="2" max="2" width="12" hidden="0" customWidth="1"/>
    <x:col min="3" max="3" width="13" hidden="0" customWidth="1"/>
    <x:col min="4" max="4" width="13" hidden="0" customWidth="1"/>
    <x:col min="5" max="5" width="13" hidden="0" customWidth="1"/>
    <x:col min="6" max="6" width="13" hidden="0" customWidth="1"/>
    <x:col min="7" max="7" width="14" hidden="0" customWidth="1"/>
    <x:col min="8" max="8" width="15" hidden="0" customWidth="1"/>
    <x:col min="9" max="9" width="16" hidden="0" customWidth="1"/>
    <x:col min="10" max="10" width="17" hidden="0" customWidth="1"/>
    <x:col min="11" max="11" width="17" hidden="0" customWidth="1"/>
    <x:col min="12" max="12" width="17" hidden="0" customWidth="1"/>
    <x:col min="13" max="13" width="14" hidden="0" customWidth="1"/>
  </x:cols>
  <x:sheetData>
    <x:row r="1" ht="22" customHeight="1">
      <x:c r="A1" s="2"/>
      <x:c r="B1" s="2"/>
      <x:c r="C1" s="2"/>
      <x:c r="D1" s="2"/>
      <x:c r="E1" s="2"/>
      <x:c r="F1" s="2"/>
      <x:c r="G1" s="2"/>
      <x:c r="H1" s="2"/>
      <x:c r="I1" s="2"/>
      <x:c r="J1" s="2"/>
      <x:c r="K1" s="2"/>
      <x:c r="L1" s="2"/>
      <x:c r="M1" s="2"/>
    </x:row>
    <x:row r="2" ht="22" customHeight="1">
      <x:c r="A2" s="3" t="str">
        <x:v>Mass Effect: Evolution</x:v>
      </x:c>
      <x:c r="B2" s="2"/>
      <x:c r="C2" s="2"/>
      <x:c r="D2" s="2"/>
      <x:c r="E2" s="2"/>
      <x:c r="F2" s="2"/>
      <x:c r="G2" s="2"/>
      <x:c r="H2" s="2"/>
      <x:c r="I2" s="2"/>
      <x:c r="J2" s="2"/>
      <x:c r="K2" s="2"/>
      <x:c r="L2" s="2"/>
      <x:c r="M2" s="2"/>
    </x:row>
    <x:row r="3" ht="22" customHeight="1">
      <x:c r="A3" s="4" t="str">
        <x:v>Catalogue de production. Statuts et références calculés depuis les fiches.</x:v>
      </x:c>
      <x:c r="B3" s="2"/>
      <x:c r="C3" s="2"/>
      <x:c r="D3" s="2"/>
      <x:c r="E3" s="2"/>
      <x:c r="F3" s="2"/>
      <x:c r="G3" s="2"/>
      <x:c r="H3" s="2"/>
      <x:c r="I3" s="2"/>
      <x:c r="J3" s="2"/>
      <x:c r="K3" s="2"/>
      <x:c r="L3" s="2"/>
      <x:c r="M3" s="2"/>
    </x:row>
    <x:row r="4" ht="22" customHeight="1">
      <x:c r="A4" s="5"/>
      <x:c r="B4" s="5"/>
      <x:c r="C4" s="5"/>
      <x:c r="D4" s="5"/>
      <x:c r="E4" s="5"/>
      <x:c r="F4" s="5"/>
      <x:c r="G4" s="5"/>
      <x:c r="H4" s="5"/>
      <x:c r="I4" s="5"/>
      <x:c r="J4" s="5"/>
      <x:c r="K4" s="5"/>
      <x:c r="L4" s="5"/>
      <x:c r="M4" s="5"/>
    </x:row>
    <x:row r="5" ht="22" customHeight="1">
      <x:c r="A5" s="2" t="str">
        <x:v>Fiches suivies</x:v>
      </x:c>
      <x:c r="B5" s="31" t="n">
        <x:f>SUM(B10:B35)</x:f>
        <x:v>122</x:v>
      </x:c>
      <x:c r="C5" s="2"/>
      <x:c r="D5" s="2" t="str">
        <x:v>Intégrés</x:v>
      </x:c>
      <x:c r="E5" s="31" t="n">
        <x:f>SUM(E10:F35)</x:f>
        <x:v>0</x:v>
      </x:c>
      <x:c r="F5" s="2"/>
      <x:c r="G5" s="2" t="str">
        <x:v>À vérifier</x:v>
      </x:c>
      <x:c r="H5" s="31" t="n">
        <x:f>SUM(H10:H35)</x:f>
        <x:v>3</x:v>
      </x:c>
      <x:c r="I5" s="2"/>
      <x:c r="J5" s="2" t="str">
        <x:v>Extrapolations</x:v>
      </x:c>
      <x:c r="K5" s="31" t="n">
        <x:f>SUM(I10:I35)</x:f>
        <x:v>98</x:v>
      </x:c>
      <x:c r="L5" s="2"/>
      <x:c r="M5" s="2"/>
    </x:row>
    <x:row r="6" ht="22" customHeight="1">
      <x:c r="A6" s="2"/>
      <x:c r="B6" s="2"/>
      <x:c r="C6" s="2"/>
      <x:c r="D6" s="2"/>
      <x:c r="E6" s="2"/>
      <x:c r="F6" s="2"/>
      <x:c r="G6" s="2"/>
      <x:c r="H6" s="2"/>
      <x:c r="I6" s="2"/>
      <x:c r="J6" s="2"/>
      <x:c r="K6" s="2"/>
      <x:c r="L6" s="2"/>
      <x:c r="M6" s="2"/>
    </x:row>
    <x:row r="7" ht="22" customHeight="1">
      <x:c r="A7" s="32" t="str">
        <x:v>Défini = spécification. Établi = référence documentée. Les colonnes d’adaptation restent des propositions.</x:v>
      </x:c>
      <x:c r="B7" s="2"/>
      <x:c r="C7" s="2"/>
      <x:c r="D7" s="2"/>
      <x:c r="E7" s="2"/>
      <x:c r="F7" s="2"/>
      <x:c r="G7" s="2"/>
      <x:c r="H7" s="2"/>
      <x:c r="I7" s="2"/>
      <x:c r="J7" s="2"/>
      <x:c r="K7" s="2"/>
      <x:c r="L7" s="2"/>
      <x:c r="M7" s="2"/>
    </x:row>
    <x:row r="8" ht="22" customHeight="1">
      <x:c r="A8" s="2"/>
      <x:c r="B8" s="2"/>
      <x:c r="C8" s="2"/>
      <x:c r="D8" s="2"/>
      <x:c r="E8" s="2"/>
      <x:c r="F8" s="2"/>
      <x:c r="G8" s="2"/>
      <x:c r="H8" s="2"/>
      <x:c r="I8" s="2"/>
      <x:c r="J8" s="2"/>
      <x:c r="K8" s="2"/>
      <x:c r="L8" s="2"/>
      <x:c r="M8" s="2"/>
    </x:row>
    <x:row r="9" ht="34" customHeight="1">
      <x:c r="A9" s="28" t="str">
        <x:v>Domaine</x:v>
      </x:c>
      <x:c r="B9" s="29" t="str">
        <x:v>Total</x:v>
      </x:c>
      <x:c r="C9" s="29" t="str">
        <x:v>Défini</x:v>
      </x:c>
      <x:c r="D9" s="29" t="str">
        <x:v>Prototype</x:v>
      </x:c>
      <x:c r="E9" s="29" t="str">
        <x:v>Intégré</x:v>
      </x:c>
      <x:c r="F9" s="29" t="str">
        <x:v>Validé</x:v>
      </x:c>
      <x:c r="G9" s="29" t="str">
        <x:v>Établi</x:v>
      </x:c>
      <x:c r="H9" s="29" t="str">
        <x:v>À vérifier</x:v>
      </x:c>
      <x:c r="I9" s="29" t="str">
        <x:v>Extrapolation</x:v>
      </x:c>
      <x:c r="J9" s="29" t="str">
        <x:v>Coupé attesté</x:v>
      </x:c>
      <x:c r="K9" s="29" t="str">
        <x:v>Concept abandonné</x:v>
      </x:c>
      <x:c r="L9" s="29" t="str">
        <x:v>Allégation écartée</x:v>
      </x:c>
      <x:c r="M9" s="30" t="str">
        <x:v>Priorité P0</x:v>
      </x:c>
    </x:row>
    <x:row r="10" ht="22" customHeight="1">
      <x:c r="A10" s="33" t="str">
        <x:v>Personnages</x:v>
      </x:c>
      <x:c r="B10" s="37" t="n">
        <x:f>COUNTA('Personnages'!$A$7:$A$10)</x:f>
        <x:v>4</x:v>
      </x:c>
      <x:c r="C10" s="37" t="n">
        <x:f>COUNTIFS('Personnages'!$C$7:$C$10,"Défini")</x:f>
        <x:v>4</x:v>
      </x:c>
      <x:c r="D10" s="37" t="n">
        <x:f>COUNTIFS('Personnages'!$C$7:$C$10,"Prototype")</x:f>
        <x:v>0</x:v>
      </x:c>
      <x:c r="E10" s="37" t="n">
        <x:f>COUNTIFS('Personnages'!$C$7:$C$10,"Intégré")</x:f>
        <x:v>0</x:v>
      </x:c>
      <x:c r="F10" s="37" t="n">
        <x:f>COUNTIFS('Personnages'!$C$7:$C$10,"Validé")</x:f>
        <x:v>0</x:v>
      </x:c>
      <x:c r="G10" s="37" t="n">
        <x:f>COUNTIFS('Personnages'!$D$7:$D$10,"Établi")</x:f>
        <x:v>3</x:v>
      </x:c>
      <x:c r="H10" s="37" t="n">
        <x:f>COUNTIFS('Personnages'!$D$7:$D$10,"À vérifier")</x:f>
        <x:v>1</x:v>
      </x:c>
      <x:c r="I10" s="37" t="n">
        <x:f>COUNTIFS('Personnages'!$D$7:$D$10,"Extrapolation")</x:f>
        <x:v>0</x:v>
      </x:c>
      <x:c r="J10" s="37" t="n">
        <x:f>COUNTIFS('Personnages'!$D$7:$D$10,"Coupé attesté")</x:f>
        <x:v>0</x:v>
      </x:c>
      <x:c r="K10" s="37" t="n">
        <x:f>COUNTIFS('Personnages'!$D$7:$D$10,"Concept abandonné")</x:f>
        <x:v>0</x:v>
      </x:c>
      <x:c r="L10" s="37" t="n">
        <x:f>COUNTIFS('Personnages'!$D$7:$D$10,"Allégation écartée")</x:f>
        <x:v>0</x:v>
      </x:c>
      <x:c r="M10" s="37" t="n">
        <x:f>COUNTIFS('Personnages'!$E$7:$E$10,"P0")</x:f>
        <x:v>0</x:v>
      </x:c>
    </x:row>
    <x:row r="11" ht="22" customHeight="1">
      <x:c r="A11" s="2" t="str">
        <x:v>PNJ</x:v>
      </x:c>
      <x:c r="B11" s="38" t="n">
        <x:f>COUNTA('PNJ'!$A$7:$A$9)</x:f>
        <x:v>3</x:v>
      </x:c>
      <x:c r="C11" s="38" t="n">
        <x:f>COUNTIFS('PNJ'!$C$7:$C$9,"Défini")</x:f>
        <x:v>3</x:v>
      </x:c>
      <x:c r="D11" s="38" t="n">
        <x:f>COUNTIFS('PNJ'!$C$7:$C$9,"Prototype")</x:f>
        <x:v>0</x:v>
      </x:c>
      <x:c r="E11" s="38" t="n">
        <x:f>COUNTIFS('PNJ'!$C$7:$C$9,"Intégré")</x:f>
        <x:v>0</x:v>
      </x:c>
      <x:c r="F11" s="38" t="n">
        <x:f>COUNTIFS('PNJ'!$C$7:$C$9,"Validé")</x:f>
        <x:v>0</x:v>
      </x:c>
      <x:c r="G11" s="38" t="n">
        <x:f>COUNTIFS('PNJ'!$D$7:$D$9,"Établi")</x:f>
        <x:v>3</x:v>
      </x:c>
      <x:c r="H11" s="38" t="n">
        <x:f>COUNTIFS('PNJ'!$D$7:$D$9,"À vérifier")</x:f>
        <x:v>0</x:v>
      </x:c>
      <x:c r="I11" s="38" t="n">
        <x:f>COUNTIFS('PNJ'!$D$7:$D$9,"Extrapolation")</x:f>
        <x:v>0</x:v>
      </x:c>
      <x:c r="J11" s="38" t="n">
        <x:f>COUNTIFS('PNJ'!$D$7:$D$9,"Coupé attesté")</x:f>
        <x:v>0</x:v>
      </x:c>
      <x:c r="K11" s="38" t="n">
        <x:f>COUNTIFS('PNJ'!$D$7:$D$9,"Concept abandonné")</x:f>
        <x:v>0</x:v>
      </x:c>
      <x:c r="L11" s="38" t="n">
        <x:f>COUNTIFS('PNJ'!$D$7:$D$9,"Allégation écartée")</x:f>
        <x:v>0</x:v>
      </x:c>
      <x:c r="M11" s="38" t="n">
        <x:f>COUNTIFS('PNJ'!$E$7:$E$9,"P0")</x:f>
        <x:v>0</x:v>
      </x:c>
    </x:row>
    <x:row r="12" ht="22" customHeight="1">
      <x:c r="A12" s="33" t="str">
        <x:v>Espèces et factions</x:v>
      </x:c>
      <x:c r="B12" s="37" t="n">
        <x:f>COUNTA('Especes_factions'!$A$7:$A$16)</x:f>
        <x:v>10</x:v>
      </x:c>
      <x:c r="C12" s="37" t="n">
        <x:f>COUNTIFS('Especes_factions'!$C$7:$C$16,"Défini")</x:f>
        <x:v>5</x:v>
      </x:c>
      <x:c r="D12" s="37" t="n">
        <x:f>COUNTIFS('Especes_factions'!$C$7:$C$16,"Prototype")</x:f>
        <x:v>5</x:v>
      </x:c>
      <x:c r="E12" s="37" t="n">
        <x:f>COUNTIFS('Especes_factions'!$C$7:$C$16,"Intégré")</x:f>
        <x:v>0</x:v>
      </x:c>
      <x:c r="F12" s="37" t="n">
        <x:f>COUNTIFS('Especes_factions'!$C$7:$C$16,"Validé")</x:f>
        <x:v>0</x:v>
      </x:c>
      <x:c r="G12" s="37" t="n">
        <x:f>COUNTIFS('Especes_factions'!$D$7:$D$16,"Établi")</x:f>
        <x:v>10</x:v>
      </x:c>
      <x:c r="H12" s="37" t="n">
        <x:f>COUNTIFS('Especes_factions'!$D$7:$D$16,"À vérifier")</x:f>
        <x:v>0</x:v>
      </x:c>
      <x:c r="I12" s="37" t="n">
        <x:f>COUNTIFS('Especes_factions'!$D$7:$D$16,"Extrapolation")</x:f>
        <x:v>0</x:v>
      </x:c>
      <x:c r="J12" s="37" t="n">
        <x:f>COUNTIFS('Especes_factions'!$D$7:$D$16,"Coupé attesté")</x:f>
        <x:v>0</x:v>
      </x:c>
      <x:c r="K12" s="37" t="n">
        <x:f>COUNTIFS('Especes_factions'!$D$7:$D$16,"Concept abandonné")</x:f>
        <x:v>0</x:v>
      </x:c>
      <x:c r="L12" s="37" t="n">
        <x:f>COUNTIFS('Especes_factions'!$D$7:$D$16,"Allégation écartée")</x:f>
        <x:v>0</x:v>
      </x:c>
      <x:c r="M12" s="37" t="n">
        <x:f>COUNTIFS('Especes_factions'!$E$7:$E$16,"P0")</x:f>
        <x:v>4</x:v>
      </x:c>
    </x:row>
    <x:row r="13" ht="22" customHeight="1">
      <x:c r="A13" s="2" t="str">
        <x:v>Mondes</x:v>
      </x:c>
      <x:c r="B13" s="38" t="n">
        <x:f>COUNTA('Mondes'!$A$7:$A$10)</x:f>
        <x:v>4</x:v>
      </x:c>
      <x:c r="C13" s="38" t="n">
        <x:f>COUNTIFS('Mondes'!$C$7:$C$10,"Défini")</x:f>
        <x:v>4</x:v>
      </x:c>
      <x:c r="D13" s="38" t="n">
        <x:f>COUNTIFS('Mondes'!$C$7:$C$10,"Prototype")</x:f>
        <x:v>0</x:v>
      </x:c>
      <x:c r="E13" s="38" t="n">
        <x:f>COUNTIFS('Mondes'!$C$7:$C$10,"Intégré")</x:f>
        <x:v>0</x:v>
      </x:c>
      <x:c r="F13" s="38" t="n">
        <x:f>COUNTIFS('Mondes'!$C$7:$C$10,"Validé")</x:f>
        <x:v>0</x:v>
      </x:c>
      <x:c r="G13" s="38" t="n">
        <x:f>COUNTIFS('Mondes'!$D$7:$D$10,"Établi")</x:f>
        <x:v>3</x:v>
      </x:c>
      <x:c r="H13" s="38" t="n">
        <x:f>COUNTIFS('Mondes'!$D$7:$D$10,"À vérifier")</x:f>
        <x:v>1</x:v>
      </x:c>
      <x:c r="I13" s="38" t="n">
        <x:f>COUNTIFS('Mondes'!$D$7:$D$10,"Extrapolation")</x:f>
        <x:v>0</x:v>
      </x:c>
      <x:c r="J13" s="38" t="n">
        <x:f>COUNTIFS('Mondes'!$D$7:$D$10,"Coupé attesté")</x:f>
        <x:v>0</x:v>
      </x:c>
      <x:c r="K13" s="38" t="n">
        <x:f>COUNTIFS('Mondes'!$D$7:$D$10,"Concept abandonné")</x:f>
        <x:v>0</x:v>
      </x:c>
      <x:c r="L13" s="38" t="n">
        <x:f>COUNTIFS('Mondes'!$D$7:$D$10,"Allégation écartée")</x:f>
        <x:v>0</x:v>
      </x:c>
      <x:c r="M13" s="38" t="n">
        <x:f>COUNTIFS('Mondes'!$E$7:$E$10,"P0")</x:f>
        <x:v>0</x:v>
      </x:c>
    </x:row>
    <x:row r="14" ht="22" customHeight="1">
      <x:c r="A14" s="33" t="str">
        <x:v>Zones</x:v>
      </x:c>
      <x:c r="B14" s="37" t="n">
        <x:f>COUNTA('Zones'!$A$7:$A$10)</x:f>
        <x:v>4</x:v>
      </x:c>
      <x:c r="C14" s="37" t="n">
        <x:f>COUNTIFS('Zones'!$C$7:$C$10,"Défini")</x:f>
        <x:v>4</x:v>
      </x:c>
      <x:c r="D14" s="37" t="n">
        <x:f>COUNTIFS('Zones'!$C$7:$C$10,"Prototype")</x:f>
        <x:v>0</x:v>
      </x:c>
      <x:c r="E14" s="37" t="n">
        <x:f>COUNTIFS('Zones'!$C$7:$C$10,"Intégré")</x:f>
        <x:v>0</x:v>
      </x:c>
      <x:c r="F14" s="37" t="n">
        <x:f>COUNTIFS('Zones'!$C$7:$C$10,"Validé")</x:f>
        <x:v>0</x:v>
      </x:c>
      <x:c r="G14" s="37" t="n">
        <x:f>COUNTIFS('Zones'!$D$7:$D$10,"Établi")</x:f>
        <x:v>0</x:v>
      </x:c>
      <x:c r="H14" s="37" t="n">
        <x:f>COUNTIFS('Zones'!$D$7:$D$10,"À vérifier")</x:f>
        <x:v>0</x:v>
      </x:c>
      <x:c r="I14" s="37" t="n">
        <x:f>COUNTIFS('Zones'!$D$7:$D$10,"Extrapolation")</x:f>
        <x:v>4</x:v>
      </x:c>
      <x:c r="J14" s="37" t="n">
        <x:f>COUNTIFS('Zones'!$D$7:$D$10,"Coupé attesté")</x:f>
        <x:v>0</x:v>
      </x:c>
      <x:c r="K14" s="37" t="n">
        <x:f>COUNTIFS('Zones'!$D$7:$D$10,"Concept abandonné")</x:f>
        <x:v>0</x:v>
      </x:c>
      <x:c r="L14" s="37" t="n">
        <x:f>COUNTIFS('Zones'!$D$7:$D$10,"Allégation écartée")</x:f>
        <x:v>0</x:v>
      </x:c>
      <x:c r="M14" s="37" t="n">
        <x:f>COUNTIFS('Zones'!$E$7:$E$10,"P0")</x:f>
        <x:v>0</x:v>
      </x:c>
    </x:row>
    <x:row r="15" ht="22" customHeight="1">
      <x:c r="A15" s="2" t="str">
        <x:v>Liaisons</x:v>
      </x:c>
      <x:c r="B15" s="38" t="n">
        <x:f>COUNTA('Liaisons'!$A$7:$A$10)</x:f>
        <x:v>4</x:v>
      </x:c>
      <x:c r="C15" s="38" t="n">
        <x:f>COUNTIFS('Liaisons'!$C$7:$C$10,"Défini")</x:f>
        <x:v>4</x:v>
      </x:c>
      <x:c r="D15" s="38" t="n">
        <x:f>COUNTIFS('Liaisons'!$C$7:$C$10,"Prototype")</x:f>
        <x:v>0</x:v>
      </x:c>
      <x:c r="E15" s="38" t="n">
        <x:f>COUNTIFS('Liaisons'!$C$7:$C$10,"Intégré")</x:f>
        <x:v>0</x:v>
      </x:c>
      <x:c r="F15" s="38" t="n">
        <x:f>COUNTIFS('Liaisons'!$C$7:$C$10,"Validé")</x:f>
        <x:v>0</x:v>
      </x:c>
      <x:c r="G15" s="38" t="n">
        <x:f>COUNTIFS('Liaisons'!$D$7:$D$10,"Établi")</x:f>
        <x:v>0</x:v>
      </x:c>
      <x:c r="H15" s="38" t="n">
        <x:f>COUNTIFS('Liaisons'!$D$7:$D$10,"À vérifier")</x:f>
        <x:v>0</x:v>
      </x:c>
      <x:c r="I15" s="38" t="n">
        <x:f>COUNTIFS('Liaisons'!$D$7:$D$10,"Extrapolation")</x:f>
        <x:v>4</x:v>
      </x:c>
      <x:c r="J15" s="38" t="n">
        <x:f>COUNTIFS('Liaisons'!$D$7:$D$10,"Coupé attesté")</x:f>
        <x:v>0</x:v>
      </x:c>
      <x:c r="K15" s="38" t="n">
        <x:f>COUNTIFS('Liaisons'!$D$7:$D$10,"Concept abandonné")</x:f>
        <x:v>0</x:v>
      </x:c>
      <x:c r="L15" s="38" t="n">
        <x:f>COUNTIFS('Liaisons'!$D$7:$D$10,"Allégation écartée")</x:f>
        <x:v>0</x:v>
      </x:c>
      <x:c r="M15" s="38" t="n">
        <x:f>COUNTIFS('Liaisons'!$E$7:$E$10,"P0")</x:f>
        <x:v>0</x:v>
      </x:c>
    </x:row>
    <x:row r="16" ht="22" customHeight="1">
      <x:c r="A16" s="33" t="str">
        <x:v>Décors</x:v>
      </x:c>
      <x:c r="B16" s="37" t="n">
        <x:f>COUNTA('Decors'!$A$7:$A$10)</x:f>
        <x:v>4</x:v>
      </x:c>
      <x:c r="C16" s="37" t="n">
        <x:f>COUNTIFS('Decors'!$C$7:$C$10,"Défini")</x:f>
        <x:v>4</x:v>
      </x:c>
      <x:c r="D16" s="37" t="n">
        <x:f>COUNTIFS('Decors'!$C$7:$C$10,"Prototype")</x:f>
        <x:v>0</x:v>
      </x:c>
      <x:c r="E16" s="37" t="n">
        <x:f>COUNTIFS('Decors'!$C$7:$C$10,"Intégré")</x:f>
        <x:v>0</x:v>
      </x:c>
      <x:c r="F16" s="37" t="n">
        <x:f>COUNTIFS('Decors'!$C$7:$C$10,"Validé")</x:f>
        <x:v>0</x:v>
      </x:c>
      <x:c r="G16" s="37" t="n">
        <x:f>COUNTIFS('Decors'!$D$7:$D$10,"Établi")</x:f>
        <x:v>0</x:v>
      </x:c>
      <x:c r="H16" s="37" t="n">
        <x:f>COUNTIFS('Decors'!$D$7:$D$10,"À vérifier")</x:f>
        <x:v>0</x:v>
      </x:c>
      <x:c r="I16" s="37" t="n">
        <x:f>COUNTIFS('Decors'!$D$7:$D$10,"Extrapolation")</x:f>
        <x:v>4</x:v>
      </x:c>
      <x:c r="J16" s="37" t="n">
        <x:f>COUNTIFS('Decors'!$D$7:$D$10,"Coupé attesté")</x:f>
        <x:v>0</x:v>
      </x:c>
      <x:c r="K16" s="37" t="n">
        <x:f>COUNTIFS('Decors'!$D$7:$D$10,"Concept abandonné")</x:f>
        <x:v>0</x:v>
      </x:c>
      <x:c r="L16" s="37" t="n">
        <x:f>COUNTIFS('Decors'!$D$7:$D$10,"Allégation écartée")</x:f>
        <x:v>0</x:v>
      </x:c>
      <x:c r="M16" s="37" t="n">
        <x:f>COUNTIFS('Decors'!$E$7:$E$10,"P0")</x:f>
        <x:v>0</x:v>
      </x:c>
    </x:row>
    <x:row r="17" ht="22" customHeight="1">
      <x:c r="A17" s="2" t="str">
        <x:v>Props</x:v>
      </x:c>
      <x:c r="B17" s="38" t="n">
        <x:f>COUNTA('Props'!$A$7:$A$12)</x:f>
        <x:v>6</x:v>
      </x:c>
      <x:c r="C17" s="38" t="n">
        <x:f>COUNTIFS('Props'!$C$7:$C$12,"Défini")</x:f>
        <x:v>6</x:v>
      </x:c>
      <x:c r="D17" s="38" t="n">
        <x:f>COUNTIFS('Props'!$C$7:$C$12,"Prototype")</x:f>
        <x:v>0</x:v>
      </x:c>
      <x:c r="E17" s="38" t="n">
        <x:f>COUNTIFS('Props'!$C$7:$C$12,"Intégré")</x:f>
        <x:v>0</x:v>
      </x:c>
      <x:c r="F17" s="38" t="n">
        <x:f>COUNTIFS('Props'!$C$7:$C$12,"Validé")</x:f>
        <x:v>0</x:v>
      </x:c>
      <x:c r="G17" s="38" t="n">
        <x:f>COUNTIFS('Props'!$D$7:$D$12,"Établi")</x:f>
        <x:v>0</x:v>
      </x:c>
      <x:c r="H17" s="38" t="n">
        <x:f>COUNTIFS('Props'!$D$7:$D$12,"À vérifier")</x:f>
        <x:v>0</x:v>
      </x:c>
      <x:c r="I17" s="38" t="n">
        <x:f>COUNTIFS('Props'!$D$7:$D$12,"Extrapolation")</x:f>
        <x:v>6</x:v>
      </x:c>
      <x:c r="J17" s="38" t="n">
        <x:f>COUNTIFS('Props'!$D$7:$D$12,"Coupé attesté")</x:f>
        <x:v>0</x:v>
      </x:c>
      <x:c r="K17" s="38" t="n">
        <x:f>COUNTIFS('Props'!$D$7:$D$12,"Concept abandonné")</x:f>
        <x:v>0</x:v>
      </x:c>
      <x:c r="L17" s="38" t="n">
        <x:f>COUNTIFS('Props'!$D$7:$D$12,"Allégation écartée")</x:f>
        <x:v>0</x:v>
      </x:c>
      <x:c r="M17" s="38" t="n">
        <x:f>COUNTIFS('Props'!$E$7:$E$12,"P0")</x:f>
        <x:v>0</x:v>
      </x:c>
    </x:row>
    <x:row r="18" ht="22" customHeight="1">
      <x:c r="A18" s="33" t="str">
        <x:v>Ennemis et boss</x:v>
      </x:c>
      <x:c r="B18" s="37" t="n">
        <x:f>COUNTA('Ennemis_boss'!$A$7:$A$9)</x:f>
        <x:v>3</x:v>
      </x:c>
      <x:c r="C18" s="37" t="n">
        <x:f>COUNTIFS('Ennemis_boss'!$C$7:$C$9,"Défini")</x:f>
        <x:v>3</x:v>
      </x:c>
      <x:c r="D18" s="37" t="n">
        <x:f>COUNTIFS('Ennemis_boss'!$C$7:$C$9,"Prototype")</x:f>
        <x:v>0</x:v>
      </x:c>
      <x:c r="E18" s="37" t="n">
        <x:f>COUNTIFS('Ennemis_boss'!$C$7:$C$9,"Intégré")</x:f>
        <x:v>0</x:v>
      </x:c>
      <x:c r="F18" s="37" t="n">
        <x:f>COUNTIFS('Ennemis_boss'!$C$7:$C$9,"Validé")</x:f>
        <x:v>0</x:v>
      </x:c>
      <x:c r="G18" s="37" t="n">
        <x:f>COUNTIFS('Ennemis_boss'!$D$7:$D$9,"Établi")</x:f>
        <x:v>2</x:v>
      </x:c>
      <x:c r="H18" s="37" t="n">
        <x:f>COUNTIFS('Ennemis_boss'!$D$7:$D$9,"À vérifier")</x:f>
        <x:v>1</x:v>
      </x:c>
      <x:c r="I18" s="37" t="n">
        <x:f>COUNTIFS('Ennemis_boss'!$D$7:$D$9,"Extrapolation")</x:f>
        <x:v>0</x:v>
      </x:c>
      <x:c r="J18" s="37" t="n">
        <x:f>COUNTIFS('Ennemis_boss'!$D$7:$D$9,"Coupé attesté")</x:f>
        <x:v>0</x:v>
      </x:c>
      <x:c r="K18" s="37" t="n">
        <x:f>COUNTIFS('Ennemis_boss'!$D$7:$D$9,"Concept abandonné")</x:f>
        <x:v>0</x:v>
      </x:c>
      <x:c r="L18" s="37" t="n">
        <x:f>COUNTIFS('Ennemis_boss'!$D$7:$D$9,"Allégation écartée")</x:f>
        <x:v>0</x:v>
      </x:c>
      <x:c r="M18" s="37" t="n">
        <x:f>COUNTIFS('Ennemis_boss'!$E$7:$E$9,"P0")</x:f>
        <x:v>0</x:v>
      </x:c>
    </x:row>
    <x:row r="19" ht="22" customHeight="1">
      <x:c r="A19" s="2" t="str">
        <x:v>Missions</x:v>
      </x:c>
      <x:c r="B19" s="38" t="n">
        <x:f>COUNTA('Missions'!$A$7:$A$12)</x:f>
        <x:v>6</x:v>
      </x:c>
      <x:c r="C19" s="38" t="n">
        <x:f>COUNTIFS('Missions'!$C$7:$C$12,"Défini")</x:f>
        <x:v>6</x:v>
      </x:c>
      <x:c r="D19" s="38" t="n">
        <x:f>COUNTIFS('Missions'!$C$7:$C$12,"Prototype")</x:f>
        <x:v>0</x:v>
      </x:c>
      <x:c r="E19" s="38" t="n">
        <x:f>COUNTIFS('Missions'!$C$7:$C$12,"Intégré")</x:f>
        <x:v>0</x:v>
      </x:c>
      <x:c r="F19" s="38" t="n">
        <x:f>COUNTIFS('Missions'!$C$7:$C$12,"Validé")</x:f>
        <x:v>0</x:v>
      </x:c>
      <x:c r="G19" s="38" t="n">
        <x:f>COUNTIFS('Missions'!$D$7:$D$12,"Établi")</x:f>
        <x:v>0</x:v>
      </x:c>
      <x:c r="H19" s="38" t="n">
        <x:f>COUNTIFS('Missions'!$D$7:$D$12,"À vérifier")</x:f>
        <x:v>0</x:v>
      </x:c>
      <x:c r="I19" s="38" t="n">
        <x:f>COUNTIFS('Missions'!$D$7:$D$12,"Extrapolation")</x:f>
        <x:v>6</x:v>
      </x:c>
      <x:c r="J19" s="38" t="n">
        <x:f>COUNTIFS('Missions'!$D$7:$D$12,"Coupé attesté")</x:f>
        <x:v>0</x:v>
      </x:c>
      <x:c r="K19" s="38" t="n">
        <x:f>COUNTIFS('Missions'!$D$7:$D$12,"Concept abandonné")</x:f>
        <x:v>0</x:v>
      </x:c>
      <x:c r="L19" s="38" t="n">
        <x:f>COUNTIFS('Missions'!$D$7:$D$12,"Allégation écartée")</x:f>
        <x:v>0</x:v>
      </x:c>
      <x:c r="M19" s="38" t="n">
        <x:f>COUNTIFS('Missions'!$E$7:$E$12,"P0")</x:f>
        <x:v>6</x:v>
      </x:c>
    </x:row>
    <x:row r="20" ht="22" customHeight="1">
      <x:c r="A20" s="33" t="str">
        <x:v>Secondaires et DLC</x:v>
      </x:c>
      <x:c r="B20" s="37" t="n">
        <x:f>COUNTA('Secondaires_DLC'!$A$7:$A$12)</x:f>
        <x:v>6</x:v>
      </x:c>
      <x:c r="C20" s="37" t="n">
        <x:f>COUNTIFS('Secondaires_DLC'!$C$7:$C$12,"Défini")</x:f>
        <x:v>6</x:v>
      </x:c>
      <x:c r="D20" s="37" t="n">
        <x:f>COUNTIFS('Secondaires_DLC'!$C$7:$C$12,"Prototype")</x:f>
        <x:v>0</x:v>
      </x:c>
      <x:c r="E20" s="37" t="n">
        <x:f>COUNTIFS('Secondaires_DLC'!$C$7:$C$12,"Intégré")</x:f>
        <x:v>0</x:v>
      </x:c>
      <x:c r="F20" s="37" t="n">
        <x:f>COUNTIFS('Secondaires_DLC'!$C$7:$C$12,"Validé")</x:f>
        <x:v>0</x:v>
      </x:c>
      <x:c r="G20" s="37" t="n">
        <x:f>COUNTIFS('Secondaires_DLC'!$D$7:$D$12,"Établi")</x:f>
        <x:v>0</x:v>
      </x:c>
      <x:c r="H20" s="37" t="n">
        <x:f>COUNTIFS('Secondaires_DLC'!$D$7:$D$12,"À vérifier")</x:f>
        <x:v>0</x:v>
      </x:c>
      <x:c r="I20" s="37" t="n">
        <x:f>COUNTIFS('Secondaires_DLC'!$D$7:$D$12,"Extrapolation")</x:f>
        <x:v>6</x:v>
      </x:c>
      <x:c r="J20" s="37" t="n">
        <x:f>COUNTIFS('Secondaires_DLC'!$D$7:$D$12,"Coupé attesté")</x:f>
        <x:v>0</x:v>
      </x:c>
      <x:c r="K20" s="37" t="n">
        <x:f>COUNTIFS('Secondaires_DLC'!$D$7:$D$12,"Concept abandonné")</x:f>
        <x:v>0</x:v>
      </x:c>
      <x:c r="L20" s="37" t="n">
        <x:f>COUNTIFS('Secondaires_DLC'!$D$7:$D$12,"Allégation écartée")</x:f>
        <x:v>0</x:v>
      </x:c>
      <x:c r="M20" s="37" t="n">
        <x:f>COUNTIFS('Secondaires_DLC'!$E$7:$E$12,"P0")</x:f>
        <x:v>0</x:v>
      </x:c>
    </x:row>
    <x:row r="21" ht="22" customHeight="1">
      <x:c r="A21" s="2" t="str">
        <x:v>Choix et relations</x:v>
      </x:c>
      <x:c r="B21" s="38" t="n">
        <x:f>COUNTA('Choix_relations'!$A$7:$A$12)</x:f>
        <x:v>6</x:v>
      </x:c>
      <x:c r="C21" s="38" t="n">
        <x:f>COUNTIFS('Choix_relations'!$C$7:$C$12,"Défini")</x:f>
        <x:v>6</x:v>
      </x:c>
      <x:c r="D21" s="38" t="n">
        <x:f>COUNTIFS('Choix_relations'!$C$7:$C$12,"Prototype")</x:f>
        <x:v>0</x:v>
      </x:c>
      <x:c r="E21" s="38" t="n">
        <x:f>COUNTIFS('Choix_relations'!$C$7:$C$12,"Intégré")</x:f>
        <x:v>0</x:v>
      </x:c>
      <x:c r="F21" s="38" t="n">
        <x:f>COUNTIFS('Choix_relations'!$C$7:$C$12,"Validé")</x:f>
        <x:v>0</x:v>
      </x:c>
      <x:c r="G21" s="38" t="n">
        <x:f>COUNTIFS('Choix_relations'!$D$7:$D$12,"Établi")</x:f>
        <x:v>0</x:v>
      </x:c>
      <x:c r="H21" s="38" t="n">
        <x:f>COUNTIFS('Choix_relations'!$D$7:$D$12,"À vérifier")</x:f>
        <x:v>0</x:v>
      </x:c>
      <x:c r="I21" s="38" t="n">
        <x:f>COUNTIFS('Choix_relations'!$D$7:$D$12,"Extrapolation")</x:f>
        <x:v>6</x:v>
      </x:c>
      <x:c r="J21" s="38" t="n">
        <x:f>COUNTIFS('Choix_relations'!$D$7:$D$12,"Coupé attesté")</x:f>
        <x:v>0</x:v>
      </x:c>
      <x:c r="K21" s="38" t="n">
        <x:f>COUNTIFS('Choix_relations'!$D$7:$D$12,"Concept abandonné")</x:f>
        <x:v>0</x:v>
      </x:c>
      <x:c r="L21" s="38" t="n">
        <x:f>COUNTIFS('Choix_relations'!$D$7:$D$12,"Allégation écartée")</x:f>
        <x:v>0</x:v>
      </x:c>
      <x:c r="M21" s="38" t="n">
        <x:f>COUNTIFS('Choix_relations'!$E$7:$E$12,"P0")</x:f>
        <x:v>0</x:v>
      </x:c>
    </x:row>
    <x:row r="22" ht="22" customHeight="1">
      <x:c r="A22" s="33" t="str">
        <x:v>Dialogues</x:v>
      </x:c>
      <x:c r="B22" s="37" t="n">
        <x:f>COUNTA('Dialogues'!$A$7:$A$12)</x:f>
        <x:v>6</x:v>
      </x:c>
      <x:c r="C22" s="37" t="n">
        <x:f>COUNTIFS('Dialogues'!$C$7:$C$12,"Défini")</x:f>
        <x:v>6</x:v>
      </x:c>
      <x:c r="D22" s="37" t="n">
        <x:f>COUNTIFS('Dialogues'!$C$7:$C$12,"Prototype")</x:f>
        <x:v>0</x:v>
      </x:c>
      <x:c r="E22" s="37" t="n">
        <x:f>COUNTIFS('Dialogues'!$C$7:$C$12,"Intégré")</x:f>
        <x:v>0</x:v>
      </x:c>
      <x:c r="F22" s="37" t="n">
        <x:f>COUNTIFS('Dialogues'!$C$7:$C$12,"Validé")</x:f>
        <x:v>0</x:v>
      </x:c>
      <x:c r="G22" s="37" t="n">
        <x:f>COUNTIFS('Dialogues'!$D$7:$D$12,"Établi")</x:f>
        <x:v>0</x:v>
      </x:c>
      <x:c r="H22" s="37" t="n">
        <x:f>COUNTIFS('Dialogues'!$D$7:$D$12,"À vérifier")</x:f>
        <x:v>0</x:v>
      </x:c>
      <x:c r="I22" s="37" t="n">
        <x:f>COUNTIFS('Dialogues'!$D$7:$D$12,"Extrapolation")</x:f>
        <x:v>6</x:v>
      </x:c>
      <x:c r="J22" s="37" t="n">
        <x:f>COUNTIFS('Dialogues'!$D$7:$D$12,"Coupé attesté")</x:f>
        <x:v>0</x:v>
      </x:c>
      <x:c r="K22" s="37" t="n">
        <x:f>COUNTIFS('Dialogues'!$D$7:$D$12,"Concept abandonné")</x:f>
        <x:v>0</x:v>
      </x:c>
      <x:c r="L22" s="37" t="n">
        <x:f>COUNTIFS('Dialogues'!$D$7:$D$12,"Allégation écartée")</x:f>
        <x:v>0</x:v>
      </x:c>
      <x:c r="M22" s="37" t="n">
        <x:f>COUNTIFS('Dialogues'!$E$7:$E$12,"P0")</x:f>
        <x:v>0</x:v>
      </x:c>
    </x:row>
    <x:row r="23" ht="22" customHeight="1">
      <x:c r="A23" s="2" t="str">
        <x:v>Cinématiques</x:v>
      </x:c>
      <x:c r="B23" s="38" t="n">
        <x:f>COUNTA('Cinematiques'!$A$7:$A$12)</x:f>
        <x:v>6</x:v>
      </x:c>
      <x:c r="C23" s="38" t="n">
        <x:f>COUNTIFS('Cinematiques'!$C$7:$C$12,"Défini")</x:f>
        <x:v>6</x:v>
      </x:c>
      <x:c r="D23" s="38" t="n">
        <x:f>COUNTIFS('Cinematiques'!$C$7:$C$12,"Prototype")</x:f>
        <x:v>0</x:v>
      </x:c>
      <x:c r="E23" s="38" t="n">
        <x:f>COUNTIFS('Cinematiques'!$C$7:$C$12,"Intégré")</x:f>
        <x:v>0</x:v>
      </x:c>
      <x:c r="F23" s="38" t="n">
        <x:f>COUNTIFS('Cinematiques'!$C$7:$C$12,"Validé")</x:f>
        <x:v>0</x:v>
      </x:c>
      <x:c r="G23" s="38" t="n">
        <x:f>COUNTIFS('Cinematiques'!$D$7:$D$12,"Établi")</x:f>
        <x:v>0</x:v>
      </x:c>
      <x:c r="H23" s="38" t="n">
        <x:f>COUNTIFS('Cinematiques'!$D$7:$D$12,"À vérifier")</x:f>
        <x:v>0</x:v>
      </x:c>
      <x:c r="I23" s="38" t="n">
        <x:f>COUNTIFS('Cinematiques'!$D$7:$D$12,"Extrapolation")</x:f>
        <x:v>6</x:v>
      </x:c>
      <x:c r="J23" s="38" t="n">
        <x:f>COUNTIFS('Cinematiques'!$D$7:$D$12,"Coupé attesté")</x:f>
        <x:v>0</x:v>
      </x:c>
      <x:c r="K23" s="38" t="n">
        <x:f>COUNTIFS('Cinematiques'!$D$7:$D$12,"Concept abandonné")</x:f>
        <x:v>0</x:v>
      </x:c>
      <x:c r="L23" s="38" t="n">
        <x:f>COUNTIFS('Cinematiques'!$D$7:$D$12,"Allégation écartée")</x:f>
        <x:v>0</x:v>
      </x:c>
      <x:c r="M23" s="38" t="n">
        <x:f>COUNTIFS('Cinematiques'!$E$7:$E$12,"P0")</x:f>
        <x:v>0</x:v>
      </x:c>
    </x:row>
    <x:row r="24" ht="22" customHeight="1">
      <x:c r="A24" s="33" t="str">
        <x:v>Armes</x:v>
      </x:c>
      <x:c r="B24" s="37" t="n">
        <x:f>COUNTA('Armes'!$A$7:$A$7)</x:f>
        <x:v>1</x:v>
      </x:c>
      <x:c r="C24" s="37" t="n">
        <x:f>COUNTIFS('Armes'!$C$7:$C$7,"Défini")</x:f>
        <x:v>1</x:v>
      </x:c>
      <x:c r="D24" s="37" t="n">
        <x:f>COUNTIFS('Armes'!$C$7:$C$7,"Prototype")</x:f>
        <x:v>0</x:v>
      </x:c>
      <x:c r="E24" s="37" t="n">
        <x:f>COUNTIFS('Armes'!$C$7:$C$7,"Intégré")</x:f>
        <x:v>0</x:v>
      </x:c>
      <x:c r="F24" s="37" t="n">
        <x:f>COUNTIFS('Armes'!$C$7:$C$7,"Validé")</x:f>
        <x:v>0</x:v>
      </x:c>
      <x:c r="G24" s="37" t="n">
        <x:f>COUNTIFS('Armes'!$D$7:$D$7,"Établi")</x:f>
        <x:v>0</x:v>
      </x:c>
      <x:c r="H24" s="37" t="n">
        <x:f>COUNTIFS('Armes'!$D$7:$D$7,"À vérifier")</x:f>
        <x:v>0</x:v>
      </x:c>
      <x:c r="I24" s="37" t="n">
        <x:f>COUNTIFS('Armes'!$D$7:$D$7,"Extrapolation")</x:f>
        <x:v>1</x:v>
      </x:c>
      <x:c r="J24" s="37" t="n">
        <x:f>COUNTIFS('Armes'!$D$7:$D$7,"Coupé attesté")</x:f>
        <x:v>0</x:v>
      </x:c>
      <x:c r="K24" s="37" t="n">
        <x:f>COUNTIFS('Armes'!$D$7:$D$7,"Concept abandonné")</x:f>
        <x:v>0</x:v>
      </x:c>
      <x:c r="L24" s="37" t="n">
        <x:f>COUNTIFS('Armes'!$D$7:$D$7,"Allégation écartée")</x:f>
        <x:v>0</x:v>
      </x:c>
      <x:c r="M24" s="37" t="n">
        <x:f>COUNTIFS('Armes'!$E$7:$E$7,"P0")</x:f>
        <x:v>0</x:v>
      </x:c>
    </x:row>
    <x:row r="25" ht="22" customHeight="1">
      <x:c r="A25" s="2" t="str">
        <x:v>Armures et équipement</x:v>
      </x:c>
      <x:c r="B25" s="38" t="n">
        <x:f>COUNTA('Armures_equipement'!$A$7:$A$7)</x:f>
        <x:v>1</x:v>
      </x:c>
      <x:c r="C25" s="38" t="n">
        <x:f>COUNTIFS('Armures_equipement'!$C$7:$C$7,"Défini")</x:f>
        <x:v>1</x:v>
      </x:c>
      <x:c r="D25" s="38" t="n">
        <x:f>COUNTIFS('Armures_equipement'!$C$7:$C$7,"Prototype")</x:f>
        <x:v>0</x:v>
      </x:c>
      <x:c r="E25" s="38" t="n">
        <x:f>COUNTIFS('Armures_equipement'!$C$7:$C$7,"Intégré")</x:f>
        <x:v>0</x:v>
      </x:c>
      <x:c r="F25" s="38" t="n">
        <x:f>COUNTIFS('Armures_equipement'!$C$7:$C$7,"Validé")</x:f>
        <x:v>0</x:v>
      </x:c>
      <x:c r="G25" s="38" t="n">
        <x:f>COUNTIFS('Armures_equipement'!$D$7:$D$7,"Établi")</x:f>
        <x:v>0</x:v>
      </x:c>
      <x:c r="H25" s="38" t="n">
        <x:f>COUNTIFS('Armures_equipement'!$D$7:$D$7,"À vérifier")</x:f>
        <x:v>0</x:v>
      </x:c>
      <x:c r="I25" s="38" t="n">
        <x:f>COUNTIFS('Armures_equipement'!$D$7:$D$7,"Extrapolation")</x:f>
        <x:v>1</x:v>
      </x:c>
      <x:c r="J25" s="38" t="n">
        <x:f>COUNTIFS('Armures_equipement'!$D$7:$D$7,"Coupé attesté")</x:f>
        <x:v>0</x:v>
      </x:c>
      <x:c r="K25" s="38" t="n">
        <x:f>COUNTIFS('Armures_equipement'!$D$7:$D$7,"Concept abandonné")</x:f>
        <x:v>0</x:v>
      </x:c>
      <x:c r="L25" s="38" t="n">
        <x:f>COUNTIFS('Armures_equipement'!$D$7:$D$7,"Allégation écartée")</x:f>
        <x:v>0</x:v>
      </x:c>
      <x:c r="M25" s="38" t="n">
        <x:f>COUNTIFS('Armures_equipement'!$E$7:$E$7,"P0")</x:f>
        <x:v>0</x:v>
      </x:c>
    </x:row>
    <x:row r="26" ht="22" customHeight="1">
      <x:c r="A26" s="33" t="str">
        <x:v>Pouvoirs</x:v>
      </x:c>
      <x:c r="B26" s="37" t="n">
        <x:f>COUNTA('Pouvoirs'!$A$7:$A$7)</x:f>
        <x:v>1</x:v>
      </x:c>
      <x:c r="C26" s="37" t="n">
        <x:f>COUNTIFS('Pouvoirs'!$C$7:$C$7,"Défini")</x:f>
        <x:v>1</x:v>
      </x:c>
      <x:c r="D26" s="37" t="n">
        <x:f>COUNTIFS('Pouvoirs'!$C$7:$C$7,"Prototype")</x:f>
        <x:v>0</x:v>
      </x:c>
      <x:c r="E26" s="37" t="n">
        <x:f>COUNTIFS('Pouvoirs'!$C$7:$C$7,"Intégré")</x:f>
        <x:v>0</x:v>
      </x:c>
      <x:c r="F26" s="37" t="n">
        <x:f>COUNTIFS('Pouvoirs'!$C$7:$C$7,"Validé")</x:f>
        <x:v>0</x:v>
      </x:c>
      <x:c r="G26" s="37" t="n">
        <x:f>COUNTIFS('Pouvoirs'!$D$7:$D$7,"Établi")</x:f>
        <x:v>0</x:v>
      </x:c>
      <x:c r="H26" s="37" t="n">
        <x:f>COUNTIFS('Pouvoirs'!$D$7:$D$7,"À vérifier")</x:f>
        <x:v>0</x:v>
      </x:c>
      <x:c r="I26" s="37" t="n">
        <x:f>COUNTIFS('Pouvoirs'!$D$7:$D$7,"Extrapolation")</x:f>
        <x:v>1</x:v>
      </x:c>
      <x:c r="J26" s="37" t="n">
        <x:f>COUNTIFS('Pouvoirs'!$D$7:$D$7,"Coupé attesté")</x:f>
        <x:v>0</x:v>
      </x:c>
      <x:c r="K26" s="37" t="n">
        <x:f>COUNTIFS('Pouvoirs'!$D$7:$D$7,"Concept abandonné")</x:f>
        <x:v>0</x:v>
      </x:c>
      <x:c r="L26" s="37" t="n">
        <x:f>COUNTIFS('Pouvoirs'!$D$7:$D$7,"Allégation écartée")</x:f>
        <x:v>0</x:v>
      </x:c>
      <x:c r="M26" s="37" t="n">
        <x:f>COUNTIFS('Pouvoirs'!$E$7:$E$7,"P0")</x:f>
        <x:v>0</x:v>
      </x:c>
    </x:row>
    <x:row r="27" ht="22" customHeight="1">
      <x:c r="A27" s="2" t="str">
        <x:v>Movesets alliés</x:v>
      </x:c>
      <x:c r="B27" s="38" t="n">
        <x:f>COUNTA('Movesets_allies'!$A$7:$A$8)</x:f>
        <x:v>2</x:v>
      </x:c>
      <x:c r="C27" s="38" t="n">
        <x:f>COUNTIFS('Movesets_allies'!$C$7:$C$8,"Défini")</x:f>
        <x:v>2</x:v>
      </x:c>
      <x:c r="D27" s="38" t="n">
        <x:f>COUNTIFS('Movesets_allies'!$C$7:$C$8,"Prototype")</x:f>
        <x:v>0</x:v>
      </x:c>
      <x:c r="E27" s="38" t="n">
        <x:f>COUNTIFS('Movesets_allies'!$C$7:$C$8,"Intégré")</x:f>
        <x:v>0</x:v>
      </x:c>
      <x:c r="F27" s="38" t="n">
        <x:f>COUNTIFS('Movesets_allies'!$C$7:$C$8,"Validé")</x:f>
        <x:v>0</x:v>
      </x:c>
      <x:c r="G27" s="38" t="n">
        <x:f>COUNTIFS('Movesets_allies'!$D$7:$D$8,"Établi")</x:f>
        <x:v>0</x:v>
      </x:c>
      <x:c r="H27" s="38" t="n">
        <x:f>COUNTIFS('Movesets_allies'!$D$7:$D$8,"À vérifier")</x:f>
        <x:v>0</x:v>
      </x:c>
      <x:c r="I27" s="38" t="n">
        <x:f>COUNTIFS('Movesets_allies'!$D$7:$D$8,"Extrapolation")</x:f>
        <x:v>2</x:v>
      </x:c>
      <x:c r="J27" s="38" t="n">
        <x:f>COUNTIFS('Movesets_allies'!$D$7:$D$8,"Coupé attesté")</x:f>
        <x:v>0</x:v>
      </x:c>
      <x:c r="K27" s="38" t="n">
        <x:f>COUNTIFS('Movesets_allies'!$D$7:$D$8,"Concept abandonné")</x:f>
        <x:v>0</x:v>
      </x:c>
      <x:c r="L27" s="38" t="n">
        <x:f>COUNTIFS('Movesets_allies'!$D$7:$D$8,"Allégation écartée")</x:f>
        <x:v>0</x:v>
      </x:c>
      <x:c r="M27" s="38" t="n">
        <x:f>COUNTIFS('Movesets_allies'!$E$7:$E$8,"P0")</x:f>
        <x:v>0</x:v>
      </x:c>
    </x:row>
    <x:row r="28" ht="22" customHeight="1">
      <x:c r="A28" s="33" t="str">
        <x:v>Movesets ennemis</x:v>
      </x:c>
      <x:c r="B28" s="37" t="n">
        <x:f>COUNTA('Movesets_ennemis'!$A$7:$A$12)</x:f>
        <x:v>6</x:v>
      </x:c>
      <x:c r="C28" s="37" t="n">
        <x:f>COUNTIFS('Movesets_ennemis'!$C$7:$C$12,"Défini")</x:f>
        <x:v>6</x:v>
      </x:c>
      <x:c r="D28" s="37" t="n">
        <x:f>COUNTIFS('Movesets_ennemis'!$C$7:$C$12,"Prototype")</x:f>
        <x:v>0</x:v>
      </x:c>
      <x:c r="E28" s="37" t="n">
        <x:f>COUNTIFS('Movesets_ennemis'!$C$7:$C$12,"Intégré")</x:f>
        <x:v>0</x:v>
      </x:c>
      <x:c r="F28" s="37" t="n">
        <x:f>COUNTIFS('Movesets_ennemis'!$C$7:$C$12,"Validé")</x:f>
        <x:v>0</x:v>
      </x:c>
      <x:c r="G28" s="37" t="n">
        <x:f>COUNTIFS('Movesets_ennemis'!$D$7:$D$12,"Établi")</x:f>
        <x:v>0</x:v>
      </x:c>
      <x:c r="H28" s="37" t="n">
        <x:f>COUNTIFS('Movesets_ennemis'!$D$7:$D$12,"À vérifier")</x:f>
        <x:v>0</x:v>
      </x:c>
      <x:c r="I28" s="37" t="n">
        <x:f>COUNTIFS('Movesets_ennemis'!$D$7:$D$12,"Extrapolation")</x:f>
        <x:v>6</x:v>
      </x:c>
      <x:c r="J28" s="37" t="n">
        <x:f>COUNTIFS('Movesets_ennemis'!$D$7:$D$12,"Coupé attesté")</x:f>
        <x:v>0</x:v>
      </x:c>
      <x:c r="K28" s="37" t="n">
        <x:f>COUNTIFS('Movesets_ennemis'!$D$7:$D$12,"Concept abandonné")</x:f>
        <x:v>0</x:v>
      </x:c>
      <x:c r="L28" s="37" t="n">
        <x:f>COUNTIFS('Movesets_ennemis'!$D$7:$D$12,"Allégation écartée")</x:f>
        <x:v>0</x:v>
      </x:c>
      <x:c r="M28" s="37" t="n">
        <x:f>COUNTIFS('Movesets_ennemis'!$E$7:$E$12,"P0")</x:f>
        <x:v>0</x:v>
      </x:c>
    </x:row>
    <x:row r="29" ht="22" customHeight="1">
      <x:c r="A29" s="2" t="str">
        <x:v>Animations</x:v>
      </x:c>
      <x:c r="B29" s="38" t="n">
        <x:f>COUNTA('Animations'!$A$7:$A$13)</x:f>
        <x:v>7</x:v>
      </x:c>
      <x:c r="C29" s="38" t="n">
        <x:f>COUNTIFS('Animations'!$C$7:$C$13,"Défini")</x:f>
        <x:v>7</x:v>
      </x:c>
      <x:c r="D29" s="38" t="n">
        <x:f>COUNTIFS('Animations'!$C$7:$C$13,"Prototype")</x:f>
        <x:v>0</x:v>
      </x:c>
      <x:c r="E29" s="38" t="n">
        <x:f>COUNTIFS('Animations'!$C$7:$C$13,"Intégré")</x:f>
        <x:v>0</x:v>
      </x:c>
      <x:c r="F29" s="38" t="n">
        <x:f>COUNTIFS('Animations'!$C$7:$C$13,"Validé")</x:f>
        <x:v>0</x:v>
      </x:c>
      <x:c r="G29" s="38" t="n">
        <x:f>COUNTIFS('Animations'!$D$7:$D$13,"Établi")</x:f>
        <x:v>0</x:v>
      </x:c>
      <x:c r="H29" s="38" t="n">
        <x:f>COUNTIFS('Animations'!$D$7:$D$13,"À vérifier")</x:f>
        <x:v>0</x:v>
      </x:c>
      <x:c r="I29" s="38" t="n">
        <x:f>COUNTIFS('Animations'!$D$7:$D$13,"Extrapolation")</x:f>
        <x:v>7</x:v>
      </x:c>
      <x:c r="J29" s="38" t="n">
        <x:f>COUNTIFS('Animations'!$D$7:$D$13,"Coupé attesté")</x:f>
        <x:v>0</x:v>
      </x:c>
      <x:c r="K29" s="38" t="n">
        <x:f>COUNTIFS('Animations'!$D$7:$D$13,"Concept abandonné")</x:f>
        <x:v>0</x:v>
      </x:c>
      <x:c r="L29" s="38" t="n">
        <x:f>COUNTIFS('Animations'!$D$7:$D$13,"Allégation écartée")</x:f>
        <x:v>0</x:v>
      </x:c>
      <x:c r="M29" s="38" t="n">
        <x:f>COUNTIFS('Animations'!$E$7:$E$13,"P0")</x:f>
        <x:v>0</x:v>
      </x:c>
    </x:row>
    <x:row r="30" ht="22" customHeight="1">
      <x:c r="A30" s="33" t="str">
        <x:v>Sprites</x:v>
      </x:c>
      <x:c r="B30" s="37" t="n">
        <x:f>COUNTA('Sprites'!$A$7:$A$13)</x:f>
        <x:v>7</x:v>
      </x:c>
      <x:c r="C30" s="37" t="n">
        <x:f>COUNTIFS('Sprites'!$C$7:$C$13,"Défini")</x:f>
        <x:v>7</x:v>
      </x:c>
      <x:c r="D30" s="37" t="n">
        <x:f>COUNTIFS('Sprites'!$C$7:$C$13,"Prototype")</x:f>
        <x:v>0</x:v>
      </x:c>
      <x:c r="E30" s="37" t="n">
        <x:f>COUNTIFS('Sprites'!$C$7:$C$13,"Intégré")</x:f>
        <x:v>0</x:v>
      </x:c>
      <x:c r="F30" s="37" t="n">
        <x:f>COUNTIFS('Sprites'!$C$7:$C$13,"Validé")</x:f>
        <x:v>0</x:v>
      </x:c>
      <x:c r="G30" s="37" t="n">
        <x:f>COUNTIFS('Sprites'!$D$7:$D$13,"Établi")</x:f>
        <x:v>0</x:v>
      </x:c>
      <x:c r="H30" s="37" t="n">
        <x:f>COUNTIFS('Sprites'!$D$7:$D$13,"À vérifier")</x:f>
        <x:v>0</x:v>
      </x:c>
      <x:c r="I30" s="37" t="n">
        <x:f>COUNTIFS('Sprites'!$D$7:$D$13,"Extrapolation")</x:f>
        <x:v>7</x:v>
      </x:c>
      <x:c r="J30" s="37" t="n">
        <x:f>COUNTIFS('Sprites'!$D$7:$D$13,"Coupé attesté")</x:f>
        <x:v>0</x:v>
      </x:c>
      <x:c r="K30" s="37" t="n">
        <x:f>COUNTIFS('Sprites'!$D$7:$D$13,"Concept abandonné")</x:f>
        <x:v>0</x:v>
      </x:c>
      <x:c r="L30" s="37" t="n">
        <x:f>COUNTIFS('Sprites'!$D$7:$D$13,"Allégation écartée")</x:f>
        <x:v>0</x:v>
      </x:c>
      <x:c r="M30" s="37" t="n">
        <x:f>COUNTIFS('Sprites'!$E$7:$E$13,"P0")</x:f>
        <x:v>0</x:v>
      </x:c>
    </x:row>
    <x:row r="31" ht="22" customHeight="1">
      <x:c r="A31" s="2" t="str">
        <x:v>VFX</x:v>
      </x:c>
      <x:c r="B31" s="38" t="n">
        <x:f>COUNTA('VFX'!$A$7:$A$12)</x:f>
        <x:v>6</x:v>
      </x:c>
      <x:c r="C31" s="38" t="n">
        <x:f>COUNTIFS('VFX'!$C$7:$C$12,"Défini")</x:f>
        <x:v>6</x:v>
      </x:c>
      <x:c r="D31" s="38" t="n">
        <x:f>COUNTIFS('VFX'!$C$7:$C$12,"Prototype")</x:f>
        <x:v>0</x:v>
      </x:c>
      <x:c r="E31" s="38" t="n">
        <x:f>COUNTIFS('VFX'!$C$7:$C$12,"Intégré")</x:f>
        <x:v>0</x:v>
      </x:c>
      <x:c r="F31" s="38" t="n">
        <x:f>COUNTIFS('VFX'!$C$7:$C$12,"Validé")</x:f>
        <x:v>0</x:v>
      </x:c>
      <x:c r="G31" s="38" t="n">
        <x:f>COUNTIFS('VFX'!$D$7:$D$12,"Établi")</x:f>
        <x:v>0</x:v>
      </x:c>
      <x:c r="H31" s="38" t="n">
        <x:f>COUNTIFS('VFX'!$D$7:$D$12,"À vérifier")</x:f>
        <x:v>0</x:v>
      </x:c>
      <x:c r="I31" s="38" t="n">
        <x:f>COUNTIFS('VFX'!$D$7:$D$12,"Extrapolation")</x:f>
        <x:v>6</x:v>
      </x:c>
      <x:c r="J31" s="38" t="n">
        <x:f>COUNTIFS('VFX'!$D$7:$D$12,"Coupé attesté")</x:f>
        <x:v>0</x:v>
      </x:c>
      <x:c r="K31" s="38" t="n">
        <x:f>COUNTIFS('VFX'!$D$7:$D$12,"Concept abandonné")</x:f>
        <x:v>0</x:v>
      </x:c>
      <x:c r="L31" s="38" t="n">
        <x:f>COUNTIFS('VFX'!$D$7:$D$12,"Allégation écartée")</x:f>
        <x:v>0</x:v>
      </x:c>
      <x:c r="M31" s="38" t="n">
        <x:f>COUNTIFS('VFX'!$E$7:$E$12,"P0")</x:f>
        <x:v>0</x:v>
      </x:c>
    </x:row>
    <x:row r="32" ht="22" customHeight="1">
      <x:c r="A32" s="33" t="str">
        <x:v>Audio</x:v>
      </x:c>
      <x:c r="B32" s="37" t="n">
        <x:f>COUNTA('Audio'!$A$7:$A$10)</x:f>
        <x:v>4</x:v>
      </x:c>
      <x:c r="C32" s="37" t="n">
        <x:f>COUNTIFS('Audio'!$C$7:$C$10,"Défini")</x:f>
        <x:v>4</x:v>
      </x:c>
      <x:c r="D32" s="37" t="n">
        <x:f>COUNTIFS('Audio'!$C$7:$C$10,"Prototype")</x:f>
        <x:v>0</x:v>
      </x:c>
      <x:c r="E32" s="37" t="n">
        <x:f>COUNTIFS('Audio'!$C$7:$C$10,"Intégré")</x:f>
        <x:v>0</x:v>
      </x:c>
      <x:c r="F32" s="37" t="n">
        <x:f>COUNTIFS('Audio'!$C$7:$C$10,"Validé")</x:f>
        <x:v>0</x:v>
      </x:c>
      <x:c r="G32" s="37" t="n">
        <x:f>COUNTIFS('Audio'!$D$7:$D$10,"Établi")</x:f>
        <x:v>0</x:v>
      </x:c>
      <x:c r="H32" s="37" t="n">
        <x:f>COUNTIFS('Audio'!$D$7:$D$10,"À vérifier")</x:f>
        <x:v>0</x:v>
      </x:c>
      <x:c r="I32" s="37" t="n">
        <x:f>COUNTIFS('Audio'!$D$7:$D$10,"Extrapolation")</x:f>
        <x:v>4</x:v>
      </x:c>
      <x:c r="J32" s="37" t="n">
        <x:f>COUNTIFS('Audio'!$D$7:$D$10,"Coupé attesté")</x:f>
        <x:v>0</x:v>
      </x:c>
      <x:c r="K32" s="37" t="n">
        <x:f>COUNTIFS('Audio'!$D$7:$D$10,"Concept abandonné")</x:f>
        <x:v>0</x:v>
      </x:c>
      <x:c r="L32" s="37" t="n">
        <x:f>COUNTIFS('Audio'!$D$7:$D$10,"Allégation écartée")</x:f>
        <x:v>0</x:v>
      </x:c>
      <x:c r="M32" s="37" t="n">
        <x:f>COUNTIFS('Audio'!$E$7:$E$10,"P0")</x:f>
        <x:v>0</x:v>
      </x:c>
    </x:row>
    <x:row r="33" ht="22" customHeight="1">
      <x:c r="A33" s="2" t="str">
        <x:v>Systèmes et UI</x:v>
      </x:c>
      <x:c r="B33" s="38" t="n">
        <x:f>COUNTA('UI_systemes'!$A$7:$A$10)</x:f>
        <x:v>4</x:v>
      </x:c>
      <x:c r="C33" s="38" t="n">
        <x:f>COUNTIFS('UI_systemes'!$C$7:$C$10,"Défini")</x:f>
        <x:v>4</x:v>
      </x:c>
      <x:c r="D33" s="38" t="n">
        <x:f>COUNTIFS('UI_systemes'!$C$7:$C$10,"Prototype")</x:f>
        <x:v>0</x:v>
      </x:c>
      <x:c r="E33" s="38" t="n">
        <x:f>COUNTIFS('UI_systemes'!$C$7:$C$10,"Intégré")</x:f>
        <x:v>0</x:v>
      </x:c>
      <x:c r="F33" s="38" t="n">
        <x:f>COUNTIFS('UI_systemes'!$C$7:$C$10,"Validé")</x:f>
        <x:v>0</x:v>
      </x:c>
      <x:c r="G33" s="38" t="n">
        <x:f>COUNTIFS('UI_systemes'!$D$7:$D$10,"Établi")</x:f>
        <x:v>0</x:v>
      </x:c>
      <x:c r="H33" s="38" t="n">
        <x:f>COUNTIFS('UI_systemes'!$D$7:$D$10,"À vérifier")</x:f>
        <x:v>0</x:v>
      </x:c>
      <x:c r="I33" s="38" t="n">
        <x:f>COUNTIFS('UI_systemes'!$D$7:$D$10,"Extrapolation")</x:f>
        <x:v>4</x:v>
      </x:c>
      <x:c r="J33" s="38" t="n">
        <x:f>COUNTIFS('UI_systemes'!$D$7:$D$10,"Coupé attesté")</x:f>
        <x:v>0</x:v>
      </x:c>
      <x:c r="K33" s="38" t="n">
        <x:f>COUNTIFS('UI_systemes'!$D$7:$D$10,"Concept abandonné")</x:f>
        <x:v>0</x:v>
      </x:c>
      <x:c r="L33" s="38" t="n">
        <x:f>COUNTIFS('UI_systemes'!$D$7:$D$10,"Allégation écartée")</x:f>
        <x:v>0</x:v>
      </x:c>
      <x:c r="M33" s="38" t="n">
        <x:f>COUNTIFS('UI_systemes'!$E$7:$E$10,"P0")</x:f>
        <x:v>0</x:v>
      </x:c>
    </x:row>
    <x:row r="34" ht="22" customHeight="1">
      <x:c r="A34" s="33" t="str">
        <x:v>QA</x:v>
      </x:c>
      <x:c r="B34" s="37" t="n">
        <x:f>COUNTA('QA'!$A$7:$A$15)</x:f>
        <x:v>9</x:v>
      </x:c>
      <x:c r="C34" s="37" t="n">
        <x:f>COUNTIFS('QA'!$C$7:$C$15,"Défini")</x:f>
        <x:v>9</x:v>
      </x:c>
      <x:c r="D34" s="37" t="n">
        <x:f>COUNTIFS('QA'!$C$7:$C$15,"Prototype")</x:f>
        <x:v>0</x:v>
      </x:c>
      <x:c r="E34" s="37" t="n">
        <x:f>COUNTIFS('QA'!$C$7:$C$15,"Intégré")</x:f>
        <x:v>0</x:v>
      </x:c>
      <x:c r="F34" s="37" t="n">
        <x:f>COUNTIFS('QA'!$C$7:$C$15,"Validé")</x:f>
        <x:v>0</x:v>
      </x:c>
      <x:c r="G34" s="37" t="n">
        <x:f>COUNTIFS('QA'!$D$7:$D$15,"Établi")</x:f>
        <x:v>0</x:v>
      </x:c>
      <x:c r="H34" s="37" t="n">
        <x:f>COUNTIFS('QA'!$D$7:$D$15,"À vérifier")</x:f>
        <x:v>0</x:v>
      </x:c>
      <x:c r="I34" s="37" t="n">
        <x:f>COUNTIFS('QA'!$D$7:$D$15,"Extrapolation")</x:f>
        <x:v>9</x:v>
      </x:c>
      <x:c r="J34" s="37" t="n">
        <x:f>COUNTIFS('QA'!$D$7:$D$15,"Coupé attesté")</x:f>
        <x:v>0</x:v>
      </x:c>
      <x:c r="K34" s="37" t="n">
        <x:f>COUNTIFS('QA'!$D$7:$D$15,"Concept abandonné")</x:f>
        <x:v>0</x:v>
      </x:c>
      <x:c r="L34" s="37" t="n">
        <x:f>COUNTIFS('QA'!$D$7:$D$15,"Allégation écartée")</x:f>
        <x:v>0</x:v>
      </x:c>
      <x:c r="M34" s="37" t="n">
        <x:f>COUNTIFS('QA'!$E$7:$E$15,"P0")</x:f>
        <x:v>9</x:v>
      </x:c>
    </x:row>
    <x:row r="35" ht="22" customHeight="1">
      <x:c r="A35" s="2" t="str">
        <x:v>Continuité</x:v>
      </x:c>
      <x:c r="B35" s="38" t="n">
        <x:f>COUNTA('Continuite'!$A$7:$A$8)</x:f>
        <x:v>2</x:v>
      </x:c>
      <x:c r="C35" s="38" t="n">
        <x:f>COUNTIFS('Continuite'!$C$7:$C$8,"Défini")</x:f>
        <x:v>2</x:v>
      </x:c>
      <x:c r="D35" s="38" t="n">
        <x:f>COUNTIFS('Continuite'!$C$7:$C$8,"Prototype")</x:f>
        <x:v>0</x:v>
      </x:c>
      <x:c r="E35" s="38" t="n">
        <x:f>COUNTIFS('Continuite'!$C$7:$C$8,"Intégré")</x:f>
        <x:v>0</x:v>
      </x:c>
      <x:c r="F35" s="38" t="n">
        <x:f>COUNTIFS('Continuite'!$C$7:$C$8,"Validé")</x:f>
        <x:v>0</x:v>
      </x:c>
      <x:c r="G35" s="38" t="n">
        <x:f>COUNTIFS('Continuite'!$D$7:$D$8,"Établi")</x:f>
        <x:v>0</x:v>
      </x:c>
      <x:c r="H35" s="38" t="n">
        <x:f>COUNTIFS('Continuite'!$D$7:$D$8,"À vérifier")</x:f>
        <x:v>0</x:v>
      </x:c>
      <x:c r="I35" s="38" t="n">
        <x:f>COUNTIFS('Continuite'!$D$7:$D$8,"Extrapolation")</x:f>
        <x:v>2</x:v>
      </x:c>
      <x:c r="J35" s="38" t="n">
        <x:f>COUNTIFS('Continuite'!$D$7:$D$8,"Coupé attesté")</x:f>
        <x:v>0</x:v>
      </x:c>
      <x:c r="K35" s="38" t="n">
        <x:f>COUNTIFS('Continuite'!$D$7:$D$8,"Concept abandonné")</x:f>
        <x:v>0</x:v>
      </x:c>
      <x:c r="L35" s="38" t="n">
        <x:f>COUNTIFS('Continuite'!$D$7:$D$8,"Allégation écartée")</x:f>
        <x:v>0</x:v>
      </x:c>
      <x:c r="M35" s="38" t="n">
        <x:f>COUNTIFS('Continuite'!$E$7:$E$8,"P0")</x:f>
        <x:v>0</x:v>
      </x:c>
    </x:row>
    <x:row r="36" ht="22" customHeight="1">
      <x:c r="A36" s="2"/>
      <x:c r="B36" s="38"/>
      <x:c r="C36" s="38"/>
      <x:c r="D36" s="38"/>
      <x:c r="E36" s="38"/>
      <x:c r="F36" s="38"/>
      <x:c r="G36" s="38"/>
      <x:c r="H36" s="38"/>
      <x:c r="I36" s="38"/>
      <x:c r="J36" s="38"/>
      <x:c r="K36" s="38"/>
      <x:c r="L36" s="38"/>
      <x:c r="M36" s="38"/>
    </x:row>
    <x:row r="37" ht="28" customHeight="1">
      <x:c r="A37" s="21" t="str">
        <x:v>TOTAL</x:v>
      </x:c>
      <x:c r="B37" s="39" t="n">
        <x:f>SUM(B10:B35)</x:f>
        <x:v>122</x:v>
      </x:c>
      <x:c r="C37" s="39" t="n">
        <x:f>SUM(C10:C35)</x:f>
        <x:v>117</x:v>
      </x:c>
      <x:c r="D37" s="39" t="n">
        <x:f>SUM(D10:D35)</x:f>
        <x:v>5</x:v>
      </x:c>
      <x:c r="E37" s="39" t="n">
        <x:f>SUM(E10:E35)</x:f>
        <x:v>0</x:v>
      </x:c>
      <x:c r="F37" s="39" t="n">
        <x:f>SUM(F10:F35)</x:f>
        <x:v>0</x:v>
      </x:c>
      <x:c r="G37" s="39" t="n">
        <x:f>SUM(G10:G35)</x:f>
        <x:v>21</x:v>
      </x:c>
      <x:c r="H37" s="39" t="n">
        <x:f>SUM(H10:H35)</x:f>
        <x:v>3</x:v>
      </x:c>
      <x:c r="I37" s="39" t="n">
        <x:f>SUM(I10:I35)</x:f>
        <x:v>98</x:v>
      </x:c>
      <x:c r="J37" s="39" t="n">
        <x:f>SUM(J10:J35)</x:f>
        <x:v>0</x:v>
      </x:c>
      <x:c r="K37" s="39" t="n">
        <x:f>SUM(K10:K35)</x:f>
        <x:v>0</x:v>
      </x:c>
      <x:c r="L37" s="39" t="n">
        <x:f>SUM(L10:L35)</x:f>
        <x:v>0</x:v>
      </x:c>
      <x:c r="M37" s="39" t="n">
        <x:f>SUM(M10:M35)</x:f>
        <x:v>19</x:v>
      </x:c>
    </x:row>
    <x:row r="38" ht="22" customHeight="1">
      <x:c r="A38" s="2"/>
      <x:c r="B38" s="2"/>
      <x:c r="C38" s="2"/>
      <x:c r="D38" s="2"/>
      <x:c r="E38" s="2"/>
      <x:c r="F38" s="2"/>
      <x:c r="G38" s="2"/>
      <x:c r="H38" s="2"/>
      <x:c r="I38" s="2"/>
      <x:c r="J38" s="2"/>
      <x:c r="K38" s="2"/>
      <x:c r="L38" s="2"/>
      <x:c r="M38" s="2"/>
    </x:row>
    <x:row r="39" ht="22" customHeight="1">
      <x:c r="A39" s="2" t="str">
        <x:v>Les compteurs mesurent les fiches présentes, pas un pourcentage d’exhaustivité ou de réalisation.</x:v>
      </x:c>
      <x:c r="B39" s="2"/>
      <x:c r="C39" s="2"/>
      <x:c r="D39" s="2"/>
      <x:c r="E39" s="2"/>
      <x:c r="F39" s="2"/>
      <x:c r="G39" s="2"/>
      <x:c r="H39" s="2"/>
      <x:c r="I39" s="2"/>
      <x:c r="J39" s="2"/>
      <x:c r="K39" s="2"/>
      <x:c r="L39" s="2"/>
      <x:c r="M39" s="2"/>
    </x:row>
    <x:row r="40" ht="22" customHeight="1">
      <x:c r="A40" s="2"/>
      <x:c r="B40" s="2"/>
      <x:c r="C40" s="2"/>
      <x:c r="D40" s="2"/>
      <x:c r="E40" s="2"/>
      <x:c r="F40" s="2"/>
      <x:c r="G40" s="2"/>
      <x:c r="H40" s="2"/>
      <x:c r="I40" s="2"/>
      <x:c r="J40" s="2"/>
      <x:c r="K40" s="2"/>
      <x:c r="L40" s="2"/>
      <x:c r="M40" s="2"/>
    </x:row>
    <x:row r="41" ht="22" customHeight="1">
      <x:c r="A41" s="2" t="str">
        <x:v>Périmètre, sources, incertitudes et méthode de suivi : voir Guide.</x:v>
      </x:c>
      <x:c r="B41" s="2"/>
      <x:c r="C41" s="2"/>
      <x:c r="D41" s="2"/>
      <x:c r="E41" s="2"/>
      <x:c r="F41" s="2"/>
      <x:c r="G41" s="2"/>
      <x:c r="H41" s="2"/>
      <x:c r="I41" s="2"/>
      <x:c r="J41" s="2"/>
      <x:c r="K41" s="2"/>
      <x:c r="L41" s="2"/>
      <x:c r="M41" s="2"/>
    </x:row>
    <x:row r="42" ht="22" customHeight="1">
      <x:c r="A42" s="2"/>
      <x:c r="B42" s="2"/>
      <x:c r="C42" s="2"/>
      <x:c r="D42" s="2"/>
      <x:c r="E42" s="2"/>
      <x:c r="F42" s="2"/>
      <x:c r="G42" s="2"/>
      <x:c r="H42" s="2"/>
      <x:c r="I42" s="2"/>
      <x:c r="J42" s="2"/>
      <x:c r="K42" s="2"/>
      <x:c r="L42" s="2"/>
      <x:c r="M42" s="2"/>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7"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Personnages</x:v>
      </x:c>
      <x:c r="B2" s="2"/>
      <x:c r="C2" s="2"/>
      <x:c r="D2" s="2"/>
      <x:c r="E2" s="2"/>
      <x:c r="F2" s="2"/>
      <x:c r="G2" s="2"/>
      <x:c r="H2" s="2"/>
      <x:c r="I2" s="2"/>
      <x:c r="J2" s="2"/>
      <x:c r="K2" s="2"/>
      <x:c r="L2" s="2"/>
      <x:c r="M2" s="2"/>
      <x:c r="N2" s="2"/>
      <x:c r="O2" s="2"/>
      <x:c r="P2" s="2"/>
      <x:c r="Q2" s="2"/>
      <x:c r="R2" s="2"/>
      <x:c r="S2" s="2"/>
    </x:row>
    <x:row r="3" ht="22" customHeight="1">
      <x:c r="A3" s="4" t="str">
        <x:v>Mass Effect: Evolution — Identités et fonctions dans l’œuvre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EVO-ACT-JACK</x:v>
      </x:c>
      <x:c r="B7" s="9" t="str">
        <x:v>Jack Harper</x:v>
      </x:c>
      <x:c r="C7" s="15" t="str">
        <x:v>Défini</x:v>
      </x:c>
      <x:c r="D7" s="16" t="str">
        <x:v>Établi</x:v>
      </x:c>
      <x:c r="E7" s="16" t="str">
        <x:v>P1</x:v>
      </x:c>
      <x:c r="F7" s="9" t="str">
        <x:v>Jack Harper est au centre de l’origine présentée.</x:v>
      </x:c>
      <x:c r="G7" s="9" t="str">
        <x:v>Chef de petit groupe; lecture d’indices et décision tactique.</x:v>
      </x:c>
      <x:c r="H7" s="9" t="str">
        <x:v>Rôle narratif; aucune statistique officielle déduite.</x:v>
      </x:c>
      <x:c r="I7" s="9" t="str">
        <x:v>Direction proposée : Humain de terrain, veste simple et posture attentive; yeux et transformations à contrôler. Vérifier le costume sur l'édition autorisée avant peinture finale.</x:v>
      </x:c>
      <x:c r="J7" s="9" t="str">
        <x:v>Observation, appui au couvert et hésitation après une perception.</x:v>
      </x:c>
      <x:c r="K7" s="9" t="str">
        <x:v>Interprétation originale; sous-titres attribués au locuteur et aucune reprise des voix du jeu.</x:v>
      </x:c>
      <x:c r="L7" s="9" t="str">
        <x:v>Livrable proposé : spécification EVO/characters/act-jack; brancher au registre de contenu de l'œuvre seulement après production.</x:v>
      </x:c>
      <x:c r="M7" s="9" t="str">
        <x:v>Les résultats d’adaptation locaux convergent vers les faits de l’œuvre; les personnages absents ne deviennent pas des alliés disponibles.</x:v>
      </x:c>
      <x:c r="N7" s="9" t="str">
        <x:v>Jack Harper possède une fiche de référence séparant rôle attesté, silhouette à contrôler et commandes proposées.</x:v>
      </x:c>
      <x:c r="O7" s="9" t="str"/>
      <x:c r="P7" s="9" t="str">
        <x:v>Mass Effect: Evolution, série concernée</x:v>
      </x:c>
      <x:c r="Q7" s="9" t="str">
        <x:v>EVO-S-AUTHOR2</x:v>
      </x:c>
      <x:c r="R7" s="9" t="str">
        <x:v>https://farawaypress.com/comics/masseffectevolution/masseffectevolution2/</x:v>
      </x:c>
      <x:c r="S7" s="9" t="str">
        <x:v>Le rôle dans la source ne prouve ni recrutement jouable ni disponibilité permanente.</x:v>
      </x:c>
    </x:row>
    <x:row r="8" ht="68" customHeight="1">
      <x:c r="A8" s="19" t="str">
        <x:v>EVO-ACT-EVA</x:v>
      </x:c>
      <x:c r="B8" s="7" t="str">
        <x:v>Eva Coré</x:v>
      </x:c>
      <x:c r="C8" s="15" t="str">
        <x:v>Défini</x:v>
      </x:c>
      <x:c r="D8" s="17" t="str">
        <x:v>À vérifier</x:v>
      </x:c>
      <x:c r="E8" s="17" t="str">
        <x:v>P1</x:v>
      </x:c>
      <x:c r="F8" s="7" t="str">
        <x:v>Eva accompagne Jack et Ben.</x:v>
      </x:c>
      <x:c r="G8" s="7" t="str">
        <x:v>Partenaire de combat mobile; soutien de la progression.</x:v>
      </x:c>
      <x:c r="H8" s="7" t="str">
        <x:v>Rôle narratif; aucune statistique officielle déduite.</x:v>
      </x:c>
      <x:c r="I8" s="7" t="str">
        <x:v>Direction proposée : Tenue de résistance fonctionnelle, silhouette agile; éviter le design du robot de ME3. Vérifier le costume sur l'édition autorisée avant peinture finale.</x:v>
      </x:c>
      <x:c r="J8" s="7" t="str">
        <x:v>Glissade au couvert, geste d’arrêt et tir d’appui.</x:v>
      </x:c>
      <x:c r="K8" s="7" t="str">
        <x:v>Interprétation originale; sous-titres attribués au locuteur et aucune reprise des voix du jeu.</x:v>
      </x:c>
      <x:c r="L8" s="7" t="str">
        <x:v>Livrable proposé : spécification EVO/characters/act-eva; brancher au registre de contenu de l'œuvre seulement après production.</x:v>
      </x:c>
      <x:c r="M8" s="7" t="str">
        <x:v>Les résultats d’adaptation locaux convergent vers les faits de l’œuvre; les personnages absents ne deviennent pas des alliés disponibles.</x:v>
      </x:c>
      <x:c r="N8" s="7" t="str">
        <x:v>Eva Coré possède une fiche de référence séparant rôle attesté, silhouette à contrôler et commandes proposées.</x:v>
      </x:c>
      <x:c r="O8" s="7" t="str"/>
      <x:c r="P8" s="7" t="str">
        <x:v>Mass Effect: Evolution, série concernée</x:v>
      </x:c>
      <x:c r="Q8" s="7" t="str">
        <x:v>EVO-S-EVA</x:v>
      </x:c>
      <x:c r="R8" s="7" t="str">
        <x:v>https://masseffect.fandom.com/wiki/Eva_Cor%C3%A9</x:v>
      </x:c>
      <x:c r="S8" s="7" t="str">
        <x:v>Le rôle dans la source ne prouve ni recrutement jouable ni disponibilité permanente.</x:v>
      </x:c>
    </x:row>
    <x:row r="9" ht="68" customHeight="1">
      <x:c r="A9" s="18" t="str">
        <x:v>EVO-ACT-BEN</x:v>
      </x:c>
      <x:c r="B9" s="9" t="str">
        <x:v>Ben Hislop</x:v>
      </x:c>
      <x:c r="C9" s="15" t="str">
        <x:v>Défini</x:v>
      </x:c>
      <x:c r="D9" s="16" t="str">
        <x:v>Établi</x:v>
      </x:c>
      <x:c r="E9" s="16" t="str">
        <x:v>P1</x:v>
      </x:c>
      <x:c r="F9" s="9" t="str">
        <x:v>Ben subit une transformation au contact de l’Arca Monolith.</x:v>
      </x:c>
      <x:c r="G9" s="9" t="str">
        <x:v>Personnage à états narratifs distincts; aucune guérison facultative non sourcée.</x:v>
      </x:c>
      <x:c r="H9" s="9" t="str">
        <x:v>Rôle narratif; aucune statistique officielle déduite.</x:v>
      </x:c>
      <x:c r="I9" s="9" t="str">
        <x:v>Direction proposée : Deux silhouettes de production séparées, humaine et transformée; détails organiques à contrôler. Vérifier le costume sur l'édition autorisée avant peinture finale.</x:v>
      </x:c>
      <x:c r="J9" s="9" t="str">
        <x:v>État humain souple, état transformé raide et déplacements orientés vers l’artefact.</x:v>
      </x:c>
      <x:c r="K9" s="9" t="str">
        <x:v>Interprétation originale; sous-titres attribués au locuteur et aucune reprise des voix du jeu.</x:v>
      </x:c>
      <x:c r="L9" s="9" t="str">
        <x:v>Livrable proposé : spécification EVO/characters/act-ben; brancher au registre de contenu de l'œuvre seulement après production.</x:v>
      </x:c>
      <x:c r="M9" s="9" t="str">
        <x:v>Les résultats d’adaptation locaux convergent vers les faits de l’œuvre; les personnages absents ne deviennent pas des alliés disponibles.</x:v>
      </x:c>
      <x:c r="N9" s="9" t="str">
        <x:v>Ben Hislop possède une fiche de référence séparant rôle attesté, silhouette à contrôler et commandes proposées.</x:v>
      </x:c>
      <x:c r="O9" s="9" t="str"/>
      <x:c r="P9" s="9" t="str">
        <x:v>Mass Effect: Evolution, série concernée</x:v>
      </x:c>
      <x:c r="Q9" s="9" t="str">
        <x:v>EVO-S-AUTHOR3</x:v>
      </x:c>
      <x:c r="R9" s="9" t="str">
        <x:v>https://farawaypress.com/comics/masseffectevolution/masseffectevolution3/</x:v>
      </x:c>
      <x:c r="S9" s="9" t="str">
        <x:v>Le rôle dans la source ne prouve ni recrutement jouable ni disponibilité permanente.</x:v>
      </x:c>
    </x:row>
    <x:row r="10" ht="68" customHeight="1">
      <x:c r="A10" s="19" t="str">
        <x:v>EVO-ACT-DESOLAS</x:v>
      </x:c>
      <x:c r="B10" s="7" t="str">
        <x:v>Desolas Arterius</x:v>
      </x:c>
      <x:c r="C10" s="15" t="str">
        <x:v>Défini</x:v>
      </x:c>
      <x:c r="D10" s="17" t="str">
        <x:v>Établi</x:v>
      </x:c>
      <x:c r="E10" s="17" t="str">
        <x:v>P1</x:v>
      </x:c>
      <x:c r="F10" s="7" t="str">
        <x:v>Desolas recherche le pouvoir associé aux traditions et à l’artefact.</x:v>
      </x:c>
      <x:c r="G10" s="7" t="str">
        <x:v>Antagoniste militaire et idéologique; autorité sur le terrain.</x:v>
      </x:c>
      <x:c r="H10" s="7" t="str">
        <x:v>Rôle narratif; aucune statistique officielle déduite.</x:v>
      </x:c>
      <x:c r="I10" s="7" t="str">
        <x:v>Direction proposée : Turien à silhouette de commandement, éléments cérémoniels à vérifier. Vérifier le costume sur l'édition autorisée avant peinture finale.</x:v>
      </x:c>
      <x:c r="J10" s="7" t="str">
        <x:v>Gestes mesurés, présentation publique et recul lorsque le contrôle se rompt.</x:v>
      </x:c>
      <x:c r="K10" s="7" t="str">
        <x:v>Interprétation originale; sous-titres attribués au locuteur et aucune reprise des voix du jeu.</x:v>
      </x:c>
      <x:c r="L10" s="7" t="str">
        <x:v>Livrable proposé : spécification EVO/characters/act-desolas; brancher au registre de contenu de l'œuvre seulement après production.</x:v>
      </x:c>
      <x:c r="M10" s="7" t="str">
        <x:v>Les résultats d’adaptation locaux convergent vers les faits de l’œuvre; les personnages absents ne deviennent pas des alliés disponibles.</x:v>
      </x:c>
      <x:c r="N10" s="7" t="str">
        <x:v>Desolas Arterius possède une fiche de référence séparant rôle attesté, silhouette à contrôler et commandes proposées.</x:v>
      </x:c>
      <x:c r="O10" s="7" t="str"/>
      <x:c r="P10" s="7" t="str">
        <x:v>Mass Effect: Evolution, série concernée</x:v>
      </x:c>
      <x:c r="Q10" s="7" t="str">
        <x:v>EVO-S-AUTHOR3</x:v>
      </x:c>
      <x:c r="R10" s="7" t="str">
        <x:v>https://farawaypress.com/comics/masseffectevolution/masseffectevolution3/</x:v>
      </x:c>
      <x:c r="S10" s="7" t="str">
        <x:v>Le rôle dans la source ne prouve ni recrutement jouable ni disponibilité permanente.</x:v>
      </x:c>
    </x:row>
  </x:sheetData>
  <x:conditionalFormatting sqref="D7:D10">
    <x:cfRule type="cellIs" dxfId="0" priority="1" operator="equal">
      <x:formula>"À vérifier"</x:formula>
    </x:cfRule>
    <x:cfRule type="cellIs" dxfId="1" priority="2" operator="equal">
      <x:formula>"Extrapolation"</x:formula>
    </x:cfRule>
  </x:conditionalFormatting>
  <x:conditionalFormatting sqref="C7:C10">
    <x:cfRule type="cellIs" dxfId="2" priority="3" operator="equal">
      <x:formula>"Validé"</x:formula>
    </x:cfRule>
  </x:conditionalFormatting>
  <x:conditionalFormatting sqref="E7:E10">
    <x:cfRule type="cellIs" dxfId="3" priority="4" operator="equal">
      <x:formula>"P0"</x:formula>
    </x:cfRule>
  </x:conditionalFormatting>
  <x:dataValidations count="3">
    <x:dataValidation type="list" sqref="C7:C10">
      <x:formula1>"Défini,Prototype,Intégré,Validé"</x:formula1>
    </x:dataValidation>
    <x:dataValidation type="list" sqref="D7:D10">
      <x:formula1>"Établi,À vérifier,Extrapolation,Coupé attesté,Concept abandonné,Allégation écartée"</x:formula1>
    </x:dataValidation>
    <x:dataValidation type="list" sqref="E7:E10">
      <x:formula1>"P0,P1,P2"</x:formula1>
    </x:dataValidation>
  </x:dataValidations>
  <x:pageMargins left="0.7" right="0.7" top="0.75" bottom="0.75" header="0.3" footer="0.3"/>
  <x:tableParts count="1">
    <x:tablePart xmlns:r="http://schemas.openxmlformats.org/officeDocument/2006/relationships" r:id="Ra3c00a3de9014f5d"/>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7"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PNJ</x:v>
      </x:c>
      <x:c r="B2" s="2"/>
      <x:c r="C2" s="2"/>
      <x:c r="D2" s="2"/>
      <x:c r="E2" s="2"/>
      <x:c r="F2" s="2"/>
      <x:c r="G2" s="2"/>
      <x:c r="H2" s="2"/>
      <x:c r="I2" s="2"/>
      <x:c r="J2" s="2"/>
      <x:c r="K2" s="2"/>
      <x:c r="L2" s="2"/>
      <x:c r="M2" s="2"/>
      <x:c r="N2" s="2"/>
      <x:c r="O2" s="2"/>
      <x:c r="P2" s="2"/>
      <x:c r="Q2" s="2"/>
      <x:c r="R2" s="2"/>
      <x:c r="S2" s="2"/>
    </x:row>
    <x:row r="3" ht="22" customHeight="1">
      <x:c r="A3" s="4" t="str">
        <x:v>Mass Effect: Evolution — Personnages de rencontre et services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EVO-ACT-SAREN</x:v>
      </x:c>
      <x:c r="B7" s="9" t="str">
        <x:v>Saren Arterius</x:v>
      </x:c>
      <x:c r="C7" s="15" t="str">
        <x:v>Défini</x:v>
      </x:c>
      <x:c r="D7" s="16" t="str">
        <x:v>Établi</x:v>
      </x:c>
      <x:c r="E7" s="16" t="str">
        <x:v>P1</x:v>
      </x:c>
      <x:c r="F7" s="9" t="str">
        <x:v>Saren apparaît dans le deuxième numéro comme frère de Desolas.</x:v>
      </x:c>
      <x:c r="G7" s="9" t="str">
        <x:v>Interlocuteur dont les intérêts ne sont pas ceux du groupe.</x:v>
      </x:c>
      <x:c r="H7" s="9" t="str">
        <x:v>Rôle narratif; aucune statistique officielle déduite.</x:v>
      </x:c>
      <x:c r="I7" s="9" t="str">
        <x:v>Direction proposée : Armure turienne antérieure à ME1, sans ajouter ses implants ultérieurs par défaut. Vérifier le costume sur l'édition autorisée avant peinture finale.</x:v>
      </x:c>
      <x:c r="J7" s="9" t="str">
        <x:v>Regard latéral, maintien de l’arme et intervention ciblée.</x:v>
      </x:c>
      <x:c r="K7" s="9" t="str">
        <x:v>Interprétation originale; sous-titres attribués au locuteur et aucune reprise des voix du jeu.</x:v>
      </x:c>
      <x:c r="L7" s="9" t="str">
        <x:v>Livrable proposé : spécification EVO/npcs/act-saren; brancher au registre de contenu de l'œuvre seulement après production.</x:v>
      </x:c>
      <x:c r="M7" s="9" t="str">
        <x:v>Les résultats d’adaptation locaux convergent vers les faits de l’œuvre; les personnages absents ne deviennent pas des alliés disponibles.</x:v>
      </x:c>
      <x:c r="N7" s="9" t="str">
        <x:v>Saren Arterius possède une fiche de référence séparant rôle attesté, silhouette à contrôler et commandes proposées.</x:v>
      </x:c>
      <x:c r="O7" s="9" t="str"/>
      <x:c r="P7" s="9" t="str">
        <x:v>Mass Effect: Evolution, série concernée</x:v>
      </x:c>
      <x:c r="Q7" s="9" t="str">
        <x:v>EVO-S-AUTHOR2</x:v>
      </x:c>
      <x:c r="R7" s="9" t="str">
        <x:v>https://farawaypress.com/comics/masseffectevolution/masseffectevolution2/</x:v>
      </x:c>
      <x:c r="S7" s="9" t="str">
        <x:v>Le rôle dans la source ne prouve ni recrutement jouable ni disponibilité permanente.</x:v>
      </x:c>
    </x:row>
    <x:row r="8" ht="82" customHeight="1">
      <x:c r="A8" s="19" t="str">
        <x:v>EVO-ACT-ABRUDAS</x:v>
      </x:c>
      <x:c r="B8" s="7" t="str">
        <x:v>Lieutenant Abrudas</x:v>
      </x:c>
      <x:c r="C8" s="15" t="str">
        <x:v>Défini</x:v>
      </x:c>
      <x:c r="D8" s="17" t="str">
        <x:v>Établi</x:v>
      </x:c>
      <x:c r="E8" s="17" t="str">
        <x:v>P1</x:v>
      </x:c>
      <x:c r="F8" s="7" t="str">
        <x:v>L’auteur identifie Abrudas comme la première turienne montrée dans ces comics.</x:v>
      </x:c>
      <x:c r="G8" s="7" t="str">
        <x:v>PNJ militaire de la période; contrôler le design historique.</x:v>
      </x:c>
      <x:c r="H8" s="7" t="str">
        <x:v>Rôle narratif; aucune statistique officielle déduite.</x:v>
      </x:c>
      <x:c r="I8" s="7" t="str">
        <x:v>Direction proposée : Silhouette turienne féminine issue de la référence BioWare évoquée par l’auteur; aucune reconstruction anatomique affirmée. Vérifier le costume sur l'édition autorisée avant peinture finale.</x:v>
      </x:c>
      <x:c r="J8" s="7" t="str">
        <x:v>Ordre bref, surveillance et réaction au danger.</x:v>
      </x:c>
      <x:c r="K8" s="7" t="str">
        <x:v>Interprétation originale; sous-titres attribués au locuteur et aucune reprise des voix du jeu.</x:v>
      </x:c>
      <x:c r="L8" s="7" t="str">
        <x:v>Livrable proposé : spécification EVO/npcs/act-abrudas; brancher au registre de contenu de l'œuvre seulement après production.</x:v>
      </x:c>
      <x:c r="M8" s="7" t="str">
        <x:v>Les résultats d’adaptation locaux convergent vers les faits de l’œuvre; les personnages absents ne deviennent pas des alliés disponibles.</x:v>
      </x:c>
      <x:c r="N8" s="7" t="str">
        <x:v>Lieutenant Abrudas possède une fiche de référence séparant rôle attesté, silhouette à contrôler et commandes proposées.</x:v>
      </x:c>
      <x:c r="O8" s="7" t="str"/>
      <x:c r="P8" s="7" t="str">
        <x:v>Mass Effect: Evolution, série concernée</x:v>
      </x:c>
      <x:c r="Q8" s="7" t="str">
        <x:v>EVO-S-AUTHOR1</x:v>
      </x:c>
      <x:c r="R8" s="7" t="str">
        <x:v>https://farawaypress.com/comics/masseffectevolution/masseffectevolution1/</x:v>
      </x:c>
      <x:c r="S8" s="7" t="str">
        <x:v>Le rôle dans la source ne prouve ni recrutement jouable ni disponibilité permanente.</x:v>
      </x:c>
    </x:row>
    <x:row r="9" ht="54" customHeight="1">
      <x:c r="A9" s="18" t="str">
        <x:v>EVO-ACT-WILLIAMS</x:v>
      </x:c>
      <x:c r="B9" s="9" t="str">
        <x:v>Général Williams</x:v>
      </x:c>
      <x:c r="C9" s="15" t="str">
        <x:v>Défini</x:v>
      </x:c>
      <x:c r="D9" s="16" t="str">
        <x:v>Établi</x:v>
      </x:c>
      <x:c r="E9" s="16" t="str">
        <x:v>P1</x:v>
      </x:c>
      <x:c r="F9" s="9" t="str">
        <x:v>Le général Williams apparaît; sa décision de démissionner est montrée au numéro 2.</x:v>
      </x:c>
      <x:c r="G9" s="9" t="str">
        <x:v>Repère politique de l’après-guerre.</x:v>
      </x:c>
      <x:c r="H9" s="9" t="str">
        <x:v>Rôle narratif; aucune statistique officielle déduite.</x:v>
      </x:c>
      <x:c r="I9" s="9" t="str">
        <x:v>Direction proposée : Uniforme sobre et silhouette d’officier; insignes à comparer. Vérifier le costume sur l'édition autorisée avant peinture finale.</x:v>
      </x:c>
      <x:c r="J9" s="9" t="str">
        <x:v>Écoute assise, remise d’un document et départ.</x:v>
      </x:c>
      <x:c r="K9" s="9" t="str">
        <x:v>Interprétation originale; sous-titres attribués au locuteur et aucune reprise des voix du jeu.</x:v>
      </x:c>
      <x:c r="L9" s="9" t="str">
        <x:v>Livrable proposé : spécification EVO/npcs/act-williams; brancher au registre de contenu de l'œuvre seulement après production.</x:v>
      </x:c>
      <x:c r="M9" s="9" t="str">
        <x:v>Les résultats d’adaptation locaux convergent vers les faits de l’œuvre; les personnages absents ne deviennent pas des alliés disponibles.</x:v>
      </x:c>
      <x:c r="N9" s="9" t="str">
        <x:v>Général Williams possède une fiche de référence séparant rôle attesté, silhouette à contrôler et commandes proposées.</x:v>
      </x:c>
      <x:c r="O9" s="9" t="str"/>
      <x:c r="P9" s="9" t="str">
        <x:v>Mass Effect: Evolution, série concernée</x:v>
      </x:c>
      <x:c r="Q9" s="9" t="str">
        <x:v>EVO-S-AUTHOR2</x:v>
      </x:c>
      <x:c r="R9" s="9" t="str">
        <x:v>https://farawaypress.com/comics/masseffectevolution/masseffectevolution2/</x:v>
      </x:c>
      <x:c r="S9" s="9" t="str">
        <x:v>Le rôle dans la source ne prouve ni recrutement jouable ni disponibilité permanente.</x:v>
      </x:c>
    </x:row>
  </x:sheetData>
  <x:conditionalFormatting sqref="D7:D9">
    <x:cfRule type="cellIs" dxfId="4" priority="1" operator="equal">
      <x:formula>"À vérifier"</x:formula>
    </x:cfRule>
    <x:cfRule type="cellIs" dxfId="5" priority="2" operator="equal">
      <x:formula>"Extrapolation"</x:formula>
    </x:cfRule>
  </x:conditionalFormatting>
  <x:conditionalFormatting sqref="C7:C9">
    <x:cfRule type="cellIs" dxfId="6" priority="3" operator="equal">
      <x:formula>"Validé"</x:formula>
    </x:cfRule>
  </x:conditionalFormatting>
  <x:conditionalFormatting sqref="E7:E9">
    <x:cfRule type="cellIs" dxfId="7" priority="4" operator="equal">
      <x:formula>"P0"</x:formula>
    </x:cfRule>
  </x:conditionalFormatting>
  <x:dataValidations count="3">
    <x:dataValidation type="list" sqref="C7:C9">
      <x:formula1>"Défini,Prototype,Intégré,Validé"</x:formula1>
    </x:dataValidation>
    <x:dataValidation type="list" sqref="D7:D9">
      <x:formula1>"Établi,À vérifier,Extrapolation,Coupé attesté,Concept abandonné,Allégation écartée"</x:formula1>
    </x:dataValidation>
    <x:dataValidation type="list" sqref="E7:E9">
      <x:formula1>"P0,P1,P2"</x:formula1>
    </x:dataValidation>
  </x:dataValidations>
  <x:pageMargins left="0.7" right="0.7" top="0.75" bottom="0.75" header="0.3" footer="0.3"/>
  <x:tableParts count="1">
    <x:tablePart xmlns:r="http://schemas.openxmlformats.org/officeDocument/2006/relationships" r:id="R7fd103d9a7854d96"/>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101" hidden="0" customWidth="1"/>
    <x:col min="19" max="19" width="250"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Espèces et factions</x:v>
      </x:c>
      <x:c r="B2" s="2"/>
      <x:c r="C2" s="2"/>
      <x:c r="D2" s="2"/>
      <x:c r="E2" s="2"/>
      <x:c r="F2" s="2"/>
      <x:c r="G2" s="2"/>
      <x:c r="H2" s="2"/>
      <x:c r="I2" s="2"/>
      <x:c r="J2" s="2"/>
      <x:c r="K2" s="2"/>
      <x:c r="L2" s="2"/>
      <x:c r="M2" s="2"/>
      <x:c r="N2" s="2"/>
      <x:c r="O2" s="2"/>
      <x:c r="P2" s="2"/>
      <x:c r="Q2" s="2"/>
      <x:c r="R2" s="2"/>
      <x:c r="S2" s="2"/>
    </x:row>
    <x:row r="3" ht="22" customHeight="1">
      <x:c r="A3" s="4" t="str">
        <x:v>Mass Effect: Evolution — Espèces, organisations et règles culturelles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EVO-REF-SCOPE</x:v>
      </x:c>
      <x:c r="B7" s="9" t="str">
        <x:v>Origine de l’Homme trouble</x:v>
      </x:c>
      <x:c r="C7" s="15" t="str">
        <x:v>Défini</x:v>
      </x:c>
      <x:c r="D7" s="16" t="str">
        <x:v>Établi</x:v>
      </x:c>
      <x:c r="E7" s="16" t="str">
        <x:v>P0</x:v>
      </x:c>
      <x:c r="F7" s="9" t="str">
        <x:v>Le recueil raconte l’origine de l’Homme trouble et réunit Evolution #1–4.</x:v>
      </x:c>
      <x:c r="G7" s="9" t="str">
        <x:v>Conserver cet ancrage dans les données éditoriales; les variantes de jeu restent dans un espace séparé.</x:v>
      </x:c>
      <x:c r="H7" s="9" t="str"/>
      <x:c r="I7" s="9" t="str"/>
      <x:c r="J7" s="9" t="str"/>
      <x:c r="K7" s="9" t="str"/>
      <x:c r="L7" s="9" t="str">
        <x:v>Livrable proposé : spécification EVO/lore/ref-scope; brancher au registre de contenu de l'œuvre seulement après production.</x:v>
      </x:c>
      <x:c r="M7" s="9" t="str">
        <x:v>Vérifier toute précision non contenue dans cette notice avant de la déclarer canon.</x:v>
      </x:c>
      <x:c r="N7" s="9" t="str">
        <x:v>Le dossier cite la source BOOK et distingue cette information de toute règle de gameplay.</x:v>
      </x:c>
      <x:c r="O7" s="9" t="str"/>
      <x:c r="P7" s="9" t="str">
        <x:v>Mass Effect: Evolution, série concernée</x:v>
      </x:c>
      <x:c r="Q7" s="9" t="str">
        <x:v>EVO-S-BOOK</x:v>
      </x:c>
      <x:c r="R7" s="9" t="str">
        <x:v>https://www.penguinrandomhouse.com/books/241664/mass-effect-volume-2-evolution-by-mac-walters-various-artists/</x:v>
      </x:c>
      <x:c r="S7" s="9" t="str">
        <x:v>Fait résumé brièvement; aucun dialogue ni découpage intégral du comic reproduit.</x:v>
      </x:c>
    </x:row>
    <x:row r="8" ht="54" customHeight="1">
      <x:c r="A8" s="19" t="str">
        <x:v>EVO-REF-WAR</x:v>
      </x:c>
      <x:c r="B8" s="7" t="str">
        <x:v>Frontière entre guerre et après-guerre</x:v>
      </x:c>
      <x:c r="C8" s="15" t="str">
        <x:v>Défini</x:v>
      </x:c>
      <x:c r="D8" s="17" t="str">
        <x:v>Établi</x:v>
      </x:c>
      <x:c r="E8" s="17" t="str">
        <x:v>P0</x:v>
      </x:c>
      <x:c r="F8" s="7" t="str">
        <x:v>Le scénariste situe la fin de la Première Guerre de Contact entre les numéros 1 et 2.</x:v>
      </x:c>
      <x:c r="G8" s="7" t="str">
        <x:v>Conserver cet ancrage dans les données éditoriales; les variantes de jeu restent dans un espace séparé.</x:v>
      </x:c>
      <x:c r="H8" s="7" t="str"/>
      <x:c r="I8" s="7" t="str"/>
      <x:c r="J8" s="7" t="str"/>
      <x:c r="K8" s="7" t="str"/>
      <x:c r="L8" s="7" t="str">
        <x:v>Livrable proposé : spécification EVO/lore/ref-war; brancher au registre de contenu de l'œuvre seulement après production.</x:v>
      </x:c>
      <x:c r="M8" s="7" t="str">
        <x:v>Vérifier toute précision non contenue dans cette notice avant de la déclarer canon.</x:v>
      </x:c>
      <x:c r="N8" s="7" t="str">
        <x:v>Le dossier cite la source AUTHOR1 et distingue cette information de toute règle de gameplay.</x:v>
      </x:c>
      <x:c r="O8" s="7" t="str"/>
      <x:c r="P8" s="7" t="str">
        <x:v>Evolution #1, notes de fabrication</x:v>
      </x:c>
      <x:c r="Q8" s="7" t="str">
        <x:v>EVO-S-AUTHOR1</x:v>
      </x:c>
      <x:c r="R8" s="7" t="str">
        <x:v>https://farawaypress.com/comics/masseffectevolution/masseffectevolution1/</x:v>
      </x:c>
      <x:c r="S8" s="7" t="str">
        <x:v>Fait résumé brièvement; aucun dialogue ni découpage intégral du comic reproduit.</x:v>
      </x:c>
    </x:row>
    <x:row r="9" ht="54" customHeight="1">
      <x:c r="A9" s="18" t="str">
        <x:v>EVO-REF-CONTACT</x:v>
      </x:c>
      <x:c r="B9" s="9" t="str">
        <x:v>Contact direct et indirect</x:v>
      </x:c>
      <x:c r="C9" s="15" t="str">
        <x:v>Défini</x:v>
      </x:c>
      <x:c r="D9" s="16" t="str">
        <x:v>Établi</x:v>
      </x:c>
      <x:c r="E9" s="16" t="str">
        <x:v>P0</x:v>
      </x:c>
      <x:c r="F9" s="9" t="str">
        <x:v>Ben touche directement le Monolithe; Jack le touche par son intermédiaire. L’auteur laisse leur différence de réaction incertaine.</x:v>
      </x:c>
      <x:c r="G9" s="9" t="str">
        <x:v>Ne pas convertir cette hypothèse en règle biologique certaine.</x:v>
      </x:c>
      <x:c r="H9" s="9" t="str"/>
      <x:c r="I9" s="9" t="str"/>
      <x:c r="J9" s="9" t="str"/>
      <x:c r="K9" s="9" t="str"/>
      <x:c r="L9" s="9" t="str">
        <x:v>Livrable proposé : spécification EVO/lore/ref-contact; brancher au registre de contenu de l'œuvre seulement après production.</x:v>
      </x:c>
      <x:c r="M9" s="9" t="str">
        <x:v>Vérifier toute précision non contenue dans cette notice avant de la déclarer canon.</x:v>
      </x:c>
      <x:c r="N9" s="9" t="str">
        <x:v>Le dossier cite la source AUTHOR3 et distingue cette information de toute règle de gameplay.</x:v>
      </x:c>
      <x:c r="O9" s="9" t="str"/>
      <x:c r="P9" s="9" t="str">
        <x:v>Evolution #3</x:v>
      </x:c>
      <x:c r="Q9" s="9" t="str">
        <x:v>EVO-S-AUTHOR3</x:v>
      </x:c>
      <x:c r="R9" s="9" t="str">
        <x:v>https://farawaypress.com/comics/masseffectevolution/masseffectevolution3/</x:v>
      </x:c>
      <x:c r="S9" s="9" t="str">
        <x:v>Fait résumé brièvement; aucun dialogue ni découpage intégral du comic reproduit.</x:v>
      </x:c>
    </x:row>
    <x:row r="10" ht="54" customHeight="1">
      <x:c r="A10" s="19" t="str">
        <x:v>EVO-REF-META</x:v>
      </x:c>
      <x:c r="B10" s="7" t="str">
        <x:v>Dénomination Meta-turian</x:v>
      </x:c>
      <x:c r="C10" s="15" t="str">
        <x:v>Défini</x:v>
      </x:c>
      <x:c r="D10" s="17" t="str">
        <x:v>Établi</x:v>
      </x:c>
      <x:c r="E10" s="17" t="str">
        <x:v>P0</x:v>
      </x:c>
      <x:c r="F10" s="7" t="str">
        <x:v>Le scénariste explique avoir nommé les turiens transformés « Meta-turians ».</x:v>
      </x:c>
      <x:c r="G10" s="7" t="str">
        <x:v>Utiliser une famille visuelle distincte, sans inventer une nouvelle espèce autonome.</x:v>
      </x:c>
      <x:c r="H10" s="7" t="str"/>
      <x:c r="I10" s="7" t="str"/>
      <x:c r="J10" s="7" t="str"/>
      <x:c r="K10" s="7" t="str"/>
      <x:c r="L10" s="7" t="str">
        <x:v>Livrable proposé : spécification EVO/lore/ref-meta; brancher au registre de contenu de l'œuvre seulement après production.</x:v>
      </x:c>
      <x:c r="M10" s="7" t="str">
        <x:v>Vérifier toute précision non contenue dans cette notice avant de la déclarer canon.</x:v>
      </x:c>
      <x:c r="N10" s="7" t="str">
        <x:v>Le dossier cite la source AUTHOR4 et distingue cette information de toute règle de gameplay.</x:v>
      </x:c>
      <x:c r="O10" s="7" t="str"/>
      <x:c r="P10" s="7" t="str">
        <x:v>Evolution #4</x:v>
      </x:c>
      <x:c r="Q10" s="7" t="str">
        <x:v>EVO-S-AUTHOR4</x:v>
      </x:c>
      <x:c r="R10" s="7" t="str">
        <x:v>https://farawaypress.com/comics/masseffectevolution/masseffectevolution4/</x:v>
      </x:c>
      <x:c r="S10" s="7" t="str">
        <x:v>Fait résumé brièvement; aucun dialogue ni découpage intégral du comic reproduit.</x:v>
      </x:c>
    </x:row>
    <x:row r="11" ht="82" customHeight="1">
      <x:c r="A11" s="18" t="str">
        <x:v>EVO-SC-RESIST-REF</x:v>
      </x:c>
      <x:c r="B11" s="9" t="str">
        <x:v>Résistance sur Shanxi</x:v>
      </x:c>
      <x:c r="C11" s="15" t="str">
        <x:v>Prototype</x:v>
      </x:c>
      <x:c r="D11" s="16" t="str">
        <x:v>Établi</x:v>
      </x:c>
      <x:c r="E11" s="16" t="str">
        <x:v>P1</x:v>
      </x:c>
      <x:c r="F11" s="9" t="str">
        <x:v>Le premier numéro se déroule pendant la Première Guerre de Contact. </x:v>
      </x:c>
      <x:c r="G11" s="9" t="str">
        <x:v>Ancrage du module; les intitulés de quêtes et options ci-dessous sont des créations de production.</x:v>
      </x:c>
      <x:c r="H11" s="9" t="str"/>
      <x:c r="I11" s="9" t="str"/>
      <x:c r="J11" s="9" t="str"/>
      <x:c r="K11" s="9" t="str"/>
      <x:c r="L11" s="9" t="str">
        <x:v>Référence documentaire EVO-SC-RESIST-REF consultable dans les lectures evo-contact de src/chronicle-story.js, avec sources et progression séparée. Aucune scène, carte, animation ni incarnation de personnage produite par cette fiche.</x:v>
      </x:c>
      <x:c r="M11" s="9" t="str">
        <x:v>Les résultats d’adaptation locaux convergent vers les faits de l’œuvre; les personnages absents ne deviennent pas des alliés disponibles.</x:v>
      </x:c>
      <x:c r="N11" s="9" t="str">
        <x:v>L’ancrage reste bref et son numéro/segment est identifiable dans les sources; les détails non confirmés portent À vérifier.</x:v>
      </x:c>
      <x:c r="O11" s="9" t="str"/>
      <x:c r="P11" s="9" t="str">
        <x:v>Evolution #1</x:v>
      </x:c>
      <x:c r="Q11" s="9" t="str">
        <x:v>EVO-S-AUTHOR1</x:v>
      </x:c>
      <x:c r="R11" s="9" t="str">
        <x:v>https://farawaypress.com/comics/masseffectevolution/masseffectevolution1/</x:v>
      </x:c>
      <x:c r="S11" s="9" t="str">
        <x:v>Ne remplace pas la lecture du numéro. Prototype limité à une paraphrase documentaire sourcée et aux références visitées ; pas de reproduction intégrale du récit. Une lecture n’accorde ni recrutement, équipement, victoire ni récompense de campagne.</x:v>
      </x:c>
    </x:row>
    <x:row r="12" ht="54" customHeight="1">
      <x:c r="A12" s="19" t="str">
        <x:v>EVO-SC-MONOLITH-REF</x:v>
      </x:c>
      <x:c r="B12" s="7" t="str">
        <x:v>Proximité de l’Arca Monolith</x:v>
      </x:c>
      <x:c r="C12" s="15" t="str">
        <x:v>Défini</x:v>
      </x:c>
      <x:c r="D12" s="17" t="str">
        <x:v>Établi</x:v>
      </x:c>
      <x:c r="E12" s="17" t="str">
        <x:v>P1</x:v>
      </x:c>
      <x:c r="F12" s="7" t="str">
        <x:v>L’Arca Monolith est l’artefact central commenté par l’auteur. </x:v>
      </x:c>
      <x:c r="G12" s="7" t="str">
        <x:v>Ancrage du module; les intitulés de quêtes et options ci-dessous sont des créations de production.</x:v>
      </x:c>
      <x:c r="H12" s="7" t="str"/>
      <x:c r="I12" s="7" t="str"/>
      <x:c r="J12" s="7" t="str"/>
      <x:c r="K12" s="7" t="str"/>
      <x:c r="L12" s="7" t="str">
        <x:v>Livrable proposé : spécification EVO/lore/sc-monolith-ref; brancher au registre de contenu de l'œuvre seulement après production.</x:v>
      </x:c>
      <x:c r="M12" s="7" t="str">
        <x:v>Les résultats d’adaptation locaux convergent vers les faits de l’œuvre; les personnages absents ne deviennent pas des alliés disponibles.</x:v>
      </x:c>
      <x:c r="N12" s="7" t="str">
        <x:v>L’ancrage reste bref et son numéro/segment est identifiable dans les sources; les détails non confirmés portent À vérifier.</x:v>
      </x:c>
      <x:c r="O12" s="7" t="str"/>
      <x:c r="P12" s="7" t="str">
        <x:v>Evolution #1</x:v>
      </x:c>
      <x:c r="Q12" s="7" t="str">
        <x:v>EVO-S-AUTHOR1</x:v>
      </x:c>
      <x:c r="R12" s="7" t="str">
        <x:v>https://farawaypress.com/comics/masseffectevolution/masseffectevolution1/</x:v>
      </x:c>
      <x:c r="S12" s="7" t="str">
        <x:v>Ne remplace pas la lecture du numéro.</x:v>
      </x:c>
    </x:row>
    <x:row r="13" ht="82" customHeight="1">
      <x:c r="A13" s="18" t="str">
        <x:v>EVO-SC-AFTERWAR-REF</x:v>
      </x:c>
      <x:c r="B13" s="9" t="str">
        <x:v>Après la guerre</x:v>
      </x:c>
      <x:c r="C13" s="15" t="str">
        <x:v>Prototype</x:v>
      </x:c>
      <x:c r="D13" s="16" t="str">
        <x:v>Établi</x:v>
      </x:c>
      <x:c r="E13" s="16" t="str">
        <x:v>P1</x:v>
      </x:c>
      <x:c r="F13" s="9" t="str">
        <x:v>Le deuxième numéro se situe après la fin des hostilités. </x:v>
      </x:c>
      <x:c r="G13" s="9" t="str">
        <x:v>Ancrage du module; les intitulés de quêtes et options ci-dessous sont des créations de production.</x:v>
      </x:c>
      <x:c r="H13" s="9" t="str"/>
      <x:c r="I13" s="9" t="str"/>
      <x:c r="J13" s="9" t="str"/>
      <x:c r="K13" s="9" t="str"/>
      <x:c r="L13" s="9" t="str">
        <x:v>Référence documentaire EVO-SC-AFTERWAR-REF consultable dans les lectures de src/chronicle-story.js, avec sources et progression séparée. Aucune scène, carte, animation ou incarnation de personnage n’est produite par cette fiche.</x:v>
      </x:c>
      <x:c r="M13" s="9" t="str">
        <x:v>Les résultats d’adaptation locaux convergent vers les faits de l’œuvre; les personnages absents ne deviennent pas des alliés disponibles.</x:v>
      </x:c>
      <x:c r="N13" s="9" t="str">
        <x:v>L’ancrage reste bref et son numéro/segment est identifiable dans les sources; les détails non confirmés portent À vérifier.</x:v>
      </x:c>
      <x:c r="O13" s="9" t="str"/>
      <x:c r="P13" s="9" t="str">
        <x:v>Transition Evolution #1 → #2</x:v>
      </x:c>
      <x:c r="Q13" s="9" t="str">
        <x:v>EVO-S-AUTHOR1</x:v>
      </x:c>
      <x:c r="R13" s="9" t="str">
        <x:v>https://farawaypress.com/comics/masseffectevolution/masseffectevolution1/</x:v>
      </x:c>
      <x:c r="S13" s="9" t="str">
        <x:v>Ne remplace pas la lecture du numéro. Prototype limité à une paraphrase documentaire sourcée et aux références visitées. Les autres livrables de l’œuvre restent à produire ; les personnages mentionnés ne sont pas recrutables et les lieux cités ne deviennent pas des niveaux.</x:v>
      </x:c>
    </x:row>
    <x:row r="14" ht="82" customHeight="1">
      <x:c r="A14" s="19" t="str">
        <x:v>EVO-SC-ILLIUM-REF</x:v>
      </x:c>
      <x:c r="B14" s="7" t="str">
        <x:v>Piste sur Illium</x:v>
      </x:c>
      <x:c r="C14" s="15" t="str">
        <x:v>Prototype</x:v>
      </x:c>
      <x:c r="D14" s="17" t="str">
        <x:v>Établi</x:v>
      </x:c>
      <x:c r="E14" s="17" t="str">
        <x:v>P1</x:v>
      </x:c>
      <x:c r="F14" s="7" t="str">
        <x:v>Le deuxième numéro introduit Illium et Saren dans cet arc. </x:v>
      </x:c>
      <x:c r="G14" s="7" t="str">
        <x:v>Ancrage du module; les intitulés de quêtes et options ci-dessous sont des créations de production.</x:v>
      </x:c>
      <x:c r="H14" s="7" t="str"/>
      <x:c r="I14" s="7" t="str"/>
      <x:c r="J14" s="7" t="str"/>
      <x:c r="K14" s="7" t="str"/>
      <x:c r="L14" s="7" t="str">
        <x:v>Référence documentaire EVO-SC-ILLIUM-REF consultable dans les lectures de src/chronicle-story.js, avec sources et progression séparée. Aucune scène, carte, animation ou incarnation de personnage n’est produite par cette fiche.</x:v>
      </x:c>
      <x:c r="M14" s="7" t="str">
        <x:v>Les résultats d’adaptation locaux convergent vers les faits de l’œuvre; les personnages absents ne deviennent pas des alliés disponibles.</x:v>
      </x:c>
      <x:c r="N14" s="7" t="str">
        <x:v>L’ancrage reste bref et son numéro/segment est identifiable dans les sources; les détails non confirmés portent À vérifier.</x:v>
      </x:c>
      <x:c r="O14" s="7" t="str"/>
      <x:c r="P14" s="7" t="str">
        <x:v>Evolution #2</x:v>
      </x:c>
      <x:c r="Q14" s="7" t="str">
        <x:v>EVO-S-AUTHOR2</x:v>
      </x:c>
      <x:c r="R14" s="7" t="str">
        <x:v>https://farawaypress.com/comics/masseffectevolution/masseffectevolution2/</x:v>
      </x:c>
      <x:c r="S14" s="7" t="str">
        <x:v>Ne remplace pas la lecture du numéro. Prototype limité à une paraphrase documentaire sourcée et aux références visitées. Les autres livrables de l’œuvre restent à produire ; les personnages mentionnés ne sont pas recrutables et les lieux cités ne deviennent pas des niveaux.</x:v>
      </x:c>
    </x:row>
    <x:row r="15" ht="82" customHeight="1">
      <x:c r="A15" s="18" t="str">
        <x:v>EVO-SC-PALAVEN-REF</x:v>
      </x:c>
      <x:c r="B15" s="9" t="str">
        <x:v>Tradition et projet de Desolas</x:v>
      </x:c>
      <x:c r="C15" s="15" t="str">
        <x:v>Prototype</x:v>
      </x:c>
      <x:c r="D15" s="16" t="str">
        <x:v>Établi</x:v>
      </x:c>
      <x:c r="E15" s="16" t="str">
        <x:v>P1</x:v>
      </x:c>
      <x:c r="F15" s="9" t="str">
        <x:v>Le troisième numéro montre Desolas utiliser les traditions de Palaven pour son projet. </x:v>
      </x:c>
      <x:c r="G15" s="9" t="str">
        <x:v>Ancrage du module; les intitulés de quêtes et options ci-dessous sont des créations de production.</x:v>
      </x:c>
      <x:c r="H15" s="9" t="str"/>
      <x:c r="I15" s="9" t="str"/>
      <x:c r="J15" s="9" t="str"/>
      <x:c r="K15" s="9" t="str"/>
      <x:c r="L15" s="9" t="str">
        <x:v>Référence documentaire EVO-SC-PALAVEN-REF consultable dans les lectures de src/chronicle-story.js, avec sources et progression séparée. Aucune scène, carte, animation ou incarnation de personnage n’est produite par cette fiche.</x:v>
      </x:c>
      <x:c r="M15" s="9" t="str">
        <x:v>Les résultats d’adaptation locaux convergent vers les faits de l’œuvre; les personnages absents ne deviennent pas des alliés disponibles.</x:v>
      </x:c>
      <x:c r="N15" s="9" t="str">
        <x:v>L’ancrage reste bref et son numéro/segment est identifiable dans les sources; les détails non confirmés portent À vérifier.</x:v>
      </x:c>
      <x:c r="O15" s="9" t="str"/>
      <x:c r="P15" s="9" t="str">
        <x:v>Evolution #3</x:v>
      </x:c>
      <x:c r="Q15" s="9" t="str">
        <x:v>EVO-S-AUTHOR3</x:v>
      </x:c>
      <x:c r="R15" s="9" t="str">
        <x:v>https://farawaypress.com/comics/masseffectevolution/masseffectevolution3/</x:v>
      </x:c>
      <x:c r="S15" s="9" t="str">
        <x:v>Ne remplace pas la lecture du numéro. Prototype limité à une paraphrase documentaire sourcée et aux références visitées. Les autres livrables de l’œuvre restent à produire ; les personnages mentionnés ne sont pas recrutables et les lieux cités ne deviennent pas des niveaux.</x:v>
      </x:c>
    </x:row>
    <x:row r="16" ht="82" customHeight="1">
      <x:c r="A16" s="19" t="str">
        <x:v>EVO-SC-BREAK-REF</x:v>
      </x:c>
      <x:c r="B16" s="7" t="str">
        <x:v>Rupture du contrôle</x:v>
      </x:c>
      <x:c r="C16" s="15" t="str">
        <x:v>Prototype</x:v>
      </x:c>
      <x:c r="D16" s="17" t="str">
        <x:v>Établi</x:v>
      </x:c>
      <x:c r="E16" s="17" t="str">
        <x:v>P1</x:v>
      </x:c>
      <x:c r="F16" s="7" t="str">
        <x:v>L’auteur décrit l’artefact comme le moyen de contrôle des êtres transformés et la cause de la chute de Desolas. </x:v>
      </x:c>
      <x:c r="G16" s="7" t="str">
        <x:v>Ancrage du module; les intitulés de quêtes et options ci-dessous sont des créations de production.</x:v>
      </x:c>
      <x:c r="H16" s="7" t="str"/>
      <x:c r="I16" s="7" t="str"/>
      <x:c r="J16" s="7" t="str"/>
      <x:c r="K16" s="7" t="str"/>
      <x:c r="L16" s="7" t="str">
        <x:v>Référence documentaire EVO-SC-BREAK-REF consultable dans les lectures de src/chronicle-story.js, avec sources et progression séparée. Aucune scène, carte, animation ou incarnation de personnage n’est produite par cette fiche.</x:v>
      </x:c>
      <x:c r="M16" s="7" t="str">
        <x:v>Les résultats d’adaptation locaux convergent vers les faits de l’œuvre; les personnages absents ne deviennent pas des alliés disponibles.</x:v>
      </x:c>
      <x:c r="N16" s="7" t="str">
        <x:v>L’ancrage reste bref et son numéro/segment est identifiable dans les sources; les détails non confirmés portent À vérifier.</x:v>
      </x:c>
      <x:c r="O16" s="7" t="str"/>
      <x:c r="P16" s="7" t="str">
        <x:v>Evolution #4</x:v>
      </x:c>
      <x:c r="Q16" s="7" t="str">
        <x:v>EVO-S-AUTHOR4</x:v>
      </x:c>
      <x:c r="R16" s="7" t="str">
        <x:v>https://farawaypress.com/comics/masseffectevolution/masseffectevolution4/</x:v>
      </x:c>
      <x:c r="S16" s="7" t="str">
        <x:v>Ne remplace pas la lecture du numéro. Prototype limité à une paraphrase documentaire sourcée et aux références visitées. Les autres livrables de l’œuvre restent à produire ; les personnages mentionnés ne sont pas recrutables et les lieux cités ne deviennent pas des niveaux.</x:v>
      </x:c>
    </x:row>
  </x:sheetData>
  <x:conditionalFormatting sqref="D7:D16">
    <x:cfRule type="cellIs" dxfId="8" priority="1" operator="equal">
      <x:formula>"À vérifier"</x:formula>
    </x:cfRule>
    <x:cfRule type="cellIs" dxfId="9" priority="2" operator="equal">
      <x:formula>"Extrapolation"</x:formula>
    </x:cfRule>
  </x:conditionalFormatting>
  <x:conditionalFormatting sqref="C7:C16">
    <x:cfRule type="cellIs" dxfId="10" priority="3" operator="equal">
      <x:formula>"Validé"</x:formula>
    </x:cfRule>
  </x:conditionalFormatting>
  <x:conditionalFormatting sqref="E7:E16">
    <x:cfRule type="cellIs" dxfId="11" priority="4" operator="equal">
      <x:formula>"P0"</x:formula>
    </x:cfRule>
  </x:conditionalFormatting>
  <x:dataValidations count="3">
    <x:dataValidation type="list" sqref="C7:C16">
      <x:formula1>"Défini,Prototype,Intégré,Validé"</x:formula1>
    </x:dataValidation>
    <x:dataValidation type="list" sqref="D7:D16">
      <x:formula1>"Établi,À vérifier,Extrapolation,Coupé attesté,Concept abandonné,Allégation écartée"</x:formula1>
    </x:dataValidation>
    <x:dataValidation type="list" sqref="E7:E16">
      <x:formula1>"P0,P1,P2"</x:formula1>
    </x:dataValidation>
  </x:dataValidations>
  <x:pageMargins left="0.7" right="0.7" top="0.75" bottom="0.75" header="0.3" footer="0.3"/>
  <x:tableParts count="1">
    <x:tablePart xmlns:r="http://schemas.openxmlformats.org/officeDocument/2006/relationships" r:id="Rc067d0920f9b4253"/>
  </x:tableParts>
</x:worksheet>
</file>

<file path=xl/worksheets/sheet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90"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Mondes</x:v>
      </x:c>
      <x:c r="B2" s="2"/>
      <x:c r="C2" s="2"/>
      <x:c r="D2" s="2"/>
      <x:c r="E2" s="2"/>
      <x:c r="F2" s="2"/>
      <x:c r="G2" s="2"/>
      <x:c r="H2" s="2"/>
      <x:c r="I2" s="2"/>
      <x:c r="J2" s="2"/>
      <x:c r="K2" s="2"/>
      <x:c r="L2" s="2"/>
      <x:c r="M2" s="2"/>
      <x:c r="N2" s="2"/>
      <x:c r="O2" s="2"/>
      <x:c r="P2" s="2"/>
      <x:c r="Q2" s="2"/>
      <x:c r="R2" s="2"/>
      <x:c r="S2" s="2"/>
    </x:row>
    <x:row r="3" ht="22" customHeight="1">
      <x:c r="A3" s="4" t="str">
        <x:v>Mass Effect: Evolution — Destinations et identité environnementale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EVO-WRL-SHANXI</x:v>
      </x:c>
      <x:c r="B7" s="9" t="str">
        <x:v>Shanxi</x:v>
      </x:c>
      <x:c r="C7" s="15" t="str">
        <x:v>Défini</x:v>
      </x:c>
      <x:c r="D7" s="16" t="str">
        <x:v>À vérifier</x:v>
      </x:c>
      <x:c r="E7" s="16" t="str">
        <x:v>P1</x:v>
      </x:c>
      <x:c r="F7" s="9" t="str">
        <x:v>Eva participe à la résistance sur Shanxi occupée.</x:v>
      </x:c>
      <x:c r="G7" s="9" t="str">
        <x:v>Premier acte militaire localisé.</x:v>
      </x:c>
      <x:c r="H7" s="9" t="str"/>
      <x:c r="I7" s="9" t="str">
        <x:v>Roche poussiéreuse, métal terne et lumière rasante.</x:v>
      </x:c>
      <x:c r="J7" s="9" t="str"/>
      <x:c r="K7" s="9" t="str"/>
      <x:c r="L7" s="9" t="str">
        <x:v>Livrable proposé : spécification EVO/worlds/wrl-shanxi; brancher au registre de contenu de l'œuvre seulement après production.</x:v>
      </x:c>
      <x:c r="M7" s="9" t="str">
        <x:v>Les résultats d’adaptation locaux convergent vers les faits de l’œuvre; les personnages absents ne deviennent pas des alliés disponibles.</x:v>
      </x:c>
      <x:c r="N7" s="9" t="str">
        <x:v>Le nom Shanxi et sa fonction sont sourcés; les dimensions, chemins et interactions restent explicitement proposés.</x:v>
      </x:c>
      <x:c r="O7" s="9" t="str"/>
      <x:c r="P7" s="9" t="str">
        <x:v>Mass Effect: Evolution, série concernée</x:v>
      </x:c>
      <x:c r="Q7" s="9" t="str">
        <x:v>EVO-S-EVA</x:v>
      </x:c>
      <x:c r="R7" s="9" t="str">
        <x:v>https://masseffect.fandom.com/wiki/Eva_Cor%C3%A9</x:v>
      </x:c>
      <x:c r="S7" s="9" t="str">
        <x:v>La géométrie jouable ci-dessous est originale et ne prétend pas reconstituer une carte officielle.</x:v>
      </x:c>
    </x:row>
    <x:row r="8" ht="54" customHeight="1">
      <x:c r="A8" s="19" t="str">
        <x:v>EVO-WRL-ARCTURUS</x:v>
      </x:c>
      <x:c r="B8" s="7" t="str">
        <x:v>Arcturus Station</x:v>
      </x:c>
      <x:c r="C8" s="15" t="str">
        <x:v>Défini</x:v>
      </x:c>
      <x:c r="D8" s="17" t="str">
        <x:v>Établi</x:v>
      </x:c>
      <x:c r="E8" s="17" t="str">
        <x:v>P1</x:v>
      </x:c>
      <x:c r="F8" s="7" t="str">
        <x:v>Le deuxième numéro visite Arcturus Station.</x:v>
      </x:c>
      <x:c r="G8" s="7" t="str">
        <x:v>Intermède d’après-guerre et prise d’information.</x:v>
      </x:c>
      <x:c r="H8" s="7" t="str"/>
      <x:c r="I8" s="7" t="str">
        <x:v>Blanc cassé, bleu froid, surfaces ordonnées et éclairage sans clignotement.</x:v>
      </x:c>
      <x:c r="J8" s="7" t="str"/>
      <x:c r="K8" s="7" t="str"/>
      <x:c r="L8" s="7" t="str">
        <x:v>Livrable proposé : spécification EVO/worlds/wrl-arcturus; brancher au registre de contenu de l'œuvre seulement après production.</x:v>
      </x:c>
      <x:c r="M8" s="7" t="str">
        <x:v>Les résultats d’adaptation locaux convergent vers les faits de l’œuvre; les personnages absents ne deviennent pas des alliés disponibles.</x:v>
      </x:c>
      <x:c r="N8" s="7" t="str">
        <x:v>Le nom Arcturus Station et sa fonction sont sourcés; les dimensions, chemins et interactions restent explicitement proposés.</x:v>
      </x:c>
      <x:c r="O8" s="7" t="str"/>
      <x:c r="P8" s="7" t="str">
        <x:v>Mass Effect: Evolution, série concernée</x:v>
      </x:c>
      <x:c r="Q8" s="7" t="str">
        <x:v>EVO-S-AUTHOR2</x:v>
      </x:c>
      <x:c r="R8" s="7" t="str">
        <x:v>https://farawaypress.com/comics/masseffectevolution/masseffectevolution2/</x:v>
      </x:c>
      <x:c r="S8" s="7" t="str">
        <x:v>La géométrie jouable ci-dessous est originale et ne prétend pas reconstituer une carte officielle.</x:v>
      </x:c>
    </x:row>
    <x:row r="9" ht="54" customHeight="1">
      <x:c r="A9" s="18" t="str">
        <x:v>EVO-WRL-ILLIUM</x:v>
      </x:c>
      <x:c r="B9" s="9" t="str">
        <x:v>Illium</x:v>
      </x:c>
      <x:c r="C9" s="15" t="str">
        <x:v>Défini</x:v>
      </x:c>
      <x:c r="D9" s="16" t="str">
        <x:v>Établi</x:v>
      </x:c>
      <x:c r="E9" s="16" t="str">
        <x:v>P1</x:v>
      </x:c>
      <x:c r="F9" s="9" t="str">
        <x:v>Illium apparaît au deuxième numéro.</x:v>
      </x:c>
      <x:c r="G9" s="9" t="str">
        <x:v>Enquête dans un contexte étranger.</x:v>
      </x:c>
      <x:c r="H9" s="9" t="str"/>
      <x:c r="I9" s="9" t="str">
        <x:v>Verre sombre, métal poli et accents ambrés.</x:v>
      </x:c>
      <x:c r="J9" s="9" t="str"/>
      <x:c r="K9" s="9" t="str"/>
      <x:c r="L9" s="9" t="str">
        <x:v>Livrable proposé : spécification EVO/worlds/wrl-illium; brancher au registre de contenu de l'œuvre seulement après production.</x:v>
      </x:c>
      <x:c r="M9" s="9" t="str">
        <x:v>Les résultats d’adaptation locaux convergent vers les faits de l’œuvre; les personnages absents ne deviennent pas des alliés disponibles.</x:v>
      </x:c>
      <x:c r="N9" s="9" t="str">
        <x:v>Le nom Illium et sa fonction sont sourcés; les dimensions, chemins et interactions restent explicitement proposés.</x:v>
      </x:c>
      <x:c r="O9" s="9" t="str"/>
      <x:c r="P9" s="9" t="str">
        <x:v>Mass Effect: Evolution, série concernée</x:v>
      </x:c>
      <x:c r="Q9" s="9" t="str">
        <x:v>EVO-S-AUTHOR2</x:v>
      </x:c>
      <x:c r="R9" s="9" t="str">
        <x:v>https://farawaypress.com/comics/masseffectevolution/masseffectevolution2/</x:v>
      </x:c>
      <x:c r="S9" s="9" t="str">
        <x:v>La géométrie jouable ci-dessous est originale et ne prétend pas reconstituer une carte officielle.</x:v>
      </x:c>
    </x:row>
    <x:row r="10" ht="54" customHeight="1">
      <x:c r="A10" s="19" t="str">
        <x:v>EVO-WRL-PALAVEN</x:v>
      </x:c>
      <x:c r="B10" s="7" t="str">
        <x:v>Palaven</x:v>
      </x:c>
      <x:c r="C10" s="15" t="str">
        <x:v>Défini</x:v>
      </x:c>
      <x:c r="D10" s="17" t="str">
        <x:v>Établi</x:v>
      </x:c>
      <x:c r="E10" s="17" t="str">
        <x:v>P1</x:v>
      </x:c>
      <x:c r="F10" s="7" t="str">
        <x:v>Palaven est un cadre important du troisième numéro.</x:v>
      </x:c>
      <x:c r="G10" s="7" t="str">
        <x:v>Mettre en scène tradition militaire et instrumentalisations de l’artefact.</x:v>
      </x:c>
      <x:c r="H10" s="7" t="str"/>
      <x:c r="I10" s="7" t="str">
        <x:v>Volumes minéraux monumentaux, éclairage oblique et métal froid.</x:v>
      </x:c>
      <x:c r="J10" s="7" t="str"/>
      <x:c r="K10" s="7" t="str"/>
      <x:c r="L10" s="7" t="str">
        <x:v>Livrable proposé : spécification EVO/worlds/wrl-palaven; brancher au registre de contenu de l'œuvre seulement après production.</x:v>
      </x:c>
      <x:c r="M10" s="7" t="str">
        <x:v>Les résultats d’adaptation locaux convergent vers les faits de l’œuvre; les personnages absents ne deviennent pas des alliés disponibles.</x:v>
      </x:c>
      <x:c r="N10" s="7" t="str">
        <x:v>Le nom Palaven et sa fonction sont sourcés; les dimensions, chemins et interactions restent explicitement proposés.</x:v>
      </x:c>
      <x:c r="O10" s="7" t="str"/>
      <x:c r="P10" s="7" t="str">
        <x:v>Mass Effect: Evolution, série concernée</x:v>
      </x:c>
      <x:c r="Q10" s="7" t="str">
        <x:v>EVO-S-AUTHOR3</x:v>
      </x:c>
      <x:c r="R10" s="7" t="str">
        <x:v>https://farawaypress.com/comics/masseffectevolution/masseffectevolution3/</x:v>
      </x:c>
      <x:c r="S10" s="7" t="str">
        <x:v>La géométrie jouable ci-dessous est originale et ne prétend pas reconstituer une carte officielle.</x:v>
      </x:c>
    </x:row>
  </x:sheetData>
  <x:conditionalFormatting sqref="D7:D10">
    <x:cfRule type="cellIs" dxfId="12" priority="1" operator="equal">
      <x:formula>"À vérifier"</x:formula>
    </x:cfRule>
    <x:cfRule type="cellIs" dxfId="13" priority="2" operator="equal">
      <x:formula>"Extrapolation"</x:formula>
    </x:cfRule>
  </x:conditionalFormatting>
  <x:conditionalFormatting sqref="C7:C10">
    <x:cfRule type="cellIs" dxfId="14" priority="3" operator="equal">
      <x:formula>"Validé"</x:formula>
    </x:cfRule>
  </x:conditionalFormatting>
  <x:conditionalFormatting sqref="E7:E10">
    <x:cfRule type="cellIs" dxfId="15" priority="4" operator="equal">
      <x:formula>"P0"</x:formula>
    </x:cfRule>
  </x:conditionalFormatting>
  <x:dataValidations count="3">
    <x:dataValidation type="list" sqref="C7:C10">
      <x:formula1>"Défini,Prototype,Intégré,Validé"</x:formula1>
    </x:dataValidation>
    <x:dataValidation type="list" sqref="D7:D10">
      <x:formula1>"Établi,À vérifier,Extrapolation,Coupé attesté,Concept abandonné,Allégation écartée"</x:formula1>
    </x:dataValidation>
    <x:dataValidation type="list" sqref="E7:E10">
      <x:formula1>"P0,P1,P2"</x:formula1>
    </x:dataValidation>
  </x:dataValidations>
  <x:pageMargins left="0.7" right="0.7" top="0.75" bottom="0.75" header="0.3" footer="0.3"/>
  <x:tableParts count="1">
    <x:tablePart xmlns:r="http://schemas.openxmlformats.org/officeDocument/2006/relationships" r:id="Ra5ce699e80a344b4"/>
  </x:tableParts>
</x: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Zones</x:v>
      </x:c>
      <x:c r="B2" s="2"/>
      <x:c r="C2" s="2"/>
      <x:c r="D2" s="2"/>
      <x:c r="E2" s="2"/>
      <x:c r="F2" s="2"/>
      <x:c r="G2" s="2"/>
      <x:c r="H2" s="2"/>
      <x:c r="I2" s="2"/>
      <x:c r="J2" s="2"/>
      <x:c r="K2" s="2"/>
      <x:c r="L2" s="2"/>
      <x:c r="M2" s="2"/>
      <x:c r="N2" s="2"/>
      <x:c r="O2" s="2"/>
      <x:c r="P2" s="2"/>
      <x:c r="Q2" s="2"/>
      <x:c r="R2" s="2"/>
      <x:c r="S2" s="2"/>
    </x:row>
    <x:row r="3" ht="22" customHeight="1">
      <x:c r="A3" s="4" t="str">
        <x:v>Mass Effect: Evolution — Pièces, espaces extérieurs et points de passage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EVO-ZONE-SHANXI</x:v>
      </x:c>
      <x:c r="B7" s="9" t="str">
        <x:v>Shanxi — espace jouable proposé</x:v>
      </x:c>
      <x:c r="C7" s="15" t="str">
        <x:v>Défini</x:v>
      </x:c>
      <x:c r="D7" s="16" t="str">
        <x:v>Extrapolation</x:v>
      </x:c>
      <x:c r="E7" s="16" t="str">
        <x:v>P1</x:v>
      </x:c>
      <x:c r="F7" s="9" t="str">
        <x:v>Rue couverte, angle de patrouille et approche d’une cavité; aucun champ de bataille global simulé.</x:v>
      </x:c>
      <x:c r="G7" s="9" t="str">
        <x:v>Premier acte militaire localisé.</x:v>
      </x:c>
      <x:c r="H7" s="9" t="str">
        <x:v>Patrouilles annoncées; civils exclus des cibles automatiques.</x:v>
      </x:c>
      <x:c r="I7" s="9" t="str">
        <x:v>Roche poussiéreuse, métal terne et lumière rasante.</x:v>
      </x:c>
      <x:c r="J7" s="9" t="str">
        <x:v>Garder les trajectoires de sprites sur le sol navigable; traversées de premier plan traitées par masques.</x:v>
      </x:c>
      <x:c r="K7" s="9" t="str"/>
      <x:c r="L7" s="9" t="str">
        <x:v>Scène 3D prévue evo/zones/shanxi; volumes de navigation, ancrages d'actions et caméras fixes séparés.</x:v>
      </x:c>
      <x:c r="M7" s="9" t="str">
        <x:v>Les résultats d’adaptation locaux convergent vers les faits de l’œuvre; les personnages absents ne deviennent pas des alliés disponibles.</x:v>
      </x:c>
      <x:c r="N7" s="9" t="str">
        <x:v>Le blocage de Shanxi permet un parcours aller-retour sans caméra aveugle; chaque danger annoncé possède une sortie lisible.</x:v>
      </x:c>
      <x:c r="O7" s="9" t="str">
        <x:v>EVO-WRL-SHANXI</x:v>
      </x:c>
      <x:c r="P7" s="9" t="str">
        <x:v>Plan original, dimensions à prototyper.</x:v>
      </x:c>
      <x:c r="Q7" s="9" t="str"/>
      <x:c r="R7" s="9" t="str"/>
      <x:c r="S7" s="9" t="str"/>
    </x:row>
    <x:row r="8" ht="54" customHeight="1">
      <x:c r="A8" s="19" t="str">
        <x:v>EVO-ZONE-ARCTURUS</x:v>
      </x:c>
      <x:c r="B8" s="7" t="str">
        <x:v>Arcturus Station — espace jouable proposé</x:v>
      </x:c>
      <x:c r="C8" s="15" t="str">
        <x:v>Défini</x:v>
      </x:c>
      <x:c r="D8" s="17" t="str">
        <x:v>Extrapolation</x:v>
      </x:c>
      <x:c r="E8" s="17" t="str">
        <x:v>P1</x:v>
      </x:c>
      <x:c r="F8" s="7" t="str">
        <x:v>Salle d’attente, bureau et belvédère reliés par un passage sûr.</x:v>
      </x:c>
      <x:c r="G8" s="7" t="str">
        <x:v>Intermède d’après-guerre et prise d’information.</x:v>
      </x:c>
      <x:c r="H8" s="7" t="str">
        <x:v>Pas de combat obligatoire dans le hub.</x:v>
      </x:c>
      <x:c r="I8" s="7" t="str">
        <x:v>Blanc cassé, bleu froid, surfaces ordonnées et éclairage sans clignotement.</x:v>
      </x:c>
      <x:c r="J8" s="7" t="str">
        <x:v>Garder les trajectoires de sprites sur le sol navigable; traversées de premier plan traitées par masques.</x:v>
      </x:c>
      <x:c r="K8" s="7" t="str"/>
      <x:c r="L8" s="7" t="str">
        <x:v>Scène 3D prévue evo/zones/arcturus; volumes de navigation, ancrages d'actions et caméras fixes séparés.</x:v>
      </x:c>
      <x:c r="M8" s="7" t="str">
        <x:v>Les résultats d’adaptation locaux convergent vers les faits de l’œuvre; les personnages absents ne deviennent pas des alliés disponibles.</x:v>
      </x:c>
      <x:c r="N8" s="7" t="str">
        <x:v>Le blocage de Arcturus Station permet un parcours aller-retour sans caméra aveugle; chaque danger annoncé possède une sortie lisible.</x:v>
      </x:c>
      <x:c r="O8" s="7" t="str">
        <x:v>EVO-WRL-ARCTURUS</x:v>
      </x:c>
      <x:c r="P8" s="7" t="str">
        <x:v>Plan original, dimensions à prototyper.</x:v>
      </x:c>
      <x:c r="Q8" s="7" t="str"/>
      <x:c r="R8" s="7" t="str"/>
      <x:c r="S8" s="7" t="str"/>
    </x:row>
    <x:row r="9" ht="54" customHeight="1">
      <x:c r="A9" s="18" t="str">
        <x:v>EVO-ZONE-ILLIUM</x:v>
      </x:c>
      <x:c r="B9" s="9" t="str">
        <x:v>Illium — espace jouable proposé</x:v>
      </x:c>
      <x:c r="C9" s="15" t="str">
        <x:v>Défini</x:v>
      </x:c>
      <x:c r="D9" s="16" t="str">
        <x:v>Extrapolation</x:v>
      </x:c>
      <x:c r="E9" s="16" t="str">
        <x:v>P1</x:v>
      </x:c>
      <x:c r="F9" s="9" t="str">
        <x:v>Aire de transit et espace industriel à accès progressif.</x:v>
      </x:c>
      <x:c r="G9" s="9" t="str">
        <x:v>Enquête dans un contexte étranger.</x:v>
      </x:c>
      <x:c r="H9" s="9" t="str">
        <x:v>Contrôles d’accès et lignes de vue, sans marché ouvert inventé.</x:v>
      </x:c>
      <x:c r="I9" s="9" t="str">
        <x:v>Verre sombre, métal poli et accents ambrés.</x:v>
      </x:c>
      <x:c r="J9" s="9" t="str">
        <x:v>Garder les trajectoires de sprites sur le sol navigable; traversées de premier plan traitées par masques.</x:v>
      </x:c>
      <x:c r="K9" s="9" t="str"/>
      <x:c r="L9" s="9" t="str">
        <x:v>Scène 3D prévue evo/zones/illium; volumes de navigation, ancrages d'actions et caméras fixes séparés.</x:v>
      </x:c>
      <x:c r="M9" s="9" t="str">
        <x:v>Les résultats d’adaptation locaux convergent vers les faits de l’œuvre; les personnages absents ne deviennent pas des alliés disponibles.</x:v>
      </x:c>
      <x:c r="N9" s="9" t="str">
        <x:v>Le blocage de Illium permet un parcours aller-retour sans caméra aveugle; chaque danger annoncé possède une sortie lisible.</x:v>
      </x:c>
      <x:c r="O9" s="9" t="str">
        <x:v>EVO-WRL-ILLIUM</x:v>
      </x:c>
      <x:c r="P9" s="9" t="str">
        <x:v>Plan original, dimensions à prototyper.</x:v>
      </x:c>
      <x:c r="Q9" s="9" t="str"/>
      <x:c r="R9" s="9" t="str"/>
      <x:c r="S9" s="9" t="str"/>
    </x:row>
    <x:row r="10" ht="54" customHeight="1">
      <x:c r="A10" s="19" t="str">
        <x:v>EVO-ZONE-PALAVEN</x:v>
      </x:c>
      <x:c r="B10" s="7" t="str">
        <x:v>Palaven — espace jouable proposé</x:v>
      </x:c>
      <x:c r="C10" s="15" t="str">
        <x:v>Défini</x:v>
      </x:c>
      <x:c r="D10" s="17" t="str">
        <x:v>Extrapolation</x:v>
      </x:c>
      <x:c r="E10" s="17" t="str">
        <x:v>P1</x:v>
      </x:c>
      <x:c r="F10" s="7" t="str">
        <x:v>Approche cérémonielle, galerie et salle d’artefact connectées par un itinéraire clair.</x:v>
      </x:c>
      <x:c r="G10" s="7" t="str">
        <x:v>Mettre en scène tradition militaire et instrumentalisations de l’artefact.</x:v>
      </x:c>
      <x:c r="H10" s="7" t="str">
        <x:v>Zones d’influence proposées autour de l’artefact; limites affichées.</x:v>
      </x:c>
      <x:c r="I10" s="7" t="str">
        <x:v>Volumes minéraux monumentaux, éclairage oblique et métal froid.</x:v>
      </x:c>
      <x:c r="J10" s="7" t="str">
        <x:v>Garder les trajectoires de sprites sur le sol navigable; traversées de premier plan traitées par masques.</x:v>
      </x:c>
      <x:c r="K10" s="7" t="str"/>
      <x:c r="L10" s="7" t="str">
        <x:v>Scène 3D prévue evo/zones/palaven; volumes de navigation, ancrages d'actions et caméras fixes séparés.</x:v>
      </x:c>
      <x:c r="M10" s="7" t="str">
        <x:v>Les résultats d’adaptation locaux convergent vers les faits de l’œuvre; les personnages absents ne deviennent pas des alliés disponibles.</x:v>
      </x:c>
      <x:c r="N10" s="7" t="str">
        <x:v>Le blocage de Palaven permet un parcours aller-retour sans caméra aveugle; chaque danger annoncé possède une sortie lisible.</x:v>
      </x:c>
      <x:c r="O10" s="7" t="str">
        <x:v>EVO-WRL-PALAVEN</x:v>
      </x:c>
      <x:c r="P10" s="7" t="str">
        <x:v>Plan original, dimensions à prototyper.</x:v>
      </x:c>
      <x:c r="Q10" s="7" t="str"/>
      <x:c r="R10" s="7" t="str"/>
      <x:c r="S10" s="7" t="str"/>
    </x:row>
  </x:sheetData>
  <x:conditionalFormatting sqref="D7:D10">
    <x:cfRule type="cellIs" dxfId="16" priority="1" operator="equal">
      <x:formula>"À vérifier"</x:formula>
    </x:cfRule>
    <x:cfRule type="cellIs" dxfId="17" priority="2" operator="equal">
      <x:formula>"Extrapolation"</x:formula>
    </x:cfRule>
  </x:conditionalFormatting>
  <x:conditionalFormatting sqref="C7:C10">
    <x:cfRule type="cellIs" dxfId="18" priority="3" operator="equal">
      <x:formula>"Validé"</x:formula>
    </x:cfRule>
  </x:conditionalFormatting>
  <x:conditionalFormatting sqref="E7:E10">
    <x:cfRule type="cellIs" dxfId="19" priority="4" operator="equal">
      <x:formula>"P0"</x:formula>
    </x:cfRule>
  </x:conditionalFormatting>
  <x:dataValidations count="3">
    <x:dataValidation type="list" sqref="C7:C10">
      <x:formula1>"Défini,Prototype,Intégré,Validé"</x:formula1>
    </x:dataValidation>
    <x:dataValidation type="list" sqref="D7:D10">
      <x:formula1>"Établi,À vérifier,Extrapolation,Coupé attesté,Concept abandonné,Allégation écartée"</x:formula1>
    </x:dataValidation>
    <x:dataValidation type="list" sqref="E7:E10">
      <x:formula1>"P0,P1,P2"</x:formula1>
    </x:dataValidation>
  </x:dataValidations>
  <x:pageMargins left="0.7" right="0.7" top="0.75" bottom="0.75" header="0.3" footer="0.3"/>
  <x:tableParts count="1">
    <x:tablePart xmlns:r="http://schemas.openxmlformats.org/officeDocument/2006/relationships" r:id="R080cf6885f5b45ec"/>
  </x:tableParts>
</x:worksheet>
</file>

<file path=xl/worksheets/sheet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Liaisons</x:v>
      </x:c>
      <x:c r="B2" s="2"/>
      <x:c r="C2" s="2"/>
      <x:c r="D2" s="2"/>
      <x:c r="E2" s="2"/>
      <x:c r="F2" s="2"/>
      <x:c r="G2" s="2"/>
      <x:c r="H2" s="2"/>
      <x:c r="I2" s="2"/>
      <x:c r="J2" s="2"/>
      <x:c r="K2" s="2"/>
      <x:c r="L2" s="2"/>
      <x:c r="M2" s="2"/>
      <x:c r="N2" s="2"/>
      <x:c r="O2" s="2"/>
      <x:c r="P2" s="2"/>
      <x:c r="Q2" s="2"/>
      <x:c r="R2" s="2"/>
      <x:c r="S2" s="2"/>
    </x:row>
    <x:row r="3" ht="22" customHeight="1">
      <x:c r="A3" s="4" t="str">
        <x:v>Mass Effect: Evolution — Continuité spatiale et conditions de passage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EVO-LINK-SHANXI</x:v>
      </x:c>
      <x:c r="B7" s="9" t="str">
        <x:v>Shanxi — accès et sortie</x:v>
      </x:c>
      <x:c r="C7" s="15" t="str">
        <x:v>Défini</x:v>
      </x:c>
      <x:c r="D7" s="16" t="str">
        <x:v>Extrapolation</x:v>
      </x:c>
      <x:c r="E7" s="16" t="str">
        <x:v>P1</x:v>
      </x:c>
      <x:c r="F7" s="9" t="str">
        <x:v>Raccord d’une embuscade proposée vers la zone de l’artefact.</x:v>
      </x:c>
      <x:c r="G7" s="9" t="str">
        <x:v>Conserver les raccords nécessaires au parcours sans inventer une route galactique officielle.</x:v>
      </x:c>
      <x:c r="H7" s="9" t="str">
        <x:v>Prévisualiser la destination; déclenchement sur confirmation hors combat; conserver objectifs et objets de mission au retour.</x:v>
      </x:c>
      <x:c r="I7" s="9" t="str">
        <x:v>Marquage de direction doublé d’un nom de destination; pas de code fondé sur une seule couleur.</x:v>
      </x:c>
      <x:c r="J7" s="9" t="str"/>
      <x:c r="K7" s="9" t="str"/>
      <x:c r="L7" s="9" t="str">
        <x:v>Liaison proposée EVO/SHANXI; sauvegarder zone, point d'entrée et version de chapitre.</x:v>
      </x:c>
      <x:c r="M7" s="9" t="str">
        <x:v>Les résultats d’adaptation locaux convergent vers les faits de l’œuvre; les personnages absents ne deviennent pas des alliés disponibles.</x:v>
      </x:c>
      <x:c r="N7" s="9" t="str">
        <x:v>Entrer, ressortir et recharger au seuil restitue le même état du chapitre; aucun accès ne court-circuite sa conclusion fixée.</x:v>
      </x:c>
      <x:c r="O7" s="9" t="str">
        <x:v>EVO-ZONE-SHANXI</x:v>
      </x:c>
      <x:c r="P7" s="9" t="str">
        <x:v>Raccord de gameplay original; ordre narratif selon les ancrages sourcés.</x:v>
      </x:c>
      <x:c r="Q7" s="9" t="str"/>
      <x:c r="R7" s="9" t="str"/>
      <x:c r="S7" s="9" t="str"/>
    </x:row>
    <x:row r="8" ht="54" customHeight="1">
      <x:c r="A8" s="19" t="str">
        <x:v>EVO-LINK-ARCTURUS</x:v>
      </x:c>
      <x:c r="B8" s="7" t="str">
        <x:v>Arcturus Station — accès et sortie</x:v>
      </x:c>
      <x:c r="C8" s="15" t="str">
        <x:v>Défini</x:v>
      </x:c>
      <x:c r="D8" s="17" t="str">
        <x:v>Extrapolation</x:v>
      </x:c>
      <x:c r="E8" s="17" t="str">
        <x:v>P1</x:v>
      </x:c>
      <x:c r="F8" s="7" t="str">
        <x:v>Entrée après la fin de guerre, sortie vers Illium; pas de retour déclenchant de nouvelles batailles.</x:v>
      </x:c>
      <x:c r="G8" s="7" t="str">
        <x:v>Conserver les raccords nécessaires au parcours sans inventer une route galactique officielle.</x:v>
      </x:c>
      <x:c r="H8" s="7" t="str">
        <x:v>Prévisualiser la destination; déclenchement sur confirmation hors combat; conserver objectifs et objets de mission au retour.</x:v>
      </x:c>
      <x:c r="I8" s="7" t="str">
        <x:v>Marquage de direction doublé d’un nom de destination; pas de code fondé sur une seule couleur.</x:v>
      </x:c>
      <x:c r="J8" s="7" t="str"/>
      <x:c r="K8" s="7" t="str"/>
      <x:c r="L8" s="7" t="str">
        <x:v>Liaison proposée EVO/ARCTURUS; sauvegarder zone, point d'entrée et version de chapitre.</x:v>
      </x:c>
      <x:c r="M8" s="7" t="str">
        <x:v>Les résultats d’adaptation locaux convergent vers les faits de l’œuvre; les personnages absents ne deviennent pas des alliés disponibles.</x:v>
      </x:c>
      <x:c r="N8" s="7" t="str">
        <x:v>Entrer, ressortir et recharger au seuil restitue le même état du chapitre; aucun accès ne court-circuite sa conclusion fixée.</x:v>
      </x:c>
      <x:c r="O8" s="7" t="str">
        <x:v>EVO-ZONE-ARCTURUS</x:v>
      </x:c>
      <x:c r="P8" s="7" t="str">
        <x:v>Raccord de gameplay original; ordre narratif selon les ancrages sourcés.</x:v>
      </x:c>
      <x:c r="Q8" s="7" t="str"/>
      <x:c r="R8" s="7" t="str"/>
      <x:c r="S8" s="7" t="str"/>
    </x:row>
    <x:row r="9" ht="54" customHeight="1">
      <x:c r="A9" s="18" t="str">
        <x:v>EVO-LINK-ILLIUM</x:v>
      </x:c>
      <x:c r="B9" s="9" t="str">
        <x:v>Illium — accès et sortie</x:v>
      </x:c>
      <x:c r="C9" s="15" t="str">
        <x:v>Défini</x:v>
      </x:c>
      <x:c r="D9" s="16" t="str">
        <x:v>Extrapolation</x:v>
      </x:c>
      <x:c r="E9" s="16" t="str">
        <x:v>P1</x:v>
      </x:c>
      <x:c r="F9" s="9" t="str">
        <x:v>Transit → piste → espace de confrontation; liaisons originales à échelle réduite.</x:v>
      </x:c>
      <x:c r="G9" s="9" t="str">
        <x:v>Conserver les raccords nécessaires au parcours sans inventer une route galactique officielle.</x:v>
      </x:c>
      <x:c r="H9" s="9" t="str">
        <x:v>Prévisualiser la destination; déclenchement sur confirmation hors combat; conserver objectifs et objets de mission au retour.</x:v>
      </x:c>
      <x:c r="I9" s="9" t="str">
        <x:v>Marquage de direction doublé d’un nom de destination; pas de code fondé sur une seule couleur.</x:v>
      </x:c>
      <x:c r="J9" s="9" t="str"/>
      <x:c r="K9" s="9" t="str"/>
      <x:c r="L9" s="9" t="str">
        <x:v>Liaison proposée EVO/ILLIUM; sauvegarder zone, point d'entrée et version de chapitre.</x:v>
      </x:c>
      <x:c r="M9" s="9" t="str">
        <x:v>Les résultats d’adaptation locaux convergent vers les faits de l’œuvre; les personnages absents ne deviennent pas des alliés disponibles.</x:v>
      </x:c>
      <x:c r="N9" s="9" t="str">
        <x:v>Entrer, ressortir et recharger au seuil restitue le même état du chapitre; aucun accès ne court-circuite sa conclusion fixée.</x:v>
      </x:c>
      <x:c r="O9" s="9" t="str">
        <x:v>EVO-ZONE-ILLIUM</x:v>
      </x:c>
      <x:c r="P9" s="9" t="str">
        <x:v>Raccord de gameplay original; ordre narratif selon les ancrages sourcés.</x:v>
      </x:c>
      <x:c r="Q9" s="9" t="str"/>
      <x:c r="R9" s="9" t="str"/>
      <x:c r="S9" s="9" t="str"/>
    </x:row>
    <x:row r="10" ht="54" customHeight="1">
      <x:c r="A10" s="19" t="str">
        <x:v>EVO-LINK-PALAVEN</x:v>
      </x:c>
      <x:c r="B10" s="7" t="str">
        <x:v>Palaven — accès et sortie</x:v>
      </x:c>
      <x:c r="C10" s="15" t="str">
        <x:v>Défini</x:v>
      </x:c>
      <x:c r="D10" s="17" t="str">
        <x:v>Extrapolation</x:v>
      </x:c>
      <x:c r="E10" s="17" t="str">
        <x:v>P1</x:v>
      </x:c>
      <x:c r="F10" s="7" t="str">
        <x:v>Accès contrôlé puis sortie de crise; aucune exploration globale de la planète.</x:v>
      </x:c>
      <x:c r="G10" s="7" t="str">
        <x:v>Conserver les raccords nécessaires au parcours sans inventer une route galactique officielle.</x:v>
      </x:c>
      <x:c r="H10" s="7" t="str">
        <x:v>Prévisualiser la destination; déclenchement sur confirmation hors combat; conserver objectifs et objets de mission au retour.</x:v>
      </x:c>
      <x:c r="I10" s="7" t="str">
        <x:v>Marquage de direction doublé d’un nom de destination; pas de code fondé sur une seule couleur.</x:v>
      </x:c>
      <x:c r="J10" s="7" t="str"/>
      <x:c r="K10" s="7" t="str"/>
      <x:c r="L10" s="7" t="str">
        <x:v>Liaison proposée EVO/PALAVEN; sauvegarder zone, point d'entrée et version de chapitre.</x:v>
      </x:c>
      <x:c r="M10" s="7" t="str">
        <x:v>Les résultats d’adaptation locaux convergent vers les faits de l’œuvre; les personnages absents ne deviennent pas des alliés disponibles.</x:v>
      </x:c>
      <x:c r="N10" s="7" t="str">
        <x:v>Entrer, ressortir et recharger au seuil restitue le même état du chapitre; aucun accès ne court-circuite sa conclusion fixée.</x:v>
      </x:c>
      <x:c r="O10" s="7" t="str">
        <x:v>EVO-ZONE-PALAVEN</x:v>
      </x:c>
      <x:c r="P10" s="7" t="str">
        <x:v>Raccord de gameplay original; ordre narratif selon les ancrages sourcés.</x:v>
      </x:c>
      <x:c r="Q10" s="7" t="str"/>
      <x:c r="R10" s="7" t="str"/>
      <x:c r="S10" s="7" t="str"/>
    </x:row>
  </x:sheetData>
  <x:conditionalFormatting sqref="D7:D10">
    <x:cfRule type="cellIs" dxfId="20" priority="1" operator="equal">
      <x:formula>"À vérifier"</x:formula>
    </x:cfRule>
    <x:cfRule type="cellIs" dxfId="21" priority="2" operator="equal">
      <x:formula>"Extrapolation"</x:formula>
    </x:cfRule>
  </x:conditionalFormatting>
  <x:conditionalFormatting sqref="C7:C10">
    <x:cfRule type="cellIs" dxfId="22" priority="3" operator="equal">
      <x:formula>"Validé"</x:formula>
    </x:cfRule>
  </x:conditionalFormatting>
  <x:conditionalFormatting sqref="E7:E10">
    <x:cfRule type="cellIs" dxfId="23" priority="4" operator="equal">
      <x:formula>"P0"</x:formula>
    </x:cfRule>
  </x:conditionalFormatting>
  <x:dataValidations count="3">
    <x:dataValidation type="list" sqref="C7:C10">
      <x:formula1>"Défini,Prototype,Intégré,Validé"</x:formula1>
    </x:dataValidation>
    <x:dataValidation type="list" sqref="D7:D10">
      <x:formula1>"Établi,À vérifier,Extrapolation,Coupé attesté,Concept abandonné,Allégation écartée"</x:formula1>
    </x:dataValidation>
    <x:dataValidation type="list" sqref="E7:E10">
      <x:formula1>"P0,P1,P2"</x:formula1>
    </x:dataValidation>
  </x:dataValidations>
  <x:pageMargins left="0.7" right="0.7" top="0.75" bottom="0.75" header="0.3" footer="0.3"/>
  <x:tableParts count="1">
    <x:tablePart xmlns:r="http://schemas.openxmlformats.org/officeDocument/2006/relationships" r:id="Rf6f86f94cc1d4b16"/>
  </x:tableParts>
</x:worksheet>
</file>

<file path=xl/worksheets/sheet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Décors</x:v>
      </x:c>
      <x:c r="B2" s="2"/>
      <x:c r="C2" s="2"/>
      <x:c r="D2" s="2"/>
      <x:c r="E2" s="2"/>
      <x:c r="F2" s="2"/>
      <x:c r="G2" s="2"/>
      <x:c r="H2" s="2"/>
      <x:c r="I2" s="2"/>
      <x:c r="J2" s="2"/>
      <x:c r="K2" s="2"/>
      <x:c r="L2" s="2"/>
      <x:c r="M2" s="2"/>
      <x:c r="N2" s="2"/>
      <x:c r="O2" s="2"/>
      <x:c r="P2" s="2"/>
      <x:c r="Q2" s="2"/>
      <x:c r="R2" s="2"/>
      <x:c r="S2" s="2"/>
    </x:row>
    <x:row r="3" ht="22" customHeight="1">
      <x:c r="A3" s="4" t="str">
        <x:v>Mass Effect: Evolution — Architecture, matières et cadrages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EVO-SET-SHANXI</x:v>
      </x:c>
      <x:c r="B7" s="9" t="str">
        <x:v>Shanxi — décor et repère</x:v>
      </x:c>
      <x:c r="C7" s="15" t="str">
        <x:v>Défini</x:v>
      </x:c>
      <x:c r="D7" s="16" t="str">
        <x:v>Extrapolation</x:v>
      </x:c>
      <x:c r="E7" s="16" t="str">
        <x:v>P1</x:v>
      </x:c>
      <x:c r="F7" s="9" t="str">
        <x:v>Relief rocheux visible au-delà des structures.</x:v>
      </x:c>
      <x:c r="G7" s="9" t="str">
        <x:v>Premier acte militaire localisé.</x:v>
      </x:c>
      <x:c r="H7" s="9" t="str"/>
      <x:c r="I7" s="9" t="str">
        <x:v>Roche poussiéreuse, métal terne et lumière rasante. Séparer gros volumes, surfaces de parcours et petits accessoires; réserver le contraste maximal aux éléments utilisables.</x:v>
      </x:c>
      <x:c r="J7" s="9" t="str">
        <x:v>Seuls les éléments mobiles nécessaires à la lecture du lieu ont une boucle; les lumières restent stables en mode confort.</x:v>
      </x:c>
      <x:c r="K7" s="9" t="str"/>
      <x:c r="L7" s="9" t="str">
        <x:v>Kit modulaire prévu evo/sets/shanxi; collisions simples et matériau de repère distinct.</x:v>
      </x:c>
      <x:c r="M7" s="9" t="str">
        <x:v>Les résultats d’adaptation locaux convergent vers les faits de l’œuvre; les personnages absents ne deviennent pas des alliés disponibles.</x:v>
      </x:c>
      <x:c r="N7" s="9" t="str">
        <x:v>Le repère décrit reste visible depuis l'entrée et depuis le retour; aucune décoration ne masque un signal d'interaction.</x:v>
      </x:c>
      <x:c r="O7" s="9" t="str">
        <x:v>EVO-ZONE-SHANXI</x:v>
      </x:c>
      <x:c r="P7" s="9" t="str">
        <x:v>Direction artistique originale, matériaux à confronter aux planches.</x:v>
      </x:c>
      <x:c r="Q7" s="9" t="str"/>
      <x:c r="R7" s="9" t="str"/>
      <x:c r="S7" s="9" t="str"/>
    </x:row>
    <x:row r="8" ht="68" customHeight="1">
      <x:c r="A8" s="19" t="str">
        <x:v>EVO-SET-ARCTURUS</x:v>
      </x:c>
      <x:c r="B8" s="7" t="str">
        <x:v>Arcturus Station — décor et repère</x:v>
      </x:c>
      <x:c r="C8" s="15" t="str">
        <x:v>Défini</x:v>
      </x:c>
      <x:c r="D8" s="17" t="str">
        <x:v>Extrapolation</x:v>
      </x:c>
      <x:c r="E8" s="17" t="str">
        <x:v>P1</x:v>
      </x:c>
      <x:c r="F8" s="7" t="str">
        <x:v>Vue extérieure de la station depuis une baie.</x:v>
      </x:c>
      <x:c r="G8" s="7" t="str">
        <x:v>Intermède d’après-guerre et prise d’information.</x:v>
      </x:c>
      <x:c r="H8" s="7" t="str"/>
      <x:c r="I8" s="7" t="str">
        <x:v>Blanc cassé, bleu froid, surfaces ordonnées et éclairage sans clignotement. Séparer gros volumes, surfaces de parcours et petits accessoires; réserver le contraste maximal aux éléments utilisables.</x:v>
      </x:c>
      <x:c r="J8" s="7" t="str">
        <x:v>Seuls les éléments mobiles nécessaires à la lecture du lieu ont une boucle; les lumières restent stables en mode confort.</x:v>
      </x:c>
      <x:c r="K8" s="7" t="str"/>
      <x:c r="L8" s="7" t="str">
        <x:v>Kit modulaire prévu evo/sets/arcturus; collisions simples et matériau de repère distinct.</x:v>
      </x:c>
      <x:c r="M8" s="7" t="str">
        <x:v>Les résultats d’adaptation locaux convergent vers les faits de l’œuvre; les personnages absents ne deviennent pas des alliés disponibles.</x:v>
      </x:c>
      <x:c r="N8" s="7" t="str">
        <x:v>Le repère décrit reste visible depuis l'entrée et depuis le retour; aucune décoration ne masque un signal d'interaction.</x:v>
      </x:c>
      <x:c r="O8" s="7" t="str">
        <x:v>EVO-ZONE-ARCTURUS</x:v>
      </x:c>
      <x:c r="P8" s="7" t="str">
        <x:v>Direction artistique originale, matériaux à confronter aux planches.</x:v>
      </x:c>
      <x:c r="Q8" s="7" t="str"/>
      <x:c r="R8" s="7" t="str"/>
      <x:c r="S8" s="7" t="str"/>
    </x:row>
    <x:row r="9" ht="68" customHeight="1">
      <x:c r="A9" s="18" t="str">
        <x:v>EVO-SET-ILLIUM</x:v>
      </x:c>
      <x:c r="B9" s="9" t="str">
        <x:v>Illium — décor et repère</x:v>
      </x:c>
      <x:c r="C9" s="15" t="str">
        <x:v>Défini</x:v>
      </x:c>
      <x:c r="D9" s="16" t="str">
        <x:v>Extrapolation</x:v>
      </x:c>
      <x:c r="E9" s="16" t="str">
        <x:v>P1</x:v>
      </x:c>
      <x:c r="F9" s="9" t="str">
        <x:v>Façades verticales derrière un quai de service.</x:v>
      </x:c>
      <x:c r="G9" s="9" t="str">
        <x:v>Enquête dans un contexte étranger.</x:v>
      </x:c>
      <x:c r="H9" s="9" t="str"/>
      <x:c r="I9" s="9" t="str">
        <x:v>Verre sombre, métal poli et accents ambrés. Séparer gros volumes, surfaces de parcours et petits accessoires; réserver le contraste maximal aux éléments utilisables.</x:v>
      </x:c>
      <x:c r="J9" s="9" t="str">
        <x:v>Seuls les éléments mobiles nécessaires à la lecture du lieu ont une boucle; les lumières restent stables en mode confort.</x:v>
      </x:c>
      <x:c r="K9" s="9" t="str"/>
      <x:c r="L9" s="9" t="str">
        <x:v>Kit modulaire prévu evo/sets/illium; collisions simples et matériau de repère distinct.</x:v>
      </x:c>
      <x:c r="M9" s="9" t="str">
        <x:v>Les résultats d’adaptation locaux convergent vers les faits de l’œuvre; les personnages absents ne deviennent pas des alliés disponibles.</x:v>
      </x:c>
      <x:c r="N9" s="9" t="str">
        <x:v>Le repère décrit reste visible depuis l'entrée et depuis le retour; aucune décoration ne masque un signal d'interaction.</x:v>
      </x:c>
      <x:c r="O9" s="9" t="str">
        <x:v>EVO-ZONE-ILLIUM</x:v>
      </x:c>
      <x:c r="P9" s="9" t="str">
        <x:v>Direction artistique originale, matériaux à confronter aux planches.</x:v>
      </x:c>
      <x:c r="Q9" s="9" t="str"/>
      <x:c r="R9" s="9" t="str"/>
      <x:c r="S9" s="9" t="str"/>
    </x:row>
    <x:row r="10" ht="68" customHeight="1">
      <x:c r="A10" s="19" t="str">
        <x:v>EVO-SET-PALAVEN</x:v>
      </x:c>
      <x:c r="B10" s="7" t="str">
        <x:v>Palaven — décor et repère</x:v>
      </x:c>
      <x:c r="C10" s="15" t="str">
        <x:v>Défini</x:v>
      </x:c>
      <x:c r="D10" s="17" t="str">
        <x:v>Extrapolation</x:v>
      </x:c>
      <x:c r="E10" s="17" t="str">
        <x:v>P1</x:v>
      </x:c>
      <x:c r="F10" s="7" t="str">
        <x:v>Verticalité de l’édifice et emplacement central du Monolithe.</x:v>
      </x:c>
      <x:c r="G10" s="7" t="str">
        <x:v>Mettre en scène tradition militaire et instrumentalisations de l’artefact.</x:v>
      </x:c>
      <x:c r="H10" s="7" t="str"/>
      <x:c r="I10" s="7" t="str">
        <x:v>Volumes minéraux monumentaux, éclairage oblique et métal froid. Séparer gros volumes, surfaces de parcours et petits accessoires; réserver le contraste maximal aux éléments utilisables.</x:v>
      </x:c>
      <x:c r="J10" s="7" t="str">
        <x:v>Seuls les éléments mobiles nécessaires à la lecture du lieu ont une boucle; les lumières restent stables en mode confort.</x:v>
      </x:c>
      <x:c r="K10" s="7" t="str"/>
      <x:c r="L10" s="7" t="str">
        <x:v>Kit modulaire prévu evo/sets/palaven; collisions simples et matériau de repère distinct.</x:v>
      </x:c>
      <x:c r="M10" s="7" t="str">
        <x:v>Les résultats d’adaptation locaux convergent vers les faits de l’œuvre; les personnages absents ne deviennent pas des alliés disponibles.</x:v>
      </x:c>
      <x:c r="N10" s="7" t="str">
        <x:v>Le repère décrit reste visible depuis l'entrée et depuis le retour; aucune décoration ne masque un signal d'interaction.</x:v>
      </x:c>
      <x:c r="O10" s="7" t="str">
        <x:v>EVO-ZONE-PALAVEN</x:v>
      </x:c>
      <x:c r="P10" s="7" t="str">
        <x:v>Direction artistique originale, matériaux à confronter aux planches.</x:v>
      </x:c>
      <x:c r="Q10" s="7" t="str"/>
      <x:c r="R10" s="7" t="str"/>
      <x:c r="S10" s="7" t="str"/>
    </x:row>
  </x:sheetData>
  <x:conditionalFormatting sqref="D7:D10">
    <x:cfRule type="cellIs" dxfId="24" priority="1" operator="equal">
      <x:formula>"À vérifier"</x:formula>
    </x:cfRule>
    <x:cfRule type="cellIs" dxfId="25" priority="2" operator="equal">
      <x:formula>"Extrapolation"</x:formula>
    </x:cfRule>
  </x:conditionalFormatting>
  <x:conditionalFormatting sqref="C7:C10">
    <x:cfRule type="cellIs" dxfId="26" priority="3" operator="equal">
      <x:formula>"Validé"</x:formula>
    </x:cfRule>
  </x:conditionalFormatting>
  <x:conditionalFormatting sqref="E7:E10">
    <x:cfRule type="cellIs" dxfId="27" priority="4" operator="equal">
      <x:formula>"P0"</x:formula>
    </x:cfRule>
  </x:conditionalFormatting>
  <x:dataValidations count="3">
    <x:dataValidation type="list" sqref="C7:C10">
      <x:formula1>"Défini,Prototype,Intégré,Validé"</x:formula1>
    </x:dataValidation>
    <x:dataValidation type="list" sqref="D7:D10">
      <x:formula1>"Établi,À vérifier,Extrapolation,Coupé attesté,Concept abandonné,Allégation écartée"</x:formula1>
    </x:dataValidation>
    <x:dataValidation type="list" sqref="E7:E10">
      <x:formula1>"P0,P1,P2"</x:formula1>
    </x:dataValidation>
  </x:dataValidations>
  <x:pageMargins left="0.7" right="0.7" top="0.75" bottom="0.75" header="0.3" footer="0.3"/>
  <x:tableParts count="1">
    <x:tablePart xmlns:r="http://schemas.openxmlformats.org/officeDocument/2006/relationships" r:id="R22711e96ded94661"/>
  </x:tableParts>
</x:worksheet>
</file>

<file path=xl/worksheets/sheet9.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Props</x:v>
      </x:c>
      <x:c r="B2" s="2"/>
      <x:c r="C2" s="2"/>
      <x:c r="D2" s="2"/>
      <x:c r="E2" s="2"/>
      <x:c r="F2" s="2"/>
      <x:c r="G2" s="2"/>
      <x:c r="H2" s="2"/>
      <x:c r="I2" s="2"/>
      <x:c r="J2" s="2"/>
      <x:c r="K2" s="2"/>
      <x:c r="L2" s="2"/>
      <x:c r="M2" s="2"/>
      <x:c r="N2" s="2"/>
      <x:c r="O2" s="2"/>
      <x:c r="P2" s="2"/>
      <x:c r="Q2" s="2"/>
      <x:c r="R2" s="2"/>
      <x:c r="S2" s="2"/>
    </x:row>
    <x:row r="3" ht="22" customHeight="1">
      <x:c r="A3" s="4" t="str">
        <x:v>Mass Effect: Evolution — Objets de décor et interactions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EVO-SC-RESIST-PROP</x:v>
      </x:c>
      <x:c r="B7" s="9" t="str">
        <x:v>Balise de regroupement</x:v>
      </x:c>
      <x:c r="C7" s="15" t="str">
        <x:v>Défini</x:v>
      </x:c>
      <x:c r="D7" s="16" t="str">
        <x:v>Extrapolation</x:v>
      </x:c>
      <x:c r="E7" s="16" t="str">
        <x:v>P1</x:v>
      </x:c>
      <x:c r="F7" s="9" t="str">
        <x:v>Balise de production originale.</x:v>
      </x:c>
      <x:c r="G7" s="9" t="str">
        <x:v>Rendre visible le point de ralliement.</x:v>
      </x:c>
      <x:c r="H7" s="9" t="str">
        <x:v>Active après traversée du premier personnage; n’attire pas automatiquement la patrouille.</x:v>
      </x:c>
      <x:c r="I7" s="9" t="str">
        <x:v>Lumière fixe occultable.</x:v>
      </x:c>
      <x:c r="J7" s="9" t="str">
        <x:v>État repos, sélection, utilisation et remise en place; l’objet conserve son pivot entre ces états.</x:v>
      </x:c>
      <x:c r="K7" s="9" t="str">
        <x:v>Bruit de manipulation original et confirmation visible.</x:v>
      </x:c>
      <x:c r="L7" s="9" t="str">
        <x:v>Objet proposé EVO/RESIST/prop; composant inspectable distinct du déclencheur narratif.</x:v>
      </x:c>
      <x:c r="M7" s="9" t="str">
        <x:v>Les résultats d’adaptation locaux convergent vers les faits de l’œuvre; les personnages absents ne deviennent pas des alliés disponibles.</x:v>
      </x:c>
      <x:c r="N7" s="9" t="str">
        <x:v>L’objet possède un état visible avant et après interaction; il ne peut pas être perdu ni dupliqué par rechargement.</x:v>
      </x:c>
      <x:c r="O7" s="9" t="str">
        <x:v>EVO-SC-RESIST-MAIN</x:v>
      </x:c>
      <x:c r="P7" s="9" t="str">
        <x:v>Accessoire ou interaction de production proposé; ne vaut pas relevé exhaustif de la planche.</x:v>
      </x:c>
      <x:c r="Q7" s="9" t="str"/>
      <x:c r="R7" s="9" t="str"/>
      <x:c r="S7" s="9" t="str"/>
    </x:row>
    <x:row r="8" ht="54" customHeight="1">
      <x:c r="A8" s="19" t="str">
        <x:v>EVO-SC-MONOLITH-PROP</x:v>
      </x:c>
      <x:c r="B8" s="7" t="str">
        <x:v>Sonde de distance</x:v>
      </x:c>
      <x:c r="C8" s="15" t="str">
        <x:v>Défini</x:v>
      </x:c>
      <x:c r="D8" s="17" t="str">
        <x:v>Extrapolation</x:v>
      </x:c>
      <x:c r="E8" s="17" t="str">
        <x:v>P1</x:v>
      </x:c>
      <x:c r="F8" s="7" t="str">
        <x:v>Outil d’observation original, non preuve d’un dispositif source.</x:v>
      </x:c>
      <x:c r="G8" s="7" t="str">
        <x:v>Permettre l’examen sans longue exposition de texte.</x:v>
      </x:c>
      <x:c r="H8" s="7" t="str">
        <x:v>Donne des lectures contradictoires annoncées comme telles.</x:v>
      </x:c>
      <x:c r="I8" s="7" t="str">
        <x:v>Écran minimal avec trois bandes qualitatives.</x:v>
      </x:c>
      <x:c r="J8" s="7" t="str">
        <x:v>État repos, sélection, utilisation et remise en place; l’objet conserve son pivot entre ces états.</x:v>
      </x:c>
      <x:c r="K8" s="7" t="str">
        <x:v>Bruit de manipulation original et confirmation visible.</x:v>
      </x:c>
      <x:c r="L8" s="7" t="str">
        <x:v>Objet proposé EVO/MONOLITH/prop; composant inspectable distinct du déclencheur narratif.</x:v>
      </x:c>
      <x:c r="M8" s="7" t="str">
        <x:v>Les résultats d’adaptation locaux convergent vers les faits de l’œuvre; les personnages absents ne deviennent pas des alliés disponibles.</x:v>
      </x:c>
      <x:c r="N8" s="7" t="str">
        <x:v>L’objet possède un état visible avant et après interaction; il ne peut pas être perdu ni dupliqué par rechargement.</x:v>
      </x:c>
      <x:c r="O8" s="7" t="str">
        <x:v>EVO-SC-MONOLITH-MAIN</x:v>
      </x:c>
      <x:c r="P8" s="7" t="str">
        <x:v>Accessoire ou interaction de production proposé; ne vaut pas relevé exhaustif de la planche.</x:v>
      </x:c>
      <x:c r="Q8" s="7" t="str"/>
      <x:c r="R8" s="7" t="str"/>
      <x:c r="S8" s="7" t="str"/>
    </x:row>
    <x:row r="9" ht="54" customHeight="1">
      <x:c r="A9" s="18" t="str">
        <x:v>EVO-SC-AFTERWAR-PROP</x:v>
      </x:c>
      <x:c r="B9" s="9" t="str">
        <x:v>Dossier de transition</x:v>
      </x:c>
      <x:c r="C9" s="15" t="str">
        <x:v>Défini</x:v>
      </x:c>
      <x:c r="D9" s="16" t="str">
        <x:v>Extrapolation</x:v>
      </x:c>
      <x:c r="E9" s="16" t="str">
        <x:v>P1</x:v>
      </x:c>
      <x:c r="F9" s="9" t="str">
        <x:v>Résumé original des informations déjà établies.</x:v>
      </x:c>
      <x:c r="G9" s="9" t="str">
        <x:v>Séparer ce que le joueur sait des perceptions de Jack.</x:v>
      </x:c>
      <x:c r="H9" s="9" t="str">
        <x:v>Les nouveaux faits restent marqués source ou hypothèse.</x:v>
      </x:c>
      <x:c r="I9" s="9" t="str">
        <x:v>Deux colonnes nommées observation et interprétation.</x:v>
      </x:c>
      <x:c r="J9" s="9" t="str">
        <x:v>État repos, sélection, utilisation et remise en place; l’objet conserve son pivot entre ces états.</x:v>
      </x:c>
      <x:c r="K9" s="9" t="str">
        <x:v>Bruit de manipulation original et confirmation visible.</x:v>
      </x:c>
      <x:c r="L9" s="9" t="str">
        <x:v>Objet proposé EVO/AFTERWAR/prop; composant inspectable distinct du déclencheur narratif.</x:v>
      </x:c>
      <x:c r="M9" s="9" t="str">
        <x:v>Les résultats d’adaptation locaux convergent vers les faits de l’œuvre; les personnages absents ne deviennent pas des alliés disponibles.</x:v>
      </x:c>
      <x:c r="N9" s="9" t="str">
        <x:v>L’objet possède un état visible avant et après interaction; il ne peut pas être perdu ni dupliqué par rechargement.</x:v>
      </x:c>
      <x:c r="O9" s="9" t="str">
        <x:v>EVO-SC-AFTERWAR-MAIN</x:v>
      </x:c>
      <x:c r="P9" s="9" t="str">
        <x:v>Accessoire ou interaction de production proposé; ne vaut pas relevé exhaustif de la planche.</x:v>
      </x:c>
      <x:c r="Q9" s="9" t="str"/>
      <x:c r="R9" s="9" t="str"/>
      <x:c r="S9" s="9" t="str"/>
    </x:row>
    <x:row r="10" ht="54" customHeight="1">
      <x:c r="A10" s="19" t="str">
        <x:v>EVO-SC-ILLIUM-PROP</x:v>
      </x:c>
      <x:c r="B10" s="7" t="str">
        <x:v>Manifeste de livraison</x:v>
      </x:c>
      <x:c r="C10" s="15" t="str">
        <x:v>Défini</x:v>
      </x:c>
      <x:c r="D10" s="17" t="str">
        <x:v>Extrapolation</x:v>
      </x:c>
      <x:c r="E10" s="17" t="str">
        <x:v>P1</x:v>
      </x:c>
      <x:c r="F10" s="7" t="str">
        <x:v>Document de mission original.</x:v>
      </x:c>
      <x:c r="G10" s="7" t="str">
        <x:v>Donner une destination sans inventer un commerce officiel.</x:v>
      </x:c>
      <x:c r="H10" s="7" t="str">
        <x:v>Comparer symbole et horaire révèle le bon accès.</x:v>
      </x:c>
      <x:c r="I10" s="7" t="str">
        <x:v>Texte bref et deux pictogrammes concordants.</x:v>
      </x:c>
      <x:c r="J10" s="7" t="str">
        <x:v>État repos, sélection, utilisation et remise en place; l’objet conserve son pivot entre ces états.</x:v>
      </x:c>
      <x:c r="K10" s="7" t="str">
        <x:v>Bruit de manipulation original et confirmation visible.</x:v>
      </x:c>
      <x:c r="L10" s="7" t="str">
        <x:v>Objet proposé EVO/ILLIUM/prop; composant inspectable distinct du déclencheur narratif.</x:v>
      </x:c>
      <x:c r="M10" s="7" t="str">
        <x:v>Les résultats d’adaptation locaux convergent vers les faits de l’œuvre; les personnages absents ne deviennent pas des alliés disponibles.</x:v>
      </x:c>
      <x:c r="N10" s="7" t="str">
        <x:v>L’objet possède un état visible avant et après interaction; il ne peut pas être perdu ni dupliqué par rechargement.</x:v>
      </x:c>
      <x:c r="O10" s="7" t="str">
        <x:v>EVO-SC-ILLIUM-MAIN</x:v>
      </x:c>
      <x:c r="P10" s="7" t="str">
        <x:v>Accessoire ou interaction de production proposé; ne vaut pas relevé exhaustif de la planche.</x:v>
      </x:c>
      <x:c r="Q10" s="7" t="str"/>
      <x:c r="R10" s="7" t="str"/>
      <x:c r="S10" s="7" t="str"/>
    </x:row>
    <x:row r="11" ht="54" customHeight="1">
      <x:c r="A11" s="18" t="str">
        <x:v>EVO-SC-PALAVEN-PROP</x:v>
      </x:c>
      <x:c r="B11" s="9" t="str">
        <x:v>Panneau de protocole</x:v>
      </x:c>
      <x:c r="C11" s="15" t="str">
        <x:v>Défini</x:v>
      </x:c>
      <x:c r="D11" s="16" t="str">
        <x:v>Extrapolation</x:v>
      </x:c>
      <x:c r="E11" s="16" t="str">
        <x:v>P1</x:v>
      </x:c>
      <x:c r="F11" s="9" t="str">
        <x:v>Signalétique de production inventée.</x:v>
      </x:c>
      <x:c r="G11" s="9" t="str">
        <x:v>Rendre le puzzle compréhensible sans codex massif.</x:v>
      </x:c>
      <x:c r="H11" s="9" t="str">
        <x:v>Trois formes donnent l’ordre d’activation; texte alternatif disponible.</x:v>
      </x:c>
      <x:c r="I11" s="9" t="str">
        <x:v>Plaques minérales contrastées.</x:v>
      </x:c>
      <x:c r="J11" s="9" t="str">
        <x:v>État repos, sélection, utilisation et remise en place; l’objet conserve son pivot entre ces états.</x:v>
      </x:c>
      <x:c r="K11" s="9" t="str">
        <x:v>Bruit de manipulation original et confirmation visible.</x:v>
      </x:c>
      <x:c r="L11" s="9" t="str">
        <x:v>Objet proposé EVO/PALAVEN/prop; composant inspectable distinct du déclencheur narratif.</x:v>
      </x:c>
      <x:c r="M11" s="9" t="str">
        <x:v>Les résultats d’adaptation locaux convergent vers les faits de l’œuvre; les personnages absents ne deviennent pas des alliés disponibles.</x:v>
      </x:c>
      <x:c r="N11" s="9" t="str">
        <x:v>L’objet possède un état visible avant et après interaction; il ne peut pas être perdu ni dupliqué par rechargement.</x:v>
      </x:c>
      <x:c r="O11" s="9" t="str">
        <x:v>EVO-SC-PALAVEN-MAIN</x:v>
      </x:c>
      <x:c r="P11" s="9" t="str">
        <x:v>Accessoire ou interaction de production proposé; ne vaut pas relevé exhaustif de la planche.</x:v>
      </x:c>
      <x:c r="Q11" s="9" t="str"/>
      <x:c r="R11" s="9" t="str"/>
      <x:c r="S11" s="9" t="str"/>
    </x:row>
    <x:row r="12" ht="54" customHeight="1">
      <x:c r="A12" s="19" t="str">
        <x:v>EVO-SC-BREAK-PROP</x:v>
      </x:c>
      <x:c r="B12" s="7" t="str">
        <x:v>Commande de sortie de crise</x:v>
      </x:c>
      <x:c r="C12" s="15" t="str">
        <x:v>Défini</x:v>
      </x:c>
      <x:c r="D12" s="17" t="str">
        <x:v>Extrapolation</x:v>
      </x:c>
      <x:c r="E12" s="17" t="str">
        <x:v>P1</x:v>
      </x:c>
      <x:c r="F12" s="7" t="str">
        <x:v>Interaction de production proposée.</x:v>
      </x:c>
      <x:c r="G12" s="7" t="str">
        <x:v>Donner un objectif lisible pendant le chaos.</x:v>
      </x:c>
      <x:c r="H12" s="7" t="str">
        <x:v>N’active que les accès de fuite; ne contrôle pas l’Arca Monolith.</x:v>
      </x:c>
      <x:c r="I12" s="7" t="str">
        <x:v>Panneau mécaniquement simple et lisible.</x:v>
      </x:c>
      <x:c r="J12" s="7" t="str">
        <x:v>État repos, sélection, utilisation et remise en place; l’objet conserve son pivot entre ces états.</x:v>
      </x:c>
      <x:c r="K12" s="7" t="str">
        <x:v>Bruit de manipulation original et confirmation visible.</x:v>
      </x:c>
      <x:c r="L12" s="7" t="str">
        <x:v>Objet proposé EVO/BREAK/prop; composant inspectable distinct du déclencheur narratif.</x:v>
      </x:c>
      <x:c r="M12" s="7" t="str">
        <x:v>Les résultats d’adaptation locaux convergent vers les faits de l’œuvre; les personnages absents ne deviennent pas des alliés disponibles.</x:v>
      </x:c>
      <x:c r="N12" s="7" t="str">
        <x:v>L’objet possède un état visible avant et après interaction; il ne peut pas être perdu ni dupliqué par rechargement.</x:v>
      </x:c>
      <x:c r="O12" s="7" t="str">
        <x:v>EVO-SC-BREAK-MAIN</x:v>
      </x:c>
      <x:c r="P12" s="7" t="str">
        <x:v>Accessoire ou interaction de production proposé; ne vaut pas relevé exhaustif de la planche.</x:v>
      </x:c>
      <x:c r="Q12" s="7" t="str"/>
      <x:c r="R12" s="7" t="str"/>
      <x:c r="S12" s="7" t="str"/>
    </x:row>
  </x:sheetData>
  <x:conditionalFormatting sqref="D7:D12">
    <x:cfRule type="cellIs" dxfId="28" priority="1" operator="equal">
      <x:formula>"À vérifier"</x:formula>
    </x:cfRule>
    <x:cfRule type="cellIs" dxfId="29" priority="2" operator="equal">
      <x:formula>"Extrapolation"</x:formula>
    </x:cfRule>
  </x:conditionalFormatting>
  <x:conditionalFormatting sqref="C7:C12">
    <x:cfRule type="cellIs" dxfId="30" priority="3" operator="equal">
      <x:formula>"Validé"</x:formula>
    </x:cfRule>
  </x:conditionalFormatting>
  <x:conditionalFormatting sqref="E7:E12">
    <x:cfRule type="cellIs" dxfId="31" priority="4" operator="equal">
      <x:formula>"P0"</x:formula>
    </x:cfRule>
  </x:conditionalFormatting>
  <x:dataValidations count="3">
    <x:dataValidation type="list" sqref="C7:C12">
      <x:formula1>"Défini,Prototype,Intégré,Validé"</x:formula1>
    </x:dataValidation>
    <x:dataValidation type="list" sqref="D7:D12">
      <x:formula1>"Établi,À vérifier,Extrapolation,Coupé attesté,Concept abandonné,Allégation écartée"</x:formula1>
    </x:dataValidation>
    <x:dataValidation type="list" sqref="E7:E12">
      <x:formula1>"P0,P1,P2"</x:formula1>
    </x:dataValidation>
  </x:dataValidations>
  <x:pageMargins left="0.7" right="0.7" top="0.75" bottom="0.75" header="0.3" footer="0.3"/>
  <x:tableParts count="1">
    <x:tablePart xmlns:r="http://schemas.openxmlformats.org/officeDocument/2006/relationships" r:id="R8040fdc2a0ad421a"/>
  </x:tableParts>
</x:worksheet>
</file>

<file path=xl/worksheets/sheet10.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99"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Ennemis et boss</x:v>
      </x:c>
      <x:c r="B2" s="2"/>
      <x:c r="C2" s="2"/>
      <x:c r="D2" s="2"/>
      <x:c r="E2" s="2"/>
      <x:c r="F2" s="2"/>
      <x:c r="G2" s="2"/>
      <x:c r="H2" s="2"/>
      <x:c r="I2" s="2"/>
      <x:c r="J2" s="2"/>
      <x:c r="K2" s="2"/>
      <x:c r="L2" s="2"/>
      <x:c r="M2" s="2"/>
      <x:c r="N2" s="2"/>
      <x:c r="O2" s="2"/>
      <x:c r="P2" s="2"/>
      <x:c r="Q2" s="2"/>
      <x:c r="R2" s="2"/>
      <x:c r="S2" s="2"/>
    </x:row>
    <x:row r="3" ht="22" customHeight="1">
      <x:c r="A3" s="4" t="str">
        <x:v>Mass Effect: Evolution — Bestiaire, adversaires et affrontements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EVO-EN-PATROL</x:v>
      </x:c>
      <x:c r="B7" s="9" t="str">
        <x:v>Patrouille turienne</x:v>
      </x:c>
      <x:c r="C7" s="15" t="str">
        <x:v>Défini</x:v>
      </x:c>
      <x:c r="D7" s="16" t="str">
        <x:v>À vérifier</x:v>
      </x:c>
      <x:c r="E7" s="16" t="str">
        <x:v>P1</x:v>
      </x:c>
      <x:c r="F7" s="9" t="str">
        <x:v>La résistance humaine affronte des forces turiennes sur Shanxi.</x:v>
      </x:c>
      <x:c r="G7" s="9" t="str">
        <x:v>Adversaire militaire local.</x:v>
      </x:c>
      <x:c r="H7" s="9" t="str">
        <x:v>Profil proposé : Cohésion de patrouille avec couverture mutuelle, pas une représentation de tous les turiens.</x:v>
      </x:c>
      <x:c r="I7" s="9" t="str">
        <x:v>Silhouette proposée : Armures de guerre de la période à contrôler, silhouettes angulaires.</x:v>
      </x:c>
      <x:c r="J7" s="9" t="str">
        <x:v>Arrêt au signal, visée collective et rotation de garde.</x:v>
      </x:c>
      <x:c r="K7" s="9" t="str">
        <x:v>Ordres inventés brefs.</x:v>
      </x:c>
      <x:c r="L7" s="9" t="str">
        <x:v>Livrable proposé : spécification EVO/enemies/en-patrol; brancher au registre de contenu de l'œuvre seulement après production.</x:v>
      </x:c>
      <x:c r="M7" s="9" t="str">
        <x:v>Les résultats d’adaptation locaux convergent vers les faits de l’œuvre; les personnages absents ne deviennent pas des alliés disponibles.</x:v>
      </x:c>
      <x:c r="N7" s="9" t="str">
        <x:v>Patrouille turienne a une silhouette distincte, un comportement télégraphié et une contre-mesure documentée; aucune valeur n'est annoncée comme statistique officielle.</x:v>
      </x:c>
      <x:c r="O7" s="9" t="str"/>
      <x:c r="P7" s="9" t="str">
        <x:v>Mass Effect: Evolution, série concernée</x:v>
      </x:c>
      <x:c r="Q7" s="9" t="str">
        <x:v>EVO-S-EVA</x:v>
      </x:c>
      <x:c r="R7" s="9" t="str">
        <x:v>https://masseffect.fandom.com/wiki/Eva_Cor%C3%A9</x:v>
      </x:c>
      <x:c r="S7" s="9" t="str">
        <x:v>L’adversaire ou groupe est attesté selon la source; le combat ATB et ses réglages sont entièrement proposés.</x:v>
      </x:c>
    </x:row>
    <x:row r="8" ht="54" customHeight="1">
      <x:c r="A8" s="19" t="str">
        <x:v>EVO-EN-META</x:v>
      </x:c>
      <x:c r="B8" s="7" t="str">
        <x:v>Meta-turiens</x:v>
      </x:c>
      <x:c r="C8" s="15" t="str">
        <x:v>Défini</x:v>
      </x:c>
      <x:c r="D8" s="17" t="str">
        <x:v>Établi</x:v>
      </x:c>
      <x:c r="E8" s="17" t="str">
        <x:v>P1</x:v>
      </x:c>
      <x:c r="F8" s="7" t="str">
        <x:v>Les notes du dernier numéro nomment les turiens transformés.</x:v>
      </x:c>
      <x:c r="G8" s="7" t="str">
        <x:v>Famille hostile liée au contrôle de l’artefact.</x:v>
      </x:c>
      <x:c r="H8" s="7" t="str">
        <x:v>Profil proposé : Avance vers le signal central; perte de liaison crée une fenêtre d’évitement proposée.</x:v>
      </x:c>
      <x:c r="I8" s="7" t="str">
        <x:v>Silhouette proposée : Turien rigidifié, zones lumineuses localisées; détails de transformation à vérifier.</x:v>
      </x:c>
      <x:c r="J8" s="7" t="str">
        <x:v>Posture rigide, pas lourds et arrêt simultané.</x:v>
      </x:c>
      <x:c r="K8" s="7" t="str">
        <x:v>Pulsations métalliques doublées d’un pictogramme.</x:v>
      </x:c>
      <x:c r="L8" s="7" t="str">
        <x:v>Livrable proposé : spécification EVO/enemies/en-meta; brancher au registre de contenu de l'œuvre seulement après production.</x:v>
      </x:c>
      <x:c r="M8" s="7" t="str">
        <x:v>Les résultats d’adaptation locaux convergent vers les faits de l’œuvre; les personnages absents ne deviennent pas des alliés disponibles.</x:v>
      </x:c>
      <x:c r="N8" s="7" t="str">
        <x:v>Meta-turiens a une silhouette distincte, un comportement télégraphié et une contre-mesure documentée; aucune valeur n'est annoncée comme statistique officielle.</x:v>
      </x:c>
      <x:c r="O8" s="7" t="str"/>
      <x:c r="P8" s="7" t="str">
        <x:v>Mass Effect: Evolution, série concernée</x:v>
      </x:c>
      <x:c r="Q8" s="7" t="str">
        <x:v>EVO-S-AUTHOR4</x:v>
      </x:c>
      <x:c r="R8" s="7" t="str">
        <x:v>https://farawaypress.com/comics/masseffectevolution/masseffectevolution4/</x:v>
      </x:c>
      <x:c r="S8" s="7" t="str">
        <x:v>L’adversaire ou groupe est attesté selon la source; le combat ATB et ses réglages sont entièrement proposés.</x:v>
      </x:c>
    </x:row>
    <x:row r="9" ht="68" customHeight="1">
      <x:c r="A9" s="18" t="str">
        <x:v>EVO-EN-BENMETA</x:v>
      </x:c>
      <x:c r="B9" s="9" t="str">
        <x:v>Ben transformé — rencontre proposée</x:v>
      </x:c>
      <x:c r="C9" s="15" t="str">
        <x:v>Défini</x:v>
      </x:c>
      <x:c r="D9" s="16" t="str">
        <x:v>Établi</x:v>
      </x:c>
      <x:c r="E9" s="16" t="str">
        <x:v>P1</x:v>
      </x:c>
      <x:c r="F9" s="9" t="str">
        <x:v>La transformation de Ben est explicitement commentée par l’auteur.</x:v>
      </x:c>
      <x:c r="G9" s="9" t="str">
        <x:v>Confrontation émotionnelle avec objectif de survie.</x:v>
      </x:c>
      <x:c r="H9" s="9" t="str">
        <x:v>Profil proposé : Ne pas traiter sa santé comme une solution à son destin; objectif de passage local.</x:v>
      </x:c>
      <x:c r="I9" s="9" t="str">
        <x:v>Silhouette proposée : Silhouette humaine transformée, posture distincte des Meta-turiens.</x:v>
      </x:c>
      <x:c r="J9" s="9" t="str">
        <x:v>Fixation sur l’artefact et geste brusque télégraphié.</x:v>
      </x:c>
      <x:c r="K9" s="9" t="str">
        <x:v>Souffle filtré et motif de reconnaissance original.</x:v>
      </x:c>
      <x:c r="L9" s="9" t="str">
        <x:v>Livrable proposé : spécification EVO/enemies/en-benmeta; brancher au registre de contenu de l'œuvre seulement après production.</x:v>
      </x:c>
      <x:c r="M9" s="9" t="str">
        <x:v>Les résultats d’adaptation locaux convergent vers les faits de l’œuvre; les personnages absents ne deviennent pas des alliés disponibles.</x:v>
      </x:c>
      <x:c r="N9" s="9" t="str">
        <x:v>Ben transformé — rencontre proposée a une silhouette distincte, un comportement télégraphié et une contre-mesure documentée; aucune valeur n'est annoncée comme statistique officielle.</x:v>
      </x:c>
      <x:c r="O9" s="9" t="str"/>
      <x:c r="P9" s="9" t="str">
        <x:v>Mass Effect: Evolution, série concernée</x:v>
      </x:c>
      <x:c r="Q9" s="9" t="str">
        <x:v>EVO-S-AUTHOR3</x:v>
      </x:c>
      <x:c r="R9" s="9" t="str">
        <x:v>https://farawaypress.com/comics/masseffectevolution/masseffectevolution3/</x:v>
      </x:c>
      <x:c r="S9" s="9" t="str">
        <x:v>L’adversaire ou groupe est attesté selon la source; le combat ATB et ses réglages sont entièrement proposés.</x:v>
      </x:c>
    </x:row>
  </x:sheetData>
  <x:conditionalFormatting sqref="D7:D9">
    <x:cfRule type="cellIs" dxfId="32" priority="1" operator="equal">
      <x:formula>"À vérifier"</x:formula>
    </x:cfRule>
    <x:cfRule type="cellIs" dxfId="33" priority="2" operator="equal">
      <x:formula>"Extrapolation"</x:formula>
    </x:cfRule>
  </x:conditionalFormatting>
  <x:conditionalFormatting sqref="C7:C9">
    <x:cfRule type="cellIs" dxfId="34" priority="3" operator="equal">
      <x:formula>"Validé"</x:formula>
    </x:cfRule>
  </x:conditionalFormatting>
  <x:conditionalFormatting sqref="E7:E9">
    <x:cfRule type="cellIs" dxfId="35" priority="4" operator="equal">
      <x:formula>"P0"</x:formula>
    </x:cfRule>
  </x:conditionalFormatting>
  <x:dataValidations count="3">
    <x:dataValidation type="list" sqref="C7:C9">
      <x:formula1>"Défini,Prototype,Intégré,Validé"</x:formula1>
    </x:dataValidation>
    <x:dataValidation type="list" sqref="D7:D9">
      <x:formula1>"Établi,À vérifier,Extrapolation,Coupé attesté,Concept abandonné,Allégation écartée"</x:formula1>
    </x:dataValidation>
    <x:dataValidation type="list" sqref="E7:E9">
      <x:formula1>"P0,P1,P2"</x:formula1>
    </x:dataValidation>
  </x:dataValidations>
  <x:pageMargins left="0.7" right="0.7" top="0.75" bottom="0.75" header="0.3" footer="0.3"/>
  <x:tableParts count="1">
    <x:tablePart xmlns:r="http://schemas.openxmlformats.org/officeDocument/2006/relationships" r:id="R673b1d9d93c94254"/>
  </x:tableParts>
</x:worksheet>
</file>

<file path=xl/worksheets/sheet11.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Missions</x:v>
      </x:c>
      <x:c r="B2" s="2"/>
      <x:c r="C2" s="2"/>
      <x:c r="D2" s="2"/>
      <x:c r="E2" s="2"/>
      <x:c r="F2" s="2"/>
      <x:c r="G2" s="2"/>
      <x:c r="H2" s="2"/>
      <x:c r="I2" s="2"/>
      <x:c r="J2" s="2"/>
      <x:c r="K2" s="2"/>
      <x:c r="L2" s="2"/>
      <x:c r="M2" s="2"/>
      <x:c r="N2" s="2"/>
      <x:c r="O2" s="2"/>
      <x:c r="P2" s="2"/>
      <x:c r="Q2" s="2"/>
      <x:c r="R2" s="2"/>
      <x:c r="S2" s="2"/>
    </x:row>
    <x:row r="3" ht="22" customHeight="1">
      <x:c r="A3" s="4" t="str">
        <x:v>Mass Effect: Evolution — Étapes de l’intrigue principale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EVO-SC-RESIST-MAIN</x:v>
      </x:c>
      <x:c r="B7" s="9" t="str">
        <x:v>Résistance sur Shanxi — objectif jouable</x:v>
      </x:c>
      <x:c r="C7" s="15" t="str">
        <x:v>Défini</x:v>
      </x:c>
      <x:c r="D7" s="16" t="str">
        <x:v>Extrapolation</x:v>
      </x:c>
      <x:c r="E7" s="16" t="str">
        <x:v>P0</x:v>
      </x:c>
      <x:c r="F7" s="9" t="str">
        <x:v>Franchir un secteur surveillé avec un petit groupe.</x:v>
      </x:c>
      <x:c r="G7" s="9" t="str">
        <x:v>Observation → préparation → passage couvert → regroupement.</x:v>
      </x:c>
      <x:c r="H7" s="9" t="str">
        <x:v>Une action d’appui ouvre une traversée; une alarme déplace les patrouilles sans créer un ennemi infini.</x:v>
      </x:c>
      <x:c r="I7" s="9" t="str">
        <x:v>Muret cassé, poussière basse et entrée de cavité lisible.</x:v>
      </x:c>
      <x:c r="J7" s="9" t="str">
        <x:v>Entrée prudente, geste d'inspection et retour au contrôle pour « Résistance sur Shanxi »; poser les sprites avant tout changement de caméra.</x:v>
      </x:c>
      <x:c r="K7" s="9" t="str">
        <x:v>Vent et bruits de matériel; musique originale à pulsation retenue.</x:v>
      </x:c>
      <x:c r="L7" s="9" t="str">
        <x:v>Graphe proposé EVO/quests/RESIST: entrée → objectif actif → résolution → raccord; conditions terminales séparées des points facultatifs.</x:v>
      </x:c>
      <x:c r="M7" s="9" t="str">
        <x:v>Les résultats d’adaptation locaux convergent vers les faits de l’œuvre; les personnages absents ne deviennent pas des alliés disponibles.</x:v>
      </x:c>
      <x:c r="N7" s="9" t="str">
        <x:v>L'objectif « Résistance sur Shanxi » atteint son raccord annoncé après chaque méthode; sauvegarde, rechargement et saut de scène n'en changent ni le groupe ni les informations acquises.</x:v>
      </x:c>
      <x:c r="O7" s="9" t="str">
        <x:v>EVO-SC-RESIST-REF</x:v>
      </x:c>
      <x:c r="P7" s="9" t="str">
        <x:v>Conception originale rattachée à Evolution #1</x:v>
      </x:c>
      <x:c r="Q7" s="9" t="str"/>
      <x:c r="R7" s="9" t="str"/>
      <x:c r="S7" s="9" t="str"/>
    </x:row>
    <x:row r="8" ht="68" customHeight="1">
      <x:c r="A8" s="19" t="str">
        <x:v>EVO-SC-MONOLITH-MAIN</x:v>
      </x:c>
      <x:c r="B8" s="7" t="str">
        <x:v>Proximité de l’Arca Monolith — objectif jouable</x:v>
      </x:c>
      <x:c r="C8" s="15" t="str">
        <x:v>Défini</x:v>
      </x:c>
      <x:c r="D8" s="17" t="str">
        <x:v>Extrapolation</x:v>
      </x:c>
      <x:c r="E8" s="17" t="str">
        <x:v>P0</x:v>
      </x:c>
      <x:c r="F8" s="7" t="str">
        <x:v>Approcher l’objet selon des étapes de mise en scène contrôlées.</x:v>
      </x:c>
      <x:c r="G8" s="7" t="str">
        <x:v>Entrée → observation à distance → événement de contact fixé → évacuation.</x:v>
      </x:c>
      <x:c r="H8" s="7" t="str">
        <x:v>Les interactions facultatives décrivent des perceptions; elles ne changent ni l’exposition publiée ni l’origine des personnages.</x:v>
      </x:c>
      <x:c r="I8" s="7" t="str">
        <x:v>Masse verticale sombre, contours lumineux retenus et lumière du sol.</x:v>
      </x:c>
      <x:c r="J8" s="7" t="str">
        <x:v>Entrée prudente, geste d'inspection et retour au contrôle pour « Proximité de l’Arca Monolith »; poser les sprites avant tout changement de caméra.</x:v>
      </x:c>
      <x:c r="K8" s="7" t="str">
        <x:v>Basse sourde progressive doublée d’un signal visuel.</x:v>
      </x:c>
      <x:c r="L8" s="7" t="str">
        <x:v>Graphe proposé EVO/quests/MONOLITH: entrée → objectif actif → résolution → raccord; conditions terminales séparées des points facultatifs.</x:v>
      </x:c>
      <x:c r="M8" s="7" t="str">
        <x:v>Les résultats d’adaptation locaux convergent vers les faits de l’œuvre; les personnages absents ne deviennent pas des alliés disponibles.</x:v>
      </x:c>
      <x:c r="N8" s="7" t="str">
        <x:v>L'objectif « Proximité de l’Arca Monolith » atteint son raccord annoncé après chaque méthode; sauvegarde, rechargement et saut de scène n'en changent ni le groupe ni les informations acquises.</x:v>
      </x:c>
      <x:c r="O8" s="7" t="str">
        <x:v>EVO-SC-MONOLITH-REF</x:v>
      </x:c>
      <x:c r="P8" s="7" t="str">
        <x:v>Conception originale rattachée à Evolution #1</x:v>
      </x:c>
      <x:c r="Q8" s="7" t="str"/>
      <x:c r="R8" s="7" t="str"/>
      <x:c r="S8" s="7" t="str"/>
    </x:row>
    <x:row r="9" ht="68" customHeight="1">
      <x:c r="A9" s="18" t="str">
        <x:v>EVO-SC-AFTERWAR-MAIN</x:v>
      </x:c>
      <x:c r="B9" s="9" t="str">
        <x:v>Après la guerre — objectif jouable</x:v>
      </x:c>
      <x:c r="C9" s="15" t="str">
        <x:v>Défini</x:v>
      </x:c>
      <x:c r="D9" s="16" t="str">
        <x:v>Extrapolation</x:v>
      </x:c>
      <x:c r="E9" s="16" t="str">
        <x:v>P0</x:v>
      </x:c>
      <x:c r="F9" s="9" t="str">
        <x:v>Comprendre le changement de contexte avant de quitter la station.</x:v>
      </x:c>
      <x:c r="G9" s="9" t="str">
        <x:v>Annonce de contexte → conversation → bilan du groupe → départ.</x:v>
      </x:c>
      <x:c r="H9" s="9" t="str">
        <x:v>Enquête sans chronomètre; les indices décrivent les conséquences, pas un objectif d’élimination.</x:v>
      </x:c>
      <x:c r="I9" s="9" t="str">
        <x:v>Ordre institutionnel contrastant avec le matériel abîmé du groupe.</x:v>
      </x:c>
      <x:c r="J9" s="9" t="str">
        <x:v>Entrée prudente, geste d'inspection et retour au contrôle pour « Après la guerre »; poser les sprites avant tout changement de caméra.</x:v>
      </x:c>
      <x:c r="K9" s="9" t="str">
        <x:v>Ambiance de station calme, thème incomplet de Jack.</x:v>
      </x:c>
      <x:c r="L9" s="9" t="str">
        <x:v>Graphe proposé EVO/quests/AFTERWAR: entrée → objectif actif → résolution → raccord; conditions terminales séparées des points facultatifs.</x:v>
      </x:c>
      <x:c r="M9" s="9" t="str">
        <x:v>Les résultats d’adaptation locaux convergent vers les faits de l’œuvre; les personnages absents ne deviennent pas des alliés disponibles.</x:v>
      </x:c>
      <x:c r="N9" s="9" t="str">
        <x:v>L'objectif « Après la guerre » atteint son raccord annoncé après chaque méthode; sauvegarde, rechargement et saut de scène n'en changent ni le groupe ni les informations acquises.</x:v>
      </x:c>
      <x:c r="O9" s="9" t="str">
        <x:v>EVO-SC-AFTERWAR-REF</x:v>
      </x:c>
      <x:c r="P9" s="9" t="str">
        <x:v>Conception originale rattachée à Transition Evolution #1 → #2</x:v>
      </x:c>
      <x:c r="Q9" s="9" t="str"/>
      <x:c r="R9" s="9" t="str"/>
      <x:c r="S9" s="9" t="str"/>
    </x:row>
    <x:row r="10" ht="68" customHeight="1">
      <x:c r="A10" s="19" t="str">
        <x:v>EVO-SC-ILLIUM-MAIN</x:v>
      </x:c>
      <x:c r="B10" s="7" t="str">
        <x:v>Piste sur Illium — objectif jouable</x:v>
      </x:c>
      <x:c r="C10" s="15" t="str">
        <x:v>Défini</x:v>
      </x:c>
      <x:c r="D10" s="17" t="str">
        <x:v>Extrapolation</x:v>
      </x:c>
      <x:c r="E10" s="17" t="str">
        <x:v>P0</x:v>
      </x:c>
      <x:c r="F10" s="7" t="str">
        <x:v>Suivre une piste jusqu’à un accès industriel.</x:v>
      </x:c>
      <x:c r="G10" s="7" t="str">
        <x:v>Transit → collecte d’observations → contrôle d’accès → confrontation raccordée.</x:v>
      </x:c>
      <x:c r="H10" s="7" t="str">
        <x:v>Deux routes proposent lecture sociale ou détour technique; chacune fournit la même destination.</x:v>
      </x:c>
      <x:c r="I10" s="7" t="str">
        <x:v>Façade brillante, couloir de service mat et lignes de livraison au sol.</x:v>
      </x:c>
      <x:c r="J10" s="7" t="str">
        <x:v>Entrée prudente, geste d'inspection et retour au contrôle pour « Piste sur Illium »; poser les sprites avant tout changement de caméra.</x:v>
      </x:c>
      <x:c r="K10" s="7" t="str">
        <x:v>Trafic distant et outils de manutention.</x:v>
      </x:c>
      <x:c r="L10" s="7" t="str">
        <x:v>Graphe proposé EVO/quests/ILLIUM: entrée → objectif actif → résolution → raccord; conditions terminales séparées des points facultatifs.</x:v>
      </x:c>
      <x:c r="M10" s="7" t="str">
        <x:v>Les résultats d’adaptation locaux convergent vers les faits de l’œuvre; les personnages absents ne deviennent pas des alliés disponibles.</x:v>
      </x:c>
      <x:c r="N10" s="7" t="str">
        <x:v>L'objectif « Piste sur Illium » atteint son raccord annoncé après chaque méthode; sauvegarde, rechargement et saut de scène n'en changent ni le groupe ni les informations acquises.</x:v>
      </x:c>
      <x:c r="O10" s="7" t="str">
        <x:v>EVO-SC-ILLIUM-REF</x:v>
      </x:c>
      <x:c r="P10" s="7" t="str">
        <x:v>Conception originale rattachée à Evolution #2</x:v>
      </x:c>
      <x:c r="Q10" s="7" t="str"/>
      <x:c r="R10" s="7" t="str"/>
      <x:c r="S10" s="7" t="str"/>
    </x:row>
    <x:row r="11" ht="68" customHeight="1">
      <x:c r="A11" s="18" t="str">
        <x:v>EVO-SC-PALAVEN-MAIN</x:v>
      </x:c>
      <x:c r="B11" s="9" t="str">
        <x:v>Tradition et projet de Desolas — objectif jouable</x:v>
      </x:c>
      <x:c r="C11" s="15" t="str">
        <x:v>Défini</x:v>
      </x:c>
      <x:c r="D11" s="16" t="str">
        <x:v>Extrapolation</x:v>
      </x:c>
      <x:c r="E11" s="16" t="str">
        <x:v>P0</x:v>
      </x:c>
      <x:c r="F11" s="9" t="str">
        <x:v>Traverser une installation dont les accès suivent un ordre cérémoniel proposé.</x:v>
      </x:c>
      <x:c r="G11" s="9" t="str">
        <x:v>Observation de l’espace → compréhension des contrôles → passage → confrontation.</x:v>
      </x:c>
      <x:c r="H11" s="9" t="str">
        <x:v>L’ordre des accès est un puzzle original de signalétique, pas une liturgie turienne canon inventée.</x:v>
      </x:c>
      <x:c r="I11" s="9" t="str">
        <x:v>Piliers, galerie surélevée et axe visuel vers le Monolithe.</x:v>
      </x:c>
      <x:c r="J11" s="9" t="str">
        <x:v>Entrée prudente, geste d'inspection et retour au contrôle pour « Tradition et projet de Desolas »; poser les sprites avant tout changement de caméra.</x:v>
      </x:c>
      <x:c r="K11" s="9" t="str">
        <x:v>Réverbération profonde et motif martial original qui se désaccorde.</x:v>
      </x:c>
      <x:c r="L11" s="9" t="str">
        <x:v>Graphe proposé EVO/quests/PALAVEN: entrée → objectif actif → résolution → raccord; conditions terminales séparées des points facultatifs.</x:v>
      </x:c>
      <x:c r="M11" s="9" t="str">
        <x:v>Les résultats d’adaptation locaux convergent vers les faits de l’œuvre; les personnages absents ne deviennent pas des alliés disponibles.</x:v>
      </x:c>
      <x:c r="N11" s="9" t="str">
        <x:v>L'objectif « Tradition et projet de Desolas » atteint son raccord annoncé après chaque méthode; sauvegarde, rechargement et saut de scène n'en changent ni le groupe ni les informations acquises.</x:v>
      </x:c>
      <x:c r="O11" s="9" t="str">
        <x:v>EVO-SC-PALAVEN-REF</x:v>
      </x:c>
      <x:c r="P11" s="9" t="str">
        <x:v>Conception originale rattachée à Evolution #3</x:v>
      </x:c>
      <x:c r="Q11" s="9" t="str"/>
      <x:c r="R11" s="9" t="str"/>
      <x:c r="S11" s="9" t="str"/>
    </x:row>
    <x:row r="12" ht="68" customHeight="1">
      <x:c r="A12" s="19" t="str">
        <x:v>EVO-SC-BREAK-MAIN</x:v>
      </x:c>
      <x:c r="B12" s="7" t="str">
        <x:v>Rupture du contrôle — objectif jouable</x:v>
      </x:c>
      <x:c r="C12" s="15" t="str">
        <x:v>Défini</x:v>
      </x:c>
      <x:c r="D12" s="17" t="str">
        <x:v>Extrapolation</x:v>
      </x:c>
      <x:c r="E12" s="17" t="str">
        <x:v>P0</x:v>
      </x:c>
      <x:c r="F12" s="7" t="str">
        <x:v>Ouvrir une fenêtre de sortie pendant la rupture du dispositif.</x:v>
      </x:c>
      <x:c r="G12" s="7" t="str">
        <x:v>Menace accrue → coordination du groupe → événement narratif fixé → sortie et épilogue.</x:v>
      </x:c>
      <x:c r="H12" s="7" t="str">
        <x:v>Le combat proposé porte sur la survie locale; détruire toutes les unités n’est pas une condition et ne change pas la fin.</x:v>
      </x:c>
      <x:c r="I12" s="7" t="str">
        <x:v>Fissures de lumière périphériques, silhouettes séparées du fond.</x:v>
      </x:c>
      <x:c r="J12" s="7" t="str">
        <x:v>Entrée prudente, geste d'inspection et retour au contrôle pour « Rupture du contrôle »; poser les sprites avant tout changement de caméra.</x:v>
      </x:c>
      <x:c r="K12" s="7" t="str">
        <x:v>Rupture de basse, silence de respiration puis nouveau motif original.</x:v>
      </x:c>
      <x:c r="L12" s="7" t="str">
        <x:v>Graphe proposé EVO/quests/BREAK: entrée → objectif actif → résolution → raccord; conditions terminales séparées des points facultatifs.</x:v>
      </x:c>
      <x:c r="M12" s="7" t="str">
        <x:v>Les résultats d’adaptation locaux convergent vers les faits de l’œuvre; les personnages absents ne deviennent pas des alliés disponibles.</x:v>
      </x:c>
      <x:c r="N12" s="7" t="str">
        <x:v>L'objectif « Rupture du contrôle » atteint son raccord annoncé après chaque méthode; sauvegarde, rechargement et saut de scène n'en changent ni le groupe ni les informations acquises.</x:v>
      </x:c>
      <x:c r="O12" s="7" t="str">
        <x:v>EVO-SC-BREAK-REF</x:v>
      </x:c>
      <x:c r="P12" s="7" t="str">
        <x:v>Conception originale rattachée à Evolution #4</x:v>
      </x:c>
      <x:c r="Q12" s="7" t="str"/>
      <x:c r="R12" s="7" t="str"/>
      <x:c r="S12" s="7" t="str"/>
    </x:row>
  </x:sheetData>
  <x:conditionalFormatting sqref="D7:D12">
    <x:cfRule type="cellIs" dxfId="36" priority="1" operator="equal">
      <x:formula>"À vérifier"</x:formula>
    </x:cfRule>
    <x:cfRule type="cellIs" dxfId="37" priority="2" operator="equal">
      <x:formula>"Extrapolation"</x:formula>
    </x:cfRule>
  </x:conditionalFormatting>
  <x:conditionalFormatting sqref="C7:C12">
    <x:cfRule type="cellIs" dxfId="38" priority="3" operator="equal">
      <x:formula>"Validé"</x:formula>
    </x:cfRule>
  </x:conditionalFormatting>
  <x:conditionalFormatting sqref="E7:E12">
    <x:cfRule type="cellIs" dxfId="39" priority="4" operator="equal">
      <x:formula>"P0"</x:formula>
    </x:cfRule>
  </x:conditionalFormatting>
  <x:dataValidations count="3">
    <x:dataValidation type="list" sqref="C7:C12">
      <x:formula1>"Défini,Prototype,Intégré,Validé"</x:formula1>
    </x:dataValidation>
    <x:dataValidation type="list" sqref="D7:D12">
      <x:formula1>"Établi,À vérifier,Extrapolation,Coupé attesté,Concept abandonné,Allégation écartée"</x:formula1>
    </x:dataValidation>
    <x:dataValidation type="list" sqref="E7:E12">
      <x:formula1>"P0,P1,P2"</x:formula1>
    </x:dataValidation>
  </x:dataValidations>
  <x:pageMargins left="0.7" right="0.7" top="0.75" bottom="0.75" header="0.3" footer="0.3"/>
  <x:tableParts count="1">
    <x:tablePart xmlns:r="http://schemas.openxmlformats.org/officeDocument/2006/relationships" r:id="R1d4ba5913d9d47af"/>
  </x:tableParts>
</x:worksheet>
</file>

<file path=xl/worksheets/sheet1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Secondaires et DLC</x:v>
      </x:c>
      <x:c r="B2" s="2"/>
      <x:c r="C2" s="2"/>
      <x:c r="D2" s="2"/>
      <x:c r="E2" s="2"/>
      <x:c r="F2" s="2"/>
      <x:c r="G2" s="2"/>
      <x:c r="H2" s="2"/>
      <x:c r="I2" s="2"/>
      <x:c r="J2" s="2"/>
      <x:c r="K2" s="2"/>
      <x:c r="L2" s="2"/>
      <x:c r="M2" s="2"/>
      <x:c r="N2" s="2"/>
      <x:c r="O2" s="2"/>
      <x:c r="P2" s="2"/>
      <x:c r="Q2" s="2"/>
      <x:c r="R2" s="2"/>
      <x:c r="S2" s="2"/>
    </x:row>
    <x:row r="3" ht="22" customHeight="1">
      <x:c r="A3" s="4" t="str">
        <x:v>Mass Effect: Evolution — Contenus annexes, variantes et extensions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EVO-SC-RESIST-SIDE</x:v>
      </x:c>
      <x:c r="B7" s="9" t="str">
        <x:v>Observer le cycle de patrouille</x:v>
      </x:c>
      <x:c r="C7" s="15" t="str">
        <x:v>Défini</x:v>
      </x:c>
      <x:c r="D7" s="16" t="str">
        <x:v>Extrapolation</x:v>
      </x:c>
      <x:c r="E7" s="16" t="str">
        <x:v>P2</x:v>
      </x:c>
      <x:c r="F7" s="9" t="str">
        <x:v>Relever deux passages adverses proposés.</x:v>
      </x:c>
      <x:c r="G7" s="9" t="str">
        <x:v>Récompenser la préparation.</x:v>
      </x:c>
      <x:c r="H7" s="9" t="str">
        <x:v>Affiche les prochains déplacements sans rendre les adversaires inertes.</x:v>
      </x:c>
      <x:c r="I7" s="9" t="str">
        <x:v>Muret cassé, poussière basse et entrée de cavité lisible.</x:v>
      </x:c>
      <x:c r="J7" s="9" t="str">
        <x:v>Inspection, interaction courte, confirmation; permettre de renoncer sans bloquer le chemin principal.</x:v>
      </x:c>
      <x:c r="K7" s="9" t="str">
        <x:v>Confirmation discrète; aucune réplique source réemployée.</x:v>
      </x:c>
      <x:c r="L7" s="9" t="str">
        <x:v>Objectif facultatif EVO/RESIST/optional; récompense locale de contexte, pas de modification de la fin.</x:v>
      </x:c>
      <x:c r="M7" s="9" t="str">
        <x:v>Les résultats d’adaptation locaux convergent vers les faits de l’œuvre; les personnages absents ne deviennent pas des alliés disponibles.</x:v>
      </x:c>
      <x:c r="N7" s="9" t="str">
        <x:v>Terminer, ignorer ou abandonner cette tâche laisse le récit principal accessible et conserve correctement l’état en sauvegarde.</x:v>
      </x:c>
      <x:c r="O7" s="9" t="str">
        <x:v>EVO-SC-RESIST-MAIN</x:v>
      </x:c>
      <x:c r="P7" s="9" t="str">
        <x:v>Ajout original; cette tâche n’est pas attestée dans le comic.</x:v>
      </x:c>
      <x:c r="Q7" s="9" t="str"/>
      <x:c r="R7" s="9" t="str"/>
      <x:c r="S7" s="9" t="str"/>
    </x:row>
    <x:row r="8" ht="54" customHeight="1">
      <x:c r="A8" s="19" t="str">
        <x:v>EVO-SC-MONOLITH-SIDE</x:v>
      </x:c>
      <x:c r="B8" s="7" t="str">
        <x:v>Marquer l’issue de la cavité</x:v>
      </x:c>
      <x:c r="C8" s="15" t="str">
        <x:v>Défini</x:v>
      </x:c>
      <x:c r="D8" s="17" t="str">
        <x:v>Extrapolation</x:v>
      </x:c>
      <x:c r="E8" s="17" t="str">
        <x:v>P2</x:v>
      </x:c>
      <x:c r="F8" s="7" t="str">
        <x:v>Poser un repère de sortie proposé.</x:v>
      </x:c>
      <x:c r="G8" s="7" t="str">
        <x:v>Aider l’évacuation.</x:v>
      </x:c>
      <x:c r="H8" s="7" t="str">
        <x:v>Ne permet pas d’éviter l’événement canon de contact.</x:v>
      </x:c>
      <x:c r="I8" s="7" t="str">
        <x:v>Masse verticale sombre, contours lumineux retenus et lumière du sol.</x:v>
      </x:c>
      <x:c r="J8" s="7" t="str">
        <x:v>Inspection, interaction courte, confirmation; permettre de renoncer sans bloquer le chemin principal.</x:v>
      </x:c>
      <x:c r="K8" s="7" t="str">
        <x:v>Confirmation discrète; aucune réplique source réemployée.</x:v>
      </x:c>
      <x:c r="L8" s="7" t="str">
        <x:v>Objectif facultatif EVO/MONOLITH/optional; récompense locale de contexte, pas de modification de la fin.</x:v>
      </x:c>
      <x:c r="M8" s="7" t="str">
        <x:v>Les résultats d’adaptation locaux convergent vers les faits de l’œuvre; les personnages absents ne deviennent pas des alliés disponibles.</x:v>
      </x:c>
      <x:c r="N8" s="7" t="str">
        <x:v>Terminer, ignorer ou abandonner cette tâche laisse le récit principal accessible et conserve correctement l’état en sauvegarde.</x:v>
      </x:c>
      <x:c r="O8" s="7" t="str">
        <x:v>EVO-SC-MONOLITH-MAIN</x:v>
      </x:c>
      <x:c r="P8" s="7" t="str">
        <x:v>Ajout original; cette tâche n’est pas attestée dans le comic.</x:v>
      </x:c>
      <x:c r="Q8" s="7" t="str"/>
      <x:c r="R8" s="7" t="str"/>
      <x:c r="S8" s="7" t="str"/>
    </x:row>
    <x:row r="9" ht="54" customHeight="1">
      <x:c r="A9" s="18" t="str">
        <x:v>EVO-SC-AFTERWAR-SIDE</x:v>
      </x:c>
      <x:c r="B9" s="9" t="str">
        <x:v>Reconstituer le matériel perdu</x:v>
      </x:c>
      <x:c r="C9" s="15" t="str">
        <x:v>Défini</x:v>
      </x:c>
      <x:c r="D9" s="16" t="str">
        <x:v>Extrapolation</x:v>
      </x:c>
      <x:c r="E9" s="16" t="str">
        <x:v>P2</x:v>
      </x:c>
      <x:c r="F9" s="9" t="str">
        <x:v>Liste facultative de matériel proposé.</x:v>
      </x:c>
      <x:c r="G9" s="9" t="str">
        <x:v>Préparer les choix tactiques suivants.</x:v>
      </x:c>
      <x:c r="H9" s="9" t="str">
        <x:v>Aucun objet secret ou arme unique canon ajouté.</x:v>
      </x:c>
      <x:c r="I9" s="9" t="str">
        <x:v>Ordre institutionnel contrastant avec le matériel abîmé du groupe.</x:v>
      </x:c>
      <x:c r="J9" s="9" t="str">
        <x:v>Inspection, interaction courte, confirmation; permettre de renoncer sans bloquer le chemin principal.</x:v>
      </x:c>
      <x:c r="K9" s="9" t="str">
        <x:v>Confirmation discrète; aucune réplique source réemployée.</x:v>
      </x:c>
      <x:c r="L9" s="9" t="str">
        <x:v>Objectif facultatif EVO/AFTERWAR/optional; récompense locale de contexte, pas de modification de la fin.</x:v>
      </x:c>
      <x:c r="M9" s="9" t="str">
        <x:v>Les résultats d’adaptation locaux convergent vers les faits de l’œuvre; les personnages absents ne deviennent pas des alliés disponibles.</x:v>
      </x:c>
      <x:c r="N9" s="9" t="str">
        <x:v>Terminer, ignorer ou abandonner cette tâche laisse le récit principal accessible et conserve correctement l’état en sauvegarde.</x:v>
      </x:c>
      <x:c r="O9" s="9" t="str">
        <x:v>EVO-SC-AFTERWAR-MAIN</x:v>
      </x:c>
      <x:c r="P9" s="9" t="str">
        <x:v>Ajout original; cette tâche n’est pas attestée dans le comic.</x:v>
      </x:c>
      <x:c r="Q9" s="9" t="str"/>
      <x:c r="R9" s="9" t="str"/>
      <x:c r="S9" s="9" t="str"/>
    </x:row>
    <x:row r="10" ht="54" customHeight="1">
      <x:c r="A10" s="19" t="str">
        <x:v>EVO-SC-ILLIUM-SIDE</x:v>
      </x:c>
      <x:c r="B10" s="7" t="str">
        <x:v>Vérifier l’issue industrielle</x:v>
      </x:c>
      <x:c r="C10" s="15" t="str">
        <x:v>Défini</x:v>
      </x:c>
      <x:c r="D10" s="17" t="str">
        <x:v>Extrapolation</x:v>
      </x:c>
      <x:c r="E10" s="17" t="str">
        <x:v>P2</x:v>
      </x:c>
      <x:c r="F10" s="7" t="str">
        <x:v>Inspection facultative d’une porte de service.</x:v>
      </x:c>
      <x:c r="G10" s="7" t="str">
        <x:v>Offrir une issue tactique.</x:v>
      </x:c>
      <x:c r="H10" s="7" t="str">
        <x:v>Ne modifie pas la présence de Saren ni le raccord de l’arc.</x:v>
      </x:c>
      <x:c r="I10" s="7" t="str">
        <x:v>Façade brillante, couloir de service mat et lignes de livraison au sol.</x:v>
      </x:c>
      <x:c r="J10" s="7" t="str">
        <x:v>Inspection, interaction courte, confirmation; permettre de renoncer sans bloquer le chemin principal.</x:v>
      </x:c>
      <x:c r="K10" s="7" t="str">
        <x:v>Confirmation discrète; aucune réplique source réemployée.</x:v>
      </x:c>
      <x:c r="L10" s="7" t="str">
        <x:v>Objectif facultatif EVO/ILLIUM/optional; récompense locale de contexte, pas de modification de la fin.</x:v>
      </x:c>
      <x:c r="M10" s="7" t="str">
        <x:v>Les résultats d’adaptation locaux convergent vers les faits de l’œuvre; les personnages absents ne deviennent pas des alliés disponibles.</x:v>
      </x:c>
      <x:c r="N10" s="7" t="str">
        <x:v>Terminer, ignorer ou abandonner cette tâche laisse le récit principal accessible et conserve correctement l’état en sauvegarde.</x:v>
      </x:c>
      <x:c r="O10" s="7" t="str">
        <x:v>EVO-SC-ILLIUM-MAIN</x:v>
      </x:c>
      <x:c r="P10" s="7" t="str">
        <x:v>Ajout original; cette tâche n’est pas attestée dans le comic.</x:v>
      </x:c>
      <x:c r="Q10" s="7" t="str"/>
      <x:c r="R10" s="7" t="str"/>
      <x:c r="S10" s="7" t="str"/>
    </x:row>
    <x:row r="11" ht="54" customHeight="1">
      <x:c r="A11" s="18" t="str">
        <x:v>EVO-SC-PALAVEN-SIDE</x:v>
      </x:c>
      <x:c r="B11" s="9" t="str">
        <x:v>Identifier une zone refuge</x:v>
      </x:c>
      <x:c r="C11" s="15" t="str">
        <x:v>Défini</x:v>
      </x:c>
      <x:c r="D11" s="16" t="str">
        <x:v>Extrapolation</x:v>
      </x:c>
      <x:c r="E11" s="16" t="str">
        <x:v>P2</x:v>
      </x:c>
      <x:c r="F11" s="9" t="str">
        <x:v>Repérer une alcôve protégée proposée.</x:v>
      </x:c>
      <x:c r="G11" s="9" t="str">
        <x:v>Préparer la sortie de crise.</x:v>
      </x:c>
      <x:c r="H11" s="9" t="str">
        <x:v>Aucun personnage supplémentaire à sauver comme fait officiel.</x:v>
      </x:c>
      <x:c r="I11" s="9" t="str">
        <x:v>Piliers, galerie surélevée et axe visuel vers le Monolithe.</x:v>
      </x:c>
      <x:c r="J11" s="9" t="str">
        <x:v>Inspection, interaction courte, confirmation; permettre de renoncer sans bloquer le chemin principal.</x:v>
      </x:c>
      <x:c r="K11" s="9" t="str">
        <x:v>Confirmation discrète; aucune réplique source réemployée.</x:v>
      </x:c>
      <x:c r="L11" s="9" t="str">
        <x:v>Objectif facultatif EVO/PALAVEN/optional; récompense locale de contexte, pas de modification de la fin.</x:v>
      </x:c>
      <x:c r="M11" s="9" t="str">
        <x:v>Les résultats d’adaptation locaux convergent vers les faits de l’œuvre; les personnages absents ne deviennent pas des alliés disponibles.</x:v>
      </x:c>
      <x:c r="N11" s="9" t="str">
        <x:v>Terminer, ignorer ou abandonner cette tâche laisse le récit principal accessible et conserve correctement l’état en sauvegarde.</x:v>
      </x:c>
      <x:c r="O11" s="9" t="str">
        <x:v>EVO-SC-PALAVEN-MAIN</x:v>
      </x:c>
      <x:c r="P11" s="9" t="str">
        <x:v>Ajout original; cette tâche n’est pas attestée dans le comic.</x:v>
      </x:c>
      <x:c r="Q11" s="9" t="str"/>
      <x:c r="R11" s="9" t="str"/>
      <x:c r="S11" s="9" t="str"/>
    </x:row>
    <x:row r="12" ht="54" customHeight="1">
      <x:c r="A12" s="19" t="str">
        <x:v>EVO-SC-BREAK-SIDE</x:v>
      </x:c>
      <x:c r="B12" s="7" t="str">
        <x:v>Préparer le chemin de repli</x:v>
      </x:c>
      <x:c r="C12" s="15" t="str">
        <x:v>Défini</x:v>
      </x:c>
      <x:c r="D12" s="17" t="str">
        <x:v>Extrapolation</x:v>
      </x:c>
      <x:c r="E12" s="17" t="str">
        <x:v>P2</x:v>
      </x:c>
      <x:c r="F12" s="7" t="str">
        <x:v>Retirer un obstacle mobile proposé.</x:v>
      </x:c>
      <x:c r="G12" s="7" t="str">
        <x:v>Permettre une sortie plus fluide.</x:v>
      </x:c>
      <x:c r="H12" s="7" t="str">
        <x:v>Ne change pas le bilan publié; récompense seulement la préparation locale.</x:v>
      </x:c>
      <x:c r="I12" s="7" t="str">
        <x:v>Fissures de lumière périphériques, silhouettes séparées du fond.</x:v>
      </x:c>
      <x:c r="J12" s="7" t="str">
        <x:v>Inspection, interaction courte, confirmation; permettre de renoncer sans bloquer le chemin principal.</x:v>
      </x:c>
      <x:c r="K12" s="7" t="str">
        <x:v>Confirmation discrète; aucune réplique source réemployée.</x:v>
      </x:c>
      <x:c r="L12" s="7" t="str">
        <x:v>Objectif facultatif EVO/BREAK/optional; récompense locale de contexte, pas de modification de la fin.</x:v>
      </x:c>
      <x:c r="M12" s="7" t="str">
        <x:v>Les résultats d’adaptation locaux convergent vers les faits de l’œuvre; les personnages absents ne deviennent pas des alliés disponibles.</x:v>
      </x:c>
      <x:c r="N12" s="7" t="str">
        <x:v>Terminer, ignorer ou abandonner cette tâche laisse le récit principal accessible et conserve correctement l’état en sauvegarde.</x:v>
      </x:c>
      <x:c r="O12" s="7" t="str">
        <x:v>EVO-SC-BREAK-MAIN</x:v>
      </x:c>
      <x:c r="P12" s="7" t="str">
        <x:v>Ajout original; cette tâche n’est pas attestée dans le comic.</x:v>
      </x:c>
      <x:c r="Q12" s="7" t="str"/>
      <x:c r="R12" s="7" t="str"/>
      <x:c r="S12" s="7" t="str"/>
    </x:row>
  </x:sheetData>
  <x:conditionalFormatting sqref="D7:D12">
    <x:cfRule type="cellIs" dxfId="40" priority="1" operator="equal">
      <x:formula>"À vérifier"</x:formula>
    </x:cfRule>
    <x:cfRule type="cellIs" dxfId="41" priority="2" operator="equal">
      <x:formula>"Extrapolation"</x:formula>
    </x:cfRule>
  </x:conditionalFormatting>
  <x:conditionalFormatting sqref="C7:C12">
    <x:cfRule type="cellIs" dxfId="42" priority="3" operator="equal">
      <x:formula>"Validé"</x:formula>
    </x:cfRule>
  </x:conditionalFormatting>
  <x:conditionalFormatting sqref="E7:E12">
    <x:cfRule type="cellIs" dxfId="43" priority="4" operator="equal">
      <x:formula>"P0"</x:formula>
    </x:cfRule>
  </x:conditionalFormatting>
  <x:dataValidations count="3">
    <x:dataValidation type="list" sqref="C7:C12">
      <x:formula1>"Défini,Prototype,Intégré,Validé"</x:formula1>
    </x:dataValidation>
    <x:dataValidation type="list" sqref="D7:D12">
      <x:formula1>"Établi,À vérifier,Extrapolation,Coupé attesté,Concept abandonné,Allégation écartée"</x:formula1>
    </x:dataValidation>
    <x:dataValidation type="list" sqref="E7:E12">
      <x:formula1>"P0,P1,P2"</x:formula1>
    </x:dataValidation>
  </x:dataValidations>
  <x:pageMargins left="0.7" right="0.7" top="0.75" bottom="0.75" header="0.3" footer="0.3"/>
  <x:tableParts count="1">
    <x:tablePart xmlns:r="http://schemas.openxmlformats.org/officeDocument/2006/relationships" r:id="R36a1af8ea0a54162"/>
  </x:tableParts>
</x:worksheet>
</file>

<file path=xl/worksheets/sheet1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Choix et relations</x:v>
      </x:c>
      <x:c r="B2" s="2"/>
      <x:c r="C2" s="2"/>
      <x:c r="D2" s="2"/>
      <x:c r="E2" s="2"/>
      <x:c r="F2" s="2"/>
      <x:c r="G2" s="2"/>
      <x:c r="H2" s="2"/>
      <x:c r="I2" s="2"/>
      <x:c r="J2" s="2"/>
      <x:c r="K2" s="2"/>
      <x:c r="L2" s="2"/>
      <x:c r="M2" s="2"/>
      <x:c r="N2" s="2"/>
      <x:c r="O2" s="2"/>
      <x:c r="P2" s="2"/>
      <x:c r="Q2" s="2"/>
      <x:c r="R2" s="2"/>
      <x:c r="S2" s="2"/>
    </x:row>
    <x:row r="3" ht="22" customHeight="1">
      <x:c r="A3" s="4" t="str">
        <x:v>Mass Effect: Evolution — Conséquences persistantes et relations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EVO-SC-RESIST-CHOICE</x:v>
      </x:c>
      <x:c r="B7" s="9" t="str">
        <x:v>Résistance sur Shanxi — stratégie locale</x:v>
      </x:c>
      <x:c r="C7" s="15" t="str">
        <x:v>Défini</x:v>
      </x:c>
      <x:c r="D7" s="16" t="str">
        <x:v>Extrapolation</x:v>
      </x:c>
      <x:c r="E7" s="16" t="str">
        <x:v>P1</x:v>
      </x:c>
      <x:c r="F7" s="9" t="str">
        <x:v>Contourner la patrouille ou l’immobiliser momentanément.</x:v>
      </x:c>
      <x:c r="G7" s="9" t="str">
        <x:v>Choix de méthode dans une adaptation; aucun embranchement alternatif n’est déclaré officiel.</x:v>
      </x:c>
      <x:c r="H7" s="9" t="str">
        <x:v>Détour plus long contre consommation d’un outil; le groupe rejoint le même ancrage.</x:v>
      </x:c>
      <x:c r="I7" s="9" t="str">
        <x:v>Deux options nommées avec leur conséquence immédiate; coût affiché avant engagement.</x:v>
      </x:c>
      <x:c r="J7" s="9" t="str">
        <x:v>Geler les poses de dialogue pendant le choix; ne pas consommer une action en quittant le menu.</x:v>
      </x:c>
      <x:c r="K7" s="9" t="str">
        <x:v>Retour de sélection sobre; confirmation distincte d’une simple navigation.</x:v>
      </x:c>
      <x:c r="L7" s="9" t="str">
        <x:v>Décision locale EVO/RESIST; stocker la méthode choisie et les conséquences temporaires, puis rejoindre le point de raccord.</x:v>
      </x:c>
      <x:c r="M7" s="9" t="str">
        <x:v>Les résultats d’adaptation locaux convergent vers les faits de l’œuvre; les personnages absents ne deviennent pas des alliés disponibles.</x:v>
      </x:c>
      <x:c r="N7" s="9" t="str">
        <x:v>Les deux méthodes peuvent être comprises avant sélection; chacune rejoint le même ancrage canon sans supprimer un personnage nécessaire.</x:v>
      </x:c>
      <x:c r="O7" s="9" t="str">
        <x:v>EVO-SC-RESIST-MAIN</x:v>
      </x:c>
      <x:c r="P7" s="9" t="str">
        <x:v>Bifurcation de gameplay originale, pas un choix présent dans l’œuvre.</x:v>
      </x:c>
      <x:c r="Q7" s="9" t="str"/>
      <x:c r="R7" s="9" t="str"/>
      <x:c r="S7" s="9" t="str"/>
    </x:row>
    <x:row r="8" ht="54" customHeight="1">
      <x:c r="A8" s="19" t="str">
        <x:v>EVO-SC-MONOLITH-CHOICE</x:v>
      </x:c>
      <x:c r="B8" s="7" t="str">
        <x:v>Proximité de l’Arca Monolith — stratégie locale</x:v>
      </x:c>
      <x:c r="C8" s="15" t="str">
        <x:v>Défini</x:v>
      </x:c>
      <x:c r="D8" s="17" t="str">
        <x:v>Extrapolation</x:v>
      </x:c>
      <x:c r="E8" s="17" t="str">
        <x:v>P1</x:v>
      </x:c>
      <x:c r="F8" s="7" t="str">
        <x:v>Examiner l’environnement ou sécuriser d’abord la sortie.</x:v>
      </x:c>
      <x:c r="G8" s="7" t="str">
        <x:v>Choix de méthode dans une adaptation; aucun embranchement alternatif n’est déclaré officiel.</x:v>
      </x:c>
      <x:c r="H8" s="7" t="str">
        <x:v>Une option donne un repère supplémentaire, l’autre facilite l’évacuation; aucun remède ajouté.</x:v>
      </x:c>
      <x:c r="I8" s="7" t="str">
        <x:v>Deux options nommées avec leur conséquence immédiate; coût affiché avant engagement.</x:v>
      </x:c>
      <x:c r="J8" s="7" t="str">
        <x:v>Geler les poses de dialogue pendant le choix; ne pas consommer une action en quittant le menu.</x:v>
      </x:c>
      <x:c r="K8" s="7" t="str">
        <x:v>Retour de sélection sobre; confirmation distincte d’une simple navigation.</x:v>
      </x:c>
      <x:c r="L8" s="7" t="str">
        <x:v>Décision locale EVO/MONOLITH; stocker la méthode choisie et les conséquences temporaires, puis rejoindre le point de raccord.</x:v>
      </x:c>
      <x:c r="M8" s="7" t="str">
        <x:v>Les résultats d’adaptation locaux convergent vers les faits de l’œuvre; les personnages absents ne deviennent pas des alliés disponibles.</x:v>
      </x:c>
      <x:c r="N8" s="7" t="str">
        <x:v>Les deux méthodes peuvent être comprises avant sélection; chacune rejoint le même ancrage canon sans supprimer un personnage nécessaire.</x:v>
      </x:c>
      <x:c r="O8" s="7" t="str">
        <x:v>EVO-SC-MONOLITH-MAIN</x:v>
      </x:c>
      <x:c r="P8" s="7" t="str">
        <x:v>Bifurcation de gameplay originale, pas un choix présent dans l’œuvre.</x:v>
      </x:c>
      <x:c r="Q8" s="7" t="str"/>
      <x:c r="R8" s="7" t="str"/>
      <x:c r="S8" s="7" t="str"/>
    </x:row>
    <x:row r="9" ht="54" customHeight="1">
      <x:c r="A9" s="18" t="str">
        <x:v>EVO-SC-AFTERWAR-CHOICE</x:v>
      </x:c>
      <x:c r="B9" s="9" t="str">
        <x:v>Après la guerre — stratégie locale</x:v>
      </x:c>
      <x:c r="C9" s="15" t="str">
        <x:v>Défini</x:v>
      </x:c>
      <x:c r="D9" s="16" t="str">
        <x:v>Extrapolation</x:v>
      </x:c>
      <x:c r="E9" s="16" t="str">
        <x:v>P1</x:v>
      </x:c>
      <x:c r="F9" s="9" t="str">
        <x:v>Demander d’abord le bilan militaire ou la situation personnelle.</x:v>
      </x:c>
      <x:c r="G9" s="9" t="str">
        <x:v>Choix de méthode dans une adaptation; aucun embranchement alternatif n’est déclaré officiel.</x:v>
      </x:c>
      <x:c r="H9" s="9" t="str">
        <x:v>Modifie l’ordre des informations et le ton; toutes restent consultables.</x:v>
      </x:c>
      <x:c r="I9" s="9" t="str">
        <x:v>Deux options nommées avec leur conséquence immédiate; coût affiché avant engagement.</x:v>
      </x:c>
      <x:c r="J9" s="9" t="str">
        <x:v>Geler les poses de dialogue pendant le choix; ne pas consommer une action en quittant le menu.</x:v>
      </x:c>
      <x:c r="K9" s="9" t="str">
        <x:v>Retour de sélection sobre; confirmation distincte d’une simple navigation.</x:v>
      </x:c>
      <x:c r="L9" s="9" t="str">
        <x:v>Décision locale EVO/AFTERWAR; stocker la méthode choisie et les conséquences temporaires, puis rejoindre le point de raccord.</x:v>
      </x:c>
      <x:c r="M9" s="9" t="str">
        <x:v>Les résultats d’adaptation locaux convergent vers les faits de l’œuvre; les personnages absents ne deviennent pas des alliés disponibles.</x:v>
      </x:c>
      <x:c r="N9" s="9" t="str">
        <x:v>Les deux méthodes peuvent être comprises avant sélection; chacune rejoint le même ancrage canon sans supprimer un personnage nécessaire.</x:v>
      </x:c>
      <x:c r="O9" s="9" t="str">
        <x:v>EVO-SC-AFTERWAR-MAIN</x:v>
      </x:c>
      <x:c r="P9" s="9" t="str">
        <x:v>Bifurcation de gameplay originale, pas un choix présent dans l’œuvre.</x:v>
      </x:c>
      <x:c r="Q9" s="9" t="str"/>
      <x:c r="R9" s="9" t="str"/>
      <x:c r="S9" s="9" t="str"/>
    </x:row>
    <x:row r="10" ht="54" customHeight="1">
      <x:c r="A10" s="19" t="str">
        <x:v>EVO-SC-ILLIUM-CHOICE</x:v>
      </x:c>
      <x:c r="B10" s="7" t="str">
        <x:v>Piste sur Illium — stratégie locale</x:v>
      </x:c>
      <x:c r="C10" s="15" t="str">
        <x:v>Défini</x:v>
      </x:c>
      <x:c r="D10" s="17" t="str">
        <x:v>Extrapolation</x:v>
      </x:c>
      <x:c r="E10" s="17" t="str">
        <x:v>P1</x:v>
      </x:c>
      <x:c r="F10" s="7" t="str">
        <x:v>Contacter un intermédiaire original ou inspecter le trajet de livraison.</x:v>
      </x:c>
      <x:c r="G10" s="7" t="str">
        <x:v>Choix de méthode dans une adaptation; aucun embranchement alternatif n’est déclaré officiel.</x:v>
      </x:c>
      <x:c r="H10" s="7" t="str">
        <x:v>Le contact coûte une ressource locale; le trajet expose à un contrôle évitable.</x:v>
      </x:c>
      <x:c r="I10" s="7" t="str">
        <x:v>Deux options nommées avec leur conséquence immédiate; coût affiché avant engagement.</x:v>
      </x:c>
      <x:c r="J10" s="7" t="str">
        <x:v>Geler les poses de dialogue pendant le choix; ne pas consommer une action en quittant le menu.</x:v>
      </x:c>
      <x:c r="K10" s="7" t="str">
        <x:v>Retour de sélection sobre; confirmation distincte d’une simple navigation.</x:v>
      </x:c>
      <x:c r="L10" s="7" t="str">
        <x:v>Décision locale EVO/ILLIUM; stocker la méthode choisie et les conséquences temporaires, puis rejoindre le point de raccord.</x:v>
      </x:c>
      <x:c r="M10" s="7" t="str">
        <x:v>Les résultats d’adaptation locaux convergent vers les faits de l’œuvre; les personnages absents ne deviennent pas des alliés disponibles.</x:v>
      </x:c>
      <x:c r="N10" s="7" t="str">
        <x:v>Les deux méthodes peuvent être comprises avant sélection; chacune rejoint le même ancrage canon sans supprimer un personnage nécessaire.</x:v>
      </x:c>
      <x:c r="O10" s="7" t="str">
        <x:v>EVO-SC-ILLIUM-MAIN</x:v>
      </x:c>
      <x:c r="P10" s="7" t="str">
        <x:v>Bifurcation de gameplay originale, pas un choix présent dans l’œuvre.</x:v>
      </x:c>
      <x:c r="Q10" s="7" t="str"/>
      <x:c r="R10" s="7" t="str"/>
      <x:c r="S10" s="7" t="str"/>
    </x:row>
    <x:row r="11" ht="54" customHeight="1">
      <x:c r="A11" s="18" t="str">
        <x:v>EVO-SC-PALAVEN-CHOICE</x:v>
      </x:c>
      <x:c r="B11" s="9" t="str">
        <x:v>Tradition et projet de Desolas — stratégie locale</x:v>
      </x:c>
      <x:c r="C11" s="15" t="str">
        <x:v>Défini</x:v>
      </x:c>
      <x:c r="D11" s="16" t="str">
        <x:v>Extrapolation</x:v>
      </x:c>
      <x:c r="E11" s="16" t="str">
        <x:v>P1</x:v>
      </x:c>
      <x:c r="F11" s="9" t="str">
        <x:v>Exploiter le protocole local ou chercher une voie technique.</x:v>
      </x:c>
      <x:c r="G11" s="9" t="str">
        <x:v>Choix de méthode dans une adaptation; aucun embranchement alternatif n’est déclaré officiel.</x:v>
      </x:c>
      <x:c r="H11" s="9" t="str">
        <x:v>Le protocole exige une observation, la voie technique une préparation; toutes deux convergent.</x:v>
      </x:c>
      <x:c r="I11" s="9" t="str">
        <x:v>Deux options nommées avec leur conséquence immédiate; coût affiché avant engagement.</x:v>
      </x:c>
      <x:c r="J11" s="9" t="str">
        <x:v>Geler les poses de dialogue pendant le choix; ne pas consommer une action en quittant le menu.</x:v>
      </x:c>
      <x:c r="K11" s="9" t="str">
        <x:v>Retour de sélection sobre; confirmation distincte d’une simple navigation.</x:v>
      </x:c>
      <x:c r="L11" s="9" t="str">
        <x:v>Décision locale EVO/PALAVEN; stocker la méthode choisie et les conséquences temporaires, puis rejoindre le point de raccord.</x:v>
      </x:c>
      <x:c r="M11" s="9" t="str">
        <x:v>Les résultats d’adaptation locaux convergent vers les faits de l’œuvre; les personnages absents ne deviennent pas des alliés disponibles.</x:v>
      </x:c>
      <x:c r="N11" s="9" t="str">
        <x:v>Les deux méthodes peuvent être comprises avant sélection; chacune rejoint le même ancrage canon sans supprimer un personnage nécessaire.</x:v>
      </x:c>
      <x:c r="O11" s="9" t="str">
        <x:v>EVO-SC-PALAVEN-MAIN</x:v>
      </x:c>
      <x:c r="P11" s="9" t="str">
        <x:v>Bifurcation de gameplay originale, pas un choix présent dans l’œuvre.</x:v>
      </x:c>
      <x:c r="Q11" s="9" t="str"/>
      <x:c r="R11" s="9" t="str"/>
      <x:c r="S11" s="9" t="str"/>
    </x:row>
    <x:row r="12" ht="54" customHeight="1">
      <x:c r="A12" s="19" t="str">
        <x:v>EVO-SC-BREAK-CHOICE</x:v>
      </x:c>
      <x:c r="B12" s="7" t="str">
        <x:v>Rupture du contrôle — stratégie locale</x:v>
      </x:c>
      <x:c r="C12" s="15" t="str">
        <x:v>Défini</x:v>
      </x:c>
      <x:c r="D12" s="17" t="str">
        <x:v>Extrapolation</x:v>
      </x:c>
      <x:c r="E12" s="17" t="str">
        <x:v>P1</x:v>
      </x:c>
      <x:c r="F12" s="7" t="str">
        <x:v>Dégager le chemin ou réduire la pression du groupe adverse.</x:v>
      </x:c>
      <x:c r="G12" s="7" t="str">
        <x:v>Choix de méthode dans une adaptation; aucun embranchement alternatif n’est déclaré officiel.</x:v>
      </x:c>
      <x:c r="H12" s="7" t="str">
        <x:v>Les méthodes modifient l’effort de sortie; aucun sauvetage alternatif de Ben ou Eva n’est présenté comme canon.</x:v>
      </x:c>
      <x:c r="I12" s="7" t="str">
        <x:v>Deux options nommées avec leur conséquence immédiate; coût affiché avant engagement.</x:v>
      </x:c>
      <x:c r="J12" s="7" t="str">
        <x:v>Geler les poses de dialogue pendant le choix; ne pas consommer une action en quittant le menu.</x:v>
      </x:c>
      <x:c r="K12" s="7" t="str">
        <x:v>Retour de sélection sobre; confirmation distincte d’une simple navigation.</x:v>
      </x:c>
      <x:c r="L12" s="7" t="str">
        <x:v>Décision locale EVO/BREAK; stocker la méthode choisie et les conséquences temporaires, puis rejoindre le point de raccord.</x:v>
      </x:c>
      <x:c r="M12" s="7" t="str">
        <x:v>Les résultats d’adaptation locaux convergent vers les faits de l’œuvre; les personnages absents ne deviennent pas des alliés disponibles.</x:v>
      </x:c>
      <x:c r="N12" s="7" t="str">
        <x:v>Les deux méthodes peuvent être comprises avant sélection; chacune rejoint le même ancrage canon sans supprimer un personnage nécessaire.</x:v>
      </x:c>
      <x:c r="O12" s="7" t="str">
        <x:v>EVO-SC-BREAK-MAIN</x:v>
      </x:c>
      <x:c r="P12" s="7" t="str">
        <x:v>Bifurcation de gameplay originale, pas un choix présent dans l’œuvre.</x:v>
      </x:c>
      <x:c r="Q12" s="7" t="str"/>
      <x:c r="R12" s="7" t="str"/>
      <x:c r="S12" s="7" t="str"/>
    </x:row>
  </x:sheetData>
  <x:conditionalFormatting sqref="D7:D12">
    <x:cfRule type="cellIs" dxfId="44" priority="1" operator="equal">
      <x:formula>"À vérifier"</x:formula>
    </x:cfRule>
    <x:cfRule type="cellIs" dxfId="45" priority="2" operator="equal">
      <x:formula>"Extrapolation"</x:formula>
    </x:cfRule>
  </x:conditionalFormatting>
  <x:conditionalFormatting sqref="C7:C12">
    <x:cfRule type="cellIs" dxfId="46" priority="3" operator="equal">
      <x:formula>"Validé"</x:formula>
    </x:cfRule>
  </x:conditionalFormatting>
  <x:conditionalFormatting sqref="E7:E12">
    <x:cfRule type="cellIs" dxfId="47" priority="4" operator="equal">
      <x:formula>"P0"</x:formula>
    </x:cfRule>
  </x:conditionalFormatting>
  <x:dataValidations count="3">
    <x:dataValidation type="list" sqref="C7:C12">
      <x:formula1>"Défini,Prototype,Intégré,Validé"</x:formula1>
    </x:dataValidation>
    <x:dataValidation type="list" sqref="D7:D12">
      <x:formula1>"Établi,À vérifier,Extrapolation,Coupé attesté,Concept abandonné,Allégation écartée"</x:formula1>
    </x:dataValidation>
    <x:dataValidation type="list" sqref="E7:E12">
      <x:formula1>"P0,P1,P2"</x:formula1>
    </x:dataValidation>
  </x:dataValidations>
  <x:pageMargins left="0.7" right="0.7" top="0.75" bottom="0.75" header="0.3" footer="0.3"/>
  <x:tableParts count="1">
    <x:tablePart xmlns:r="http://schemas.openxmlformats.org/officeDocument/2006/relationships" r:id="Rd044dabeb0334f8a"/>
  </x:tableParts>
</x:worksheet>
</file>

<file path=xl/worksheets/sheet1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Dialogues</x:v>
      </x:c>
      <x:c r="B2" s="2"/>
      <x:c r="C2" s="2"/>
      <x:c r="D2" s="2"/>
      <x:c r="E2" s="2"/>
      <x:c r="F2" s="2"/>
      <x:c r="G2" s="2"/>
      <x:c r="H2" s="2"/>
      <x:c r="I2" s="2"/>
      <x:c r="J2" s="2"/>
      <x:c r="K2" s="2"/>
      <x:c r="L2" s="2"/>
      <x:c r="M2" s="2"/>
      <x:c r="N2" s="2"/>
      <x:c r="O2" s="2"/>
      <x:c r="P2" s="2"/>
      <x:c r="Q2" s="2"/>
      <x:c r="R2" s="2"/>
      <x:c r="S2" s="2"/>
    </x:row>
    <x:row r="3" ht="22" customHeight="1">
      <x:c r="A3" s="4" t="str">
        <x:v>Mass Effect: Evolution — Situations de dialogue et conditions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EVO-SC-RESIST-DIA</x:v>
      </x:c>
      <x:c r="B7" s="9" t="str">
        <x:v>Résistance sur Shanxi — intentions de conversation</x:v>
      </x:c>
      <x:c r="C7" s="15" t="str">
        <x:v>Défini</x:v>
      </x:c>
      <x:c r="D7" s="16" t="str">
        <x:v>Extrapolation</x:v>
      </x:c>
      <x:c r="E7" s="16" t="str">
        <x:v>P1</x:v>
      </x:c>
      <x:c r="F7" s="9" t="str">
        <x:v>Employer des informations partielles sur l’adversaire, sans exposer tout le lore des jeux futurs.</x:v>
      </x:c>
      <x:c r="G7" s="9" t="str">
        <x:v>Préserver le thème « ignorance de l’autre »; échanges nouveaux, sans recopier les bulles.</x:v>
      </x:c>
      <x:c r="H7" s="9" t="str">
        <x:v>Proposer questions de contexte, reformulation et fin de conversation; les informations nécessaires restent accessibles après une réponse sceptique.</x:v>
      </x:c>
      <x:c r="I7" s="9" t="str">
        <x:v>Portraits sobres avec locuteur et destinataire; encart distinct si l’information est un soupçon.</x:v>
      </x:c>
      <x:c r="J7" s="9" t="str">
        <x:v>Entrée prudente, geste d'inspection et retour au contrôle pour « Résistance sur Shanxi »; poser les sprites avant tout changement de caméra.</x:v>
      </x:c>
      <x:c r="K7" s="9" t="str">
        <x:v>Dialogue original à écrire; texte intégral accessible, avance manuelle et rappel des locuteurs.</x:v>
      </x:c>
      <x:c r="L7" s="9" t="str">
        <x:v>Arbre proposé EVO/RESIST/dialogue; séparer ce qui est su, ce qui est affirmé et ce qui reste caché au joueur.</x:v>
      </x:c>
      <x:c r="M7" s="9" t="str">
        <x:v>Les résultats d’adaptation locaux convergent vers les faits de l’œuvre; les personnages absents ne deviennent pas des alliés disponibles.</x:v>
      </x:c>
      <x:c r="N7" s="9" t="str">
        <x:v>Le lecteur peut identifier le locuteur, son but et le niveau de certitude; aucune phrase du comic n’est reproduite comme dialogue final.</x:v>
      </x:c>
      <x:c r="O7" s="9" t="str">
        <x:v>EVO-SC-RESIST-MAIN</x:v>
      </x:c>
      <x:c r="P7" s="9" t="str">
        <x:v>Écriture originale à partir des thèmes, sans transcrire les bulles.</x:v>
      </x:c>
      <x:c r="Q7" s="9" t="str"/>
      <x:c r="R7" s="9" t="str"/>
      <x:c r="S7" s="9" t="str"/>
    </x:row>
    <x:row r="8" ht="54" customHeight="1">
      <x:c r="A8" s="19" t="str">
        <x:v>EVO-SC-MONOLITH-DIA</x:v>
      </x:c>
      <x:c r="B8" s="7" t="str">
        <x:v>Proximité de l’Arca Monolith — intentions de conversation</x:v>
      </x:c>
      <x:c r="C8" s="15" t="str">
        <x:v>Défini</x:v>
      </x:c>
      <x:c r="D8" s="17" t="str">
        <x:v>Extrapolation</x:v>
      </x:c>
      <x:c r="E8" s="17" t="str">
        <x:v>P1</x:v>
      </x:c>
      <x:c r="F8" s="7" t="str">
        <x:v>Questions sur ce que le groupe comprend réellement; conserver l’incertitude scientifique.</x:v>
      </x:c>
      <x:c r="G8" s="7" t="str">
        <x:v>Préserver le thème « curiosité et exposition »; échanges nouveaux, sans recopier les bulles.</x:v>
      </x:c>
      <x:c r="H8" s="7" t="str">
        <x:v>Proposer questions de contexte, reformulation et fin de conversation; les informations nécessaires restent accessibles après une réponse sceptique.</x:v>
      </x:c>
      <x:c r="I8" s="7" t="str">
        <x:v>Portraits sobres avec locuteur et destinataire; encart distinct si l’information est un soupçon.</x:v>
      </x:c>
      <x:c r="J8" s="7" t="str">
        <x:v>Entrée prudente, geste d'inspection et retour au contrôle pour « Proximité de l’Arca Monolith »; poser les sprites avant tout changement de caméra.</x:v>
      </x:c>
      <x:c r="K8" s="7" t="str">
        <x:v>Dialogue original à écrire; texte intégral accessible, avance manuelle et rappel des locuteurs.</x:v>
      </x:c>
      <x:c r="L8" s="7" t="str">
        <x:v>Arbre proposé EVO/MONOLITH/dialogue; séparer ce qui est su, ce qui est affirmé et ce qui reste caché au joueur.</x:v>
      </x:c>
      <x:c r="M8" s="7" t="str">
        <x:v>Les résultats d’adaptation locaux convergent vers les faits de l’œuvre; les personnages absents ne deviennent pas des alliés disponibles.</x:v>
      </x:c>
      <x:c r="N8" s="7" t="str">
        <x:v>Le lecteur peut identifier le locuteur, son but et le niveau de certitude; aucune phrase du comic n’est reproduite comme dialogue final.</x:v>
      </x:c>
      <x:c r="O8" s="7" t="str">
        <x:v>EVO-SC-MONOLITH-MAIN</x:v>
      </x:c>
      <x:c r="P8" s="7" t="str">
        <x:v>Écriture originale à partir des thèmes, sans transcrire les bulles.</x:v>
      </x:c>
      <x:c r="Q8" s="7" t="str"/>
      <x:c r="R8" s="7" t="str"/>
      <x:c r="S8" s="7" t="str"/>
    </x:row>
    <x:row r="9" ht="54" customHeight="1">
      <x:c r="A9" s="18" t="str">
        <x:v>EVO-SC-AFTERWAR-DIA</x:v>
      </x:c>
      <x:c r="B9" s="9" t="str">
        <x:v>Après la guerre — intentions de conversation</x:v>
      </x:c>
      <x:c r="C9" s="15" t="str">
        <x:v>Défini</x:v>
      </x:c>
      <x:c r="D9" s="16" t="str">
        <x:v>Extrapolation</x:v>
      </x:c>
      <x:c r="E9" s="16" t="str">
        <x:v>P1</x:v>
      </x:c>
      <x:c r="F9" s="9" t="str">
        <x:v>Williams et le groupe peuvent exprimer des buts divergents sans devenir des factions de réputation arbitraires.</x:v>
      </x:c>
      <x:c r="G9" s="9" t="str">
        <x:v>Préserver le thème « victoire incomplète »; échanges nouveaux, sans recopier les bulles.</x:v>
      </x:c>
      <x:c r="H9" s="9" t="str">
        <x:v>Proposer questions de contexte, reformulation et fin de conversation; les informations nécessaires restent accessibles après une réponse sceptique.</x:v>
      </x:c>
      <x:c r="I9" s="9" t="str">
        <x:v>Portraits sobres avec locuteur et destinataire; encart distinct si l’information est un soupçon.</x:v>
      </x:c>
      <x:c r="J9" s="9" t="str">
        <x:v>Entrée prudente, geste d'inspection et retour au contrôle pour « Après la guerre »; poser les sprites avant tout changement de caméra.</x:v>
      </x:c>
      <x:c r="K9" s="9" t="str">
        <x:v>Dialogue original à écrire; texte intégral accessible, avance manuelle et rappel des locuteurs.</x:v>
      </x:c>
      <x:c r="L9" s="9" t="str">
        <x:v>Arbre proposé EVO/AFTERWAR/dialogue; séparer ce qui est su, ce qui est affirmé et ce qui reste caché au joueur.</x:v>
      </x:c>
      <x:c r="M9" s="9" t="str">
        <x:v>Les résultats d’adaptation locaux convergent vers les faits de l’œuvre; les personnages absents ne deviennent pas des alliés disponibles.</x:v>
      </x:c>
      <x:c r="N9" s="9" t="str">
        <x:v>Le lecteur peut identifier le locuteur, son but et le niveau de certitude; aucune phrase du comic n’est reproduite comme dialogue final.</x:v>
      </x:c>
      <x:c r="O9" s="9" t="str">
        <x:v>EVO-SC-AFTERWAR-MAIN</x:v>
      </x:c>
      <x:c r="P9" s="9" t="str">
        <x:v>Écriture originale à partir des thèmes, sans transcrire les bulles.</x:v>
      </x:c>
      <x:c r="Q9" s="9" t="str"/>
      <x:c r="R9" s="9" t="str"/>
      <x:c r="S9" s="9" t="str"/>
    </x:row>
    <x:row r="10" ht="54" customHeight="1">
      <x:c r="A10" s="19" t="str">
        <x:v>EVO-SC-ILLIUM-DIA</x:v>
      </x:c>
      <x:c r="B10" s="7" t="str">
        <x:v>Piste sur Illium — intentions de conversation</x:v>
      </x:c>
      <x:c r="C10" s="15" t="str">
        <x:v>Défini</x:v>
      </x:c>
      <x:c r="D10" s="17" t="str">
        <x:v>Extrapolation</x:v>
      </x:c>
      <x:c r="E10" s="17" t="str">
        <x:v>P1</x:v>
      </x:c>
      <x:c r="F10" s="7" t="str">
        <x:v>Jack distingue les signes nouveaux qu’il perçoit de ce qu’il peut expliquer.</x:v>
      </x:c>
      <x:c r="G10" s="7" t="str">
        <x:v>Préserver le thème « poursuite et terrain inconnu »; échanges nouveaux, sans recopier les bulles.</x:v>
      </x:c>
      <x:c r="H10" s="7" t="str">
        <x:v>Proposer questions de contexte, reformulation et fin de conversation; les informations nécessaires restent accessibles après une réponse sceptique.</x:v>
      </x:c>
      <x:c r="I10" s="7" t="str">
        <x:v>Portraits sobres avec locuteur et destinataire; encart distinct si l’information est un soupçon.</x:v>
      </x:c>
      <x:c r="J10" s="7" t="str">
        <x:v>Entrée prudente, geste d'inspection et retour au contrôle pour « Piste sur Illium »; poser les sprites avant tout changement de caméra.</x:v>
      </x:c>
      <x:c r="K10" s="7" t="str">
        <x:v>Dialogue original à écrire; texte intégral accessible, avance manuelle et rappel des locuteurs.</x:v>
      </x:c>
      <x:c r="L10" s="7" t="str">
        <x:v>Arbre proposé EVO/ILLIUM/dialogue; séparer ce qui est su, ce qui est affirmé et ce qui reste caché au joueur.</x:v>
      </x:c>
      <x:c r="M10" s="7" t="str">
        <x:v>Les résultats d’adaptation locaux convergent vers les faits de l’œuvre; les personnages absents ne deviennent pas des alliés disponibles.</x:v>
      </x:c>
      <x:c r="N10" s="7" t="str">
        <x:v>Le lecteur peut identifier le locuteur, son but et le niveau de certitude; aucune phrase du comic n’est reproduite comme dialogue final.</x:v>
      </x:c>
      <x:c r="O10" s="7" t="str">
        <x:v>EVO-SC-ILLIUM-MAIN</x:v>
      </x:c>
      <x:c r="P10" s="7" t="str">
        <x:v>Écriture originale à partir des thèmes, sans transcrire les bulles.</x:v>
      </x:c>
      <x:c r="Q10" s="7" t="str"/>
      <x:c r="R10" s="7" t="str"/>
      <x:c r="S10" s="7" t="str"/>
    </x:row>
    <x:row r="11" ht="54" customHeight="1">
      <x:c r="A11" s="18" t="str">
        <x:v>EVO-SC-PALAVEN-DIA</x:v>
      </x:c>
      <x:c r="B11" s="9" t="str">
        <x:v>Tradition et projet de Desolas — intentions de conversation</x:v>
      </x:c>
      <x:c r="C11" s="15" t="str">
        <x:v>Défini</x:v>
      </x:c>
      <x:c r="D11" s="16" t="str">
        <x:v>Extrapolation</x:v>
      </x:c>
      <x:c r="E11" s="16" t="str">
        <x:v>P1</x:v>
      </x:c>
      <x:c r="F11" s="9" t="str">
        <x:v>Opposer les promesses de puissance aux signes de perte de contrôle sans long discours copié.</x:v>
      </x:c>
      <x:c r="G11" s="9" t="str">
        <x:v>Préserver le thème « autorité instrumentalisée »; échanges nouveaux, sans recopier les bulles.</x:v>
      </x:c>
      <x:c r="H11" s="9" t="str">
        <x:v>Proposer questions de contexte, reformulation et fin de conversation; les informations nécessaires restent accessibles après une réponse sceptique.</x:v>
      </x:c>
      <x:c r="I11" s="9" t="str">
        <x:v>Portraits sobres avec locuteur et destinataire; encart distinct si l’information est un soupçon.</x:v>
      </x:c>
      <x:c r="J11" s="9" t="str">
        <x:v>Entrée prudente, geste d'inspection et retour au contrôle pour « Tradition et projet de Desolas »; poser les sprites avant tout changement de caméra.</x:v>
      </x:c>
      <x:c r="K11" s="9" t="str">
        <x:v>Dialogue original à écrire; texte intégral accessible, avance manuelle et rappel des locuteurs.</x:v>
      </x:c>
      <x:c r="L11" s="9" t="str">
        <x:v>Arbre proposé EVO/PALAVEN/dialogue; séparer ce qui est su, ce qui est affirmé et ce qui reste caché au joueur.</x:v>
      </x:c>
      <x:c r="M11" s="9" t="str">
        <x:v>Les résultats d’adaptation locaux convergent vers les faits de l’œuvre; les personnages absents ne deviennent pas des alliés disponibles.</x:v>
      </x:c>
      <x:c r="N11" s="9" t="str">
        <x:v>Le lecteur peut identifier le locuteur, son but et le niveau de certitude; aucune phrase du comic n’est reproduite comme dialogue final.</x:v>
      </x:c>
      <x:c r="O11" s="9" t="str">
        <x:v>EVO-SC-PALAVEN-MAIN</x:v>
      </x:c>
      <x:c r="P11" s="9" t="str">
        <x:v>Écriture originale à partir des thèmes, sans transcrire les bulles.</x:v>
      </x:c>
      <x:c r="Q11" s="9" t="str"/>
      <x:c r="R11" s="9" t="str"/>
      <x:c r="S11" s="9" t="str"/>
    </x:row>
    <x:row r="12" ht="54" customHeight="1">
      <x:c r="A12" s="19" t="str">
        <x:v>EVO-SC-BREAK-DIA</x:v>
      </x:c>
      <x:c r="B12" s="7" t="str">
        <x:v>Rupture du contrôle — intentions de conversation</x:v>
      </x:c>
      <x:c r="C12" s="15" t="str">
        <x:v>Défini</x:v>
      </x:c>
      <x:c r="D12" s="17" t="str">
        <x:v>Extrapolation</x:v>
      </x:c>
      <x:c r="E12" s="17" t="str">
        <x:v>P1</x:v>
      </x:c>
      <x:c r="F12" s="7" t="str">
        <x:v>Faire entendre les désaccords entre Saren et Desolas par des intentions nouvelles, sans réécrire leur issue.</x:v>
      </x:c>
      <x:c r="G12" s="7" t="str">
        <x:v>Préserver le thème « limites de la domination »; échanges nouveaux, sans recopier les bulles.</x:v>
      </x:c>
      <x:c r="H12" s="7" t="str">
        <x:v>Proposer questions de contexte, reformulation et fin de conversation; les informations nécessaires restent accessibles après une réponse sceptique.</x:v>
      </x:c>
      <x:c r="I12" s="7" t="str">
        <x:v>Portraits sobres avec locuteur et destinataire; encart distinct si l’information est un soupçon.</x:v>
      </x:c>
      <x:c r="J12" s="7" t="str">
        <x:v>Entrée prudente, geste d'inspection et retour au contrôle pour « Rupture du contrôle »; poser les sprites avant tout changement de caméra.</x:v>
      </x:c>
      <x:c r="K12" s="7" t="str">
        <x:v>Dialogue original à écrire; texte intégral accessible, avance manuelle et rappel des locuteurs.</x:v>
      </x:c>
      <x:c r="L12" s="7" t="str">
        <x:v>Arbre proposé EVO/BREAK/dialogue; séparer ce qui est su, ce qui est affirmé et ce qui reste caché au joueur.</x:v>
      </x:c>
      <x:c r="M12" s="7" t="str">
        <x:v>Les résultats d’adaptation locaux convergent vers les faits de l’œuvre; les personnages absents ne deviennent pas des alliés disponibles.</x:v>
      </x:c>
      <x:c r="N12" s="7" t="str">
        <x:v>Le lecteur peut identifier le locuteur, son but et le niveau de certitude; aucune phrase du comic n’est reproduite comme dialogue final.</x:v>
      </x:c>
      <x:c r="O12" s="7" t="str">
        <x:v>EVO-SC-BREAK-MAIN</x:v>
      </x:c>
      <x:c r="P12" s="7" t="str">
        <x:v>Écriture originale à partir des thèmes, sans transcrire les bulles.</x:v>
      </x:c>
      <x:c r="Q12" s="7" t="str"/>
      <x:c r="R12" s="7" t="str"/>
      <x:c r="S12" s="7" t="str"/>
    </x:row>
  </x:sheetData>
  <x:conditionalFormatting sqref="D7:D12">
    <x:cfRule type="cellIs" dxfId="48" priority="1" operator="equal">
      <x:formula>"À vérifier"</x:formula>
    </x:cfRule>
    <x:cfRule type="cellIs" dxfId="49" priority="2" operator="equal">
      <x:formula>"Extrapolation"</x:formula>
    </x:cfRule>
  </x:conditionalFormatting>
  <x:conditionalFormatting sqref="C7:C12">
    <x:cfRule type="cellIs" dxfId="50" priority="3" operator="equal">
      <x:formula>"Validé"</x:formula>
    </x:cfRule>
  </x:conditionalFormatting>
  <x:conditionalFormatting sqref="E7:E12">
    <x:cfRule type="cellIs" dxfId="51" priority="4" operator="equal">
      <x:formula>"P0"</x:formula>
    </x:cfRule>
  </x:conditionalFormatting>
  <x:dataValidations count="3">
    <x:dataValidation type="list" sqref="C7:C12">
      <x:formula1>"Défini,Prototype,Intégré,Validé"</x:formula1>
    </x:dataValidation>
    <x:dataValidation type="list" sqref="D7:D12">
      <x:formula1>"Établi,À vérifier,Extrapolation,Coupé attesté,Concept abandonné,Allégation écartée"</x:formula1>
    </x:dataValidation>
    <x:dataValidation type="list" sqref="E7:E12">
      <x:formula1>"P0,P1,P2"</x:formula1>
    </x:dataValidation>
  </x:dataValidations>
  <x:pageMargins left="0.7" right="0.7" top="0.75" bottom="0.75" header="0.3" footer="0.3"/>
  <x:tableParts count="1">
    <x:tablePart xmlns:r="http://schemas.openxmlformats.org/officeDocument/2006/relationships" r:id="Rf2fb04a874244f35"/>
  </x:tableParts>
</x:worksheet>
</file>

<file path=xl/worksheets/sheet1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Cinématiques</x:v>
      </x:c>
      <x:c r="B2" s="2"/>
      <x:c r="C2" s="2"/>
      <x:c r="D2" s="2"/>
      <x:c r="E2" s="2"/>
      <x:c r="F2" s="2"/>
      <x:c r="G2" s="2"/>
      <x:c r="H2" s="2"/>
      <x:c r="I2" s="2"/>
      <x:c r="J2" s="2"/>
      <x:c r="K2" s="2"/>
      <x:c r="L2" s="2"/>
      <x:c r="M2" s="2"/>
      <x:c r="N2" s="2"/>
      <x:c r="O2" s="2"/>
      <x:c r="P2" s="2"/>
      <x:c r="Q2" s="2"/>
      <x:c r="R2" s="2"/>
      <x:c r="S2" s="2"/>
    </x:row>
    <x:row r="3" ht="22" customHeight="1">
      <x:c r="A3" s="4" t="str">
        <x:v>Mass Effect: Evolution — Séquences et mise en scène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EVO-SC-RESIST-CINE</x:v>
      </x:c>
      <x:c r="B7" s="9" t="str">
        <x:v>Résistance sur Shanxi — raccord mis en scène</x:v>
      </x:c>
      <x:c r="C7" s="15" t="str">
        <x:v>Défini</x:v>
      </x:c>
      <x:c r="D7" s="16" t="str">
        <x:v>Extrapolation</x:v>
      </x:c>
      <x:c r="E7" s="16" t="str">
        <x:v>P1</x:v>
      </x:c>
      <x:c r="F7" s="9" t="str">
        <x:v>Plan bas sur les silhouettes de résistance, puis vue d’ensemble du passage.</x:v>
      </x:c>
      <x:c r="G7" s="9" t="str">
        <x:v>Observation → préparation → passage couvert → regroupement.</x:v>
      </x:c>
      <x:c r="H7" s="9" t="str"/>
      <x:c r="I7" s="9" t="str">
        <x:v>Muret cassé, poussière basse et entrée de cavité lisible.</x:v>
      </x:c>
      <x:c r="J7" s="9" t="str">
        <x:v>Entrée prudente, geste d'inspection et retour au contrôle pour « Résistance sur Shanxi »; poser les sprites avant tout changement de caméra.</x:v>
      </x:c>
      <x:c r="K7" s="9" t="str">
        <x:v>Vent et bruits de matériel; musique originale à pulsation retenue.</x:v>
      </x:c>
      <x:c r="L7" s="9" t="str">
        <x:v>Séquence proposée EVO/RESIST/cinematic; mise à jour des états avant restitution du contrôle; bouton passer et relecture séparés.</x:v>
      </x:c>
      <x:c r="M7" s="9" t="str">
        <x:v>Les résultats d’adaptation locaux convergent vers les faits de l’œuvre; les personnages absents ne deviennent pas des alliés disponibles.</x:v>
      </x:c>
      <x:c r="N7" s="9" t="str">
        <x:v>La version passée et la version regardée aboutissent au même placement, inventaire et objectif; les sous-titres ne sont pas coupés.</x:v>
      </x:c>
      <x:c r="O7" s="9" t="str">
        <x:v>EVO-SC-RESIST-MAIN</x:v>
      </x:c>
      <x:c r="P7" s="9" t="str">
        <x:v>Découpage original pour sprites 2D sur décor 3D.</x:v>
      </x:c>
      <x:c r="Q7" s="9" t="str"/>
      <x:c r="R7" s="9" t="str"/>
      <x:c r="S7" s="9" t="str"/>
    </x:row>
    <x:row r="8" ht="54" customHeight="1">
      <x:c r="A8" s="19" t="str">
        <x:v>EVO-SC-MONOLITH-CINE</x:v>
      </x:c>
      <x:c r="B8" s="7" t="str">
        <x:v>Proximité de l’Arca Monolith — raccord mis en scène</x:v>
      </x:c>
      <x:c r="C8" s="15" t="str">
        <x:v>Défini</x:v>
      </x:c>
      <x:c r="D8" s="17" t="str">
        <x:v>Extrapolation</x:v>
      </x:c>
      <x:c r="E8" s="17" t="str">
        <x:v>P1</x:v>
      </x:c>
      <x:c r="F8" s="7" t="str">
        <x:v>Silhouette de l’objet tenue au centre, visages en réaction plutôt qu’exposé explicatif.</x:v>
      </x:c>
      <x:c r="G8" s="7" t="str">
        <x:v>Entrée → observation à distance → événement de contact fixé → évacuation.</x:v>
      </x:c>
      <x:c r="H8" s="7" t="str"/>
      <x:c r="I8" s="7" t="str">
        <x:v>Masse verticale sombre, contours lumineux retenus et lumière du sol.</x:v>
      </x:c>
      <x:c r="J8" s="7" t="str">
        <x:v>Entrée prudente, geste d'inspection et retour au contrôle pour « Proximité de l’Arca Monolith »; poser les sprites avant tout changement de caméra.</x:v>
      </x:c>
      <x:c r="K8" s="7" t="str">
        <x:v>Basse sourde progressive doublée d’un signal visuel.</x:v>
      </x:c>
      <x:c r="L8" s="7" t="str">
        <x:v>Séquence proposée EVO/MONOLITH/cinematic; mise à jour des états avant restitution du contrôle; bouton passer et relecture séparés.</x:v>
      </x:c>
      <x:c r="M8" s="7" t="str">
        <x:v>Les résultats d’adaptation locaux convergent vers les faits de l’œuvre; les personnages absents ne deviennent pas des alliés disponibles.</x:v>
      </x:c>
      <x:c r="N8" s="7" t="str">
        <x:v>La version passée et la version regardée aboutissent au même placement, inventaire et objectif; les sous-titres ne sont pas coupés.</x:v>
      </x:c>
      <x:c r="O8" s="7" t="str">
        <x:v>EVO-SC-MONOLITH-MAIN</x:v>
      </x:c>
      <x:c r="P8" s="7" t="str">
        <x:v>Découpage original pour sprites 2D sur décor 3D.</x:v>
      </x:c>
      <x:c r="Q8" s="7" t="str"/>
      <x:c r="R8" s="7" t="str"/>
      <x:c r="S8" s="7" t="str"/>
    </x:row>
    <x:row r="9" ht="54" customHeight="1">
      <x:c r="A9" s="18" t="str">
        <x:v>EVO-SC-AFTERWAR-CINE</x:v>
      </x:c>
      <x:c r="B9" s="9" t="str">
        <x:v>Après la guerre — raccord mis en scène</x:v>
      </x:c>
      <x:c r="C9" s="15" t="str">
        <x:v>Défini</x:v>
      </x:c>
      <x:c r="D9" s="16" t="str">
        <x:v>Extrapolation</x:v>
      </x:c>
      <x:c r="E9" s="16" t="str">
        <x:v>P1</x:v>
      </x:c>
      <x:c r="F9" s="9" t="str">
        <x:v>Plan stable sur le bureau, puis ouverture vers le départ.</x:v>
      </x:c>
      <x:c r="G9" s="9" t="str">
        <x:v>Annonce de contexte → conversation → bilan du groupe → départ.</x:v>
      </x:c>
      <x:c r="H9" s="9" t="str"/>
      <x:c r="I9" s="9" t="str">
        <x:v>Ordre institutionnel contrastant avec le matériel abîmé du groupe.</x:v>
      </x:c>
      <x:c r="J9" s="9" t="str">
        <x:v>Entrée prudente, geste d'inspection et retour au contrôle pour « Après la guerre »; poser les sprites avant tout changement de caméra.</x:v>
      </x:c>
      <x:c r="K9" s="9" t="str">
        <x:v>Ambiance de station calme, thème incomplet de Jack.</x:v>
      </x:c>
      <x:c r="L9" s="9" t="str">
        <x:v>Séquence proposée EVO/AFTERWAR/cinematic; mise à jour des états avant restitution du contrôle; bouton passer et relecture séparés.</x:v>
      </x:c>
      <x:c r="M9" s="9" t="str">
        <x:v>Les résultats d’adaptation locaux convergent vers les faits de l’œuvre; les personnages absents ne deviennent pas des alliés disponibles.</x:v>
      </x:c>
      <x:c r="N9" s="9" t="str">
        <x:v>La version passée et la version regardée aboutissent au même placement, inventaire et objectif; les sous-titres ne sont pas coupés.</x:v>
      </x:c>
      <x:c r="O9" s="9" t="str">
        <x:v>EVO-SC-AFTERWAR-MAIN</x:v>
      </x:c>
      <x:c r="P9" s="9" t="str">
        <x:v>Découpage original pour sprites 2D sur décor 3D.</x:v>
      </x:c>
      <x:c r="Q9" s="9" t="str"/>
      <x:c r="R9" s="9" t="str"/>
      <x:c r="S9" s="9" t="str"/>
    </x:row>
    <x:row r="10" ht="54" customHeight="1">
      <x:c r="A10" s="19" t="str">
        <x:v>EVO-SC-ILLIUM-CINE</x:v>
      </x:c>
      <x:c r="B10" s="7" t="str">
        <x:v>Piste sur Illium — raccord mis en scène</x:v>
      </x:c>
      <x:c r="C10" s="15" t="str">
        <x:v>Défini</x:v>
      </x:c>
      <x:c r="D10" s="17" t="str">
        <x:v>Extrapolation</x:v>
      </x:c>
      <x:c r="E10" s="17" t="str">
        <x:v>P1</x:v>
      </x:c>
      <x:c r="F10" s="7" t="str">
        <x:v>Vue d’ensemble verticale, puis resserrement dans la zone de service.</x:v>
      </x:c>
      <x:c r="G10" s="7" t="str">
        <x:v>Transit → collecte d’observations → contrôle d’accès → confrontation raccordée.</x:v>
      </x:c>
      <x:c r="H10" s="7" t="str"/>
      <x:c r="I10" s="7" t="str">
        <x:v>Façade brillante, couloir de service mat et lignes de livraison au sol.</x:v>
      </x:c>
      <x:c r="J10" s="7" t="str">
        <x:v>Entrée prudente, geste d'inspection et retour au contrôle pour « Piste sur Illium »; poser les sprites avant tout changement de caméra.</x:v>
      </x:c>
      <x:c r="K10" s="7" t="str">
        <x:v>Trafic distant et outils de manutention.</x:v>
      </x:c>
      <x:c r="L10" s="7" t="str">
        <x:v>Séquence proposée EVO/ILLIUM/cinematic; mise à jour des états avant restitution du contrôle; bouton passer et relecture séparés.</x:v>
      </x:c>
      <x:c r="M10" s="7" t="str">
        <x:v>Les résultats d’adaptation locaux convergent vers les faits de l’œuvre; les personnages absents ne deviennent pas des alliés disponibles.</x:v>
      </x:c>
      <x:c r="N10" s="7" t="str">
        <x:v>La version passée et la version regardée aboutissent au même placement, inventaire et objectif; les sous-titres ne sont pas coupés.</x:v>
      </x:c>
      <x:c r="O10" s="7" t="str">
        <x:v>EVO-SC-ILLIUM-MAIN</x:v>
      </x:c>
      <x:c r="P10" s="7" t="str">
        <x:v>Découpage original pour sprites 2D sur décor 3D.</x:v>
      </x:c>
      <x:c r="Q10" s="7" t="str"/>
      <x:c r="R10" s="7" t="str"/>
      <x:c r="S10" s="7" t="str"/>
    </x:row>
    <x:row r="11" ht="54" customHeight="1">
      <x:c r="A11" s="18" t="str">
        <x:v>EVO-SC-PALAVEN-CINE</x:v>
      </x:c>
      <x:c r="B11" s="9" t="str">
        <x:v>Tradition et projet de Desolas — raccord mis en scène</x:v>
      </x:c>
      <x:c r="C11" s="15" t="str">
        <x:v>Défini</x:v>
      </x:c>
      <x:c r="D11" s="16" t="str">
        <x:v>Extrapolation</x:v>
      </x:c>
      <x:c r="E11" s="16" t="str">
        <x:v>P1</x:v>
      </x:c>
      <x:c r="F11" s="9" t="str">
        <x:v>La hauteur de Desolas domine d’abord, puis le cadre révèle l’artefact derrière lui.</x:v>
      </x:c>
      <x:c r="G11" s="9" t="str">
        <x:v>Observation de l’espace → compréhension des contrôles → passage → confrontation.</x:v>
      </x:c>
      <x:c r="H11" s="9" t="str"/>
      <x:c r="I11" s="9" t="str">
        <x:v>Piliers, galerie surélevée et axe visuel vers le Monolithe.</x:v>
      </x:c>
      <x:c r="J11" s="9" t="str">
        <x:v>Entrée prudente, geste d'inspection et retour au contrôle pour « Tradition et projet de Desolas »; poser les sprites avant tout changement de caméra.</x:v>
      </x:c>
      <x:c r="K11" s="9" t="str">
        <x:v>Réverbération profonde et motif martial original qui se désaccorde.</x:v>
      </x:c>
      <x:c r="L11" s="9" t="str">
        <x:v>Séquence proposée EVO/PALAVEN/cinematic; mise à jour des états avant restitution du contrôle; bouton passer et relecture séparés.</x:v>
      </x:c>
      <x:c r="M11" s="9" t="str">
        <x:v>Les résultats d’adaptation locaux convergent vers les faits de l’œuvre; les personnages absents ne deviennent pas des alliés disponibles.</x:v>
      </x:c>
      <x:c r="N11" s="9" t="str">
        <x:v>La version passée et la version regardée aboutissent au même placement, inventaire et objectif; les sous-titres ne sont pas coupés.</x:v>
      </x:c>
      <x:c r="O11" s="9" t="str">
        <x:v>EVO-SC-PALAVEN-MAIN</x:v>
      </x:c>
      <x:c r="P11" s="9" t="str">
        <x:v>Découpage original pour sprites 2D sur décor 3D.</x:v>
      </x:c>
      <x:c r="Q11" s="9" t="str"/>
      <x:c r="R11" s="9" t="str"/>
      <x:c r="S11" s="9" t="str"/>
    </x:row>
    <x:row r="12" ht="54" customHeight="1">
      <x:c r="A12" s="19" t="str">
        <x:v>EVO-SC-BREAK-CINE</x:v>
      </x:c>
      <x:c r="B12" s="7" t="str">
        <x:v>Rupture du contrôle — raccord mis en scène</x:v>
      </x:c>
      <x:c r="C12" s="15" t="str">
        <x:v>Défini</x:v>
      </x:c>
      <x:c r="D12" s="17" t="str">
        <x:v>Extrapolation</x:v>
      </x:c>
      <x:c r="E12" s="17" t="str">
        <x:v>P1</x:v>
      </x:c>
      <x:c r="F12" s="7" t="str">
        <x:v>Plan large sur la rupture, puis cadre serré sur Jack isolé.</x:v>
      </x:c>
      <x:c r="G12" s="7" t="str">
        <x:v>Menace accrue → coordination du groupe → événement narratif fixé → sortie et épilogue.</x:v>
      </x:c>
      <x:c r="H12" s="7" t="str"/>
      <x:c r="I12" s="7" t="str">
        <x:v>Fissures de lumière périphériques, silhouettes séparées du fond.</x:v>
      </x:c>
      <x:c r="J12" s="7" t="str">
        <x:v>Entrée prudente, geste d'inspection et retour au contrôle pour « Rupture du contrôle »; poser les sprites avant tout changement de caméra.</x:v>
      </x:c>
      <x:c r="K12" s="7" t="str">
        <x:v>Rupture de basse, silence de respiration puis nouveau motif original.</x:v>
      </x:c>
      <x:c r="L12" s="7" t="str">
        <x:v>Séquence proposée EVO/BREAK/cinematic; mise à jour des états avant restitution du contrôle; bouton passer et relecture séparés.</x:v>
      </x:c>
      <x:c r="M12" s="7" t="str">
        <x:v>Les résultats d’adaptation locaux convergent vers les faits de l’œuvre; les personnages absents ne deviennent pas des alliés disponibles.</x:v>
      </x:c>
      <x:c r="N12" s="7" t="str">
        <x:v>La version passée et la version regardée aboutissent au même placement, inventaire et objectif; les sous-titres ne sont pas coupés.</x:v>
      </x:c>
      <x:c r="O12" s="7" t="str">
        <x:v>EVO-SC-BREAK-MAIN</x:v>
      </x:c>
      <x:c r="P12" s="7" t="str">
        <x:v>Découpage original pour sprites 2D sur décor 3D.</x:v>
      </x:c>
      <x:c r="Q12" s="7" t="str"/>
      <x:c r="R12" s="7" t="str"/>
      <x:c r="S12" s="7" t="str"/>
    </x:row>
  </x:sheetData>
  <x:conditionalFormatting sqref="D7:D12">
    <x:cfRule type="cellIs" dxfId="52" priority="1" operator="equal">
      <x:formula>"À vérifier"</x:formula>
    </x:cfRule>
    <x:cfRule type="cellIs" dxfId="53" priority="2" operator="equal">
      <x:formula>"Extrapolation"</x:formula>
    </x:cfRule>
  </x:conditionalFormatting>
  <x:conditionalFormatting sqref="C7:C12">
    <x:cfRule type="cellIs" dxfId="54" priority="3" operator="equal">
      <x:formula>"Validé"</x:formula>
    </x:cfRule>
  </x:conditionalFormatting>
  <x:conditionalFormatting sqref="E7:E12">
    <x:cfRule type="cellIs" dxfId="55" priority="4" operator="equal">
      <x:formula>"P0"</x:formula>
    </x:cfRule>
  </x:conditionalFormatting>
  <x:dataValidations count="3">
    <x:dataValidation type="list" sqref="C7:C12">
      <x:formula1>"Défini,Prototype,Intégré,Validé"</x:formula1>
    </x:dataValidation>
    <x:dataValidation type="list" sqref="D7:D12">
      <x:formula1>"Établi,À vérifier,Extrapolation,Coupé attesté,Concept abandonné,Allégation écartée"</x:formula1>
    </x:dataValidation>
    <x:dataValidation type="list" sqref="E7:E12">
      <x:formula1>"P0,P1,P2"</x:formula1>
    </x:dataValidation>
  </x:dataValidations>
  <x:pageMargins left="0.7" right="0.7" top="0.75" bottom="0.75" header="0.3" footer="0.3"/>
  <x:tableParts count="1">
    <x:tablePart xmlns:r="http://schemas.openxmlformats.org/officeDocument/2006/relationships" r:id="R42bb11c13ff140b0"/>
  </x:tableParts>
</x:worksheet>
</file>

<file path=xl/worksheets/sheet1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Armes</x:v>
      </x:c>
      <x:c r="B2" s="2"/>
      <x:c r="C2" s="2"/>
      <x:c r="D2" s="2"/>
      <x:c r="E2" s="2"/>
      <x:c r="F2" s="2"/>
      <x:c r="G2" s="2"/>
      <x:c r="H2" s="2"/>
      <x:c r="I2" s="2"/>
      <x:c r="J2" s="2"/>
      <x:c r="K2" s="2"/>
      <x:c r="L2" s="2"/>
      <x:c r="M2" s="2"/>
      <x:c r="N2" s="2"/>
      <x:c r="O2" s="2"/>
      <x:c r="P2" s="2"/>
      <x:c r="Q2" s="2"/>
      <x:c r="R2" s="2"/>
      <x:c r="S2" s="2"/>
    </x:row>
    <x:row r="3" ht="22" customHeight="1">
      <x:c r="A3" s="4" t="str">
        <x:v>Mass Effect: Evolution — Familles, modèles et comportements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EVO-KIT-RIFLE</x:v>
      </x:c>
      <x:c r="B7" s="9" t="str">
        <x:v>Fusil de résistance proposé</x:v>
      </x:c>
      <x:c r="C7" s="15" t="str">
        <x:v>Défini</x:v>
      </x:c>
      <x:c r="D7" s="16" t="str">
        <x:v>Extrapolation</x:v>
      </x:c>
      <x:c r="E7" s="16" t="str">
        <x:v>P1</x:v>
      </x:c>
      <x:c r="F7" s="9" t="str">
        <x:v>Profil de fusil contemporain de la scène à choisir après référence visuelle.</x:v>
      </x:c>
      <x:c r="G7" s="9" t="str">
        <x:v>Combat couvert pour le groupe humain.</x:v>
      </x:c>
      <x:c r="H7" s="9" t="str">
        <x:v>Rafale courte puis récupération; pas de marque ou de cadence canon ajoutée.</x:v>
      </x:c>
      <x:c r="I7" s="9" t="str">
        <x:v>Arme sobre, contour compact, munitions non détaillées.</x:v>
      </x:c>
      <x:c r="J7" s="9" t="str">
        <x:v>Épaulé, recul et retour au couvert.</x:v>
      </x:c>
      <x:c r="K7" s="9" t="str">
        <x:v>Confirmation audiovisuelle originale, doublée d’un libellé.</x:v>
      </x:c>
      <x:c r="L7" s="9" t="str">
        <x:v>Spécification de ressource EVO/kit/RIFLE; données séparées du moteur, interface de coût et états d'épuisement prévus.</x:v>
      </x:c>
      <x:c r="M7" s="9" t="str">
        <x:v>Les résultats d’adaptation locaux convergent vers les faits de l’œuvre; les personnages absents ne deviennent pas des alliés disponibles.</x:v>
      </x:c>
      <x:c r="N7" s="9" t="str">
        <x:v>Le modèle ne réutilise pas automatiquement une arme de ME3.</x:v>
      </x:c>
      <x:c r="O7" s="9" t="str"/>
      <x:c r="P7" s="9" t="str">
        <x:v>Création de gameplay et direction visuelle originales; modèle exact à vérifier si une arme source est évoquée.</x:v>
      </x:c>
      <x:c r="Q7" s="9" t="str"/>
      <x:c r="R7" s="9" t="str"/>
      <x:c r="S7" s="9" t="str"/>
    </x:row>
  </x:sheetData>
  <x:conditionalFormatting sqref="D7:D7">
    <x:cfRule type="cellIs" dxfId="56" priority="1" operator="equal">
      <x:formula>"À vérifier"</x:formula>
    </x:cfRule>
    <x:cfRule type="cellIs" dxfId="57" priority="2" operator="equal">
      <x:formula>"Extrapolation"</x:formula>
    </x:cfRule>
  </x:conditionalFormatting>
  <x:conditionalFormatting sqref="C7:C7">
    <x:cfRule type="cellIs" dxfId="58" priority="3" operator="equal">
      <x:formula>"Validé"</x:formula>
    </x:cfRule>
  </x:conditionalFormatting>
  <x:conditionalFormatting sqref="E7:E7">
    <x:cfRule type="cellIs" dxfId="59"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8614ecec995a46fa"/>
  </x:tableParts>
</x:worksheet>
</file>

<file path=xl/worksheets/sheet1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Armures et équipement</x:v>
      </x:c>
      <x:c r="B2" s="2"/>
      <x:c r="C2" s="2"/>
      <x:c r="D2" s="2"/>
      <x:c r="E2" s="2"/>
      <x:c r="F2" s="2"/>
      <x:c r="G2" s="2"/>
      <x:c r="H2" s="2"/>
      <x:c r="I2" s="2"/>
      <x:c r="J2" s="2"/>
      <x:c r="K2" s="2"/>
      <x:c r="L2" s="2"/>
      <x:c r="M2" s="2"/>
      <x:c r="N2" s="2"/>
      <x:c r="O2" s="2"/>
      <x:c r="P2" s="2"/>
      <x:c r="Q2" s="2"/>
      <x:c r="R2" s="2"/>
      <x:c r="S2" s="2"/>
    </x:row>
    <x:row r="3" ht="22" customHeight="1">
      <x:c r="A3" s="4" t="str">
        <x:v>Mass Effect: Evolution — Protections, modules et consommables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EVO-KIT-SCANNER</x:v>
      </x:c>
      <x:c r="B7" s="9" t="str">
        <x:v>Sonde d’observation limitée</x:v>
      </x:c>
      <x:c r="C7" s="15" t="str">
        <x:v>Défini</x:v>
      </x:c>
      <x:c r="D7" s="16" t="str">
        <x:v>Extrapolation</x:v>
      </x:c>
      <x:c r="E7" s="16" t="str">
        <x:v>P1</x:v>
      </x:c>
      <x:c r="F7" s="9" t="str">
        <x:v>Outil original de distance et de lecture.</x:v>
      </x:c>
      <x:c r="G7" s="9" t="str">
        <x:v>Soutenir l’enquête sans expliquer tout l’artefact.</x:v>
      </x:c>
      <x:c r="H7" s="9" t="str">
        <x:v>Affiche des indices qualitatifs, jamais une mesure scientifique canon inventée.</x:v>
      </x:c>
      <x:c r="I7" s="9" t="str">
        <x:v>Trois bandes et pictogramme d’incertitude.</x:v>
      </x:c>
      <x:c r="J7" s="9" t="str">
        <x:v>Déploiement bref et lecture.</x:v>
      </x:c>
      <x:c r="K7" s="9" t="str">
        <x:v>Confirmation audiovisuelle originale, doublée d’un libellé.</x:v>
      </x:c>
      <x:c r="L7" s="9" t="str">
        <x:v>Spécification de ressource EVO/kit/SCANNER; données séparées du moteur, interface de coût et états d'épuisement prévus.</x:v>
      </x:c>
      <x:c r="M7" s="9" t="str">
        <x:v>Les résultats d’adaptation locaux convergent vers les faits de l’œuvre; les personnages absents ne deviennent pas des alliés disponibles.</x:v>
      </x:c>
      <x:c r="N7" s="9" t="str">
        <x:v>Toute conclusion incertaine est marquée hypothèse.</x:v>
      </x:c>
      <x:c r="O7" s="9" t="str"/>
      <x:c r="P7" s="9" t="str">
        <x:v>Création de gameplay et direction visuelle originales; modèle exact à vérifier si une arme source est évoquée.</x:v>
      </x:c>
      <x:c r="Q7" s="9" t="str"/>
      <x:c r="R7" s="9" t="str"/>
      <x:c r="S7" s="9" t="str"/>
    </x:row>
  </x:sheetData>
  <x:conditionalFormatting sqref="D7:D7">
    <x:cfRule type="cellIs" dxfId="60" priority="1" operator="equal">
      <x:formula>"À vérifier"</x:formula>
    </x:cfRule>
    <x:cfRule type="cellIs" dxfId="61" priority="2" operator="equal">
      <x:formula>"Extrapolation"</x:formula>
    </x:cfRule>
  </x:conditionalFormatting>
  <x:conditionalFormatting sqref="C7:C7">
    <x:cfRule type="cellIs" dxfId="62" priority="3" operator="equal">
      <x:formula>"Validé"</x:formula>
    </x:cfRule>
  </x:conditionalFormatting>
  <x:conditionalFormatting sqref="E7:E7">
    <x:cfRule type="cellIs" dxfId="63"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453b528e5b4f4adb"/>
  </x:tableParts>
</x:worksheet>
</file>

<file path=xl/worksheets/sheet1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Pouvoirs</x:v>
      </x:c>
      <x:c r="B2" s="2"/>
      <x:c r="C2" s="2"/>
      <x:c r="D2" s="2"/>
      <x:c r="E2" s="2"/>
      <x:c r="F2" s="2"/>
      <x:c r="G2" s="2"/>
      <x:c r="H2" s="2"/>
      <x:c r="I2" s="2"/>
      <x:c r="J2" s="2"/>
      <x:c r="K2" s="2"/>
      <x:c r="L2" s="2"/>
      <x:c r="M2" s="2"/>
      <x:c r="N2" s="2"/>
      <x:c r="O2" s="2"/>
      <x:c r="P2" s="2"/>
      <x:c r="Q2" s="2"/>
      <x:c r="R2" s="2"/>
      <x:c r="S2" s="2"/>
    </x:row>
    <x:row r="3" ht="22" customHeight="1">
      <x:c r="A3" s="4" t="str">
        <x:v>Mass Effect: Evolution — Capacités canoniques et traduction ATB</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EVO-KIT-PERCEPTION</x:v>
      </x:c>
      <x:c r="B7" s="9" t="str">
        <x:v>Perception de Jack — traduction proposée</x:v>
      </x:c>
      <x:c r="C7" s="15" t="str">
        <x:v>Défini</x:v>
      </x:c>
      <x:c r="D7" s="16" t="str">
        <x:v>Extrapolation</x:v>
      </x:c>
      <x:c r="E7" s="16" t="str">
        <x:v>P1</x:v>
      </x:c>
      <x:c r="F7" s="9" t="str">
        <x:v>L’auteur évoque de nouvelles capacités, dont des langues auparavant inconnues; leur règle jouable reste proposée.</x:v>
      </x:c>
      <x:c r="G7" s="9" t="str">
        <x:v>Débloquer une lecture ponctuelle de signe.</x:v>
      </x:c>
      <x:c r="H7" s="9" t="str">
        <x:v>Utilisable seulement aux points préparés par le récit; ne devient ni télépathie ni piratage universel.</x:v>
      </x:c>
      <x:c r="I7" s="9" t="str">
        <x:v>Encart de perception distinct de la traduction normale.</x:v>
      </x:c>
      <x:c r="J7" s="9" t="str">
        <x:v>Fixation, réaction puis retour au groupe.</x:v>
      </x:c>
      <x:c r="K7" s="9" t="str">
        <x:v>Confirmation audiovisuelle originale, doublée d’un libellé.</x:v>
      </x:c>
      <x:c r="L7" s="9" t="str">
        <x:v>Spécification de ressource EVO/kit/PERCEPTION; données séparées du moteur, interface de coût et états d'épuisement prévus.</x:v>
      </x:c>
      <x:c r="M7" s="9" t="str">
        <x:v>Les résultats d’adaptation locaux convergent vers les faits de l’œuvre; les personnages absents ne deviennent pas des alliés disponibles.</x:v>
      </x:c>
      <x:c r="N7" s="9" t="str">
        <x:v>L’interface distingue perception, interprétation et fait confirmé.</x:v>
      </x:c>
      <x:c r="O7" s="9" t="str"/>
      <x:c r="P7" s="9" t="str">
        <x:v>Création de gameplay et direction visuelle originales; modèle exact à vérifier si une arme source est évoquée.</x:v>
      </x:c>
      <x:c r="Q7" s="9" t="str"/>
      <x:c r="R7" s="9" t="str"/>
      <x:c r="S7" s="9" t="str"/>
    </x:row>
  </x:sheetData>
  <x:conditionalFormatting sqref="D7:D7">
    <x:cfRule type="cellIs" dxfId="64" priority="1" operator="equal">
      <x:formula>"À vérifier"</x:formula>
    </x:cfRule>
    <x:cfRule type="cellIs" dxfId="65" priority="2" operator="equal">
      <x:formula>"Extrapolation"</x:formula>
    </x:cfRule>
  </x:conditionalFormatting>
  <x:conditionalFormatting sqref="C7:C7">
    <x:cfRule type="cellIs" dxfId="66" priority="3" operator="equal">
      <x:formula>"Validé"</x:formula>
    </x:cfRule>
  </x:conditionalFormatting>
  <x:conditionalFormatting sqref="E7:E7">
    <x:cfRule type="cellIs" dxfId="67"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8142a2ea71f34851"/>
  </x:tableParts>
</x:worksheet>
</file>

<file path=xl/worksheets/sheet19.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Movesets alliés</x:v>
      </x:c>
      <x:c r="B2" s="2"/>
      <x:c r="C2" s="2"/>
      <x:c r="D2" s="2"/>
      <x:c r="E2" s="2"/>
      <x:c r="F2" s="2"/>
      <x:c r="G2" s="2"/>
      <x:c r="H2" s="2"/>
      <x:c r="I2" s="2"/>
      <x:c r="J2" s="2"/>
      <x:c r="K2" s="2"/>
      <x:c r="L2" s="2"/>
      <x:c r="M2" s="2"/>
      <x:c r="N2" s="2"/>
      <x:c r="O2" s="2"/>
      <x:c r="P2" s="2"/>
      <x:c r="Q2" s="2"/>
      <x:c r="R2" s="2"/>
      <x:c r="S2" s="2"/>
    </x:row>
    <x:row r="3" ht="22" customHeight="1">
      <x:c r="A3" s="4" t="str">
        <x:v>Mass Effect: Evolution — Actions et contraintes par équipier</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EVO-ALLY-JACK</x:v>
      </x:c>
      <x:c r="B7" s="9" t="str">
        <x:v>Lecture d’ouverture</x:v>
      </x:c>
      <x:c r="C7" s="15" t="str">
        <x:v>Défini</x:v>
      </x:c>
      <x:c r="D7" s="16" t="str">
        <x:v>Extrapolation</x:v>
      </x:c>
      <x:c r="E7" s="16" t="str">
        <x:v>P1</x:v>
      </x:c>
      <x:c r="F7" s="9" t="str">
        <x:v>Action de groupe originale pour Jack Harper.</x:v>
      </x:c>
      <x:c r="G7" s="9" t="str">
        <x:v>Chef de petit groupe; lecture d’indices et décision tactique.</x:v>
      </x:c>
      <x:c r="H7" s="9" t="str">
        <x:v>Proposition : observer une action ennemie pour révéler sa prochaine zone; ne donne pas accès aux pensées.</x:v>
      </x:c>
      <x:c r="I7" s="9" t="str">
        <x:v>Icône d’œil et zone prévue en pointillés.</x:v>
      </x:c>
      <x:c r="J7" s="9" t="str">
        <x:v>Observation, appui au couvert et hésitation après une perception.</x:v>
      </x:c>
      <x:c r="K7" s="9" t="str">
        <x:v>Confirmation courte doublée d’un pictogramme; événement silencieux visible dans le journal de combat.</x:v>
      </x:c>
      <x:c r="L7" s="9" t="str">
        <x:v>Commande ATB proposée EVO/JACK/assist; résoudre cible, coût proposé, contre-mesure et annulation avant les dégâts.</x:v>
      </x:c>
      <x:c r="M7" s="9" t="str">
        <x:v>Les résultats d’adaptation locaux convergent vers les faits de l’œuvre; les personnages absents ne deviennent pas des alliés disponibles.</x:v>
      </x:c>
      <x:c r="N7" s="9" t="str">
        <x:v>La commande indique son coût avant validation, échoue proprement si la cible devient invalide et ne déclenche pas une action canon supplémentaire.</x:v>
      </x:c>
      <x:c r="O7" s="9" t="str">
        <x:v>EVO-ACT-JACK, EVO-ANI-JACK</x:v>
      </x:c>
      <x:c r="P7" s="9" t="str">
        <x:v>Adaptation originale du rôle; pas un pouvoir officiel du comic.</x:v>
      </x:c>
      <x:c r="Q7" s="9" t="str"/>
      <x:c r="R7" s="9" t="str"/>
      <x:c r="S7" s="9" t="str"/>
    </x:row>
    <x:row r="8" ht="54" customHeight="1">
      <x:c r="A8" s="19" t="str">
        <x:v>EVO-ALLY-EVA</x:v>
      </x:c>
      <x:c r="B8" s="7" t="str">
        <x:v>Appui croisé</x:v>
      </x:c>
      <x:c r="C8" s="15" t="str">
        <x:v>Défini</x:v>
      </x:c>
      <x:c r="D8" s="17" t="str">
        <x:v>Extrapolation</x:v>
      </x:c>
      <x:c r="E8" s="17" t="str">
        <x:v>P1</x:v>
      </x:c>
      <x:c r="F8" s="7" t="str">
        <x:v>Action de groupe originale pour Eva Coré.</x:v>
      </x:c>
      <x:c r="G8" s="7" t="str">
        <x:v>Partenaire de combat mobile; soutien de la progression.</x:v>
      </x:c>
      <x:c r="H8" s="7" t="str">
        <x:v>Une action réserve une fenêtre de couverture à Jack; celle-ci expire s’il change de secteur.</x:v>
      </x:c>
      <x:c r="I8" s="7" t="str">
        <x:v>Deux lignes de visée courtes et une zone de passage.</x:v>
      </x:c>
      <x:c r="J8" s="7" t="str">
        <x:v>Glissade au couvert, geste d’arrêt et tir d’appui.</x:v>
      </x:c>
      <x:c r="K8" s="7" t="str">
        <x:v>Confirmation courte doublée d’un pictogramme; événement silencieux visible dans le journal de combat.</x:v>
      </x:c>
      <x:c r="L8" s="7" t="str">
        <x:v>Commande ATB proposée EVO/EVA/assist; résoudre cible, coût proposé, contre-mesure et annulation avant les dégâts.</x:v>
      </x:c>
      <x:c r="M8" s="7" t="str">
        <x:v>Les résultats d’adaptation locaux convergent vers les faits de l’œuvre; les personnages absents ne deviennent pas des alliés disponibles.</x:v>
      </x:c>
      <x:c r="N8" s="7" t="str">
        <x:v>La commande indique son coût avant validation, échoue proprement si la cible devient invalide et ne déclenche pas une action canon supplémentaire.</x:v>
      </x:c>
      <x:c r="O8" s="7" t="str">
        <x:v>EVO-ACT-EVA, EVO-ANI-EVA</x:v>
      </x:c>
      <x:c r="P8" s="7" t="str">
        <x:v>Adaptation originale du rôle; pas un pouvoir officiel du comic.</x:v>
      </x:c>
      <x:c r="Q8" s="7" t="str"/>
      <x:c r="R8" s="7" t="str"/>
      <x:c r="S8" s="7" t="str"/>
    </x:row>
  </x:sheetData>
  <x:conditionalFormatting sqref="D7:D8">
    <x:cfRule type="cellIs" dxfId="68" priority="1" operator="equal">
      <x:formula>"À vérifier"</x:formula>
    </x:cfRule>
    <x:cfRule type="cellIs" dxfId="69" priority="2" operator="equal">
      <x:formula>"Extrapolation"</x:formula>
    </x:cfRule>
  </x:conditionalFormatting>
  <x:conditionalFormatting sqref="C7:C8">
    <x:cfRule type="cellIs" dxfId="70" priority="3" operator="equal">
      <x:formula>"Validé"</x:formula>
    </x:cfRule>
  </x:conditionalFormatting>
  <x:conditionalFormatting sqref="E7:E8">
    <x:cfRule type="cellIs" dxfId="71" priority="4" operator="equal">
      <x:formula>"P0"</x:formula>
    </x:cfRule>
  </x:conditionalFormatting>
  <x:dataValidations count="3">
    <x:dataValidation type="list" sqref="C7:C8">
      <x:formula1>"Défini,Prototype,Intégré,Validé"</x:formula1>
    </x:dataValidation>
    <x:dataValidation type="list" sqref="D7:D8">
      <x:formula1>"Établi,À vérifier,Extrapolation,Coupé attesté,Concept abandonné,Allégation écartée"</x:formula1>
    </x:dataValidation>
    <x:dataValidation type="list" sqref="E7:E8">
      <x:formula1>"P0,P1,P2"</x:formula1>
    </x:dataValidation>
  </x:dataValidations>
  <x:pageMargins left="0.7" right="0.7" top="0.75" bottom="0.75" header="0.3" footer="0.3"/>
  <x:tableParts count="1">
    <x:tablePart xmlns:r="http://schemas.openxmlformats.org/officeDocument/2006/relationships" r:id="R787eeef4fc7f4b7b"/>
  </x:tableParts>
</x:worksheet>
</file>

<file path=xl/worksheets/sheet20.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Movesets ennemis</x:v>
      </x:c>
      <x:c r="B2" s="2"/>
      <x:c r="C2" s="2"/>
      <x:c r="D2" s="2"/>
      <x:c r="E2" s="2"/>
      <x:c r="F2" s="2"/>
      <x:c r="G2" s="2"/>
      <x:c r="H2" s="2"/>
      <x:c r="I2" s="2"/>
      <x:c r="J2" s="2"/>
      <x:c r="K2" s="2"/>
      <x:c r="L2" s="2"/>
      <x:c r="M2" s="2"/>
      <x:c r="N2" s="2"/>
      <x:c r="O2" s="2"/>
      <x:c r="P2" s="2"/>
      <x:c r="Q2" s="2"/>
      <x:c r="R2" s="2"/>
      <x:c r="S2" s="2"/>
    </x:row>
    <x:row r="3" ht="22" customHeight="1">
      <x:c r="A3" s="4" t="str">
        <x:v>Mass Effect: Evolution — Télégraphes, actions et réponses tactiques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EVO-EN-PATROL-M1</x:v>
      </x:c>
      <x:c r="B7" s="9" t="str">
        <x:v>Balayage synchronisé</x:v>
      </x:c>
      <x:c r="C7" s="15" t="str">
        <x:v>Défini</x:v>
      </x:c>
      <x:c r="D7" s="16" t="str">
        <x:v>Extrapolation</x:v>
      </x:c>
      <x:c r="E7" s="16" t="str">
        <x:v>P1</x:v>
      </x:c>
      <x:c r="F7" s="9" t="str">
        <x:v>Pattern original de surveillance.</x:v>
      </x:c>
      <x:c r="G7" s="9" t="str">
        <x:v>Adversaire militaire local.</x:v>
      </x:c>
      <x:c r="H7" s="9" t="str">
        <x:v>Observer le cône puis traverser dans l’intervalle; une diversion ne fonctionne qu’une fois.</x:v>
      </x:c>
      <x:c r="I7" s="9" t="str">
        <x:v>Cônes alternés.</x:v>
      </x:c>
      <x:c r="J7" s="9" t="str">
        <x:v>Arrêt au signal, visée collective et rotation de garde.</x:v>
      </x:c>
      <x:c r="K7" s="9" t="str">
        <x:v>Ordres inventés brefs.</x:v>
      </x:c>
      <x:c r="L7" s="9" t="str">
        <x:v>Action proposée EVO/PATROL/1; étapes annonce → attente ATB → validation cible → résolution; annulation explicite si neutralisé.</x:v>
      </x:c>
      <x:c r="M7" s="9" t="str">
        <x:v>Les résultats d’adaptation locaux convergent vers les faits de l’œuvre; les personnages absents ne deviennent pas des alliés disponibles.</x:v>
      </x:c>
      <x:c r="N7" s="9" t="str">
        <x:v>Le joueur peut reconnaître la préparation et employer la contre-mesure avant la résolution; aucune attaque invisible ou imparable hors séquence annoncée.</x:v>
      </x:c>
      <x:c r="O7" s="9" t="str">
        <x:v>EVO-EN-PATROL</x:v>
      </x:c>
      <x:c r="P7" s="9" t="str">
        <x:v>Pattern original; pas de valeur numérique canon.</x:v>
      </x:c>
      <x:c r="Q7" s="9" t="str"/>
      <x:c r="R7" s="9" t="str"/>
      <x:c r="S7" s="9" t="str"/>
    </x:row>
    <x:row r="8" ht="54" customHeight="1">
      <x:c r="A8" s="19" t="str">
        <x:v>EVO-EN-PATROL-M2</x:v>
      </x:c>
      <x:c r="B8" s="7" t="str">
        <x:v>Couverture de camarade</x:v>
      </x:c>
      <x:c r="C8" s="15" t="str">
        <x:v>Défini</x:v>
      </x:c>
      <x:c r="D8" s="17" t="str">
        <x:v>Extrapolation</x:v>
      </x:c>
      <x:c r="E8" s="17" t="str">
        <x:v>P1</x:v>
      </x:c>
      <x:c r="F8" s="7" t="str">
        <x:v>Pattern original défensif.</x:v>
      </x:c>
      <x:c r="G8" s="7" t="str">
        <x:v>Adversaire militaire local.</x:v>
      </x:c>
      <x:c r="H8" s="7" t="str">
        <x:v>Le garde protège un allié jusqu’à son prochain déplacement; contourner la ligne protège le joueur.</x:v>
      </x:c>
      <x:c r="I8" s="7" t="str">
        <x:v>Trait de liaison entre les deux gardes.</x:v>
      </x:c>
      <x:c r="J8" s="7" t="str">
        <x:v>Arrêt au signal, visée collective et rotation de garde.</x:v>
      </x:c>
      <x:c r="K8" s="7" t="str">
        <x:v>Ordres inventés brefs.</x:v>
      </x:c>
      <x:c r="L8" s="7" t="str">
        <x:v>Action proposée EVO/PATROL/2; étapes annonce → attente ATB → validation cible → résolution; annulation explicite si neutralisé.</x:v>
      </x:c>
      <x:c r="M8" s="7" t="str">
        <x:v>Les résultats d’adaptation locaux convergent vers les faits de l’œuvre; les personnages absents ne deviennent pas des alliés disponibles.</x:v>
      </x:c>
      <x:c r="N8" s="7" t="str">
        <x:v>Le joueur peut reconnaître la préparation et employer la contre-mesure avant la résolution; aucune attaque invisible ou imparable hors séquence annoncée.</x:v>
      </x:c>
      <x:c r="O8" s="7" t="str">
        <x:v>EVO-EN-PATROL</x:v>
      </x:c>
      <x:c r="P8" s="7" t="str">
        <x:v>Pattern original; pas de valeur numérique canon.</x:v>
      </x:c>
      <x:c r="Q8" s="7" t="str"/>
      <x:c r="R8" s="7" t="str"/>
      <x:c r="S8" s="7" t="str"/>
    </x:row>
    <x:row r="9" ht="54" customHeight="1">
      <x:c r="A9" s="18" t="str">
        <x:v>EVO-EN-META-M1</x:v>
      </x:c>
      <x:c r="B9" s="9" t="str">
        <x:v>Marche au signal</x:v>
      </x:c>
      <x:c r="C9" s="15" t="str">
        <x:v>Défini</x:v>
      </x:c>
      <x:c r="D9" s="16" t="str">
        <x:v>Extrapolation</x:v>
      </x:c>
      <x:c r="E9" s="16" t="str">
        <x:v>P1</x:v>
      </x:c>
      <x:c r="F9" s="9" t="str">
        <x:v>Pattern original de pression.</x:v>
      </x:c>
      <x:c r="G9" s="9" t="str">
        <x:v>Famille hostile liée au contrôle de l’artefact.</x:v>
      </x:c>
      <x:c r="H9" s="9" t="str">
        <x:v>Une zone de charge est annoncée; se décaler avant la résolution évite l’impact.</x:v>
      </x:c>
      <x:c r="I9" s="9" t="str">
        <x:v>Bande rectiligne au sol.</x:v>
      </x:c>
      <x:c r="J9" s="9" t="str">
        <x:v>Posture rigide, pas lourds et arrêt simultané.</x:v>
      </x:c>
      <x:c r="K9" s="9" t="str">
        <x:v>Pulsations métalliques doublées d’un pictogramme.</x:v>
      </x:c>
      <x:c r="L9" s="9" t="str">
        <x:v>Action proposée EVO/META/1; étapes annonce → attente ATB → validation cible → résolution; annulation explicite si neutralisé.</x:v>
      </x:c>
      <x:c r="M9" s="9" t="str">
        <x:v>Les résultats d’adaptation locaux convergent vers les faits de l’œuvre; les personnages absents ne deviennent pas des alliés disponibles.</x:v>
      </x:c>
      <x:c r="N9" s="9" t="str">
        <x:v>Le joueur peut reconnaître la préparation et employer la contre-mesure avant la résolution; aucune attaque invisible ou imparable hors séquence annoncée.</x:v>
      </x:c>
      <x:c r="O9" s="9" t="str">
        <x:v>EVO-EN-META</x:v>
      </x:c>
      <x:c r="P9" s="9" t="str">
        <x:v>Pattern original; pas de valeur numérique canon.</x:v>
      </x:c>
      <x:c r="Q9" s="9" t="str"/>
      <x:c r="R9" s="9" t="str"/>
      <x:c r="S9" s="9" t="str"/>
    </x:row>
    <x:row r="10" ht="54" customHeight="1">
      <x:c r="A10" s="19" t="str">
        <x:v>EVO-EN-META-M2</x:v>
      </x:c>
      <x:c r="B10" s="7" t="str">
        <x:v>Retour à l’artefact</x:v>
      </x:c>
      <x:c r="C10" s="15" t="str">
        <x:v>Défini</x:v>
      </x:c>
      <x:c r="D10" s="17" t="str">
        <x:v>Extrapolation</x:v>
      </x:c>
      <x:c r="E10" s="17" t="str">
        <x:v>P1</x:v>
      </x:c>
      <x:c r="F10" s="7" t="str">
        <x:v>Pattern original de repli.</x:v>
      </x:c>
      <x:c r="G10" s="7" t="str">
        <x:v>Famille hostile liée au contrôle de l’artefact.</x:v>
      </x:c>
      <x:c r="H10" s="7" t="str">
        <x:v>L’unité retourne au nœud après interruption; exploiter ce trajet, sans prétendre guérir la transformation.</x:v>
      </x:c>
      <x:c r="I10" s="7" t="str">
        <x:v>Flèche vers le nœud.</x:v>
      </x:c>
      <x:c r="J10" s="7" t="str">
        <x:v>Posture rigide, pas lourds et arrêt simultané.</x:v>
      </x:c>
      <x:c r="K10" s="7" t="str">
        <x:v>Pulsations métalliques doublées d’un pictogramme.</x:v>
      </x:c>
      <x:c r="L10" s="7" t="str">
        <x:v>Action proposée EVO/META/2; étapes annonce → attente ATB → validation cible → résolution; annulation explicite si neutralisé.</x:v>
      </x:c>
      <x:c r="M10" s="7" t="str">
        <x:v>Les résultats d’adaptation locaux convergent vers les faits de l’œuvre; les personnages absents ne deviennent pas des alliés disponibles.</x:v>
      </x:c>
      <x:c r="N10" s="7" t="str">
        <x:v>Le joueur peut reconnaître la préparation et employer la contre-mesure avant la résolution; aucune attaque invisible ou imparable hors séquence annoncée.</x:v>
      </x:c>
      <x:c r="O10" s="7" t="str">
        <x:v>EVO-EN-META</x:v>
      </x:c>
      <x:c r="P10" s="7" t="str">
        <x:v>Pattern original; pas de valeur numérique canon.</x:v>
      </x:c>
      <x:c r="Q10" s="7" t="str"/>
      <x:c r="R10" s="7" t="str"/>
      <x:c r="S10" s="7" t="str"/>
    </x:row>
    <x:row r="11" ht="54" customHeight="1">
      <x:c r="A11" s="18" t="str">
        <x:v>EVO-EN-BENMETA-M1</x:v>
      </x:c>
      <x:c r="B11" s="9" t="str">
        <x:v>Rejet de proximité</x:v>
      </x:c>
      <x:c r="C11" s="15" t="str">
        <x:v>Défini</x:v>
      </x:c>
      <x:c r="D11" s="16" t="str">
        <x:v>Extrapolation</x:v>
      </x:c>
      <x:c r="E11" s="16" t="str">
        <x:v>P1</x:v>
      </x:c>
      <x:c r="F11" s="9" t="str">
        <x:v>Attaque originale de zone.</x:v>
      </x:c>
      <x:c r="G11" s="9" t="str">
        <x:v>Confrontation émotionnelle avec objectif de survie.</x:v>
      </x:c>
      <x:c r="H11" s="9" t="str">
        <x:v>S’écarter du cercle annoncé ou protéger le partenaire.</x:v>
      </x:c>
      <x:c r="I11" s="9" t="str">
        <x:v>Cercle hachuré sans couleur obligatoire.</x:v>
      </x:c>
      <x:c r="J11" s="9" t="str">
        <x:v>Fixation sur l’artefact et geste brusque télégraphié.</x:v>
      </x:c>
      <x:c r="K11" s="9" t="str">
        <x:v>Souffle filtré et motif de reconnaissance original.</x:v>
      </x:c>
      <x:c r="L11" s="9" t="str">
        <x:v>Action proposée EVO/BENMETA/1; étapes annonce → attente ATB → validation cible → résolution; annulation explicite si neutralisé.</x:v>
      </x:c>
      <x:c r="M11" s="9" t="str">
        <x:v>Les résultats d’adaptation locaux convergent vers les faits de l’œuvre; les personnages absents ne deviennent pas des alliés disponibles.</x:v>
      </x:c>
      <x:c r="N11" s="9" t="str">
        <x:v>Le joueur peut reconnaître la préparation et employer la contre-mesure avant la résolution; aucune attaque invisible ou imparable hors séquence annoncée.</x:v>
      </x:c>
      <x:c r="O11" s="9" t="str">
        <x:v>EVO-EN-BENMETA</x:v>
      </x:c>
      <x:c r="P11" s="9" t="str">
        <x:v>Pattern original; pas de valeur numérique canon.</x:v>
      </x:c>
      <x:c r="Q11" s="9" t="str"/>
      <x:c r="R11" s="9" t="str"/>
      <x:c r="S11" s="9" t="str"/>
    </x:row>
    <x:row r="12" ht="54" customHeight="1">
      <x:c r="A12" s="19" t="str">
        <x:v>EVO-EN-BENMETA-M2</x:v>
      </x:c>
      <x:c r="B12" s="7" t="str">
        <x:v>Fixation monolithique</x:v>
      </x:c>
      <x:c r="C12" s="15" t="str">
        <x:v>Défini</x:v>
      </x:c>
      <x:c r="D12" s="17" t="str">
        <x:v>Extrapolation</x:v>
      </x:c>
      <x:c r="E12" s="17" t="str">
        <x:v>P1</x:v>
      </x:c>
      <x:c r="F12" s="7" t="str">
        <x:v>Comportement original d’exposition.</x:v>
      </x:c>
      <x:c r="G12" s="7" t="str">
        <x:v>Confrontation émotionnelle avec objectif de survie.</x:v>
      </x:c>
      <x:c r="H12" s="7" t="str">
        <x:v>Après une poussée, la cible se tourne vers l’artefact et laisse une sortie; aucune faiblesse canon universelle déduite.</x:v>
      </x:c>
      <x:c r="I12" s="7" t="str">
        <x:v>Orientation visible de la tête et du torse.</x:v>
      </x:c>
      <x:c r="J12" s="7" t="str">
        <x:v>Fixation sur l’artefact et geste brusque télégraphié.</x:v>
      </x:c>
      <x:c r="K12" s="7" t="str">
        <x:v>Souffle filtré et motif de reconnaissance original.</x:v>
      </x:c>
      <x:c r="L12" s="7" t="str">
        <x:v>Action proposée EVO/BENMETA/2; étapes annonce → attente ATB → validation cible → résolution; annulation explicite si neutralisé.</x:v>
      </x:c>
      <x:c r="M12" s="7" t="str">
        <x:v>Les résultats d’adaptation locaux convergent vers les faits de l’œuvre; les personnages absents ne deviennent pas des alliés disponibles.</x:v>
      </x:c>
      <x:c r="N12" s="7" t="str">
        <x:v>Le joueur peut reconnaître la préparation et employer la contre-mesure avant la résolution; aucune attaque invisible ou imparable hors séquence annoncée.</x:v>
      </x:c>
      <x:c r="O12" s="7" t="str">
        <x:v>EVO-EN-BENMETA</x:v>
      </x:c>
      <x:c r="P12" s="7" t="str">
        <x:v>Pattern original; pas de valeur numérique canon.</x:v>
      </x:c>
      <x:c r="Q12" s="7" t="str"/>
      <x:c r="R12" s="7" t="str"/>
      <x:c r="S12" s="7" t="str"/>
    </x:row>
  </x:sheetData>
  <x:conditionalFormatting sqref="D7:D12">
    <x:cfRule type="cellIs" dxfId="72" priority="1" operator="equal">
      <x:formula>"À vérifier"</x:formula>
    </x:cfRule>
    <x:cfRule type="cellIs" dxfId="73" priority="2" operator="equal">
      <x:formula>"Extrapolation"</x:formula>
    </x:cfRule>
  </x:conditionalFormatting>
  <x:conditionalFormatting sqref="C7:C12">
    <x:cfRule type="cellIs" dxfId="74" priority="3" operator="equal">
      <x:formula>"Validé"</x:formula>
    </x:cfRule>
  </x:conditionalFormatting>
  <x:conditionalFormatting sqref="E7:E12">
    <x:cfRule type="cellIs" dxfId="75" priority="4" operator="equal">
      <x:formula>"P0"</x:formula>
    </x:cfRule>
  </x:conditionalFormatting>
  <x:dataValidations count="3">
    <x:dataValidation type="list" sqref="C7:C12">
      <x:formula1>"Défini,Prototype,Intégré,Validé"</x:formula1>
    </x:dataValidation>
    <x:dataValidation type="list" sqref="D7:D12">
      <x:formula1>"Établi,À vérifier,Extrapolation,Coupé attesté,Concept abandonné,Allégation écartée"</x:formula1>
    </x:dataValidation>
    <x:dataValidation type="list" sqref="E7:E12">
      <x:formula1>"P0,P1,P2"</x:formula1>
    </x:dataValidation>
  </x:dataValidations>
  <x:pageMargins left="0.7" right="0.7" top="0.75" bottom="0.75" header="0.3" footer="0.3"/>
  <x:tableParts count="1">
    <x:tablePart xmlns:r="http://schemas.openxmlformats.org/officeDocument/2006/relationships" r:id="Re99500f6231b4615"/>
  </x:tableParts>
</x:worksheet>
</file>

<file path=xl/worksheets/sheet21.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Animations</x:v>
      </x:c>
      <x:c r="B2" s="2"/>
      <x:c r="C2" s="2"/>
      <x:c r="D2" s="2"/>
      <x:c r="E2" s="2"/>
      <x:c r="F2" s="2"/>
      <x:c r="G2" s="2"/>
      <x:c r="H2" s="2"/>
      <x:c r="I2" s="2"/>
      <x:c r="J2" s="2"/>
      <x:c r="K2" s="2"/>
      <x:c r="L2" s="2"/>
      <x:c r="M2" s="2"/>
      <x:c r="N2" s="2"/>
      <x:c r="O2" s="2"/>
      <x:c r="P2" s="2"/>
      <x:c r="Q2" s="2"/>
      <x:c r="R2" s="2"/>
      <x:c r="S2" s="2"/>
    </x:row>
    <x:row r="3" ht="22" customHeight="1">
      <x:c r="A3" s="4" t="str">
        <x:v>Mass Effect: Evolution — Bibliothèque d’animation pour sprites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EVO-ANI-JACK</x:v>
      </x:c>
      <x:c r="B7" s="9" t="str">
        <x:v>Jack Harper — jeu de poses</x:v>
      </x:c>
      <x:c r="C7" s="15" t="str">
        <x:v>Défini</x:v>
      </x:c>
      <x:c r="D7" s="16" t="str">
        <x:v>Extrapolation</x:v>
      </x:c>
      <x:c r="E7" s="16" t="str">
        <x:v>P1</x:v>
      </x:c>
      <x:c r="F7" s="9" t="str">
        <x:v>Définir les transitions propres au rôle de Jack Harper.</x:v>
      </x:c>
      <x:c r="G7" s="9" t="str">
        <x:v>Chef de petit groupe; lecture d’indices et décision tactique.</x:v>
      </x:c>
      <x:c r="H7" s="9" t="str"/>
      <x:c r="I7" s="9" t="str">
        <x:v>Humain de terrain, veste simple et posture attentive; yeux et transformations à contrôler.</x:v>
      </x:c>
      <x:c r="J7" s="9" t="str">
        <x:v>Observation, appui au couvert et hésitation après une perception. Décomposer anticipation, action, retour et interruption; garder un état neutre utilisable après une cinématique sautée.</x:v>
      </x:c>
      <x:c r="K7" s="9" t="str">
        <x:v>Associer les contacts de sol ou de siège à des événements; éviter le bruitage répété sur une pose tenue.</x:v>
      </x:c>
      <x:c r="L7" s="9" t="str">
        <x:v>Table d'animation prévue EVO/JACK; paramètres direction, locomotion, accessoire et interruption.</x:v>
      </x:c>
      <x:c r="M7" s="9" t="str">
        <x:v>Les résultats d’adaptation locaux convergent vers les faits de l’œuvre; les personnages absents ne deviennent pas des alliés disponibles.</x:v>
      </x:c>
      <x:c r="N7" s="9" t="str">
        <x:v>Un enchaînement déplacement → interaction → interruption → reprise conserve le pivot et les accessoires de Jack Harper.</x:v>
      </x:c>
      <x:c r="O7" s="9" t="str">
        <x:v>EVO-ACT-JACK, EVO-SPR-JACK</x:v>
      </x:c>
      <x:c r="P7" s="9" t="str">
        <x:v>Conception originale, aucune cadence extraite du comic.</x:v>
      </x:c>
      <x:c r="Q7" s="9" t="str"/>
      <x:c r="R7" s="9" t="str"/>
      <x:c r="S7" s="9" t="str"/>
    </x:row>
    <x:row r="8" ht="68" customHeight="1">
      <x:c r="A8" s="19" t="str">
        <x:v>EVO-ANI-EVA</x:v>
      </x:c>
      <x:c r="B8" s="7" t="str">
        <x:v>Eva Coré — jeu de poses</x:v>
      </x:c>
      <x:c r="C8" s="15" t="str">
        <x:v>Défini</x:v>
      </x:c>
      <x:c r="D8" s="17" t="str">
        <x:v>Extrapolation</x:v>
      </x:c>
      <x:c r="E8" s="17" t="str">
        <x:v>P1</x:v>
      </x:c>
      <x:c r="F8" s="7" t="str">
        <x:v>Définir les transitions propres au rôle de Eva Coré.</x:v>
      </x:c>
      <x:c r="G8" s="7" t="str">
        <x:v>Partenaire de combat mobile; soutien de la progression.</x:v>
      </x:c>
      <x:c r="H8" s="7" t="str"/>
      <x:c r="I8" s="7" t="str">
        <x:v>Tenue de résistance fonctionnelle, silhouette agile; éviter le design du robot de ME3.</x:v>
      </x:c>
      <x:c r="J8" s="7" t="str">
        <x:v>Glissade au couvert, geste d’arrêt et tir d’appui. Décomposer anticipation, action, retour et interruption; garder un état neutre utilisable après une cinématique sautée.</x:v>
      </x:c>
      <x:c r="K8" s="7" t="str">
        <x:v>Associer les contacts de sol ou de siège à des événements; éviter le bruitage répété sur une pose tenue.</x:v>
      </x:c>
      <x:c r="L8" s="7" t="str">
        <x:v>Table d'animation prévue EVO/EVA; paramètres direction, locomotion, accessoire et interruption.</x:v>
      </x:c>
      <x:c r="M8" s="7" t="str">
        <x:v>Les résultats d’adaptation locaux convergent vers les faits de l’œuvre; les personnages absents ne deviennent pas des alliés disponibles.</x:v>
      </x:c>
      <x:c r="N8" s="7" t="str">
        <x:v>Un enchaînement déplacement → interaction → interruption → reprise conserve le pivot et les accessoires de Eva Coré.</x:v>
      </x:c>
      <x:c r="O8" s="7" t="str">
        <x:v>EVO-ACT-EVA, EVO-SPR-EVA</x:v>
      </x:c>
      <x:c r="P8" s="7" t="str">
        <x:v>Conception originale, aucune cadence extraite du comic.</x:v>
      </x:c>
      <x:c r="Q8" s="7" t="str"/>
      <x:c r="R8" s="7" t="str"/>
      <x:c r="S8" s="7" t="str"/>
    </x:row>
    <x:row r="9" ht="82" customHeight="1">
      <x:c r="A9" s="18" t="str">
        <x:v>EVO-ANI-BEN</x:v>
      </x:c>
      <x:c r="B9" s="9" t="str">
        <x:v>Ben Hislop — jeu de poses</x:v>
      </x:c>
      <x:c r="C9" s="15" t="str">
        <x:v>Défini</x:v>
      </x:c>
      <x:c r="D9" s="16" t="str">
        <x:v>Extrapolation</x:v>
      </x:c>
      <x:c r="E9" s="16" t="str">
        <x:v>P1</x:v>
      </x:c>
      <x:c r="F9" s="9" t="str">
        <x:v>Définir les transitions propres au rôle de Ben Hislop.</x:v>
      </x:c>
      <x:c r="G9" s="9" t="str">
        <x:v>Personnage à états narratifs distincts; aucune guérison facultative non sourcée.</x:v>
      </x:c>
      <x:c r="H9" s="9" t="str"/>
      <x:c r="I9" s="9" t="str">
        <x:v>Deux silhouettes de production séparées, humaine et transformée; détails organiques à contrôler.</x:v>
      </x:c>
      <x:c r="J9" s="9" t="str">
        <x:v>État humain souple, état transformé raide et déplacements orientés vers l’artefact. Décomposer anticipation, action, retour et interruption; garder un état neutre utilisable après une cinématique sautée.</x:v>
      </x:c>
      <x:c r="K9" s="9" t="str">
        <x:v>Associer les contacts de sol ou de siège à des événements; éviter le bruitage répété sur une pose tenue.</x:v>
      </x:c>
      <x:c r="L9" s="9" t="str">
        <x:v>Table d'animation prévue EVO/BEN; paramètres direction, locomotion, accessoire et interruption.</x:v>
      </x:c>
      <x:c r="M9" s="9" t="str">
        <x:v>Les résultats d’adaptation locaux convergent vers les faits de l’œuvre; les personnages absents ne deviennent pas des alliés disponibles.</x:v>
      </x:c>
      <x:c r="N9" s="9" t="str">
        <x:v>Un enchaînement déplacement → interaction → interruption → reprise conserve le pivot et les accessoires de Ben Hislop.</x:v>
      </x:c>
      <x:c r="O9" s="9" t="str">
        <x:v>EVO-ACT-BEN, EVO-SPR-BEN</x:v>
      </x:c>
      <x:c r="P9" s="9" t="str">
        <x:v>Conception originale, aucune cadence extraite du comic.</x:v>
      </x:c>
      <x:c r="Q9" s="9" t="str"/>
      <x:c r="R9" s="9" t="str"/>
      <x:c r="S9" s="9" t="str"/>
    </x:row>
    <x:row r="10" ht="82" customHeight="1">
      <x:c r="A10" s="19" t="str">
        <x:v>EVO-ANI-DESOLAS</x:v>
      </x:c>
      <x:c r="B10" s="7" t="str">
        <x:v>Desolas Arterius — jeu de poses</x:v>
      </x:c>
      <x:c r="C10" s="15" t="str">
        <x:v>Défini</x:v>
      </x:c>
      <x:c r="D10" s="17" t="str">
        <x:v>Extrapolation</x:v>
      </x:c>
      <x:c r="E10" s="17" t="str">
        <x:v>P1</x:v>
      </x:c>
      <x:c r="F10" s="7" t="str">
        <x:v>Définir les transitions propres au rôle de Desolas Arterius.</x:v>
      </x:c>
      <x:c r="G10" s="7" t="str">
        <x:v>Antagoniste militaire et idéologique; autorité sur le terrain.</x:v>
      </x:c>
      <x:c r="H10" s="7" t="str"/>
      <x:c r="I10" s="7" t="str">
        <x:v>Turien à silhouette de commandement, éléments cérémoniels à vérifier.</x:v>
      </x:c>
      <x:c r="J10" s="7" t="str">
        <x:v>Gestes mesurés, présentation publique et recul lorsque le contrôle se rompt. Décomposer anticipation, action, retour et interruption; garder un état neutre utilisable après une cinématique sautée.</x:v>
      </x:c>
      <x:c r="K10" s="7" t="str">
        <x:v>Associer les contacts de sol ou de siège à des événements; éviter le bruitage répété sur une pose tenue.</x:v>
      </x:c>
      <x:c r="L10" s="7" t="str">
        <x:v>Table d'animation prévue EVO/DESOLAS; paramètres direction, locomotion, accessoire et interruption.</x:v>
      </x:c>
      <x:c r="M10" s="7" t="str">
        <x:v>Les résultats d’adaptation locaux convergent vers les faits de l’œuvre; les personnages absents ne deviennent pas des alliés disponibles.</x:v>
      </x:c>
      <x:c r="N10" s="7" t="str">
        <x:v>Un enchaînement déplacement → interaction → interruption → reprise conserve le pivot et les accessoires de Desolas Arterius.</x:v>
      </x:c>
      <x:c r="O10" s="7" t="str">
        <x:v>EVO-ACT-DESOLAS, EVO-SPR-DESOLAS</x:v>
      </x:c>
      <x:c r="P10" s="7" t="str">
        <x:v>Conception originale, aucune cadence extraite du comic.</x:v>
      </x:c>
      <x:c r="Q10" s="7" t="str"/>
      <x:c r="R10" s="7" t="str"/>
      <x:c r="S10" s="7" t="str"/>
    </x:row>
    <x:row r="11" ht="68" customHeight="1">
      <x:c r="A11" s="18" t="str">
        <x:v>EVO-ANI-SAREN</x:v>
      </x:c>
      <x:c r="B11" s="9" t="str">
        <x:v>Saren Arterius — jeu de poses</x:v>
      </x:c>
      <x:c r="C11" s="15" t="str">
        <x:v>Défini</x:v>
      </x:c>
      <x:c r="D11" s="16" t="str">
        <x:v>Extrapolation</x:v>
      </x:c>
      <x:c r="E11" s="16" t="str">
        <x:v>P1</x:v>
      </x:c>
      <x:c r="F11" s="9" t="str">
        <x:v>Définir les transitions propres au rôle de Saren Arterius.</x:v>
      </x:c>
      <x:c r="G11" s="9" t="str">
        <x:v>Interlocuteur dont les intérêts ne sont pas ceux du groupe.</x:v>
      </x:c>
      <x:c r="H11" s="9" t="str"/>
      <x:c r="I11" s="9" t="str">
        <x:v>Armure turienne antérieure à ME1, sans ajouter ses implants ultérieurs par défaut.</x:v>
      </x:c>
      <x:c r="J11" s="9" t="str">
        <x:v>Regard latéral, maintien de l’arme et intervention ciblée. Décomposer anticipation, action, retour et interruption; garder un état neutre utilisable après une cinématique sautée.</x:v>
      </x:c>
      <x:c r="K11" s="9" t="str">
        <x:v>Associer les contacts de sol ou de siège à des événements; éviter le bruitage répété sur une pose tenue.</x:v>
      </x:c>
      <x:c r="L11" s="9" t="str">
        <x:v>Table d'animation prévue EVO/SAREN; paramètres direction, locomotion, accessoire et interruption.</x:v>
      </x:c>
      <x:c r="M11" s="9" t="str">
        <x:v>Les résultats d’adaptation locaux convergent vers les faits de l’œuvre; les personnages absents ne deviennent pas des alliés disponibles.</x:v>
      </x:c>
      <x:c r="N11" s="9" t="str">
        <x:v>Un enchaînement déplacement → interaction → interruption → reprise conserve le pivot et les accessoires de Saren Arterius.</x:v>
      </x:c>
      <x:c r="O11" s="9" t="str">
        <x:v>EVO-ACT-SAREN, EVO-SPR-SAREN</x:v>
      </x:c>
      <x:c r="P11" s="9" t="str">
        <x:v>Conception originale, aucune cadence extraite du comic.</x:v>
      </x:c>
      <x:c r="Q11" s="9" t="str"/>
      <x:c r="R11" s="9" t="str"/>
      <x:c r="S11" s="9" t="str"/>
    </x:row>
    <x:row r="12" ht="68" customHeight="1">
      <x:c r="A12" s="19" t="str">
        <x:v>EVO-ANI-ABRUDAS</x:v>
      </x:c>
      <x:c r="B12" s="7" t="str">
        <x:v>Lieutenant Abrudas — jeu de poses</x:v>
      </x:c>
      <x:c r="C12" s="15" t="str">
        <x:v>Défini</x:v>
      </x:c>
      <x:c r="D12" s="17" t="str">
        <x:v>Extrapolation</x:v>
      </x:c>
      <x:c r="E12" s="17" t="str">
        <x:v>P1</x:v>
      </x:c>
      <x:c r="F12" s="7" t="str">
        <x:v>Définir les transitions propres au rôle de Lieutenant Abrudas.</x:v>
      </x:c>
      <x:c r="G12" s="7" t="str">
        <x:v>PNJ militaire de la période; contrôler le design historique.</x:v>
      </x:c>
      <x:c r="H12" s="7" t="str"/>
      <x:c r="I12" s="7" t="str">
        <x:v>Silhouette turienne féminine issue de la référence BioWare évoquée par l’auteur; aucune reconstruction anatomique affirmée.</x:v>
      </x:c>
      <x:c r="J12" s="7" t="str">
        <x:v>Ordre bref, surveillance et réaction au danger. Décomposer anticipation, action, retour et interruption; garder un état neutre utilisable après une cinématique sautée.</x:v>
      </x:c>
      <x:c r="K12" s="7" t="str">
        <x:v>Associer les contacts de sol ou de siège à des événements; éviter le bruitage répété sur une pose tenue.</x:v>
      </x:c>
      <x:c r="L12" s="7" t="str">
        <x:v>Table d'animation prévue EVO/ABRUDAS; paramètres direction, locomotion, accessoire et interruption.</x:v>
      </x:c>
      <x:c r="M12" s="7" t="str">
        <x:v>Les résultats d’adaptation locaux convergent vers les faits de l’œuvre; les personnages absents ne deviennent pas des alliés disponibles.</x:v>
      </x:c>
      <x:c r="N12" s="7" t="str">
        <x:v>Un enchaînement déplacement → interaction → interruption → reprise conserve le pivot et les accessoires de Lieutenant Abrudas.</x:v>
      </x:c>
      <x:c r="O12" s="7" t="str">
        <x:v>EVO-ACT-ABRUDAS, EVO-SPR-ABRUDAS</x:v>
      </x:c>
      <x:c r="P12" s="7" t="str">
        <x:v>Conception originale, aucune cadence extraite du comic.</x:v>
      </x:c>
      <x:c r="Q12" s="7" t="str"/>
      <x:c r="R12" s="7" t="str"/>
      <x:c r="S12" s="7" t="str"/>
    </x:row>
    <x:row r="13" ht="68" customHeight="1">
      <x:c r="A13" s="18" t="str">
        <x:v>EVO-ANI-WILLIAMS</x:v>
      </x:c>
      <x:c r="B13" s="9" t="str">
        <x:v>Général Williams — jeu de poses</x:v>
      </x:c>
      <x:c r="C13" s="15" t="str">
        <x:v>Défini</x:v>
      </x:c>
      <x:c r="D13" s="16" t="str">
        <x:v>Extrapolation</x:v>
      </x:c>
      <x:c r="E13" s="16" t="str">
        <x:v>P1</x:v>
      </x:c>
      <x:c r="F13" s="9" t="str">
        <x:v>Définir les transitions propres au rôle de Général Williams.</x:v>
      </x:c>
      <x:c r="G13" s="9" t="str">
        <x:v>Repère politique de l’après-guerre.</x:v>
      </x:c>
      <x:c r="H13" s="9" t="str"/>
      <x:c r="I13" s="9" t="str">
        <x:v>Uniforme sobre et silhouette d’officier; insignes à comparer.</x:v>
      </x:c>
      <x:c r="J13" s="9" t="str">
        <x:v>Écoute assise, remise d’un document et départ. Décomposer anticipation, action, retour et interruption; garder un état neutre utilisable après une cinématique sautée.</x:v>
      </x:c>
      <x:c r="K13" s="9" t="str">
        <x:v>Associer les contacts de sol ou de siège à des événements; éviter le bruitage répété sur une pose tenue.</x:v>
      </x:c>
      <x:c r="L13" s="9" t="str">
        <x:v>Table d'animation prévue EVO/WILLIAMS; paramètres direction, locomotion, accessoire et interruption.</x:v>
      </x:c>
      <x:c r="M13" s="9" t="str">
        <x:v>Les résultats d’adaptation locaux convergent vers les faits de l’œuvre; les personnages absents ne deviennent pas des alliés disponibles.</x:v>
      </x:c>
      <x:c r="N13" s="9" t="str">
        <x:v>Un enchaînement déplacement → interaction → interruption → reprise conserve le pivot et les accessoires de Général Williams.</x:v>
      </x:c>
      <x:c r="O13" s="9" t="str">
        <x:v>EVO-ACT-WILLIAMS, EVO-SPR-WILLIAMS</x:v>
      </x:c>
      <x:c r="P13" s="9" t="str">
        <x:v>Conception originale, aucune cadence extraite du comic.</x:v>
      </x:c>
      <x:c r="Q13" s="9" t="str"/>
      <x:c r="R13" s="9" t="str"/>
      <x:c r="S13" s="9" t="str"/>
    </x:row>
  </x:sheetData>
  <x:conditionalFormatting sqref="D7:D13">
    <x:cfRule type="cellIs" dxfId="76" priority="1" operator="equal">
      <x:formula>"À vérifier"</x:formula>
    </x:cfRule>
    <x:cfRule type="cellIs" dxfId="77" priority="2" operator="equal">
      <x:formula>"Extrapolation"</x:formula>
    </x:cfRule>
  </x:conditionalFormatting>
  <x:conditionalFormatting sqref="C7:C13">
    <x:cfRule type="cellIs" dxfId="78" priority="3" operator="equal">
      <x:formula>"Validé"</x:formula>
    </x:cfRule>
  </x:conditionalFormatting>
  <x:conditionalFormatting sqref="E7:E13">
    <x:cfRule type="cellIs" dxfId="79" priority="4" operator="equal">
      <x:formula>"P0"</x:formula>
    </x:cfRule>
  </x:conditionalFormatting>
  <x:dataValidations count="3">
    <x:dataValidation type="list" sqref="C7:C13">
      <x:formula1>"Défini,Prototype,Intégré,Validé"</x:formula1>
    </x:dataValidation>
    <x:dataValidation type="list" sqref="D7:D13">
      <x:formula1>"Établi,À vérifier,Extrapolation,Coupé attesté,Concept abandonné,Allégation écartée"</x:formula1>
    </x:dataValidation>
    <x:dataValidation type="list" sqref="E7:E13">
      <x:formula1>"P0,P1,P2"</x:formula1>
    </x:dataValidation>
  </x:dataValidations>
  <x:pageMargins left="0.7" right="0.7" top="0.75" bottom="0.75" header="0.3" footer="0.3"/>
  <x:tableParts count="1">
    <x:tablePart xmlns:r="http://schemas.openxmlformats.org/officeDocument/2006/relationships" r:id="Rd537d679d9e5469d"/>
  </x:tableParts>
</x:worksheet>
</file>

<file path=xl/worksheets/sheet2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Sprites</x:v>
      </x:c>
      <x:c r="B2" s="2"/>
      <x:c r="C2" s="2"/>
      <x:c r="D2" s="2"/>
      <x:c r="E2" s="2"/>
      <x:c r="F2" s="2"/>
      <x:c r="G2" s="2"/>
      <x:c r="H2" s="2"/>
      <x:c r="I2" s="2"/>
      <x:c r="J2" s="2"/>
      <x:c r="K2" s="2"/>
      <x:c r="L2" s="2"/>
      <x:c r="M2" s="2"/>
      <x:c r="N2" s="2"/>
      <x:c r="O2" s="2"/>
      <x:c r="P2" s="2"/>
      <x:c r="Q2" s="2"/>
      <x:c r="R2" s="2"/>
      <x:c r="S2" s="2"/>
    </x:row>
    <x:row r="3" ht="22" customHeight="1">
      <x:c r="A3" s="4" t="str">
        <x:v>Mass Effect: Evolution — Livrables 2D, portraits et variantes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EVO-SPR-JACK</x:v>
      </x:c>
      <x:c r="B7" s="9" t="str">
        <x:v>Jack Harper — planche de sprites</x:v>
      </x:c>
      <x:c r="C7" s="15" t="str">
        <x:v>Défini</x:v>
      </x:c>
      <x:c r="D7" s="16" t="str">
        <x:v>Extrapolation</x:v>
      </x:c>
      <x:c r="E7" s="16" t="str">
        <x:v>P1</x:v>
      </x:c>
      <x:c r="F7" s="9" t="str">
        <x:v>Produire une silhouette lisible pour Jack Harper dans le module Evolution.</x:v>
      </x:c>
      <x:c r="G7" s="9" t="str">
        <x:v>Chef de petit groupe; lecture d’indices et décision tactique.</x:v>
      </x:c>
      <x:c r="H7" s="9" t="str"/>
      <x:c r="I7" s="9" t="str">
        <x:v>Humain de terrain, veste simple et posture attentive; yeux et transformations à contrôler. Prévoir face, dos et profils trois-quarts; conserver le même pivot de pieds dans chaque pose.</x:v>
      </x:c>
      <x:c r="J7" s="9" t="str">
        <x:v>Observation, appui au couvert et hésitation après une perception. Séparer arme/objet tenu du corps lorsque le changement de main est nécessaire.</x:v>
      </x:c>
      <x:c r="K7" s="9" t="str"/>
      <x:c r="L7" s="9" t="str">
        <x:v>Atlas prévu evo/actors/jack; métadonnées pivot, masque d'occlusion, orientation et état. Aucun fichier de sprite n'est livré par ce catalogue.</x:v>
      </x:c>
      <x:c r="M7" s="9" t="str">
        <x:v>Les résultats d’adaptation locaux convergent vers les faits de l’œuvre; les personnages absents ne deviennent pas des alliés disponibles.</x:v>
      </x:c>
      <x:c r="N7" s="9" t="str">
        <x:v>La planche permet d'identifier Jack Harper sans portrait UI à l'échelle de jeu; pieds stables devant les occultations du décor 3D.</x:v>
      </x:c>
      <x:c r="O7" s="9" t="str">
        <x:v>EVO-ACT-JACK</x:v>
      </x:c>
      <x:c r="P7" s="9" t="str">
        <x:v>Conception originale; référence visuelle du personnage à contrôler.</x:v>
      </x:c>
      <x:c r="Q7" s="9" t="str"/>
      <x:c r="R7" s="9" t="str"/>
      <x:c r="S7" s="9" t="str"/>
    </x:row>
    <x:row r="8" ht="68" customHeight="1">
      <x:c r="A8" s="19" t="str">
        <x:v>EVO-SPR-EVA</x:v>
      </x:c>
      <x:c r="B8" s="7" t="str">
        <x:v>Eva Coré — planche de sprites</x:v>
      </x:c>
      <x:c r="C8" s="15" t="str">
        <x:v>Défini</x:v>
      </x:c>
      <x:c r="D8" s="17" t="str">
        <x:v>Extrapolation</x:v>
      </x:c>
      <x:c r="E8" s="17" t="str">
        <x:v>P1</x:v>
      </x:c>
      <x:c r="F8" s="7" t="str">
        <x:v>Produire une silhouette lisible pour Eva Coré dans le module Evolution.</x:v>
      </x:c>
      <x:c r="G8" s="7" t="str">
        <x:v>Partenaire de combat mobile; soutien de la progression.</x:v>
      </x:c>
      <x:c r="H8" s="7" t="str"/>
      <x:c r="I8" s="7" t="str">
        <x:v>Tenue de résistance fonctionnelle, silhouette agile; éviter le design du robot de ME3. Prévoir face, dos et profils trois-quarts; conserver le même pivot de pieds dans chaque pose.</x:v>
      </x:c>
      <x:c r="J8" s="7" t="str">
        <x:v>Glissade au couvert, geste d’arrêt et tir d’appui. Séparer arme/objet tenu du corps lorsque le changement de main est nécessaire.</x:v>
      </x:c>
      <x:c r="K8" s="7" t="str"/>
      <x:c r="L8" s="7" t="str">
        <x:v>Atlas prévu evo/actors/eva; métadonnées pivot, masque d'occlusion, orientation et état. Aucun fichier de sprite n'est livré par ce catalogue.</x:v>
      </x:c>
      <x:c r="M8" s="7" t="str">
        <x:v>Les résultats d’adaptation locaux convergent vers les faits de l’œuvre; les personnages absents ne deviennent pas des alliés disponibles.</x:v>
      </x:c>
      <x:c r="N8" s="7" t="str">
        <x:v>La planche permet d'identifier Eva Coré sans portrait UI à l'échelle de jeu; pieds stables devant les occultations du décor 3D.</x:v>
      </x:c>
      <x:c r="O8" s="7" t="str">
        <x:v>EVO-ACT-EVA</x:v>
      </x:c>
      <x:c r="P8" s="7" t="str">
        <x:v>Conception originale; référence visuelle du personnage à contrôler.</x:v>
      </x:c>
      <x:c r="Q8" s="7" t="str"/>
      <x:c r="R8" s="7" t="str"/>
      <x:c r="S8" s="7" t="str"/>
    </x:row>
    <x:row r="9" ht="68" customHeight="1">
      <x:c r="A9" s="18" t="str">
        <x:v>EVO-SPR-BEN</x:v>
      </x:c>
      <x:c r="B9" s="9" t="str">
        <x:v>Ben Hislop — planche de sprites</x:v>
      </x:c>
      <x:c r="C9" s="15" t="str">
        <x:v>Défini</x:v>
      </x:c>
      <x:c r="D9" s="16" t="str">
        <x:v>Extrapolation</x:v>
      </x:c>
      <x:c r="E9" s="16" t="str">
        <x:v>P1</x:v>
      </x:c>
      <x:c r="F9" s="9" t="str">
        <x:v>Produire une silhouette lisible pour Ben Hislop dans le module Evolution.</x:v>
      </x:c>
      <x:c r="G9" s="9" t="str">
        <x:v>Personnage à états narratifs distincts; aucune guérison facultative non sourcée.</x:v>
      </x:c>
      <x:c r="H9" s="9" t="str"/>
      <x:c r="I9" s="9" t="str">
        <x:v>Deux silhouettes de production séparées, humaine et transformée; détails organiques à contrôler. Prévoir face, dos et profils trois-quarts; conserver le même pivot de pieds dans chaque pose.</x:v>
      </x:c>
      <x:c r="J9" s="9" t="str">
        <x:v>État humain souple, état transformé raide et déplacements orientés vers l’artefact. Séparer arme/objet tenu du corps lorsque le changement de main est nécessaire.</x:v>
      </x:c>
      <x:c r="K9" s="9" t="str"/>
      <x:c r="L9" s="9" t="str">
        <x:v>Atlas prévu evo/actors/ben; métadonnées pivot, masque d'occlusion, orientation et état. Aucun fichier de sprite n'est livré par ce catalogue.</x:v>
      </x:c>
      <x:c r="M9" s="9" t="str">
        <x:v>Les résultats d’adaptation locaux convergent vers les faits de l’œuvre; les personnages absents ne deviennent pas des alliés disponibles.</x:v>
      </x:c>
      <x:c r="N9" s="9" t="str">
        <x:v>La planche permet d'identifier Ben Hislop sans portrait UI à l'échelle de jeu; pieds stables devant les occultations du décor 3D.</x:v>
      </x:c>
      <x:c r="O9" s="9" t="str">
        <x:v>EVO-ACT-BEN</x:v>
      </x:c>
      <x:c r="P9" s="9" t="str">
        <x:v>Conception originale; référence visuelle du personnage à contrôler.</x:v>
      </x:c>
      <x:c r="Q9" s="9" t="str"/>
      <x:c r="R9" s="9" t="str"/>
      <x:c r="S9" s="9" t="str"/>
    </x:row>
    <x:row r="10" ht="68" customHeight="1">
      <x:c r="A10" s="19" t="str">
        <x:v>EVO-SPR-DESOLAS</x:v>
      </x:c>
      <x:c r="B10" s="7" t="str">
        <x:v>Desolas Arterius — planche de sprites</x:v>
      </x:c>
      <x:c r="C10" s="15" t="str">
        <x:v>Défini</x:v>
      </x:c>
      <x:c r="D10" s="17" t="str">
        <x:v>Extrapolation</x:v>
      </x:c>
      <x:c r="E10" s="17" t="str">
        <x:v>P1</x:v>
      </x:c>
      <x:c r="F10" s="7" t="str">
        <x:v>Produire une silhouette lisible pour Desolas Arterius dans le module Evolution.</x:v>
      </x:c>
      <x:c r="G10" s="7" t="str">
        <x:v>Antagoniste militaire et idéologique; autorité sur le terrain.</x:v>
      </x:c>
      <x:c r="H10" s="7" t="str"/>
      <x:c r="I10" s="7" t="str">
        <x:v>Turien à silhouette de commandement, éléments cérémoniels à vérifier. Prévoir face, dos et profils trois-quarts; conserver le même pivot de pieds dans chaque pose.</x:v>
      </x:c>
      <x:c r="J10" s="7" t="str">
        <x:v>Gestes mesurés, présentation publique et recul lorsque le contrôle se rompt. Séparer arme/objet tenu du corps lorsque le changement de main est nécessaire.</x:v>
      </x:c>
      <x:c r="K10" s="7" t="str"/>
      <x:c r="L10" s="7" t="str">
        <x:v>Atlas prévu evo/actors/desolas; métadonnées pivot, masque d'occlusion, orientation et état. Aucun fichier de sprite n'est livré par ce catalogue.</x:v>
      </x:c>
      <x:c r="M10" s="7" t="str">
        <x:v>Les résultats d’adaptation locaux convergent vers les faits de l’œuvre; les personnages absents ne deviennent pas des alliés disponibles.</x:v>
      </x:c>
      <x:c r="N10" s="7" t="str">
        <x:v>La planche permet d'identifier Desolas Arterius sans portrait UI à l'échelle de jeu; pieds stables devant les occultations du décor 3D.</x:v>
      </x:c>
      <x:c r="O10" s="7" t="str">
        <x:v>EVO-ACT-DESOLAS</x:v>
      </x:c>
      <x:c r="P10" s="7" t="str">
        <x:v>Conception originale; référence visuelle du personnage à contrôler.</x:v>
      </x:c>
      <x:c r="Q10" s="7" t="str"/>
      <x:c r="R10" s="7" t="str"/>
      <x:c r="S10" s="7" t="str"/>
    </x:row>
    <x:row r="11" ht="68" customHeight="1">
      <x:c r="A11" s="18" t="str">
        <x:v>EVO-SPR-SAREN</x:v>
      </x:c>
      <x:c r="B11" s="9" t="str">
        <x:v>Saren Arterius — planche de sprites</x:v>
      </x:c>
      <x:c r="C11" s="15" t="str">
        <x:v>Défini</x:v>
      </x:c>
      <x:c r="D11" s="16" t="str">
        <x:v>Extrapolation</x:v>
      </x:c>
      <x:c r="E11" s="16" t="str">
        <x:v>P1</x:v>
      </x:c>
      <x:c r="F11" s="9" t="str">
        <x:v>Produire une silhouette lisible pour Saren Arterius dans le module Evolution.</x:v>
      </x:c>
      <x:c r="G11" s="9" t="str">
        <x:v>Interlocuteur dont les intérêts ne sont pas ceux du groupe.</x:v>
      </x:c>
      <x:c r="H11" s="9" t="str"/>
      <x:c r="I11" s="9" t="str">
        <x:v>Armure turienne antérieure à ME1, sans ajouter ses implants ultérieurs par défaut. Prévoir face, dos et profils trois-quarts; conserver le même pivot de pieds dans chaque pose.</x:v>
      </x:c>
      <x:c r="J11" s="9" t="str">
        <x:v>Regard latéral, maintien de l’arme et intervention ciblée. Séparer arme/objet tenu du corps lorsque le changement de main est nécessaire.</x:v>
      </x:c>
      <x:c r="K11" s="9" t="str"/>
      <x:c r="L11" s="9" t="str">
        <x:v>Atlas prévu evo/actors/saren; métadonnées pivot, masque d'occlusion, orientation et état. Aucun fichier de sprite n'est livré par ce catalogue.</x:v>
      </x:c>
      <x:c r="M11" s="9" t="str">
        <x:v>Les résultats d’adaptation locaux convergent vers les faits de l’œuvre; les personnages absents ne deviennent pas des alliés disponibles.</x:v>
      </x:c>
      <x:c r="N11" s="9" t="str">
        <x:v>La planche permet d'identifier Saren Arterius sans portrait UI à l'échelle de jeu; pieds stables devant les occultations du décor 3D.</x:v>
      </x:c>
      <x:c r="O11" s="9" t="str">
        <x:v>EVO-ACT-SAREN</x:v>
      </x:c>
      <x:c r="P11" s="9" t="str">
        <x:v>Conception originale; référence visuelle du personnage à contrôler.</x:v>
      </x:c>
      <x:c r="Q11" s="9" t="str"/>
      <x:c r="R11" s="9" t="str"/>
      <x:c r="S11" s="9" t="str"/>
    </x:row>
    <x:row r="12" ht="82" customHeight="1">
      <x:c r="A12" s="19" t="str">
        <x:v>EVO-SPR-ABRUDAS</x:v>
      </x:c>
      <x:c r="B12" s="7" t="str">
        <x:v>Lieutenant Abrudas — planche de sprites</x:v>
      </x:c>
      <x:c r="C12" s="15" t="str">
        <x:v>Défini</x:v>
      </x:c>
      <x:c r="D12" s="17" t="str">
        <x:v>Extrapolation</x:v>
      </x:c>
      <x:c r="E12" s="17" t="str">
        <x:v>P1</x:v>
      </x:c>
      <x:c r="F12" s="7" t="str">
        <x:v>Produire une silhouette lisible pour Lieutenant Abrudas dans le module Evolution.</x:v>
      </x:c>
      <x:c r="G12" s="7" t="str">
        <x:v>PNJ militaire de la période; contrôler le design historique.</x:v>
      </x:c>
      <x:c r="H12" s="7" t="str"/>
      <x:c r="I12" s="7" t="str">
        <x:v>Silhouette turienne féminine issue de la référence BioWare évoquée par l’auteur; aucune reconstruction anatomique affirmée. Prévoir face, dos et profils trois-quarts; conserver le même pivot de pieds dans chaque pose.</x:v>
      </x:c>
      <x:c r="J12" s="7" t="str">
        <x:v>Ordre bref, surveillance et réaction au danger. Séparer arme/objet tenu du corps lorsque le changement de main est nécessaire.</x:v>
      </x:c>
      <x:c r="K12" s="7" t="str"/>
      <x:c r="L12" s="7" t="str">
        <x:v>Atlas prévu evo/actors/abrudas; métadonnées pivot, masque d'occlusion, orientation et état. Aucun fichier de sprite n'est livré par ce catalogue.</x:v>
      </x:c>
      <x:c r="M12" s="7" t="str">
        <x:v>Les résultats d’adaptation locaux convergent vers les faits de l’œuvre; les personnages absents ne deviennent pas des alliés disponibles.</x:v>
      </x:c>
      <x:c r="N12" s="7" t="str">
        <x:v>La planche permet d'identifier Lieutenant Abrudas sans portrait UI à l'échelle de jeu; pieds stables devant les occultations du décor 3D.</x:v>
      </x:c>
      <x:c r="O12" s="7" t="str">
        <x:v>EVO-ACT-ABRUDAS</x:v>
      </x:c>
      <x:c r="P12" s="7" t="str">
        <x:v>Conception originale; référence visuelle du personnage à contrôler.</x:v>
      </x:c>
      <x:c r="Q12" s="7" t="str"/>
      <x:c r="R12" s="7" t="str"/>
      <x:c r="S12" s="7" t="str"/>
    </x:row>
    <x:row r="13" ht="54" customHeight="1">
      <x:c r="A13" s="18" t="str">
        <x:v>EVO-SPR-WILLIAMS</x:v>
      </x:c>
      <x:c r="B13" s="9" t="str">
        <x:v>Général Williams — planche de sprites</x:v>
      </x:c>
      <x:c r="C13" s="15" t="str">
        <x:v>Défini</x:v>
      </x:c>
      <x:c r="D13" s="16" t="str">
        <x:v>Extrapolation</x:v>
      </x:c>
      <x:c r="E13" s="16" t="str">
        <x:v>P1</x:v>
      </x:c>
      <x:c r="F13" s="9" t="str">
        <x:v>Produire une silhouette lisible pour Général Williams dans le module Evolution.</x:v>
      </x:c>
      <x:c r="G13" s="9" t="str">
        <x:v>Repère politique de l’après-guerre.</x:v>
      </x:c>
      <x:c r="H13" s="9" t="str"/>
      <x:c r="I13" s="9" t="str">
        <x:v>Uniforme sobre et silhouette d’officier; insignes à comparer. Prévoir face, dos et profils trois-quarts; conserver le même pivot de pieds dans chaque pose.</x:v>
      </x:c>
      <x:c r="J13" s="9" t="str">
        <x:v>Écoute assise, remise d’un document et départ. Séparer arme/objet tenu du corps lorsque le changement de main est nécessaire.</x:v>
      </x:c>
      <x:c r="K13" s="9" t="str"/>
      <x:c r="L13" s="9" t="str">
        <x:v>Atlas prévu evo/actors/williams; métadonnées pivot, masque d'occlusion, orientation et état. Aucun fichier de sprite n'est livré par ce catalogue.</x:v>
      </x:c>
      <x:c r="M13" s="9" t="str">
        <x:v>Les résultats d’adaptation locaux convergent vers les faits de l’œuvre; les personnages absents ne deviennent pas des alliés disponibles.</x:v>
      </x:c>
      <x:c r="N13" s="9" t="str">
        <x:v>La planche permet d'identifier Général Williams sans portrait UI à l'échelle de jeu; pieds stables devant les occultations du décor 3D.</x:v>
      </x:c>
      <x:c r="O13" s="9" t="str">
        <x:v>EVO-ACT-WILLIAMS</x:v>
      </x:c>
      <x:c r="P13" s="9" t="str">
        <x:v>Conception originale; référence visuelle du personnage à contrôler.</x:v>
      </x:c>
      <x:c r="Q13" s="9" t="str"/>
      <x:c r="R13" s="9" t="str"/>
      <x:c r="S13" s="9" t="str"/>
    </x:row>
  </x:sheetData>
  <x:conditionalFormatting sqref="D7:D13">
    <x:cfRule type="cellIs" dxfId="80" priority="1" operator="equal">
      <x:formula>"À vérifier"</x:formula>
    </x:cfRule>
    <x:cfRule type="cellIs" dxfId="81" priority="2" operator="equal">
      <x:formula>"Extrapolation"</x:formula>
    </x:cfRule>
  </x:conditionalFormatting>
  <x:conditionalFormatting sqref="C7:C13">
    <x:cfRule type="cellIs" dxfId="82" priority="3" operator="equal">
      <x:formula>"Validé"</x:formula>
    </x:cfRule>
  </x:conditionalFormatting>
  <x:conditionalFormatting sqref="E7:E13">
    <x:cfRule type="cellIs" dxfId="83" priority="4" operator="equal">
      <x:formula>"P0"</x:formula>
    </x:cfRule>
  </x:conditionalFormatting>
  <x:dataValidations count="3">
    <x:dataValidation type="list" sqref="C7:C13">
      <x:formula1>"Défini,Prototype,Intégré,Validé"</x:formula1>
    </x:dataValidation>
    <x:dataValidation type="list" sqref="D7:D13">
      <x:formula1>"Établi,À vérifier,Extrapolation,Coupé attesté,Concept abandonné,Allégation écartée"</x:formula1>
    </x:dataValidation>
    <x:dataValidation type="list" sqref="E7:E13">
      <x:formula1>"P0,P1,P2"</x:formula1>
    </x:dataValidation>
  </x:dataValidations>
  <x:pageMargins left="0.7" right="0.7" top="0.75" bottom="0.75" header="0.3" footer="0.3"/>
  <x:tableParts count="1">
    <x:tablePart xmlns:r="http://schemas.openxmlformats.org/officeDocument/2006/relationships" r:id="R52ed6008c896426e"/>
  </x:tableParts>
</x:worksheet>
</file>

<file path=xl/worksheets/sheet2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VFX</x:v>
      </x:c>
      <x:c r="B2" s="2"/>
      <x:c r="C2" s="2"/>
      <x:c r="D2" s="2"/>
      <x:c r="E2" s="2"/>
      <x:c r="F2" s="2"/>
      <x:c r="G2" s="2"/>
      <x:c r="H2" s="2"/>
      <x:c r="I2" s="2"/>
      <x:c r="J2" s="2"/>
      <x:c r="K2" s="2"/>
      <x:c r="L2" s="2"/>
      <x:c r="M2" s="2"/>
      <x:c r="N2" s="2"/>
      <x:c r="O2" s="2"/>
      <x:c r="P2" s="2"/>
      <x:c r="Q2" s="2"/>
      <x:c r="R2" s="2"/>
      <x:c r="S2" s="2"/>
    </x:row>
    <x:row r="3" ht="22" customHeight="1">
      <x:c r="A3" s="4" t="str">
        <x:v>Mass Effect: Evolution — Effets visuels et lisibilité</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EVO-SC-RESIST-VFX</x:v>
      </x:c>
      <x:c r="B7" s="9" t="str">
        <x:v>Résistance sur Shanxi — signal visuel</x:v>
      </x:c>
      <x:c r="C7" s="15" t="str">
        <x:v>Défini</x:v>
      </x:c>
      <x:c r="D7" s="16" t="str">
        <x:v>Extrapolation</x:v>
      </x:c>
      <x:c r="E7" s="16" t="str">
        <x:v>P1</x:v>
      </x:c>
      <x:c r="F7" s="9" t="str">
        <x:v>Trait discontinu reliant les couverts utilisables.</x:v>
      </x:c>
      <x:c r="G7" s="9" t="str">
        <x:v>Rendre lisibles les interactions propres à cette séquence à la taille réelle du jeu.</x:v>
      </x:c>
      <x:c r="H7" s="9" t="str"/>
      <x:c r="I7" s="9" t="str">
        <x:v>Trait discontinu reliant les couverts utilisables.</x:v>
      </x:c>
      <x:c r="J7" s="9" t="str">
        <x:v>Anticipation séparée de l’impact; variante sans flash, sans secousse et à contraste renforcé.</x:v>
      </x:c>
      <x:c r="K7" s="9" t="str">
        <x:v>Vent et bruits de matériel; musique originale à pulsation retenue.</x:v>
      </x:c>
      <x:c r="L7" s="9" t="str">
        <x:v>Émetteur proposé EVO/RESIST/vfx; ancrage sur monde 3D et tri compatible avec les sprites; options de confort indépendantes.</x:v>
      </x:c>
      <x:c r="M7" s="9" t="str">
        <x:v>Les résultats d’adaptation locaux convergent vers les faits de l’œuvre; les personnages absents ne deviennent pas des alliés disponibles.</x:v>
      </x:c>
      <x:c r="N7" s="9" t="str">
        <x:v>Le signal reste identifiable en pause et sans son; aucun flash plein écran indispensable pour comprendre la résolution.</x:v>
      </x:c>
      <x:c r="O7" s="9" t="str">
        <x:v>EVO-SC-RESIST-MAIN</x:v>
      </x:c>
      <x:c r="P7" s="9" t="str">
        <x:v>VFX original; intensité et timing à régler au prototype.</x:v>
      </x:c>
      <x:c r="Q7" s="9" t="str"/>
      <x:c r="R7" s="9" t="str"/>
      <x:c r="S7" s="9" t="str"/>
    </x:row>
    <x:row r="8" ht="54" customHeight="1">
      <x:c r="A8" s="19" t="str">
        <x:v>EVO-SC-MONOLITH-VFX</x:v>
      </x:c>
      <x:c r="B8" s="7" t="str">
        <x:v>Proximité de l’Arca Monolith — signal visuel</x:v>
      </x:c>
      <x:c r="C8" s="15" t="str">
        <x:v>Défini</x:v>
      </x:c>
      <x:c r="D8" s="17" t="str">
        <x:v>Extrapolation</x:v>
      </x:c>
      <x:c r="E8" s="17" t="str">
        <x:v>P1</x:v>
      </x:c>
      <x:c r="F8" s="7" t="str">
        <x:v>Ondulation locale sans flash plein écran; pause de lecture disponible.</x:v>
      </x:c>
      <x:c r="G8" s="7" t="str">
        <x:v>Rendre lisibles les interactions propres à cette séquence à la taille réelle du jeu.</x:v>
      </x:c>
      <x:c r="H8" s="7" t="str"/>
      <x:c r="I8" s="7" t="str">
        <x:v>Ondulation locale sans flash plein écran; pause de lecture disponible.</x:v>
      </x:c>
      <x:c r="J8" s="7" t="str">
        <x:v>Anticipation séparée de l’impact; variante sans flash, sans secousse et à contraste renforcé.</x:v>
      </x:c>
      <x:c r="K8" s="7" t="str">
        <x:v>Basse sourde progressive doublée d’un signal visuel.</x:v>
      </x:c>
      <x:c r="L8" s="7" t="str">
        <x:v>Émetteur proposé EVO/MONOLITH/vfx; ancrage sur monde 3D et tri compatible avec les sprites; options de confort indépendantes.</x:v>
      </x:c>
      <x:c r="M8" s="7" t="str">
        <x:v>Les résultats d’adaptation locaux convergent vers les faits de l’œuvre; les personnages absents ne deviennent pas des alliés disponibles.</x:v>
      </x:c>
      <x:c r="N8" s="7" t="str">
        <x:v>Le signal reste identifiable en pause et sans son; aucun flash plein écran indispensable pour comprendre la résolution.</x:v>
      </x:c>
      <x:c r="O8" s="7" t="str">
        <x:v>EVO-SC-MONOLITH-MAIN</x:v>
      </x:c>
      <x:c r="P8" s="7" t="str">
        <x:v>VFX original; intensité et timing à régler au prototype.</x:v>
      </x:c>
      <x:c r="Q8" s="7" t="str"/>
      <x:c r="R8" s="7" t="str"/>
      <x:c r="S8" s="7" t="str"/>
    </x:row>
    <x:row r="9" ht="54" customHeight="1">
      <x:c r="A9" s="18" t="str">
        <x:v>EVO-SC-AFTERWAR-VFX</x:v>
      </x:c>
      <x:c r="B9" s="9" t="str">
        <x:v>Après la guerre — signal visuel</x:v>
      </x:c>
      <x:c r="C9" s="15" t="str">
        <x:v>Défini</x:v>
      </x:c>
      <x:c r="D9" s="16" t="str">
        <x:v>Extrapolation</x:v>
      </x:c>
      <x:c r="E9" s="16" t="str">
        <x:v>P1</x:v>
      </x:c>
      <x:c r="F9" s="9" t="str">
        <x:v>Ligne de frise passant explicitement de guerre à après-guerre.</x:v>
      </x:c>
      <x:c r="G9" s="9" t="str">
        <x:v>Rendre lisibles les interactions propres à cette séquence à la taille réelle du jeu.</x:v>
      </x:c>
      <x:c r="H9" s="9" t="str"/>
      <x:c r="I9" s="9" t="str">
        <x:v>Ligne de frise passant explicitement de guerre à après-guerre.</x:v>
      </x:c>
      <x:c r="J9" s="9" t="str">
        <x:v>Anticipation séparée de l’impact; variante sans flash, sans secousse et à contraste renforcé.</x:v>
      </x:c>
      <x:c r="K9" s="9" t="str">
        <x:v>Ambiance de station calme, thème incomplet de Jack.</x:v>
      </x:c>
      <x:c r="L9" s="9" t="str">
        <x:v>Émetteur proposé EVO/AFTERWAR/vfx; ancrage sur monde 3D et tri compatible avec les sprites; options de confort indépendantes.</x:v>
      </x:c>
      <x:c r="M9" s="9" t="str">
        <x:v>Les résultats d’adaptation locaux convergent vers les faits de l’œuvre; les personnages absents ne deviennent pas des alliés disponibles.</x:v>
      </x:c>
      <x:c r="N9" s="9" t="str">
        <x:v>Le signal reste identifiable en pause et sans son; aucun flash plein écran indispensable pour comprendre la résolution.</x:v>
      </x:c>
      <x:c r="O9" s="9" t="str">
        <x:v>EVO-SC-AFTERWAR-MAIN</x:v>
      </x:c>
      <x:c r="P9" s="9" t="str">
        <x:v>VFX original; intensité et timing à régler au prototype.</x:v>
      </x:c>
      <x:c r="Q9" s="9" t="str"/>
      <x:c r="R9" s="9" t="str"/>
      <x:c r="S9" s="9" t="str"/>
    </x:row>
    <x:row r="10" ht="54" customHeight="1">
      <x:c r="A10" s="19" t="str">
        <x:v>EVO-SC-ILLIUM-VFX</x:v>
      </x:c>
      <x:c r="B10" s="7" t="str">
        <x:v>Piste sur Illium — signal visuel</x:v>
      </x:c>
      <x:c r="C10" s="15" t="str">
        <x:v>Défini</x:v>
      </x:c>
      <x:c r="D10" s="17" t="str">
        <x:v>Extrapolation</x:v>
      </x:c>
      <x:c r="E10" s="17" t="str">
        <x:v>P1</x:v>
      </x:c>
      <x:c r="F10" s="7" t="str">
        <x:v>Correspondance des symboles par encadrement, lisible sans couleur.</x:v>
      </x:c>
      <x:c r="G10" s="7" t="str">
        <x:v>Rendre lisibles les interactions propres à cette séquence à la taille réelle du jeu.</x:v>
      </x:c>
      <x:c r="H10" s="7" t="str"/>
      <x:c r="I10" s="7" t="str">
        <x:v>Correspondance des symboles par encadrement, lisible sans couleur.</x:v>
      </x:c>
      <x:c r="J10" s="7" t="str">
        <x:v>Anticipation séparée de l’impact; variante sans flash, sans secousse et à contraste renforcé.</x:v>
      </x:c>
      <x:c r="K10" s="7" t="str">
        <x:v>Trafic distant et outils de manutention.</x:v>
      </x:c>
      <x:c r="L10" s="7" t="str">
        <x:v>Émetteur proposé EVO/ILLIUM/vfx; ancrage sur monde 3D et tri compatible avec les sprites; options de confort indépendantes.</x:v>
      </x:c>
      <x:c r="M10" s="7" t="str">
        <x:v>Les résultats d’adaptation locaux convergent vers les faits de l’œuvre; les personnages absents ne deviennent pas des alliés disponibles.</x:v>
      </x:c>
      <x:c r="N10" s="7" t="str">
        <x:v>Le signal reste identifiable en pause et sans son; aucun flash plein écran indispensable pour comprendre la résolution.</x:v>
      </x:c>
      <x:c r="O10" s="7" t="str">
        <x:v>EVO-SC-ILLIUM-MAIN</x:v>
      </x:c>
      <x:c r="P10" s="7" t="str">
        <x:v>VFX original; intensité et timing à régler au prototype.</x:v>
      </x:c>
      <x:c r="Q10" s="7" t="str"/>
      <x:c r="R10" s="7" t="str"/>
      <x:c r="S10" s="7" t="str"/>
    </x:row>
    <x:row r="11" ht="54" customHeight="1">
      <x:c r="A11" s="18" t="str">
        <x:v>EVO-SC-PALAVEN-VFX</x:v>
      </x:c>
      <x:c r="B11" s="9" t="str">
        <x:v>Tradition et projet de Desolas — signal visuel</x:v>
      </x:c>
      <x:c r="C11" s="15" t="str">
        <x:v>Défini</x:v>
      </x:c>
      <x:c r="D11" s="16" t="str">
        <x:v>Extrapolation</x:v>
      </x:c>
      <x:c r="E11" s="16" t="str">
        <x:v>P1</x:v>
      </x:c>
      <x:c r="F11" s="9" t="str">
        <x:v>Désalignement progressif des halos de contrôle, avec symbole de perte de liaison.</x:v>
      </x:c>
      <x:c r="G11" s="9" t="str">
        <x:v>Rendre lisibles les interactions propres à cette séquence à la taille réelle du jeu.</x:v>
      </x:c>
      <x:c r="H11" s="9" t="str"/>
      <x:c r="I11" s="9" t="str">
        <x:v>Désalignement progressif des halos de contrôle, avec symbole de perte de liaison.</x:v>
      </x:c>
      <x:c r="J11" s="9" t="str">
        <x:v>Anticipation séparée de l’impact; variante sans flash, sans secousse et à contraste renforcé.</x:v>
      </x:c>
      <x:c r="K11" s="9" t="str">
        <x:v>Réverbération profonde et motif martial original qui se désaccorde.</x:v>
      </x:c>
      <x:c r="L11" s="9" t="str">
        <x:v>Émetteur proposé EVO/PALAVEN/vfx; ancrage sur monde 3D et tri compatible avec les sprites; options de confort indépendantes.</x:v>
      </x:c>
      <x:c r="M11" s="9" t="str">
        <x:v>Les résultats d’adaptation locaux convergent vers les faits de l’œuvre; les personnages absents ne deviennent pas des alliés disponibles.</x:v>
      </x:c>
      <x:c r="N11" s="9" t="str">
        <x:v>Le signal reste identifiable en pause et sans son; aucun flash plein écran indispensable pour comprendre la résolution.</x:v>
      </x:c>
      <x:c r="O11" s="9" t="str">
        <x:v>EVO-SC-PALAVEN-MAIN</x:v>
      </x:c>
      <x:c r="P11" s="9" t="str">
        <x:v>VFX original; intensité et timing à régler au prototype.</x:v>
      </x:c>
      <x:c r="Q11" s="9" t="str"/>
      <x:c r="R11" s="9" t="str"/>
      <x:c r="S11" s="9" t="str"/>
    </x:row>
    <x:row r="12" ht="54" customHeight="1">
      <x:c r="A12" s="19" t="str">
        <x:v>EVO-SC-BREAK-VFX</x:v>
      </x:c>
      <x:c r="B12" s="7" t="str">
        <x:v>Rupture du contrôle — signal visuel</x:v>
      </x:c>
      <x:c r="C12" s="15" t="str">
        <x:v>Défini</x:v>
      </x:c>
      <x:c r="D12" s="17" t="str">
        <x:v>Extrapolation</x:v>
      </x:c>
      <x:c r="E12" s="17" t="str">
        <x:v>P1</x:v>
      </x:c>
      <x:c r="F12" s="7" t="str">
        <x:v>Les liens de contrôle proposés se rompent en traits courts, sans éclats stroboscopiques.</x:v>
      </x:c>
      <x:c r="G12" s="7" t="str">
        <x:v>Rendre lisibles les interactions propres à cette séquence à la taille réelle du jeu.</x:v>
      </x:c>
      <x:c r="H12" s="7" t="str"/>
      <x:c r="I12" s="7" t="str">
        <x:v>Les liens de contrôle proposés se rompent en traits courts, sans éclats stroboscopiques.</x:v>
      </x:c>
      <x:c r="J12" s="7" t="str">
        <x:v>Anticipation séparée de l’impact; variante sans flash, sans secousse et à contraste renforcé.</x:v>
      </x:c>
      <x:c r="K12" s="7" t="str">
        <x:v>Rupture de basse, silence de respiration puis nouveau motif original.</x:v>
      </x:c>
      <x:c r="L12" s="7" t="str">
        <x:v>Émetteur proposé EVO/BREAK/vfx; ancrage sur monde 3D et tri compatible avec les sprites; options de confort indépendantes.</x:v>
      </x:c>
      <x:c r="M12" s="7" t="str">
        <x:v>Les résultats d’adaptation locaux convergent vers les faits de l’œuvre; les personnages absents ne deviennent pas des alliés disponibles.</x:v>
      </x:c>
      <x:c r="N12" s="7" t="str">
        <x:v>Le signal reste identifiable en pause et sans son; aucun flash plein écran indispensable pour comprendre la résolution.</x:v>
      </x:c>
      <x:c r="O12" s="7" t="str">
        <x:v>EVO-SC-BREAK-MAIN</x:v>
      </x:c>
      <x:c r="P12" s="7" t="str">
        <x:v>VFX original; intensité et timing à régler au prototype.</x:v>
      </x:c>
      <x:c r="Q12" s="7" t="str"/>
      <x:c r="R12" s="7" t="str"/>
      <x:c r="S12" s="7" t="str"/>
    </x:row>
  </x:sheetData>
  <x:conditionalFormatting sqref="D7:D12">
    <x:cfRule type="cellIs" dxfId="84" priority="1" operator="equal">
      <x:formula>"À vérifier"</x:formula>
    </x:cfRule>
    <x:cfRule type="cellIs" dxfId="85" priority="2" operator="equal">
      <x:formula>"Extrapolation"</x:formula>
    </x:cfRule>
  </x:conditionalFormatting>
  <x:conditionalFormatting sqref="C7:C12">
    <x:cfRule type="cellIs" dxfId="86" priority="3" operator="equal">
      <x:formula>"Validé"</x:formula>
    </x:cfRule>
  </x:conditionalFormatting>
  <x:conditionalFormatting sqref="E7:E12">
    <x:cfRule type="cellIs" dxfId="87" priority="4" operator="equal">
      <x:formula>"P0"</x:formula>
    </x:cfRule>
  </x:conditionalFormatting>
  <x:dataValidations count="3">
    <x:dataValidation type="list" sqref="C7:C12">
      <x:formula1>"Défini,Prototype,Intégré,Validé"</x:formula1>
    </x:dataValidation>
    <x:dataValidation type="list" sqref="D7:D12">
      <x:formula1>"Établi,À vérifier,Extrapolation,Coupé attesté,Concept abandonné,Allégation écartée"</x:formula1>
    </x:dataValidation>
    <x:dataValidation type="list" sqref="E7:E12">
      <x:formula1>"P0,P1,P2"</x:formula1>
    </x:dataValidation>
  </x:dataValidations>
  <x:pageMargins left="0.7" right="0.7" top="0.75" bottom="0.75" header="0.3" footer="0.3"/>
  <x:tableParts count="1">
    <x:tablePart xmlns:r="http://schemas.openxmlformats.org/officeDocument/2006/relationships" r:id="R31b4f3b94e4843fd"/>
  </x:tableParts>
</x:worksheet>
</file>

<file path=xl/worksheets/sheet2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Audio</x:v>
      </x:c>
      <x:c r="B2" s="2"/>
      <x:c r="C2" s="2"/>
      <x:c r="D2" s="2"/>
      <x:c r="E2" s="2"/>
      <x:c r="F2" s="2"/>
      <x:c r="G2" s="2"/>
      <x:c r="H2" s="2"/>
      <x:c r="I2" s="2"/>
      <x:c r="J2" s="2"/>
      <x:c r="K2" s="2"/>
      <x:c r="L2" s="2"/>
      <x:c r="M2" s="2"/>
      <x:c r="N2" s="2"/>
      <x:c r="O2" s="2"/>
      <x:c r="P2" s="2"/>
      <x:c r="Q2" s="2"/>
      <x:c r="R2" s="2"/>
      <x:c r="S2" s="2"/>
    </x:row>
    <x:row r="3" ht="22" customHeight="1">
      <x:c r="A3" s="4" t="str">
        <x:v>Mass Effect: Evolution — Ambiances, effets et musique originale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EVO-AUD-SHANXI</x:v>
      </x:c>
      <x:c r="B7" s="9" t="str">
        <x:v>Shanxi — paysage sonore</x:v>
      </x:c>
      <x:c r="C7" s="15" t="str">
        <x:v>Défini</x:v>
      </x:c>
      <x:c r="D7" s="16" t="str">
        <x:v>Extrapolation</x:v>
      </x:c>
      <x:c r="E7" s="16" t="str">
        <x:v>P1</x:v>
      </x:c>
      <x:c r="F7" s="9" t="str">
        <x:v>Vent sec et communications militaires fragmentées.</x:v>
      </x:c>
      <x:c r="G7" s="9" t="str">
        <x:v>Premier acte militaire localisé.</x:v>
      </x:c>
      <x:c r="H7" s="9" t="str">
        <x:v>Doubler les alarmes utiles par texte, symbole ou changement de pose; les bruits d’ambiance ne portent pas seuls une information obligatoire.</x:v>
      </x:c>
      <x:c r="I7" s="9" t="str">
        <x:v>Roche poussiéreuse, métal terne et lumière rasante.</x:v>
      </x:c>
      <x:c r="J7" s="9" t="str">
        <x:v>Déclencher les contacts mécaniques au mouvement visible; éviter les boucles désynchronisées des portes.</x:v>
      </x:c>
      <x:c r="K7" s="9" t="str">
        <x:v>Vent sec et communications militaires fragmentées. Composer une ambiance originale en couches fond / activité / danger, avec réglage indépendant des voix.</x:v>
      </x:c>
      <x:c r="L7" s="9" t="str">
        <x:v>Bus proposé EVO/SHANXI; snapshots exploration, tension et dialogue; fondus après chargement.</x:v>
      </x:c>
      <x:c r="M7" s="9" t="str">
        <x:v>Les résultats d’adaptation locaux convergent vers les faits de l’œuvre; les personnages absents ne deviennent pas des alliés disponibles.</x:v>
      </x:c>
      <x:c r="N7" s="9" t="str">
        <x:v>Un parcours muet reste compréhensible; l’entrée en dialogue baisse les ambiances sans couper brutalement leur réverbération.</x:v>
      </x:c>
      <x:c r="O7" s="9" t="str">
        <x:v>EVO-ZONE-SHANXI</x:v>
      </x:c>
      <x:c r="P7" s="9" t="str">
        <x:v>Création sonore originale; aucune piste commerciale requise.</x:v>
      </x:c>
      <x:c r="Q7" s="9" t="str"/>
      <x:c r="R7" s="9" t="str"/>
      <x:c r="S7" s="9" t="str"/>
    </x:row>
    <x:row r="8" ht="68" customHeight="1">
      <x:c r="A8" s="19" t="str">
        <x:v>EVO-AUD-ARCTURUS</x:v>
      </x:c>
      <x:c r="B8" s="7" t="str">
        <x:v>Arcturus Station — paysage sonore</x:v>
      </x:c>
      <x:c r="C8" s="15" t="str">
        <x:v>Défini</x:v>
      </x:c>
      <x:c r="D8" s="17" t="str">
        <x:v>Extrapolation</x:v>
      </x:c>
      <x:c r="E8" s="17" t="str">
        <x:v>P1</x:v>
      </x:c>
      <x:c r="F8" s="7" t="str">
        <x:v>Ventilation stable, pas réguliers et annonces de service originales.</x:v>
      </x:c>
      <x:c r="G8" s="7" t="str">
        <x:v>Intermède d’après-guerre et prise d’information.</x:v>
      </x:c>
      <x:c r="H8" s="7" t="str">
        <x:v>Doubler les alarmes utiles par texte, symbole ou changement de pose; les bruits d’ambiance ne portent pas seuls une information obligatoire.</x:v>
      </x:c>
      <x:c r="I8" s="7" t="str">
        <x:v>Blanc cassé, bleu froid, surfaces ordonnées et éclairage sans clignotement.</x:v>
      </x:c>
      <x:c r="J8" s="7" t="str">
        <x:v>Déclencher les contacts mécaniques au mouvement visible; éviter les boucles désynchronisées des portes.</x:v>
      </x:c>
      <x:c r="K8" s="7" t="str">
        <x:v>Ventilation stable, pas réguliers et annonces de service originales. Composer une ambiance originale en couches fond / activité / danger, avec réglage indépendant des voix.</x:v>
      </x:c>
      <x:c r="L8" s="7" t="str">
        <x:v>Bus proposé EVO/ARCTURUS; snapshots exploration, tension et dialogue; fondus après chargement.</x:v>
      </x:c>
      <x:c r="M8" s="7" t="str">
        <x:v>Les résultats d’adaptation locaux convergent vers les faits de l’œuvre; les personnages absents ne deviennent pas des alliés disponibles.</x:v>
      </x:c>
      <x:c r="N8" s="7" t="str">
        <x:v>Un parcours muet reste compréhensible; l’entrée en dialogue baisse les ambiances sans couper brutalement leur réverbération.</x:v>
      </x:c>
      <x:c r="O8" s="7" t="str">
        <x:v>EVO-ZONE-ARCTURUS</x:v>
      </x:c>
      <x:c r="P8" s="7" t="str">
        <x:v>Création sonore originale; aucune piste commerciale requise.</x:v>
      </x:c>
      <x:c r="Q8" s="7" t="str"/>
      <x:c r="R8" s="7" t="str"/>
      <x:c r="S8" s="7" t="str"/>
    </x:row>
    <x:row r="9" ht="68" customHeight="1">
      <x:c r="A9" s="18" t="str">
        <x:v>EVO-AUD-ILLIUM</x:v>
      </x:c>
      <x:c r="B9" s="9" t="str">
        <x:v>Illium — paysage sonore</x:v>
      </x:c>
      <x:c r="C9" s="15" t="str">
        <x:v>Défini</x:v>
      </x:c>
      <x:c r="D9" s="16" t="str">
        <x:v>Extrapolation</x:v>
      </x:c>
      <x:c r="E9" s="16" t="str">
        <x:v>P1</x:v>
      </x:c>
      <x:c r="F9" s="9" t="str">
        <x:v>Circulation aérienne lointaine et moteurs industriels.</x:v>
      </x:c>
      <x:c r="G9" s="9" t="str">
        <x:v>Enquête dans un contexte étranger.</x:v>
      </x:c>
      <x:c r="H9" s="9" t="str">
        <x:v>Doubler les alarmes utiles par texte, symbole ou changement de pose; les bruits d’ambiance ne portent pas seuls une information obligatoire.</x:v>
      </x:c>
      <x:c r="I9" s="9" t="str">
        <x:v>Verre sombre, métal poli et accents ambrés.</x:v>
      </x:c>
      <x:c r="J9" s="9" t="str">
        <x:v>Déclencher les contacts mécaniques au mouvement visible; éviter les boucles désynchronisées des portes.</x:v>
      </x:c>
      <x:c r="K9" s="9" t="str">
        <x:v>Circulation aérienne lointaine et moteurs industriels. Composer une ambiance originale en couches fond / activité / danger, avec réglage indépendant des voix.</x:v>
      </x:c>
      <x:c r="L9" s="9" t="str">
        <x:v>Bus proposé EVO/ILLIUM; snapshots exploration, tension et dialogue; fondus après chargement.</x:v>
      </x:c>
      <x:c r="M9" s="9" t="str">
        <x:v>Les résultats d’adaptation locaux convergent vers les faits de l’œuvre; les personnages absents ne deviennent pas des alliés disponibles.</x:v>
      </x:c>
      <x:c r="N9" s="9" t="str">
        <x:v>Un parcours muet reste compréhensible; l’entrée en dialogue baisse les ambiances sans couper brutalement leur réverbération.</x:v>
      </x:c>
      <x:c r="O9" s="9" t="str">
        <x:v>EVO-ZONE-ILLIUM</x:v>
      </x:c>
      <x:c r="P9" s="9" t="str">
        <x:v>Création sonore originale; aucune piste commerciale requise.</x:v>
      </x:c>
      <x:c r="Q9" s="9" t="str"/>
      <x:c r="R9" s="9" t="str"/>
      <x:c r="S9" s="9" t="str"/>
    </x:row>
    <x:row r="10" ht="68" customHeight="1">
      <x:c r="A10" s="19" t="str">
        <x:v>EVO-AUD-PALAVEN</x:v>
      </x:c>
      <x:c r="B10" s="7" t="str">
        <x:v>Palaven — paysage sonore</x:v>
      </x:c>
      <x:c r="C10" s="15" t="str">
        <x:v>Défini</x:v>
      </x:c>
      <x:c r="D10" s="17" t="str">
        <x:v>Extrapolation</x:v>
      </x:c>
      <x:c r="E10" s="17" t="str">
        <x:v>P1</x:v>
      </x:c>
      <x:c r="F10" s="7" t="str">
        <x:v>Résonances sourdes, pas de foule scandant des slogans reproduits.</x:v>
      </x:c>
      <x:c r="G10" s="7" t="str">
        <x:v>Mettre en scène tradition militaire et instrumentalisations de l’artefact.</x:v>
      </x:c>
      <x:c r="H10" s="7" t="str">
        <x:v>Doubler les alarmes utiles par texte, symbole ou changement de pose; les bruits d’ambiance ne portent pas seuls une information obligatoire.</x:v>
      </x:c>
      <x:c r="I10" s="7" t="str">
        <x:v>Volumes minéraux monumentaux, éclairage oblique et métal froid.</x:v>
      </x:c>
      <x:c r="J10" s="7" t="str">
        <x:v>Déclencher les contacts mécaniques au mouvement visible; éviter les boucles désynchronisées des portes.</x:v>
      </x:c>
      <x:c r="K10" s="7" t="str">
        <x:v>Résonances sourdes, pas de foule scandant des slogans reproduits. Composer une ambiance originale en couches fond / activité / danger, avec réglage indépendant des voix.</x:v>
      </x:c>
      <x:c r="L10" s="7" t="str">
        <x:v>Bus proposé EVO/PALAVEN; snapshots exploration, tension et dialogue; fondus après chargement.</x:v>
      </x:c>
      <x:c r="M10" s="7" t="str">
        <x:v>Les résultats d’adaptation locaux convergent vers les faits de l’œuvre; les personnages absents ne deviennent pas des alliés disponibles.</x:v>
      </x:c>
      <x:c r="N10" s="7" t="str">
        <x:v>Un parcours muet reste compréhensible; l’entrée en dialogue baisse les ambiances sans couper brutalement leur réverbération.</x:v>
      </x:c>
      <x:c r="O10" s="7" t="str">
        <x:v>EVO-ZONE-PALAVEN</x:v>
      </x:c>
      <x:c r="P10" s="7" t="str">
        <x:v>Création sonore originale; aucune piste commerciale requise.</x:v>
      </x:c>
      <x:c r="Q10" s="7" t="str"/>
      <x:c r="R10" s="7" t="str"/>
      <x:c r="S10" s="7" t="str"/>
    </x:row>
  </x:sheetData>
  <x:conditionalFormatting sqref="D7:D10">
    <x:cfRule type="cellIs" dxfId="88" priority="1" operator="equal">
      <x:formula>"À vérifier"</x:formula>
    </x:cfRule>
    <x:cfRule type="cellIs" dxfId="89" priority="2" operator="equal">
      <x:formula>"Extrapolation"</x:formula>
    </x:cfRule>
  </x:conditionalFormatting>
  <x:conditionalFormatting sqref="C7:C10">
    <x:cfRule type="cellIs" dxfId="90" priority="3" operator="equal">
      <x:formula>"Validé"</x:formula>
    </x:cfRule>
  </x:conditionalFormatting>
  <x:conditionalFormatting sqref="E7:E10">
    <x:cfRule type="cellIs" dxfId="91" priority="4" operator="equal">
      <x:formula>"P0"</x:formula>
    </x:cfRule>
  </x:conditionalFormatting>
  <x:dataValidations count="3">
    <x:dataValidation type="list" sqref="C7:C10">
      <x:formula1>"Défini,Prototype,Intégré,Validé"</x:formula1>
    </x:dataValidation>
    <x:dataValidation type="list" sqref="D7:D10">
      <x:formula1>"Établi,À vérifier,Extrapolation,Coupé attesté,Concept abandonné,Allégation écartée"</x:formula1>
    </x:dataValidation>
    <x:dataValidation type="list" sqref="E7:E10">
      <x:formula1>"P0,P1,P2"</x:formula1>
    </x:dataValidation>
  </x:dataValidations>
  <x:pageMargins left="0.7" right="0.7" top="0.75" bottom="0.75" header="0.3" footer="0.3"/>
  <x:tableParts count="1">
    <x:tablePart xmlns:r="http://schemas.openxmlformats.org/officeDocument/2006/relationships" r:id="R0652850a1f1d4d78"/>
  </x:tableParts>
</x:worksheet>
</file>

<file path=xl/worksheets/sheet2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Systèmes et UI</x:v>
      </x:c>
      <x:c r="B2" s="2"/>
      <x:c r="C2" s="2"/>
      <x:c r="D2" s="2"/>
      <x:c r="E2" s="2"/>
      <x:c r="F2" s="2"/>
      <x:c r="G2" s="2"/>
      <x:c r="H2" s="2"/>
      <x:c r="I2" s="2"/>
      <x:c r="J2" s="2"/>
      <x:c r="K2" s="2"/>
      <x:c r="L2" s="2"/>
      <x:c r="M2" s="2"/>
      <x:c r="N2" s="2"/>
      <x:c r="O2" s="2"/>
      <x:c r="P2" s="2"/>
      <x:c r="Q2" s="2"/>
      <x:c r="R2" s="2"/>
      <x:c r="S2" s="2"/>
    </x:row>
    <x:row r="3" ht="22" customHeight="1">
      <x:c r="A3" s="4" t="str">
        <x:v>Mass Effect: Evolution — Interface et règles de jeu</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54" customHeight="1">
      <x:c r="A7" s="18" t="str">
        <x:v>EVO-SYS-CANON</x:v>
      </x:c>
      <x:c r="B7" s="9" t="str">
        <x:v>Journal à deux niveaux</x:v>
      </x:c>
      <x:c r="C7" s="15" t="str">
        <x:v>Défini</x:v>
      </x:c>
      <x:c r="D7" s="16" t="str">
        <x:v>Extrapolation</x:v>
      </x:c>
      <x:c r="E7" s="16" t="str">
        <x:v>P1</x:v>
      </x:c>
      <x:c r="F7" s="9" t="str">
        <x:v>Dans Evolution, séparer faits attestés, données à contrôler et événements issus des règles du fan game.</x:v>
      </x:c>
      <x:c r="G7" s="9" t="str">
        <x:v>La continuité éditoriale est distincte des essais de gameplay; un choix stratégique ne réécrit pas la fin publiée.</x:v>
      </x:c>
      <x:c r="H7" s="9" t="str">
        <x:v>La continuité éditoriale est distincte des essais de gameplay; un choix stratégique ne réécrit pas la fin publiée.</x:v>
      </x:c>
      <x:c r="I7" s="9" t="str"/>
      <x:c r="J7" s="9" t="str"/>
      <x:c r="K7" s="9" t="str"/>
      <x:c r="L7" s="9" t="str">
        <x:v>Contrat de production EVO/SYS-CANON; à appliquer au futur contenu de l'œuvre.</x:v>
      </x:c>
      <x:c r="M7" s="9" t="str">
        <x:v>Les résultats d’adaptation locaux convergent vers les faits de l’œuvre; les personnages absents ne deviennent pas des alliés disponibles.</x:v>
      </x:c>
      <x:c r="N7" s="9" t="str">
        <x:v>Chaque entrée de journal porte sa provenance; un résultat de combat ne change jamais le niveau de certitude du fait source.</x:v>
      </x:c>
      <x:c r="O7" s="9" t="str">
        <x:v>EVO-REF-SCOPE</x:v>
      </x:c>
      <x:c r="P7" s="9" t="str">
        <x:v>Règle originale de production; les ancrages de continuité sont documentés dans les fiches REF.</x:v>
      </x:c>
      <x:c r="Q7" s="9" t="str"/>
      <x:c r="R7" s="9" t="str"/>
      <x:c r="S7" s="9" t="str"/>
    </x:row>
    <x:row r="8" ht="54" customHeight="1">
      <x:c r="A8" s="19" t="str">
        <x:v>EVO-SYS-GROUP</x:v>
      </x:c>
      <x:c r="B8" s="7" t="str">
        <x:v>Groupe propre au chapitre</x:v>
      </x:c>
      <x:c r="C8" s="15" t="str">
        <x:v>Défini</x:v>
      </x:c>
      <x:c r="D8" s="17" t="str">
        <x:v>Extrapolation</x:v>
      </x:c>
      <x:c r="E8" s="17" t="str">
        <x:v>P1</x:v>
      </x:c>
      <x:c r="F8" s="7" t="str">
        <x:v>Jack et Eva forment le groupe de terrain proposé; Ben change de rôle suivant l’ancrage narratif. Saren ne devient pas un équipier permanent.</x:v>
      </x:c>
      <x:c r="G8" s="7" t="str">
        <x:v>Former le groupe à partir du chapitre actif; les rôles de soutien ne deviennent pas des recrutements permanents.</x:v>
      </x:c>
      <x:c r="H8" s="7" t="str">
        <x:v>Former le groupe à partir du chapitre actif; les rôles de soutien ne deviennent pas des recrutements permanents.</x:v>
      </x:c>
      <x:c r="I8" s="7" t="str"/>
      <x:c r="J8" s="7" t="str"/>
      <x:c r="K8" s="7" t="str"/>
      <x:c r="L8" s="7" t="str">
        <x:v>Contrat de production EVO/SYS-GROUP; à appliquer au futur contenu de l'œuvre.</x:v>
      </x:c>
      <x:c r="M8" s="7" t="str">
        <x:v>Les résultats d’adaptation locaux convergent vers les faits de l’œuvre; les personnages absents ne deviennent pas des alliés disponibles.</x:v>
      </x:c>
      <x:c r="N8" s="7" t="str">
        <x:v>Recharger un chapitre restitue uniquement son groupe autorisé, ses positions et ses commandes proposées.</x:v>
      </x:c>
      <x:c r="O8" s="7" t="str">
        <x:v>EVO-REF-SCOPE</x:v>
      </x:c>
      <x:c r="P8" s="7" t="str">
        <x:v>Règle originale de production; les ancrages de continuité sont documentés dans les fiches REF.</x:v>
      </x:c>
      <x:c r="Q8" s="7" t="str"/>
      <x:c r="R8" s="7" t="str"/>
      <x:c r="S8" s="7" t="str"/>
    </x:row>
    <x:row r="9" ht="68" customHeight="1">
      <x:c r="A9" s="18" t="str">
        <x:v>EVO-SYS-ATB</x:v>
      </x:c>
      <x:c r="B9" s="9" t="str">
        <x:v>Rythme ATB proposé</x:v>
      </x:c>
      <x:c r="C9" s="15" t="str">
        <x:v>Défini</x:v>
      </x:c>
      <x:c r="D9" s="16" t="str">
        <x:v>Extrapolation</x:v>
      </x:c>
      <x:c r="E9" s="16" t="str">
        <x:v>P1</x:v>
      </x:c>
      <x:c r="F9" s="9" t="str">
        <x:v>Coordination de résistance, couverture et perturbation d’artefact; la compréhension de langues est un élément narratif, pas une magie universelle.</x:v>
      </x:c>
      <x:c r="G9" s="9" t="str">
        <x:v>Pause de planification, annonce visible, résolution déterministe et commandes annulables avant confirmation.</x:v>
      </x:c>
      <x:c r="H9" s="9" t="str">
        <x:v>Pause de planification, annonce visible, résolution déterministe et commandes annulables avant confirmation.</x:v>
      </x:c>
      <x:c r="I9" s="9" t="str"/>
      <x:c r="J9" s="9" t="str"/>
      <x:c r="K9" s="9" t="str"/>
      <x:c r="L9" s="9" t="str">
        <x:v>Contrat de production EVO/SYS-ATB; à appliquer au futur contenu de l'œuvre.</x:v>
      </x:c>
      <x:c r="M9" s="9" t="str">
        <x:v>Les résultats d’adaptation locaux convergent vers les faits de l’œuvre; les personnages absents ne deviennent pas des alliés disponibles.</x:v>
      </x:c>
      <x:c r="N9" s="9" t="str">
        <x:v>Un lecteur peut suivre chaque préparation sans son; la vitesse réglable ne modifie pas les conditions du raccord narratif.</x:v>
      </x:c>
      <x:c r="O9" s="9" t="str">
        <x:v>EVO-REF-SCOPE</x:v>
      </x:c>
      <x:c r="P9" s="9" t="str">
        <x:v>Règle originale de production; les ancrages de continuité sont documentés dans les fiches REF.</x:v>
      </x:c>
      <x:c r="Q9" s="9" t="str"/>
      <x:c r="R9" s="9" t="str"/>
      <x:c r="S9" s="9" t="str"/>
    </x:row>
    <x:row r="10" ht="54" customHeight="1">
      <x:c r="A10" s="19" t="str">
        <x:v>EVO-SYS-SAVE</x:v>
      </x:c>
      <x:c r="B10" s="7" t="str">
        <x:v>Sauvegarde des modules</x:v>
      </x:c>
      <x:c r="C10" s="15" t="str">
        <x:v>Défini</x:v>
      </x:c>
      <x:c r="D10" s="17" t="str">
        <x:v>Extrapolation</x:v>
      </x:c>
      <x:c r="E10" s="17" t="str">
        <x:v>P1</x:v>
      </x:c>
      <x:c r="F10" s="7" t="str">
        <x:v>Conserver la progression de Evolution sans exporter une issue hypothétique vers la continuité des jeux.</x:v>
      </x:c>
      <x:c r="G10" s="7" t="str">
        <x:v>Stocker le numéro/segment, la méthode locale, les indices acquis et le raccord déjà vu; ne pas écrire dans une sauvegarde canon du jeu.</x:v>
      </x:c>
      <x:c r="H10" s="7" t="str">
        <x:v>Stocker le numéro/segment, la méthode locale, les indices acquis et le raccord déjà vu; ne pas écrire dans une sauvegarde canon du jeu.</x:v>
      </x:c>
      <x:c r="I10" s="7" t="str"/>
      <x:c r="J10" s="7" t="str"/>
      <x:c r="K10" s="7" t="str"/>
      <x:c r="L10" s="7" t="str">
        <x:v>Contrat de production EVO/SYS-SAVE; à appliquer au futur contenu de l'œuvre.</x:v>
      </x:c>
      <x:c r="M10" s="7" t="str">
        <x:v>Les résultats d’adaptation locaux convergent vers les faits de l’œuvre; les personnages absents ne deviennent pas des alliés disponibles.</x:v>
      </x:c>
      <x:c r="N10" s="7" t="str">
        <x:v>Sauvegarder, quitter et reprendre avant/après un raccord ne double aucun objet, objectif ou récompense.</x:v>
      </x:c>
      <x:c r="O10" s="7" t="str">
        <x:v>EVO-REF-SCOPE</x:v>
      </x:c>
      <x:c r="P10" s="7" t="str">
        <x:v>Règle originale de production; les ancrages de continuité sont documentés dans les fiches REF.</x:v>
      </x:c>
      <x:c r="Q10" s="7" t="str"/>
      <x:c r="R10" s="7" t="str"/>
      <x:c r="S10" s="7" t="str"/>
    </x:row>
  </x:sheetData>
  <x:conditionalFormatting sqref="D7:D10">
    <x:cfRule type="cellIs" dxfId="92" priority="1" operator="equal">
      <x:formula>"À vérifier"</x:formula>
    </x:cfRule>
    <x:cfRule type="cellIs" dxfId="93" priority="2" operator="equal">
      <x:formula>"Extrapolation"</x:formula>
    </x:cfRule>
  </x:conditionalFormatting>
  <x:conditionalFormatting sqref="C7:C10">
    <x:cfRule type="cellIs" dxfId="94" priority="3" operator="equal">
      <x:formula>"Validé"</x:formula>
    </x:cfRule>
  </x:conditionalFormatting>
  <x:conditionalFormatting sqref="E7:E10">
    <x:cfRule type="cellIs" dxfId="95" priority="4" operator="equal">
      <x:formula>"P0"</x:formula>
    </x:cfRule>
  </x:conditionalFormatting>
  <x:dataValidations count="3">
    <x:dataValidation type="list" sqref="C7:C10">
      <x:formula1>"Défini,Prototype,Intégré,Validé"</x:formula1>
    </x:dataValidation>
    <x:dataValidation type="list" sqref="D7:D10">
      <x:formula1>"Établi,À vérifier,Extrapolation,Coupé attesté,Concept abandonné,Allégation écartée"</x:formula1>
    </x:dataValidation>
    <x:dataValidation type="list" sqref="E7:E10">
      <x:formula1>"P0,P1,P2"</x:formula1>
    </x:dataValidation>
  </x:dataValidations>
  <x:pageMargins left="0.7" right="0.7" top="0.75" bottom="0.75" header="0.3" footer="0.3"/>
  <x:tableParts count="1">
    <x:tablePart xmlns:r="http://schemas.openxmlformats.org/officeDocument/2006/relationships" r:id="Rdfe7be23eb35405c"/>
  </x:tableParts>
</x:worksheet>
</file>

<file path=xl/worksheets/sheet2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QA</x:v>
      </x:c>
      <x:c r="B2" s="2"/>
      <x:c r="C2" s="2"/>
      <x:c r="D2" s="2"/>
      <x:c r="E2" s="2"/>
      <x:c r="F2" s="2"/>
      <x:c r="G2" s="2"/>
      <x:c r="H2" s="2"/>
      <x:c r="I2" s="2"/>
      <x:c r="J2" s="2"/>
      <x:c r="K2" s="2"/>
      <x:c r="L2" s="2"/>
      <x:c r="M2" s="2"/>
      <x:c r="N2" s="2"/>
      <x:c r="O2" s="2"/>
      <x:c r="P2" s="2"/>
      <x:c r="Q2" s="2"/>
      <x:c r="R2" s="2"/>
      <x:c r="S2" s="2"/>
    </x:row>
    <x:row r="3" ht="22" customHeight="1">
      <x:c r="A3" s="4" t="str">
        <x:v>Mass Effect: Evolution — Critères de test et contrôles de fidélité</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EVO-SC-RESIST-QA</x:v>
      </x:c>
      <x:c r="B7" s="9" t="str">
        <x:v>Résistance sur Shanxi — contrôle du parcours</x:v>
      </x:c>
      <x:c r="C7" s="15" t="str">
        <x:v>Défini</x:v>
      </x:c>
      <x:c r="D7" s="16" t="str">
        <x:v>Extrapolation</x:v>
      </x:c>
      <x:c r="E7" s="16" t="str">
        <x:v>P0</x:v>
      </x:c>
      <x:c r="F7" s="9" t="str">
        <x:v>Rejouer « Résistance sur Shanxi » par les deux méthodes proposées, avec tâche facultative ignorée puis terminée, et en sautant le raccord.</x:v>
      </x:c>
      <x:c r="G7" s="9" t="str">
        <x:v>Observation → préparation → passage couvert → regroupement.</x:v>
      </x:c>
      <x:c r="H7" s="9" t="str">
        <x:v>Une action d’appui ouvre une traversée; une alarme déplace les patrouilles sans créer un ennemi infini.</x:v>
      </x:c>
      <x:c r="I7" s="9" t="str"/>
      <x:c r="J7" s="9" t="str"/>
      <x:c r="K7" s="9" t="str"/>
      <x:c r="L7" s="9" t="str">
        <x:v>Scénarios de recette à exécuter pour EVO/RESIST; consigner résultat réel et preuve seulement lors d’une future réalisation.</x:v>
      </x:c>
      <x:c r="M7" s="9" t="str">
        <x:v>Fiche de recette définie; aucun test du jeu n’a été exécuté par ce catalogue.</x:v>
      </x:c>
      <x:c r="N7" s="9" t="str">
        <x:v>L'objectif « Résistance sur Shanxi » atteint son raccord annoncé après chaque méthode; sauvegarde, rechargement et saut de scène n'en changent ni le groupe ni les informations acquises.</x:v>
      </x:c>
      <x:c r="O7" s="9" t="str">
        <x:v>EVO-SC-RESIST-MAIN, EVO-SC-RESIST-CHOICE, EVO-SC-RESIST-CINE, EVO-SC-RESIST-PROP</x:v>
      </x:c>
      <x:c r="P7" s="9" t="str">
        <x:v>Critère de production original, pas une validation déjà obtenue.</x:v>
      </x:c>
      <x:c r="Q7" s="9" t="str"/>
      <x:c r="R7" s="9" t="str"/>
      <x:c r="S7" s="9" t="str"/>
    </x:row>
    <x:row r="8" ht="68" customHeight="1">
      <x:c r="A8" s="19" t="str">
        <x:v>EVO-SC-MONOLITH-QA</x:v>
      </x:c>
      <x:c r="B8" s="7" t="str">
        <x:v>Proximité de l’Arca Monolith — contrôle du parcours</x:v>
      </x:c>
      <x:c r="C8" s="15" t="str">
        <x:v>Défini</x:v>
      </x:c>
      <x:c r="D8" s="17" t="str">
        <x:v>Extrapolation</x:v>
      </x:c>
      <x:c r="E8" s="17" t="str">
        <x:v>P0</x:v>
      </x:c>
      <x:c r="F8" s="7" t="str">
        <x:v>Rejouer « Proximité de l’Arca Monolith » par les deux méthodes proposées, avec tâche facultative ignorée puis terminée, et en sautant le raccord.</x:v>
      </x:c>
      <x:c r="G8" s="7" t="str">
        <x:v>Entrée → observation à distance → événement de contact fixé → évacuation.</x:v>
      </x:c>
      <x:c r="H8" s="7" t="str">
        <x:v>Les interactions facultatives décrivent des perceptions; elles ne changent ni l’exposition publiée ni l’origine des personnages.</x:v>
      </x:c>
      <x:c r="I8" s="7" t="str"/>
      <x:c r="J8" s="7" t="str"/>
      <x:c r="K8" s="7" t="str"/>
      <x:c r="L8" s="7" t="str">
        <x:v>Scénarios de recette à exécuter pour EVO/MONOLITH; consigner résultat réel et preuve seulement lors d’une future réalisation.</x:v>
      </x:c>
      <x:c r="M8" s="7" t="str">
        <x:v>Fiche de recette définie; aucun test du jeu n’a été exécuté par ce catalogue.</x:v>
      </x:c>
      <x:c r="N8" s="7" t="str">
        <x:v>L'objectif « Proximité de l’Arca Monolith » atteint son raccord annoncé après chaque méthode; sauvegarde, rechargement et saut de scène n'en changent ni le groupe ni les informations acquises.</x:v>
      </x:c>
      <x:c r="O8" s="7" t="str">
        <x:v>EVO-SC-MONOLITH-MAIN, EVO-SC-MONOLITH-CHOICE, EVO-SC-MONOLITH-CINE, EVO-SC-MONOLITH-PROP</x:v>
      </x:c>
      <x:c r="P8" s="7" t="str">
        <x:v>Critère de production original, pas une validation déjà obtenue.</x:v>
      </x:c>
      <x:c r="Q8" s="7" t="str"/>
      <x:c r="R8" s="7" t="str"/>
      <x:c r="S8" s="7" t="str"/>
    </x:row>
    <x:row r="9" ht="68" customHeight="1">
      <x:c r="A9" s="18" t="str">
        <x:v>EVO-SC-AFTERWAR-QA</x:v>
      </x:c>
      <x:c r="B9" s="9" t="str">
        <x:v>Après la guerre — contrôle du parcours</x:v>
      </x:c>
      <x:c r="C9" s="15" t="str">
        <x:v>Défini</x:v>
      </x:c>
      <x:c r="D9" s="16" t="str">
        <x:v>Extrapolation</x:v>
      </x:c>
      <x:c r="E9" s="16" t="str">
        <x:v>P0</x:v>
      </x:c>
      <x:c r="F9" s="9" t="str">
        <x:v>Rejouer « Après la guerre » par les deux méthodes proposées, avec tâche facultative ignorée puis terminée, et en sautant le raccord.</x:v>
      </x:c>
      <x:c r="G9" s="9" t="str">
        <x:v>Annonce de contexte → conversation → bilan du groupe → départ.</x:v>
      </x:c>
      <x:c r="H9" s="9" t="str">
        <x:v>Enquête sans chronomètre; les indices décrivent les conséquences, pas un objectif d’élimination.</x:v>
      </x:c>
      <x:c r="I9" s="9" t="str"/>
      <x:c r="J9" s="9" t="str"/>
      <x:c r="K9" s="9" t="str"/>
      <x:c r="L9" s="9" t="str">
        <x:v>Scénarios de recette à exécuter pour EVO/AFTERWAR; consigner résultat réel et preuve seulement lors d’une future réalisation.</x:v>
      </x:c>
      <x:c r="M9" s="9" t="str">
        <x:v>Fiche de recette définie; aucun test du jeu n’a été exécuté par ce catalogue.</x:v>
      </x:c>
      <x:c r="N9" s="9" t="str">
        <x:v>L'objectif « Après la guerre » atteint son raccord annoncé après chaque méthode; sauvegarde, rechargement et saut de scène n'en changent ni le groupe ni les informations acquises.</x:v>
      </x:c>
      <x:c r="O9" s="9" t="str">
        <x:v>EVO-SC-AFTERWAR-MAIN, EVO-SC-AFTERWAR-CHOICE, EVO-SC-AFTERWAR-CINE, EVO-SC-AFTERWAR-PROP</x:v>
      </x:c>
      <x:c r="P9" s="9" t="str">
        <x:v>Critère de production original, pas une validation déjà obtenue.</x:v>
      </x:c>
      <x:c r="Q9" s="9" t="str"/>
      <x:c r="R9" s="9" t="str"/>
      <x:c r="S9" s="9" t="str"/>
    </x:row>
    <x:row r="10" ht="68" customHeight="1">
      <x:c r="A10" s="19" t="str">
        <x:v>EVO-SC-ILLIUM-QA</x:v>
      </x:c>
      <x:c r="B10" s="7" t="str">
        <x:v>Piste sur Illium — contrôle du parcours</x:v>
      </x:c>
      <x:c r="C10" s="15" t="str">
        <x:v>Défini</x:v>
      </x:c>
      <x:c r="D10" s="17" t="str">
        <x:v>Extrapolation</x:v>
      </x:c>
      <x:c r="E10" s="17" t="str">
        <x:v>P0</x:v>
      </x:c>
      <x:c r="F10" s="7" t="str">
        <x:v>Rejouer « Piste sur Illium » par les deux méthodes proposées, avec tâche facultative ignorée puis terminée, et en sautant le raccord.</x:v>
      </x:c>
      <x:c r="G10" s="7" t="str">
        <x:v>Transit → collecte d’observations → contrôle d’accès → confrontation raccordée.</x:v>
      </x:c>
      <x:c r="H10" s="7" t="str">
        <x:v>Deux routes proposent lecture sociale ou détour technique; chacune fournit la même destination.</x:v>
      </x:c>
      <x:c r="I10" s="7" t="str"/>
      <x:c r="J10" s="7" t="str"/>
      <x:c r="K10" s="7" t="str"/>
      <x:c r="L10" s="7" t="str">
        <x:v>Scénarios de recette à exécuter pour EVO/ILLIUM; consigner résultat réel et preuve seulement lors d’une future réalisation.</x:v>
      </x:c>
      <x:c r="M10" s="7" t="str">
        <x:v>Fiche de recette définie; aucun test du jeu n’a été exécuté par ce catalogue.</x:v>
      </x:c>
      <x:c r="N10" s="7" t="str">
        <x:v>L'objectif « Piste sur Illium » atteint son raccord annoncé après chaque méthode; sauvegarde, rechargement et saut de scène n'en changent ni le groupe ni les informations acquises.</x:v>
      </x:c>
      <x:c r="O10" s="7" t="str">
        <x:v>EVO-SC-ILLIUM-MAIN, EVO-SC-ILLIUM-CHOICE, EVO-SC-ILLIUM-CINE, EVO-SC-ILLIUM-PROP</x:v>
      </x:c>
      <x:c r="P10" s="7" t="str">
        <x:v>Critère de production original, pas une validation déjà obtenue.</x:v>
      </x:c>
      <x:c r="Q10" s="7" t="str"/>
      <x:c r="R10" s="7" t="str"/>
      <x:c r="S10" s="7" t="str"/>
    </x:row>
    <x:row r="11" ht="68" customHeight="1">
      <x:c r="A11" s="18" t="str">
        <x:v>EVO-SC-PALAVEN-QA</x:v>
      </x:c>
      <x:c r="B11" s="9" t="str">
        <x:v>Tradition et projet de Desolas — contrôle du parcours</x:v>
      </x:c>
      <x:c r="C11" s="15" t="str">
        <x:v>Défini</x:v>
      </x:c>
      <x:c r="D11" s="16" t="str">
        <x:v>Extrapolation</x:v>
      </x:c>
      <x:c r="E11" s="16" t="str">
        <x:v>P0</x:v>
      </x:c>
      <x:c r="F11" s="9" t="str">
        <x:v>Rejouer « Tradition et projet de Desolas » par les deux méthodes proposées, avec tâche facultative ignorée puis terminée, et en sautant le raccord.</x:v>
      </x:c>
      <x:c r="G11" s="9" t="str">
        <x:v>Observation de l’espace → compréhension des contrôles → passage → confrontation.</x:v>
      </x:c>
      <x:c r="H11" s="9" t="str">
        <x:v>L’ordre des accès est un puzzle original de signalétique, pas une liturgie turienne canon inventée.</x:v>
      </x:c>
      <x:c r="I11" s="9" t="str"/>
      <x:c r="J11" s="9" t="str"/>
      <x:c r="K11" s="9" t="str"/>
      <x:c r="L11" s="9" t="str">
        <x:v>Scénarios de recette à exécuter pour EVO/PALAVEN; consigner résultat réel et preuve seulement lors d’une future réalisation.</x:v>
      </x:c>
      <x:c r="M11" s="9" t="str">
        <x:v>Fiche de recette définie; aucun test du jeu n’a été exécuté par ce catalogue.</x:v>
      </x:c>
      <x:c r="N11" s="9" t="str">
        <x:v>L'objectif « Tradition et projet de Desolas » atteint son raccord annoncé après chaque méthode; sauvegarde, rechargement et saut de scène n'en changent ni le groupe ni les informations acquises.</x:v>
      </x:c>
      <x:c r="O11" s="9" t="str">
        <x:v>EVO-SC-PALAVEN-MAIN, EVO-SC-PALAVEN-CHOICE, EVO-SC-PALAVEN-CINE, EVO-SC-PALAVEN-PROP</x:v>
      </x:c>
      <x:c r="P11" s="9" t="str">
        <x:v>Critère de production original, pas une validation déjà obtenue.</x:v>
      </x:c>
      <x:c r="Q11" s="9" t="str"/>
      <x:c r="R11" s="9" t="str"/>
      <x:c r="S11" s="9" t="str"/>
    </x:row>
    <x:row r="12" ht="68" customHeight="1">
      <x:c r="A12" s="19" t="str">
        <x:v>EVO-SC-BREAK-QA</x:v>
      </x:c>
      <x:c r="B12" s="7" t="str">
        <x:v>Rupture du contrôle — contrôle du parcours</x:v>
      </x:c>
      <x:c r="C12" s="15" t="str">
        <x:v>Défini</x:v>
      </x:c>
      <x:c r="D12" s="17" t="str">
        <x:v>Extrapolation</x:v>
      </x:c>
      <x:c r="E12" s="17" t="str">
        <x:v>P0</x:v>
      </x:c>
      <x:c r="F12" s="7" t="str">
        <x:v>Rejouer « Rupture du contrôle » par les deux méthodes proposées, avec tâche facultative ignorée puis terminée, et en sautant le raccord.</x:v>
      </x:c>
      <x:c r="G12" s="7" t="str">
        <x:v>Menace accrue → coordination du groupe → événement narratif fixé → sortie et épilogue.</x:v>
      </x:c>
      <x:c r="H12" s="7" t="str">
        <x:v>Le combat proposé porte sur la survie locale; détruire toutes les unités n’est pas une condition et ne change pas la fin.</x:v>
      </x:c>
      <x:c r="I12" s="7" t="str"/>
      <x:c r="J12" s="7" t="str"/>
      <x:c r="K12" s="7" t="str"/>
      <x:c r="L12" s="7" t="str">
        <x:v>Scénarios de recette à exécuter pour EVO/BREAK; consigner résultat réel et preuve seulement lors d’une future réalisation.</x:v>
      </x:c>
      <x:c r="M12" s="7" t="str">
        <x:v>Fiche de recette définie; aucun test du jeu n’a été exécuté par ce catalogue.</x:v>
      </x:c>
      <x:c r="N12" s="7" t="str">
        <x:v>L'objectif « Rupture du contrôle » atteint son raccord annoncé après chaque méthode; sauvegarde, rechargement et saut de scène n'en changent ni le groupe ni les informations acquises.</x:v>
      </x:c>
      <x:c r="O12" s="7" t="str">
        <x:v>EVO-SC-BREAK-MAIN, EVO-SC-BREAK-CHOICE, EVO-SC-BREAK-CINE, EVO-SC-BREAK-PROP</x:v>
      </x:c>
      <x:c r="P12" s="7" t="str">
        <x:v>Critère de production original, pas une validation déjà obtenue.</x:v>
      </x:c>
      <x:c r="Q12" s="7" t="str"/>
      <x:c r="R12" s="7" t="str"/>
      <x:c r="S12" s="7" t="str"/>
    </x:row>
    <x:row r="13" ht="54" customHeight="1">
      <x:c r="A13" s="18" t="str">
        <x:v>EVO-QA-SOURCE</x:v>
      </x:c>
      <x:c r="B13" s="9" t="str">
        <x:v>Vérification des références</x:v>
      </x:c>
      <x:c r="C13" s="15" t="str">
        <x:v>Défini</x:v>
      </x:c>
      <x:c r="D13" s="16" t="str">
        <x:v>Extrapolation</x:v>
      </x:c>
      <x:c r="E13" s="16" t="str">
        <x:v>P0</x:v>
      </x:c>
      <x:c r="F13" s="9" t="str">
        <x:v>Contrôler Evolution dans une édition autorisée avant de transformer les éléments À vérifier en faits établis.</x:v>
      </x:c>
      <x:c r="G13" s="9" t="str">
        <x:v>Vérifier le bon numéro, les graphies, les costumes et le placement exact des séquences; aucune pagination non consultée fournie.</x:v>
      </x:c>
      <x:c r="H13" s="9" t="str"/>
      <x:c r="I13" s="9" t="str"/>
      <x:c r="J13" s="9" t="str"/>
      <x:c r="K13" s="9" t="str"/>
      <x:c r="L13" s="9" t="str">
        <x:v>Contrat de production EVO/QA-SOURCE; à appliquer au futur contenu de l'œuvre.</x:v>
      </x:c>
      <x:c r="M13" s="9" t="str">
        <x:v>Recette planifiée; aucune réalisation testée ici.</x:v>
      </x:c>
      <x:c r="N13" s="9" t="str">
        <x:v>Chaque ajout de nom, page, costume ou date est lié à la bonne édition; les descriptions restent brèves et paraphrasées.</x:v>
      </x:c>
      <x:c r="O13" s="9" t="str">
        <x:v>EVO-REF-SCOPE</x:v>
      </x:c>
      <x:c r="P13" s="9" t="str">
        <x:v>Règle originale de production; les ancrages de continuité sont documentés dans les fiches REF.</x:v>
      </x:c>
      <x:c r="Q13" s="9" t="str"/>
      <x:c r="R13" s="9" t="str"/>
      <x:c r="S13" s="9" t="str"/>
    </x:row>
    <x:row r="14" ht="54" customHeight="1">
      <x:c r="A14" s="19" t="str">
        <x:v>EVO-QA-VISIBILITY</x:v>
      </x:c>
      <x:c r="B14" s="7" t="str">
        <x:v>Lecture des sprites et du terrain</x:v>
      </x:c>
      <x:c r="C14" s="15" t="str">
        <x:v>Défini</x:v>
      </x:c>
      <x:c r="D14" s="17" t="str">
        <x:v>Extrapolation</x:v>
      </x:c>
      <x:c r="E14" s="17" t="str">
        <x:v>P0</x:v>
      </x:c>
      <x:c r="F14" s="7" t="str">
        <x:v>Contrôler la taille des sprites, la séparation des silhouettes et les sorties sous la caméra fixe de chaque scène.</x:v>
      </x:c>
      <x:c r="G14" s="7" t="str">
        <x:v>Faire parcourir les zones avec premier plan actif, sous-titres larges et mode de contraste renforcé.</x:v>
      </x:c>
      <x:c r="H14" s="7" t="str"/>
      <x:c r="I14" s="7" t="str"/>
      <x:c r="J14" s="7" t="str"/>
      <x:c r="K14" s="7" t="str"/>
      <x:c r="L14" s="7" t="str">
        <x:v>Contrat de production EVO/QA-VISIBILITY; à appliquer au futur contenu de l'œuvre.</x:v>
      </x:c>
      <x:c r="M14" s="7" t="str">
        <x:v>Recette planifiée; aucune réalisation testée ici.</x:v>
      </x:c>
      <x:c r="N14" s="7" t="str">
        <x:v>Le personnage contrôlé, les sorties et le signal de danger restent localisables sans désactiver le décor.</x:v>
      </x:c>
      <x:c r="O14" s="7" t="str">
        <x:v>EVO-REF-SCOPE</x:v>
      </x:c>
      <x:c r="P14" s="7" t="str">
        <x:v>Règle originale de production; les ancrages de continuité sont documentés dans les fiches REF.</x:v>
      </x:c>
      <x:c r="Q14" s="7" t="str"/>
      <x:c r="R14" s="7" t="str"/>
      <x:c r="S14" s="7" t="str"/>
    </x:row>
    <x:row r="15" ht="54" customHeight="1">
      <x:c r="A15" s="18" t="str">
        <x:v>EVO-QA-NARRATIVE</x:v>
      </x:c>
      <x:c r="B15" s="9" t="str">
        <x:v>Convergence narrative</x:v>
      </x:c>
      <x:c r="C15" s="15" t="str">
        <x:v>Défini</x:v>
      </x:c>
      <x:c r="D15" s="16" t="str">
        <x:v>Extrapolation</x:v>
      </x:c>
      <x:c r="E15" s="16" t="str">
        <x:v>P0</x:v>
      </x:c>
      <x:c r="F15" s="9" t="str">
        <x:v>Les résultats d’adaptation locaux convergent vers les faits de l’œuvre; les personnages absents ne deviennent pas des alliés disponibles.</x:v>
      </x:c>
      <x:c r="G15" s="9" t="str">
        <x:v>La continuité éditoriale est distincte des essais de gameplay; un choix stratégique ne réécrit pas la fin publiée.</x:v>
      </x:c>
      <x:c r="H15" s="9" t="str"/>
      <x:c r="I15" s="9" t="str"/>
      <x:c r="J15" s="9" t="str"/>
      <x:c r="K15" s="9" t="str"/>
      <x:c r="L15" s="9" t="str">
        <x:v>Contrat de production EVO/QA-NARRATIVE; à appliquer au futur contenu de l'œuvre.</x:v>
      </x:c>
      <x:c r="M15" s="9" t="str">
        <x:v>Recette planifiée; aucune réalisation testée ici.</x:v>
      </x:c>
      <x:c r="N15" s="9" t="str">
        <x:v>Jouer chaque choix local et passer chaque cinématique produit les mêmes ancrages de conclusion; les divergences restent marquées adaptation.</x:v>
      </x:c>
      <x:c r="O15" s="9" t="str">
        <x:v>EVO-REF-SCOPE</x:v>
      </x:c>
      <x:c r="P15" s="9" t="str">
        <x:v>Règle originale de production; les ancrages de continuité sont documentés dans les fiches REF.</x:v>
      </x:c>
      <x:c r="Q15" s="9" t="str"/>
      <x:c r="R15" s="9" t="str"/>
      <x:c r="S15" s="9" t="str"/>
    </x:row>
  </x:sheetData>
  <x:conditionalFormatting sqref="D7:D15">
    <x:cfRule type="cellIs" dxfId="96" priority="1" operator="equal">
      <x:formula>"À vérifier"</x:formula>
    </x:cfRule>
    <x:cfRule type="cellIs" dxfId="97" priority="2" operator="equal">
      <x:formula>"Extrapolation"</x:formula>
    </x:cfRule>
  </x:conditionalFormatting>
  <x:conditionalFormatting sqref="C7:C15">
    <x:cfRule type="cellIs" dxfId="98" priority="3" operator="equal">
      <x:formula>"Validé"</x:formula>
    </x:cfRule>
  </x:conditionalFormatting>
  <x:conditionalFormatting sqref="E7:E15">
    <x:cfRule type="cellIs" dxfId="99" priority="4" operator="equal">
      <x:formula>"P0"</x:formula>
    </x:cfRule>
  </x:conditionalFormatting>
  <x:dataValidations count="3">
    <x:dataValidation type="list" sqref="C7:C15">
      <x:formula1>"Défini,Prototype,Intégré,Validé"</x:formula1>
    </x:dataValidation>
    <x:dataValidation type="list" sqref="D7:D15">
      <x:formula1>"Établi,À vérifier,Extrapolation,Coupé attesté,Concept abandonné,Allégation écartée"</x:formula1>
    </x:dataValidation>
    <x:dataValidation type="list" sqref="E7:E15">
      <x:formula1>"P0,P1,P2"</x:formula1>
    </x:dataValidation>
  </x:dataValidations>
  <x:pageMargins left="0.7" right="0.7" top="0.75" bottom="0.75" header="0.3" footer="0.3"/>
  <x:tableParts count="1">
    <x:tablePart xmlns:r="http://schemas.openxmlformats.org/officeDocument/2006/relationships" r:id="Rcab991e7992842d0"/>
  </x:tableParts>
</x:worksheet>
</file>

<file path=xl/worksheets/sheet2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Continuité</x:v>
      </x:c>
      <x:c r="B2" s="2"/>
      <x:c r="C2" s="2"/>
      <x:c r="D2" s="2"/>
      <x:c r="E2" s="2"/>
      <x:c r="F2" s="2"/>
      <x:c r="G2" s="2"/>
      <x:c r="H2" s="2"/>
      <x:c r="I2" s="2"/>
      <x:c r="J2" s="2"/>
      <x:c r="K2" s="2"/>
      <x:c r="L2" s="2"/>
      <x:c r="M2" s="2"/>
      <x:c r="N2" s="2"/>
      <x:c r="O2" s="2"/>
      <x:c r="P2" s="2"/>
      <x:c r="Q2" s="2"/>
      <x:c r="R2" s="2"/>
      <x:c r="S2" s="2"/>
    </x:row>
    <x:row r="3" ht="22" customHeight="1">
      <x:c r="A3" s="4" t="str">
        <x:v>Mass Effect: Evolution — États persistants, chronologie et limites de l’adaptation</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8" t="str">
        <x:v>Identifiant</x:v>
      </x:c>
      <x:c r="B6" s="29" t="str">
        <x:v>Élément</x:v>
      </x:c>
      <x:c r="C6" s="29" t="str">
        <x:v>Contenu</x:v>
      </x:c>
      <x:c r="D6" s="29" t="str">
        <x:v>Nature de la référence</x:v>
      </x:c>
      <x:c r="E6" s="29" t="str">
        <x:v>Priorité</x:v>
      </x:c>
      <x:c r="F6" s="29" t="str">
        <x:v>Fait ou hypothèse</x:v>
      </x:c>
      <x:c r="G6" s="29" t="str">
        <x:v>Adaptation proposée</x:v>
      </x:c>
      <x:c r="H6" s="29" t="str">
        <x:v>Règles et moveset proposés</x:v>
      </x:c>
      <x:c r="I6" s="29" t="str">
        <x:v>Direction visuelle</x:v>
      </x:c>
      <x:c r="J6" s="29" t="str">
        <x:v>Animation</x:v>
      </x:c>
      <x:c r="K6" s="29" t="str">
        <x:v>Audio et accessibilité</x:v>
      </x:c>
      <x:c r="L6" s="29" t="str">
        <x:v>Mise en œuvre prévue</x:v>
      </x:c>
      <x:c r="M6" s="29" t="str">
        <x:v>Conditions et variantes</x:v>
      </x:c>
      <x:c r="N6" s="29" t="str">
        <x:v>Critère d’acceptation</x:v>
      </x:c>
      <x:c r="O6" s="29" t="str">
        <x:v>Dépendances</x:v>
      </x:c>
      <x:c r="P6" s="29" t="str">
        <x:v>Repère dans l’œuvre</x:v>
      </x:c>
      <x:c r="Q6" s="29" t="str">
        <x:v>Sources</x:v>
      </x:c>
      <x:c r="R6" s="29" t="str">
        <x:v>Sources URL</x:v>
      </x:c>
      <x:c r="S6" s="30" t="str">
        <x:v>Notes et limites</x:v>
      </x:c>
    </x:row>
    <x:row r="7" ht="68" customHeight="1">
      <x:c r="A7" s="18" t="str">
        <x:v>EVO-CNT-PLACE</x:v>
      </x:c>
      <x:c r="B7" s="9" t="str">
        <x:v>Position dans l’univers</x:v>
      </x:c>
      <x:c r="C7" s="15" t="str">
        <x:v>Défini</x:v>
      </x:c>
      <x:c r="D7" s="16" t="str">
        <x:v>Extrapolation</x:v>
      </x:c>
      <x:c r="E7" s="16" t="str">
        <x:v>P1</x:v>
      </x:c>
      <x:c r="F7" s="9" t="str">
        <x:v>Préquelle de la trilogie. La guerre se termine entre #1 et #2 selon le scénariste; les actes suivants ne prolongent pas artificiellement les hostilités officielles.</x:v>
      </x:c>
      <x:c r="G7" s="9" t="str">
        <x:v>La continuité éditoriale est distincte des essais de gameplay; un choix stratégique ne réécrit pas la fin publiée.</x:v>
      </x:c>
      <x:c r="H7" s="9" t="str"/>
      <x:c r="I7" s="9" t="str"/>
      <x:c r="J7" s="9" t="str"/>
      <x:c r="K7" s="9" t="str"/>
      <x:c r="L7" s="9" t="str">
        <x:v>Contrat de production EVO/CNT-PLACE; à appliquer au futur contenu de l'œuvre.</x:v>
      </x:c>
      <x:c r="M7" s="9" t="str">
        <x:v>Les résultats d’adaptation locaux convergent vers les faits de l’œuvre; les personnages absents ne deviennent pas des alliés disponibles.</x:v>
      </x:c>
      <x:c r="N7" s="9" t="str">
        <x:v>La frise indique les incertitudes et les liens avec les autres œuvres sans attribuer une date non sourcée.</x:v>
      </x:c>
      <x:c r="O7" s="9" t="str">
        <x:v>EVO-REF-SCOPE</x:v>
      </x:c>
      <x:c r="P7" s="9" t="str">
        <x:v>Règle originale de production; les ancrages de continuité sont documentés dans les fiches REF.</x:v>
      </x:c>
      <x:c r="Q7" s="9" t="str"/>
      <x:c r="R7" s="9" t="str"/>
      <x:c r="S7" s="9" t="str"/>
    </x:row>
    <x:row r="8" ht="54" customHeight="1">
      <x:c r="A8" s="19" t="str">
        <x:v>EVO-CNT-NO-CUT</x:v>
      </x:c>
      <x:c r="B8" s="7" t="str">
        <x:v>Contenus non attestés</x:v>
      </x:c>
      <x:c r="C8" s="15" t="str">
        <x:v>Défini</x:v>
      </x:c>
      <x:c r="D8" s="17" t="str">
        <x:v>Extrapolation</x:v>
      </x:c>
      <x:c r="E8" s="17" t="str">
        <x:v>P1</x:v>
      </x:c>
      <x:c r="F8" s="7" t="str">
        <x:v>Aucune rumeur de scène coupée n’est intégrée à Evolution.</x:v>
      </x:c>
      <x:c r="G8" s="7" t="str">
        <x:v>Un contenu absent des notices consultées reste non documenté; une illustration préparatoire ne prouve pas une scène canon.</x:v>
      </x:c>
      <x:c r="H8" s="7" t="str"/>
      <x:c r="I8" s="7" t="str"/>
      <x:c r="J8" s="7" t="str"/>
      <x:c r="K8" s="7" t="str"/>
      <x:c r="L8" s="7" t="str">
        <x:v>Contrat de production EVO/CNT-NO-CUT; à appliquer au futur contenu de l'œuvre.</x:v>
      </x:c>
      <x:c r="M8" s="7" t="str">
        <x:v>Les résultats d’adaptation locaux convergent vers les faits de l’œuvre; les personnages absents ne deviennent pas des alliés disponibles.</x:v>
      </x:c>
      <x:c r="N8" s="7" t="str">
        <x:v>Une future fiche Coupé attesté ou Concept abandonné devra citer une preuve primaire spécifique.</x:v>
      </x:c>
      <x:c r="O8" s="7" t="str">
        <x:v>EVO-REF-SCOPE</x:v>
      </x:c>
      <x:c r="P8" s="7" t="str">
        <x:v>Règle originale de production; les ancrages de continuité sont documentés dans les fiches REF.</x:v>
      </x:c>
      <x:c r="Q8" s="7" t="str"/>
      <x:c r="R8" s="7" t="str"/>
      <x:c r="S8" s="7" t="str"/>
    </x:row>
  </x:sheetData>
  <x:conditionalFormatting sqref="D7:D8">
    <x:cfRule type="cellIs" dxfId="100" priority="1" operator="equal">
      <x:formula>"À vérifier"</x:formula>
    </x:cfRule>
    <x:cfRule type="cellIs" dxfId="101" priority="2" operator="equal">
      <x:formula>"Extrapolation"</x:formula>
    </x:cfRule>
  </x:conditionalFormatting>
  <x:conditionalFormatting sqref="C7:C8">
    <x:cfRule type="cellIs" dxfId="102" priority="3" operator="equal">
      <x:formula>"Validé"</x:formula>
    </x:cfRule>
  </x:conditionalFormatting>
  <x:conditionalFormatting sqref="E7:E8">
    <x:cfRule type="cellIs" dxfId="103" priority="4" operator="equal">
      <x:formula>"P0"</x:formula>
    </x:cfRule>
  </x:conditionalFormatting>
  <x:dataValidations count="3">
    <x:dataValidation type="list" sqref="C7:C8">
      <x:formula1>"Défini,Prototype,Intégré,Validé"</x:formula1>
    </x:dataValidation>
    <x:dataValidation type="list" sqref="D7:D8">
      <x:formula1>"Établi,À vérifier,Extrapolation,Coupé attesté,Concept abandonné,Allégation écartée"</x:formula1>
    </x:dataValidation>
    <x:dataValidation type="list" sqref="E7:E8">
      <x:formula1>"P0,P1,P2"</x:formula1>
    </x:dataValidation>
  </x:dataValidations>
  <x:pageMargins left="0.7" right="0.7" top="0.75" bottom="0.75" header="0.3" footer="0.3"/>
  <x:tableParts count="1">
    <x:tablePart xmlns:r="http://schemas.openxmlformats.org/officeDocument/2006/relationships" r:id="Rfb7f5d44834c49ca"/>
  </x:tableParts>
</x:worksheet>
</file>

<file path=xl/worksheets/sheet28.xml><?xml version="1.0" encoding="utf-8"?>
<x:worksheet xmlns:x="http://schemas.openxmlformats.org/spreadsheetml/2006/main">
  <x:sheetPr>
    <x:tabColor rgb="FF78929B"/>
  </x:sheetPr>
  <x:sheetViews>
    <x:sheetView showGridLines="0" workbookViewId="0">
      <x:pane ySplit="6" topLeftCell="A7" activePane="bottomLeft" state="frozen"/>
    </x:sheetView>
  </x:sheetViews>
  <x:sheetFormatPr defaultRowHeight="15"/>
  <x:cols>
    <x:col min="1" max="1" width="27" hidden="0" customWidth="1"/>
    <x:col min="2" max="2" width="67" hidden="0" customWidth="1"/>
    <x:col min="3" max="3" width="47" hidden="0" customWidth="1"/>
    <x:col min="4" max="4" width="90" hidden="0" customWidth="1"/>
    <x:col min="5" max="5" width="48" hidden="0" customWidth="1"/>
    <x:col min="6" max="6" width="65" hidden="0" customWidth="1"/>
  </x:cols>
  <x:sheetData>
    <x:row r="1" ht="22" customHeight="1">
      <x:c r="A1" s="2"/>
      <x:c r="B1" s="2"/>
      <x:c r="C1" s="2"/>
      <x:c r="D1" s="2"/>
      <x:c r="E1" s="2"/>
      <x:c r="F1" s="2"/>
    </x:row>
    <x:row r="2" ht="22" customHeight="1">
      <x:c r="A2" s="3" t="str">
        <x:v>Guide du catalogue</x:v>
      </x:c>
      <x:c r="B2" s="2"/>
      <x:c r="C2" s="2"/>
      <x:c r="D2" s="2"/>
      <x:c r="E2" s="2"/>
      <x:c r="F2" s="2"/>
    </x:row>
    <x:row r="3" ht="22" customHeight="1">
      <x:c r="A3" s="4" t="str">
        <x:v>Mass Effect: Evolution</x:v>
      </x:c>
      <x:c r="B3" s="2"/>
      <x:c r="C3" s="2"/>
      <x:c r="D3" s="2"/>
      <x:c r="E3" s="2"/>
      <x:c r="F3" s="2"/>
    </x:row>
    <x:row r="4" ht="22" customHeight="1">
      <x:c r="A4" s="5"/>
      <x:c r="B4" s="5"/>
      <x:c r="C4" s="5"/>
      <x:c r="D4" s="5"/>
      <x:c r="E4" s="5"/>
      <x:c r="F4" s="5"/>
    </x:row>
    <x:row r="5" ht="22" customHeight="1">
      <x:c r="A5" s="2"/>
      <x:c r="B5" s="2"/>
      <x:c r="C5" s="2"/>
      <x:c r="D5" s="2"/>
      <x:c r="E5" s="2"/>
      <x:c r="F5" s="2"/>
    </x:row>
    <x:row r="6" ht="34" customHeight="1">
      <x:c r="A6" s="28" t="str">
        <x:v>Champ</x:v>
      </x:c>
      <x:c r="B6" s="30" t="str">
        <x:v>Définition</x:v>
      </x:c>
      <x:c r="C6" s="2"/>
      <x:c r="D6" s="2"/>
      <x:c r="E6" s="2"/>
      <x:c r="F6" s="2"/>
    </x:row>
    <x:row r="7" ht="30" customHeight="1">
      <x:c r="A7" s="7" t="str">
        <x:v>Œuvre</x:v>
      </x:c>
      <x:c r="B7" s="7" t="str">
        <x:v>Mass Effect: Evolution</x:v>
      </x:c>
      <x:c r="C7" s="2"/>
      <x:c r="D7" s="2"/>
      <x:c r="E7" s="2"/>
      <x:c r="F7" s="2"/>
    </x:row>
    <x:row r="8" ht="30" customHeight="1">
      <x:c r="A8" s="7" t="str">
        <x:v>Support</x:v>
      </x:c>
      <x:c r="B8" s="7" t="str">
        <x:v>Comic / bande dessinée</x:v>
      </x:c>
      <x:c r="C8" s="2"/>
      <x:c r="D8" s="2"/>
      <x:c r="E8" s="2"/>
      <x:c r="F8" s="2"/>
    </x:row>
    <x:row r="9" ht="68" customHeight="1">
      <x:c r="A9" s="7" t="str">
        <x:v>Périmètre</x:v>
      </x:c>
      <x:c r="B9" s="7" t="str">
        <x:v>Evolution #1–4 : Première Guerre de Contact, Jack Harper, Arca Monolith, Illium, Palaven et origine de l’Homme trouble. Les récits courts inclus dans certains recueils disposent de leurs catalogues séparés.</x:v>
      </x:c>
      <x:c r="C9" s="2"/>
      <x:c r="D9" s="2"/>
      <x:c r="E9" s="2"/>
      <x:c r="F9" s="2"/>
    </x:row>
    <x:row r="10" ht="54" customHeight="1">
      <x:c r="A10" s="7" t="str">
        <x:v>Projet</x:v>
      </x:c>
      <x:c r="B10" s="7" t="str">
        <x:v>122 fiches de production ; 5 fiches au stade Prototype de portée partielle. Les autres livrables restent des spécifications ; aucun achèvement intégral 1:1 revendiqué.</x:v>
      </x:c>
      <x:c r="C10" s="2"/>
      <x:c r="D10" s="2"/>
      <x:c r="E10" s="2"/>
      <x:c r="F10" s="2"/>
    </x:row>
    <x:row r="11" ht="180" customHeight="1">
      <x:c r="A11" s="7" t="str">
        <x:v>Références et limites</x:v>
      </x:c>
      <x:c r="B11" s="7" t="str">
        <x:v>L’explication exacte des réactions différentes de Jack et Ben n’est pas tranchée par les notes d’auteur. La guerrière Eva Coré ne doit pas être confondue avec la plateforme de ME3 portant ce nom. Les missions, options, ATB, coûts, compositions 2D/3D, effets et fichiers proposés sont des extrapolations; aucun chiffre de réglage n’est présenté comme canon. « Établi » qualifie uniquement le fait bref de description, pas sa proposition d’adaptation. Les sources wiki consultées via l’index restent À vérifier. Les 12 pages Fandom fournies ont été tentées en accès direct et ont échoué; les notices officielles et notes d’auteur servent de remplacement lorsque disponibles.</x:v>
      </x:c>
      <x:c r="C11" s="2"/>
      <x:c r="D11" s="2"/>
      <x:c r="E11" s="2"/>
      <x:c r="F11" s="2"/>
    </x:row>
    <x:row r="12" ht="30" customHeight="1">
      <x:c r="A12" s="7" t="str">
        <x:v>Date de référence</x:v>
      </x:c>
      <x:c r="B12" s="42" t="d">
        <x:v>2026-10-22T12:00:00.000Z</x:v>
      </x:c>
      <x:c r="C12" s="2"/>
      <x:c r="D12" s="2"/>
      <x:c r="E12" s="2"/>
      <x:c r="F12" s="2"/>
    </x:row>
    <x:row r="13" ht="40" customHeight="1">
      <x:c r="A13" s="7" t="str">
        <x:v>Statut Défini</x:v>
      </x:c>
      <x:c r="B13" s="7" t="str">
        <x:v>Fiche de conception à réaliser. Aucun asset ou code supplémentaire n’est prouvé par cette valeur.</x:v>
      </x:c>
      <x:c r="C13" s="2"/>
      <x:c r="D13" s="2"/>
      <x:c r="E13" s="2"/>
      <x:c r="F13" s="2"/>
    </x:row>
    <x:row r="14" ht="40" customHeight="1">
      <x:c r="A14" s="7" t="str">
        <x:v>Établi</x:v>
      </x:c>
      <x:c r="B14" s="7" t="str">
        <x:v>Fait de référence documenté. Les colonnes adaptation, règles, visuel et animation décrivent la production envisagée.</x:v>
      </x:c>
      <x:c r="C14" s="2"/>
      <x:c r="D14" s="2"/>
      <x:c r="E14" s="2"/>
      <x:c r="F14" s="2"/>
    </x:row>
    <x:row r="15" ht="40" customHeight="1">
      <x:c r="A15" s="7" t="str">
        <x:v>À vérifier</x:v>
      </x:c>
      <x:c r="B15" s="7" t="str">
        <x:v>Information partielle, indexée ou nécessitant un contrôle dans l’œuvre originale.</x:v>
      </x:c>
      <x:c r="C15" s="2"/>
      <x:c r="D15" s="2"/>
      <x:c r="E15" s="2"/>
      <x:c r="F15" s="2"/>
    </x:row>
    <x:row r="16" ht="40" customHeight="1">
      <x:c r="A16" s="7" t="str">
        <x:v>Extrapolation</x:v>
      </x:c>
      <x:c r="B16" s="7" t="str">
        <x:v>Création ou interprétation pour le fan game. Ne décrit pas un contenu officiel.</x:v>
      </x:c>
      <x:c r="C16" s="2"/>
      <x:c r="D16" s="2"/>
      <x:c r="E16" s="2"/>
      <x:c r="F16" s="2"/>
    </x:row>
    <x:row r="17" ht="40" customHeight="1">
      <x:c r="A17" s="7" t="str">
        <x:v>Coupé attesté</x:v>
      </x:c>
      <x:c r="B17" s="7" t="str">
        <x:v>Contenu retiré appuyé par une source identifiée. Son état exact peut rester à relever.</x:v>
      </x:c>
      <x:c r="C17" s="2"/>
      <x:c r="D17" s="2"/>
      <x:c r="E17" s="2"/>
      <x:c r="F17" s="2"/>
    </x:row>
    <x:row r="18" ht="40" customHeight="1">
      <x:c r="A18" s="7" t="str">
        <x:v>Concept abandonné</x:v>
      </x:c>
      <x:c r="B18" s="7" t="str">
        <x:v>Piste ou prototype documenté, sans scénario final officiel présumé.</x:v>
      </x:c>
      <x:c r="C18" s="2"/>
      <x:c r="D18" s="2"/>
      <x:c r="E18" s="2"/>
      <x:c r="F18" s="2"/>
    </x:row>
    <x:row r="19" ht="40" customHeight="1">
      <x:c r="A19" s="7" t="str">
        <x:v>Allégation écartée</x:v>
      </x:c>
      <x:c r="B19" s="7" t="str">
        <x:v>Hypothèse exclue de la continuité de production. Motif donné dans la fiche.</x:v>
      </x:c>
      <x:c r="C19" s="2"/>
      <x:c r="D19" s="2"/>
      <x:c r="E19" s="2"/>
      <x:c r="F19" s="2"/>
    </x:row>
    <x:row r="20" ht="40" customHeight="1">
      <x:c r="A20" s="7" t="str">
        <x:v>Priorités</x:v>
      </x:c>
      <x:c r="B20" s="7" t="str">
        <x:v>P0 : dépendance structurante. P1 : production du module. P2 : enrichissement ultérieur.</x:v>
      </x:c>
      <x:c r="C20" s="2"/>
      <x:c r="D20" s="2"/>
      <x:c r="E20" s="2"/>
      <x:c r="F20" s="2"/>
    </x:row>
    <x:row r="21" ht="54" customHeight="1">
      <x:c r="A21" s="7" t="str">
        <x:v>Édition</x:v>
      </x:c>
      <x:c r="B21" s="7" t="str">
        <x:v>Les statuts se modifient dans les cellules ambre. Les compteurs se recalculent. Les modifications Excel ne sont pas réimportées automatiquement.</x:v>
      </x:c>
      <x:c r="C21" s="2"/>
      <x:c r="D21" s="2"/>
      <x:c r="E21" s="2"/>
      <x:c r="F21" s="2"/>
    </x:row>
    <x:row r="22" ht="40" customHeight="1">
      <x:c r="A22" s="7" t="str">
        <x:v>Régénération</x:v>
      </x:c>
      <x:c r="B22" s="7" t="str">
        <x:v>Conserver les décisions approuvées dans le catalogue JSON du dépôt avant de régénérer ce classeur.</x:v>
      </x:c>
      <x:c r="C22" s="2"/>
      <x:c r="D22" s="2"/>
      <x:c r="E22" s="2"/>
      <x:c r="F22" s="2"/>
    </x:row>
    <x:row r="23" ht="22" customHeight="1">
      <x:c r="A23" s="2"/>
      <x:c r="B23" s="2"/>
      <x:c r="C23" s="2"/>
      <x:c r="D23" s="2"/>
      <x:c r="E23" s="2"/>
      <x:c r="F23" s="2"/>
    </x:row>
    <x:row r="24" ht="22" customHeight="1">
      <x:c r="A24" s="2"/>
      <x:c r="B24" s="2"/>
      <x:c r="C24" s="2"/>
      <x:c r="D24" s="2"/>
      <x:c r="E24" s="2"/>
      <x:c r="F24" s="2"/>
    </x:row>
    <x:row r="25" ht="22" customHeight="1">
      <x:c r="A25" s="2"/>
      <x:c r="B25" s="2"/>
      <x:c r="C25" s="2"/>
      <x:c r="D25" s="2"/>
      <x:c r="E25" s="2"/>
      <x:c r="F25" s="2"/>
    </x:row>
    <x:row r="26" ht="34" customHeight="1">
      <x:c r="A26" s="28" t="str">
        <x:v>Source</x:v>
      </x:c>
      <x:c r="B26" s="29" t="str">
        <x:v>Titre</x:v>
      </x:c>
      <x:c r="C26" s="29" t="str">
        <x:v>Type</x:v>
      </x:c>
      <x:c r="D26" s="29" t="str">
        <x:v>URL</x:v>
      </x:c>
      <x:c r="E26" s="29" t="str">
        <x:v>Périmètre</x:v>
      </x:c>
      <x:c r="F26" s="30" t="str">
        <x:v>Accès et limites</x:v>
      </x:c>
    </x:row>
    <x:row r="27" ht="42" customHeight="1">
      <x:c r="A27" s="6" t="str">
        <x:v>EVO-S-BOOK</x:v>
      </x:c>
      <x:c r="B27" s="6" t="str">
        <x:v>Dark Horse — Evolution</x:v>
      </x:c>
      <x:c r="C27" s="6" t="str">
        <x:v>source officielle — notice Dark Horse via Penguin Random House</x:v>
      </x:c>
      <x:c r="D27" s="6" t="str">
        <x:v>https://www.penguinrandomhouse.com/books/241664/mass-effect-volume-2-evolution-by-mac-walters-various-artists/</x:v>
      </x:c>
      <x:c r="E27" s="6" t="str">
        <x:v>Origine de l’Homme trouble et collecte #1–4.</x:v>
      </x:c>
      <x:c r="F27" s="6" t="str">
        <x:v>Consulté le 22 octobre 2026; les faits sont paraphrasés brièvement.</x:v>
      </x:c>
    </x:row>
    <x:row r="28" ht="42" customHeight="1">
      <x:c r="A28" s="6" t="str">
        <x:v>EVO-S-AUTHOR1</x:v>
      </x:c>
      <x:c r="B28" s="6" t="str">
        <x:v>John Jackson Miller — Evolution #1</x:v>
      </x:c>
      <x:c r="C28" s="6" t="str">
        <x:v>source officielle — notes du scénariste</x:v>
      </x:c>
      <x:c r="D28" s="6" t="str">
        <x:v>https://farawaypress.com/comics/masseffectevolution/masseffectevolution1/</x:v>
      </x:c>
      <x:c r="E28" s="6" t="str">
        <x:v>Conception et éléments explicitement commentés de Evolution #1</x:v>
      </x:c>
      <x:c r="F28" s="6" t="str">
        <x:v>Consulté le 22 octobre 2026; les faits sont paraphrasés brièvement.</x:v>
      </x:c>
    </x:row>
    <x:row r="29" ht="42" customHeight="1">
      <x:c r="A29" s="6" t="str">
        <x:v>EVO-S-AUTHOR2</x:v>
      </x:c>
      <x:c r="B29" s="6" t="str">
        <x:v>John Jackson Miller — Evolution #2</x:v>
      </x:c>
      <x:c r="C29" s="6" t="str">
        <x:v>source officielle — notes du scénariste</x:v>
      </x:c>
      <x:c r="D29" s="6" t="str">
        <x:v>https://farawaypress.com/comics/masseffectevolution/masseffectevolution2/</x:v>
      </x:c>
      <x:c r="E29" s="6" t="str">
        <x:v>Conception et éléments explicitement commentés de Evolution #2</x:v>
      </x:c>
      <x:c r="F29" s="6" t="str">
        <x:v>Consulté le 22 octobre 2026; les faits sont paraphrasés brièvement.</x:v>
      </x:c>
    </x:row>
    <x:row r="30" ht="42" customHeight="1">
      <x:c r="A30" s="6" t="str">
        <x:v>EVO-S-AUTHOR3</x:v>
      </x:c>
      <x:c r="B30" s="6" t="str">
        <x:v>John Jackson Miller — Evolution #3</x:v>
      </x:c>
      <x:c r="C30" s="6" t="str">
        <x:v>source officielle — notes du scénariste</x:v>
      </x:c>
      <x:c r="D30" s="6" t="str">
        <x:v>https://farawaypress.com/comics/masseffectevolution/masseffectevolution3/</x:v>
      </x:c>
      <x:c r="E30" s="6" t="str">
        <x:v>Conception et éléments explicitement commentés de Evolution #3</x:v>
      </x:c>
      <x:c r="F30" s="6" t="str">
        <x:v>Consulté le 22 octobre 2026; les faits sont paraphrasés brièvement.</x:v>
      </x:c>
    </x:row>
    <x:row r="31" ht="42" customHeight="1">
      <x:c r="A31" s="6" t="str">
        <x:v>EVO-S-AUTHOR4</x:v>
      </x:c>
      <x:c r="B31" s="6" t="str">
        <x:v>John Jackson Miller — Evolution #4</x:v>
      </x:c>
      <x:c r="C31" s="6" t="str">
        <x:v>source officielle — notes du scénariste</x:v>
      </x:c>
      <x:c r="D31" s="6" t="str">
        <x:v>https://farawaypress.com/comics/masseffectevolution/masseffectevolution4/</x:v>
      </x:c>
      <x:c r="E31" s="6" t="str">
        <x:v>Conception et éléments explicitement commentés de Evolution #4</x:v>
      </x:c>
      <x:c r="F31" s="6" t="str">
        <x:v>Consulté le 22 octobre 2026; les faits sont paraphrasés brièvement.</x:v>
      </x:c>
    </x:row>
    <x:row r="32" ht="54" customHeight="1">
      <x:c r="A32" s="6" t="str">
        <x:v>EVO-S-EVA</x:v>
      </x:c>
      <x:c r="B32" s="6" t="str">
        <x:v>Eva Coré</x:v>
      </x:c>
      <x:c r="C32" s="6" t="str">
        <x:v>wiki — extrait indexé, à contrôler</x:v>
      </x:c>
      <x:c r="D32" s="6" t="str">
        <x:v>https://masseffect.fandom.com/wiki/Eva_Cor%C3%A9</x:v>
      </x:c>
      <x:c r="E32" s="6" t="str">
        <x:v>Jack Harper, Ben Hislop, Shanxi, Illium et Palaven.</x:v>
      </x:c>
      <x:c r="F32" s="6" t="str">
        <x:v>Contenu lu dans le résultat de recherche indexé; ouverture directe Fandom restreinte ou en erreur. Comparaison avec le comic autorisé requise.</x:v>
      </x:c>
    </x:row>
    <x:row r="33" ht="22" customHeight="1">
      <x:c r="A33" s="2"/>
      <x:c r="B33" s="2"/>
      <x:c r="C33" s="2"/>
      <x:c r="D33" s="2"/>
      <x:c r="E33" s="2"/>
      <x:c r="F33" s="2"/>
    </x:row>
    <x:row r="34" ht="22" customHeight="1">
      <x:c r="A34" s="2"/>
      <x:c r="B34" s="2"/>
      <x:c r="C34" s="2"/>
      <x:c r="D34" s="2"/>
      <x:c r="E34" s="2"/>
      <x:c r="F34" s="2"/>
    </x:row>
    <x:row r="35" ht="22" customHeight="1">
      <x:c r="A35" s="2"/>
      <x:c r="B35" s="2"/>
      <x:c r="C35" s="2"/>
      <x:c r="D35" s="2"/>
      <x:c r="E35" s="2"/>
      <x:c r="F35" s="2"/>
    </x:row>
    <x:row r="36" ht="34" customHeight="1">
      <x:c r="A36" s="28" t="str">
        <x:v>Domaine</x:v>
      </x:c>
      <x:c r="B36" s="29" t="str">
        <x:v>Couverture actuelle</x:v>
      </x:c>
      <x:c r="C36" s="30" t="str">
        <x:v>Travail restant</x:v>
      </x:c>
      <x:c r="D36" s="2"/>
      <x:c r="E36" s="2"/>
      <x:c r="F36" s="2"/>
    </x:row>
    <x:row r="37" ht="68" customHeight="1">
      <x:c r="A37" s="6" t="str">
        <x:v>characters</x:v>
      </x:c>
      <x:c r="B37" s="6" t="str">
        <x:v>4 fiche(s) : Jack Harper; Eva Coré; Ben Hislop; Desolas Arterius</x:v>
      </x:c>
      <x:c r="C37" s="6" t="str">
        <x:v>Comparer les détails marqués À vérifier à une édition autorisée; les sources éditoriales n’attestent pas chaque détail graphique.</x:v>
      </x:c>
      <x:c r="D37" s="2"/>
      <x:c r="E37" s="2"/>
      <x:c r="F37" s="2"/>
    </x:row>
    <x:row r="38" ht="68" customHeight="1">
      <x:c r="A38" s="6" t="str">
        <x:v>npcs</x:v>
      </x:c>
      <x:c r="B38" s="6" t="str">
        <x:v>3 fiche(s) : Saren Arterius; Lieutenant Abrudas; Général Williams</x:v>
      </x:c>
      <x:c r="C38" s="6" t="str">
        <x:v>Comparer les détails marqués À vérifier à une édition autorisée; les sources éditoriales n’attestent pas chaque détail graphique.</x:v>
      </x:c>
      <x:c r="D38" s="2"/>
      <x:c r="E38" s="2"/>
      <x:c r="F38" s="2"/>
    </x:row>
    <x:row r="39" ht="68" customHeight="1">
      <x:c r="A39" s="6" t="str">
        <x:v>lore</x:v>
      </x:c>
      <x:c r="B39" s="6" t="str">
        <x:v>10 fiche(s) : Origine de l’Homme trouble; Frontière entre guerre et après-guerre; Contact direct et indirect; Dénomination Meta-turian</x:v>
      </x:c>
      <x:c r="C39" s="6" t="str">
        <x:v>Comparer les détails marqués À vérifier à une édition autorisée; les sources éditoriales n’attestent pas chaque détail graphique.</x:v>
      </x:c>
      <x:c r="D39" s="2"/>
      <x:c r="E39" s="2"/>
      <x:c r="F39" s="2"/>
    </x:row>
    <x:row r="40" ht="68" customHeight="1">
      <x:c r="A40" s="6" t="str">
        <x:v>worlds</x:v>
      </x:c>
      <x:c r="B40" s="6" t="str">
        <x:v>4 fiche(s) : Shanxi; Arcturus Station; Illium; Palaven</x:v>
      </x:c>
      <x:c r="C40" s="6" t="str">
        <x:v>Comparer les détails marqués À vérifier à une édition autorisée; les sources éditoriales n’attestent pas chaque détail graphique.</x:v>
      </x:c>
      <x:c r="D40" s="2"/>
      <x:c r="E40" s="2"/>
      <x:c r="F40" s="2"/>
    </x:row>
    <x:row r="41" ht="54" customHeight="1">
      <x:c r="A41" s="6" t="str">
        <x:v>zones</x:v>
      </x:c>
      <x:c r="B41" s="6" t="str">
        <x:v>4 fiche(s) : Shanxi — espace jouable proposé; Arcturus Station — espace jouable proposé; Illium — espace jouable proposé; Palaven — espace jouable proposé</x:v>
      </x:c>
      <x:c r="C41" s="6" t="str">
        <x:v>Prototyper les règles proposées et exécuter les critères de recette; aucune fiche n’est déclarée intégrée ou validée.</x:v>
      </x:c>
      <x:c r="D41" s="2"/>
      <x:c r="E41" s="2"/>
      <x:c r="F41" s="2"/>
    </x:row>
    <x:row r="42" ht="54" customHeight="1">
      <x:c r="A42" s="6" t="str">
        <x:v>links</x:v>
      </x:c>
      <x:c r="B42" s="6" t="str">
        <x:v>4 fiche(s) : Shanxi — accès et sortie; Arcturus Station — accès et sortie; Illium — accès et sortie; Palaven — accès et sortie</x:v>
      </x:c>
      <x:c r="C42" s="6" t="str">
        <x:v>Prototyper les règles proposées et exécuter les critères de recette; aucune fiche n’est déclarée intégrée ou validée.</x:v>
      </x:c>
      <x:c r="D42" s="2"/>
      <x:c r="E42" s="2"/>
      <x:c r="F42" s="2"/>
    </x:row>
    <x:row r="43" ht="54" customHeight="1">
      <x:c r="A43" s="6" t="str">
        <x:v>scenery</x:v>
      </x:c>
      <x:c r="B43" s="6" t="str">
        <x:v>4 fiche(s) : Shanxi — décor et repère; Arcturus Station — décor et repère; Illium — décor et repère; Palaven — décor et repère</x:v>
      </x:c>
      <x:c r="C43" s="6" t="str">
        <x:v>Produire les assets originaux puis vérifier en situation; ce catalogue ne livre ni image, ni son, ni animation.</x:v>
      </x:c>
      <x:c r="D43" s="2"/>
      <x:c r="E43" s="2"/>
      <x:c r="F43" s="2"/>
    </x:row>
    <x:row r="44" ht="54" customHeight="1">
      <x:c r="A44" s="6" t="str">
        <x:v>props</x:v>
      </x:c>
      <x:c r="B44" s="6" t="str">
        <x:v>6 fiche(s) : Balise de regroupement; Sonde de distance; Dossier de transition; Manifeste de livraison</x:v>
      </x:c>
      <x:c r="C44" s="6" t="str">
        <x:v>Prototyper les règles proposées et exécuter les critères de recette; aucune fiche n’est déclarée intégrée ou validée.</x:v>
      </x:c>
      <x:c r="D44" s="2"/>
      <x:c r="E44" s="2"/>
      <x:c r="F44" s="2"/>
    </x:row>
    <x:row r="45" ht="54" customHeight="1">
      <x:c r="A45" s="6" t="str">
        <x:v>enemies</x:v>
      </x:c>
      <x:c r="B45" s="6" t="str">
        <x:v>3 fiche(s) : Patrouille turienne; Meta-turiens; Ben transformé — rencontre proposée</x:v>
      </x:c>
      <x:c r="C45" s="6" t="str">
        <x:v>Prototyper les règles proposées et exécuter les critères de recette; aucune fiche n’est déclarée intégrée ou validée.</x:v>
      </x:c>
      <x:c r="D45" s="2"/>
      <x:c r="E45" s="2"/>
      <x:c r="F45" s="2"/>
    </x:row>
    <x:row r="46" ht="54" customHeight="1">
      <x:c r="A46" s="6" t="str">
        <x:v>main_quests</x:v>
      </x:c>
      <x:c r="B46" s="6" t="str">
        <x:v>6 fiche(s) : Résistance sur Shanxi — objectif jouable; Proximité de l’Arca Monolith — objectif jouable; Après la guerre — objectif jouable; Piste sur Illium — objectif jouable</x:v>
      </x:c>
      <x:c r="C46" s="6" t="str">
        <x:v>Prototyper les règles proposées et exécuter les critères de recette; aucune fiche n’est déclarée intégrée ou validée.</x:v>
      </x:c>
      <x:c r="D46" s="2"/>
      <x:c r="E46" s="2"/>
      <x:c r="F46" s="2"/>
    </x:row>
    <x:row r="47" ht="54" customHeight="1">
      <x:c r="A47" s="6" t="str">
        <x:v>side_quests</x:v>
      </x:c>
      <x:c r="B47" s="6" t="str">
        <x:v>6 fiche(s) : Observer le cycle de patrouille; Marquer l’issue de la cavité; Reconstituer le matériel perdu; Vérifier l’issue industrielle</x:v>
      </x:c>
      <x:c r="C47" s="6" t="str">
        <x:v>Prototyper les règles proposées et exécuter les critères de recette; aucune fiche n’est déclarée intégrée ou validée.</x:v>
      </x:c>
      <x:c r="D47" s="2"/>
      <x:c r="E47" s="2"/>
      <x:c r="F47" s="2"/>
    </x:row>
    <x:row r="48" ht="54" customHeight="1">
      <x:c r="A48" s="6" t="str">
        <x:v>choices</x:v>
      </x:c>
      <x:c r="B48" s="6" t="str">
        <x:v>6 fiche(s) : Résistance sur Shanxi — stratégie locale; Proximité de l’Arca Monolith — stratégie locale; Après la guerre — stratégie locale; Piste sur Illium — stratégie locale</x:v>
      </x:c>
      <x:c r="C48" s="6" t="str">
        <x:v>Prototyper les règles proposées et exécuter les critères de recette; aucune fiche n’est déclarée intégrée ou validée.</x:v>
      </x:c>
      <x:c r="D48" s="2"/>
      <x:c r="E48" s="2"/>
      <x:c r="F48" s="2"/>
    </x:row>
    <x:row r="49" ht="68" customHeight="1">
      <x:c r="A49" s="6" t="str">
        <x:v>dialogues</x:v>
      </x:c>
      <x:c r="B49" s="6" t="str">
        <x:v>6 fiche(s) : Résistance sur Shanxi — intentions de conversation; Proximité de l’Arca Monolith — intentions de conversation; Après la guerre — intentions de conversation; Piste sur Illium — intentions de conversation</x:v>
      </x:c>
      <x:c r="C49" s="6" t="str">
        <x:v>Prototyper les règles proposées et exécuter les critères de recette; aucune fiche n’est déclarée intégrée ou validée.</x:v>
      </x:c>
      <x:c r="D49" s="2"/>
      <x:c r="E49" s="2"/>
      <x:c r="F49" s="2"/>
    </x:row>
    <x:row r="50" ht="68" customHeight="1">
      <x:c r="A50" s="6" t="str">
        <x:v>cinematics</x:v>
      </x:c>
      <x:c r="B50" s="6" t="str">
        <x:v>6 fiche(s) : Résistance sur Shanxi — raccord mis en scène; Proximité de l’Arca Monolith — raccord mis en scène; Après la guerre — raccord mis en scène; Piste sur Illium — raccord mis en scène</x:v>
      </x:c>
      <x:c r="C50" s="6" t="str">
        <x:v>Prototyper les règles proposées et exécuter les critères de recette; aucune fiche n’est déclarée intégrée ou validée.</x:v>
      </x:c>
      <x:c r="D50" s="2"/>
      <x:c r="E50" s="2"/>
      <x:c r="F50" s="2"/>
    </x:row>
    <x:row r="51" ht="54" customHeight="1">
      <x:c r="A51" s="6" t="str">
        <x:v>weapons</x:v>
      </x:c>
      <x:c r="B51" s="6" t="str">
        <x:v>1 fiche(s) : Fusil de résistance proposé</x:v>
      </x:c>
      <x:c r="C51" s="6" t="str">
        <x:v>Prototyper les règles proposées et exécuter les critères de recette; aucune fiche n’est déclarée intégrée ou validée.</x:v>
      </x:c>
      <x:c r="D51" s="2"/>
      <x:c r="E51" s="2"/>
      <x:c r="F51" s="2"/>
    </x:row>
    <x:row r="52" ht="54" customHeight="1">
      <x:c r="A52" s="6" t="str">
        <x:v>equipment</x:v>
      </x:c>
      <x:c r="B52" s="6" t="str">
        <x:v>1 fiche(s) : Sonde d’observation limitée</x:v>
      </x:c>
      <x:c r="C52" s="6" t="str">
        <x:v>Prototyper les règles proposées et exécuter les critères de recette; aucune fiche n’est déclarée intégrée ou validée.</x:v>
      </x:c>
      <x:c r="D52" s="2"/>
      <x:c r="E52" s="2"/>
      <x:c r="F52" s="2"/>
    </x:row>
    <x:row r="53" ht="54" customHeight="1">
      <x:c r="A53" s="6" t="str">
        <x:v>powers</x:v>
      </x:c>
      <x:c r="B53" s="6" t="str">
        <x:v>1 fiche(s) : Perception de Jack — traduction proposée</x:v>
      </x:c>
      <x:c r="C53" s="6" t="str">
        <x:v>Prototyper les règles proposées et exécuter les critères de recette; aucune fiche n’est déclarée intégrée ou validée.</x:v>
      </x:c>
      <x:c r="D53" s="2"/>
      <x:c r="E53" s="2"/>
      <x:c r="F53" s="2"/>
    </x:row>
    <x:row r="54" ht="54" customHeight="1">
      <x:c r="A54" s="6" t="str">
        <x:v>ally_moves</x:v>
      </x:c>
      <x:c r="B54" s="6" t="str">
        <x:v>2 fiche(s) : Lecture d’ouverture; Appui croisé</x:v>
      </x:c>
      <x:c r="C54" s="6" t="str">
        <x:v>Prototyper les règles proposées et exécuter les critères de recette; aucune fiche n’est déclarée intégrée ou validée.</x:v>
      </x:c>
      <x:c r="D54" s="2"/>
      <x:c r="E54" s="2"/>
      <x:c r="F54" s="2"/>
    </x:row>
    <x:row r="55" ht="54" customHeight="1">
      <x:c r="A55" s="6" t="str">
        <x:v>enemy_moves</x:v>
      </x:c>
      <x:c r="B55" s="6" t="str">
        <x:v>6 fiche(s) : Balayage synchronisé; Couverture de camarade; Marche au signal; Retour à l’artefact</x:v>
      </x:c>
      <x:c r="C55" s="6" t="str">
        <x:v>Prototyper les règles proposées et exécuter les critères de recette; aucune fiche n’est déclarée intégrée ou validée.</x:v>
      </x:c>
      <x:c r="D55" s="2"/>
      <x:c r="E55" s="2"/>
      <x:c r="F55" s="2"/>
    </x:row>
    <x:row r="56" ht="54" customHeight="1">
      <x:c r="A56" s="6" t="str">
        <x:v>animations</x:v>
      </x:c>
      <x:c r="B56" s="6" t="str">
        <x:v>7 fiche(s) : Jack Harper — jeu de poses; Eva Coré — jeu de poses; Ben Hislop — jeu de poses; Desolas Arterius — jeu de poses</x:v>
      </x:c>
      <x:c r="C56" s="6" t="str">
        <x:v>Produire les assets originaux puis vérifier en situation; ce catalogue ne livre ni image, ni son, ni animation.</x:v>
      </x:c>
      <x:c r="D56" s="2"/>
      <x:c r="E56" s="2"/>
      <x:c r="F56" s="2"/>
    </x:row>
    <x:row r="57" ht="54" customHeight="1">
      <x:c r="A57" s="6" t="str">
        <x:v>sprites</x:v>
      </x:c>
      <x:c r="B57" s="6" t="str">
        <x:v>7 fiche(s) : Jack Harper — planche de sprites; Eva Coré — planche de sprites; Ben Hislop — planche de sprites; Desolas Arterius — planche de sprites</x:v>
      </x:c>
      <x:c r="C57" s="6" t="str">
        <x:v>Produire les assets originaux puis vérifier en situation; ce catalogue ne livre ni image, ni son, ni animation.</x:v>
      </x:c>
      <x:c r="D57" s="2"/>
      <x:c r="E57" s="2"/>
      <x:c r="F57" s="2"/>
    </x:row>
    <x:row r="58" ht="54" customHeight="1">
      <x:c r="A58" s="6" t="str">
        <x:v>vfx</x:v>
      </x:c>
      <x:c r="B58" s="6" t="str">
        <x:v>6 fiche(s) : Résistance sur Shanxi — signal visuel; Proximité de l’Arca Monolith — signal visuel; Après la guerre — signal visuel; Piste sur Illium — signal visuel</x:v>
      </x:c>
      <x:c r="C58" s="6" t="str">
        <x:v>Produire les assets originaux puis vérifier en situation; ce catalogue ne livre ni image, ni son, ni animation.</x:v>
      </x:c>
      <x:c r="D58" s="2"/>
      <x:c r="E58" s="2"/>
      <x:c r="F58" s="2"/>
    </x:row>
    <x:row r="59" ht="54" customHeight="1">
      <x:c r="A59" s="6" t="str">
        <x:v>audio</x:v>
      </x:c>
      <x:c r="B59" s="6" t="str">
        <x:v>4 fiche(s) : Shanxi — paysage sonore; Arcturus Station — paysage sonore; Illium — paysage sonore; Palaven — paysage sonore</x:v>
      </x:c>
      <x:c r="C59" s="6" t="str">
        <x:v>Produire les assets originaux puis vérifier en situation; ce catalogue ne livre ni image, ni son, ni animation.</x:v>
      </x:c>
      <x:c r="D59" s="2"/>
      <x:c r="E59" s="2"/>
      <x:c r="F59" s="2"/>
    </x:row>
    <x:row r="60" ht="54" customHeight="1">
      <x:c r="A60" s="6" t="str">
        <x:v>systems</x:v>
      </x:c>
      <x:c r="B60" s="6" t="str">
        <x:v>4 fiche(s) : Journal à deux niveaux; Groupe propre au chapitre; Rythme ATB proposé; Sauvegarde des modules</x:v>
      </x:c>
      <x:c r="C60" s="6" t="str">
        <x:v>Prototyper les règles proposées et exécuter les critères de recette; aucune fiche n’est déclarée intégrée ou validée.</x:v>
      </x:c>
      <x:c r="D60" s="2"/>
      <x:c r="E60" s="2"/>
      <x:c r="F60" s="2"/>
    </x:row>
    <x:row r="61" ht="68" customHeight="1">
      <x:c r="A61" s="6" t="str">
        <x:v>qa</x:v>
      </x:c>
      <x:c r="B61" s="6" t="str">
        <x:v>9 fiche(s) : Résistance sur Shanxi — contrôle du parcours; Proximité de l’Arca Monolith — contrôle du parcours; Après la guerre — contrôle du parcours; Piste sur Illium — contrôle du parcours</x:v>
      </x:c>
      <x:c r="C61" s="6" t="str">
        <x:v>Prototyper les règles proposées et exécuter les critères de recette; aucune fiche n’est déclarée intégrée ou validée.</x:v>
      </x:c>
      <x:c r="D61" s="2"/>
      <x:c r="E61" s="2"/>
      <x:c r="F61" s="2"/>
    </x:row>
    <x:row r="62" ht="68" customHeight="1">
      <x:c r="A62" s="6" t="str">
        <x:v>continuity</x:v>
      </x:c>
      <x:c r="B62" s="6" t="str">
        <x:v>2 fiche(s) : Position dans l’univers; Contenus non attestés</x:v>
      </x:c>
      <x:c r="C62" s="6" t="str">
        <x:v>Comparer les détails marqués À vérifier à une édition autorisée; les sources éditoriales n’attestent pas chaque détail graphique.</x:v>
      </x:c>
      <x:c r="D62" s="2"/>
      <x:c r="E62" s="2"/>
      <x:c r="F62" s="2"/>
    </x:row>
    <x:row r="63" ht="96" customHeight="1">
      <x:c r="A63" s="6" t="str">
        <x:v>Complément pouvoirs, modules et lectures</x:v>
      </x:c>
      <x:c r="B63" s="6" t="str">
        <x:v>0 fiches de pouvoirs effectivement utilisées, 0 familles de modules préparables et 5 références au stade Prototype consultables dans des lectures documentaires. Les chemins et preuves sont inscrits sur les seules lignes Prototype.</x:v>
      </x:c>
      <x:c r="C63" s="6" t="str">
        <x:v>Arbres et progression complets, modèles et rangs exacts, campagnes et dialogues intégraux, niveaux et ressources visuelles propres à l’œuvre restent à réaliser ou vérifier. Les références lues ne rendent pas leurs personnages jouables.</x:v>
      </x:c>
      <x:c r="D63" s="2"/>
      <x:c r="E63" s="2"/>
      <x:c r="F63" s="2"/>
    </x:row>
    <x:row r="64" ht="96" customHeight="1">
      <x:c r="A64" s="6" t="str">
        <x:v>Complément lectures contextualisées</x:v>
      </x:c>
      <x:c r="B64" s="6" t="str">
        <x:v>1 références supplémentaires au stade Prototype dans 1 parcours de lecture (1 pages de paraphrases documentaires sourcées), limités à leurs segments exacts.</x:v>
      </x:c>
      <x:c r="C64" s="6" t="str">
        <x:v>Les faits, références, sources et réserves d’origine sont conservés. Ces lectures ne constituent ni un découpage intégral, ni une scène jouable, ni un recrutement ; modèles, voix et animations de l’œuvre ne sont pas produits.</x:v>
      </x:c>
      <x:c r="D64" s="2"/>
      <x:c r="E64" s="2"/>
      <x:c r="F64" s="2"/>
    </x:row>
    <x:row r="65" ht="22" customHeight="1">
      <x:c r="A65" s="2"/>
      <x:c r="B65" s="2"/>
      <x:c r="C65" s="2"/>
      <x:c r="D65" s="2"/>
      <x:c r="E65" s="2"/>
      <x:c r="F65" s="2"/>
    </x:row>
    <x:row r="66" ht="22" customHeight="1">
      <x:c r="A66" s="2"/>
      <x:c r="B66" s="2"/>
      <x:c r="C66" s="2"/>
      <x:c r="D66" s="2"/>
      <x:c r="E66" s="2"/>
      <x:c r="F66" s="2"/>
    </x:row>
    <x:row r="67" ht="22" customHeight="1">
      <x:c r="A67" s="2"/>
      <x:c r="B67" s="2"/>
      <x:c r="C67" s="2"/>
      <x:c r="D67" s="2"/>
      <x:c r="E67" s="2"/>
      <x:c r="F67" s="2"/>
    </x:row>
    <x:row r="68" ht="22" customHeight="1">
      <x:c r="A68" s="2"/>
      <x:c r="B68" s="2"/>
      <x:c r="C68" s="2"/>
      <x:c r="D68" s="2"/>
      <x:c r="E68" s="2"/>
      <x:c r="F68" s="2"/>
    </x:row>
    <x:row r="69" ht="22" customHeight="1">
      <x:c r="A69" s="2"/>
      <x:c r="B69" s="2"/>
      <x:c r="C69" s="2"/>
      <x:c r="D69" s="2"/>
      <x:c r="E69" s="2"/>
      <x:c r="F69" s="2"/>
    </x:row>
    <x:row r="70" ht="22" customHeight="1">
      <x:c r="A70" s="2"/>
      <x:c r="B70" s="2"/>
      <x:c r="C70" s="2"/>
      <x:c r="D70" s="2"/>
      <x:c r="E70" s="2"/>
      <x:c r="F70" s="2"/>
    </x:row>
    <x:row r="71" ht="22" customHeight="1">
      <x:c r="A71" s="2"/>
      <x:c r="B71" s="2"/>
      <x:c r="C71" s="2"/>
      <x:c r="D71" s="2"/>
      <x:c r="E71" s="2"/>
      <x:c r="F71" s="2"/>
    </x:row>
    <x:row r="72" ht="22" customHeight="1">
      <x:c r="A72" s="2"/>
      <x:c r="B72" s="2"/>
      <x:c r="C72" s="2"/>
      <x:c r="D72" s="2"/>
      <x:c r="E72" s="2"/>
      <x:c r="F72" s="2"/>
    </x:row>
    <x:row r="73" ht="22" customHeight="1">
      <x:c r="A73" s="2"/>
      <x:c r="B73" s="2"/>
      <x:c r="C73" s="2"/>
      <x:c r="D73" s="2"/>
      <x:c r="E73" s="2"/>
      <x:c r="F73" s="2"/>
    </x:row>
    <x:row r="74" ht="22" customHeight="1">
      <x:c r="A74" s="2"/>
      <x:c r="B74" s="2"/>
      <x:c r="C74" s="2"/>
      <x:c r="D74" s="2"/>
      <x:c r="E74" s="2"/>
      <x:c r="F74" s="2"/>
    </x:row>
    <x:row r="75" ht="22" customHeight="1">
      <x:c r="A75" s="2"/>
      <x:c r="B75" s="2"/>
      <x:c r="C75" s="2"/>
      <x:c r="D75" s="2"/>
      <x:c r="E75" s="2"/>
      <x:c r="F75" s="2"/>
    </x:row>
    <x:row r="76" ht="22" customHeight="1">
      <x:c r="A76" s="2"/>
      <x:c r="B76" s="2"/>
      <x:c r="C76" s="2"/>
      <x:c r="D76" s="2"/>
      <x:c r="E76" s="2"/>
      <x:c r="F76" s="2"/>
    </x:row>
    <x:row r="77" ht="22" customHeight="1">
      <x:c r="A77" s="2"/>
      <x:c r="B77" s="2"/>
      <x:c r="C77" s="2"/>
      <x:c r="D77" s="2"/>
      <x:c r="E77" s="2"/>
      <x:c r="F77" s="2"/>
    </x:row>
    <x:row r="78" ht="22" customHeight="1">
      <x:c r="A78" s="2"/>
      <x:c r="B78" s="2"/>
      <x:c r="C78" s="2"/>
      <x:c r="D78" s="2"/>
      <x:c r="E78" s="2"/>
      <x:c r="F78" s="2"/>
    </x:row>
    <x:row r="79" ht="22" customHeight="1">
      <x:c r="A79" s="2"/>
      <x:c r="B79" s="2"/>
      <x:c r="C79" s="2"/>
      <x:c r="D79" s="2"/>
      <x:c r="E79" s="2"/>
      <x:c r="F79" s="2"/>
    </x:row>
    <x:row r="80" ht="22" customHeight="1">
      <x:c r="A80" s="2"/>
      <x:c r="B80" s="2"/>
      <x:c r="C80" s="2"/>
      <x:c r="D80" s="2"/>
      <x:c r="E80" s="2"/>
      <x:c r="F80" s="2"/>
    </x:row>
    <x:row r="81" ht="22" customHeight="1">
      <x:c r="A81" s="2"/>
      <x:c r="B81" s="2"/>
      <x:c r="C81" s="2"/>
      <x:c r="D81" s="2"/>
      <x:c r="E81" s="2"/>
      <x:c r="F81" s="2"/>
    </x:row>
    <x:row r="82" ht="22" customHeight="1">
      <x:c r="A82" s="2"/>
      <x:c r="B82" s="2"/>
      <x:c r="C82" s="2"/>
      <x:c r="D82" s="2"/>
      <x:c r="E82" s="2"/>
      <x:c r="F82" s="2"/>
    </x:row>
    <x:row r="83" ht="22" customHeight="1">
      <x:c r="A83" s="2"/>
      <x:c r="B83" s="2"/>
      <x:c r="C83" s="2"/>
      <x:c r="D83" s="2"/>
      <x:c r="E83" s="2"/>
      <x:c r="F83" s="2"/>
    </x:row>
    <x:row r="84" ht="22" customHeight="1">
      <x:c r="A84" s="2"/>
      <x:c r="B84" s="2"/>
      <x:c r="C84" s="2"/>
      <x:c r="D84" s="2"/>
      <x:c r="E84" s="2"/>
      <x:c r="F84" s="2"/>
    </x:row>
    <x:row r="85" ht="22" customHeight="1">
      <x:c r="A85" s="2"/>
      <x:c r="B85" s="2"/>
      <x:c r="C85" s="2"/>
      <x:c r="D85" s="2"/>
      <x:c r="E85" s="2"/>
      <x:c r="F85" s="2"/>
    </x:row>
    <x:row r="86" ht="22" customHeight="1">
      <x:c r="A86" s="2"/>
      <x:c r="B86" s="2"/>
      <x:c r="C86" s="2"/>
      <x:c r="D86" s="2"/>
      <x:c r="E86" s="2"/>
      <x:c r="F86" s="2"/>
    </x:row>
    <x:row r="87" ht="22" customHeight="1">
      <x:c r="A87" s="2"/>
      <x:c r="B87" s="2"/>
      <x:c r="C87" s="2"/>
      <x:c r="D87" s="2"/>
      <x:c r="E87" s="2"/>
      <x:c r="F87" s="2"/>
    </x:row>
    <x:row r="88" ht="22" customHeight="1">
      <x:c r="A88" s="2"/>
      <x:c r="B88" s="2"/>
      <x:c r="C88" s="2"/>
      <x:c r="D88" s="2"/>
      <x:c r="E88" s="2"/>
      <x:c r="F88" s="2"/>
    </x:row>
    <x:row r="89" ht="22" customHeight="1">
      <x:c r="A89" s="2"/>
      <x:c r="B89" s="2"/>
      <x:c r="C89" s="2"/>
      <x:c r="D89" s="2"/>
      <x:c r="E89" s="2"/>
      <x:c r="F89" s="2"/>
    </x:row>
    <x:row r="90" ht="22" customHeight="1">
      <x:c r="A90" s="2"/>
      <x:c r="B90" s="2"/>
      <x:c r="C90" s="2"/>
      <x:c r="D90" s="2"/>
      <x:c r="E90" s="2"/>
      <x:c r="F90" s="2"/>
    </x:row>
    <x:row r="91" ht="22" customHeight="1">
      <x:c r="A91" s="2"/>
      <x:c r="B91" s="2"/>
      <x:c r="C91" s="2"/>
      <x:c r="D91" s="2"/>
      <x:c r="E91" s="2"/>
      <x:c r="F91" s="2"/>
    </x:row>
    <x:row r="92" ht="22" customHeight="1">
      <x:c r="A92" s="2"/>
      <x:c r="B92" s="2"/>
      <x:c r="C92" s="2"/>
      <x:c r="D92" s="2"/>
      <x:c r="E92" s="2"/>
      <x:c r="F92" s="2"/>
    </x:row>
    <x:row r="93" ht="22" customHeight="1">
      <x:c r="A93" s="2"/>
      <x:c r="B93" s="2"/>
      <x:c r="C93" s="2"/>
      <x:c r="D93" s="2"/>
      <x:c r="E93" s="2"/>
      <x:c r="F93" s="2"/>
    </x:row>
    <x:row r="94" ht="22" customHeight="1">
      <x:c r="A94" s="2"/>
      <x:c r="B94" s="2"/>
      <x:c r="C94" s="2"/>
      <x:c r="D94" s="2"/>
      <x:c r="E94" s="2"/>
      <x:c r="F94" s="2"/>
    </x:row>
    <x:row r="95" ht="22" customHeight="1">
      <x:c r="A95" s="2"/>
      <x:c r="B95" s="2"/>
      <x:c r="C95" s="2"/>
      <x:c r="D95" s="2"/>
      <x:c r="E95" s="2"/>
      <x:c r="F95" s="2"/>
    </x:row>
    <x:row r="96" ht="22" customHeight="1">
      <x:c r="A96" s="2"/>
      <x:c r="B96" s="2"/>
      <x:c r="C96" s="2"/>
      <x:c r="D96" s="2"/>
      <x:c r="E96" s="2"/>
      <x:c r="F96" s="2"/>
    </x:row>
    <x:row r="97" ht="22" customHeight="1">
      <x:c r="A97" s="2"/>
      <x:c r="B97" s="2"/>
      <x:c r="C97" s="2"/>
      <x:c r="D97" s="2"/>
      <x:c r="E97" s="2"/>
      <x:c r="F97" s="2"/>
    </x:row>
    <x:row r="98" ht="22" customHeight="1">
      <x:c r="A98" s="2"/>
      <x:c r="B98" s="2"/>
      <x:c r="C98" s="2"/>
      <x:c r="D98" s="2"/>
      <x:c r="E98" s="2"/>
      <x:c r="F98" s="2"/>
    </x:row>
    <x:row r="99" ht="22" customHeight="1">
      <x:c r="A99" s="2"/>
      <x:c r="B99" s="2"/>
      <x:c r="C99" s="2"/>
      <x:c r="D99" s="2"/>
      <x:c r="E99" s="2"/>
      <x:c r="F99" s="2"/>
    </x:row>
    <x:row r="100" ht="22" customHeight="1">
      <x:c r="A100" s="2"/>
      <x:c r="B100" s="2"/>
      <x:c r="C100" s="2"/>
      <x:c r="D100" s="2"/>
      <x:c r="E100" s="2"/>
      <x:c r="F100" s="2"/>
    </x:row>
    <x:row r="101" ht="22" customHeight="1">
      <x:c r="A101" s="2"/>
      <x:c r="B101" s="2"/>
      <x:c r="C101" s="2"/>
      <x:c r="D101" s="2"/>
      <x:c r="E101" s="2"/>
      <x:c r="F101" s="2"/>
    </x:row>
    <x:row r="102" ht="22" customHeight="1">
      <x:c r="A102" s="2"/>
      <x:c r="B102" s="2"/>
      <x:c r="C102" s="2"/>
      <x:c r="D102" s="2"/>
      <x:c r="E102" s="2"/>
      <x:c r="F102" s="2"/>
    </x:row>
    <x:row r="103" ht="22" customHeight="1">
      <x:c r="A103" s="2"/>
      <x:c r="B103" s="2"/>
      <x:c r="C103" s="2"/>
      <x:c r="D103" s="2"/>
      <x:c r="E103" s="2"/>
      <x:c r="F103" s="2"/>
    </x:row>
    <x:row r="104" ht="22" customHeight="1">
      <x:c r="A104" s="2"/>
      <x:c r="B104" s="2"/>
      <x:c r="C104" s="2"/>
      <x:c r="D104" s="2"/>
      <x:c r="E104" s="2"/>
      <x:c r="F104" s="2"/>
    </x:row>
    <x:row r="105" ht="22" customHeight="1">
      <x:c r="A105" s="2"/>
      <x:c r="B105" s="2"/>
      <x:c r="C105" s="2"/>
      <x:c r="D105" s="2"/>
      <x:c r="E105" s="2"/>
      <x:c r="F105" s="2"/>
    </x:row>
    <x:row r="106" ht="22" customHeight="1">
      <x:c r="A106" s="2"/>
      <x:c r="B106" s="2"/>
      <x:c r="C106" s="2"/>
      <x:c r="D106" s="2"/>
      <x:c r="E106" s="2"/>
      <x:c r="F106" s="2"/>
    </x:row>
    <x:row r="107" ht="22" customHeight="1">
      <x:c r="A107" s="2"/>
      <x:c r="B107" s="2"/>
      <x:c r="C107" s="2"/>
      <x:c r="D107" s="2"/>
      <x:c r="E107" s="2"/>
      <x:c r="F107" s="2"/>
    </x:row>
    <x:row r="108" ht="22" customHeight="1">
      <x:c r="A108" s="2"/>
      <x:c r="B108" s="2"/>
      <x:c r="C108" s="2"/>
      <x:c r="D108" s="2"/>
      <x:c r="E108" s="2"/>
      <x:c r="F108" s="2"/>
    </x:row>
    <x:row r="109" ht="22" customHeight="1">
      <x:c r="A109" s="2"/>
      <x:c r="B109" s="2"/>
      <x:c r="C109" s="2"/>
      <x:c r="D109" s="2"/>
      <x:c r="E109" s="2"/>
      <x:c r="F109" s="2"/>
    </x:row>
    <x:row r="110" ht="22" customHeight="1">
      <x:c r="A110" s="2"/>
      <x:c r="B110" s="2"/>
      <x:c r="C110" s="2"/>
      <x:c r="D110" s="2"/>
      <x:c r="E110" s="2"/>
      <x:c r="F110" s="2"/>
    </x:row>
    <x:row r="111" ht="22" customHeight="1">
      <x:c r="A111" s="2"/>
      <x:c r="B111" s="2"/>
      <x:c r="C111" s="2"/>
      <x:c r="D111" s="2"/>
      <x:c r="E111" s="2"/>
      <x:c r="F111" s="2"/>
    </x:row>
    <x:row r="112" ht="22" customHeight="1">
      <x:c r="A112" s="2"/>
      <x:c r="B112" s="2"/>
      <x:c r="C112" s="2"/>
      <x:c r="D112" s="2"/>
      <x:c r="E112" s="2"/>
      <x:c r="F112" s="2"/>
    </x:row>
    <x:row r="113" ht="22" customHeight="1">
      <x:c r="A113" s="2"/>
      <x:c r="B113" s="2"/>
      <x:c r="C113" s="2"/>
      <x:c r="D113" s="2"/>
      <x:c r="E113" s="2"/>
      <x:c r="F113" s="2"/>
    </x:row>
    <x:row r="114" ht="22" customHeight="1">
      <x:c r="A114" s="2"/>
      <x:c r="B114" s="2"/>
      <x:c r="C114" s="2"/>
      <x:c r="D114" s="2"/>
      <x:c r="E114" s="2"/>
      <x:c r="F114" s="2"/>
    </x:row>
    <x:row r="115" ht="22" customHeight="1">
      <x:c r="A115" s="2"/>
      <x:c r="B115" s="2"/>
      <x:c r="C115" s="2"/>
      <x:c r="D115" s="2"/>
      <x:c r="E115" s="2"/>
      <x:c r="F115" s="2"/>
    </x:row>
    <x:row r="116" ht="22" customHeight="1">
      <x:c r="A116" s="2"/>
      <x:c r="B116" s="2"/>
      <x:c r="C116" s="2"/>
      <x:c r="D116" s="2"/>
      <x:c r="E116" s="2"/>
      <x:c r="F116" s="2"/>
    </x:row>
    <x:row r="117" ht="22" customHeight="1">
      <x:c r="A117" s="2"/>
      <x:c r="B117" s="2"/>
      <x:c r="C117" s="2"/>
      <x:c r="D117" s="2"/>
      <x:c r="E117" s="2"/>
      <x:c r="F117" s="2"/>
    </x:row>
    <x:row r="118" ht="22" customHeight="1">
      <x:c r="A118" s="2"/>
      <x:c r="B118" s="2"/>
      <x:c r="C118" s="2"/>
      <x:c r="D118" s="2"/>
      <x:c r="E118" s="2"/>
      <x:c r="F118" s="2"/>
    </x:row>
    <x:row r="119" ht="22" customHeight="1">
      <x:c r="A119" s="2"/>
      <x:c r="B119" s="2"/>
      <x:c r="C119" s="2"/>
      <x:c r="D119" s="2"/>
      <x:c r="E119" s="2"/>
      <x:c r="F119" s="2"/>
    </x:row>
    <x:row r="120" ht="22" customHeight="1">
      <x:c r="A120" s="2"/>
      <x:c r="B120" s="2"/>
      <x:c r="C120" s="2"/>
      <x:c r="D120" s="2"/>
      <x:c r="E120" s="2"/>
      <x:c r="F120" s="2"/>
    </x:row>
    <x:row r="121" ht="22" customHeight="1">
      <x:c r="A121" s="2"/>
      <x:c r="B121" s="2"/>
      <x:c r="C121" s="2"/>
      <x:c r="D121" s="2"/>
      <x:c r="E121" s="2"/>
      <x:c r="F121" s="2"/>
    </x:row>
    <x:row r="122" ht="22" customHeight="1">
      <x:c r="A122" s="2"/>
      <x:c r="B122" s="2"/>
      <x:c r="C122" s="2"/>
      <x:c r="D122" s="2"/>
      <x:c r="E122" s="2"/>
      <x:c r="F122" s="2"/>
    </x:row>
    <x:row r="123" ht="22" customHeight="1">
      <x:c r="A123" s="2"/>
      <x:c r="B123" s="2"/>
      <x:c r="C123" s="2"/>
      <x:c r="D123" s="2"/>
      <x:c r="E123" s="2"/>
      <x:c r="F123" s="2"/>
    </x:row>
    <x:row r="124" ht="22" customHeight="1">
      <x:c r="A124" s="2"/>
      <x:c r="B124" s="2"/>
      <x:c r="C124" s="2"/>
      <x:c r="D124" s="2"/>
      <x:c r="E124" s="2"/>
      <x:c r="F124" s="2"/>
    </x:row>
    <x:row r="125" ht="22" customHeight="1">
      <x:c r="A125" s="2"/>
      <x:c r="B125" s="2"/>
      <x:c r="C125" s="2"/>
      <x:c r="D125" s="2"/>
      <x:c r="E125" s="2"/>
      <x:c r="F125" s="2"/>
    </x:row>
    <x:row r="126" ht="22" customHeight="1">
      <x:c r="A126" s="2"/>
      <x:c r="B126" s="2"/>
      <x:c r="C126" s="2"/>
      <x:c r="D126" s="2"/>
      <x:c r="E126" s="2"/>
      <x:c r="F126" s="2"/>
    </x:row>
    <x:row r="127" ht="22" customHeight="1">
      <x:c r="A127" s="2"/>
      <x:c r="B127" s="2"/>
      <x:c r="C127" s="2"/>
      <x:c r="D127" s="2"/>
      <x:c r="E127" s="2"/>
      <x:c r="F127" s="2"/>
    </x:row>
    <x:row r="128" ht="22" customHeight="1">
      <x:c r="A128" s="2"/>
      <x:c r="B128" s="2"/>
      <x:c r="C128" s="2"/>
      <x:c r="D128" s="2"/>
      <x:c r="E128" s="2"/>
      <x:c r="F128" s="2"/>
    </x:row>
    <x:row r="129" ht="22" customHeight="1">
      <x:c r="A129" s="2"/>
      <x:c r="B129" s="2"/>
      <x:c r="C129" s="2"/>
      <x:c r="D129" s="2"/>
      <x:c r="E129" s="2"/>
      <x:c r="F129" s="2"/>
    </x:row>
    <x:row r="130" ht="22" customHeight="1">
      <x:c r="A130" s="2"/>
      <x:c r="B130" s="2"/>
      <x:c r="C130" s="2"/>
      <x:c r="D130" s="2"/>
      <x:c r="E130" s="2"/>
      <x:c r="F130" s="2"/>
    </x:row>
    <x:row r="131" ht="22" customHeight="1">
      <x:c r="A131" s="2"/>
      <x:c r="B131" s="2"/>
      <x:c r="C131" s="2"/>
      <x:c r="D131" s="2"/>
      <x:c r="E131" s="2"/>
      <x:c r="F131" s="2"/>
    </x:row>
    <x:row r="132" ht="22" customHeight="1">
      <x:c r="A132" s="2"/>
      <x:c r="B132" s="2"/>
      <x:c r="C132" s="2"/>
      <x:c r="D132" s="2"/>
      <x:c r="E132" s="2"/>
      <x:c r="F132" s="2"/>
    </x:row>
    <x:row r="133" ht="22" customHeight="1">
      <x:c r="A133" s="2"/>
      <x:c r="B133" s="2"/>
      <x:c r="C133" s="2"/>
      <x:c r="D133" s="2"/>
      <x:c r="E133" s="2"/>
      <x:c r="F133" s="2"/>
    </x:row>
    <x:row r="134" ht="22" customHeight="1">
      <x:c r="A134" s="2"/>
      <x:c r="B134" s="2"/>
      <x:c r="C134" s="2"/>
      <x:c r="D134" s="2"/>
      <x:c r="E134" s="2"/>
      <x:c r="F134" s="2"/>
    </x:row>
  </x:sheetData>
  <x:pageMargins left="0.7" right="0.7" top="0.75" bottom="0.75" header="0.3" footer="0.3"/>
</x:worksheet>
</file>